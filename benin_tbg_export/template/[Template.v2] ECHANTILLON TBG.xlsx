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8.xml" ContentType="application/vnd.openxmlformats-officedocument.spreadsheetml.comment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9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6.vml" ContentType="application/vnd.openxmlformats-officedocument.vmlDrawing"/>
  <Override PartName="/xl/drawings/vmlDrawing11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5.xml" ContentType="application/vnd.openxmlformats-officedocument.spreadsheetml.comments+xml"/>
  <Override PartName="/xl/comments13.xml" ContentType="application/vnd.openxmlformats-officedocument.spreadsheetml.comment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media/image1.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1.xml.rels" ContentType="application/vnd.openxmlformats-package.relationship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comments14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ver" sheetId="1" state="visible" r:id="rId2"/>
    <sheet name="P&amp;L conso" sheetId="2" state="visible" r:id="rId3"/>
    <sheet name="Opex Consolidés" sheetId="3" state="visible" r:id="rId4"/>
    <sheet name="CA Mobile" sheetId="4" state="visible" r:id="rId5"/>
    <sheet name="Marge Mobile" sheetId="5" state="visible" r:id="rId6"/>
    <sheet name="Trafic mobile" sheetId="6" state="visible" r:id="rId7"/>
    <sheet name="Mobile Money" sheetId="7" state="visible" r:id="rId8"/>
    <sheet name="Data Mobile" sheetId="8" state="visible" r:id="rId9"/>
    <sheet name="Parc Mobile " sheetId="9" state="visible" r:id="rId10"/>
    <sheet name="Indicateurs Mobile" sheetId="10" state="visible" r:id="rId11"/>
    <sheet name="Capex Consolidés" sheetId="11" state="visible" r:id="rId12"/>
    <sheet name="Détail projets Capex" sheetId="12" state="visible" r:id="rId13"/>
    <sheet name="Cash conso" sheetId="13" state="visible" r:id="rId14"/>
    <sheet name="Réalisé de trésorerie" sheetId="14" state="visible" r:id="rId15"/>
    <sheet name="RH et QS" sheetId="15" state="visible" r:id="rId16"/>
    <sheet name="Impacts IFRS 16" sheetId="16" state="visible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function="false" hidden="false" localSheetId="3" name="_xlnm.Print_Area" vbProcedure="false">'CA Mobile'!$A$1:$DH$184</definedName>
    <definedName function="false" hidden="false" localSheetId="10" name="_xlnm.Print_Area" vbProcedure="false">'Capex Consolidés'!$A$1:$DH$41</definedName>
    <definedName function="false" hidden="false" localSheetId="12" name="_xlnm.Print_Area" vbProcedure="false">'Cash conso'!$A$1:$DH$41</definedName>
    <definedName function="false" hidden="false" localSheetId="0" name="_xlnm.Print_Area" vbProcedure="false">Cover!$A$1:$S$38</definedName>
    <definedName function="false" hidden="false" localSheetId="7" name="_xlnm.Print_Area" vbProcedure="false">'Data Mobile'!$A$1:$DH$35</definedName>
    <definedName function="false" hidden="false" localSheetId="15" name="_xlnm.Print_Area" vbProcedure="false">'Impacts IFRS 16'!$A$1:$O$7</definedName>
    <definedName function="false" hidden="false" localSheetId="9" name="_xlnm.Print_Area" vbProcedure="false">'Indicateurs Mobile'!$A$1:$DH$34</definedName>
    <definedName function="false" hidden="false" localSheetId="4" name="_xlnm.Print_Area" vbProcedure="false">'Marge Mobile'!$A$1:$DH$61</definedName>
    <definedName function="false" hidden="false" localSheetId="2" name="_xlnm.Print_Area" vbProcedure="false">'Opex Consolidés'!$A$1:$DF$201</definedName>
    <definedName function="false" hidden="false" localSheetId="1" name="_xlnm.Print_Area" vbProcedure="false">'P&amp;L conso'!$A$1:$DH$56</definedName>
    <definedName function="false" hidden="false" localSheetId="8" name="_xlnm.Print_Area" vbProcedure="false">'Parc Mobile '!$A$1:$DH$48</definedName>
    <definedName function="false" hidden="false" localSheetId="13" name="_xlnm.Print_Area" vbProcedure="false">'Réalisé de trésorerie'!$B$1:$Q$77</definedName>
    <definedName function="false" hidden="false" localSheetId="14" name="_xlnm.Print_Area" vbProcedure="false">'RH et QS'!$A$1:$P$13</definedName>
    <definedName function="false" hidden="false" localSheetId="5" name="_xlnm.Print_Area" vbProcedure="false">'Trafic mobile'!$A$1:$DH$92</definedName>
    <definedName function="false" hidden="false" name="A" vbProcedure="false">#REF!</definedName>
    <definedName function="false" hidden="false" name="aa" vbProcedure="false">#REF!</definedName>
    <definedName function="false" hidden="false" name="aaa" vbProcedure="false">#N/A</definedName>
    <definedName function="false" hidden="false" name="aaa2___0" vbProcedure="false">#REF!</definedName>
    <definedName function="false" hidden="false" name="aaa2___12" vbProcedure="false">#REF!</definedName>
    <definedName function="false" hidden="false" name="aaa2___14" vbProcedure="false">#REF!</definedName>
    <definedName function="false" hidden="false" name="aaa5___0" vbProcedure="false">#REF!</definedName>
    <definedName function="false" hidden="false" name="aaa5___12" vbProcedure="false">#REF!</definedName>
    <definedName function="false" hidden="false" name="aaa5___14" vbProcedure="false">#REF!</definedName>
    <definedName function="false" hidden="false" name="aaaa" vbProcedure="false">[0]!tx_intérêt_par_an/#REF!</definedName>
    <definedName function="false" hidden="false" name="aaaa1" vbProcedure="false">#N/A</definedName>
    <definedName function="false" hidden="false" name="aaaaa" vbProcedure="false">#N/A</definedName>
    <definedName function="false" hidden="false" name="aaaaaa" vbProcedure="false">{"IS",#N/A,FALSE,"IS";"RPTIS",#N/A,FALSE,"RPTIS";"STATS",#N/A,FALSE,"STATS";"CELL",#N/A,FALSE,"CELL";"BS",#N/A,FALSE,"BS"}</definedName>
    <definedName function="false" hidden="false" name="aaaaaaa" vbProcedure="false">#N/A</definedName>
    <definedName function="false" hidden="false" name="aaaaaaaa" vbProcedure="false">#N/A</definedName>
    <definedName function="false" hidden="false" name="aaaaaaaaa" vbProcedure="false">{"subs",#N/A,FALSE,"database ";"proportional",#N/A,FALSE,"database "}</definedName>
    <definedName function="false" hidden="false" name="aaaa___0" vbProcedure="false">VolFactor___5/#REF!</definedName>
    <definedName function="false" hidden="false" name="VolFactor___5" vbProcedure="false">#REF!</definedName>
    <definedName function="false" hidden="false" name="aaaa___12" vbProcedure="false">VolFactor___25/#REF!</definedName>
    <definedName function="false" hidden="false" name="VolFactor___25" vbProcedure="false">#REF!</definedName>
    <definedName function="false" hidden="false" name="aaaa___14" vbProcedure="false">VolFactor___16/#REF!</definedName>
    <definedName function="false" hidden="false" name="VolFactor___16" vbProcedure="false">#REF!</definedName>
    <definedName function="false" hidden="false" name="aaaa___16" vbProcedure="false">VLastRowToPrint___7/#REF!</definedName>
    <definedName function="false" hidden="false" name="VLastRowToPrint___7" vbProcedure="false">#REF!</definedName>
    <definedName function="false" hidden="false" name="aaaa___2" vbProcedure="false">VolFactor___4/#REF!</definedName>
    <definedName function="false" hidden="false" name="VolFactor___4" vbProcedure="false">#REF!</definedName>
    <definedName function="false" hidden="false" name="aaaa___23" vbProcedure="false">VolFactor___5/#REF!</definedName>
    <definedName function="false" hidden="false" name="aaaa___26" vbProcedure="false">VolFactor___12/#REF!</definedName>
    <definedName function="false" hidden="false" name="VolFactor___12" vbProcedure="false">#REF!</definedName>
    <definedName function="false" hidden="false" name="aaaa___27" vbProcedure="false">VolFactor___14/#REF!</definedName>
    <definedName function="false" hidden="false" name="VolFactor___14" vbProcedure="false">#REF!</definedName>
    <definedName function="false" hidden="false" name="aaaa___3" vbProcedure="false">VolFactor___5/#REF!</definedName>
    <definedName function="false" hidden="false" name="aaaa___4" vbProcedure="false">VLastRowToPrint___0/#REF!</definedName>
    <definedName function="false" hidden="false" name="VLastRowToPrint___0" vbProcedure="false">#REF!</definedName>
    <definedName function="false" hidden="false" name="aaaa___5" vbProcedure="false">VolFactor___2/#REF!</definedName>
    <definedName function="false" hidden="false" name="VolFactor___2" vbProcedure="false">#REF!</definedName>
    <definedName function="false" hidden="false" name="aaaa___6" vbProcedure="false">VLastRowToPrint___26/#REF!</definedName>
    <definedName function="false" hidden="false" name="VLastRowToPrint___26" vbProcedure="false">#REF!</definedName>
    <definedName function="false" hidden="false" name="aaaa___7" vbProcedure="false">VolFactor___27/#REF!</definedName>
    <definedName function="false" hidden="false" name="VolFactor___27" vbProcedure="false">#REF!</definedName>
    <definedName function="false" hidden="false" name="aaaa___9" vbProcedure="false">VolFactor___5/#REF!</definedName>
    <definedName function="false" hidden="false" name="AAA_DOCTOPS" vbProcedure="false">"AAA_SET"</definedName>
    <definedName function="false" hidden="false" name="AAA_duser" vbProcedure="false">"OFF"</definedName>
    <definedName function="false" hidden="false" name="aaa___0" vbProcedure="false">VolFactor___5/#REF!</definedName>
    <definedName function="false" hidden="false" name="aaa___12" vbProcedure="false">NA()</definedName>
    <definedName function="false" hidden="false" name="aaa___14" vbProcedure="false">VolFactor___16/#REF!</definedName>
    <definedName function="false" hidden="false" name="aaa___16" vbProcedure="false">VLastRowToPrint___7/#REF!</definedName>
    <definedName function="false" hidden="false" name="aaa___2" vbProcedure="false">NA()</definedName>
    <definedName function="false" hidden="false" name="aaa___23" vbProcedure="false">VolFactor___5/#REF!</definedName>
    <definedName function="false" hidden="false" name="aaa___26" vbProcedure="false">NA()</definedName>
    <definedName function="false" hidden="false" name="aaa___27" vbProcedure="false">VolFactor___14/#REF!</definedName>
    <definedName function="false" hidden="false" name="aaa___3" vbProcedure="false">VolFactor___5/#REF!</definedName>
    <definedName function="false" hidden="false" name="aaa___4" vbProcedure="false">VLastRowToPrint___0/#REF!</definedName>
    <definedName function="false" hidden="false" name="aaa___5" vbProcedure="false">VolFactor___2/#REF!</definedName>
    <definedName function="false" hidden="false" name="aaa___6" vbProcedure="false">NA()</definedName>
    <definedName function="false" hidden="false" name="aaa___7" vbProcedure="false">NA()</definedName>
    <definedName function="false" hidden="false" name="aaa___9" vbProcedure="false">VolFactor___5/#REF!</definedName>
    <definedName function="false" hidden="false" name="aaba" vbProcedure="false">aaba</definedName>
    <definedName function="false" hidden="false" name="AAB_Addin5" vbProcedure="false">"AAB_Description for addin 5,Description for addin 5,Description for addin 5,Description for addin 5,Description for addin 5,Description for addin 5"</definedName>
    <definedName function="false" hidden="false" name="AAZ" vbProcedure="false">#REF!</definedName>
    <definedName function="false" hidden="false" name="ab" vbProcedure="false">#REF!</definedName>
    <definedName function="false" hidden="false" name="abas" vbProcedure="false">#REF!</definedName>
    <definedName function="false" hidden="false" name="ABC" vbProcedure="false">#N/A</definedName>
    <definedName function="false" hidden="false" name="ABRACADABRA" vbProcedure="false">#REF!</definedName>
    <definedName function="false" hidden="false" name="ac" vbProcedure="false">{#N/A,#N/A,TRUE,"Pro Forma";#N/A,#N/A,TRUE,"PF_Bal";#N/A,#N/A,TRUE,"PF_INC";#N/A,#N/A,TRUE,"CBE";#N/A,#N/A,TRUE,"SWK"}</definedName>
    <definedName function="false" hidden="false" name="AccessDatabase" vbProcedure="false">"P:\auctions\auction.11\programs\11_flash.mdb"</definedName>
    <definedName function="false" hidden="false" name="actu32000" vbProcedure="false">#REF!</definedName>
    <definedName function="false" hidden="false" name="actu32000___12" vbProcedure="false">#REF!</definedName>
    <definedName function="false" hidden="false" name="actu3ssta" vbProcedure="false">#REF!</definedName>
    <definedName function="false" hidden="false" name="actu3ssta___12" vbProcedure="false">#REF!</definedName>
    <definedName function="false" hidden="false" name="ACTUALS" vbProcedure="false">#REF!</definedName>
    <definedName function="false" hidden="false" name="AC_Actual_cost_to_date" vbProcedure="false">#REF!</definedName>
    <definedName function="false" hidden="false" name="ad" vbProcedure="false">{"IS",#N/A,FALSE,"IS";"RPTIS",#N/A,FALSE,"RPTIS";"STATS",#N/A,FALSE,"STATS";"CELL",#N/A,FALSE,"CELL";"BS",#N/A,FALSE,"BS"}</definedName>
    <definedName function="false" hidden="false" name="addg" vbProcedure="false">{#N/A,#N/A,FALSE,"CBE";#N/A,#N/A,FALSE,"SWK"}</definedName>
    <definedName function="false" hidden="false" name="AdjustFactor" vbProcedure="false">#REF!</definedName>
    <definedName function="false" hidden="false" name="AdjustFactor___0" vbProcedure="false">#REF!</definedName>
    <definedName function="false" hidden="false" name="AdjustFactor___12" vbProcedure="false">#REF!</definedName>
    <definedName function="false" hidden="false" name="AdjustFactor___14" vbProcedure="false">#REF!</definedName>
    <definedName function="false" hidden="false" name="AdjustFactor___16" vbProcedure="false">#REF!</definedName>
    <definedName function="false" hidden="false" name="AdjustFactor___2" vbProcedure="false">#REF!</definedName>
    <definedName function="false" hidden="false" name="AdjustFactor___25" vbProcedure="false">#REF!</definedName>
    <definedName function="false" hidden="false" name="AdjustFactor___26" vbProcedure="false">#REF!</definedName>
    <definedName function="false" hidden="false" name="AdjustFactor___27" vbProcedure="false">#REF!</definedName>
    <definedName function="false" hidden="false" name="AdjustFactor___4" vbProcedure="false">#REF!</definedName>
    <definedName function="false" hidden="false" name="AdjustFactor___5" vbProcedure="false">#REF!</definedName>
    <definedName function="false" hidden="false" name="AdjustFactor___7" vbProcedure="false">#REF!</definedName>
    <definedName function="false" hidden="false" name="Adjustments" vbProcedure="false">#REF!</definedName>
    <definedName function="false" hidden="false" name="Adjustments___0" vbProcedure="false">#REF!</definedName>
    <definedName function="false" hidden="false" name="Adjustments___12" vbProcedure="false">#REF!</definedName>
    <definedName function="false" hidden="false" name="Adjustments___14" vbProcedure="false">#REF!</definedName>
    <definedName function="false" hidden="false" name="Adjustments___16" vbProcedure="false">#REF!</definedName>
    <definedName function="false" hidden="false" name="Adjustments___2" vbProcedure="false">#REF!</definedName>
    <definedName function="false" hidden="false" name="Adjustments___25" vbProcedure="false">#REF!</definedName>
    <definedName function="false" hidden="false" name="Adjustments___26" vbProcedure="false">#REF!</definedName>
    <definedName function="false" hidden="false" name="Adjustments___27" vbProcedure="false">#REF!</definedName>
    <definedName function="false" hidden="false" name="Adjustments___4" vbProcedure="false">#REF!</definedName>
    <definedName function="false" hidden="false" name="Adjustments___5" vbProcedure="false">#REF!</definedName>
    <definedName function="false" hidden="false" name="Adjustments___7" vbProcedure="false">#REF!</definedName>
    <definedName function="false" hidden="false" name="ae" vbProcedure="false">#REF!</definedName>
    <definedName function="false" hidden="false" name="aeaze" vbProcedure="false">aeaze</definedName>
    <definedName function="false" hidden="false" name="AECG" vbProcedure="false">#REF!</definedName>
    <definedName function="false" hidden="false" name="aesf" vbProcedure="false">#N/A</definedName>
    <definedName function="false" hidden="false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AG" vbProcedure="false">#REF!</definedName>
    <definedName function="false" hidden="false" name="Agadir" vbProcedure="false">#REF!</definedName>
    <definedName function="false" hidden="false" name="AG___0" vbProcedure="false">#REF!</definedName>
    <definedName function="false" hidden="false" name="AG___12" vbProcedure="false">#REF!</definedName>
    <definedName function="false" hidden="false" name="AG___14" vbProcedure="false">#REF!</definedName>
    <definedName function="false" hidden="false" name="AG___16" vbProcedure="false">#REF!</definedName>
    <definedName function="false" hidden="false" name="AG___2" vbProcedure="false">#REF!</definedName>
    <definedName function="false" hidden="false" name="AG___25" vbProcedure="false">#REF!</definedName>
    <definedName function="false" hidden="false" name="AG___26" vbProcedure="false">#REF!</definedName>
    <definedName function="false" hidden="false" name="AG___27" vbProcedure="false">#REF!</definedName>
    <definedName function="false" hidden="false" name="AG___4" vbProcedure="false">#REF!</definedName>
    <definedName function="false" hidden="false" name="AG___5" vbProcedure="false">#REF!</definedName>
    <definedName function="false" hidden="false" name="AG___7" vbProcedure="false">#REF!</definedName>
    <definedName function="false" hidden="false" name="ah" vbProcedure="false">{"test2",#N/A,TRUE,"Prices"}</definedName>
    <definedName function="false" hidden="false" name="ai" vbProcedure="false">{"subs",#N/A,FALSE,"database ";"proportional",#N/A,FALSE,"database "}</definedName>
    <definedName function="false" hidden="false" name="ait" vbProcedure="false">#REF!</definedName>
    <definedName function="false" hidden="false" name="aity" vbProcedure="false">#REF!</definedName>
    <definedName function="false" hidden="false" name="aj" vbProcedure="false">{"IS",#N/A,FALSE,"IS";"RPTIS",#N/A,FALSE,"RPTIS";"STATS",#N/A,FALSE,"STATS";"BS",#N/A,FALSE,"BS"}</definedName>
    <definedName function="false" hidden="false" name="AjustAttritV2" vbProcedure="false">#REF!</definedName>
    <definedName function="false" hidden="false" name="AjustAttritV2___0" vbProcedure="false">#REF!</definedName>
    <definedName function="false" hidden="false" name="AjustAttritV2___12" vbProcedure="false">#REF!</definedName>
    <definedName function="false" hidden="false" name="AjustAttritV2___2" vbProcedure="false">#REF!</definedName>
    <definedName function="false" hidden="false" name="AjustAttritV2___27" vbProcedure="false">#REF!</definedName>
    <definedName function="false" hidden="false" name="AjustAttritV2___5" vbProcedure="false">#REF!</definedName>
    <definedName function="false" hidden="false" name="AjustPdMClassique" vbProcedure="false">#REF!</definedName>
    <definedName function="false" hidden="false" name="AjustPdMClassique___0" vbProcedure="false">#REF!</definedName>
    <definedName function="false" hidden="false" name="AjustPdMClassique___12" vbProcedure="false">#REF!</definedName>
    <definedName function="false" hidden="false" name="AjustPdMClassique___2" vbProcedure="false">#REF!</definedName>
    <definedName function="false" hidden="false" name="AjustPdMClassique___27" vbProcedure="false">#REF!</definedName>
    <definedName function="false" hidden="false" name="AjustPdMClassique___5" vbProcedure="false">#REF!</definedName>
    <definedName function="false" hidden="false" name="ALIM4215_TG" vbProcedure="false">#REF!</definedName>
    <definedName function="false" hidden="false" name="ALIMENT_TG" vbProcedure="false">#REF!</definedName>
    <definedName function="false" hidden="false" name="ALIM_BANQ_COURS" vbProcedure="false">#REF!</definedName>
    <definedName function="false" hidden="false" name="ALIM_BANQ_TG" vbProcedure="false">#REF!</definedName>
    <definedName function="false" hidden="false" name="ALIM_DRT_CCP" vbProcedure="false">#REF!</definedName>
    <definedName function="false" hidden="false" name="ALIM_TG_BANQUE" vbProcedure="false">#REF!</definedName>
    <definedName function="false" hidden="false" name="ALIM_TG_CCP" vbProcedure="false">#REF!</definedName>
    <definedName function="false" hidden="false" name="ALI_BANQUE" vbProcedure="false">#REF!</definedName>
    <definedName function="false" hidden="false" name="ALI_INT_BANQ" vbProcedure="false">#REF!</definedName>
    <definedName function="false" hidden="false" name="AM" vbProcedure="false">#REF!</definedName>
    <definedName function="false" hidden="false" name="AMRT" vbProcedure="false">#REF!</definedName>
    <definedName function="false" hidden="false" name="Annuité" vbProcedure="false">[0]!tx_intérêt_par_an/#REF!</definedName>
    <definedName function="false" hidden="false" name="Annuité___0" vbProcedure="false">VolFactor___5/#REF!</definedName>
    <definedName function="false" hidden="false" name="Annuité___12" vbProcedure="false">VolFactor___25/#REF!</definedName>
    <definedName function="false" hidden="false" name="Annuité___14" vbProcedure="false">VolFactor___16/#REF!</definedName>
    <definedName function="false" hidden="false" name="Annuité___16" vbProcedure="false">VLastRowToPrint___7/#REF!</definedName>
    <definedName function="false" hidden="false" name="Annuité___2" vbProcedure="false">VolFactor___4/#REF!</definedName>
    <definedName function="false" hidden="false" name="Annuité___23" vbProcedure="false">VolFactor___5/#REF!</definedName>
    <definedName function="false" hidden="false" name="Annuité___26" vbProcedure="false">VolFactor___12/#REF!</definedName>
    <definedName function="false" hidden="false" name="Annuité___27" vbProcedure="false">VolFactor___14/#REF!</definedName>
    <definedName function="false" hidden="false" name="Annuité___3" vbProcedure="false">VolFactor___5/#REF!</definedName>
    <definedName function="false" hidden="false" name="Annuité___4" vbProcedure="false">VLastRowToPrint___0/#REF!</definedName>
    <definedName function="false" hidden="false" name="Annuité___5" vbProcedure="false">VolFactor___2/#REF!</definedName>
    <definedName function="false" hidden="false" name="Annuité___6" vbProcedure="false">VLastRowToPrint___26/#REF!</definedName>
    <definedName function="false" hidden="false" name="Annuité___7" vbProcedure="false">VolFactor___27/#REF!</definedName>
    <definedName function="false" hidden="false" name="Annuité___9" vbProcedure="false">VolFactor___5/#REF!</definedName>
    <definedName function="false" hidden="false" name="anscount" vbProcedure="false">1</definedName>
    <definedName function="false" hidden="false" name="ANUITE" vbProcedure="false">#N/A</definedName>
    <definedName function="false" hidden="false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APC_List" vbProcedure="false">#REF!</definedName>
    <definedName function="false" hidden="false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April" vbProcedure="false">#REF!</definedName>
    <definedName function="false" hidden="false" name="AprRtgMFR" vbProcedure="false">{#N/A,#N/A,FALSE,"1999 Fiscal Current Week";#N/A,#N/A,FALSE,"1999 Fiscal Variance"}</definedName>
    <definedName function="false" hidden="false" name="aq" vbProcedure="false">{"IS",#N/A,FALSE,"IS";"RPTIS",#N/A,FALSE,"RPTIS";"STATS",#N/A,FALSE,"STATS";"CELL",#N/A,FALSE,"CELL";"BS",#N/A,FALSE,"BS"}</definedName>
    <definedName function="false" hidden="false" name="art" vbProcedure="false">{"First Page",#N/A,FALSE,"Surfactants LBO";"Second Page",#N/A,FALSE,"Surfactants LBO"}</definedName>
    <definedName function="false" hidden="false" name="Artems" vbProcedure="false">{"First Page",#N/A,FALSE,"Surfactants LBO";"Second Page",#N/A,FALSE,"Surfactants LBO"}</definedName>
    <definedName function="false" hidden="false" name="Artic" vbProcedure="false">{"First Page",#N/A,FALSE,"Surfactants LBO";"Second Page",#N/A,FALSE,"Surfactants LBO"}</definedName>
    <definedName function="false" hidden="false" name="as" vbProcedure="false">{"comp1",#N/A,FALSE,"COMPS";"footnotes",#N/A,FALSE,"COMPS"}</definedName>
    <definedName function="false" hidden="false" name="AS2DocOpenMode" vbProcedure="false">"AS2DocumentEdit"</definedName>
    <definedName function="false" hidden="false" name="AS2HasNoAutoHeaderFooter" vbProcedure="false">" "</definedName>
    <definedName function="false" hidden="false" name="AS2ReportLS" vbProcedure="false">1</definedName>
    <definedName function="false" hidden="false" name="AS2SyncStepLS" vbProcedure="false">0</definedName>
    <definedName function="false" hidden="false" name="AS2TickmarkLS" vbProcedure="false">#REF!</definedName>
    <definedName function="false" hidden="false" name="AS2VersionLS" vbProcedure="false">300</definedName>
    <definedName function="false" hidden="false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asdf" vbProcedure="false">{#N/A,#N/A,FALSE,"Calc";#N/A,#N/A,FALSE,"Sensitivity";#N/A,#N/A,FALSE,"LT Earn.Dil.";#N/A,#N/A,FALSE,"Dil. AVP"}</definedName>
    <definedName function="false" hidden="false" name="asss" vbProcedure="false">#N/A</definedName>
    <definedName function="false" hidden="false" name="at" vbProcedure="false">{"IS",#N/A,FALSE,"IS";"RPTIS",#N/A,FALSE,"RPTIS";"STATS",#N/A,FALSE,"STATS";"CELL",#N/A,FALSE,"CELL";"BS",#N/A,FALSE,"BS"}</definedName>
    <definedName function="false" hidden="false" name="ATDebtCost" vbProcedure="false">#REF!</definedName>
    <definedName function="false" hidden="false" name="ATDebtCost___0" vbProcedure="false">#REF!</definedName>
    <definedName function="false" hidden="false" name="ATDebtCost___12" vbProcedure="false">#REF!</definedName>
    <definedName function="false" hidden="false" name="ATDebtCost___14" vbProcedure="false">#REF!</definedName>
    <definedName function="false" hidden="false" name="ATDebtCost___16" vbProcedure="false">#REF!</definedName>
    <definedName function="false" hidden="false" name="ATDebtCost___2" vbProcedure="false">#REF!</definedName>
    <definedName function="false" hidden="false" name="ATDebtCost___25" vbProcedure="false">#REF!</definedName>
    <definedName function="false" hidden="false" name="ATDebtCost___26" vbProcedure="false">#REF!</definedName>
    <definedName function="false" hidden="false" name="ATDebtCost___27" vbProcedure="false">#REF!</definedName>
    <definedName function="false" hidden="false" name="ATDebtCost___4" vbProcedure="false">#REF!</definedName>
    <definedName function="false" hidden="false" name="ATDebtCost___5" vbProcedure="false">#REF!</definedName>
    <definedName function="false" hidden="false" name="ATDebtCost___7" vbProcedure="false">#REF!</definedName>
    <definedName function="false" hidden="false" name="au" vbProcedure="false">{#N/A,#N/A,FALSE,"ORIX CSC"}</definedName>
    <definedName function="false" hidden="false" name="Auditor" vbProcedure="false">OFFSET(CompRange3Main,9,0,COUNTA(CompRange3Main)-COUNTA(#REF!),1)</definedName>
    <definedName function="false" hidden="false" name="CompRange3Main" vbProcedure="false">#REF!</definedName>
    <definedName function="false" hidden="false" name="August" vbProcedure="false">#REF!</definedName>
    <definedName function="false" hidden="false" name="AUT_REC_CCP" vbProcedure="false">#REF!</definedName>
    <definedName function="false" hidden="false" name="AUT_REC_TG" vbProcedure="false">#REF!</definedName>
    <definedName function="false" hidden="false" name="axedoc_9" vbProcedure="false">#REF!</definedName>
    <definedName function="false" hidden="false" name="axe_doc" vbProcedure="false">#REF!</definedName>
    <definedName function="false" hidden="false" name="axe_doc1" vbProcedure="false">#REF!</definedName>
    <definedName function="false" hidden="false" name="axe_doc10" vbProcedure="false">#REF!</definedName>
    <definedName function="false" hidden="false" name="axe_doc11" vbProcedure="false">#REF!</definedName>
    <definedName function="false" hidden="false" name="axe_doc12" vbProcedure="false">#REF!</definedName>
    <definedName function="false" hidden="false" name="axe_doc13" vbProcedure="false">#REF!</definedName>
    <definedName function="false" hidden="false" name="axe_doc2" vbProcedure="false">#REF!</definedName>
    <definedName function="false" hidden="false" name="axe_doc3" vbProcedure="false">#REF!</definedName>
    <definedName function="false" hidden="false" name="axe_doc4" vbProcedure="false">#REF!</definedName>
    <definedName function="false" hidden="false" name="axe_doc5" vbProcedure="false">#REF!</definedName>
    <definedName function="false" hidden="false" name="axe_doc6" vbProcedure="false">#REF!</definedName>
    <definedName function="false" hidden="false" name="axe_doc7" vbProcedure="false">#REF!</definedName>
    <definedName function="false" hidden="false" name="axe_doc8" vbProcedure="false">#REF!</definedName>
    <definedName function="false" hidden="false" name="axe_doc9" vbProcedure="false">#REF!</definedName>
    <definedName function="false" hidden="false" name="ay" vbProcedure="false">{"print 1",#N/A,FALSE,"PrimeCo PCS";"print 2",#N/A,FALSE,"PrimeCo PCS";"valuation",#N/A,FALSE,"PrimeCo PCS"}</definedName>
    <definedName function="false" hidden="false" name="AZ" vbProcedure="false">#N/A</definedName>
    <definedName function="false" hidden="false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aze" vbProcedure="false">Nb_de_paiements_par_an*#REF!</definedName>
    <definedName function="false" hidden="false" name="Nb_de_paiements_par_an" vbProcedure="false">#REF!</definedName>
    <definedName function="false" hidden="false" name="azeazedazedazeed" vbProcedure="false">Nb_de_paiements_par_an*#REF!</definedName>
    <definedName function="false" hidden="false" name="azerty" vbProcedure="false">[0]!tx_intérêt_par_an/#REF!</definedName>
    <definedName function="false" hidden="false" name="azertyu" vbProcedure="false">azertyu</definedName>
    <definedName function="false" hidden="false" name="azertyu___0" vbProcedure="false">bbb___3</definedName>
    <definedName function="false" hidden="false" name="bbb___3" vbProcedure="false">VolFactor___5/#REF!</definedName>
    <definedName function="false" hidden="false" name="azertyu___12" vbProcedure="false">bbb___23</definedName>
    <definedName function="false" hidden="false" name="bbb___23" vbProcedure="false">VolFactor___5/#REF!</definedName>
    <definedName function="false" hidden="false" name="azertyu___16" vbProcedure="false">Excel_BuiltIn_Database_0</definedName>
    <definedName function="false" hidden="false" name="Excel_BuiltIn_Database_0" vbProcedure="false">#REF!</definedName>
    <definedName function="false" hidden="false" name="azertyu___2" vbProcedure="false">bbb___6</definedName>
    <definedName function="false" hidden="false" name="bbb___6" vbProcedure="false">NA()</definedName>
    <definedName function="false" hidden="false" name="azertyu___25" vbProcedure="false">BAZ___6</definedName>
    <definedName function="false" hidden="false" name="BAZ___6" vbProcedure="false">#REF!</definedName>
    <definedName function="false" hidden="false" name="azertyu___26" vbProcedure="false">bbb___25</definedName>
    <definedName function="false" hidden="false" name="azertyu___27" vbProcedure="false">bbb___16</definedName>
    <definedName function="false" hidden="false" name="bbb___16" vbProcedure="false">VLastRowToPrint___7/#REF!</definedName>
    <definedName function="false" hidden="false" name="azertyu___3" vbProcedure="false">baz___0</definedName>
    <definedName function="false" hidden="false" name="azertyu___5" vbProcedure="false">bbb___4</definedName>
    <definedName function="false" hidden="false" name="bbb___4" vbProcedure="false">VLastRowToPrint___0/#REF!</definedName>
    <definedName function="false" hidden="false" name="azertyu___6" vbProcedure="false">B2000ssta___0</definedName>
    <definedName function="false" hidden="false" name="B2000ssta___0" vbProcedure="false">#REF!</definedName>
    <definedName function="false" hidden="false" name="azertyu___7" vbProcedure="false">bbb___9</definedName>
    <definedName function="false" hidden="false" name="bbb___9" vbProcedure="false">VolFactor___5/#REF!</definedName>
    <definedName function="false" hidden="false" name="azertyu___9" vbProcedure="false">BAZ___12</definedName>
    <definedName function="false" hidden="false" name="BAZ___12" vbProcedure="false">#REF!</definedName>
    <definedName function="false" hidden="false" name="azerty___0" vbProcedure="false">VolFactor___5/#REF!</definedName>
    <definedName function="false" hidden="false" name="azerty___12" vbProcedure="false">VolFactor___25/#REF!</definedName>
    <definedName function="false" hidden="false" name="azerty___14" vbProcedure="false">VolFactor___16/#REF!</definedName>
    <definedName function="false" hidden="false" name="azerty___16" vbProcedure="false">VLastRowToPrint___7/#REF!</definedName>
    <definedName function="false" hidden="false" name="azerty___2" vbProcedure="false">VolFactor___4/#REF!</definedName>
    <definedName function="false" hidden="false" name="azerty___23" vbProcedure="false">VolFactor___5/#REF!</definedName>
    <definedName function="false" hidden="false" name="azerty___26" vbProcedure="false">VolFactor___12/#REF!</definedName>
    <definedName function="false" hidden="false" name="azerty___27" vbProcedure="false">VolFactor___14/#REF!</definedName>
    <definedName function="false" hidden="false" name="azerty___3" vbProcedure="false">VolFactor___5/#REF!</definedName>
    <definedName function="false" hidden="false" name="azerty___4" vbProcedure="false">VLastRowToPrint___0/#REF!</definedName>
    <definedName function="false" hidden="false" name="azerty___5" vbProcedure="false">VolFactor___2/#REF!</definedName>
    <definedName function="false" hidden="false" name="azerty___6" vbProcedure="false">VLastRowToPrint___26/#REF!</definedName>
    <definedName function="false" hidden="false" name="azerty___7" vbProcedure="false">VolFactor___27/#REF!</definedName>
    <definedName function="false" hidden="false" name="azerty___9" vbProcedure="false">VolFactor___5/#REF!</definedName>
    <definedName function="false" hidden="false" name="azraze" vbProcedure="false">{"orixcsc",#N/A,FALSE,"ORIX CSC";"orixcsc2",#N/A,FALSE,"ORIX CSC"}</definedName>
    <definedName function="false" hidden="false" name="A_Tarifs_SFR" vbProcedure="false">#REF!</definedName>
    <definedName function="false" hidden="false" name="A_Tarifs_SFR___0" vbProcedure="false">#REF!</definedName>
    <definedName function="false" hidden="false" name="A_Tarifs_SFR___12" vbProcedure="false">#REF!</definedName>
    <definedName function="false" hidden="false" name="A_Tarifs_SFR___14" vbProcedure="false">#REF!</definedName>
    <definedName function="false" hidden="false" name="A_Tarifs_SFR___16" vbProcedure="false">#REF!</definedName>
    <definedName function="false" hidden="false" name="A_Tarifs_SFR___2" vbProcedure="false">#REF!</definedName>
    <definedName function="false" hidden="false" name="A_Tarifs_SFR___26" vbProcedure="false">#REF!</definedName>
    <definedName function="false" hidden="false" name="A_Tarifs_SFR___27" vbProcedure="false">#REF!</definedName>
    <definedName function="false" hidden="false" name="A_Tarifs_SFR___5" vbProcedure="false">#REF!</definedName>
    <definedName function="false" hidden="false" name="A_Tarifs_SFR___7" vbProcedure="false">#REF!</definedName>
    <definedName function="false" hidden="false" name="A___0" vbProcedure="false">NA()</definedName>
    <definedName function="false" hidden="false" name="A___12" vbProcedure="false">#REF!</definedName>
    <definedName function="false" hidden="false" name="A___2" vbProcedure="false">#REF!</definedName>
    <definedName function="false" hidden="false" name="A___25" vbProcedure="false">#REF!</definedName>
    <definedName function="false" hidden="false" name="A___26" vbProcedure="false">#REF!</definedName>
    <definedName function="false" hidden="false" name="A___27" vbProcedure="false">NA()</definedName>
    <definedName function="false" hidden="false" name="A___4" vbProcedure="false">#REF!</definedName>
    <definedName function="false" hidden="false" name="A___5" vbProcedure="false">NA()</definedName>
    <definedName function="false" hidden="false" name="A___6" vbProcedure="false">#REF!</definedName>
    <definedName function="false" hidden="false" name="A___7" vbProcedure="false">#REF!</definedName>
    <definedName function="false" hidden="false" name="B" vbProcedure="false">#N/A</definedName>
    <definedName function="false" hidden="false" name="B.C.M" vbProcedure="false">#REF!</definedName>
    <definedName function="false" hidden="false" name="B.C.M." vbProcedure="false">#REF!</definedName>
    <definedName function="false" hidden="false" name="B.M.C.E_PRINCIP" vbProcedure="false">#REF!</definedName>
    <definedName function="false" hidden="false" name="B.M.C.I" vbProcedure="false">#REF!</definedName>
    <definedName function="false" hidden="false" name="B.M.C.I." vbProcedure="false">#REF!</definedName>
    <definedName function="false" hidden="false" name="B.P" vbProcedure="false">#REF!</definedName>
    <definedName function="false" hidden="false" name="B.P." vbProcedure="false">#REF!</definedName>
    <definedName function="false" hidden="false" name="B2000ssta" vbProcedure="false">#REF!</definedName>
    <definedName function="false" hidden="false" name="B2000ssta___12" vbProcedure="false">#REF!</definedName>
    <definedName function="false" hidden="false" name="B2000ssta___14" vbProcedure="false">#REF!</definedName>
    <definedName function="false" hidden="false" name="B2000ssta___16" vbProcedure="false">#REF!</definedName>
    <definedName function="false" hidden="false" name="B2000ssta___27" vbProcedure="false">#REF!</definedName>
    <definedName function="false" hidden="false" name="B2000ssta___5" vbProcedure="false">#REF!</definedName>
    <definedName function="false" hidden="false" name="BAC" vbProcedure="false">#REF!</definedName>
    <definedName function="false" hidden="false" name="BAC_Budget_at_Completion" vbProcedure="false">#REF!</definedName>
    <definedName function="false" hidden="false" name="BANQUE" vbProcedure="false">#REF!</definedName>
    <definedName function="false" hidden="false" name="Base2" vbProcedure="false">#REF!</definedName>
    <definedName function="false" hidden="false" name="BASE_COSTES" vbProcedure="false">#REF!</definedName>
    <definedName function="false" hidden="false" name="BAZ" vbProcedure="false">#REF!</definedName>
    <definedName function="false" hidden="false" name="bb" vbProcedure="false">#REF!</definedName>
    <definedName function="false" hidden="false" name="bbb" vbProcedure="false">#N/A</definedName>
    <definedName function="false" hidden="false" name="bbbb" vbProcedure="false">[0]!tx_intérêt_par_an/#REF!</definedName>
    <definedName function="false" hidden="false" name="BBBBBBBB" vbProcedure="false">BBBBBBBB</definedName>
    <definedName function="false" hidden="false" name="bbbb___0" vbProcedure="false">VolFactor___5/#REF!</definedName>
    <definedName function="false" hidden="false" name="bbbb___12" vbProcedure="false">VolFactor___25/#REF!</definedName>
    <definedName function="false" hidden="false" name="bbbb___14" vbProcedure="false">VolFactor___16/#REF!</definedName>
    <definedName function="false" hidden="false" name="bbbb___16" vbProcedure="false">VLastRowToPrint___7/#REF!</definedName>
    <definedName function="false" hidden="false" name="bbbb___2" vbProcedure="false">VolFactor___4/#REF!</definedName>
    <definedName function="false" hidden="false" name="bbbb___23" vbProcedure="false">VolFactor___5/#REF!</definedName>
    <definedName function="false" hidden="false" name="bbbb___26" vbProcedure="false">VolFactor___12/#REF!</definedName>
    <definedName function="false" hidden="false" name="bbbb___27" vbProcedure="false">VolFactor___14/#REF!</definedName>
    <definedName function="false" hidden="false" name="bbbb___3" vbProcedure="false">VolFactor___5/#REF!</definedName>
    <definedName function="false" hidden="false" name="bbbb___4" vbProcedure="false">VLastRowToPrint___0/#REF!</definedName>
    <definedName function="false" hidden="false" name="bbbb___5" vbProcedure="false">VolFactor___2/#REF!</definedName>
    <definedName function="false" hidden="false" name="bbbb___6" vbProcedure="false">VLastRowToPrint___26/#REF!</definedName>
    <definedName function="false" hidden="false" name="bbbb___7" vbProcedure="false">VolFactor___27/#REF!</definedName>
    <definedName function="false" hidden="false" name="bbbb___9" vbProcedure="false">VolFactor___5/#REF!</definedName>
    <definedName function="false" hidden="false" name="bbb__0" vbProcedure="false">#N/A</definedName>
    <definedName function="false" hidden="false" name="bbb___0" vbProcedure="false">VolFactor___5/#REF!</definedName>
    <definedName function="false" hidden="false" name="bbb___12" vbProcedure="false">NA()</definedName>
    <definedName function="false" hidden="false" name="bbb___14" vbProcedure="false">VolFactor___16/#REF!</definedName>
    <definedName function="false" hidden="false" name="bbb___2" vbProcedure="false">NA()</definedName>
    <definedName function="false" hidden="false" name="bbb___26" vbProcedure="false">NA()</definedName>
    <definedName function="false" hidden="false" name="bbb___27" vbProcedure="false">VolFactor___14/#REF!</definedName>
    <definedName function="false" hidden="false" name="bbb___5" vbProcedure="false">VolFactor___2/#REF!</definedName>
    <definedName function="false" hidden="false" name="bbb___7" vbProcedure="false">NA()</definedName>
    <definedName function="false" hidden="false" name="bc" vbProcedure="false">{"IS",#N/A,FALSE,"IS";"RPTIS",#N/A,FALSE,"RPTIS";"STATS",#N/A,FALSE,"STATS";"CELL",#N/A,FALSE,"CELL";"BS",#N/A,FALSE,"BS"}</definedName>
    <definedName function="false" hidden="false" name="bcvgdhjdfhhjfev" vbProcedure="false">bcvgdhjdfhhjfev</definedName>
    <definedName function="false" hidden="false" name="BEGINNING" vbProcedure="false">#REF!</definedName>
    <definedName function="false" hidden="false" name="belnew" vbProcedure="false">{"IS",#N/A,FALSE,"IS";"RPTIS",#N/A,FALSE,"RPTIS";"STATS",#N/A,FALSE,"STATS";"CELL",#N/A,FALSE,"CELL";"BS",#N/A,FALSE,"BS"}</definedName>
    <definedName function="false" hidden="false" name="belnew1" vbProcedure="false">{"IS",#N/A,FALSE,"IS";"RPTIS",#N/A,FALSE,"RPTIS";"STATS",#N/A,FALSE,"STATS";"CELL",#N/A,FALSE,"CELL";"BS",#N/A,FALSE,"BS"}</definedName>
    <definedName function="false" hidden="false" name="belnew10" vbProcedure="false">{"IS",#N/A,FALSE,"IS";"RPTIS",#N/A,FALSE,"RPTIS";"STATS",#N/A,FALSE,"STATS";"CELL",#N/A,FALSE,"CELL";"BS",#N/A,FALSE,"BS"}</definedName>
    <definedName function="false" hidden="false" name="BG" vbProcedure="false">{#N/A,#N/A,TRUE,"Cover sheet";#N/A,#N/A,TRUE,"DCF analysis";#N/A,#N/A,TRUE,"WACC calculation"}</definedName>
    <definedName function="false" hidden="false" name="BGFJ" vbProcedure="false">#N/A</definedName>
    <definedName function="false" hidden="false" name="BG_Del" vbProcedure="false">15</definedName>
    <definedName function="false" hidden="false" name="BG_Ins" vbProcedure="false">4</definedName>
    <definedName function="false" hidden="false" name="BG_Mod" vbProcedure="false">6</definedName>
    <definedName function="false" hidden="false" name="BHDF" vbProcedure="false">#N/A</definedName>
    <definedName function="false" hidden="false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nk3" vbProcedure="false">#REF!</definedName>
    <definedName function="false" hidden="false" name="Blank4" vbProcedure="false">#REF!</definedName>
    <definedName function="false" hidden="false" name="Blank5" vbProcedure="false">#REF!</definedName>
    <definedName function="false" hidden="false" name="Blank6" vbProcedure="false">#REF!</definedName>
    <definedName function="false" hidden="false" name="Blank7" vbProcedure="false">#REF!</definedName>
    <definedName function="false" hidden="false" name="Blank8" vbProcedure="false">#REF!</definedName>
    <definedName function="false" hidden="false" name="BMCE" vbProcedure="false">#REF!</definedName>
    <definedName function="false" hidden="false" name="BMCE.P" vbProcedure="false">#REF!</definedName>
    <definedName function="false" hidden="false" name="bnbbb" vbProcedure="false">bnbbb</definedName>
    <definedName function="false" hidden="false" name="BNFG" vbProcedure="false">#N/A</definedName>
    <definedName function="false" hidden="false" name="bnkj" vbProcedure="false">{#N/A,#N/A,FALSE,"output";#N/A,#N/A,FALSE,"contrib";#N/A,#N/A,FALSE,"profile";#N/A,#N/A,FALSE,"comps"}</definedName>
    <definedName function="false" hidden="false" name="bouhali" vbProcedure="false">#REF!</definedName>
    <definedName function="false" hidden="false" name="BOUNDARY" vbProcedure="false">#N/A</definedName>
    <definedName function="false" hidden="false" name="BO_OPEX4R" vbProcedure="false">#REF!</definedName>
    <definedName function="false" hidden="false" name="BSCVolt" vbProcedure="false">#REF!</definedName>
    <definedName function="false" hidden="false" name="BTSVolt" vbProcedure="false">#REF!</definedName>
    <definedName function="false" hidden="false" name="budget2000" vbProcedure="false">#REF!</definedName>
    <definedName function="false" hidden="false" name="budget2000___0" vbProcedure="false">#REF!</definedName>
    <definedName function="false" hidden="false" name="budget2000___12" vbProcedure="false">#REF!</definedName>
    <definedName function="false" hidden="false" name="budget2000___14" vbProcedure="false">#REF!</definedName>
    <definedName function="false" hidden="false" name="budget2000___16" vbProcedure="false">#REF!</definedName>
    <definedName function="false" hidden="false" name="budget2000___27" vbProcedure="false">#REF!</definedName>
    <definedName function="false" hidden="false" name="budget2000___5" vbProcedure="false">#REF!</definedName>
    <definedName function="false" hidden="false" name="Budget_2003_Conso" vbProcedure="false">#REF!</definedName>
    <definedName function="false" hidden="false" name="Budget_2003_Conso___0" vbProcedure="false">#REF!</definedName>
    <definedName function="false" hidden="false" name="Budget_2003_Conso___12" vbProcedure="false">#REF!</definedName>
    <definedName function="false" hidden="false" name="Budget_2003_Conso___14" vbProcedure="false">#REF!</definedName>
    <definedName function="false" hidden="false" name="Budget_2003_Conso___16" vbProcedure="false">#REF!</definedName>
    <definedName function="false" hidden="false" name="Budget_2003_Conso___27" vbProcedure="false">#REF!</definedName>
    <definedName function="false" hidden="false" name="Budget_2003_Conso___5" vbProcedure="false">#REF!</definedName>
    <definedName function="false" hidden="false" name="Budget_DR_Rabat06" vbProcedure="false">#REF!</definedName>
    <definedName function="false" hidden="false" name="B_Tarifs_Le7" vbProcedure="false">#REF!</definedName>
    <definedName function="false" hidden="false" name="B_Tarifs_Le7___0" vbProcedure="false">#REF!</definedName>
    <definedName function="false" hidden="false" name="B_Tarifs_Le7___12" vbProcedure="false">#REF!</definedName>
    <definedName function="false" hidden="false" name="B_Tarifs_Le7___14" vbProcedure="false">#REF!</definedName>
    <definedName function="false" hidden="false" name="B_Tarifs_Le7___16" vbProcedure="false">#REF!</definedName>
    <definedName function="false" hidden="false" name="B_Tarifs_Le7___2" vbProcedure="false">#REF!</definedName>
    <definedName function="false" hidden="false" name="B_Tarifs_Le7___26" vbProcedure="false">#REF!</definedName>
    <definedName function="false" hidden="false" name="B_Tarifs_Le7___27" vbProcedure="false">#REF!</definedName>
    <definedName function="false" hidden="false" name="B_Tarifs_Le7___5" vbProcedure="false">#REF!</definedName>
    <definedName function="false" hidden="false" name="B_Tarifs_Le7___7" vbProcedure="false">#REF!</definedName>
    <definedName function="false" hidden="false" name="C.D.M" vbProcedure="false">#REF!</definedName>
    <definedName function="false" hidden="false" name="CA" vbProcedure="false">#REF!</definedName>
    <definedName function="false" hidden="false" name="Cable" vbProcedure="false">{#N/A,#N/A,FALSE,"Operations";#N/A,#N/A,FALSE,"Financials"}</definedName>
    <definedName function="false" hidden="false" name="Cable2" vbProcedure="false">{#N/A,#N/A,FALSE,"Operations";#N/A,#N/A,FALSE,"Financials"}</definedName>
    <definedName function="false" hidden="false" name="Cabs" vbProcedure="false">#REF!</definedName>
    <definedName function="false" hidden="false" name="cad" vbProcedure="false">[0]!tx_intérêt_par_an/#REF!</definedName>
    <definedName function="false" hidden="false" name="cad___0" vbProcedure="false">VolFactor___5/#REF!</definedName>
    <definedName function="false" hidden="false" name="cad___12" vbProcedure="false">VolFactor___25/#REF!</definedName>
    <definedName function="false" hidden="false" name="cad___14" vbProcedure="false">VolFactor___16/#REF!</definedName>
    <definedName function="false" hidden="false" name="cad___16" vbProcedure="false">VLastRowToPrint___7/#REF!</definedName>
    <definedName function="false" hidden="false" name="cad___2" vbProcedure="false">VolFactor___5/#REF!</definedName>
    <definedName function="false" hidden="false" name="cad___23" vbProcedure="false">VolFactor___5/#REF!</definedName>
    <definedName function="false" hidden="false" name="cad___25" vbProcedure="false">VolFactor___5/#REF!</definedName>
    <definedName function="false" hidden="false" name="cad___26" vbProcedure="false">VolFactor___5/#REF!</definedName>
    <definedName function="false" hidden="false" name="cad___27" vbProcedure="false">VolFactor___14/#REF!</definedName>
    <definedName function="false" hidden="false" name="cad___3" vbProcedure="false">VolFactor___5/#REF!</definedName>
    <definedName function="false" hidden="false" name="cad___4" vbProcedure="false">VolFactor___5/#REF!</definedName>
    <definedName function="false" hidden="false" name="cad___5" vbProcedure="false">VolFactor___2/#REF!</definedName>
    <definedName function="false" hidden="false" name="cad___6" vbProcedure="false">VLastRowToPrint___26/#REF!</definedName>
    <definedName function="false" hidden="false" name="cad___7" vbProcedure="false">VolFactor___5/#REF!</definedName>
    <definedName function="false" hidden="false" name="cad___9" vbProcedure="false">VolFactor___5/#REF!</definedName>
    <definedName function="false" hidden="false" name="Calibration" vbProcedure="false">Calibration</definedName>
    <definedName function="false" hidden="false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CAP2003àComptabiliser" vbProcedure="false">#REF!</definedName>
    <definedName function="false" hidden="false" name="CAPBUD" vbProcedure="false">#N/A</definedName>
    <definedName function="false" hidden="false" name="CAPEX" vbProcedure="false">#N/A</definedName>
    <definedName function="false" hidden="false" name="CAPEX4RQ" vbProcedure="false">#REF!</definedName>
    <definedName function="false" hidden="false" name="CAPEX4RQDG" vbProcedure="false">#REF!</definedName>
    <definedName function="false" hidden="false" name="CAPEX4RQPROJET" vbProcedure="false">#REF!</definedName>
    <definedName function="false" hidden="false" name="CAPEX4SYNTHESE" vbProcedure="false">#REF!</definedName>
    <definedName function="false" hidden="false" name="CAPEX_ACTU2_PREVISION" vbProcedure="false">#REF!</definedName>
    <definedName function="false" hidden="false" name="CAPEX_ACTU_DETAIL_DIV" vbProcedure="false">#REF!</definedName>
    <definedName function="false" hidden="false" name="CAPEX_PREVISIONS" vbProcedure="false">#REF!</definedName>
    <definedName function="false" hidden="false" name="CAPEX_PREVISIONS_DG" vbProcedure="false">#REF!</definedName>
    <definedName function="false" hidden="false" name="CAPEX_PREVISIONS_DG___0" vbProcedure="false">#REF!</definedName>
    <definedName function="false" hidden="false" name="CAPEX_PREVISIONS_DG___12" vbProcedure="false">#REF!</definedName>
    <definedName function="false" hidden="false" name="CAPEX_PREVISIONS_DG___14" vbProcedure="false">#REF!</definedName>
    <definedName function="false" hidden="false" name="CAPEX_PREVISIONS_DG___16" vbProcedure="false">#REF!</definedName>
    <definedName function="false" hidden="false" name="CAPEX_PREVISIONS_DG___2" vbProcedure="false">#REF!</definedName>
    <definedName function="false" hidden="false" name="CAPEX_PREVISIONS_DG___25" vbProcedure="false">#REF!</definedName>
    <definedName function="false" hidden="false" name="CAPEX_PREVISIONS_DG___26" vbProcedure="false">#REF!</definedName>
    <definedName function="false" hidden="false" name="CAPEX_PREVISIONS_DG___27" vbProcedure="false">#REF!</definedName>
    <definedName function="false" hidden="false" name="CAPEX_PREVISIONS_DG___4" vbProcedure="false">#REF!</definedName>
    <definedName function="false" hidden="false" name="CAPEX_PREVISIONS_DG___5" vbProcedure="false">#REF!</definedName>
    <definedName function="false" hidden="false" name="CAPEX_PREVISIONS_DG___7" vbProcedure="false">#REF!</definedName>
    <definedName function="false" hidden="false" name="CAPEX_PROVISION_2003" vbProcedure="false">#REF!</definedName>
    <definedName function="false" hidden="false" name="carte" vbProcedure="false">carte</definedName>
    <definedName function="false" hidden="false" name="Casa2" vbProcedure="false">#REF!</definedName>
    <definedName function="false" hidden="false" name="Casa3" vbProcedure="false">#REF!</definedName>
    <definedName function="false" hidden="false" name="cash" vbProcedure="false">#REF!</definedName>
    <definedName function="false" hidden="false" name="CataRécSynt" vbProcedure="false">#REF!</definedName>
    <definedName function="false" hidden="false" name="ca_pm_dest" vbProcedure="false">#REF!</definedName>
    <definedName function="false" hidden="false" name="CA___0" vbProcedure="false">#REF!</definedName>
    <definedName function="false" hidden="false" name="CA___12" vbProcedure="false">#REF!</definedName>
    <definedName function="false" hidden="false" name="CA___14" vbProcedure="false">#REF!</definedName>
    <definedName function="false" hidden="false" name="CA___16" vbProcedure="false">#REF!</definedName>
    <definedName function="false" hidden="false" name="CA___2" vbProcedure="false">#REF!</definedName>
    <definedName function="false" hidden="false" name="CA___25" vbProcedure="false">#REF!</definedName>
    <definedName function="false" hidden="false" name="CA___26" vbProcedure="false">#REF!</definedName>
    <definedName function="false" hidden="false" name="CA___27" vbProcedure="false">#REF!</definedName>
    <definedName function="false" hidden="false" name="CA___4" vbProcedure="false">#REF!</definedName>
    <definedName function="false" hidden="false" name="CA___5" vbProcedure="false">#REF!</definedName>
    <definedName function="false" hidden="false" name="CA___7" vbProcedure="false">#REF!</definedName>
    <definedName function="false" hidden="false" name="CB" vbProcedure="false">'Marge Mobile'!$DI$23</definedName>
    <definedName function="false" hidden="false" name="cc" vbProcedure="false">{#N/A,#N/A,FALSE,"CBE";#N/A,#N/A,FALSE,"SWK"}</definedName>
    <definedName function="false" hidden="false" name="ccc" vbProcedure="false">[0]!tx_intérêt_par_an/#REF!</definedName>
    <definedName function="false" hidden="false" name="cccc" vbProcedure="false">[0]!tx_intérêt_par_an/#REF!</definedName>
    <definedName function="false" hidden="false" name="cccc___0" vbProcedure="false">VolFactor___5/#REF!</definedName>
    <definedName function="false" hidden="false" name="cccc___12" vbProcedure="false">VolFactor___25/#REF!</definedName>
    <definedName function="false" hidden="false" name="cccc___14" vbProcedure="false">VolFactor___16/#REF!</definedName>
    <definedName function="false" hidden="false" name="cccc___16" vbProcedure="false">VLastRowToPrint___7/#REF!</definedName>
    <definedName function="false" hidden="false" name="cccc___2" vbProcedure="false">VolFactor___5/#REF!</definedName>
    <definedName function="false" hidden="false" name="cccc___23" vbProcedure="false">VolFactor___5/#REF!</definedName>
    <definedName function="false" hidden="false" name="cccc___25" vbProcedure="false">VolFactor___5/#REF!</definedName>
    <definedName function="false" hidden="false" name="cccc___26" vbProcedure="false">VolFactor___5/#REF!</definedName>
    <definedName function="false" hidden="false" name="cccc___27" vbProcedure="false">VolFactor___14/#REF!</definedName>
    <definedName function="false" hidden="false" name="cccc___3" vbProcedure="false">VolFactor___5/#REF!</definedName>
    <definedName function="false" hidden="false" name="cccc___4" vbProcedure="false">VolFactor___5/#REF!</definedName>
    <definedName function="false" hidden="false" name="cccc___5" vbProcedure="false">VolFactor___2/#REF!</definedName>
    <definedName function="false" hidden="false" name="cccc___6" vbProcedure="false">VLastRowToPrint___26/#REF!</definedName>
    <definedName function="false" hidden="false" name="cccc___7" vbProcedure="false">VolFactor___5/#REF!</definedName>
    <definedName function="false" hidden="false" name="cccc___9" vbProcedure="false">VolFactor___5/#REF!</definedName>
    <definedName function="false" hidden="false" name="CCP_AGADIR" vbProcedure="false">#REF!</definedName>
    <definedName function="false" hidden="false" name="CCP_CASABLANCA" vbProcedure="false">#REF!</definedName>
    <definedName function="false" hidden="false" name="CCP_FES" vbProcedure="false">#REF!</definedName>
    <definedName function="false" hidden="false" name="CCP_iam" vbProcedure="false">#REF!</definedName>
    <definedName function="false" hidden="false" name="CCP_iam___0" vbProcedure="false">#REF!</definedName>
    <definedName function="false" hidden="false" name="CCP_iam___12" vbProcedure="false">#REF!</definedName>
    <definedName function="false" hidden="false" name="CCP_MARRAKECH" vbProcedure="false">#REF!</definedName>
    <definedName function="false" hidden="false" name="CCP_ONPT" vbProcedure="false">#REF!</definedName>
    <definedName function="false" hidden="false" name="CCP_OUJDA" vbProcedure="false">#REF!</definedName>
    <definedName function="false" hidden="false" name="CCP_RABAT" vbProcedure="false">#REF!</definedName>
    <definedName function="false" hidden="false" name="CCP_SETTAT" vbProcedure="false">#REF!</definedName>
    <definedName function="false" hidden="false" name="CdesPortefeuille" vbProcedure="false">#REF!</definedName>
    <definedName function="false" hidden="false" name="CDMA" vbProcedure="false">#REF!</definedName>
    <definedName function="false" hidden="false" name="CFCheck" vbProcedure="false">#REF!</definedName>
    <definedName function="false" hidden="false" name="CFCheck___0" vbProcedure="false">#REF!</definedName>
    <definedName function="false" hidden="false" name="CFCheck___12" vbProcedure="false">#REF!</definedName>
    <definedName function="false" hidden="false" name="CFCheck___14" vbProcedure="false">#REF!</definedName>
    <definedName function="false" hidden="false" name="CFCheck___16" vbProcedure="false">#REF!</definedName>
    <definedName function="false" hidden="false" name="CFCheck___2" vbProcedure="false">#REF!</definedName>
    <definedName function="false" hidden="false" name="CFCheck___25" vbProcedure="false">#REF!</definedName>
    <definedName function="false" hidden="false" name="CFCheck___26" vbProcedure="false">#REF!</definedName>
    <definedName function="false" hidden="false" name="CFCheck___27" vbProcedure="false">#REF!</definedName>
    <definedName function="false" hidden="false" name="CFCheck___4" vbProcedure="false">#REF!</definedName>
    <definedName function="false" hidden="false" name="CFCheck___5" vbProcedure="false">#REF!</definedName>
    <definedName function="false" hidden="false" name="CFCheck___7" vbProcedure="false">#REF!</definedName>
    <definedName function="false" hidden="false" name="chargaddit" vbProcedure="false">#REF!</definedName>
    <definedName function="false" hidden="false" name="CHEQUES_BANQUE" vbProcedure="false">#REF!</definedName>
    <definedName function="false" hidden="false" name="CHEQUES_CCP" vbProcedure="false">#REF!</definedName>
    <definedName function="false" hidden="false" name="CHEQUES_TG" vbProcedure="false">#REF!</definedName>
    <definedName function="false" hidden="false" name="chf" vbProcedure="false">#REF!</definedName>
    <definedName function="false" hidden="false" name="CHQ.BQ" vbProcedure="false">#REF!</definedName>
    <definedName function="false" hidden="false" name="Cible6" vbProcedure="false">#REF!</definedName>
    <definedName function="false" hidden="false" name="Cible6___0" vbProcedure="false">#REF!</definedName>
    <definedName function="false" hidden="false" name="Cible6___12" vbProcedure="false">#REF!</definedName>
    <definedName function="false" hidden="false" name="Cible6___14" vbProcedure="false">#REF!</definedName>
    <definedName function="false" hidden="false" name="Cible6___16" vbProcedure="false">#REF!</definedName>
    <definedName function="false" hidden="false" name="Cible6___2" vbProcedure="false">#REF!</definedName>
    <definedName function="false" hidden="false" name="Cible6___27" vbProcedure="false">#REF!</definedName>
    <definedName function="false" hidden="false" name="Cible6___5" vbProcedure="false">#REF!</definedName>
    <definedName function="false" hidden="false" name="CibleV2_1" vbProcedure="false">#REF!</definedName>
    <definedName function="false" hidden="false" name="CibleV2_1___0" vbProcedure="false">#REF!</definedName>
    <definedName function="false" hidden="false" name="CibleV2_1___12" vbProcedure="false">#REF!</definedName>
    <definedName function="false" hidden="false" name="CibleV2_1___14" vbProcedure="false">#REF!</definedName>
    <definedName function="false" hidden="false" name="CibleV2_1___16" vbProcedure="false">#REF!</definedName>
    <definedName function="false" hidden="false" name="CibleV2_1___2" vbProcedure="false">#REF!</definedName>
    <definedName function="false" hidden="false" name="CibleV2_1___27" vbProcedure="false">#REF!</definedName>
    <definedName function="false" hidden="false" name="CibleV2_1___5" vbProcedure="false">#REF!</definedName>
    <definedName function="false" hidden="false" name="CibleV2_2" vbProcedure="false">#REF!</definedName>
    <definedName function="false" hidden="false" name="CibleV2_2___0" vbProcedure="false">#REF!</definedName>
    <definedName function="false" hidden="false" name="CibleV2_2___12" vbProcedure="false">#REF!</definedName>
    <definedName function="false" hidden="false" name="CibleV2_2___14" vbProcedure="false">#REF!</definedName>
    <definedName function="false" hidden="false" name="CibleV2_2___16" vbProcedure="false">#REF!</definedName>
    <definedName function="false" hidden="false" name="CibleV2_2___2" vbProcedure="false">#REF!</definedName>
    <definedName function="false" hidden="false" name="CibleV2_2___27" vbProcedure="false">#REF!</definedName>
    <definedName function="false" hidden="false" name="CibleV2_2___5" vbProcedure="false">#REF!</definedName>
    <definedName function="false" hidden="false" name="CibleV2_3" vbProcedure="false">#REF!</definedName>
    <definedName function="false" hidden="false" name="CibleV2_3___0" vbProcedure="false">#REF!</definedName>
    <definedName function="false" hidden="false" name="CibleV2_3___12" vbProcedure="false">#REF!</definedName>
    <definedName function="false" hidden="false" name="CibleV2_3___14" vbProcedure="false">#REF!</definedName>
    <definedName function="false" hidden="false" name="CibleV2_3___16" vbProcedure="false">#REF!</definedName>
    <definedName function="false" hidden="false" name="CibleV2_3___2" vbProcedure="false">#REF!</definedName>
    <definedName function="false" hidden="false" name="CibleV2_3___27" vbProcedure="false">#REF!</definedName>
    <definedName function="false" hidden="false" name="CibleV2_3___5" vbProcedure="false">#REF!</definedName>
    <definedName function="false" hidden="false" name="CibleV2_4" vbProcedure="false">#REF!</definedName>
    <definedName function="false" hidden="false" name="CibleV2_4___0" vbProcedure="false">#REF!</definedName>
    <definedName function="false" hidden="false" name="CibleV2_4___12" vbProcedure="false">#REF!</definedName>
    <definedName function="false" hidden="false" name="CibleV2_4___14" vbProcedure="false">#REF!</definedName>
    <definedName function="false" hidden="false" name="CibleV2_4___16" vbProcedure="false">#REF!</definedName>
    <definedName function="false" hidden="false" name="CibleV2_4___2" vbProcedure="false">#REF!</definedName>
    <definedName function="false" hidden="false" name="CibleV2_4___27" vbProcedure="false">#REF!</definedName>
    <definedName function="false" hidden="false" name="CibleV2_4___5" vbProcedure="false">#REF!</definedName>
    <definedName function="false" hidden="false" name="CIS" vbProcedure="false">#N/A</definedName>
    <definedName function="false" hidden="false" name="CLEAR" vbProcedure="false">#N/A</definedName>
    <definedName function="false" hidden="false" name="code" vbProcedure="false">#REF!</definedName>
    <definedName function="false" hidden="false" name="code_RSF" vbProcedure="false">#REF!</definedName>
    <definedName function="false" hidden="false" name="code_RSM" vbProcedure="false">#REF!</definedName>
    <definedName function="false" hidden="false" name="Coef" vbProcedure="false">#REF!</definedName>
    <definedName function="false" hidden="false" name="COLS" vbProcedure="false">#N/A</definedName>
    <definedName function="false" hidden="false" name="Combining" vbProcedure="false">#REF!,#REF!,#REF!,#REF!,#REF!,#REF!,#REF!,#REF!,#REF!</definedName>
    <definedName function="false" hidden="false" name="Commandes" vbProcedure="false">#REF!</definedName>
    <definedName function="false" hidden="false" name="CommandesMois" vbProcedure="false">#REF!</definedName>
    <definedName function="false" hidden="false" name="CommonBTS" vbProcedure="false">#REF!</definedName>
    <definedName function="false" hidden="false" name="COMMUNES" vbProcedure="false">#REF!</definedName>
    <definedName function="false" hidden="false" name="Comp" vbProcedure="false">{"First Page",#N/A,FALSE,"Surfactants LBO";"Second Page",#N/A,FALSE,"Surfactants LBO"}</definedName>
    <definedName function="false" hidden="false" name="CompanyName1" vbProcedure="false">#REF!</definedName>
    <definedName function="false" hidden="false" name="CompanyName2" vbProcedure="false">#REF!</definedName>
    <definedName function="false" hidden="false" name="CompanyName3" vbProcedure="false">#REF!</definedName>
    <definedName function="false" hidden="false" name="Comparable" vbProcedure="false">{"First Page",#N/A,FALSE,"Surfactants LBO";"Second Page",#N/A,FALSE,"Surfactants LBO"}</definedName>
    <definedName function="false" hidden="false" name="CompRange1" vbProcedure="false">OFFSET(CompRange1Main,9,0,COUNTA(CompRange1Main)-COUNTA(#REF!),1)</definedName>
    <definedName function="false" hidden="false" name="CompRange1Main" vbProcedure="false">#REF!</definedName>
    <definedName function="false" hidden="false" name="CompRange2" vbProcedure="false">OFFSET(CompRange2Main,9,0,COUNTA(CompRange2Main)-COUNTA(#REF!),1)</definedName>
    <definedName function="false" hidden="false" name="CompRange2Main" vbProcedure="false">#REF!</definedName>
    <definedName function="false" hidden="false" name="CompRange3" vbProcedure="false">OFFSET(CompRange3Main,9,0,COUNTA(CompRange3Main)-COUNTA(#REF!),1)</definedName>
    <definedName function="false" hidden="false" name="compta" vbProcedure="false">#REF!</definedName>
    <definedName function="false" hidden="false" name="conso" vbProcedure="false">#REF!</definedName>
    <definedName function="false" hidden="false" name="CONSOLID" vbProcedure="false">#REF!</definedName>
    <definedName function="false" hidden="false" name="CONTRATS_INSTANCE" vbProcedure="false">#REF!</definedName>
    <definedName function="false" hidden="false" name="cooper2" vbProcedure="false">{#N/A,#N/A,TRUE,"Pro Forma";#N/A,#N/A,TRUE,"PF_Bal";#N/A,#N/A,TRUE,"PF_INC";#N/A,#N/A,TRUE,"CBE";#N/A,#N/A,TRUE,"SWK"}</definedName>
    <definedName function="false" hidden="false" name="COP" vbProcedure="false">#N/A</definedName>
    <definedName function="false" hidden="false" name="COP_03_dc" vbProcedure="false">#N/A</definedName>
    <definedName function="false" hidden="false" name="cop_h1" vbProcedure="false">#REF!</definedName>
    <definedName function="false" hidden="false" name="CORP" vbProcedure="false">#REF!</definedName>
    <definedName function="false" hidden="false" name="CORPORATE" vbProcedure="false">#N/A</definedName>
    <definedName function="false" hidden="false" name="CorrectSaisonEnt" vbProcedure="false">#REF!</definedName>
    <definedName function="false" hidden="false" name="CorrectSaisonEnt___0" vbProcedure="false">#REF!</definedName>
    <definedName function="false" hidden="false" name="CorrectSaisonEnt___12" vbProcedure="false">#REF!</definedName>
    <definedName function="false" hidden="false" name="CorrectSaisonEnt___2" vbProcedure="false">#REF!</definedName>
    <definedName function="false" hidden="false" name="CorrectSaisonEnt___27" vbProcedure="false">#REF!</definedName>
    <definedName function="false" hidden="false" name="CorrectSaisonEnt___5" vbProcedure="false">#REF!</definedName>
    <definedName function="false" hidden="false" name="CorrectSaisonPGP" vbProcedure="false">#REF!</definedName>
    <definedName function="false" hidden="false" name="CorrectSaisonPGP___0" vbProcedure="false">#REF!</definedName>
    <definedName function="false" hidden="false" name="CorrectSaisonPGP___12" vbProcedure="false">#REF!</definedName>
    <definedName function="false" hidden="false" name="CorrectSaisonPGP___2" vbProcedure="false">#REF!</definedName>
    <definedName function="false" hidden="false" name="CorrectSaisonPGP___27" vbProcedure="false">#REF!</definedName>
    <definedName function="false" hidden="false" name="CorrectSaisonPGP___5" vbProcedure="false">#REF!</definedName>
    <definedName function="false" hidden="false" name="cose" vbProcedure="false">#REF!</definedName>
    <definedName function="false" hidden="false" name="coucou" vbProcedure="false">{#N/A,#N/A,TRUE,"Cover sheet";#N/A,#N/A,TRUE,"INPUTS";#N/A,#N/A,TRUE,"OUTPUTS";#N/A,#N/A,TRUE,"VALUATION"}</definedName>
    <definedName function="false" hidden="false" name="CountryRiskPremium" vbProcedure="false">#REF!</definedName>
    <definedName function="false" hidden="false" name="CountryRiskPremium___0" vbProcedure="false">#REF!</definedName>
    <definedName function="false" hidden="false" name="CountryRiskPremium___12" vbProcedure="false">#REF!</definedName>
    <definedName function="false" hidden="false" name="CountryRiskPremium___14" vbProcedure="false">#REF!</definedName>
    <definedName function="false" hidden="false" name="CountryRiskPremium___16" vbProcedure="false">#REF!</definedName>
    <definedName function="false" hidden="false" name="CountryRiskPremium___2" vbProcedure="false">#REF!</definedName>
    <definedName function="false" hidden="false" name="CountryRiskPremium___25" vbProcedure="false">#REF!</definedName>
    <definedName function="false" hidden="false" name="CountryRiskPremium___26" vbProcedure="false">#REF!</definedName>
    <definedName function="false" hidden="false" name="CountryRiskPremium___27" vbProcedure="false">#REF!</definedName>
    <definedName function="false" hidden="false" name="CountryRiskPremium___4" vbProcedure="false">#REF!</definedName>
    <definedName function="false" hidden="false" name="CountryRiskPremium___5" vbProcedure="false">#REF!</definedName>
    <definedName function="false" hidden="false" name="CountryRiskPremium___7" vbProcedure="false">#REF!</definedName>
    <definedName function="false" hidden="false" name="cours" vbProcedure="false">#REF!</definedName>
    <definedName function="false" hidden="false" name="cours___0" vbProcedure="false">#REF!</definedName>
    <definedName function="false" hidden="false" name="cours___12" vbProcedure="false">#REF!</definedName>
    <definedName function="false" hidden="false" name="CPI_Cost_Perf_Index" vbProcedure="false">#REF!</definedName>
    <definedName function="false" hidden="false" name="CREATION" vbProcedure="false">#N/A</definedName>
    <definedName function="false" hidden="false" name="CREDIT_DU_MAROC" vbProcedure="false">#REF!</definedName>
    <definedName function="false" hidden="false" name="CREDOC_BO" vbProcedure="false">#REF!</definedName>
    <definedName function="false" hidden="false" name="csDesignMode" vbProcedure="false">1</definedName>
    <definedName function="false" hidden="false" name="csDE_CAPEX_Dim01" vbProcedure="false">"="</definedName>
    <definedName function="false" hidden="false" name="csDE_CAPEX_Dim03" vbProcedure="false">"="</definedName>
    <definedName function="false" hidden="false" name="csDE_CAPEX_SGAW_Dim01" vbProcedure="false">"="</definedName>
    <definedName function="false" hidden="false" name="csDE_CAPEX_SGAW_Dim03" vbProcedure="false">"="</definedName>
    <definedName function="false" hidden="false" name="csDE_DNA_SGAW_Dim01" vbProcedure="false">"="</definedName>
    <definedName function="false" hidden="false" name="csDE_DNA_SGAW_Dim03" vbProcedure="false">"="</definedName>
    <definedName function="false" hidden="false" name="csDE_OPEX_PAYROLL_Dim01" vbProcedure="false">"="</definedName>
    <definedName function="false" hidden="false" name="csDE_OPEX_PAYROLL_Dim03" vbProcedure="false">"="</definedName>
    <definedName function="false" hidden="false" name="csDE_OPEX_SGAW_Dim01" vbProcedure="false">"="</definedName>
    <definedName function="false" hidden="false" name="csDE_OPEX_SGAW_Dim03" vbProcedure="false">"="</definedName>
    <definedName function="false" hidden="false" name="csDE_PAYROLL_SGAW_Dim01" vbProcedure="false">"="</definedName>
    <definedName function="false" hidden="false" name="csDE_PAYROLL_SGAW_Dim03" vbProcedure="false">"="</definedName>
    <definedName function="false" hidden="false" name="csLDE_CAPEX_SGAW_Dim01" vbProcedure="false">"="</definedName>
    <definedName function="false" hidden="false" name="csLDE_CAPEX_SGAW_Dim03" vbProcedure="false">"="</definedName>
    <definedName function="false" hidden="false" name="csLDE_DNA_SGAW_Dim01" vbProcedure="false">"="</definedName>
    <definedName function="false" hidden="false" name="csLDE_DNA_SGAW_Dim03" vbProcedure="false">"="</definedName>
    <definedName function="false" hidden="false" name="csLDE_OPEX_SGAW_Dim01" vbProcedure="false">"="</definedName>
    <definedName function="false" hidden="false" name="csLDE_OPEX_SGAW_Dim03" vbProcedure="false">"="</definedName>
    <definedName function="false" hidden="false" name="csLDE_PAYROLL_SGAW_Dim01" vbProcedure="false">"="</definedName>
    <definedName function="false" hidden="false" name="csLDE_PAYROLL_SGAW_Dim03" vbProcedure="false">"="</definedName>
    <definedName function="false" hidden="false" name="csRPT_EXPENSE_BY_CC_Dim01" vbProcedure="false">"="</definedName>
    <definedName function="false" hidden="false" name="csRPT_EXPENSE_BY_CC_Dim03" vbProcedure="false">"="</definedName>
    <definedName function="false" hidden="false" name="csRPT_Opex_CC_Dim01" vbProcedure="false">"="</definedName>
    <definedName function="false" hidden="false" name="csRPT_Opex_CC_Dim03" vbProcedure="false">"="</definedName>
    <definedName function="false" hidden="false" name="csRPT_Opex_CC_Dim05" vbProcedure="false">"="</definedName>
    <definedName function="false" hidden="false" name="csRPT_OPEX_PAYROLL_Dim01" vbProcedure="false">"="</definedName>
    <definedName function="false" hidden="false" name="csRPT_OPEX_PAYROLL_Dim03" vbProcedure="false">"="</definedName>
    <definedName function="false" hidden="false" name="CumBasePeriod" vbProcedure="false">#REF!</definedName>
    <definedName function="false" hidden="false" name="CumBasePeriod___0" vbProcedure="false">#REF!</definedName>
    <definedName function="false" hidden="false" name="CumBasePeriod___12" vbProcedure="false">#REF!</definedName>
    <definedName function="false" hidden="false" name="CumBasePeriod___14" vbProcedure="false">#REF!</definedName>
    <definedName function="false" hidden="false" name="CumBasePeriod___16" vbProcedure="false">#REF!</definedName>
    <definedName function="false" hidden="false" name="CumBasePeriod___2" vbProcedure="false">#REF!</definedName>
    <definedName function="false" hidden="false" name="CumBasePeriod___25" vbProcedure="false">#REF!</definedName>
    <definedName function="false" hidden="false" name="CumBasePeriod___26" vbProcedure="false">#REF!</definedName>
    <definedName function="false" hidden="false" name="CumBasePeriod___27" vbProcedure="false">#REF!</definedName>
    <definedName function="false" hidden="false" name="CumBasePeriod___4" vbProcedure="false">#REF!</definedName>
    <definedName function="false" hidden="false" name="CumBasePeriod___5" vbProcedure="false">#REF!</definedName>
    <definedName function="false" hidden="false" name="CumBasePeriod___7" vbProcedure="false">#REF!</definedName>
    <definedName function="false" hidden="false" name="CumDate" vbProcedure="false">#REF!</definedName>
    <definedName function="false" hidden="false" name="CumDate___0" vbProcedure="false">#REF!</definedName>
    <definedName function="false" hidden="false" name="CumDate___12" vbProcedure="false">#REF!</definedName>
    <definedName function="false" hidden="false" name="CumDate___14" vbProcedure="false">#REF!</definedName>
    <definedName function="false" hidden="false" name="CumDate___16" vbProcedure="false">#REF!</definedName>
    <definedName function="false" hidden="false" name="CumDate___2" vbProcedure="false">#REF!</definedName>
    <definedName function="false" hidden="false" name="CumDate___25" vbProcedure="false">#REF!</definedName>
    <definedName function="false" hidden="false" name="CumDate___26" vbProcedure="false">#REF!</definedName>
    <definedName function="false" hidden="false" name="CumDate___27" vbProcedure="false">#REF!</definedName>
    <definedName function="false" hidden="false" name="CumDate___4" vbProcedure="false">#REF!</definedName>
    <definedName function="false" hidden="false" name="CumDate___5" vbProcedure="false">#REF!</definedName>
    <definedName function="false" hidden="false" name="CumDate___7" vbProcedure="false">#REF!</definedName>
    <definedName function="false" hidden="false" name="CURRENT_MONTH_ADDS" vbProcedure="false">#REF!</definedName>
    <definedName function="false" hidden="false" name="Customer" vbProcedure="false">#REF!</definedName>
    <definedName function="false" hidden="false" name="cvxxc" vbProcedure="false">#REF!</definedName>
    <definedName function="false" hidden="false" name="CV_Cost_Var" vbProcedure="false">#REF!</definedName>
    <definedName function="false" hidden="false" name="C_" vbProcedure="false">#REF!</definedName>
    <definedName function="false" hidden="false" name="C_Prépaiement" vbProcedure="false">#REF!</definedName>
    <definedName function="false" hidden="false" name="C_Prépaiement___0" vbProcedure="false">#REF!</definedName>
    <definedName function="false" hidden="false" name="C_Prépaiement___12" vbProcedure="false">#REF!</definedName>
    <definedName function="false" hidden="false" name="C_Prépaiement___14" vbProcedure="false">#REF!</definedName>
    <definedName function="false" hidden="false" name="C_Prépaiement___16" vbProcedure="false">#REF!</definedName>
    <definedName function="false" hidden="false" name="C_Prépaiement___2" vbProcedure="false">#REF!</definedName>
    <definedName function="false" hidden="false" name="C_Prépaiement___26" vbProcedure="false">#REF!</definedName>
    <definedName function="false" hidden="false" name="C_Prépaiement___27" vbProcedure="false">#REF!</definedName>
    <definedName function="false" hidden="false" name="C_Prépaiement___5" vbProcedure="false">#REF!</definedName>
    <definedName function="false" hidden="false" name="C_Prépaiement___7" vbProcedure="false">#REF!</definedName>
    <definedName function="false" hidden="false" name="C____12" vbProcedure="false">#REF!</definedName>
    <definedName function="false" hidden="false" name="C____2" vbProcedure="false">#REF!</definedName>
    <definedName function="false" hidden="false" name="C____25" vbProcedure="false">#REF!</definedName>
    <definedName function="false" hidden="false" name="C____26" vbProcedure="false">#REF!</definedName>
    <definedName function="false" hidden="false" name="C____4" vbProcedure="false">#REF!</definedName>
    <definedName function="false" hidden="false" name="C____6" vbProcedure="false">#REF!</definedName>
    <definedName function="false" hidden="false" name="C____7" vbProcedure="false">#REF!</definedName>
    <definedName function="false" hidden="false" name="D" vbProcedure="false">#REF!</definedName>
    <definedName function="false" hidden="false" name="da" vbProcedure="false">#REF!</definedName>
    <definedName function="false" hidden="false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DATE" vbProcedure="false">#REF!</definedName>
    <definedName function="false" hidden="false" name="DateRangeComp" vbProcedure="false">OFFSET(DateRangeCompMain,9,0,COUNTA(DateRangeCompMain)-COUNTA(#REF!),1)</definedName>
    <definedName function="false" hidden="false" name="DateRangeCompMain" vbProcedure="false">#REF!</definedName>
    <definedName function="false" hidden="false" name="DATES" vbProcedure="false">#REF!</definedName>
    <definedName function="false" hidden="false" name="DateSynthèse" vbProcedure="false">#REF!</definedName>
    <definedName function="false" hidden="false" name="Dbase_FTK" vbProcedure="false">#REF!</definedName>
    <definedName function="false" hidden="false" name="Dbase_PTK" vbProcedure="false">#REF!</definedName>
    <definedName function="false" hidden="false" name="dc" vbProcedure="false">#REF!</definedName>
    <definedName function="false" hidden="false" name="DCRF_CAPEX_PROJET" vbProcedure="false">#REF!</definedName>
    <definedName function="false" hidden="false" name="DCSE" vbProcedure="false">#N/A</definedName>
    <definedName function="false" hidden="false" name="dd" vbProcedure="false">[0]!tx_intérêt_par_an/#REF!</definedName>
    <definedName function="false" hidden="false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dd" vbProcedure="false">[0]!tx_intérêt_par_an/#REF!</definedName>
    <definedName function="false" hidden="false" name="dddd" vbProcedure="false">#N/A</definedName>
    <definedName function="false" hidden="false" name="dddddd" vbProcedure="false">[0]!tx_intérêt_par_an/#REF!</definedName>
    <definedName function="false" hidden="false" name="DDDDDDDD" vbProcedure="false">DDDDDDDD</definedName>
    <definedName function="false" hidden="false" name="DDDDDDDDDD" vbProcedure="false">DDDDDDDDDD</definedName>
    <definedName function="false" hidden="false" name="dddddd___0" vbProcedure="false">VolFactor___5/#REF!</definedName>
    <definedName function="false" hidden="false" name="dddddd___12" vbProcedure="false">VolFactor___25/#REF!</definedName>
    <definedName function="false" hidden="false" name="dddddd___14" vbProcedure="false">VolFactor___16/#REF!</definedName>
    <definedName function="false" hidden="false" name="dddddd___16" vbProcedure="false">VLastRowToPrint___7/#REF!</definedName>
    <definedName function="false" hidden="false" name="dddddd___2" vbProcedure="false">VolFactor___4/#REF!</definedName>
    <definedName function="false" hidden="false" name="dddddd___23" vbProcedure="false">VolFactor___5/#REF!</definedName>
    <definedName function="false" hidden="false" name="dddddd___26" vbProcedure="false">VolFactor___12/#REF!</definedName>
    <definedName function="false" hidden="false" name="dddddd___27" vbProcedure="false">VolFactor___14/#REF!</definedName>
    <definedName function="false" hidden="false" name="dddddd___3" vbProcedure="false">VolFactor___5/#REF!</definedName>
    <definedName function="false" hidden="false" name="dddddd___4" vbProcedure="false">VLastRowToPrint___0/#REF!</definedName>
    <definedName function="false" hidden="false" name="dddddd___5" vbProcedure="false">VolFactor___2/#REF!</definedName>
    <definedName function="false" hidden="false" name="dddddd___6" vbProcedure="false">VLastRowToPrint___26/#REF!</definedName>
    <definedName function="false" hidden="false" name="dddddd___7" vbProcedure="false">VolFactor___27/#REF!</definedName>
    <definedName function="false" hidden="false" name="dddddd___9" vbProcedure="false">VolFactor___5/#REF!</definedName>
    <definedName function="false" hidden="false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December" vbProcedure="false">#REF!</definedName>
    <definedName function="false" hidden="false" name="decembre" vbProcedure="false">{#N/A,#N/A,FALSE,"Umsatz";#N/A,#N/A,FALSE,"Base V.02";#N/A,#N/A,FALSE,"Charts"}</definedName>
    <definedName function="false" hidden="false" name="deciembre" vbProcedure="false">{#N/A,#N/A,FALSE,"Umsatz";#N/A,#N/A,FALSE,"Base V.02";#N/A,#N/A,FALSE,"Charts"}</definedName>
    <definedName function="false" hidden="false" name="deg" vbProcedure="false">{"First Page",#N/A,FALSE,"Surfactants LBO";"Second Page",#N/A,FALSE,"Surfactants LBO"}</definedName>
    <definedName function="false" hidden="false" name="dejf" vbProcedure="false">#REF!</definedName>
    <definedName function="false" hidden="false" name="dejf___0" vbProcedure="false">#REF!</definedName>
    <definedName function="false" hidden="false" name="dejf___12" vbProcedure="false">#REF!</definedName>
    <definedName function="false" hidden="false" name="dejf___14" vbProcedure="false">#REF!</definedName>
    <definedName function="false" hidden="false" name="derf" vbProcedure="false">#N/A</definedName>
    <definedName function="false" hidden="false" name="DESIGNATION" vbProcedure="false">#REF!</definedName>
    <definedName function="false" hidden="false" name="desz" vbProcedure="false">#REF!</definedName>
    <definedName function="false" hidden="false" name="DetailDeficit" vbProcedure="false">#REF!</definedName>
    <definedName function="false" hidden="false" name="DetailDeficit___0" vbProcedure="false">#REF!</definedName>
    <definedName function="false" hidden="false" name="DetailDeficit___12" vbProcedure="false">#REF!</definedName>
    <definedName function="false" hidden="false" name="DetailDeficit___14" vbProcedure="false">#REF!</definedName>
    <definedName function="false" hidden="false" name="DetailDeficit___16" vbProcedure="false">#REF!</definedName>
    <definedName function="false" hidden="false" name="DetailDeficit___2" vbProcedure="false">#REF!</definedName>
    <definedName function="false" hidden="false" name="DetailDeficit___25" vbProcedure="false">#REF!</definedName>
    <definedName function="false" hidden="false" name="DetailDeficit___26" vbProcedure="false">#REF!</definedName>
    <definedName function="false" hidden="false" name="DetailDeficit___27" vbProcedure="false">#REF!</definedName>
    <definedName function="false" hidden="false" name="DetailDeficit___4" vbProcedure="false">#REF!</definedName>
    <definedName function="false" hidden="false" name="DetailDeficit___5" vbProcedure="false">#REF!</definedName>
    <definedName function="false" hidden="false" name="DetailDeficit___7" vbProcedure="false">#REF!</definedName>
    <definedName function="false" hidden="false" name="DETAIL_DES_IMPÔTS_ET_TAXES" vbProcedure="false">#REF!</definedName>
    <definedName function="false" hidden="false" name="detail_pricing" vbProcedure="false">#REF!,#REF!,#REF!,#REF!,#REF!,#REF!,#REF!,#REF!,#REF!,#REF!,#REF!</definedName>
    <definedName function="false" hidden="false" name="dfd" vbProcedure="false">{"comp1",#N/A,FALSE,"COMPS";"footnotes",#N/A,FALSE,"COMPS"}</definedName>
    <definedName function="false" hidden="false" name="dfdsr" vbProcedure="false">#N/A</definedName>
    <definedName function="false" hidden="false" name="dfg" vbProcedure="false">#N/A</definedName>
    <definedName function="false" hidden="false" name="dg" vbProcedure="false">#REF!</definedName>
    <definedName function="false" hidden="false" name="DGD" vbProcedure="false">#N/A</definedName>
    <definedName function="false" hidden="false" name="dgjhgjhgjghhg" vbProcedure="false">dgjhgjhgjghhg</definedName>
    <definedName function="false" hidden="false" name="dgjhgjhgjghhg___0" vbProcedure="false">DRA___9</definedName>
    <definedName function="false" hidden="false" name="DRA___9" vbProcedure="false">VolFactor___5/#REF!</definedName>
    <definedName function="false" hidden="false" name="dgjhgjhgjghhg___12" vbProcedure="false">DRA___6</definedName>
    <definedName function="false" hidden="false" name="DRA___6" vbProcedure="false">VLastRowToPrint___26/#REF!</definedName>
    <definedName function="false" hidden="false" name="dgjhgjhgjghhg___14" vbProcedure="false">DiscretFCFOn1Off2___0</definedName>
    <definedName function="false" hidden="false" name="DiscretFCFOn1Off2___0" vbProcedure="false">#REF!</definedName>
    <definedName function="false" hidden="false" name="dgjhgjhgjghhg___16" vbProcedure="false">DiscretFCFOn1Off2___12</definedName>
    <definedName function="false" hidden="false" name="DiscretFCFOn1Off2___12" vbProcedure="false">#REF!</definedName>
    <definedName function="false" hidden="false" name="dgjhgjhgjghhg___23" vbProcedure="false">DiscretFCFOn1Off2___2</definedName>
    <definedName function="false" hidden="false" name="DiscretFCFOn1Off2___2" vbProcedure="false">#REF!</definedName>
    <definedName function="false" hidden="false" name="dgjhgjhgjghhg___25" vbProcedure="false">DiscretFCFOn1Off2___5</definedName>
    <definedName function="false" hidden="false" name="DiscretFCFOn1Off2___5" vbProcedure="false">#REF!</definedName>
    <definedName function="false" hidden="false" name="dgjhgjhgjghhg___26" vbProcedure="false">DRA___4</definedName>
    <definedName function="false" hidden="false" name="DRA___4" vbProcedure="false">VLastRowToPrint___0/#REF!</definedName>
    <definedName function="false" hidden="false" name="dgjhgjhgjghhg___27" vbProcedure="false">DRA___23</definedName>
    <definedName function="false" hidden="false" name="DRA___23" vbProcedure="false">VolFactor___5/#REF!</definedName>
    <definedName function="false" hidden="false" name="dgjhgjhgjghhg___3" vbProcedure="false">DiscretFCFOn1Off2___7</definedName>
    <definedName function="false" hidden="false" name="DiscretFCFOn1Off2___7" vbProcedure="false">#REF!</definedName>
    <definedName function="false" hidden="false" name="dgjhgjhgjghhg___4" vbProcedure="false">DiscretFCFOn1Off2___27</definedName>
    <definedName function="false" hidden="false" name="DiscretFCFOn1Off2___27" vbProcedure="false">#REF!</definedName>
    <definedName function="false" hidden="false" name="dgjhgjhgjghhg___5" vbProcedure="false">DRA___16</definedName>
    <definedName function="false" hidden="false" name="DRA___16" vbProcedure="false">VLastRowToPrint___7/#REF!</definedName>
    <definedName function="false" hidden="false" name="dgjhgjhgjghhg___6" vbProcedure="false">DiscretFCFOn1Off2___14</definedName>
    <definedName function="false" hidden="false" name="DiscretFCFOn1Off2___14" vbProcedure="false">#REF!</definedName>
    <definedName function="false" hidden="false" name="dgjhgjhgjghhg___7" vbProcedure="false">dra___25</definedName>
    <definedName function="false" hidden="false" name="dgjhgjhgjghhg___9" vbProcedure="false">DiscretFCFOn1Off2___26</definedName>
    <definedName function="false" hidden="false" name="DiscretFCFOn1Off2___26" vbProcedure="false">#REF!</definedName>
    <definedName function="false" hidden="false" name="DHSCHF" vbProcedure="false">#REF!</definedName>
    <definedName function="false" hidden="false" name="DHSEUROS" vbProcedure="false">#REF!</definedName>
    <definedName function="false" hidden="false" name="DHSFF" vbProcedure="false">#REF!</definedName>
    <definedName function="false" hidden="false" name="DHWS?TRH" vbProcedure="false">#N/A</definedName>
    <definedName function="false" hidden="false" name="Diable" vbProcedure="false">{#N/A,#N/A,FALSE,"Operations";#N/A,#N/A,FALSE,"Financials"}</definedName>
    <definedName function="false" hidden="false" name="DigRed" vbProcedure="false">#REF!</definedName>
    <definedName function="false" hidden="false" name="DiscountEnd1Middle2" vbProcedure="false">#REF!</definedName>
    <definedName function="false" hidden="false" name="DiscountEnd1Middle2___0" vbProcedure="false">#REF!</definedName>
    <definedName function="false" hidden="false" name="DiscountEnd1Middle2___12" vbProcedure="false">#REF!</definedName>
    <definedName function="false" hidden="false" name="DiscountEnd1Middle2___14" vbProcedure="false">#REF!</definedName>
    <definedName function="false" hidden="false" name="DiscountEnd1Middle2___16" vbProcedure="false">#REF!</definedName>
    <definedName function="false" hidden="false" name="DiscountEnd1Middle2___2" vbProcedure="false">#REF!</definedName>
    <definedName function="false" hidden="false" name="DiscountEnd1Middle2___25" vbProcedure="false">#REF!</definedName>
    <definedName function="false" hidden="false" name="DiscountEnd1Middle2___26" vbProcedure="false">#REF!</definedName>
    <definedName function="false" hidden="false" name="DiscountEnd1Middle2___27" vbProcedure="false">#REF!</definedName>
    <definedName function="false" hidden="false" name="DiscountEnd1Middle2___4" vbProcedure="false">#REF!</definedName>
    <definedName function="false" hidden="false" name="DiscountEnd1Middle2___5" vbProcedure="false">#REF!</definedName>
    <definedName function="false" hidden="false" name="DiscountEnd1Middle2___7" vbProcedure="false">#REF!</definedName>
    <definedName function="false" hidden="false" name="DiscountPeriods" vbProcedure="false">#REF!</definedName>
    <definedName function="false" hidden="false" name="DiscountPeriods___0" vbProcedure="false">#REF!</definedName>
    <definedName function="false" hidden="false" name="DiscountPeriods___12" vbProcedure="false">#REF!</definedName>
    <definedName function="false" hidden="false" name="DiscountPeriods___14" vbProcedure="false">#REF!</definedName>
    <definedName function="false" hidden="false" name="DiscountPeriods___16" vbProcedure="false">#REF!</definedName>
    <definedName function="false" hidden="false" name="DiscountPeriods___2" vbProcedure="false">#REF!</definedName>
    <definedName function="false" hidden="false" name="DiscountPeriods___25" vbProcedure="false">#REF!</definedName>
    <definedName function="false" hidden="false" name="DiscountPeriods___26" vbProcedure="false">#REF!</definedName>
    <definedName function="false" hidden="false" name="DiscountPeriods___27" vbProcedure="false">#REF!</definedName>
    <definedName function="false" hidden="false" name="DiscountPeriods___4" vbProcedure="false">#REF!</definedName>
    <definedName function="false" hidden="false" name="DiscountPeriods___5" vbProcedure="false">#REF!</definedName>
    <definedName function="false" hidden="false" name="DiscountPeriods___7" vbProcedure="false">#REF!</definedName>
    <definedName function="false" hidden="false" name="DiscretFCFOn1Off2" vbProcedure="false">#REF!</definedName>
    <definedName function="false" hidden="false" name="DiscretFCFOn1Off2___16" vbProcedure="false">#REF!</definedName>
    <definedName function="false" hidden="false" name="DiscretFCFOn1Off2___25" vbProcedure="false">#REF!</definedName>
    <definedName function="false" hidden="false" name="DiscretFCFOn1Off2___4" vbProcedure="false">#REF!</definedName>
    <definedName function="false" hidden="false" name="DIST" vbProcedure="false">#REF!</definedName>
    <definedName function="false" hidden="false" name="divdiv" vbProcedure="false">#REF!</definedName>
    <definedName function="false" hidden="false" name="Dividend" vbProcedure="false">#REF!</definedName>
    <definedName function="false" hidden="false" name="divimmo" vbProcedure="false">#REF!</definedName>
    <definedName function="false" hidden="false" name="divpart" vbProcedure="false">#REF!</definedName>
    <definedName function="false" hidden="false" name="divtiap" vbProcedure="false">#REF!</definedName>
    <definedName function="false" hidden="false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jduj" vbProcedure="false">#N/A</definedName>
    <definedName function="false" hidden="false" name="DJFGNSKLDH" vbProcedure="false">DJFGNSKLDH</definedName>
    <definedName function="false" hidden="false" name="dkduk" vbProcedure="false">#N/A</definedName>
    <definedName function="false" hidden="false" name="dkut" vbProcedure="false">#N/A</definedName>
    <definedName function="false" hidden="false" name="dkutkdk" vbProcedure="false">#N/A</definedName>
    <definedName function="false" hidden="false" name="dkyuk" vbProcedure="false">dkyuk</definedName>
    <definedName function="false" hidden="false" name="Dload2" vbProcedure="false">#REF!</definedName>
    <definedName function="false" hidden="false" name="DPD" vbProcedure="false">#REF!</definedName>
    <definedName function="false" hidden="false" name="dr" vbProcedure="false">{"IS",#N/A,FALSE,"IS";"RPTIS",#N/A,FALSE,"RPTIS";"STATS",#N/A,FALSE,"STATS";"BS",#N/A,FALSE,"BS"}</definedName>
    <definedName function="false" hidden="false" name="DRA" vbProcedure="false">[0]!tx_intérêt_par_an/#REF!</definedName>
    <definedName function="false" hidden="false" name="DRA___0" vbProcedure="false">VolFactor___5/#REF!</definedName>
    <definedName function="false" hidden="false" name="DRA___12" vbProcedure="false">VolFactor___25/#REF!</definedName>
    <definedName function="false" hidden="false" name="DRA___14" vbProcedure="false">VolFactor___16/#REF!</definedName>
    <definedName function="false" hidden="false" name="DRA___2" vbProcedure="false">VolFactor___4/#REF!</definedName>
    <definedName function="false" hidden="false" name="DRA___26" vbProcedure="false">VolFactor___12/#REF!</definedName>
    <definedName function="false" hidden="false" name="DRA___27" vbProcedure="false">VolFactor___14/#REF!</definedName>
    <definedName function="false" hidden="false" name="DRA___3" vbProcedure="false">VolFactor___5/#REF!</definedName>
    <definedName function="false" hidden="false" name="DRA___5" vbProcedure="false">VolFactor___2/#REF!</definedName>
    <definedName function="false" hidden="false" name="DRA___7" vbProcedure="false">VolFactor___27/#REF!</definedName>
    <definedName function="false" hidden="false" name="DRC" vbProcedure="false">Nb_de_paiements_par_an*#REF!</definedName>
    <definedName function="false" hidden="false" name="DRC___0" vbProcedure="false">O___0*#REF!</definedName>
    <definedName function="false" hidden="false" name="O___0" vbProcedure="false">NA()</definedName>
    <definedName function="false" hidden="false" name="DRC___12" vbProcedure="false">O___12*#REF!</definedName>
    <definedName function="false" hidden="false" name="O___12" vbProcedure="false">#REF!</definedName>
    <definedName function="false" hidden="false" name="DRC___14" vbProcedure="false">O___25*#REF!</definedName>
    <definedName function="false" hidden="false" name="O___25" vbProcedure="false">#REF!</definedName>
    <definedName function="false" hidden="false" name="DRC___2" vbProcedure="false">O___2*#REF!</definedName>
    <definedName function="false" hidden="false" name="O___2" vbProcedure="false">#REF!</definedName>
    <definedName function="false" hidden="false" name="DRC___23" vbProcedure="false">O___0*#REF!</definedName>
    <definedName function="false" hidden="false" name="DRC___25" vbProcedure="false">O___4*#REF!</definedName>
    <definedName function="false" hidden="false" name="O___4" vbProcedure="false">#REF!</definedName>
    <definedName function="false" hidden="false" name="DRC___26" vbProcedure="false">O___26*#REF!</definedName>
    <definedName function="false" hidden="false" name="O___26" vbProcedure="false">#REF!</definedName>
    <definedName function="false" hidden="false" name="DRC___27" vbProcedure="false">O___27*#REF!</definedName>
    <definedName function="false" hidden="false" name="O___27" vbProcedure="false">NA()</definedName>
    <definedName function="false" hidden="false" name="DRC___3" vbProcedure="false">O___0*#REF!</definedName>
    <definedName function="false" hidden="false" name="DRC___4" vbProcedure="false">O___6*#REF!</definedName>
    <definedName function="false" hidden="false" name="O___6" vbProcedure="false">#REF!</definedName>
    <definedName function="false" hidden="false" name="DRC___5" vbProcedure="false">O___5*#REF!</definedName>
    <definedName function="false" hidden="false" name="O___5" vbProcedure="false">NA()</definedName>
    <definedName function="false" hidden="false" name="DRC___6" vbProcedure="false">Num_premier_paiement___0*#REF!</definedName>
    <definedName function="false" hidden="false" name="Num_premier_paiement___0" vbProcedure="false">#REF!</definedName>
    <definedName function="false" hidden="false" name="DRC___7" vbProcedure="false">O___7*#REF!</definedName>
    <definedName function="false" hidden="false" name="O___7" vbProcedure="false">#REF!</definedName>
    <definedName function="false" hidden="false" name="DRC___9" vbProcedure="false">O___0*#REF!</definedName>
    <definedName function="false" hidden="false" name="drg" vbProcedure="false">Nb_de_paiements_par_an*#REF!</definedName>
    <definedName function="false" hidden="false" name="drg___0" vbProcedure="false">O___0*#REF!</definedName>
    <definedName function="false" hidden="false" name="drg___12" vbProcedure="false">O___12*#REF!</definedName>
    <definedName function="false" hidden="false" name="drg___14" vbProcedure="false">O___25*#REF!</definedName>
    <definedName function="false" hidden="false" name="drg___2" vbProcedure="false">O___0*#REF!</definedName>
    <definedName function="false" hidden="false" name="drg___23" vbProcedure="false">O___0*#REF!</definedName>
    <definedName function="false" hidden="false" name="drg___25" vbProcedure="false">O___0*#REF!</definedName>
    <definedName function="false" hidden="false" name="drg___26" vbProcedure="false">O___0*#REF!</definedName>
    <definedName function="false" hidden="false" name="drg___27" vbProcedure="false">O___27*#REF!</definedName>
    <definedName function="false" hidden="false" name="drg___3" vbProcedure="false">O___0*#REF!</definedName>
    <definedName function="false" hidden="false" name="drg___4" vbProcedure="false">O___0*#REF!</definedName>
    <definedName function="false" hidden="false" name="drg___5" vbProcedure="false">O___5*#REF!</definedName>
    <definedName function="false" hidden="false" name="drg___6" vbProcedure="false">Num_premier_paiement___0*#REF!</definedName>
    <definedName function="false" hidden="false" name="drg___7" vbProcedure="false">O___0*#REF!</definedName>
    <definedName function="false" hidden="false" name="drg___9" vbProcedure="false">O___0*#REF!</definedName>
    <definedName function="false" hidden="false" name="drh" vbProcedure="false">#N/A</definedName>
    <definedName function="false" hidden="false" name="dsf" vbProcedure="false">#N/A</definedName>
    <definedName function="false" hidden="false" name="dsfgsb" vbProcedure="false">dsfgsb</definedName>
    <definedName function="false" hidden="false" name="DSFHG" vbProcedure="false">#N/A</definedName>
    <definedName function="false" hidden="false" name="dsfsg" vbProcedure="false">dsfsg</definedName>
    <definedName function="false" hidden="false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dthj" vbProcedure="false">#N/A</definedName>
    <definedName function="false" hidden="false" name="DTS" vbProcedure="false">#N/A</definedName>
    <definedName function="false" hidden="false" name="dtyiuèi" vbProcedure="false">[0]!dtyiuèi</definedName>
    <definedName function="false" hidden="false" name="dtyjdtk" vbProcedure="false">dtyjdtk</definedName>
    <definedName function="false" hidden="false" name="dukdtu" vbProcedure="false">dukdtu</definedName>
    <definedName function="false" hidden="false" name="dukdu" vbProcedure="false">dukdu</definedName>
    <definedName function="false" hidden="false" name="Durée_prêt" vbProcedure="false">#REF!</definedName>
    <definedName function="false" hidden="false" name="Durée_prêt___0" vbProcedure="false">#REF!</definedName>
    <definedName function="false" hidden="false" name="Durée_prêt___12" vbProcedure="false">#REF!</definedName>
    <definedName function="false" hidden="false" name="Durée_prêt___14" vbProcedure="false">#REF!</definedName>
    <definedName function="false" hidden="false" name="Durée_prêt___16" vbProcedure="false">#REF!</definedName>
    <definedName function="false" hidden="false" name="Durée_prêt___2" vbProcedure="false">#REF!</definedName>
    <definedName function="false" hidden="false" name="Durée_prêt___25" vbProcedure="false">#REF!</definedName>
    <definedName function="false" hidden="false" name="Durée_prêt___26" vbProcedure="false">#REF!</definedName>
    <definedName function="false" hidden="false" name="Durée_prêt___27" vbProcedure="false">#REF!</definedName>
    <definedName function="false" hidden="false" name="Durée_prêt___4" vbProcedure="false">#REF!</definedName>
    <definedName function="false" hidden="false" name="Durée_prêt___5" vbProcedure="false">#REF!</definedName>
    <definedName function="false" hidden="false" name="Durée_prêt___7" vbProcedure="false">#REF!</definedName>
    <definedName function="false" hidden="false" name="dvfdfg" vbProcedure="false">#N/A</definedName>
    <definedName function="false" hidden="false" name="dyhj" vbProcedure="false">dyhj</definedName>
    <definedName function="false" hidden="false" name="dz" vbProcedure="false">{"test2",#N/A,TRUE,"Prices"}</definedName>
    <definedName function="false" hidden="false" name="DZEF" vbProcedure="false">#N/A</definedName>
    <definedName function="false" hidden="false" name="D_Gestion_Perso" vbProcedure="false">#REF!</definedName>
    <definedName function="false" hidden="false" name="D_Gestion_Perso___0" vbProcedure="false">#REF!</definedName>
    <definedName function="false" hidden="false" name="D_Gestion_Perso___12" vbProcedure="false">#REF!</definedName>
    <definedName function="false" hidden="false" name="D_Gestion_Perso___14" vbProcedure="false">#REF!</definedName>
    <definedName function="false" hidden="false" name="D_Gestion_Perso___16" vbProcedure="false">#REF!</definedName>
    <definedName function="false" hidden="false" name="D_Gestion_Perso___2" vbProcedure="false">#REF!</definedName>
    <definedName function="false" hidden="false" name="D_Gestion_Perso___26" vbProcedure="false">#REF!</definedName>
    <definedName function="false" hidden="false" name="D_Gestion_Perso___27" vbProcedure="false">#REF!</definedName>
    <definedName function="false" hidden="false" name="D_Gestion_Perso___5" vbProcedure="false">#REF!</definedName>
    <definedName function="false" hidden="false" name="D_Gestion_Perso___7" vbProcedure="false">#REF!</definedName>
    <definedName function="false" hidden="false" name="D___12" vbProcedure="false">#REF!</definedName>
    <definedName function="false" hidden="false" name="détail_CA" vbProcedure="false">#REF!</definedName>
    <definedName function="false" hidden="false" name="détail_CA___12" vbProcedure="false">#REF!</definedName>
    <definedName function="false" hidden="false" name="détail_CA___6" vbProcedure="false">#REF!</definedName>
    <definedName function="false" hidden="false" name="E" vbProcedure="false">#REF!</definedName>
    <definedName function="false" hidden="false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EAC_Estimate_at_Completion" vbProcedure="false">#REF!</definedName>
    <definedName function="false" hidden="false" name="EarliestDateForValuation" vbProcedure="false">#REF!</definedName>
    <definedName function="false" hidden="false" name="EarliestDateForValuation___0" vbProcedure="false">#REF!</definedName>
    <definedName function="false" hidden="false" name="EarliestDateForValuation___12" vbProcedure="false">#REF!</definedName>
    <definedName function="false" hidden="false" name="EarliestDateForValuation___14" vbProcedure="false">#REF!</definedName>
    <definedName function="false" hidden="false" name="EarliestDateForValuation___16" vbProcedure="false">#REF!</definedName>
    <definedName function="false" hidden="false" name="EarliestDateForValuation___2" vbProcedure="false">#REF!</definedName>
    <definedName function="false" hidden="false" name="EarliestDateForValuation___25" vbProcedure="false">#REF!</definedName>
    <definedName function="false" hidden="false" name="EarliestDateForValuation___26" vbProcedure="false">#REF!</definedName>
    <definedName function="false" hidden="false" name="EarliestDateForValuation___27" vbProcedure="false">#REF!</definedName>
    <definedName function="false" hidden="false" name="EarliestDateForValuation___4" vbProcedure="false">#REF!</definedName>
    <definedName function="false" hidden="false" name="EarliestDateForValuation___5" vbProcedure="false">#REF!</definedName>
    <definedName function="false" hidden="false" name="EarliestDateForValuation___7" vbProcedure="false">#REF!</definedName>
    <definedName function="false" hidden="false" name="edede" vbProcedure="false">#N/A</definedName>
    <definedName function="false" hidden="false" name="ededed" vbProcedure="false">ededed</definedName>
    <definedName function="false" hidden="false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eeee" vbProcedure="false">Nb_de_paiements_par_an*#REF!</definedName>
    <definedName function="false" hidden="false" name="eeeeee" vbProcedure="false">#N/A</definedName>
    <definedName function="false" hidden="false" name="EEEEEEEEE" vbProcedure="false">EEEEEEEEE</definedName>
    <definedName function="false" hidden="false" name="eeee___0" vbProcedure="false">O___0*#REF!</definedName>
    <definedName function="false" hidden="false" name="eeee___12" vbProcedure="false">O___12*#REF!</definedName>
    <definedName function="false" hidden="false" name="eeee___14" vbProcedure="false">O___25*#REF!</definedName>
    <definedName function="false" hidden="false" name="eeee___2" vbProcedure="false">O___2*#REF!</definedName>
    <definedName function="false" hidden="false" name="eeee___23" vbProcedure="false">O___0*#REF!</definedName>
    <definedName function="false" hidden="false" name="eeee___25" vbProcedure="false">O___4*#REF!</definedName>
    <definedName function="false" hidden="false" name="eeee___26" vbProcedure="false">O___26*#REF!</definedName>
    <definedName function="false" hidden="false" name="eeee___27" vbProcedure="false">O___27*#REF!</definedName>
    <definedName function="false" hidden="false" name="eeee___3" vbProcedure="false">O___0*#REF!</definedName>
    <definedName function="false" hidden="false" name="eeee___4" vbProcedure="false">O___6*#REF!</definedName>
    <definedName function="false" hidden="false" name="eeee___5" vbProcedure="false">O___5*#REF!</definedName>
    <definedName function="false" hidden="false" name="eeee___6" vbProcedure="false">Num_premier_paiement___0*#REF!</definedName>
    <definedName function="false" hidden="false" name="eeee___7" vbProcedure="false">O___7*#REF!</definedName>
    <definedName function="false" hidden="false" name="eeee___9" vbProcedure="false">O___0*#REF!</definedName>
    <definedName function="false" hidden="false" name="EFFECTIF" vbProcedure="false">#N/A</definedName>
    <definedName function="false" hidden="false" name="Effort_Expended" vbProcedure="false">#REF!</definedName>
    <definedName function="false" hidden="false" name="Effort_Req" vbProcedure="false">#REF!</definedName>
    <definedName function="false" hidden="false" name="Effort_to_Complete" vbProcedure="false">#REF!</definedName>
    <definedName function="false" hidden="false" name="Effort_Variance" vbProcedure="false">#REF!</definedName>
    <definedName function="false" hidden="false" name="efgtyhjkoi" vbProcedure="false">efgtyhjkoi</definedName>
    <definedName function="false" hidden="false" name="efgtyhjkoi___0" vbProcedure="false">ExpandOutputs___5</definedName>
    <definedName function="false" hidden="false" name="ExpandOutputs___5" vbProcedure="false">F___27</definedName>
    <definedName function="false" hidden="false" name="F___27" vbProcedure="false">#REF!</definedName>
    <definedName function="false" hidden="false" name="efgtyhjkoi___12" vbProcedure="false">ExpandOutputs___3</definedName>
    <definedName function="false" hidden="false" name="ExpandOutputs___3" vbProcedure="false">F___4</definedName>
    <definedName function="false" hidden="false" name="F___4" vbProcedure="false">#REF!</definedName>
    <definedName function="false" hidden="false" name="efgtyhjkoi___14" vbProcedure="false">expandoutputs___25</definedName>
    <definedName function="false" hidden="false" name="efgtyhjkoi___2" vbProcedure="false">ExpandOutputs___9</definedName>
    <definedName function="false" hidden="false" name="ExpandOutputs___9" vbProcedure="false">F___16</definedName>
    <definedName function="false" hidden="false" name="F___16" vbProcedure="false">#REF!</definedName>
    <definedName function="false" hidden="false" name="efgtyhjkoi___23" vbProcedure="false">ess1___0</definedName>
    <definedName function="false" hidden="false" name="ess1___0" vbProcedure="false">#REF!</definedName>
    <definedName function="false" hidden="false" name="efgtyhjkoi___25" vbProcedure="false">ExpandOutputs___23</definedName>
    <definedName function="false" hidden="false" name="ExpandOutputs___23" vbProcedure="false">ExportFile___7</definedName>
    <definedName function="false" hidden="false" name="ExportFile___7" vbProcedure="false">fffffffff___4</definedName>
    <definedName function="false" hidden="false" name="fffffffff___4" vbProcedure="false">VolFactor___5/#REF!</definedName>
    <definedName function="false" hidden="false" name="efgtyhjkoi___26" vbProcedure="false">ExpandOutputs___12</definedName>
    <definedName function="false" hidden="false" name="ExpandOutputs___12" vbProcedure="false">F___2</definedName>
    <definedName function="false" hidden="false" name="F___2" vbProcedure="false">#REF!</definedName>
    <definedName function="false" hidden="false" name="efgtyhjkoi___27" vbProcedure="false">ExpandOutputs___14</definedName>
    <definedName function="false" hidden="false" name="ExpandOutputs___14" vbProcedure="false">F___25</definedName>
    <definedName function="false" hidden="false" name="F___25" vbProcedure="false">#REF!</definedName>
    <definedName function="false" hidden="false" name="efgtyhjkoi___3" vbProcedure="false">ExpandOutputs___4</definedName>
    <definedName function="false" hidden="false" name="ExpandOutputs___4" vbProcedure="false">excel_builtin_extract_0</definedName>
    <definedName function="false" hidden="false" name="efgtyhjkoi___4" vbProcedure="false">ExpandOutputs___6</definedName>
    <definedName function="false" hidden="false" name="ExpandOutputs___6" vbProcedure="false">ExportFile___26</definedName>
    <definedName function="false" hidden="false" name="ExportFile___26" vbProcedure="false">fffffffff___16</definedName>
    <definedName function="false" hidden="false" name="fffffffff___16" vbProcedure="false">VLastRowToPrint___7/#REF!</definedName>
    <definedName function="false" hidden="false" name="efgtyhjkoi___5" vbProcedure="false">ExpandOutputs___2</definedName>
    <definedName function="false" hidden="false" name="ExpandOutputs___2" vbProcedure="false">F___14</definedName>
    <definedName function="false" hidden="false" name="F___14" vbProcedure="false">#REF!</definedName>
    <definedName function="false" hidden="false" name="efgtyhjkoi___6" vbProcedure="false">ess1___5</definedName>
    <definedName function="false" hidden="false" name="ess1___5" vbProcedure="false">#REF!</definedName>
    <definedName function="false" hidden="false" name="efgtyhjkoi___7" vbProcedure="false">ExpandOutputs___27</definedName>
    <definedName function="false" hidden="false" name="ExpandOutputs___27" vbProcedure="false">F___12</definedName>
    <definedName function="false" hidden="false" name="F___12" vbProcedure="false">#REF!</definedName>
    <definedName function="false" hidden="false" name="efgtyhjkoi___9" vbProcedure="false">ExpandOutputs___16</definedName>
    <definedName function="false" hidden="false" name="ExpandOutputs___16" vbProcedure="false">ExportFile___0</definedName>
    <definedName function="false" hidden="false" name="ExportFile___0" vbProcedure="false">fffffffff___25</definedName>
    <definedName function="false" hidden="false" name="fffffffff___25" vbProcedure="false">VolFactor___5/#REF!</definedName>
    <definedName function="false" hidden="false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Eighteen" vbProcedure="false">#REF!</definedName>
    <definedName function="false" hidden="false" name="ekrpzekpzork" vbProcedure="false">#REF!</definedName>
    <definedName function="false" hidden="false" name="ELIM1" vbProcedure="false">#REF!</definedName>
    <definedName function="false" hidden="false" name="emily" vbProcedure="false">{#N/A,#N/A,FALSE,"Calc";#N/A,#N/A,FALSE,"Sensitivity";#N/A,#N/A,FALSE,"LT Earn.Dil.";#N/A,#N/A,FALSE,"Dil. AVP"}</definedName>
    <definedName function="false" hidden="false" name="Emploi" vbProcedure="false">{"IS",#N/A,FALSE,"IS";"RPTIS",#N/A,FALSE,"RPTIS";"STATS",#N/A,FALSE,"STATS";"CELL",#N/A,FALSE,"CELL";"BS",#N/A,FALSE,"BS"}</definedName>
    <definedName function="false" hidden="false" name="enddate" vbProcedure="false">#REF!</definedName>
    <definedName function="false" hidden="false" name="enggg5" vbProcedure="false">#N/A</definedName>
    <definedName function="false" hidden="false" name="ENT" vbProcedure="false">#REF!</definedName>
    <definedName function="false" hidden="false" name="ENT___0" vbProcedure="false">#REF!</definedName>
    <definedName function="false" hidden="false" name="ENT___12" vbProcedure="false">#REF!</definedName>
    <definedName function="false" hidden="false" name="ENT___14" vbProcedure="false">#REF!</definedName>
    <definedName function="false" hidden="false" name="ENT___16" vbProcedure="false">#REF!</definedName>
    <definedName function="false" hidden="false" name="ENT___2" vbProcedure="false">#REF!</definedName>
    <definedName function="false" hidden="false" name="ENT___25" vbProcedure="false">#REF!</definedName>
    <definedName function="false" hidden="false" name="ENT___26" vbProcedure="false">#REF!</definedName>
    <definedName function="false" hidden="false" name="ENT___27" vbProcedure="false">#REF!</definedName>
    <definedName function="false" hidden="false" name="ENT___4" vbProcedure="false">#REF!</definedName>
    <definedName function="false" hidden="false" name="ENT___5" vbProcedure="false">#REF!</definedName>
    <definedName function="false" hidden="false" name="ENT___7" vbProcedure="false">#REF!</definedName>
    <definedName function="false" hidden="false" name="EN__DH" vbProcedure="false">#REF!</definedName>
    <definedName function="false" hidden="false" name="EPart" vbProcedure="false">#REF!</definedName>
    <definedName function="false" hidden="false" name="EquityCost" vbProcedure="false">#REF!</definedName>
    <definedName function="false" hidden="false" name="EquityCost___0" vbProcedure="false">#REF!</definedName>
    <definedName function="false" hidden="false" name="EquityCost___12" vbProcedure="false">#REF!</definedName>
    <definedName function="false" hidden="false" name="EquityCost___14" vbProcedure="false">#REF!</definedName>
    <definedName function="false" hidden="false" name="EquityCost___16" vbProcedure="false">#REF!</definedName>
    <definedName function="false" hidden="false" name="EquityCost___2" vbProcedure="false">#REF!</definedName>
    <definedName function="false" hidden="false" name="EquityCost___25" vbProcedure="false">#REF!</definedName>
    <definedName function="false" hidden="false" name="EquityCost___26" vbProcedure="false">#REF!</definedName>
    <definedName function="false" hidden="false" name="EquityCost___27" vbProcedure="false">#REF!</definedName>
    <definedName function="false" hidden="false" name="EquityCost___4" vbProcedure="false">#REF!</definedName>
    <definedName function="false" hidden="false" name="EquityCost___5" vbProcedure="false">#REF!</definedName>
    <definedName function="false" hidden="false" name="EquityCost___7" vbProcedure="false">#REF!</definedName>
    <definedName function="false" hidden="false" name="ER" vbProcedure="false">#REF!</definedName>
    <definedName function="false" hidden="false" name="erer" vbProcedure="false">erer</definedName>
    <definedName function="false" hidden="false" name="ererer" vbProcedure="false">#REF!</definedName>
    <definedName function="false" hidden="false" name="ERGRE" vbProcedure="false">#N/A</definedName>
    <definedName function="false" hidden="false" name="erqsergt" vbProcedure="false">#N/A</definedName>
    <definedName function="false" hidden="false" name="erqt" vbProcedure="false">erqt</definedName>
    <definedName function="false" hidden="false" name="ERT" vbProcedure="false">#N/A</definedName>
    <definedName function="false" hidden="false" name="erzerpzj" vbProcedure="false">#REF!</definedName>
    <definedName function="false" hidden="false" name="ess1___12" vbProcedure="false">#REF!</definedName>
    <definedName function="false" hidden="false" name="ess1___2" vbProcedure="false">#REF!</definedName>
    <definedName function="false" hidden="false" name="ess1___27" vbProcedure="false">#REF!</definedName>
    <definedName function="false" hidden="false" name="essais" vbProcedure="false">{#N/A,#N/A,FALSE,"F_Plan";#N/A,#N/A,FALSE,"Parameter"}</definedName>
    <definedName function="false" hidden="false" name="ESTIMATION" vbProcedure="false">#REF!</definedName>
    <definedName function="false" hidden="false" name="et" vbProcedure="false">{"IS",#N/A,FALSE,"IS";"RPTIS",#N/A,FALSE,"RPTIS";"STATS",#N/A,FALSE,"STATS";"BS",#N/A,FALSE,"BS"}</definedName>
    <definedName function="false" hidden="false" name="ETC_Estimate_to_Completion" vbProcedure="false">#REF!</definedName>
    <definedName function="false" hidden="false" name="euro" vbProcedure="false">#REF!</definedName>
    <definedName function="false" hidden="false" name="EValue" vbProcedure="false">#REF!</definedName>
    <definedName function="false" hidden="false" name="EV_Earned_Value" vbProcedure="false">#REF!</definedName>
    <definedName function="false" hidden="false" name="EV__LASTREFTIME__" vbProcedure="false">39293.7047916667</definedName>
    <definedName function="false" hidden="false" name="EX" vbProcedure="false">EX</definedName>
    <definedName function="false" hidden="false" name="Excel_BuiltIn_Recorder_0" vbProcedure="false">#REF!</definedName>
    <definedName function="false" hidden="false" name="Excel_BuiltIn_Recorder_12" vbProcedure="false">#REF!</definedName>
    <definedName function="false" hidden="false" name="Excel_BuiltIn_Recorder_14" vbProcedure="false">#REF!</definedName>
    <definedName function="false" hidden="false" name="Excel_BuiltIn_Recorder_16" vbProcedure="false">#REF!</definedName>
    <definedName function="false" hidden="false" name="Excel_BuiltIn_Recorder_2" vbProcedure="false">#REF!</definedName>
    <definedName function="false" hidden="false" name="Excel_BuiltIn_Recorder_27" vbProcedure="false">#REF!</definedName>
    <definedName function="false" hidden="false" name="Excel_BuiltIn_Recorder_5" vbProcedure="false">#REF!</definedName>
    <definedName function="false" hidden="false" name="Excel_BuiltIn_Recorder_6" vbProcedure="false">#REF!</definedName>
    <definedName function="false" hidden="false" name="ExpandOutputs" vbProcedure="false">ExpandOutputs</definedName>
    <definedName function="false" hidden="false" name="ExpandOutputs___0" vbProcedure="false">F___7</definedName>
    <definedName function="false" hidden="false" name="F___7" vbProcedure="false">#REF!</definedName>
    <definedName function="false" hidden="false" name="ExpandOutputs___26" vbProcedure="false">F___5</definedName>
    <definedName function="false" hidden="false" name="F___5" vbProcedure="false">#REF!</definedName>
    <definedName function="false" hidden="false" name="ExpandOutputs___7" vbProcedure="false">F___26</definedName>
    <definedName function="false" hidden="false" name="F___26" vbProcedure="false">#REF!</definedName>
    <definedName function="false" hidden="false" name="ExpandVPeriods" vbProcedure="false">ExpandVPeriods</definedName>
    <definedName function="false" hidden="false" name="ExpandVPeriods___0" vbProcedure="false">ffff___4</definedName>
    <definedName function="false" hidden="false" name="ffff___4" vbProcedure="false">O___0*#REF!</definedName>
    <definedName function="false" hidden="false" name="ExpandVPeriods___12" vbProcedure="false">F_SMS_Data___0</definedName>
    <definedName function="false" hidden="false" name="F_SMS_Data___0" vbProcedure="false">#REF!</definedName>
    <definedName function="false" hidden="false" name="ExpandVPeriods___14" vbProcedure="false">F_SMS_Data___26</definedName>
    <definedName function="false" hidden="false" name="F_SMS_Data___26" vbProcedure="false">#REF!</definedName>
    <definedName function="false" hidden="false" name="ExpandVPeriods___16" vbProcedure="false">F_SMS_Data___14</definedName>
    <definedName function="false" hidden="false" name="F_SMS_Data___14" vbProcedure="false">#REF!</definedName>
    <definedName function="false" hidden="false" name="ExpandVPeriods___2" vbProcedure="false">F_SMS_Data___7</definedName>
    <definedName function="false" hidden="false" name="F_SMS_Data___7" vbProcedure="false">#REF!</definedName>
    <definedName function="false" hidden="false" name="ExpandVPeriods___23" vbProcedure="false">F_SMS_Data___16</definedName>
    <definedName function="false" hidden="false" name="F_SMS_Data___16" vbProcedure="false">#REF!</definedName>
    <definedName function="false" hidden="false" name="ExpandVPeriods___25" vbProcedure="false">F_SMS_Data___12</definedName>
    <definedName function="false" hidden="false" name="F_SMS_Data___12" vbProcedure="false">#REF!</definedName>
    <definedName function="false" hidden="false" name="ExpandVPeriods___26" vbProcedure="false">ffff___23</definedName>
    <definedName function="false" hidden="false" name="ffff___23" vbProcedure="false">O___0*#REF!</definedName>
    <definedName function="false" hidden="false" name="ExpandVPeriods___3" vbProcedure="false">F_SMS_Data___5</definedName>
    <definedName function="false" hidden="false" name="F_SMS_Data___5" vbProcedure="false">#REF!</definedName>
    <definedName function="false" hidden="false" name="ExpandVPeriods___4" vbProcedure="false">F_SMS_Data___2</definedName>
    <definedName function="false" hidden="false" name="F_SMS_Data___2" vbProcedure="false">#REF!</definedName>
    <definedName function="false" hidden="false" name="ExpandVPeriods___5" vbProcedure="false">ffff___6</definedName>
    <definedName function="false" hidden="false" name="ffff___6" vbProcedure="false">Num_premier_paiement___0*#REF!</definedName>
    <definedName function="false" hidden="false" name="ExpandVPeriods___7" vbProcedure="false">ffff___16</definedName>
    <definedName function="false" hidden="false" name="ExpandVPeriods___9" vbProcedure="false">F_SMS_Data___27</definedName>
    <definedName function="false" hidden="false" name="F_SMS_Data___27" vbProcedure="false">#REF!</definedName>
    <definedName function="false" hidden="false" name="explo" vbProcedure="false">#N/A</definedName>
    <definedName function="false" hidden="false" name="ExportFile" vbProcedure="false">ExportFile</definedName>
    <definedName function="false" hidden="false" name="ExportFile___14" vbProcedure="false">ffff___7</definedName>
    <definedName function="false" hidden="false" name="ffff___7" vbProcedure="false">O___0*#REF!</definedName>
    <definedName function="false" hidden="false" name="ExportFile___16" vbProcedure="false">ffff___2</definedName>
    <definedName function="false" hidden="false" name="ffff___2" vbProcedure="false">O___0*#REF!</definedName>
    <definedName function="false" hidden="false" name="ExportFile___2" vbProcedure="false">ffff___0</definedName>
    <definedName function="false" hidden="false" name="ffff___0" vbProcedure="false">O___0*#REF!</definedName>
    <definedName function="false" hidden="false" name="ExportFile___23" vbProcedure="false">ffff___14</definedName>
    <definedName function="false" hidden="false" name="ffff___14" vbProcedure="false">O___25*#REF!</definedName>
    <definedName function="false" hidden="false" name="ExportFile___25" vbProcedure="false">ffff___27</definedName>
    <definedName function="false" hidden="false" name="ffff___27" vbProcedure="false">O___27*#REF!</definedName>
    <definedName function="false" hidden="false" name="ExportFile___27" vbProcedure="false">fffffffff___6</definedName>
    <definedName function="false" hidden="false" name="fffffffff___6" vbProcedure="false">VLastRowToPrint___26/#REF!</definedName>
    <definedName function="false" hidden="false" name="ExportFile___3" vbProcedure="false">ffff___26</definedName>
    <definedName function="false" hidden="false" name="ffff___26" vbProcedure="false">O___0*#REF!</definedName>
    <definedName function="false" hidden="false" name="ExportFile___4" vbProcedure="false">ffff___12</definedName>
    <definedName function="false" hidden="false" name="ffff___12" vbProcedure="false">O___12*#REF!</definedName>
    <definedName function="false" hidden="false" name="ExportFile___5" vbProcedure="false">fffffffff___23</definedName>
    <definedName function="false" hidden="false" name="fffffffff___23" vbProcedure="false">VolFactor___5/#REF!</definedName>
    <definedName function="false" hidden="false" name="ExportFile___6" vbProcedure="false">ffff___3</definedName>
    <definedName function="false" hidden="false" name="ffff___3" vbProcedure="false">O___0*#REF!</definedName>
    <definedName function="false" hidden="false" name="ExportFile___9" vbProcedure="false">ffff___5</definedName>
    <definedName function="false" hidden="false" name="ffff___5" vbProcedure="false">O___5*#REF!</definedName>
    <definedName function="false" hidden="false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eyr" vbProcedure="false">{"hiden",#N/A,FALSE,"14";"hidden",#N/A,FALSE,"16";"hidden",#N/A,FALSE,"18";"hidden",#N/A,FALSE,"20"}</definedName>
    <definedName function="false" hidden="false" name="EZ" vbProcedure="false">#REF!</definedName>
    <definedName function="false" hidden="false" name="ezqe" vbProcedure="false">#N/A</definedName>
    <definedName function="false" hidden="false" name="E_Comm_Perso" vbProcedure="false">#REF!</definedName>
    <definedName function="false" hidden="false" name="E_Comm_Perso___0" vbProcedure="false">#REF!</definedName>
    <definedName function="false" hidden="false" name="E_Comm_Perso___12" vbProcedure="false">#REF!</definedName>
    <definedName function="false" hidden="false" name="E_Comm_Perso___14" vbProcedure="false">#REF!</definedName>
    <definedName function="false" hidden="false" name="E_Comm_Perso___16" vbProcedure="false">#REF!</definedName>
    <definedName function="false" hidden="false" name="E_Comm_Perso___2" vbProcedure="false">#REF!</definedName>
    <definedName function="false" hidden="false" name="E_Comm_Perso___26" vbProcedure="false">#REF!</definedName>
    <definedName function="false" hidden="false" name="E_Comm_Perso___27" vbProcedure="false">#REF!</definedName>
    <definedName function="false" hidden="false" name="E_Comm_Perso___5" vbProcedure="false">#REF!</definedName>
    <definedName function="false" hidden="false" name="E_Comm_Perso___7" vbProcedure="false">#REF!</definedName>
    <definedName function="false" hidden="false" name="E_ThirtyFiveHundred" vbProcedure="false">#REF!</definedName>
    <definedName function="false" hidden="false" name="E___0" vbProcedure="false">NA()</definedName>
    <definedName function="false" hidden="false" name="E___12" vbProcedure="false">#REF!</definedName>
    <definedName function="false" hidden="false" name="E___2" vbProcedure="false">#REF!</definedName>
    <definedName function="false" hidden="false" name="E___25" vbProcedure="false">#REF!</definedName>
    <definedName function="false" hidden="false" name="E___26" vbProcedure="false">#REF!</definedName>
    <definedName function="false" hidden="false" name="E___27" vbProcedure="false">NA()</definedName>
    <definedName function="false" hidden="false" name="E___4" vbProcedure="false">#REF!</definedName>
    <definedName function="false" hidden="false" name="E___5" vbProcedure="false">NA()</definedName>
    <definedName function="false" hidden="false" name="E___6" vbProcedure="false">#REF!</definedName>
    <definedName function="false" hidden="false" name="E___7" vbProcedure="false">#REF!</definedName>
    <definedName function="false" hidden="false" name="F" vbProcedure="false">#REF!</definedName>
    <definedName function="false" hidden="false" name="face" vbProcedure="false">#REF!</definedName>
    <definedName function="false" hidden="false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FCST_3" vbProcedure="false">#N/A</definedName>
    <definedName function="false" hidden="false" name="FCST_4" vbProcedure="false">#N/A</definedName>
    <definedName function="false" hidden="false" name="fd" vbProcedure="false">#N/A</definedName>
    <definedName function="false" hidden="false" name="fdd" vbProcedure="false">fdd</definedName>
    <definedName function="false" hidden="false" name="fddr" vbProcedure="false">fddr</definedName>
    <definedName function="false" hidden="false" name="FDD_0_0" vbProcedure="false">"A30681"</definedName>
    <definedName function="false" hidden="false" name="FDD_0_1" vbProcedure="false">"A31047"</definedName>
    <definedName function="false" hidden="false" name="FDD_0_10" vbProcedure="false">"A34334"</definedName>
    <definedName function="false" hidden="false" name="FDD_0_11" vbProcedure="false">"A34699"</definedName>
    <definedName function="false" hidden="false" name="FDD_0_12" vbProcedure="false">"A35064"</definedName>
    <definedName function="false" hidden="false" name="FDD_0_13" vbProcedure="false">"A35430"</definedName>
    <definedName function="false" hidden="false" name="FDD_0_14" vbProcedure="false">"A35795"</definedName>
    <definedName function="false" hidden="false" name="FDD_0_2" vbProcedure="false">"A31412"</definedName>
    <definedName function="false" hidden="false" name="FDD_0_3" vbProcedure="false">"A31777"</definedName>
    <definedName function="false" hidden="false" name="FDD_0_4" vbProcedure="false">"A32142"</definedName>
    <definedName function="false" hidden="false" name="FDD_0_5" vbProcedure="false">"A32508"</definedName>
    <definedName function="false" hidden="false" name="FDD_0_6" vbProcedure="false">"A32873"</definedName>
    <definedName function="false" hidden="false" name="FDD_0_7" vbProcedure="false">"A33238"</definedName>
    <definedName function="false" hidden="false" name="FDD_0_8" vbProcedure="false">"A33603"</definedName>
    <definedName function="false" hidden="false" name="FDD_0_9" vbProcedure="false">"A33969"</definedName>
    <definedName function="false" hidden="false" name="FDD_100_0" vbProcedure="false">"A25569"</definedName>
    <definedName function="false" hidden="false" name="FDD_101_0" vbProcedure="false">"A25569"</definedName>
    <definedName function="false" hidden="false" name="FDD_102_0" vbProcedure="false">"A25569"</definedName>
    <definedName function="false" hidden="false" name="FDD_103_0" vbProcedure="false">"A25569"</definedName>
    <definedName function="false" hidden="false" name="FDD_104_0" vbProcedure="false">"A25569"</definedName>
    <definedName function="false" hidden="false" name="FDD_105_0" vbProcedure="false">"A25569"</definedName>
    <definedName function="false" hidden="false" name="FDD_106_0" vbProcedure="false">"A25569"</definedName>
    <definedName function="false" hidden="false" name="FDD_107_0" vbProcedure="false">"A25569"</definedName>
    <definedName function="false" hidden="false" name="FDD_108_0" vbProcedure="false">"A25569"</definedName>
    <definedName function="false" hidden="false" name="FDD_109_0" vbProcedure="false">"A25569"</definedName>
    <definedName function="false" hidden="false" name="FDD_10_0" vbProcedure="false">"A25569"</definedName>
    <definedName function="false" hidden="false" name="FDD_110_0" vbProcedure="false">"A25569"</definedName>
    <definedName function="false" hidden="false" name="FDD_111_0" vbProcedure="false">"A25569"</definedName>
    <definedName function="false" hidden="false" name="FDD_112_0" vbProcedure="false">"A25569"</definedName>
    <definedName function="false" hidden="false" name="FDD_113_0" vbProcedure="false">"A25569"</definedName>
    <definedName function="false" hidden="false" name="FDD_114_0" vbProcedure="false">"A25569"</definedName>
    <definedName function="false" hidden="false" name="FDD_115_0" vbProcedure="false">"A25569"</definedName>
    <definedName function="false" hidden="false" name="FDD_116_0" vbProcedure="false">"A25569"</definedName>
    <definedName function="false" hidden="false" name="FDD_117_0" vbProcedure="false">"A30681"</definedName>
    <definedName function="false" hidden="false" name="FDD_117_1" vbProcedure="false">"A31047"</definedName>
    <definedName function="false" hidden="false" name="FDD_117_10" vbProcedure="false">"A34334"</definedName>
    <definedName function="false" hidden="false" name="FDD_117_11" vbProcedure="false">"A34699"</definedName>
    <definedName function="false" hidden="false" name="FDD_117_12" vbProcedure="false">"A35064"</definedName>
    <definedName function="false" hidden="false" name="FDD_117_13" vbProcedure="false">"A35430"</definedName>
    <definedName function="false" hidden="false" name="FDD_117_14" vbProcedure="false">"A35795"</definedName>
    <definedName function="false" hidden="false" name="FDD_117_2" vbProcedure="false">"A31412"</definedName>
    <definedName function="false" hidden="false" name="FDD_117_3" vbProcedure="false">"A31777"</definedName>
    <definedName function="false" hidden="false" name="FDD_117_4" vbProcedure="false">"A32142"</definedName>
    <definedName function="false" hidden="false" name="FDD_117_5" vbProcedure="false">"A32508"</definedName>
    <definedName function="false" hidden="false" name="FDD_117_6" vbProcedure="false">"A32873"</definedName>
    <definedName function="false" hidden="false" name="FDD_117_7" vbProcedure="false">"A33238"</definedName>
    <definedName function="false" hidden="false" name="FDD_117_8" vbProcedure="false">"A33603"</definedName>
    <definedName function="false" hidden="false" name="FDD_117_9" vbProcedure="false">"A33969"</definedName>
    <definedName function="false" hidden="false" name="FDD_118_0" vbProcedure="false">"A30681"</definedName>
    <definedName function="false" hidden="false" name="FDD_118_1" vbProcedure="false">"A31047"</definedName>
    <definedName function="false" hidden="false" name="FDD_118_10" vbProcedure="false">"A34334"</definedName>
    <definedName function="false" hidden="false" name="FDD_118_11" vbProcedure="false">"A34699"</definedName>
    <definedName function="false" hidden="false" name="FDD_118_12" vbProcedure="false">"A35064"</definedName>
    <definedName function="false" hidden="false" name="FDD_118_13" vbProcedure="false">"A35430"</definedName>
    <definedName function="false" hidden="false" name="FDD_118_14" vbProcedure="false">"A35795"</definedName>
    <definedName function="false" hidden="false" name="FDD_118_2" vbProcedure="false">"A31412"</definedName>
    <definedName function="false" hidden="false" name="FDD_118_3" vbProcedure="false">"A31777"</definedName>
    <definedName function="false" hidden="false" name="FDD_118_4" vbProcedure="false">"A32142"</definedName>
    <definedName function="false" hidden="false" name="FDD_118_5" vbProcedure="false">"A32508"</definedName>
    <definedName function="false" hidden="false" name="FDD_118_6" vbProcedure="false">"A32873"</definedName>
    <definedName function="false" hidden="false" name="FDD_118_7" vbProcedure="false">"A33238"</definedName>
    <definedName function="false" hidden="false" name="FDD_118_8" vbProcedure="false">"A33603"</definedName>
    <definedName function="false" hidden="false" name="FDD_118_9" vbProcedure="false">"A33969"</definedName>
    <definedName function="false" hidden="false" name="FDD_119_0" vbProcedure="false">"A30681"</definedName>
    <definedName function="false" hidden="false" name="FDD_119_1" vbProcedure="false">"A31047"</definedName>
    <definedName function="false" hidden="false" name="FDD_119_10" vbProcedure="false">"A34334"</definedName>
    <definedName function="false" hidden="false" name="FDD_119_11" vbProcedure="false">"A34699"</definedName>
    <definedName function="false" hidden="false" name="FDD_119_12" vbProcedure="false">"A35064"</definedName>
    <definedName function="false" hidden="false" name="FDD_119_13" vbProcedure="false">"A35430"</definedName>
    <definedName function="false" hidden="false" name="FDD_119_14" vbProcedure="false">"A35795"</definedName>
    <definedName function="false" hidden="false" name="FDD_119_2" vbProcedure="false">"A31412"</definedName>
    <definedName function="false" hidden="false" name="FDD_119_3" vbProcedure="false">"A31777"</definedName>
    <definedName function="false" hidden="false" name="FDD_119_4" vbProcedure="false">"A32142"</definedName>
    <definedName function="false" hidden="false" name="FDD_119_5" vbProcedure="false">"A32508"</definedName>
    <definedName function="false" hidden="false" name="FDD_119_6" vbProcedure="false">"A32873"</definedName>
    <definedName function="false" hidden="false" name="FDD_119_7" vbProcedure="false">"A33238"</definedName>
    <definedName function="false" hidden="false" name="FDD_119_8" vbProcedure="false">"A33603"</definedName>
    <definedName function="false" hidden="false" name="FDD_119_9" vbProcedure="false">"A33969"</definedName>
    <definedName function="false" hidden="false" name="FDD_11_0" vbProcedure="false">"A25569"</definedName>
    <definedName function="false" hidden="false" name="FDD_120_0" vbProcedure="false">"A30681"</definedName>
    <definedName function="false" hidden="false" name="FDD_120_1" vbProcedure="false">"A31047"</definedName>
    <definedName function="false" hidden="false" name="FDD_120_10" vbProcedure="false">"A34334"</definedName>
    <definedName function="false" hidden="false" name="FDD_120_11" vbProcedure="false">"A34699"</definedName>
    <definedName function="false" hidden="false" name="FDD_120_12" vbProcedure="false">"A35064"</definedName>
    <definedName function="false" hidden="false" name="FDD_120_13" vbProcedure="false">"A35430"</definedName>
    <definedName function="false" hidden="false" name="FDD_120_14" vbProcedure="false">"A35795"</definedName>
    <definedName function="false" hidden="false" name="FDD_120_2" vbProcedure="false">"A31412"</definedName>
    <definedName function="false" hidden="false" name="FDD_120_3" vbProcedure="false">"A31777"</definedName>
    <definedName function="false" hidden="false" name="FDD_120_4" vbProcedure="false">"A32142"</definedName>
    <definedName function="false" hidden="false" name="FDD_120_5" vbProcedure="false">"A32508"</definedName>
    <definedName function="false" hidden="false" name="FDD_120_6" vbProcedure="false">"A32873"</definedName>
    <definedName function="false" hidden="false" name="FDD_120_7" vbProcedure="false">"A33238"</definedName>
    <definedName function="false" hidden="false" name="FDD_120_8" vbProcedure="false">"A33603"</definedName>
    <definedName function="false" hidden="false" name="FDD_120_9" vbProcedure="false">"A33969"</definedName>
    <definedName function="false" hidden="false" name="FDD_121_0" vbProcedure="false">"A30681"</definedName>
    <definedName function="false" hidden="false" name="FDD_121_1" vbProcedure="false">"A31047"</definedName>
    <definedName function="false" hidden="false" name="FDD_121_10" vbProcedure="false">"A34334"</definedName>
    <definedName function="false" hidden="false" name="FDD_121_11" vbProcedure="false">"A34699"</definedName>
    <definedName function="false" hidden="false" name="FDD_121_12" vbProcedure="false">"A35064"</definedName>
    <definedName function="false" hidden="false" name="FDD_121_13" vbProcedure="false">"A35430"</definedName>
    <definedName function="false" hidden="false" name="FDD_121_14" vbProcedure="false">"A35795"</definedName>
    <definedName function="false" hidden="false" name="FDD_121_2" vbProcedure="false">"A31412"</definedName>
    <definedName function="false" hidden="false" name="FDD_121_3" vbProcedure="false">"A31777"</definedName>
    <definedName function="false" hidden="false" name="FDD_121_4" vbProcedure="false">"A32142"</definedName>
    <definedName function="false" hidden="false" name="FDD_121_5" vbProcedure="false">"A32508"</definedName>
    <definedName function="false" hidden="false" name="FDD_121_6" vbProcedure="false">"A32873"</definedName>
    <definedName function="false" hidden="false" name="FDD_121_7" vbProcedure="false">"A33238"</definedName>
    <definedName function="false" hidden="false" name="FDD_121_8" vbProcedure="false">"A33603"</definedName>
    <definedName function="false" hidden="false" name="FDD_121_9" vbProcedure="false">"A33969"</definedName>
    <definedName function="false" hidden="false" name="FDD_122_0" vbProcedure="false">"A30681"</definedName>
    <definedName function="false" hidden="false" name="FDD_122_1" vbProcedure="false">"A31047"</definedName>
    <definedName function="false" hidden="false" name="FDD_122_10" vbProcedure="false">"A34334"</definedName>
    <definedName function="false" hidden="false" name="FDD_122_11" vbProcedure="false">"A34699"</definedName>
    <definedName function="false" hidden="false" name="FDD_122_12" vbProcedure="false">"A35064"</definedName>
    <definedName function="false" hidden="false" name="FDD_122_13" vbProcedure="false">"A35430"</definedName>
    <definedName function="false" hidden="false" name="FDD_122_14" vbProcedure="false">"A35795"</definedName>
    <definedName function="false" hidden="false" name="FDD_122_2" vbProcedure="false">"A31412"</definedName>
    <definedName function="false" hidden="false" name="FDD_122_3" vbProcedure="false">"A31777"</definedName>
    <definedName function="false" hidden="false" name="FDD_122_4" vbProcedure="false">"A32142"</definedName>
    <definedName function="false" hidden="false" name="FDD_122_5" vbProcedure="false">"A32508"</definedName>
    <definedName function="false" hidden="false" name="FDD_122_6" vbProcedure="false">"A32873"</definedName>
    <definedName function="false" hidden="false" name="FDD_122_7" vbProcedure="false">"A33238"</definedName>
    <definedName function="false" hidden="false" name="FDD_122_8" vbProcedure="false">"A33603"</definedName>
    <definedName function="false" hidden="false" name="FDD_122_9" vbProcedure="false">"A33969"</definedName>
    <definedName function="false" hidden="false" name="FDD_123_0" vbProcedure="false">"A30681"</definedName>
    <definedName function="false" hidden="false" name="FDD_123_1" vbProcedure="false">"A31047"</definedName>
    <definedName function="false" hidden="false" name="FDD_123_10" vbProcedure="false">"A34334"</definedName>
    <definedName function="false" hidden="false" name="FDD_123_11" vbProcedure="false">"A34699"</definedName>
    <definedName function="false" hidden="false" name="FDD_123_12" vbProcedure="false">"A35064"</definedName>
    <definedName function="false" hidden="false" name="FDD_123_13" vbProcedure="false">"A35430"</definedName>
    <definedName function="false" hidden="false" name="FDD_123_14" vbProcedure="false">"A35795"</definedName>
    <definedName function="false" hidden="false" name="FDD_123_2" vbProcedure="false">"A31412"</definedName>
    <definedName function="false" hidden="false" name="FDD_123_3" vbProcedure="false">"A31777"</definedName>
    <definedName function="false" hidden="false" name="FDD_123_4" vbProcedure="false">"A32142"</definedName>
    <definedName function="false" hidden="false" name="FDD_123_5" vbProcedure="false">"A32508"</definedName>
    <definedName function="false" hidden="false" name="FDD_123_6" vbProcedure="false">"A32873"</definedName>
    <definedName function="false" hidden="false" name="FDD_123_7" vbProcedure="false">"A33238"</definedName>
    <definedName function="false" hidden="false" name="FDD_123_8" vbProcedure="false">"A33603"</definedName>
    <definedName function="false" hidden="false" name="FDD_123_9" vbProcedure="false">"A33969"</definedName>
    <definedName function="false" hidden="false" name="FDD_124_0" vbProcedure="false">"A30681"</definedName>
    <definedName function="false" hidden="false" name="FDD_124_1" vbProcedure="false">"A31047"</definedName>
    <definedName function="false" hidden="false" name="FDD_124_10" vbProcedure="false">"A34334"</definedName>
    <definedName function="false" hidden="false" name="FDD_124_11" vbProcedure="false">"A34699"</definedName>
    <definedName function="false" hidden="false" name="FDD_124_12" vbProcedure="false">"A35064"</definedName>
    <definedName function="false" hidden="false" name="FDD_124_13" vbProcedure="false">"A35430"</definedName>
    <definedName function="false" hidden="false" name="FDD_124_14" vbProcedure="false">"A35795"</definedName>
    <definedName function="false" hidden="false" name="FDD_124_2" vbProcedure="false">"A31412"</definedName>
    <definedName function="false" hidden="false" name="FDD_124_3" vbProcedure="false">"A31777"</definedName>
    <definedName function="false" hidden="false" name="FDD_124_4" vbProcedure="false">"A32142"</definedName>
    <definedName function="false" hidden="false" name="FDD_124_5" vbProcedure="false">"A32508"</definedName>
    <definedName function="false" hidden="false" name="FDD_124_6" vbProcedure="false">"A32873"</definedName>
    <definedName function="false" hidden="false" name="FDD_124_7" vbProcedure="false">"A33238"</definedName>
    <definedName function="false" hidden="false" name="FDD_124_8" vbProcedure="false">"A33603"</definedName>
    <definedName function="false" hidden="false" name="FDD_124_9" vbProcedure="false">"A33969"</definedName>
    <definedName function="false" hidden="false" name="FDD_125_0" vbProcedure="false">"A30681"</definedName>
    <definedName function="false" hidden="false" name="FDD_125_1" vbProcedure="false">"A31047"</definedName>
    <definedName function="false" hidden="false" name="FDD_125_10" vbProcedure="false">"A34334"</definedName>
    <definedName function="false" hidden="false" name="FDD_125_11" vbProcedure="false">"A34699"</definedName>
    <definedName function="false" hidden="false" name="FDD_125_12" vbProcedure="false">"A35064"</definedName>
    <definedName function="false" hidden="false" name="FDD_125_13" vbProcedure="false">"A35430"</definedName>
    <definedName function="false" hidden="false" name="FDD_125_14" vbProcedure="false">"A35795"</definedName>
    <definedName function="false" hidden="false" name="FDD_125_2" vbProcedure="false">"A31412"</definedName>
    <definedName function="false" hidden="false" name="FDD_125_3" vbProcedure="false">"A31777"</definedName>
    <definedName function="false" hidden="false" name="FDD_125_4" vbProcedure="false">"A32142"</definedName>
    <definedName function="false" hidden="false" name="FDD_125_5" vbProcedure="false">"A32508"</definedName>
    <definedName function="false" hidden="false" name="FDD_125_6" vbProcedure="false">"A32873"</definedName>
    <definedName function="false" hidden="false" name="FDD_125_7" vbProcedure="false">"A33238"</definedName>
    <definedName function="false" hidden="false" name="FDD_125_8" vbProcedure="false">"A33603"</definedName>
    <definedName function="false" hidden="false" name="FDD_125_9" vbProcedure="false">"A33969"</definedName>
    <definedName function="false" hidden="false" name="FDD_126_0" vbProcedure="false">"A30681"</definedName>
    <definedName function="false" hidden="false" name="FDD_126_1" vbProcedure="false">"A31047"</definedName>
    <definedName function="false" hidden="false" name="FDD_126_10" vbProcedure="false">"A34334"</definedName>
    <definedName function="false" hidden="false" name="FDD_126_11" vbProcedure="false">"A34699"</definedName>
    <definedName function="false" hidden="false" name="FDD_126_12" vbProcedure="false">"A35064"</definedName>
    <definedName function="false" hidden="false" name="FDD_126_13" vbProcedure="false">"A35430"</definedName>
    <definedName function="false" hidden="false" name="FDD_126_14" vbProcedure="false">"A35795"</definedName>
    <definedName function="false" hidden="false" name="FDD_126_2" vbProcedure="false">"A31412"</definedName>
    <definedName function="false" hidden="false" name="FDD_126_3" vbProcedure="false">"A31777"</definedName>
    <definedName function="false" hidden="false" name="FDD_126_4" vbProcedure="false">"A32142"</definedName>
    <definedName function="false" hidden="false" name="FDD_126_5" vbProcedure="false">"A32508"</definedName>
    <definedName function="false" hidden="false" name="FDD_126_6" vbProcedure="false">"A32873"</definedName>
    <definedName function="false" hidden="false" name="FDD_126_7" vbProcedure="false">"A33238"</definedName>
    <definedName function="false" hidden="false" name="FDD_126_8" vbProcedure="false">"A33603"</definedName>
    <definedName function="false" hidden="false" name="FDD_126_9" vbProcedure="false">"A33969"</definedName>
    <definedName function="false" hidden="false" name="FDD_127_0" vbProcedure="false">"A30681"</definedName>
    <definedName function="false" hidden="false" name="FDD_127_1" vbProcedure="false">"A31047"</definedName>
    <definedName function="false" hidden="false" name="FDD_127_10" vbProcedure="false">"A34334"</definedName>
    <definedName function="false" hidden="false" name="FDD_127_11" vbProcedure="false">"A34699"</definedName>
    <definedName function="false" hidden="false" name="FDD_127_12" vbProcedure="false">"A35064"</definedName>
    <definedName function="false" hidden="false" name="FDD_127_13" vbProcedure="false">"A35430"</definedName>
    <definedName function="false" hidden="false" name="FDD_127_14" vbProcedure="false">"A35795"</definedName>
    <definedName function="false" hidden="false" name="FDD_127_2" vbProcedure="false">"A31412"</definedName>
    <definedName function="false" hidden="false" name="FDD_127_3" vbProcedure="false">"A31777"</definedName>
    <definedName function="false" hidden="false" name="FDD_127_4" vbProcedure="false">"A32142"</definedName>
    <definedName function="false" hidden="false" name="FDD_127_5" vbProcedure="false">"A32508"</definedName>
    <definedName function="false" hidden="false" name="FDD_127_6" vbProcedure="false">"A32873"</definedName>
    <definedName function="false" hidden="false" name="FDD_127_7" vbProcedure="false">"A33238"</definedName>
    <definedName function="false" hidden="false" name="FDD_127_8" vbProcedure="false">"A33603"</definedName>
    <definedName function="false" hidden="false" name="FDD_127_9" vbProcedure="false">"A33969"</definedName>
    <definedName function="false" hidden="false" name="FDD_128_0" vbProcedure="false">"A30681"</definedName>
    <definedName function="false" hidden="false" name="FDD_128_1" vbProcedure="false">"A31047"</definedName>
    <definedName function="false" hidden="false" name="FDD_128_10" vbProcedure="false">"A34334"</definedName>
    <definedName function="false" hidden="false" name="FDD_128_11" vbProcedure="false">"A34699"</definedName>
    <definedName function="false" hidden="false" name="FDD_128_12" vbProcedure="false">"A35064"</definedName>
    <definedName function="false" hidden="false" name="FDD_128_13" vbProcedure="false">"A35430"</definedName>
    <definedName function="false" hidden="false" name="FDD_128_14" vbProcedure="false">"A35795"</definedName>
    <definedName function="false" hidden="false" name="FDD_128_2" vbProcedure="false">"A31412"</definedName>
    <definedName function="false" hidden="false" name="FDD_128_3" vbProcedure="false">"A31777"</definedName>
    <definedName function="false" hidden="false" name="FDD_128_4" vbProcedure="false">"A32142"</definedName>
    <definedName function="false" hidden="false" name="FDD_128_5" vbProcedure="false">"A32508"</definedName>
    <definedName function="false" hidden="false" name="FDD_128_6" vbProcedure="false">"A32873"</definedName>
    <definedName function="false" hidden="false" name="FDD_128_7" vbProcedure="false">"A33238"</definedName>
    <definedName function="false" hidden="false" name="FDD_128_8" vbProcedure="false">"A33603"</definedName>
    <definedName function="false" hidden="false" name="FDD_128_9" vbProcedure="false">"A33969"</definedName>
    <definedName function="false" hidden="false" name="FDD_129_0" vbProcedure="false">"A30681"</definedName>
    <definedName function="false" hidden="false" name="FDD_129_1" vbProcedure="false">"A31047"</definedName>
    <definedName function="false" hidden="false" name="FDD_129_10" vbProcedure="false">"A34334"</definedName>
    <definedName function="false" hidden="false" name="FDD_129_11" vbProcedure="false">"A34699"</definedName>
    <definedName function="false" hidden="false" name="FDD_129_12" vbProcedure="false">"A35064"</definedName>
    <definedName function="false" hidden="false" name="FDD_129_13" vbProcedure="false">"A35430"</definedName>
    <definedName function="false" hidden="false" name="FDD_129_14" vbProcedure="false">"A35795"</definedName>
    <definedName function="false" hidden="false" name="FDD_129_2" vbProcedure="false">"A31412"</definedName>
    <definedName function="false" hidden="false" name="FDD_129_3" vbProcedure="false">"A31777"</definedName>
    <definedName function="false" hidden="false" name="FDD_129_4" vbProcedure="false">"A32142"</definedName>
    <definedName function="false" hidden="false" name="FDD_129_5" vbProcedure="false">"A32508"</definedName>
    <definedName function="false" hidden="false" name="FDD_129_6" vbProcedure="false">"A32873"</definedName>
    <definedName function="false" hidden="false" name="FDD_129_7" vbProcedure="false">"A33238"</definedName>
    <definedName function="false" hidden="false" name="FDD_129_8" vbProcedure="false">"A33603"</definedName>
    <definedName function="false" hidden="false" name="FDD_129_9" vbProcedure="false">"A33969"</definedName>
    <definedName function="false" hidden="false" name="FDD_12_0" vbProcedure="false">"A25569"</definedName>
    <definedName function="false" hidden="false" name="FDD_130_0" vbProcedure="false">"A30681"</definedName>
    <definedName function="false" hidden="false" name="FDD_130_1" vbProcedure="false">"A31047"</definedName>
    <definedName function="false" hidden="false" name="FDD_130_10" vbProcedure="false">"A34334"</definedName>
    <definedName function="false" hidden="false" name="FDD_130_11" vbProcedure="false">"A34699"</definedName>
    <definedName function="false" hidden="false" name="FDD_130_12" vbProcedure="false">"A35064"</definedName>
    <definedName function="false" hidden="false" name="FDD_130_13" vbProcedure="false">"A35430"</definedName>
    <definedName function="false" hidden="false" name="FDD_130_14" vbProcedure="false">"A35795"</definedName>
    <definedName function="false" hidden="false" name="FDD_130_2" vbProcedure="false">"A31412"</definedName>
    <definedName function="false" hidden="false" name="FDD_130_3" vbProcedure="false">"A31777"</definedName>
    <definedName function="false" hidden="false" name="FDD_130_4" vbProcedure="false">"A32142"</definedName>
    <definedName function="false" hidden="false" name="FDD_130_5" vbProcedure="false">"A32508"</definedName>
    <definedName function="false" hidden="false" name="FDD_130_6" vbProcedure="false">"A32873"</definedName>
    <definedName function="false" hidden="false" name="FDD_130_7" vbProcedure="false">"A33238"</definedName>
    <definedName function="false" hidden="false" name="FDD_130_8" vbProcedure="false">"A33603"</definedName>
    <definedName function="false" hidden="false" name="FDD_130_9" vbProcedure="false">"A33969"</definedName>
    <definedName function="false" hidden="false" name="FDD_131_0" vbProcedure="false">"A30681"</definedName>
    <definedName function="false" hidden="false" name="FDD_131_1" vbProcedure="false">"A31047"</definedName>
    <definedName function="false" hidden="false" name="FDD_131_10" vbProcedure="false">"A34334"</definedName>
    <definedName function="false" hidden="false" name="FDD_131_11" vbProcedure="false">"A34699"</definedName>
    <definedName function="false" hidden="false" name="FDD_131_12" vbProcedure="false">"A35064"</definedName>
    <definedName function="false" hidden="false" name="FDD_131_13" vbProcedure="false">"A35430"</definedName>
    <definedName function="false" hidden="false" name="FDD_131_14" vbProcedure="false">"A35795"</definedName>
    <definedName function="false" hidden="false" name="FDD_131_2" vbProcedure="false">"A31412"</definedName>
    <definedName function="false" hidden="false" name="FDD_131_3" vbProcedure="false">"A31777"</definedName>
    <definedName function="false" hidden="false" name="FDD_131_4" vbProcedure="false">"A32142"</definedName>
    <definedName function="false" hidden="false" name="FDD_131_5" vbProcedure="false">"A32508"</definedName>
    <definedName function="false" hidden="false" name="FDD_131_6" vbProcedure="false">"A32873"</definedName>
    <definedName function="false" hidden="false" name="FDD_131_7" vbProcedure="false">"A33238"</definedName>
    <definedName function="false" hidden="false" name="FDD_131_8" vbProcedure="false">"A33603"</definedName>
    <definedName function="false" hidden="false" name="FDD_131_9" vbProcedure="false">"A33969"</definedName>
    <definedName function="false" hidden="false" name="FDD_132_0" vbProcedure="false">"U30681"</definedName>
    <definedName function="false" hidden="false" name="FDD_132_1" vbProcedure="false">"U31047"</definedName>
    <definedName function="false" hidden="false" name="FDD_132_10" vbProcedure="false">"U34334"</definedName>
    <definedName function="false" hidden="false" name="FDD_132_11" vbProcedure="false">"U34699"</definedName>
    <definedName function="false" hidden="false" name="FDD_132_12" vbProcedure="false">"U35064"</definedName>
    <definedName function="false" hidden="false" name="FDD_132_13" vbProcedure="false">"U35430"</definedName>
    <definedName function="false" hidden="false" name="FDD_132_14" vbProcedure="false">"U35795"</definedName>
    <definedName function="false" hidden="false" name="FDD_132_2" vbProcedure="false">"U31412"</definedName>
    <definedName function="false" hidden="false" name="FDD_132_3" vbProcedure="false">"U31777"</definedName>
    <definedName function="false" hidden="false" name="FDD_132_4" vbProcedure="false">"U32142"</definedName>
    <definedName function="false" hidden="false" name="FDD_132_5" vbProcedure="false">"U32508"</definedName>
    <definedName function="false" hidden="false" name="FDD_132_6" vbProcedure="false">"U32873"</definedName>
    <definedName function="false" hidden="false" name="FDD_132_7" vbProcedure="false">"U33238"</definedName>
    <definedName function="false" hidden="false" name="FDD_132_8" vbProcedure="false">"U33603"</definedName>
    <definedName function="false" hidden="false" name="FDD_132_9" vbProcedure="false">"U33969"</definedName>
    <definedName function="false" hidden="false" name="FDD_133_0" vbProcedure="false">"A30681"</definedName>
    <definedName function="false" hidden="false" name="FDD_133_1" vbProcedure="false">"A31047"</definedName>
    <definedName function="false" hidden="false" name="FDD_133_10" vbProcedure="false">"A34334"</definedName>
    <definedName function="false" hidden="false" name="FDD_133_11" vbProcedure="false">"A34699"</definedName>
    <definedName function="false" hidden="false" name="FDD_133_12" vbProcedure="false">"A35064"</definedName>
    <definedName function="false" hidden="false" name="FDD_133_13" vbProcedure="false">"A35430"</definedName>
    <definedName function="false" hidden="false" name="FDD_133_14" vbProcedure="false">"A35795"</definedName>
    <definedName function="false" hidden="false" name="FDD_133_2" vbProcedure="false">"A31412"</definedName>
    <definedName function="false" hidden="false" name="FDD_133_3" vbProcedure="false">"A31777"</definedName>
    <definedName function="false" hidden="false" name="FDD_133_4" vbProcedure="false">"A32142"</definedName>
    <definedName function="false" hidden="false" name="FDD_133_5" vbProcedure="false">"A32508"</definedName>
    <definedName function="false" hidden="false" name="FDD_133_6" vbProcedure="false">"A32873"</definedName>
    <definedName function="false" hidden="false" name="FDD_133_7" vbProcedure="false">"A33238"</definedName>
    <definedName function="false" hidden="false" name="FDD_133_8" vbProcedure="false">"A33603"</definedName>
    <definedName function="false" hidden="false" name="FDD_133_9" vbProcedure="false">"A33969"</definedName>
    <definedName function="false" hidden="false" name="FDD_134_0" vbProcedure="false">"A30681"</definedName>
    <definedName function="false" hidden="false" name="FDD_134_1" vbProcedure="false">"A31047"</definedName>
    <definedName function="false" hidden="false" name="FDD_134_10" vbProcedure="false">"A34334"</definedName>
    <definedName function="false" hidden="false" name="FDD_134_11" vbProcedure="false">"A34699"</definedName>
    <definedName function="false" hidden="false" name="FDD_134_12" vbProcedure="false">"A35064"</definedName>
    <definedName function="false" hidden="false" name="FDD_134_13" vbProcedure="false">"A35430"</definedName>
    <definedName function="false" hidden="false" name="FDD_134_14" vbProcedure="false">"A35795"</definedName>
    <definedName function="false" hidden="false" name="FDD_134_2" vbProcedure="false">"A31412"</definedName>
    <definedName function="false" hidden="false" name="FDD_134_3" vbProcedure="false">"A31777"</definedName>
    <definedName function="false" hidden="false" name="FDD_134_4" vbProcedure="false">"A32142"</definedName>
    <definedName function="false" hidden="false" name="FDD_134_5" vbProcedure="false">"A32508"</definedName>
    <definedName function="false" hidden="false" name="FDD_134_6" vbProcedure="false">"A32873"</definedName>
    <definedName function="false" hidden="false" name="FDD_134_7" vbProcedure="false">"A33238"</definedName>
    <definedName function="false" hidden="false" name="FDD_134_8" vbProcedure="false">"A33603"</definedName>
    <definedName function="false" hidden="false" name="FDD_134_9" vbProcedure="false">"A33969"</definedName>
    <definedName function="false" hidden="false" name="FDD_135_0" vbProcedure="false">"A30681"</definedName>
    <definedName function="false" hidden="false" name="FDD_135_1" vbProcedure="false">"A31047"</definedName>
    <definedName function="false" hidden="false" name="FDD_135_10" vbProcedure="false">"A34334"</definedName>
    <definedName function="false" hidden="false" name="FDD_135_11" vbProcedure="false">"A34699"</definedName>
    <definedName function="false" hidden="false" name="FDD_135_12" vbProcedure="false">"A35064"</definedName>
    <definedName function="false" hidden="false" name="FDD_135_13" vbProcedure="false">"A35430"</definedName>
    <definedName function="false" hidden="false" name="FDD_135_14" vbProcedure="false">"A35795"</definedName>
    <definedName function="false" hidden="false" name="FDD_135_2" vbProcedure="false">"A31412"</definedName>
    <definedName function="false" hidden="false" name="FDD_135_3" vbProcedure="false">"A31777"</definedName>
    <definedName function="false" hidden="false" name="FDD_135_4" vbProcedure="false">"A32142"</definedName>
    <definedName function="false" hidden="false" name="FDD_135_5" vbProcedure="false">"A32508"</definedName>
    <definedName function="false" hidden="false" name="FDD_135_6" vbProcedure="false">"A32873"</definedName>
    <definedName function="false" hidden="false" name="FDD_135_7" vbProcedure="false">"A33238"</definedName>
    <definedName function="false" hidden="false" name="FDD_135_8" vbProcedure="false">"A33603"</definedName>
    <definedName function="false" hidden="false" name="FDD_135_9" vbProcedure="false">"A33969"</definedName>
    <definedName function="false" hidden="false" name="FDD_136_0" vbProcedure="false">"A30681"</definedName>
    <definedName function="false" hidden="false" name="FDD_136_1" vbProcedure="false">"A31047"</definedName>
    <definedName function="false" hidden="false" name="FDD_136_10" vbProcedure="false">"A34334"</definedName>
    <definedName function="false" hidden="false" name="FDD_136_11" vbProcedure="false">"A34699"</definedName>
    <definedName function="false" hidden="false" name="FDD_136_12" vbProcedure="false">"A35064"</definedName>
    <definedName function="false" hidden="false" name="FDD_136_13" vbProcedure="false">"A35430"</definedName>
    <definedName function="false" hidden="false" name="FDD_136_14" vbProcedure="false">"A35795"</definedName>
    <definedName function="false" hidden="false" name="FDD_136_2" vbProcedure="false">"A31412"</definedName>
    <definedName function="false" hidden="false" name="FDD_136_3" vbProcedure="false">"A31777"</definedName>
    <definedName function="false" hidden="false" name="FDD_136_4" vbProcedure="false">"A32142"</definedName>
    <definedName function="false" hidden="false" name="FDD_136_5" vbProcedure="false">"A32508"</definedName>
    <definedName function="false" hidden="false" name="FDD_136_6" vbProcedure="false">"A32873"</definedName>
    <definedName function="false" hidden="false" name="FDD_136_7" vbProcedure="false">"A33238"</definedName>
    <definedName function="false" hidden="false" name="FDD_136_8" vbProcedure="false">"A33603"</definedName>
    <definedName function="false" hidden="false" name="FDD_136_9" vbProcedure="false">"A33969"</definedName>
    <definedName function="false" hidden="false" name="FDD_137_0" vbProcedure="false">"A30681"</definedName>
    <definedName function="false" hidden="false" name="FDD_137_1" vbProcedure="false">"A31047"</definedName>
    <definedName function="false" hidden="false" name="FDD_137_10" vbProcedure="false">"A34334"</definedName>
    <definedName function="false" hidden="false" name="FDD_137_11" vbProcedure="false">"A34699"</definedName>
    <definedName function="false" hidden="false" name="FDD_137_12" vbProcedure="false">"A35064"</definedName>
    <definedName function="false" hidden="false" name="FDD_137_13" vbProcedure="false">"A35430"</definedName>
    <definedName function="false" hidden="false" name="FDD_137_14" vbProcedure="false">"A35795"</definedName>
    <definedName function="false" hidden="false" name="FDD_137_2" vbProcedure="false">"A31412"</definedName>
    <definedName function="false" hidden="false" name="FDD_137_3" vbProcedure="false">"A31777"</definedName>
    <definedName function="false" hidden="false" name="FDD_137_4" vbProcedure="false">"A32142"</definedName>
    <definedName function="false" hidden="false" name="FDD_137_5" vbProcedure="false">"A32508"</definedName>
    <definedName function="false" hidden="false" name="FDD_137_6" vbProcedure="false">"A32873"</definedName>
    <definedName function="false" hidden="false" name="FDD_137_7" vbProcedure="false">"A33238"</definedName>
    <definedName function="false" hidden="false" name="FDD_137_8" vbProcedure="false">"A33603"</definedName>
    <definedName function="false" hidden="false" name="FDD_137_9" vbProcedure="false">"A33969"</definedName>
    <definedName function="false" hidden="false" name="FDD_138_0" vbProcedure="false">"A30681"</definedName>
    <definedName function="false" hidden="false" name="FDD_138_1" vbProcedure="false">"A31047"</definedName>
    <definedName function="false" hidden="false" name="FDD_138_10" vbProcedure="false">"A34334"</definedName>
    <definedName function="false" hidden="false" name="FDD_138_11" vbProcedure="false">"A34699"</definedName>
    <definedName function="false" hidden="false" name="FDD_138_12" vbProcedure="false">"A35064"</definedName>
    <definedName function="false" hidden="false" name="FDD_138_13" vbProcedure="false">"A35430"</definedName>
    <definedName function="false" hidden="false" name="FDD_138_14" vbProcedure="false">"A35795"</definedName>
    <definedName function="false" hidden="false" name="FDD_138_2" vbProcedure="false">"A31412"</definedName>
    <definedName function="false" hidden="false" name="FDD_138_3" vbProcedure="false">"A31777"</definedName>
    <definedName function="false" hidden="false" name="FDD_138_4" vbProcedure="false">"A32142"</definedName>
    <definedName function="false" hidden="false" name="FDD_138_5" vbProcedure="false">"A32508"</definedName>
    <definedName function="false" hidden="false" name="FDD_138_6" vbProcedure="false">"A32873"</definedName>
    <definedName function="false" hidden="false" name="FDD_138_7" vbProcedure="false">"A33238"</definedName>
    <definedName function="false" hidden="false" name="FDD_138_8" vbProcedure="false">"A33603"</definedName>
    <definedName function="false" hidden="false" name="FDD_138_9" vbProcedure="false">"A33969"</definedName>
    <definedName function="false" hidden="false" name="FDD_139_0" vbProcedure="false">"A30681"</definedName>
    <definedName function="false" hidden="false" name="FDD_139_1" vbProcedure="false">"A31047"</definedName>
    <definedName function="false" hidden="false" name="FDD_139_10" vbProcedure="false">"U34334"</definedName>
    <definedName function="false" hidden="false" name="FDD_139_11" vbProcedure="false">"U34699"</definedName>
    <definedName function="false" hidden="false" name="FDD_139_12" vbProcedure="false">"U35064"</definedName>
    <definedName function="false" hidden="false" name="FDD_139_13" vbProcedure="false">"U35430"</definedName>
    <definedName function="false" hidden="false" name="FDD_139_14" vbProcedure="false">"U35795"</definedName>
    <definedName function="false" hidden="false" name="FDD_139_2" vbProcedure="false">"A31412"</definedName>
    <definedName function="false" hidden="false" name="FDD_139_3" vbProcedure="false">"U31777"</definedName>
    <definedName function="false" hidden="false" name="FDD_139_4" vbProcedure="false">"U32142"</definedName>
    <definedName function="false" hidden="false" name="FDD_139_5" vbProcedure="false">"U32508"</definedName>
    <definedName function="false" hidden="false" name="FDD_139_6" vbProcedure="false">"U32873"</definedName>
    <definedName function="false" hidden="false" name="FDD_139_7" vbProcedure="false">"U33238"</definedName>
    <definedName function="false" hidden="false" name="FDD_139_8" vbProcedure="false">"U33603"</definedName>
    <definedName function="false" hidden="false" name="FDD_139_9" vbProcedure="false">"U33969"</definedName>
    <definedName function="false" hidden="false" name="FDD_13_0" vbProcedure="false">"A25569"</definedName>
    <definedName function="false" hidden="false" name="FDD_140_0" vbProcedure="false">"A25569"</definedName>
    <definedName function="false" hidden="false" name="FDD_141_0" vbProcedure="false">"A30681"</definedName>
    <definedName function="false" hidden="false" name="FDD_141_1" vbProcedure="false">"A31047"</definedName>
    <definedName function="false" hidden="false" name="FDD_141_10" vbProcedure="false">"A34334"</definedName>
    <definedName function="false" hidden="false" name="FDD_141_11" vbProcedure="false">"A34699"</definedName>
    <definedName function="false" hidden="false" name="FDD_141_12" vbProcedure="false">"A35064"</definedName>
    <definedName function="false" hidden="false" name="FDD_141_13" vbProcedure="false">"A35430"</definedName>
    <definedName function="false" hidden="false" name="FDD_141_14" vbProcedure="false">"A35795"</definedName>
    <definedName function="false" hidden="false" name="FDD_141_2" vbProcedure="false">"A31412"</definedName>
    <definedName function="false" hidden="false" name="FDD_141_3" vbProcedure="false">"A31777"</definedName>
    <definedName function="false" hidden="false" name="FDD_141_4" vbProcedure="false">"A32142"</definedName>
    <definedName function="false" hidden="false" name="FDD_141_5" vbProcedure="false">"A32508"</definedName>
    <definedName function="false" hidden="false" name="FDD_141_6" vbProcedure="false">"A32873"</definedName>
    <definedName function="false" hidden="false" name="FDD_141_7" vbProcedure="false">"A33238"</definedName>
    <definedName function="false" hidden="false" name="FDD_141_8" vbProcedure="false">"A33603"</definedName>
    <definedName function="false" hidden="false" name="FDD_141_9" vbProcedure="false">"A33969"</definedName>
    <definedName function="false" hidden="false" name="FDD_142_0" vbProcedure="false">"A30681"</definedName>
    <definedName function="false" hidden="false" name="FDD_142_1" vbProcedure="false">"A31047"</definedName>
    <definedName function="false" hidden="false" name="FDD_142_10" vbProcedure="false">"A34334"</definedName>
    <definedName function="false" hidden="false" name="FDD_142_11" vbProcedure="false">"A34699"</definedName>
    <definedName function="false" hidden="false" name="FDD_142_12" vbProcedure="false">"A35064"</definedName>
    <definedName function="false" hidden="false" name="FDD_142_13" vbProcedure="false">"A35430"</definedName>
    <definedName function="false" hidden="false" name="FDD_142_14" vbProcedure="false">"A35795"</definedName>
    <definedName function="false" hidden="false" name="FDD_142_2" vbProcedure="false">"A31412"</definedName>
    <definedName function="false" hidden="false" name="FDD_142_3" vbProcedure="false">"A31777"</definedName>
    <definedName function="false" hidden="false" name="FDD_142_4" vbProcedure="false">"A32142"</definedName>
    <definedName function="false" hidden="false" name="FDD_142_5" vbProcedure="false">"A32508"</definedName>
    <definedName function="false" hidden="false" name="FDD_142_6" vbProcedure="false">"A32873"</definedName>
    <definedName function="false" hidden="false" name="FDD_142_7" vbProcedure="false">"A33238"</definedName>
    <definedName function="false" hidden="false" name="FDD_142_8" vbProcedure="false">"A33603"</definedName>
    <definedName function="false" hidden="false" name="FDD_142_9" vbProcedure="false">"A33969"</definedName>
    <definedName function="false" hidden="false" name="FDD_143_0" vbProcedure="false">"A30681"</definedName>
    <definedName function="false" hidden="false" name="FDD_143_1" vbProcedure="false">"A31047"</definedName>
    <definedName function="false" hidden="false" name="FDD_143_10" vbProcedure="false">"A34334"</definedName>
    <definedName function="false" hidden="false" name="FDD_143_11" vbProcedure="false">"A34699"</definedName>
    <definedName function="false" hidden="false" name="FDD_143_12" vbProcedure="false">"A35064"</definedName>
    <definedName function="false" hidden="false" name="FDD_143_13" vbProcedure="false">"A35430"</definedName>
    <definedName function="false" hidden="false" name="FDD_143_14" vbProcedure="false">"A35795"</definedName>
    <definedName function="false" hidden="false" name="FDD_143_2" vbProcedure="false">"A31412"</definedName>
    <definedName function="false" hidden="false" name="FDD_143_3" vbProcedure="false">"A31777"</definedName>
    <definedName function="false" hidden="false" name="FDD_143_4" vbProcedure="false">"A32142"</definedName>
    <definedName function="false" hidden="false" name="FDD_143_5" vbProcedure="false">"A32508"</definedName>
    <definedName function="false" hidden="false" name="FDD_143_6" vbProcedure="false">"A32873"</definedName>
    <definedName function="false" hidden="false" name="FDD_143_7" vbProcedure="false">"A33238"</definedName>
    <definedName function="false" hidden="false" name="FDD_143_8" vbProcedure="false">"A33603"</definedName>
    <definedName function="false" hidden="false" name="FDD_143_9" vbProcedure="false">"A33969"</definedName>
    <definedName function="false" hidden="false" name="FDD_144_0" vbProcedure="false">"A30681"</definedName>
    <definedName function="false" hidden="false" name="FDD_144_1" vbProcedure="false">"A31047"</definedName>
    <definedName function="false" hidden="false" name="FDD_144_10" vbProcedure="false">"A34334"</definedName>
    <definedName function="false" hidden="false" name="FDD_144_11" vbProcedure="false">"A34699"</definedName>
    <definedName function="false" hidden="false" name="FDD_144_12" vbProcedure="false">"A35064"</definedName>
    <definedName function="false" hidden="false" name="FDD_144_13" vbProcedure="false">"A35430"</definedName>
    <definedName function="false" hidden="false" name="FDD_144_14" vbProcedure="false">"A35795"</definedName>
    <definedName function="false" hidden="false" name="FDD_144_2" vbProcedure="false">"A31412"</definedName>
    <definedName function="false" hidden="false" name="FDD_144_3" vbProcedure="false">"A31777"</definedName>
    <definedName function="false" hidden="false" name="FDD_144_4" vbProcedure="false">"A32142"</definedName>
    <definedName function="false" hidden="false" name="FDD_144_5" vbProcedure="false">"A32508"</definedName>
    <definedName function="false" hidden="false" name="FDD_144_6" vbProcedure="false">"A32873"</definedName>
    <definedName function="false" hidden="false" name="FDD_144_7" vbProcedure="false">"A33238"</definedName>
    <definedName function="false" hidden="false" name="FDD_144_8" vbProcedure="false">"A33603"</definedName>
    <definedName function="false" hidden="false" name="FDD_144_9" vbProcedure="false">"A33969"</definedName>
    <definedName function="false" hidden="false" name="FDD_145_0" vbProcedure="false">"A30681"</definedName>
    <definedName function="false" hidden="false" name="FDD_145_1" vbProcedure="false">"A31047"</definedName>
    <definedName function="false" hidden="false" name="FDD_145_10" vbProcedure="false">"A34334"</definedName>
    <definedName function="false" hidden="false" name="FDD_145_11" vbProcedure="false">"A34699"</definedName>
    <definedName function="false" hidden="false" name="FDD_145_12" vbProcedure="false">"A35064"</definedName>
    <definedName function="false" hidden="false" name="FDD_145_13" vbProcedure="false">"A35430"</definedName>
    <definedName function="false" hidden="false" name="FDD_145_14" vbProcedure="false">"A35795"</definedName>
    <definedName function="false" hidden="false" name="FDD_145_2" vbProcedure="false">"A31412"</definedName>
    <definedName function="false" hidden="false" name="FDD_145_3" vbProcedure="false">"A31777"</definedName>
    <definedName function="false" hidden="false" name="FDD_145_4" vbProcedure="false">"A32142"</definedName>
    <definedName function="false" hidden="false" name="FDD_145_5" vbProcedure="false">"A32508"</definedName>
    <definedName function="false" hidden="false" name="FDD_145_6" vbProcedure="false">"A32873"</definedName>
    <definedName function="false" hidden="false" name="FDD_145_7" vbProcedure="false">"A33238"</definedName>
    <definedName function="false" hidden="false" name="FDD_145_8" vbProcedure="false">"A33603"</definedName>
    <definedName function="false" hidden="false" name="FDD_145_9" vbProcedure="false">"A33969"</definedName>
    <definedName function="false" hidden="false" name="FDD_146_0" vbProcedure="false">"A30681"</definedName>
    <definedName function="false" hidden="false" name="FDD_146_1" vbProcedure="false">"A31047"</definedName>
    <definedName function="false" hidden="false" name="FDD_146_10" vbProcedure="false">"A34334"</definedName>
    <definedName function="false" hidden="false" name="FDD_146_11" vbProcedure="false">"A34699"</definedName>
    <definedName function="false" hidden="false" name="FDD_146_12" vbProcedure="false">"A35064"</definedName>
    <definedName function="false" hidden="false" name="FDD_146_13" vbProcedure="false">"A35430"</definedName>
    <definedName function="false" hidden="false" name="FDD_146_14" vbProcedure="false">"A35795"</definedName>
    <definedName function="false" hidden="false" name="FDD_146_2" vbProcedure="false">"A31412"</definedName>
    <definedName function="false" hidden="false" name="FDD_146_3" vbProcedure="false">"A31777"</definedName>
    <definedName function="false" hidden="false" name="FDD_146_4" vbProcedure="false">"A32142"</definedName>
    <definedName function="false" hidden="false" name="FDD_146_5" vbProcedure="false">"A32508"</definedName>
    <definedName function="false" hidden="false" name="FDD_146_6" vbProcedure="false">"A32873"</definedName>
    <definedName function="false" hidden="false" name="FDD_146_7" vbProcedure="false">"A33238"</definedName>
    <definedName function="false" hidden="false" name="FDD_146_8" vbProcedure="false">"A33603"</definedName>
    <definedName function="false" hidden="false" name="FDD_146_9" vbProcedure="false">"A33969"</definedName>
    <definedName function="false" hidden="false" name="FDD_147_0" vbProcedure="false">"U30681"</definedName>
    <definedName function="false" hidden="false" name="FDD_147_1" vbProcedure="false">"U31047"</definedName>
    <definedName function="false" hidden="false" name="FDD_147_10" vbProcedure="false">"U34334"</definedName>
    <definedName function="false" hidden="false" name="FDD_147_11" vbProcedure="false">"U34699"</definedName>
    <definedName function="false" hidden="false" name="FDD_147_12" vbProcedure="false">"U35064"</definedName>
    <definedName function="false" hidden="false" name="FDD_147_13" vbProcedure="false">"U35430"</definedName>
    <definedName function="false" hidden="false" name="FDD_147_14" vbProcedure="false">"U35795"</definedName>
    <definedName function="false" hidden="false" name="FDD_147_2" vbProcedure="false">"U31412"</definedName>
    <definedName function="false" hidden="false" name="FDD_147_3" vbProcedure="false">"U31777"</definedName>
    <definedName function="false" hidden="false" name="FDD_147_4" vbProcedure="false">"U32142"</definedName>
    <definedName function="false" hidden="false" name="FDD_147_5" vbProcedure="false">"U32508"</definedName>
    <definedName function="false" hidden="false" name="FDD_147_6" vbProcedure="false">"U32873"</definedName>
    <definedName function="false" hidden="false" name="FDD_147_7" vbProcedure="false">"U33238"</definedName>
    <definedName function="false" hidden="false" name="FDD_147_8" vbProcedure="false">"U33603"</definedName>
    <definedName function="false" hidden="false" name="FDD_147_9" vbProcedure="false">"U33969"</definedName>
    <definedName function="false" hidden="false" name="FDD_148_0" vbProcedure="false">"A30681"</definedName>
    <definedName function="false" hidden="false" name="FDD_148_1" vbProcedure="false">"A31047"</definedName>
    <definedName function="false" hidden="false" name="FDD_148_10" vbProcedure="false">"A34334"</definedName>
    <definedName function="false" hidden="false" name="FDD_148_11" vbProcedure="false">"A34699"</definedName>
    <definedName function="false" hidden="false" name="FDD_148_12" vbProcedure="false">"A35064"</definedName>
    <definedName function="false" hidden="false" name="FDD_148_13" vbProcedure="false">"A35430"</definedName>
    <definedName function="false" hidden="false" name="FDD_148_14" vbProcedure="false">"A35795"</definedName>
    <definedName function="false" hidden="false" name="FDD_148_2" vbProcedure="false">"A31412"</definedName>
    <definedName function="false" hidden="false" name="FDD_148_3" vbProcedure="false">"A31777"</definedName>
    <definedName function="false" hidden="false" name="FDD_148_4" vbProcedure="false">"A32142"</definedName>
    <definedName function="false" hidden="false" name="FDD_148_5" vbProcedure="false">"A32508"</definedName>
    <definedName function="false" hidden="false" name="FDD_148_6" vbProcedure="false">"A32873"</definedName>
    <definedName function="false" hidden="false" name="FDD_148_7" vbProcedure="false">"A33238"</definedName>
    <definedName function="false" hidden="false" name="FDD_148_8" vbProcedure="false">"A33603"</definedName>
    <definedName function="false" hidden="false" name="FDD_148_9" vbProcedure="false">"A33969"</definedName>
    <definedName function="false" hidden="false" name="FDD_149_0" vbProcedure="false">"U30681"</definedName>
    <definedName function="false" hidden="false" name="FDD_149_1" vbProcedure="false">"U31047"</definedName>
    <definedName function="false" hidden="false" name="FDD_149_10" vbProcedure="false">"U34334"</definedName>
    <definedName function="false" hidden="false" name="FDD_149_11" vbProcedure="false">"U34699"</definedName>
    <definedName function="false" hidden="false" name="FDD_149_12" vbProcedure="false">"U35064"</definedName>
    <definedName function="false" hidden="false" name="FDD_149_13" vbProcedure="false">"U35430"</definedName>
    <definedName function="false" hidden="false" name="FDD_149_14" vbProcedure="false">"A35795"</definedName>
    <definedName function="false" hidden="false" name="FDD_149_2" vbProcedure="false">"U31412"</definedName>
    <definedName function="false" hidden="false" name="FDD_149_3" vbProcedure="false">"U31777"</definedName>
    <definedName function="false" hidden="false" name="FDD_149_4" vbProcedure="false">"U32142"</definedName>
    <definedName function="false" hidden="false" name="FDD_149_5" vbProcedure="false">"U32508"</definedName>
    <definedName function="false" hidden="false" name="FDD_149_6" vbProcedure="false">"U32873"</definedName>
    <definedName function="false" hidden="false" name="FDD_149_7" vbProcedure="false">"U33238"</definedName>
    <definedName function="false" hidden="false" name="FDD_149_8" vbProcedure="false">"U33603"</definedName>
    <definedName function="false" hidden="false" name="FDD_149_9" vbProcedure="false">"U33969"</definedName>
    <definedName function="false" hidden="false" name="FDD_14_0" vbProcedure="false">"A25569"</definedName>
    <definedName function="false" hidden="false" name="FDD_151_0" vbProcedure="false">"A30681"</definedName>
    <definedName function="false" hidden="false" name="FDD_151_1" vbProcedure="false">"A31047"</definedName>
    <definedName function="false" hidden="false" name="FDD_151_10" vbProcedure="false">"A34334"</definedName>
    <definedName function="false" hidden="false" name="FDD_151_11" vbProcedure="false">"A34699"</definedName>
    <definedName function="false" hidden="false" name="FDD_151_12" vbProcedure="false">"A35064"</definedName>
    <definedName function="false" hidden="false" name="FDD_151_13" vbProcedure="false">"A35430"</definedName>
    <definedName function="false" hidden="false" name="FDD_151_14" vbProcedure="false">"A35795"</definedName>
    <definedName function="false" hidden="false" name="FDD_151_2" vbProcedure="false">"A31412"</definedName>
    <definedName function="false" hidden="false" name="FDD_151_3" vbProcedure="false">"A31777"</definedName>
    <definedName function="false" hidden="false" name="FDD_151_4" vbProcedure="false">"A32142"</definedName>
    <definedName function="false" hidden="false" name="FDD_151_5" vbProcedure="false">"A32508"</definedName>
    <definedName function="false" hidden="false" name="FDD_151_6" vbProcedure="false">"A32873"</definedName>
    <definedName function="false" hidden="false" name="FDD_151_7" vbProcedure="false">"A33238"</definedName>
    <definedName function="false" hidden="false" name="FDD_151_8" vbProcedure="false">"A33603"</definedName>
    <definedName function="false" hidden="false" name="FDD_151_9" vbProcedure="false">"A33969"</definedName>
    <definedName function="false" hidden="false" name="FDD_152_0" vbProcedure="false">"A30681"</definedName>
    <definedName function="false" hidden="false" name="FDD_152_1" vbProcedure="false">"A31047"</definedName>
    <definedName function="false" hidden="false" name="FDD_152_10" vbProcedure="false">"A34334"</definedName>
    <definedName function="false" hidden="false" name="FDD_152_11" vbProcedure="false">"A34699"</definedName>
    <definedName function="false" hidden="false" name="FDD_152_12" vbProcedure="false">"A35064"</definedName>
    <definedName function="false" hidden="false" name="FDD_152_13" vbProcedure="false">"A35430"</definedName>
    <definedName function="false" hidden="false" name="FDD_152_14" vbProcedure="false">"A35795"</definedName>
    <definedName function="false" hidden="false" name="FDD_152_15" vbProcedure="false">"E36160"</definedName>
    <definedName function="false" hidden="false" name="FDD_152_2" vbProcedure="false">"A31412"</definedName>
    <definedName function="false" hidden="false" name="FDD_152_3" vbProcedure="false">"A31777"</definedName>
    <definedName function="false" hidden="false" name="FDD_152_4" vbProcedure="false">"A32142"</definedName>
    <definedName function="false" hidden="false" name="FDD_152_5" vbProcedure="false">"A32508"</definedName>
    <definedName function="false" hidden="false" name="FDD_152_6" vbProcedure="false">"A32873"</definedName>
    <definedName function="false" hidden="false" name="FDD_152_7" vbProcedure="false">"A33238"</definedName>
    <definedName function="false" hidden="false" name="FDD_152_8" vbProcedure="false">"A33603"</definedName>
    <definedName function="false" hidden="false" name="FDD_152_9" vbProcedure="false">"A33969"</definedName>
    <definedName function="false" hidden="false" name="FDD_153_0" vbProcedure="false">"A30681"</definedName>
    <definedName function="false" hidden="false" name="FDD_153_1" vbProcedure="false">"A31047"</definedName>
    <definedName function="false" hidden="false" name="FDD_153_10" vbProcedure="false">"A34334"</definedName>
    <definedName function="false" hidden="false" name="FDD_153_11" vbProcedure="false">"A34699"</definedName>
    <definedName function="false" hidden="false" name="FDD_153_12" vbProcedure="false">"A35064"</definedName>
    <definedName function="false" hidden="false" name="FDD_153_13" vbProcedure="false">"A35430"</definedName>
    <definedName function="false" hidden="false" name="FDD_153_14" vbProcedure="false">"A35795"</definedName>
    <definedName function="false" hidden="false" name="FDD_153_2" vbProcedure="false">"A31412"</definedName>
    <definedName function="false" hidden="false" name="FDD_153_3" vbProcedure="false">"A31777"</definedName>
    <definedName function="false" hidden="false" name="FDD_153_4" vbProcedure="false">"A32142"</definedName>
    <definedName function="false" hidden="false" name="FDD_153_5" vbProcedure="false">"A32508"</definedName>
    <definedName function="false" hidden="false" name="FDD_153_6" vbProcedure="false">"A32873"</definedName>
    <definedName function="false" hidden="false" name="FDD_153_7" vbProcedure="false">"A33238"</definedName>
    <definedName function="false" hidden="false" name="FDD_153_8" vbProcedure="false">"A33603"</definedName>
    <definedName function="false" hidden="false" name="FDD_153_9" vbProcedure="false">"A33969"</definedName>
    <definedName function="false" hidden="false" name="FDD_154_0" vbProcedure="false">"A30681"</definedName>
    <definedName function="false" hidden="false" name="FDD_154_1" vbProcedure="false">"A31047"</definedName>
    <definedName function="false" hidden="false" name="FDD_154_10" vbProcedure="false">"A34334"</definedName>
    <definedName function="false" hidden="false" name="FDD_154_11" vbProcedure="false">"A34699"</definedName>
    <definedName function="false" hidden="false" name="FDD_154_12" vbProcedure="false">"A35064"</definedName>
    <definedName function="false" hidden="false" name="FDD_154_13" vbProcedure="false">"A35430"</definedName>
    <definedName function="false" hidden="false" name="FDD_154_14" vbProcedure="false">"A35795"</definedName>
    <definedName function="false" hidden="false" name="FDD_154_2" vbProcedure="false">"A31412"</definedName>
    <definedName function="false" hidden="false" name="FDD_154_3" vbProcedure="false">"A31777"</definedName>
    <definedName function="false" hidden="false" name="FDD_154_4" vbProcedure="false">"A32142"</definedName>
    <definedName function="false" hidden="false" name="FDD_154_5" vbProcedure="false">"A32508"</definedName>
    <definedName function="false" hidden="false" name="FDD_154_6" vbProcedure="false">"A32873"</definedName>
    <definedName function="false" hidden="false" name="FDD_154_7" vbProcedure="false">"A33238"</definedName>
    <definedName function="false" hidden="false" name="FDD_154_8" vbProcedure="false">"A33603"</definedName>
    <definedName function="false" hidden="false" name="FDD_154_9" vbProcedure="false">"A33969"</definedName>
    <definedName function="false" hidden="false" name="FDD_155_0" vbProcedure="false">"A25569"</definedName>
    <definedName function="false" hidden="false" name="FDD_156_0" vbProcedure="false">"A30681"</definedName>
    <definedName function="false" hidden="false" name="FDD_156_1" vbProcedure="false">"A31047"</definedName>
    <definedName function="false" hidden="false" name="FDD_156_10" vbProcedure="false">"A34334"</definedName>
    <definedName function="false" hidden="false" name="FDD_156_11" vbProcedure="false">"A34699"</definedName>
    <definedName function="false" hidden="false" name="FDD_156_12" vbProcedure="false">"A35064"</definedName>
    <definedName function="false" hidden="false" name="FDD_156_13" vbProcedure="false">"A35430"</definedName>
    <definedName function="false" hidden="false" name="FDD_156_14" vbProcedure="false">"A35795"</definedName>
    <definedName function="false" hidden="false" name="FDD_156_15" vbProcedure="false">"E36160"</definedName>
    <definedName function="false" hidden="false" name="FDD_156_2" vbProcedure="false">"A31412"</definedName>
    <definedName function="false" hidden="false" name="FDD_156_3" vbProcedure="false">"A31777"</definedName>
    <definedName function="false" hidden="false" name="FDD_156_4" vbProcedure="false">"A32142"</definedName>
    <definedName function="false" hidden="false" name="FDD_156_5" vbProcedure="false">"A32508"</definedName>
    <definedName function="false" hidden="false" name="FDD_156_6" vbProcedure="false">"A32873"</definedName>
    <definedName function="false" hidden="false" name="FDD_156_7" vbProcedure="false">"A33238"</definedName>
    <definedName function="false" hidden="false" name="FDD_156_8" vbProcedure="false">"A33603"</definedName>
    <definedName function="false" hidden="false" name="FDD_156_9" vbProcedure="false">"A33969"</definedName>
    <definedName function="false" hidden="false" name="FDD_157_0" vbProcedure="false">"A30681"</definedName>
    <definedName function="false" hidden="false" name="FDD_157_1" vbProcedure="false">"A31047"</definedName>
    <definedName function="false" hidden="false" name="FDD_157_10" vbProcedure="false">"A34334"</definedName>
    <definedName function="false" hidden="false" name="FDD_157_11" vbProcedure="false">"A34699"</definedName>
    <definedName function="false" hidden="false" name="FDD_157_12" vbProcedure="false">"A35064"</definedName>
    <definedName function="false" hidden="false" name="FDD_157_13" vbProcedure="false">"A35430"</definedName>
    <definedName function="false" hidden="false" name="FDD_157_14" vbProcedure="false">"A35795"</definedName>
    <definedName function="false" hidden="false" name="FDD_157_2" vbProcedure="false">"A31412"</definedName>
    <definedName function="false" hidden="false" name="FDD_157_3" vbProcedure="false">"A31777"</definedName>
    <definedName function="false" hidden="false" name="FDD_157_4" vbProcedure="false">"A32142"</definedName>
    <definedName function="false" hidden="false" name="FDD_157_5" vbProcedure="false">"A32508"</definedName>
    <definedName function="false" hidden="false" name="FDD_157_6" vbProcedure="false">"A32873"</definedName>
    <definedName function="false" hidden="false" name="FDD_157_7" vbProcedure="false">"A33238"</definedName>
    <definedName function="false" hidden="false" name="FDD_157_8" vbProcedure="false">"A33603"</definedName>
    <definedName function="false" hidden="false" name="FDD_157_9" vbProcedure="false">"A33969"</definedName>
    <definedName function="false" hidden="false" name="FDD_158_0" vbProcedure="false">"A30681"</definedName>
    <definedName function="false" hidden="false" name="FDD_158_1" vbProcedure="false">"A31047"</definedName>
    <definedName function="false" hidden="false" name="FDD_158_10" vbProcedure="false">"A34334"</definedName>
    <definedName function="false" hidden="false" name="FDD_158_11" vbProcedure="false">"A34699"</definedName>
    <definedName function="false" hidden="false" name="FDD_158_12" vbProcedure="false">"A35064"</definedName>
    <definedName function="false" hidden="false" name="FDD_158_13" vbProcedure="false">"A35430"</definedName>
    <definedName function="false" hidden="false" name="FDD_158_14" vbProcedure="false">"A35795"</definedName>
    <definedName function="false" hidden="false" name="FDD_158_15" vbProcedure="false">"E36160"</definedName>
    <definedName function="false" hidden="false" name="FDD_158_2" vbProcedure="false">"A31412"</definedName>
    <definedName function="false" hidden="false" name="FDD_158_3" vbProcedure="false">"A31777"</definedName>
    <definedName function="false" hidden="false" name="FDD_158_4" vbProcedure="false">"A32142"</definedName>
    <definedName function="false" hidden="false" name="FDD_158_5" vbProcedure="false">"A32508"</definedName>
    <definedName function="false" hidden="false" name="FDD_158_6" vbProcedure="false">"A32873"</definedName>
    <definedName function="false" hidden="false" name="FDD_158_7" vbProcedure="false">"A33238"</definedName>
    <definedName function="false" hidden="false" name="FDD_158_8" vbProcedure="false">"A33603"</definedName>
    <definedName function="false" hidden="false" name="FDD_158_9" vbProcedure="false">"A33969"</definedName>
    <definedName function="false" hidden="false" name="FDD_159_0" vbProcedure="false">"A30681"</definedName>
    <definedName function="false" hidden="false" name="FDD_159_1" vbProcedure="false">"A31047"</definedName>
    <definedName function="false" hidden="false" name="FDD_159_10" vbProcedure="false">"A34334"</definedName>
    <definedName function="false" hidden="false" name="FDD_159_11" vbProcedure="false">"A34699"</definedName>
    <definedName function="false" hidden="false" name="FDD_159_12" vbProcedure="false">"A35064"</definedName>
    <definedName function="false" hidden="false" name="FDD_159_13" vbProcedure="false">"A35430"</definedName>
    <definedName function="false" hidden="false" name="FDD_159_14" vbProcedure="false">"A35795"</definedName>
    <definedName function="false" hidden="false" name="FDD_159_2" vbProcedure="false">"A31412"</definedName>
    <definedName function="false" hidden="false" name="FDD_159_3" vbProcedure="false">"A31777"</definedName>
    <definedName function="false" hidden="false" name="FDD_159_4" vbProcedure="false">"A32142"</definedName>
    <definedName function="false" hidden="false" name="FDD_159_5" vbProcedure="false">"A32508"</definedName>
    <definedName function="false" hidden="false" name="FDD_159_6" vbProcedure="false">"A32873"</definedName>
    <definedName function="false" hidden="false" name="FDD_159_7" vbProcedure="false">"A33238"</definedName>
    <definedName function="false" hidden="false" name="FDD_159_8" vbProcedure="false">"A33603"</definedName>
    <definedName function="false" hidden="false" name="FDD_159_9" vbProcedure="false">"A33969"</definedName>
    <definedName function="false" hidden="false" name="FDD_15_0" vbProcedure="false">"A25569"</definedName>
    <definedName function="false" hidden="false" name="FDD_160_0" vbProcedure="false">"A30681"</definedName>
    <definedName function="false" hidden="false" name="FDD_160_1" vbProcedure="false">"A31047"</definedName>
    <definedName function="false" hidden="false" name="FDD_160_10" vbProcedure="false">"A34334"</definedName>
    <definedName function="false" hidden="false" name="FDD_160_11" vbProcedure="false">"A34699"</definedName>
    <definedName function="false" hidden="false" name="FDD_160_12" vbProcedure="false">"A35064"</definedName>
    <definedName function="false" hidden="false" name="FDD_160_13" vbProcedure="false">"A35430"</definedName>
    <definedName function="false" hidden="false" name="FDD_160_14" vbProcedure="false">"A35795"</definedName>
    <definedName function="false" hidden="false" name="FDD_160_15" vbProcedure="false">"E36160"</definedName>
    <definedName function="false" hidden="false" name="FDD_160_2" vbProcedure="false">"A31412"</definedName>
    <definedName function="false" hidden="false" name="FDD_160_3" vbProcedure="false">"A31777"</definedName>
    <definedName function="false" hidden="false" name="FDD_160_4" vbProcedure="false">"A32142"</definedName>
    <definedName function="false" hidden="false" name="FDD_160_5" vbProcedure="false">"A32508"</definedName>
    <definedName function="false" hidden="false" name="FDD_160_6" vbProcedure="false">"A32873"</definedName>
    <definedName function="false" hidden="false" name="FDD_160_7" vbProcedure="false">"A33238"</definedName>
    <definedName function="false" hidden="false" name="FDD_160_8" vbProcedure="false">"A33603"</definedName>
    <definedName function="false" hidden="false" name="FDD_160_9" vbProcedure="false">"A33969"</definedName>
    <definedName function="false" hidden="false" name="FDD_161_0" vbProcedure="false">"A30681"</definedName>
    <definedName function="false" hidden="false" name="FDD_161_1" vbProcedure="false">"A31047"</definedName>
    <definedName function="false" hidden="false" name="FDD_161_10" vbProcedure="false">"A34334"</definedName>
    <definedName function="false" hidden="false" name="FDD_161_11" vbProcedure="false">"A34699"</definedName>
    <definedName function="false" hidden="false" name="FDD_161_12" vbProcedure="false">"A35064"</definedName>
    <definedName function="false" hidden="false" name="FDD_161_13" vbProcedure="false">"A35430"</definedName>
    <definedName function="false" hidden="false" name="FDD_161_14" vbProcedure="false">"A35795"</definedName>
    <definedName function="false" hidden="false" name="FDD_161_2" vbProcedure="false">"A31412"</definedName>
    <definedName function="false" hidden="false" name="FDD_161_3" vbProcedure="false">"A31777"</definedName>
    <definedName function="false" hidden="false" name="FDD_161_4" vbProcedure="false">"A32142"</definedName>
    <definedName function="false" hidden="false" name="FDD_161_5" vbProcedure="false">"A32508"</definedName>
    <definedName function="false" hidden="false" name="FDD_161_6" vbProcedure="false">"A32873"</definedName>
    <definedName function="false" hidden="false" name="FDD_161_7" vbProcedure="false">"A33238"</definedName>
    <definedName function="false" hidden="false" name="FDD_161_8" vbProcedure="false">"A33603"</definedName>
    <definedName function="false" hidden="false" name="FDD_161_9" vbProcedure="false">"A33969"</definedName>
    <definedName function="false" hidden="false" name="FDD_162_0" vbProcedure="false">"A30681"</definedName>
    <definedName function="false" hidden="false" name="FDD_162_1" vbProcedure="false">"A31047"</definedName>
    <definedName function="false" hidden="false" name="FDD_162_10" vbProcedure="false">"A34334"</definedName>
    <definedName function="false" hidden="false" name="FDD_162_11" vbProcedure="false">"A34699"</definedName>
    <definedName function="false" hidden="false" name="FDD_162_12" vbProcedure="false">"A35064"</definedName>
    <definedName function="false" hidden="false" name="FDD_162_13" vbProcedure="false">"A35430"</definedName>
    <definedName function="false" hidden="false" name="FDD_162_14" vbProcedure="false">"A35795"</definedName>
    <definedName function="false" hidden="false" name="FDD_162_2" vbProcedure="false">"A31412"</definedName>
    <definedName function="false" hidden="false" name="FDD_162_3" vbProcedure="false">"A31777"</definedName>
    <definedName function="false" hidden="false" name="FDD_162_4" vbProcedure="false">"A32142"</definedName>
    <definedName function="false" hidden="false" name="FDD_162_5" vbProcedure="false">"A32508"</definedName>
    <definedName function="false" hidden="false" name="FDD_162_6" vbProcedure="false">"A32873"</definedName>
    <definedName function="false" hidden="false" name="FDD_162_7" vbProcedure="false">"A33238"</definedName>
    <definedName function="false" hidden="false" name="FDD_162_8" vbProcedure="false">"A33603"</definedName>
    <definedName function="false" hidden="false" name="FDD_162_9" vbProcedure="false">"A33969"</definedName>
    <definedName function="false" hidden="false" name="FDD_163_0" vbProcedure="false">"A30681"</definedName>
    <definedName function="false" hidden="false" name="FDD_163_1" vbProcedure="false">"A31047"</definedName>
    <definedName function="false" hidden="false" name="FDD_163_10" vbProcedure="false">"A34334"</definedName>
    <definedName function="false" hidden="false" name="FDD_163_11" vbProcedure="false">"A34699"</definedName>
    <definedName function="false" hidden="false" name="FDD_163_12" vbProcedure="false">"A35064"</definedName>
    <definedName function="false" hidden="false" name="FDD_163_13" vbProcedure="false">"A35430"</definedName>
    <definedName function="false" hidden="false" name="FDD_163_14" vbProcedure="false">"A35795"</definedName>
    <definedName function="false" hidden="false" name="FDD_163_2" vbProcedure="false">"A31412"</definedName>
    <definedName function="false" hidden="false" name="FDD_163_3" vbProcedure="false">"A31777"</definedName>
    <definedName function="false" hidden="false" name="FDD_163_4" vbProcedure="false">"A32142"</definedName>
    <definedName function="false" hidden="false" name="FDD_163_5" vbProcedure="false">"A32508"</definedName>
    <definedName function="false" hidden="false" name="FDD_163_6" vbProcedure="false">"A32873"</definedName>
    <definedName function="false" hidden="false" name="FDD_163_7" vbProcedure="false">"A33238"</definedName>
    <definedName function="false" hidden="false" name="FDD_163_8" vbProcedure="false">"A33603"</definedName>
    <definedName function="false" hidden="false" name="FDD_163_9" vbProcedure="false">"A33969"</definedName>
    <definedName function="false" hidden="false" name="FDD_164_0" vbProcedure="false">"A25569"</definedName>
    <definedName function="false" hidden="false" name="FDD_165_0" vbProcedure="false">"A30681"</definedName>
    <definedName function="false" hidden="false" name="FDD_165_1" vbProcedure="false">"A31047"</definedName>
    <definedName function="false" hidden="false" name="FDD_165_10" vbProcedure="false">"A34334"</definedName>
    <definedName function="false" hidden="false" name="FDD_165_11" vbProcedure="false">"A34699"</definedName>
    <definedName function="false" hidden="false" name="FDD_165_12" vbProcedure="false">"A35064"</definedName>
    <definedName function="false" hidden="false" name="FDD_165_13" vbProcedure="false">"A35430"</definedName>
    <definedName function="false" hidden="false" name="FDD_165_14" vbProcedure="false">"A35795"</definedName>
    <definedName function="false" hidden="false" name="FDD_165_2" vbProcedure="false">"A31412"</definedName>
    <definedName function="false" hidden="false" name="FDD_165_3" vbProcedure="false">"A31777"</definedName>
    <definedName function="false" hidden="false" name="FDD_165_4" vbProcedure="false">"A32142"</definedName>
    <definedName function="false" hidden="false" name="FDD_165_5" vbProcedure="false">"A32508"</definedName>
    <definedName function="false" hidden="false" name="FDD_165_6" vbProcedure="false">"A32873"</definedName>
    <definedName function="false" hidden="false" name="FDD_165_7" vbProcedure="false">"A33238"</definedName>
    <definedName function="false" hidden="false" name="FDD_165_8" vbProcedure="false">"A33603"</definedName>
    <definedName function="false" hidden="false" name="FDD_165_9" vbProcedure="false">"A33969"</definedName>
    <definedName function="false" hidden="false" name="FDD_166_0" vbProcedure="false">"A30681"</definedName>
    <definedName function="false" hidden="false" name="FDD_166_1" vbProcedure="false">"A31047"</definedName>
    <definedName function="false" hidden="false" name="FDD_166_10" vbProcedure="false">"A34334"</definedName>
    <definedName function="false" hidden="false" name="FDD_166_11" vbProcedure="false">"A34699"</definedName>
    <definedName function="false" hidden="false" name="FDD_166_12" vbProcedure="false">"A35064"</definedName>
    <definedName function="false" hidden="false" name="FDD_166_13" vbProcedure="false">"A35430"</definedName>
    <definedName function="false" hidden="false" name="FDD_166_14" vbProcedure="false">"A35795"</definedName>
    <definedName function="false" hidden="false" name="FDD_166_2" vbProcedure="false">"A31412"</definedName>
    <definedName function="false" hidden="false" name="FDD_166_3" vbProcedure="false">"A31777"</definedName>
    <definedName function="false" hidden="false" name="FDD_166_4" vbProcedure="false">"A32142"</definedName>
    <definedName function="false" hidden="false" name="FDD_166_5" vbProcedure="false">"A32508"</definedName>
    <definedName function="false" hidden="false" name="FDD_166_6" vbProcedure="false">"A32873"</definedName>
    <definedName function="false" hidden="false" name="FDD_166_7" vbProcedure="false">"A33238"</definedName>
    <definedName function="false" hidden="false" name="FDD_166_8" vbProcedure="false">"A33603"</definedName>
    <definedName function="false" hidden="false" name="FDD_166_9" vbProcedure="false">"A33969"</definedName>
    <definedName function="false" hidden="false" name="FDD_167_0" vbProcedure="false">"A30681"</definedName>
    <definedName function="false" hidden="false" name="FDD_167_1" vbProcedure="false">"A31047"</definedName>
    <definedName function="false" hidden="false" name="FDD_167_10" vbProcedure="false">"A34334"</definedName>
    <definedName function="false" hidden="false" name="FDD_167_11" vbProcedure="false">"A34699"</definedName>
    <definedName function="false" hidden="false" name="FDD_167_12" vbProcedure="false">"A35064"</definedName>
    <definedName function="false" hidden="false" name="FDD_167_13" vbProcedure="false">"A35430"</definedName>
    <definedName function="false" hidden="false" name="FDD_167_14" vbProcedure="false">"A35795"</definedName>
    <definedName function="false" hidden="false" name="FDD_167_2" vbProcedure="false">"A31412"</definedName>
    <definedName function="false" hidden="false" name="FDD_167_3" vbProcedure="false">"A31777"</definedName>
    <definedName function="false" hidden="false" name="FDD_167_4" vbProcedure="false">"A32142"</definedName>
    <definedName function="false" hidden="false" name="FDD_167_5" vbProcedure="false">"A32508"</definedName>
    <definedName function="false" hidden="false" name="FDD_167_6" vbProcedure="false">"A32873"</definedName>
    <definedName function="false" hidden="false" name="FDD_167_7" vbProcedure="false">"A33238"</definedName>
    <definedName function="false" hidden="false" name="FDD_167_8" vbProcedure="false">"A33603"</definedName>
    <definedName function="false" hidden="false" name="FDD_167_9" vbProcedure="false">"A33969"</definedName>
    <definedName function="false" hidden="false" name="FDD_168_0" vbProcedure="false">"E36160"</definedName>
    <definedName function="false" hidden="false" name="FDD_168_1" vbProcedure="false">"E36525"</definedName>
    <definedName function="false" hidden="false" name="FDD_168_2" vbProcedure="false">"E36891"</definedName>
    <definedName function="false" hidden="false" name="FDD_169_0" vbProcedure="false">"A30681"</definedName>
    <definedName function="false" hidden="false" name="FDD_169_1" vbProcedure="false">"A31047"</definedName>
    <definedName function="false" hidden="false" name="FDD_169_10" vbProcedure="false">"A34334"</definedName>
    <definedName function="false" hidden="false" name="FDD_169_11" vbProcedure="false">"A34699"</definedName>
    <definedName function="false" hidden="false" name="FDD_169_12" vbProcedure="false">"A35064"</definedName>
    <definedName function="false" hidden="false" name="FDD_169_13" vbProcedure="false">"A35430"</definedName>
    <definedName function="false" hidden="false" name="FDD_169_14" vbProcedure="false">"A35795"</definedName>
    <definedName function="false" hidden="false" name="FDD_169_2" vbProcedure="false">"A31412"</definedName>
    <definedName function="false" hidden="false" name="FDD_169_3" vbProcedure="false">"A31777"</definedName>
    <definedName function="false" hidden="false" name="FDD_169_4" vbProcedure="false">"A32142"</definedName>
    <definedName function="false" hidden="false" name="FDD_169_5" vbProcedure="false">"A32508"</definedName>
    <definedName function="false" hidden="false" name="FDD_169_6" vbProcedure="false">"A32873"</definedName>
    <definedName function="false" hidden="false" name="FDD_169_7" vbProcedure="false">"A33238"</definedName>
    <definedName function="false" hidden="false" name="FDD_169_8" vbProcedure="false">"A33603"</definedName>
    <definedName function="false" hidden="false" name="FDD_169_9" vbProcedure="false">"A33969"</definedName>
    <definedName function="false" hidden="false" name="FDD_16_0" vbProcedure="false">"A25569"</definedName>
    <definedName function="false" hidden="false" name="FDD_170_0" vbProcedure="false">"A30681"</definedName>
    <definedName function="false" hidden="false" name="FDD_170_1" vbProcedure="false">"A31047"</definedName>
    <definedName function="false" hidden="false" name="FDD_170_10" vbProcedure="false">"A34334"</definedName>
    <definedName function="false" hidden="false" name="FDD_170_11" vbProcedure="false">"A34699"</definedName>
    <definedName function="false" hidden="false" name="FDD_170_12" vbProcedure="false">"A35064"</definedName>
    <definedName function="false" hidden="false" name="FDD_170_13" vbProcedure="false">"A35430"</definedName>
    <definedName function="false" hidden="false" name="FDD_170_14" vbProcedure="false">"A35795"</definedName>
    <definedName function="false" hidden="false" name="FDD_170_2" vbProcedure="false">"A31412"</definedName>
    <definedName function="false" hidden="false" name="FDD_170_3" vbProcedure="false">"A31777"</definedName>
    <definedName function="false" hidden="false" name="FDD_170_4" vbProcedure="false">"A32142"</definedName>
    <definedName function="false" hidden="false" name="FDD_170_5" vbProcedure="false">"A32508"</definedName>
    <definedName function="false" hidden="false" name="FDD_170_6" vbProcedure="false">"A32873"</definedName>
    <definedName function="false" hidden="false" name="FDD_170_7" vbProcedure="false">"A33238"</definedName>
    <definedName function="false" hidden="false" name="FDD_170_8" vbProcedure="false">"A33603"</definedName>
    <definedName function="false" hidden="false" name="FDD_170_9" vbProcedure="false">"A33969"</definedName>
    <definedName function="false" hidden="false" name="FDD_171_0" vbProcedure="false">"A30681"</definedName>
    <definedName function="false" hidden="false" name="FDD_171_1" vbProcedure="false">"A31047"</definedName>
    <definedName function="false" hidden="false" name="FDD_171_10" vbProcedure="false">"A34334"</definedName>
    <definedName function="false" hidden="false" name="FDD_171_11" vbProcedure="false">"A34699"</definedName>
    <definedName function="false" hidden="false" name="FDD_171_12" vbProcedure="false">"A35064"</definedName>
    <definedName function="false" hidden="false" name="FDD_171_13" vbProcedure="false">"A35430"</definedName>
    <definedName function="false" hidden="false" name="FDD_171_14" vbProcedure="false">"A35795"</definedName>
    <definedName function="false" hidden="false" name="FDD_171_2" vbProcedure="false">"A31412"</definedName>
    <definedName function="false" hidden="false" name="FDD_171_3" vbProcedure="false">"A31777"</definedName>
    <definedName function="false" hidden="false" name="FDD_171_4" vbProcedure="false">"A32142"</definedName>
    <definedName function="false" hidden="false" name="FDD_171_5" vbProcedure="false">"A32508"</definedName>
    <definedName function="false" hidden="false" name="FDD_171_6" vbProcedure="false">"A32873"</definedName>
    <definedName function="false" hidden="false" name="FDD_171_7" vbProcedure="false">"A33238"</definedName>
    <definedName function="false" hidden="false" name="FDD_171_8" vbProcedure="false">"A33603"</definedName>
    <definedName function="false" hidden="false" name="FDD_171_9" vbProcedure="false">"A33969"</definedName>
    <definedName function="false" hidden="false" name="FDD_172_0" vbProcedure="false">"A30681"</definedName>
    <definedName function="false" hidden="false" name="FDD_172_1" vbProcedure="false">"A31047"</definedName>
    <definedName function="false" hidden="false" name="FDD_172_10" vbProcedure="false">"A34334"</definedName>
    <definedName function="false" hidden="false" name="FDD_172_11" vbProcedure="false">"A34699"</definedName>
    <definedName function="false" hidden="false" name="FDD_172_12" vbProcedure="false">"A35064"</definedName>
    <definedName function="false" hidden="false" name="FDD_172_13" vbProcedure="false">"A35430"</definedName>
    <definedName function="false" hidden="false" name="FDD_172_14" vbProcedure="false">"A35795"</definedName>
    <definedName function="false" hidden="false" name="FDD_172_2" vbProcedure="false">"A31412"</definedName>
    <definedName function="false" hidden="false" name="FDD_172_3" vbProcedure="false">"A31777"</definedName>
    <definedName function="false" hidden="false" name="FDD_172_4" vbProcedure="false">"A32142"</definedName>
    <definedName function="false" hidden="false" name="FDD_172_5" vbProcedure="false">"A32508"</definedName>
    <definedName function="false" hidden="false" name="FDD_172_6" vbProcedure="false">"A32873"</definedName>
    <definedName function="false" hidden="false" name="FDD_172_7" vbProcedure="false">"A33238"</definedName>
    <definedName function="false" hidden="false" name="FDD_172_8" vbProcedure="false">"A33603"</definedName>
    <definedName function="false" hidden="false" name="FDD_172_9" vbProcedure="false">"A33969"</definedName>
    <definedName function="false" hidden="false" name="FDD_173_0" vbProcedure="false">"A30681"</definedName>
    <definedName function="false" hidden="false" name="FDD_173_1" vbProcedure="false">"A31047"</definedName>
    <definedName function="false" hidden="false" name="FDD_173_10" vbProcedure="false">"A34334"</definedName>
    <definedName function="false" hidden="false" name="FDD_173_11" vbProcedure="false">"A34699"</definedName>
    <definedName function="false" hidden="false" name="FDD_173_12" vbProcedure="false">"A35064"</definedName>
    <definedName function="false" hidden="false" name="FDD_173_13" vbProcedure="false">"A35430"</definedName>
    <definedName function="false" hidden="false" name="FDD_173_14" vbProcedure="false">"A35795"</definedName>
    <definedName function="false" hidden="false" name="FDD_173_2" vbProcedure="false">"A31412"</definedName>
    <definedName function="false" hidden="false" name="FDD_173_3" vbProcedure="false">"A31777"</definedName>
    <definedName function="false" hidden="false" name="FDD_173_4" vbProcedure="false">"A32142"</definedName>
    <definedName function="false" hidden="false" name="FDD_173_5" vbProcedure="false">"A32508"</definedName>
    <definedName function="false" hidden="false" name="FDD_173_6" vbProcedure="false">"A32873"</definedName>
    <definedName function="false" hidden="false" name="FDD_173_7" vbProcedure="false">"A33238"</definedName>
    <definedName function="false" hidden="false" name="FDD_173_8" vbProcedure="false">"A33603"</definedName>
    <definedName function="false" hidden="false" name="FDD_173_9" vbProcedure="false">"A33969"</definedName>
    <definedName function="false" hidden="false" name="FDD_174_0" vbProcedure="false">"A30681"</definedName>
    <definedName function="false" hidden="false" name="FDD_174_1" vbProcedure="false">"A31047"</definedName>
    <definedName function="false" hidden="false" name="FDD_174_10" vbProcedure="false">"A34334"</definedName>
    <definedName function="false" hidden="false" name="FDD_174_11" vbProcedure="false">"A34699"</definedName>
    <definedName function="false" hidden="false" name="FDD_174_12" vbProcedure="false">"A35064"</definedName>
    <definedName function="false" hidden="false" name="FDD_174_13" vbProcedure="false">"A35430"</definedName>
    <definedName function="false" hidden="false" name="FDD_174_14" vbProcedure="false">"A35795"</definedName>
    <definedName function="false" hidden="false" name="FDD_174_2" vbProcedure="false">"A31412"</definedName>
    <definedName function="false" hidden="false" name="FDD_174_3" vbProcedure="false">"A31777"</definedName>
    <definedName function="false" hidden="false" name="FDD_174_4" vbProcedure="false">"A32142"</definedName>
    <definedName function="false" hidden="false" name="FDD_174_5" vbProcedure="false">"A32508"</definedName>
    <definedName function="false" hidden="false" name="FDD_174_6" vbProcedure="false">"A32873"</definedName>
    <definedName function="false" hidden="false" name="FDD_174_7" vbProcedure="false">"A33238"</definedName>
    <definedName function="false" hidden="false" name="FDD_174_8" vbProcedure="false">"A33603"</definedName>
    <definedName function="false" hidden="false" name="FDD_174_9" vbProcedure="false">"A33969"</definedName>
    <definedName function="false" hidden="false" name="FDD_175_0" vbProcedure="false">"E36160"</definedName>
    <definedName function="false" hidden="false" name="FDD_175_1" vbProcedure="false">"E36525"</definedName>
    <definedName function="false" hidden="false" name="FDD_175_2" vbProcedure="false">"E36891"</definedName>
    <definedName function="false" hidden="false" name="FDD_176_0" vbProcedure="false">"E36160"</definedName>
    <definedName function="false" hidden="false" name="FDD_176_1" vbProcedure="false">"E36525"</definedName>
    <definedName function="false" hidden="false" name="FDD_176_2" vbProcedure="false">"E36891"</definedName>
    <definedName function="false" hidden="false" name="FDD_177_0" vbProcedure="false">"E36160"</definedName>
    <definedName function="false" hidden="false" name="FDD_177_1" vbProcedure="false">"E36525"</definedName>
    <definedName function="false" hidden="false" name="FDD_177_2" vbProcedure="false">"E36891"</definedName>
    <definedName function="false" hidden="false" name="FDD_178_0" vbProcedure="false">"E36160"</definedName>
    <definedName function="false" hidden="false" name="FDD_178_1" vbProcedure="false">"E36525"</definedName>
    <definedName function="false" hidden="false" name="FDD_178_2" vbProcedure="false">"E36891"</definedName>
    <definedName function="false" hidden="false" name="FDD_179_0" vbProcedure="false">"E36160"</definedName>
    <definedName function="false" hidden="false" name="FDD_179_1" vbProcedure="false">"E36525"</definedName>
    <definedName function="false" hidden="false" name="FDD_179_2" vbProcedure="false">"E36891"</definedName>
    <definedName function="false" hidden="false" name="FDD_17_0" vbProcedure="false">"A25569"</definedName>
    <definedName function="false" hidden="false" name="FDD_180_0" vbProcedure="false">"E36160"</definedName>
    <definedName function="false" hidden="false" name="FDD_180_1" vbProcedure="false">"E36525"</definedName>
    <definedName function="false" hidden="false" name="FDD_180_2" vbProcedure="false">"E36891"</definedName>
    <definedName function="false" hidden="false" name="FDD_181_0" vbProcedure="false">"E36160"</definedName>
    <definedName function="false" hidden="false" name="FDD_181_1" vbProcedure="false">"E36525"</definedName>
    <definedName function="false" hidden="false" name="FDD_181_2" vbProcedure="false">"E36891"</definedName>
    <definedName function="false" hidden="false" name="FDD_182_0" vbProcedure="false">"E36160"</definedName>
    <definedName function="false" hidden="false" name="FDD_182_1" vbProcedure="false">"E36525"</definedName>
    <definedName function="false" hidden="false" name="FDD_182_2" vbProcedure="false">"E36891"</definedName>
    <definedName function="false" hidden="false" name="FDD_183_0" vbProcedure="false">"E36160"</definedName>
    <definedName function="false" hidden="false" name="FDD_183_1" vbProcedure="false">"E36525"</definedName>
    <definedName function="false" hidden="false" name="FDD_183_2" vbProcedure="false">"E36891"</definedName>
    <definedName function="false" hidden="false" name="FDD_184_0" vbProcedure="false">"E36160"</definedName>
    <definedName function="false" hidden="false" name="FDD_184_1" vbProcedure="false">"E36525"</definedName>
    <definedName function="false" hidden="false" name="FDD_184_2" vbProcedure="false">"E36891"</definedName>
    <definedName function="false" hidden="false" name="FDD_185_0" vbProcedure="false">"E36160"</definedName>
    <definedName function="false" hidden="false" name="FDD_185_1" vbProcedure="false">"E36525"</definedName>
    <definedName function="false" hidden="false" name="FDD_185_2" vbProcedure="false">"E36891"</definedName>
    <definedName function="false" hidden="false" name="FDD_186_0" vbProcedure="false">"E36160"</definedName>
    <definedName function="false" hidden="false" name="FDD_186_1" vbProcedure="false">"E36525"</definedName>
    <definedName function="false" hidden="false" name="FDD_186_2" vbProcedure="false">"E36891"</definedName>
    <definedName function="false" hidden="false" name="FDD_187_0" vbProcedure="false">"E36160"</definedName>
    <definedName function="false" hidden="false" name="FDD_187_1" vbProcedure="false">"E36525"</definedName>
    <definedName function="false" hidden="false" name="FDD_187_2" vbProcedure="false">"E36891"</definedName>
    <definedName function="false" hidden="false" name="FDD_188_0" vbProcedure="false">"A30681"</definedName>
    <definedName function="false" hidden="false" name="FDD_188_1" vbProcedure="false">"A31047"</definedName>
    <definedName function="false" hidden="false" name="FDD_188_10" vbProcedure="false">"A34334"</definedName>
    <definedName function="false" hidden="false" name="FDD_188_11" vbProcedure="false">"A34699"</definedName>
    <definedName function="false" hidden="false" name="FDD_188_12" vbProcedure="false">"A35064"</definedName>
    <definedName function="false" hidden="false" name="FDD_188_13" vbProcedure="false">"A35430"</definedName>
    <definedName function="false" hidden="false" name="FDD_188_14" vbProcedure="false">"A35795"</definedName>
    <definedName function="false" hidden="false" name="FDD_188_2" vbProcedure="false">"A31412"</definedName>
    <definedName function="false" hidden="false" name="FDD_188_3" vbProcedure="false">"A31777"</definedName>
    <definedName function="false" hidden="false" name="FDD_188_4" vbProcedure="false">"A32142"</definedName>
    <definedName function="false" hidden="false" name="FDD_188_5" vbProcedure="false">"A32508"</definedName>
    <definedName function="false" hidden="false" name="FDD_188_6" vbProcedure="false">"A32873"</definedName>
    <definedName function="false" hidden="false" name="FDD_188_7" vbProcedure="false">"A33238"</definedName>
    <definedName function="false" hidden="false" name="FDD_188_8" vbProcedure="false">"A33603"</definedName>
    <definedName function="false" hidden="false" name="FDD_188_9" vbProcedure="false">"A33969"</definedName>
    <definedName function="false" hidden="false" name="FDD_189_0" vbProcedure="false">"A30681"</definedName>
    <definedName function="false" hidden="false" name="FDD_189_1" vbProcedure="false">"A31047"</definedName>
    <definedName function="false" hidden="false" name="FDD_189_10" vbProcedure="false">"A34334"</definedName>
    <definedName function="false" hidden="false" name="FDD_189_11" vbProcedure="false">"A34699"</definedName>
    <definedName function="false" hidden="false" name="FDD_189_12" vbProcedure="false">"A35064"</definedName>
    <definedName function="false" hidden="false" name="FDD_189_13" vbProcedure="false">"A35430"</definedName>
    <definedName function="false" hidden="false" name="FDD_189_14" vbProcedure="false">"A35795"</definedName>
    <definedName function="false" hidden="false" name="FDD_189_2" vbProcedure="false">"A31412"</definedName>
    <definedName function="false" hidden="false" name="FDD_189_3" vbProcedure="false">"A31777"</definedName>
    <definedName function="false" hidden="false" name="FDD_189_4" vbProcedure="false">"A32142"</definedName>
    <definedName function="false" hidden="false" name="FDD_189_5" vbProcedure="false">"A32508"</definedName>
    <definedName function="false" hidden="false" name="FDD_189_6" vbProcedure="false">"A32873"</definedName>
    <definedName function="false" hidden="false" name="FDD_189_7" vbProcedure="false">"A33238"</definedName>
    <definedName function="false" hidden="false" name="FDD_189_8" vbProcedure="false">"A33603"</definedName>
    <definedName function="false" hidden="false" name="FDD_189_9" vbProcedure="false">"A33969"</definedName>
    <definedName function="false" hidden="false" name="FDD_18_0" vbProcedure="false">"A25569"</definedName>
    <definedName function="false" hidden="false" name="FDD_190_0" vbProcedure="false">"A30681"</definedName>
    <definedName function="false" hidden="false" name="FDD_190_1" vbProcedure="false">"A31047"</definedName>
    <definedName function="false" hidden="false" name="FDD_190_10" vbProcedure="false">"A34334"</definedName>
    <definedName function="false" hidden="false" name="FDD_190_11" vbProcedure="false">"A34699"</definedName>
    <definedName function="false" hidden="false" name="FDD_190_12" vbProcedure="false">"A35064"</definedName>
    <definedName function="false" hidden="false" name="FDD_190_13" vbProcedure="false">"A35430"</definedName>
    <definedName function="false" hidden="false" name="FDD_190_14" vbProcedure="false">"A35795"</definedName>
    <definedName function="false" hidden="false" name="FDD_190_2" vbProcedure="false">"A31412"</definedName>
    <definedName function="false" hidden="false" name="FDD_190_3" vbProcedure="false">"A31777"</definedName>
    <definedName function="false" hidden="false" name="FDD_190_4" vbProcedure="false">"A32142"</definedName>
    <definedName function="false" hidden="false" name="FDD_190_5" vbProcedure="false">"A32508"</definedName>
    <definedName function="false" hidden="false" name="FDD_190_6" vbProcedure="false">"A32873"</definedName>
    <definedName function="false" hidden="false" name="FDD_190_7" vbProcedure="false">"A33238"</definedName>
    <definedName function="false" hidden="false" name="FDD_190_8" vbProcedure="false">"A33603"</definedName>
    <definedName function="false" hidden="false" name="FDD_190_9" vbProcedure="false">"A33969"</definedName>
    <definedName function="false" hidden="false" name="FDD_191_0" vbProcedure="false">"A30681"</definedName>
    <definedName function="false" hidden="false" name="FDD_191_1" vbProcedure="false">"A31047"</definedName>
    <definedName function="false" hidden="false" name="FDD_191_10" vbProcedure="false">"A34334"</definedName>
    <definedName function="false" hidden="false" name="FDD_191_11" vbProcedure="false">"A34699"</definedName>
    <definedName function="false" hidden="false" name="FDD_191_12" vbProcedure="false">"A35064"</definedName>
    <definedName function="false" hidden="false" name="FDD_191_13" vbProcedure="false">"A35430"</definedName>
    <definedName function="false" hidden="false" name="FDD_191_14" vbProcedure="false">"A35795"</definedName>
    <definedName function="false" hidden="false" name="FDD_191_2" vbProcedure="false">"A31412"</definedName>
    <definedName function="false" hidden="false" name="FDD_191_3" vbProcedure="false">"A31777"</definedName>
    <definedName function="false" hidden="false" name="FDD_191_4" vbProcedure="false">"A32142"</definedName>
    <definedName function="false" hidden="false" name="FDD_191_5" vbProcedure="false">"A32508"</definedName>
    <definedName function="false" hidden="false" name="FDD_191_6" vbProcedure="false">"A32873"</definedName>
    <definedName function="false" hidden="false" name="FDD_191_7" vbProcedure="false">"A33238"</definedName>
    <definedName function="false" hidden="false" name="FDD_191_8" vbProcedure="false">"A33603"</definedName>
    <definedName function="false" hidden="false" name="FDD_191_9" vbProcedure="false">"A33969"</definedName>
    <definedName function="false" hidden="false" name="FDD_192_0" vbProcedure="false">"E36160"</definedName>
    <definedName function="false" hidden="false" name="FDD_192_1" vbProcedure="false">"E36525"</definedName>
    <definedName function="false" hidden="false" name="FDD_192_2" vbProcedure="false">"E36891"</definedName>
    <definedName function="false" hidden="false" name="FDD_193_0" vbProcedure="false">"A30681"</definedName>
    <definedName function="false" hidden="false" name="FDD_193_1" vbProcedure="false">"A31047"</definedName>
    <definedName function="false" hidden="false" name="FDD_193_10" vbProcedure="false">"A34334"</definedName>
    <definedName function="false" hidden="false" name="FDD_193_11" vbProcedure="false">"A34699"</definedName>
    <definedName function="false" hidden="false" name="FDD_193_12" vbProcedure="false">"A35064"</definedName>
    <definedName function="false" hidden="false" name="FDD_193_13" vbProcedure="false">"A35430"</definedName>
    <definedName function="false" hidden="false" name="FDD_193_14" vbProcedure="false">"A35795"</definedName>
    <definedName function="false" hidden="false" name="FDD_193_2" vbProcedure="false">"A31412"</definedName>
    <definedName function="false" hidden="false" name="FDD_193_3" vbProcedure="false">"A31777"</definedName>
    <definedName function="false" hidden="false" name="FDD_193_4" vbProcedure="false">"A32142"</definedName>
    <definedName function="false" hidden="false" name="FDD_193_5" vbProcedure="false">"A32508"</definedName>
    <definedName function="false" hidden="false" name="FDD_193_6" vbProcedure="false">"A32873"</definedName>
    <definedName function="false" hidden="false" name="FDD_193_7" vbProcedure="false">"A33238"</definedName>
    <definedName function="false" hidden="false" name="FDD_193_8" vbProcedure="false">"A33603"</definedName>
    <definedName function="false" hidden="false" name="FDD_193_9" vbProcedure="false">"A33969"</definedName>
    <definedName function="false" hidden="false" name="FDD_194_0" vbProcedure="false">"A30681"</definedName>
    <definedName function="false" hidden="false" name="FDD_194_1" vbProcedure="false">"A31047"</definedName>
    <definedName function="false" hidden="false" name="FDD_194_10" vbProcedure="false">"A34334"</definedName>
    <definedName function="false" hidden="false" name="FDD_194_11" vbProcedure="false">"A34699"</definedName>
    <definedName function="false" hidden="false" name="FDD_194_12" vbProcedure="false">"A35064"</definedName>
    <definedName function="false" hidden="false" name="FDD_194_13" vbProcedure="false">"A35430"</definedName>
    <definedName function="false" hidden="false" name="FDD_194_14" vbProcedure="false">"A35795"</definedName>
    <definedName function="false" hidden="false" name="FDD_194_2" vbProcedure="false">"A31412"</definedName>
    <definedName function="false" hidden="false" name="FDD_194_3" vbProcedure="false">"A31777"</definedName>
    <definedName function="false" hidden="false" name="FDD_194_4" vbProcedure="false">"A32142"</definedName>
    <definedName function="false" hidden="false" name="FDD_194_5" vbProcedure="false">"A32508"</definedName>
    <definedName function="false" hidden="false" name="FDD_194_6" vbProcedure="false">"A32873"</definedName>
    <definedName function="false" hidden="false" name="FDD_194_7" vbProcedure="false">"A33238"</definedName>
    <definedName function="false" hidden="false" name="FDD_194_8" vbProcedure="false">"A33603"</definedName>
    <definedName function="false" hidden="false" name="FDD_194_9" vbProcedure="false">"A33969"</definedName>
    <definedName function="false" hidden="false" name="FDD_195_0" vbProcedure="false">"A30681"</definedName>
    <definedName function="false" hidden="false" name="FDD_195_1" vbProcedure="false">"A31047"</definedName>
    <definedName function="false" hidden="false" name="FDD_195_10" vbProcedure="false">"A34334"</definedName>
    <definedName function="false" hidden="false" name="FDD_195_11" vbProcedure="false">"A34699"</definedName>
    <definedName function="false" hidden="false" name="FDD_195_12" vbProcedure="false">"A35064"</definedName>
    <definedName function="false" hidden="false" name="FDD_195_13" vbProcedure="false">"A35430"</definedName>
    <definedName function="false" hidden="false" name="FDD_195_14" vbProcedure="false">"A35795"</definedName>
    <definedName function="false" hidden="false" name="FDD_195_2" vbProcedure="false">"A31412"</definedName>
    <definedName function="false" hidden="false" name="FDD_195_3" vbProcedure="false">"A31777"</definedName>
    <definedName function="false" hidden="false" name="FDD_195_4" vbProcedure="false">"A32142"</definedName>
    <definedName function="false" hidden="false" name="FDD_195_5" vbProcedure="false">"A32508"</definedName>
    <definedName function="false" hidden="false" name="FDD_195_6" vbProcedure="false">"A32873"</definedName>
    <definedName function="false" hidden="false" name="FDD_195_7" vbProcedure="false">"A33238"</definedName>
    <definedName function="false" hidden="false" name="FDD_195_8" vbProcedure="false">"A33603"</definedName>
    <definedName function="false" hidden="false" name="FDD_195_9" vbProcedure="false">"A33969"</definedName>
    <definedName function="false" hidden="false" name="FDD_196_0" vbProcedure="false">"E36160"</definedName>
    <definedName function="false" hidden="false" name="FDD_196_1" vbProcedure="false">"E36525"</definedName>
    <definedName function="false" hidden="false" name="FDD_196_2" vbProcedure="false">"E36891"</definedName>
    <definedName function="false" hidden="false" name="FDD_197_0" vbProcedure="false">"A30681"</definedName>
    <definedName function="false" hidden="false" name="FDD_197_1" vbProcedure="false">"A31047"</definedName>
    <definedName function="false" hidden="false" name="FDD_197_10" vbProcedure="false">"A34334"</definedName>
    <definedName function="false" hidden="false" name="FDD_197_11" vbProcedure="false">"A34699"</definedName>
    <definedName function="false" hidden="false" name="FDD_197_12" vbProcedure="false">"A35064"</definedName>
    <definedName function="false" hidden="false" name="FDD_197_13" vbProcedure="false">"A35430"</definedName>
    <definedName function="false" hidden="false" name="FDD_197_14" vbProcedure="false">"A35795"</definedName>
    <definedName function="false" hidden="false" name="FDD_197_2" vbProcedure="false">"A31412"</definedName>
    <definedName function="false" hidden="false" name="FDD_197_3" vbProcedure="false">"A31777"</definedName>
    <definedName function="false" hidden="false" name="FDD_197_4" vbProcedure="false">"A32142"</definedName>
    <definedName function="false" hidden="false" name="FDD_197_5" vbProcedure="false">"A32508"</definedName>
    <definedName function="false" hidden="false" name="FDD_197_6" vbProcedure="false">"A32873"</definedName>
    <definedName function="false" hidden="false" name="FDD_197_7" vbProcedure="false">"A33238"</definedName>
    <definedName function="false" hidden="false" name="FDD_197_8" vbProcedure="false">"A33603"</definedName>
    <definedName function="false" hidden="false" name="FDD_197_9" vbProcedure="false">"A33969"</definedName>
    <definedName function="false" hidden="false" name="FDD_198_0" vbProcedure="false">"A30681"</definedName>
    <definedName function="false" hidden="false" name="FDD_198_1" vbProcedure="false">"A31047"</definedName>
    <definedName function="false" hidden="false" name="FDD_198_10" vbProcedure="false">"U34334"</definedName>
    <definedName function="false" hidden="false" name="FDD_198_11" vbProcedure="false">"U34699"</definedName>
    <definedName function="false" hidden="false" name="FDD_198_12" vbProcedure="false">"U35064"</definedName>
    <definedName function="false" hidden="false" name="FDD_198_13" vbProcedure="false">"U35430"</definedName>
    <definedName function="false" hidden="false" name="FDD_198_14" vbProcedure="false">"U35795"</definedName>
    <definedName function="false" hidden="false" name="FDD_198_2" vbProcedure="false">"A31412"</definedName>
    <definedName function="false" hidden="false" name="FDD_198_3" vbProcedure="false">"U31777"</definedName>
    <definedName function="false" hidden="false" name="FDD_198_4" vbProcedure="false">"U32142"</definedName>
    <definedName function="false" hidden="false" name="FDD_198_5" vbProcedure="false">"U32508"</definedName>
    <definedName function="false" hidden="false" name="FDD_198_6" vbProcedure="false">"U32873"</definedName>
    <definedName function="false" hidden="false" name="FDD_198_7" vbProcedure="false">"U33238"</definedName>
    <definedName function="false" hidden="false" name="FDD_198_8" vbProcedure="false">"U33603"</definedName>
    <definedName function="false" hidden="false" name="FDD_198_9" vbProcedure="false">"U33969"</definedName>
    <definedName function="false" hidden="false" name="FDD_199_0" vbProcedure="false">"E36160"</definedName>
    <definedName function="false" hidden="false" name="FDD_199_1" vbProcedure="false">"E36525"</definedName>
    <definedName function="false" hidden="false" name="FDD_199_2" vbProcedure="false">"E36891"</definedName>
    <definedName function="false" hidden="false" name="FDD_19_0" vbProcedure="false">"A25569"</definedName>
    <definedName function="false" hidden="false" name="FDD_1_0" vbProcedure="false">"U25569"</definedName>
    <definedName function="false" hidden="false" name="FDD_200_0" vbProcedure="false">"E36160"</definedName>
    <definedName function="false" hidden="false" name="FDD_200_1" vbProcedure="false">"E36525"</definedName>
    <definedName function="false" hidden="false" name="FDD_200_2" vbProcedure="false">"E36891"</definedName>
    <definedName function="false" hidden="false" name="FDD_201_0" vbProcedure="false">"A30681"</definedName>
    <definedName function="false" hidden="false" name="FDD_201_1" vbProcedure="false">"A31047"</definedName>
    <definedName function="false" hidden="false" name="FDD_201_10" vbProcedure="false">"A34334"</definedName>
    <definedName function="false" hidden="false" name="FDD_201_11" vbProcedure="false">"A34699"</definedName>
    <definedName function="false" hidden="false" name="FDD_201_12" vbProcedure="false">"A35064"</definedName>
    <definedName function="false" hidden="false" name="FDD_201_13" vbProcedure="false">"A35430"</definedName>
    <definedName function="false" hidden="false" name="FDD_201_14" vbProcedure="false">"A35795"</definedName>
    <definedName function="false" hidden="false" name="FDD_201_2" vbProcedure="false">"A31412"</definedName>
    <definedName function="false" hidden="false" name="FDD_201_3" vbProcedure="false">"A31777"</definedName>
    <definedName function="false" hidden="false" name="FDD_201_4" vbProcedure="false">"A32142"</definedName>
    <definedName function="false" hidden="false" name="FDD_201_5" vbProcedure="false">"A32508"</definedName>
    <definedName function="false" hidden="false" name="FDD_201_6" vbProcedure="false">"A32873"</definedName>
    <definedName function="false" hidden="false" name="FDD_201_7" vbProcedure="false">"A33238"</definedName>
    <definedName function="false" hidden="false" name="FDD_201_8" vbProcedure="false">"A33603"</definedName>
    <definedName function="false" hidden="false" name="FDD_201_9" vbProcedure="false">"A33969"</definedName>
    <definedName function="false" hidden="false" name="FDD_202_0" vbProcedure="false">"A30681"</definedName>
    <definedName function="false" hidden="false" name="FDD_202_1" vbProcedure="false">"A31047"</definedName>
    <definedName function="false" hidden="false" name="FDD_202_10" vbProcedure="false">"A34334"</definedName>
    <definedName function="false" hidden="false" name="FDD_202_11" vbProcedure="false">"A34699"</definedName>
    <definedName function="false" hidden="false" name="FDD_202_12" vbProcedure="false">"A35064"</definedName>
    <definedName function="false" hidden="false" name="FDD_202_13" vbProcedure="false">"A35430"</definedName>
    <definedName function="false" hidden="false" name="FDD_202_14" vbProcedure="false">"A35795"</definedName>
    <definedName function="false" hidden="false" name="FDD_202_2" vbProcedure="false">"A31412"</definedName>
    <definedName function="false" hidden="false" name="FDD_202_3" vbProcedure="false">"A31777"</definedName>
    <definedName function="false" hidden="false" name="FDD_202_4" vbProcedure="false">"A32142"</definedName>
    <definedName function="false" hidden="false" name="FDD_202_5" vbProcedure="false">"A32508"</definedName>
    <definedName function="false" hidden="false" name="FDD_202_6" vbProcedure="false">"A32873"</definedName>
    <definedName function="false" hidden="false" name="FDD_202_7" vbProcedure="false">"A33238"</definedName>
    <definedName function="false" hidden="false" name="FDD_202_8" vbProcedure="false">"A33603"</definedName>
    <definedName function="false" hidden="false" name="FDD_202_9" vbProcedure="false">"A33969"</definedName>
    <definedName function="false" hidden="false" name="FDD_203_0" vbProcedure="false">"E36160"</definedName>
    <definedName function="false" hidden="false" name="FDD_203_1" vbProcedure="false">"E36525"</definedName>
    <definedName function="false" hidden="false" name="FDD_203_2" vbProcedure="false">"E36891"</definedName>
    <definedName function="false" hidden="false" name="FDD_204_0" vbProcedure="false">"A25569"</definedName>
    <definedName function="false" hidden="false" name="FDD_205_0" vbProcedure="false">"A25569"</definedName>
    <definedName function="false" hidden="false" name="FDD_206_0" vbProcedure="false">"A25569"</definedName>
    <definedName function="false" hidden="false" name="FDD_207_0" vbProcedure="false">"A25569"</definedName>
    <definedName function="false" hidden="false" name="FDD_208_0" vbProcedure="false">"E36160"</definedName>
    <definedName function="false" hidden="false" name="FDD_208_1" vbProcedure="false">"E36525"</definedName>
    <definedName function="false" hidden="false" name="FDD_208_2" vbProcedure="false">"E36891"</definedName>
    <definedName function="false" hidden="false" name="FDD_209_0" vbProcedure="false">"A25569"</definedName>
    <definedName function="false" hidden="false" name="FDD_20_0" vbProcedure="false">"A25569"</definedName>
    <definedName function="false" hidden="false" name="FDD_210_0" vbProcedure="false">"A25569"</definedName>
    <definedName function="false" hidden="false" name="FDD_211_0" vbProcedure="false">"A25569"</definedName>
    <definedName function="false" hidden="false" name="FDD_212_0" vbProcedure="false">"A25569"</definedName>
    <definedName function="false" hidden="false" name="FDD_213_0" vbProcedure="false">"E36160"</definedName>
    <definedName function="false" hidden="false" name="FDD_213_1" vbProcedure="false">"E36525"</definedName>
    <definedName function="false" hidden="false" name="FDD_213_2" vbProcedure="false">"E36891"</definedName>
    <definedName function="false" hidden="false" name="FDD_214_0" vbProcedure="false">"A25569"</definedName>
    <definedName function="false" hidden="false" name="FDD_215_0" vbProcedure="false">"A25569"</definedName>
    <definedName function="false" hidden="false" name="FDD_216_0" vbProcedure="false">"A25569"</definedName>
    <definedName function="false" hidden="false" name="FDD_217_0" vbProcedure="false">"A25569"</definedName>
    <definedName function="false" hidden="false" name="FDD_218_0" vbProcedure="false">"E36160"</definedName>
    <definedName function="false" hidden="false" name="FDD_218_1" vbProcedure="false">"E36525"</definedName>
    <definedName function="false" hidden="false" name="FDD_218_2" vbProcedure="false">"E36891"</definedName>
    <definedName function="false" hidden="false" name="FDD_219_0" vbProcedure="false">"U25569"</definedName>
    <definedName function="false" hidden="false" name="FDD_21_0" vbProcedure="false">"A25569"</definedName>
    <definedName function="false" hidden="false" name="FDD_220_0" vbProcedure="false">"U25569"</definedName>
    <definedName function="false" hidden="false" name="FDD_221_0" vbProcedure="false">"U25569"</definedName>
    <definedName function="false" hidden="false" name="FDD_222_0" vbProcedure="false">"U25569"</definedName>
    <definedName function="false" hidden="false" name="FDD_223_0" vbProcedure="false">"E36160"</definedName>
    <definedName function="false" hidden="false" name="FDD_223_1" vbProcedure="false">"E36525"</definedName>
    <definedName function="false" hidden="false" name="FDD_223_2" vbProcedure="false">"E36891"</definedName>
    <definedName function="false" hidden="false" name="FDD_224_0" vbProcedure="false">"A25569"</definedName>
    <definedName function="false" hidden="false" name="FDD_225_0" vbProcedure="false">"A25569"</definedName>
    <definedName function="false" hidden="false" name="FDD_226_0" vbProcedure="false">"A25569"</definedName>
    <definedName function="false" hidden="false" name="FDD_227_0" vbProcedure="false">"A25569"</definedName>
    <definedName function="false" hidden="false" name="FDD_228_0" vbProcedure="false">"E36160"</definedName>
    <definedName function="false" hidden="false" name="FDD_228_1" vbProcedure="false">"E36525"</definedName>
    <definedName function="false" hidden="false" name="FDD_228_2" vbProcedure="false">"E36891"</definedName>
    <definedName function="false" hidden="false" name="FDD_229_0" vbProcedure="false">"A25569"</definedName>
    <definedName function="false" hidden="false" name="FDD_22_0" vbProcedure="false">"A25569"</definedName>
    <definedName function="false" hidden="false" name="FDD_230_0" vbProcedure="false">"A25569"</definedName>
    <definedName function="false" hidden="false" name="FDD_231_0" vbProcedure="false">"A25569"</definedName>
    <definedName function="false" hidden="false" name="FDD_232_0" vbProcedure="false">"A25569"</definedName>
    <definedName function="false" hidden="false" name="FDD_233_0" vbProcedure="false">"A25569"</definedName>
    <definedName function="false" hidden="false" name="FDD_234_0" vbProcedure="false">"A25569"</definedName>
    <definedName function="false" hidden="false" name="FDD_235_0" vbProcedure="false">"A25569"</definedName>
    <definedName function="false" hidden="false" name="FDD_236_0" vbProcedure="false">"A25569"</definedName>
    <definedName function="false" hidden="false" name="FDD_237_0" vbProcedure="false">"A25569"</definedName>
    <definedName function="false" hidden="false" name="FDD_238_0" vbProcedure="false">"A30681"</definedName>
    <definedName function="false" hidden="false" name="FDD_238_1" vbProcedure="false">"A31047"</definedName>
    <definedName function="false" hidden="false" name="FDD_238_10" vbProcedure="false">"A34334"</definedName>
    <definedName function="false" hidden="false" name="FDD_238_11" vbProcedure="false">"A34699"</definedName>
    <definedName function="false" hidden="false" name="FDD_238_12" vbProcedure="false">"A35064"</definedName>
    <definedName function="false" hidden="false" name="FDD_238_13" vbProcedure="false">"A35430"</definedName>
    <definedName function="false" hidden="false" name="FDD_238_14" vbProcedure="false">"A35795"</definedName>
    <definedName function="false" hidden="false" name="FDD_238_2" vbProcedure="false">"A31412"</definedName>
    <definedName function="false" hidden="false" name="FDD_238_3" vbProcedure="false">"A31777"</definedName>
    <definedName function="false" hidden="false" name="FDD_238_4" vbProcedure="false">"A32142"</definedName>
    <definedName function="false" hidden="false" name="FDD_238_5" vbProcedure="false">"A32508"</definedName>
    <definedName function="false" hidden="false" name="FDD_238_6" vbProcedure="false">"A32873"</definedName>
    <definedName function="false" hidden="false" name="FDD_238_7" vbProcedure="false">"A33238"</definedName>
    <definedName function="false" hidden="false" name="FDD_238_8" vbProcedure="false">"A33603"</definedName>
    <definedName function="false" hidden="false" name="FDD_238_9" vbProcedure="false">"A33969"</definedName>
    <definedName function="false" hidden="false" name="FDD_23_0" vbProcedure="false">"A25569"</definedName>
    <definedName function="false" hidden="false" name="FDD_243_0" vbProcedure="false">"E36160"</definedName>
    <definedName function="false" hidden="false" name="FDD_243_1" vbProcedure="false">"E36525"</definedName>
    <definedName function="false" hidden="false" name="FDD_243_2" vbProcedure="false">"E36891"</definedName>
    <definedName function="false" hidden="false" name="FDD_244_0" vbProcedure="false">"A25569"</definedName>
    <definedName function="false" hidden="false" name="FDD_245_0" vbProcedure="false">"A25569"</definedName>
    <definedName function="false" hidden="false" name="FDD_246_0" vbProcedure="false">"A25569"</definedName>
    <definedName function="false" hidden="false" name="FDD_247_0" vbProcedure="false">"A25569"</definedName>
    <definedName function="false" hidden="false" name="FDD_248_0" vbProcedure="false">"E36160"</definedName>
    <definedName function="false" hidden="false" name="FDD_248_1" vbProcedure="false">"E36525"</definedName>
    <definedName function="false" hidden="false" name="FDD_248_2" vbProcedure="false">"E36891"</definedName>
    <definedName function="false" hidden="false" name="FDD_249_0" vbProcedure="false">"A25569"</definedName>
    <definedName function="false" hidden="false" name="FDD_24_0" vbProcedure="false">"A25569"</definedName>
    <definedName function="false" hidden="false" name="FDD_250_0" vbProcedure="false">"A25569"</definedName>
    <definedName function="false" hidden="false" name="FDD_251_0" vbProcedure="false">"A25569"</definedName>
    <definedName function="false" hidden="false" name="FDD_252_0" vbProcedure="false">"A25569"</definedName>
    <definedName function="false" hidden="false" name="FDD_253_0" vbProcedure="false">"E36160"</definedName>
    <definedName function="false" hidden="false" name="FDD_253_1" vbProcedure="false">"E36525"</definedName>
    <definedName function="false" hidden="false" name="FDD_253_2" vbProcedure="false">"E36891"</definedName>
    <definedName function="false" hidden="false" name="FDD_254_0" vbProcedure="false">"E36160"</definedName>
    <definedName function="false" hidden="false" name="FDD_254_1" vbProcedure="false">"E36525"</definedName>
    <definedName function="false" hidden="false" name="FDD_254_2" vbProcedure="false">"E36891"</definedName>
    <definedName function="false" hidden="false" name="FDD_255_0" vbProcedure="false">"E36160"</definedName>
    <definedName function="false" hidden="false" name="FDD_255_1" vbProcedure="false">"E36525"</definedName>
    <definedName function="false" hidden="false" name="FDD_255_2" vbProcedure="false">"E36891"</definedName>
    <definedName function="false" hidden="false" name="FDD_256_0" vbProcedure="false">"U36160"</definedName>
    <definedName function="false" hidden="false" name="FDD_256_1" vbProcedure="false">"U36525"</definedName>
    <definedName function="false" hidden="false" name="FDD_256_2" vbProcedure="false">"U36891"</definedName>
    <definedName function="false" hidden="false" name="FDD_257_0" vbProcedure="false">"E36160"</definedName>
    <definedName function="false" hidden="false" name="FDD_257_1" vbProcedure="false">"E36525"</definedName>
    <definedName function="false" hidden="false" name="FDD_257_2" vbProcedure="false">"E36891"</definedName>
    <definedName function="false" hidden="false" name="FDD_258_0" vbProcedure="false">"E36160"</definedName>
    <definedName function="false" hidden="false" name="FDD_258_1" vbProcedure="false">"E36525"</definedName>
    <definedName function="false" hidden="false" name="FDD_258_2" vbProcedure="false">"E36891"</definedName>
    <definedName function="false" hidden="false" name="FDD_259_0" vbProcedure="false">"E36160"</definedName>
    <definedName function="false" hidden="false" name="FDD_259_1" vbProcedure="false">"E36525"</definedName>
    <definedName function="false" hidden="false" name="FDD_259_2" vbProcedure="false">"E36891"</definedName>
    <definedName function="false" hidden="false" name="FDD_25_0" vbProcedure="false">"A25569"</definedName>
    <definedName function="false" hidden="false" name="FDD_260_0" vbProcedure="false">"E36160"</definedName>
    <definedName function="false" hidden="false" name="FDD_260_1" vbProcedure="false">"E36525"</definedName>
    <definedName function="false" hidden="false" name="FDD_260_2" vbProcedure="false">"E36891"</definedName>
    <definedName function="false" hidden="false" name="FDD_261_0" vbProcedure="false">"E36160"</definedName>
    <definedName function="false" hidden="false" name="FDD_261_1" vbProcedure="false">"E36525"</definedName>
    <definedName function="false" hidden="false" name="FDD_261_2" vbProcedure="false">"E36891"</definedName>
    <definedName function="false" hidden="false" name="FDD_264_0" vbProcedure="false">"E36160"</definedName>
    <definedName function="false" hidden="false" name="FDD_264_1" vbProcedure="false">"E36525"</definedName>
    <definedName function="false" hidden="false" name="FDD_264_2" vbProcedure="false">"E36891"</definedName>
    <definedName function="false" hidden="false" name="FDD_265_0" vbProcedure="false">"A25569"</definedName>
    <definedName function="false" hidden="false" name="FDD_266_0" vbProcedure="false">"A25569"</definedName>
    <definedName function="false" hidden="false" name="FDD_267_0" vbProcedure="false">"A25569"</definedName>
    <definedName function="false" hidden="false" name="FDD_268_0" vbProcedure="false">"A25569"</definedName>
    <definedName function="false" hidden="false" name="FDD_269_0" vbProcedure="false">"E36160"</definedName>
    <definedName function="false" hidden="false" name="FDD_269_1" vbProcedure="false">"E36525"</definedName>
    <definedName function="false" hidden="false" name="FDD_269_2" vbProcedure="false">"E36891"</definedName>
    <definedName function="false" hidden="false" name="FDD_26_0" vbProcedure="false">"A25569"</definedName>
    <definedName function="false" hidden="false" name="FDD_270_0" vbProcedure="false">"A25569"</definedName>
    <definedName function="false" hidden="false" name="FDD_271_0" vbProcedure="false">"A25569"</definedName>
    <definedName function="false" hidden="false" name="FDD_272_0" vbProcedure="false">"A25569"</definedName>
    <definedName function="false" hidden="false" name="FDD_273_0" vbProcedure="false">"A25569"</definedName>
    <definedName function="false" hidden="false" name="FDD_274_0" vbProcedure="false">"E36160"</definedName>
    <definedName function="false" hidden="false" name="FDD_274_1" vbProcedure="false">"E36525"</definedName>
    <definedName function="false" hidden="false" name="FDD_274_2" vbProcedure="false">"E36891"</definedName>
    <definedName function="false" hidden="false" name="FDD_275_0" vbProcedure="false">"A25569"</definedName>
    <definedName function="false" hidden="false" name="FDD_276_0" vbProcedure="false">"A25569"</definedName>
    <definedName function="false" hidden="false" name="FDD_277_0" vbProcedure="false">"A25569"</definedName>
    <definedName function="false" hidden="false" name="FDD_278_0" vbProcedure="false">"A25569"</definedName>
    <definedName function="false" hidden="false" name="FDD_279_0" vbProcedure="false">"E36160"</definedName>
    <definedName function="false" hidden="false" name="FDD_279_1" vbProcedure="false">"E36525"</definedName>
    <definedName function="false" hidden="false" name="FDD_279_2" vbProcedure="false">"E36891"</definedName>
    <definedName function="false" hidden="false" name="FDD_27_0" vbProcedure="false">"A25569"</definedName>
    <definedName function="false" hidden="false" name="FDD_280_0" vbProcedure="false">"E36160"</definedName>
    <definedName function="false" hidden="false" name="FDD_280_1" vbProcedure="false">"E36525"</definedName>
    <definedName function="false" hidden="false" name="FDD_280_2" vbProcedure="false">"E36891"</definedName>
    <definedName function="false" hidden="false" name="FDD_281_0" vbProcedure="false">"E36160"</definedName>
    <definedName function="false" hidden="false" name="FDD_281_1" vbProcedure="false">"E36525"</definedName>
    <definedName function="false" hidden="false" name="FDD_281_2" vbProcedure="false">"E36891"</definedName>
    <definedName function="false" hidden="false" name="FDD_282_0" vbProcedure="false">"E36160"</definedName>
    <definedName function="false" hidden="false" name="FDD_282_1" vbProcedure="false">"E36525"</definedName>
    <definedName function="false" hidden="false" name="FDD_282_2" vbProcedure="false">"E36891"</definedName>
    <definedName function="false" hidden="false" name="FDD_283_0" vbProcedure="false">"E36160"</definedName>
    <definedName function="false" hidden="false" name="FDD_283_1" vbProcedure="false">"E36525"</definedName>
    <definedName function="false" hidden="false" name="FDD_283_2" vbProcedure="false">"E36891"</definedName>
    <definedName function="false" hidden="false" name="FDD_284_0" vbProcedure="false">"A30681"</definedName>
    <definedName function="false" hidden="false" name="FDD_284_1" vbProcedure="false">"A31047"</definedName>
    <definedName function="false" hidden="false" name="FDD_284_10" vbProcedure="false">"A34334"</definedName>
    <definedName function="false" hidden="false" name="FDD_284_11" vbProcedure="false">"A34699"</definedName>
    <definedName function="false" hidden="false" name="FDD_284_12" vbProcedure="false">"A35064"</definedName>
    <definedName function="false" hidden="false" name="FDD_284_13" vbProcedure="false">"A35430"</definedName>
    <definedName function="false" hidden="false" name="FDD_284_14" vbProcedure="false">"A35795"</definedName>
    <definedName function="false" hidden="false" name="FDD_284_2" vbProcedure="false">"A31412"</definedName>
    <definedName function="false" hidden="false" name="FDD_284_3" vbProcedure="false">"A31777"</definedName>
    <definedName function="false" hidden="false" name="FDD_284_4" vbProcedure="false">"A32142"</definedName>
    <definedName function="false" hidden="false" name="FDD_284_5" vbProcedure="false">"A32508"</definedName>
    <definedName function="false" hidden="false" name="FDD_284_6" vbProcedure="false">"A32873"</definedName>
    <definedName function="false" hidden="false" name="FDD_284_7" vbProcedure="false">"A33238"</definedName>
    <definedName function="false" hidden="false" name="FDD_284_8" vbProcedure="false">"A33603"</definedName>
    <definedName function="false" hidden="false" name="FDD_284_9" vbProcedure="false">"A33969"</definedName>
    <definedName function="false" hidden="false" name="FDD_285_0" vbProcedure="false">"A35795"</definedName>
    <definedName function="false" hidden="false" name="FDD_285_1" vbProcedure="false">"E36160"</definedName>
    <definedName function="false" hidden="false" name="FDD_285_10" vbProcedure="false">"E39447"</definedName>
    <definedName function="false" hidden="false" name="FDD_285_11" vbProcedure="false">"E39813"</definedName>
    <definedName function="false" hidden="false" name="FDD_285_12" vbProcedure="false">"E40178"</definedName>
    <definedName function="false" hidden="false" name="FDD_285_13" vbProcedure="false">"E40543"</definedName>
    <definedName function="false" hidden="false" name="FDD_285_14" vbProcedure="false">"E40908"</definedName>
    <definedName function="false" hidden="false" name="FDD_285_15" vbProcedure="false">"E41274"</definedName>
    <definedName function="false" hidden="false" name="FDD_285_16" vbProcedure="false">"E41639"</definedName>
    <definedName function="false" hidden="false" name="FDD_285_17" vbProcedure="false">"E42004"</definedName>
    <definedName function="false" hidden="false" name="FDD_285_18" vbProcedure="false">"E42369"</definedName>
    <definedName function="false" hidden="false" name="FDD_285_19" vbProcedure="false">"E42735"</definedName>
    <definedName function="false" hidden="false" name="FDD_285_2" vbProcedure="false">"E36525"</definedName>
    <definedName function="false" hidden="false" name="FDD_285_20" vbProcedure="false">"E43100"</definedName>
    <definedName function="false" hidden="false" name="FDD_285_21" vbProcedure="false">"E43465"</definedName>
    <definedName function="false" hidden="false" name="FDD_285_22" vbProcedure="false">"E43830"</definedName>
    <definedName function="false" hidden="false" name="FDD_285_23" vbProcedure="false">"E44196"</definedName>
    <definedName function="false" hidden="false" name="FDD_285_24" vbProcedure="false">"E44561"</definedName>
    <definedName function="false" hidden="false" name="FDD_285_25" vbProcedure="false">"E44926"</definedName>
    <definedName function="false" hidden="false" name="FDD_285_3" vbProcedure="false">"E36891"</definedName>
    <definedName function="false" hidden="false" name="FDD_285_4" vbProcedure="false">"E37256"</definedName>
    <definedName function="false" hidden="false" name="FDD_285_5" vbProcedure="false">"E37621"</definedName>
    <definedName function="false" hidden="false" name="FDD_285_6" vbProcedure="false">"E37986"</definedName>
    <definedName function="false" hidden="false" name="FDD_285_7" vbProcedure="false">"E38352"</definedName>
    <definedName function="false" hidden="false" name="FDD_285_8" vbProcedure="false">"E38717"</definedName>
    <definedName function="false" hidden="false" name="FDD_285_9" vbProcedure="false">"E39082"</definedName>
    <definedName function="false" hidden="false" name="FDD_286_0" vbProcedure="false">"E36160"</definedName>
    <definedName function="false" hidden="false" name="FDD_286_1" vbProcedure="false">"E36525"</definedName>
    <definedName function="false" hidden="false" name="FDD_286_10" vbProcedure="false">"E39813"</definedName>
    <definedName function="false" hidden="false" name="FDD_286_11" vbProcedure="false">"E40178"</definedName>
    <definedName function="false" hidden="false" name="FDD_286_12" vbProcedure="false">"E40543"</definedName>
    <definedName function="false" hidden="false" name="FDD_286_13" vbProcedure="false">"E40908"</definedName>
    <definedName function="false" hidden="false" name="FDD_286_14" vbProcedure="false">"E41274"</definedName>
    <definedName function="false" hidden="false" name="FDD_286_15" vbProcedure="false">"E41639"</definedName>
    <definedName function="false" hidden="false" name="FDD_286_16" vbProcedure="false">"E42004"</definedName>
    <definedName function="false" hidden="false" name="FDD_286_17" vbProcedure="false">"E42369"</definedName>
    <definedName function="false" hidden="false" name="FDD_286_18" vbProcedure="false">"E42735"</definedName>
    <definedName function="false" hidden="false" name="FDD_286_19" vbProcedure="false">"E43100"</definedName>
    <definedName function="false" hidden="false" name="FDD_286_2" vbProcedure="false">"E36891"</definedName>
    <definedName function="false" hidden="false" name="FDD_286_20" vbProcedure="false">"E43465"</definedName>
    <definedName function="false" hidden="false" name="FDD_286_21" vbProcedure="false">"E43830"</definedName>
    <definedName function="false" hidden="false" name="FDD_286_22" vbProcedure="false">"E44196"</definedName>
    <definedName function="false" hidden="false" name="FDD_286_23" vbProcedure="false">"E44561"</definedName>
    <definedName function="false" hidden="false" name="FDD_286_24" vbProcedure="false">"E44926"</definedName>
    <definedName function="false" hidden="false" name="FDD_286_3" vbProcedure="false">"E37256"</definedName>
    <definedName function="false" hidden="false" name="FDD_286_4" vbProcedure="false">"E37621"</definedName>
    <definedName function="false" hidden="false" name="FDD_286_5" vbProcedure="false">"E37986"</definedName>
    <definedName function="false" hidden="false" name="FDD_286_6" vbProcedure="false">"E38352"</definedName>
    <definedName function="false" hidden="false" name="FDD_286_7" vbProcedure="false">"E38717"</definedName>
    <definedName function="false" hidden="false" name="FDD_286_8" vbProcedure="false">"E39082"</definedName>
    <definedName function="false" hidden="false" name="FDD_286_9" vbProcedure="false">"E39447"</definedName>
    <definedName function="false" hidden="false" name="FDD_287_0" vbProcedure="false">"A25569"</definedName>
    <definedName function="false" hidden="false" name="FDD_288_0" vbProcedure="false">"A25569"</definedName>
    <definedName function="false" hidden="false" name="FDD_289_0" vbProcedure="false">"A36890"</definedName>
    <definedName function="false" hidden="false" name="FDD_28_0" vbProcedure="false">"A25569"</definedName>
    <definedName function="false" hidden="false" name="FDD_290_0" vbProcedure="false">"A36890"</definedName>
    <definedName function="false" hidden="false" name="FDD_291_0" vbProcedure="false">"A25569"</definedName>
    <definedName function="false" hidden="false" name="FDD_295_0" vbProcedure="false">"U25569"</definedName>
    <definedName function="false" hidden="false" name="FDD_296_0" vbProcedure="false">"A25569"</definedName>
    <definedName function="false" hidden="false" name="FDD_297_0" vbProcedure="false">"A25569"</definedName>
    <definedName function="false" hidden="false" name="FDD_298_0" vbProcedure="false">"A25569"</definedName>
    <definedName function="false" hidden="false" name="FDD_299_0" vbProcedure="false">"A25569"</definedName>
    <definedName function="false" hidden="false" name="FDD_29_0" vbProcedure="false">"A25569"</definedName>
    <definedName function="false" hidden="false" name="FDD_2_0" vbProcedure="false">"A25569"</definedName>
    <definedName function="false" hidden="false" name="FDD_300_0" vbProcedure="false">"U25569"</definedName>
    <definedName function="false" hidden="false" name="FDD_301_0" vbProcedure="false">"U35795"</definedName>
    <definedName function="false" hidden="false" name="FDD_301_1" vbProcedure="false">"U36160"</definedName>
    <definedName function="false" hidden="false" name="FDD_301_2" vbProcedure="false">"U36525"</definedName>
    <definedName function="false" hidden="false" name="FDD_302_0" vbProcedure="false">"U35795"</definedName>
    <definedName function="false" hidden="false" name="FDD_302_1" vbProcedure="false">"U36160"</definedName>
    <definedName function="false" hidden="false" name="FDD_302_2" vbProcedure="false">"U36525"</definedName>
    <definedName function="false" hidden="false" name="FDD_303_0" vbProcedure="false">"U35795"</definedName>
    <definedName function="false" hidden="false" name="FDD_303_1" vbProcedure="false">"U36160"</definedName>
    <definedName function="false" hidden="false" name="FDD_303_2" vbProcedure="false">"U36525"</definedName>
    <definedName function="false" hidden="false" name="FDD_304_0" vbProcedure="false">"U35795"</definedName>
    <definedName function="false" hidden="false" name="FDD_304_1" vbProcedure="false">"U36160"</definedName>
    <definedName function="false" hidden="false" name="FDD_304_2" vbProcedure="false">"U36525"</definedName>
    <definedName function="false" hidden="false" name="FDD_305_0" vbProcedure="false">"A30681"</definedName>
    <definedName function="false" hidden="false" name="FDD_305_1" vbProcedure="false">"A31047"</definedName>
    <definedName function="false" hidden="false" name="FDD_305_10" vbProcedure="false">"U34334"</definedName>
    <definedName function="false" hidden="false" name="FDD_305_11" vbProcedure="false">"U34699"</definedName>
    <definedName function="false" hidden="false" name="FDD_305_12" vbProcedure="false">"U35064"</definedName>
    <definedName function="false" hidden="false" name="FDD_305_13" vbProcedure="false">"U35430"</definedName>
    <definedName function="false" hidden="false" name="FDD_305_14" vbProcedure="false">"U35795"</definedName>
    <definedName function="false" hidden="false" name="FDD_305_2" vbProcedure="false">"A31412"</definedName>
    <definedName function="false" hidden="false" name="FDD_305_3" vbProcedure="false">"U31777"</definedName>
    <definedName function="false" hidden="false" name="FDD_305_4" vbProcedure="false">"U32142"</definedName>
    <definedName function="false" hidden="false" name="FDD_305_5" vbProcedure="false">"U32508"</definedName>
    <definedName function="false" hidden="false" name="FDD_305_6" vbProcedure="false">"U32873"</definedName>
    <definedName function="false" hidden="false" name="FDD_305_7" vbProcedure="false">"U33238"</definedName>
    <definedName function="false" hidden="false" name="FDD_305_8" vbProcedure="false">"U33603"</definedName>
    <definedName function="false" hidden="false" name="FDD_305_9" vbProcedure="false">"U33969"</definedName>
    <definedName function="false" hidden="false" name="FDD_306_0" vbProcedure="false">"U35795"</definedName>
    <definedName function="false" hidden="false" name="FDD_306_1" vbProcedure="false">"E36160"</definedName>
    <definedName function="false" hidden="false" name="FDD_306_2" vbProcedure="false">"U36525"</definedName>
    <definedName function="false" hidden="false" name="FDD_307_0" vbProcedure="false">"A35795"</definedName>
    <definedName function="false" hidden="false" name="FDD_307_1" vbProcedure="false">"U36160"</definedName>
    <definedName function="false" hidden="false" name="FDD_307_2" vbProcedure="false">"U36525"</definedName>
    <definedName function="false" hidden="false" name="FDD_30_0" vbProcedure="false">"A25569"</definedName>
    <definedName function="false" hidden="false" name="FDD_31_0" vbProcedure="false">"A25569"</definedName>
    <definedName function="false" hidden="false" name="FDD_32_0" vbProcedure="false">"A25569"</definedName>
    <definedName function="false" hidden="false" name="FDD_33_0" vbProcedure="false">"A25569"</definedName>
    <definedName function="false" hidden="false" name="FDD_34_0" vbProcedure="false">"A25569"</definedName>
    <definedName function="false" hidden="false" name="FDD_35_0" vbProcedure="false">"A25569"</definedName>
    <definedName function="false" hidden="false" name="FDD_36_0" vbProcedure="false">"A25569"</definedName>
    <definedName function="false" hidden="false" name="FDD_37_0" vbProcedure="false">"A25569"</definedName>
    <definedName function="false" hidden="false" name="FDD_38_0" vbProcedure="false">"A25569"</definedName>
    <definedName function="false" hidden="false" name="FDD_39_0" vbProcedure="false">"A25569"</definedName>
    <definedName function="false" hidden="false" name="FDD_3_0" vbProcedure="false">"A25569"</definedName>
    <definedName function="false" hidden="false" name="FDD_40_0" vbProcedure="false">"A25569"</definedName>
    <definedName function="false" hidden="false" name="FDD_41_0" vbProcedure="false">"U25569"</definedName>
    <definedName function="false" hidden="false" name="FDD_42_0" vbProcedure="false">"U25569"</definedName>
    <definedName function="false" hidden="false" name="FDD_43_0" vbProcedure="false">"A25569"</definedName>
    <definedName function="false" hidden="false" name="FDD_44_0" vbProcedure="false">"A30681"</definedName>
    <definedName function="false" hidden="false" name="FDD_44_1" vbProcedure="false">"A31047"</definedName>
    <definedName function="false" hidden="false" name="FDD_44_10" vbProcedure="false">"A34334"</definedName>
    <definedName function="false" hidden="false" name="FDD_44_11" vbProcedure="false">"A34699"</definedName>
    <definedName function="false" hidden="false" name="FDD_44_12" vbProcedure="false">"A35064"</definedName>
    <definedName function="false" hidden="false" name="FDD_44_13" vbProcedure="false">"A35430"</definedName>
    <definedName function="false" hidden="false" name="FDD_44_14" vbProcedure="false">"A35795"</definedName>
    <definedName function="false" hidden="false" name="FDD_44_2" vbProcedure="false">"A31412"</definedName>
    <definedName function="false" hidden="false" name="FDD_44_3" vbProcedure="false">"A31777"</definedName>
    <definedName function="false" hidden="false" name="FDD_44_4" vbProcedure="false">"A32142"</definedName>
    <definedName function="false" hidden="false" name="FDD_44_5" vbProcedure="false">"A32508"</definedName>
    <definedName function="false" hidden="false" name="FDD_44_6" vbProcedure="false">"A32873"</definedName>
    <definedName function="false" hidden="false" name="FDD_44_7" vbProcedure="false">"A33238"</definedName>
    <definedName function="false" hidden="false" name="FDD_44_8" vbProcedure="false">"A33603"</definedName>
    <definedName function="false" hidden="false" name="FDD_44_9" vbProcedure="false">"A33969"</definedName>
    <definedName function="false" hidden="false" name="FDD_45_0" vbProcedure="false">"A30681"</definedName>
    <definedName function="false" hidden="false" name="FDD_45_1" vbProcedure="false">"A31047"</definedName>
    <definedName function="false" hidden="false" name="FDD_45_10" vbProcedure="false">"A34334"</definedName>
    <definedName function="false" hidden="false" name="FDD_45_11" vbProcedure="false">"A34699"</definedName>
    <definedName function="false" hidden="false" name="FDD_45_12" vbProcedure="false">"A35064"</definedName>
    <definedName function="false" hidden="false" name="FDD_45_13" vbProcedure="false">"A35430"</definedName>
    <definedName function="false" hidden="false" name="FDD_45_14" vbProcedure="false">"A35795"</definedName>
    <definedName function="false" hidden="false" name="FDD_45_2" vbProcedure="false">"A31412"</definedName>
    <definedName function="false" hidden="false" name="FDD_45_3" vbProcedure="false">"A31777"</definedName>
    <definedName function="false" hidden="false" name="FDD_45_4" vbProcedure="false">"A32142"</definedName>
    <definedName function="false" hidden="false" name="FDD_45_5" vbProcedure="false">"A32508"</definedName>
    <definedName function="false" hidden="false" name="FDD_45_6" vbProcedure="false">"A32873"</definedName>
    <definedName function="false" hidden="false" name="FDD_45_7" vbProcedure="false">"A33238"</definedName>
    <definedName function="false" hidden="false" name="FDD_45_8" vbProcedure="false">"A33603"</definedName>
    <definedName function="false" hidden="false" name="FDD_45_9" vbProcedure="false">"A33969"</definedName>
    <definedName function="false" hidden="false" name="FDD_46_0" vbProcedure="false">"A30681"</definedName>
    <definedName function="false" hidden="false" name="FDD_46_1" vbProcedure="false">"A31047"</definedName>
    <definedName function="false" hidden="false" name="FDD_46_10" vbProcedure="false">"A34334"</definedName>
    <definedName function="false" hidden="false" name="FDD_46_11" vbProcedure="false">"A34699"</definedName>
    <definedName function="false" hidden="false" name="FDD_46_12" vbProcedure="false">"A35064"</definedName>
    <definedName function="false" hidden="false" name="FDD_46_13" vbProcedure="false">"A35430"</definedName>
    <definedName function="false" hidden="false" name="FDD_46_14" vbProcedure="false">"A35795"</definedName>
    <definedName function="false" hidden="false" name="FDD_46_2" vbProcedure="false">"A31412"</definedName>
    <definedName function="false" hidden="false" name="FDD_46_3" vbProcedure="false">"A31777"</definedName>
    <definedName function="false" hidden="false" name="FDD_46_4" vbProcedure="false">"A32142"</definedName>
    <definedName function="false" hidden="false" name="FDD_46_5" vbProcedure="false">"A32508"</definedName>
    <definedName function="false" hidden="false" name="FDD_46_6" vbProcedure="false">"A32873"</definedName>
    <definedName function="false" hidden="false" name="FDD_46_7" vbProcedure="false">"A33238"</definedName>
    <definedName function="false" hidden="false" name="FDD_46_8" vbProcedure="false">"A33603"</definedName>
    <definedName function="false" hidden="false" name="FDD_46_9" vbProcedure="false">"A33969"</definedName>
    <definedName function="false" hidden="false" name="FDD_47_0" vbProcedure="false">"A30681"</definedName>
    <definedName function="false" hidden="false" name="FDD_47_1" vbProcedure="false">"A31047"</definedName>
    <definedName function="false" hidden="false" name="FDD_47_10" vbProcedure="false">"A34334"</definedName>
    <definedName function="false" hidden="false" name="FDD_47_11" vbProcedure="false">"A34699"</definedName>
    <definedName function="false" hidden="false" name="FDD_47_12" vbProcedure="false">"A35064"</definedName>
    <definedName function="false" hidden="false" name="FDD_47_13" vbProcedure="false">"A35430"</definedName>
    <definedName function="false" hidden="false" name="FDD_47_14" vbProcedure="false">"A35795"</definedName>
    <definedName function="false" hidden="false" name="FDD_47_2" vbProcedure="false">"A31412"</definedName>
    <definedName function="false" hidden="false" name="FDD_47_3" vbProcedure="false">"A31777"</definedName>
    <definedName function="false" hidden="false" name="FDD_47_4" vbProcedure="false">"A32142"</definedName>
    <definedName function="false" hidden="false" name="FDD_47_5" vbProcedure="false">"A32508"</definedName>
    <definedName function="false" hidden="false" name="FDD_47_6" vbProcedure="false">"A32873"</definedName>
    <definedName function="false" hidden="false" name="FDD_47_7" vbProcedure="false">"A33238"</definedName>
    <definedName function="false" hidden="false" name="FDD_47_8" vbProcedure="false">"A33603"</definedName>
    <definedName function="false" hidden="false" name="FDD_47_9" vbProcedure="false">"A33969"</definedName>
    <definedName function="false" hidden="false" name="FDD_48_0" vbProcedure="false">"A30681"</definedName>
    <definedName function="false" hidden="false" name="FDD_48_1" vbProcedure="false">"A31047"</definedName>
    <definedName function="false" hidden="false" name="FDD_48_10" vbProcedure="false">"A34334"</definedName>
    <definedName function="false" hidden="false" name="FDD_48_11" vbProcedure="false">"A34699"</definedName>
    <definedName function="false" hidden="false" name="FDD_48_12" vbProcedure="false">"A35064"</definedName>
    <definedName function="false" hidden="false" name="FDD_48_13" vbProcedure="false">"A35430"</definedName>
    <definedName function="false" hidden="false" name="FDD_48_14" vbProcedure="false">"A35795"</definedName>
    <definedName function="false" hidden="false" name="FDD_48_2" vbProcedure="false">"A31412"</definedName>
    <definedName function="false" hidden="false" name="FDD_48_3" vbProcedure="false">"A31777"</definedName>
    <definedName function="false" hidden="false" name="FDD_48_4" vbProcedure="false">"A32142"</definedName>
    <definedName function="false" hidden="false" name="FDD_48_5" vbProcedure="false">"A32508"</definedName>
    <definedName function="false" hidden="false" name="FDD_48_6" vbProcedure="false">"A32873"</definedName>
    <definedName function="false" hidden="false" name="FDD_48_7" vbProcedure="false">"A33238"</definedName>
    <definedName function="false" hidden="false" name="FDD_48_8" vbProcedure="false">"A33603"</definedName>
    <definedName function="false" hidden="false" name="FDD_48_9" vbProcedure="false">"A33969"</definedName>
    <definedName function="false" hidden="false" name="FDD_49_0" vbProcedure="false">"A30681"</definedName>
    <definedName function="false" hidden="false" name="FDD_49_1" vbProcedure="false">"A31047"</definedName>
    <definedName function="false" hidden="false" name="FDD_49_10" vbProcedure="false">"A34334"</definedName>
    <definedName function="false" hidden="false" name="FDD_49_11" vbProcedure="false">"A34699"</definedName>
    <definedName function="false" hidden="false" name="FDD_49_12" vbProcedure="false">"A35064"</definedName>
    <definedName function="false" hidden="false" name="FDD_49_13" vbProcedure="false">"A35430"</definedName>
    <definedName function="false" hidden="false" name="FDD_49_14" vbProcedure="false">"A35795"</definedName>
    <definedName function="false" hidden="false" name="FDD_49_2" vbProcedure="false">"A31412"</definedName>
    <definedName function="false" hidden="false" name="FDD_49_3" vbProcedure="false">"A31777"</definedName>
    <definedName function="false" hidden="false" name="FDD_49_4" vbProcedure="false">"A32142"</definedName>
    <definedName function="false" hidden="false" name="FDD_49_5" vbProcedure="false">"A32508"</definedName>
    <definedName function="false" hidden="false" name="FDD_49_6" vbProcedure="false">"A32873"</definedName>
    <definedName function="false" hidden="false" name="FDD_49_7" vbProcedure="false">"A33238"</definedName>
    <definedName function="false" hidden="false" name="FDD_49_8" vbProcedure="false">"A33603"</definedName>
    <definedName function="false" hidden="false" name="FDD_49_9" vbProcedure="false">"A33969"</definedName>
    <definedName function="false" hidden="false" name="FDD_4_0" vbProcedure="false">"A25569"</definedName>
    <definedName function="false" hidden="false" name="FDD_50_0" vbProcedure="false">"A30681"</definedName>
    <definedName function="false" hidden="false" name="FDD_50_1" vbProcedure="false">"A31047"</definedName>
    <definedName function="false" hidden="false" name="FDD_50_10" vbProcedure="false">"A34334"</definedName>
    <definedName function="false" hidden="false" name="FDD_50_11" vbProcedure="false">"A34699"</definedName>
    <definedName function="false" hidden="false" name="FDD_50_12" vbProcedure="false">"A35064"</definedName>
    <definedName function="false" hidden="false" name="FDD_50_13" vbProcedure="false">"A35430"</definedName>
    <definedName function="false" hidden="false" name="FDD_50_14" vbProcedure="false">"A35795"</definedName>
    <definedName function="false" hidden="false" name="FDD_50_2" vbProcedure="false">"A31412"</definedName>
    <definedName function="false" hidden="false" name="FDD_50_3" vbProcedure="false">"A31777"</definedName>
    <definedName function="false" hidden="false" name="FDD_50_4" vbProcedure="false">"A32142"</definedName>
    <definedName function="false" hidden="false" name="FDD_50_5" vbProcedure="false">"A32508"</definedName>
    <definedName function="false" hidden="false" name="FDD_50_6" vbProcedure="false">"A32873"</definedName>
    <definedName function="false" hidden="false" name="FDD_50_7" vbProcedure="false">"A33238"</definedName>
    <definedName function="false" hidden="false" name="FDD_50_8" vbProcedure="false">"A33603"</definedName>
    <definedName function="false" hidden="false" name="FDD_50_9" vbProcedure="false">"A33969"</definedName>
    <definedName function="false" hidden="false" name="FDD_51_0" vbProcedure="false">"A30681"</definedName>
    <definedName function="false" hidden="false" name="FDD_51_1" vbProcedure="false">"A31047"</definedName>
    <definedName function="false" hidden="false" name="FDD_51_10" vbProcedure="false">"A34334"</definedName>
    <definedName function="false" hidden="false" name="FDD_51_11" vbProcedure="false">"A34699"</definedName>
    <definedName function="false" hidden="false" name="FDD_51_12" vbProcedure="false">"A35064"</definedName>
    <definedName function="false" hidden="false" name="FDD_51_13" vbProcedure="false">"A35430"</definedName>
    <definedName function="false" hidden="false" name="FDD_51_14" vbProcedure="false">"A35795"</definedName>
    <definedName function="false" hidden="false" name="FDD_51_2" vbProcedure="false">"A31412"</definedName>
    <definedName function="false" hidden="false" name="FDD_51_3" vbProcedure="false">"A31777"</definedName>
    <definedName function="false" hidden="false" name="FDD_51_4" vbProcedure="false">"A32142"</definedName>
    <definedName function="false" hidden="false" name="FDD_51_5" vbProcedure="false">"A32508"</definedName>
    <definedName function="false" hidden="false" name="FDD_51_6" vbProcedure="false">"A32873"</definedName>
    <definedName function="false" hidden="false" name="FDD_51_7" vbProcedure="false">"A33238"</definedName>
    <definedName function="false" hidden="false" name="FDD_51_8" vbProcedure="false">"A33603"</definedName>
    <definedName function="false" hidden="false" name="FDD_51_9" vbProcedure="false">"A33969"</definedName>
    <definedName function="false" hidden="false" name="FDD_52_0" vbProcedure="false">"A30681"</definedName>
    <definedName function="false" hidden="false" name="FDD_52_1" vbProcedure="false">"A31047"</definedName>
    <definedName function="false" hidden="false" name="FDD_52_10" vbProcedure="false">"A34334"</definedName>
    <definedName function="false" hidden="false" name="FDD_52_11" vbProcedure="false">"A34699"</definedName>
    <definedName function="false" hidden="false" name="FDD_52_12" vbProcedure="false">"A35064"</definedName>
    <definedName function="false" hidden="false" name="FDD_52_13" vbProcedure="false">"A35430"</definedName>
    <definedName function="false" hidden="false" name="FDD_52_14" vbProcedure="false">"A35795"</definedName>
    <definedName function="false" hidden="false" name="FDD_52_2" vbProcedure="false">"A31412"</definedName>
    <definedName function="false" hidden="false" name="FDD_52_3" vbProcedure="false">"A31777"</definedName>
    <definedName function="false" hidden="false" name="FDD_52_4" vbProcedure="false">"A32142"</definedName>
    <definedName function="false" hidden="false" name="FDD_52_5" vbProcedure="false">"A32508"</definedName>
    <definedName function="false" hidden="false" name="FDD_52_6" vbProcedure="false">"A32873"</definedName>
    <definedName function="false" hidden="false" name="FDD_52_7" vbProcedure="false">"A33238"</definedName>
    <definedName function="false" hidden="false" name="FDD_52_8" vbProcedure="false">"A33603"</definedName>
    <definedName function="false" hidden="false" name="FDD_52_9" vbProcedure="false">"A33969"</definedName>
    <definedName function="false" hidden="false" name="FDD_53_0" vbProcedure="false">"U30681"</definedName>
    <definedName function="false" hidden="false" name="FDD_53_1" vbProcedure="false">"A31047"</definedName>
    <definedName function="false" hidden="false" name="FDD_53_10" vbProcedure="false">"A34334"</definedName>
    <definedName function="false" hidden="false" name="FDD_53_11" vbProcedure="false">"A34699"</definedName>
    <definedName function="false" hidden="false" name="FDD_53_12" vbProcedure="false">"A35064"</definedName>
    <definedName function="false" hidden="false" name="FDD_53_13" vbProcedure="false">"A35430"</definedName>
    <definedName function="false" hidden="false" name="FDD_53_14" vbProcedure="false">"A35795"</definedName>
    <definedName function="false" hidden="false" name="FDD_53_2" vbProcedure="false">"A31412"</definedName>
    <definedName function="false" hidden="false" name="FDD_53_3" vbProcedure="false">"A31777"</definedName>
    <definedName function="false" hidden="false" name="FDD_53_4" vbProcedure="false">"A32142"</definedName>
    <definedName function="false" hidden="false" name="FDD_53_5" vbProcedure="false">"A32508"</definedName>
    <definedName function="false" hidden="false" name="FDD_53_6" vbProcedure="false">"A32873"</definedName>
    <definedName function="false" hidden="false" name="FDD_53_7" vbProcedure="false">"A33238"</definedName>
    <definedName function="false" hidden="false" name="FDD_53_8" vbProcedure="false">"A33603"</definedName>
    <definedName function="false" hidden="false" name="FDD_53_9" vbProcedure="false">"A33969"</definedName>
    <definedName function="false" hidden="false" name="FDD_54_0" vbProcedure="false">"A30681"</definedName>
    <definedName function="false" hidden="false" name="FDD_54_1" vbProcedure="false">"A31047"</definedName>
    <definedName function="false" hidden="false" name="FDD_54_10" vbProcedure="false">"A34334"</definedName>
    <definedName function="false" hidden="false" name="FDD_54_11" vbProcedure="false">"A34699"</definedName>
    <definedName function="false" hidden="false" name="FDD_54_12" vbProcedure="false">"A35064"</definedName>
    <definedName function="false" hidden="false" name="FDD_54_13" vbProcedure="false">"A35430"</definedName>
    <definedName function="false" hidden="false" name="FDD_54_14" vbProcedure="false">"A35795"</definedName>
    <definedName function="false" hidden="false" name="FDD_54_2" vbProcedure="false">"A31412"</definedName>
    <definedName function="false" hidden="false" name="FDD_54_3" vbProcedure="false">"A31777"</definedName>
    <definedName function="false" hidden="false" name="FDD_54_4" vbProcedure="false">"A32142"</definedName>
    <definedName function="false" hidden="false" name="FDD_54_5" vbProcedure="false">"A32508"</definedName>
    <definedName function="false" hidden="false" name="FDD_54_6" vbProcedure="false">"A32873"</definedName>
    <definedName function="false" hidden="false" name="FDD_54_7" vbProcedure="false">"A33238"</definedName>
    <definedName function="false" hidden="false" name="FDD_54_8" vbProcedure="false">"A33603"</definedName>
    <definedName function="false" hidden="false" name="FDD_54_9" vbProcedure="false">"A33969"</definedName>
    <definedName function="false" hidden="false" name="FDD_55_0" vbProcedure="false">"A30681"</definedName>
    <definedName function="false" hidden="false" name="FDD_55_1" vbProcedure="false">"A31047"</definedName>
    <definedName function="false" hidden="false" name="FDD_55_10" vbProcedure="false">"A34334"</definedName>
    <definedName function="false" hidden="false" name="FDD_55_11" vbProcedure="false">"A34699"</definedName>
    <definedName function="false" hidden="false" name="FDD_55_12" vbProcedure="false">"A35064"</definedName>
    <definedName function="false" hidden="false" name="FDD_55_13" vbProcedure="false">"A35430"</definedName>
    <definedName function="false" hidden="false" name="FDD_55_14" vbProcedure="false">"A35795"</definedName>
    <definedName function="false" hidden="false" name="FDD_55_2" vbProcedure="false">"A31412"</definedName>
    <definedName function="false" hidden="false" name="FDD_55_3" vbProcedure="false">"A31777"</definedName>
    <definedName function="false" hidden="false" name="FDD_55_4" vbProcedure="false">"A32142"</definedName>
    <definedName function="false" hidden="false" name="FDD_55_5" vbProcedure="false">"A32508"</definedName>
    <definedName function="false" hidden="false" name="FDD_55_6" vbProcedure="false">"A32873"</definedName>
    <definedName function="false" hidden="false" name="FDD_55_7" vbProcedure="false">"A33238"</definedName>
    <definedName function="false" hidden="false" name="FDD_55_8" vbProcedure="false">"A33603"</definedName>
    <definedName function="false" hidden="false" name="FDD_55_9" vbProcedure="false">"A33969"</definedName>
    <definedName function="false" hidden="false" name="FDD_56_0" vbProcedure="false">"A30681"</definedName>
    <definedName function="false" hidden="false" name="FDD_56_1" vbProcedure="false">"A31047"</definedName>
    <definedName function="false" hidden="false" name="FDD_56_10" vbProcedure="false">"A34334"</definedName>
    <definedName function="false" hidden="false" name="FDD_56_11" vbProcedure="false">"A34699"</definedName>
    <definedName function="false" hidden="false" name="FDD_56_12" vbProcedure="false">"A35064"</definedName>
    <definedName function="false" hidden="false" name="FDD_56_13" vbProcedure="false">"A35430"</definedName>
    <definedName function="false" hidden="false" name="FDD_56_14" vbProcedure="false">"A35795"</definedName>
    <definedName function="false" hidden="false" name="FDD_56_2" vbProcedure="false">"A31412"</definedName>
    <definedName function="false" hidden="false" name="FDD_56_3" vbProcedure="false">"A31777"</definedName>
    <definedName function="false" hidden="false" name="FDD_56_4" vbProcedure="false">"A32142"</definedName>
    <definedName function="false" hidden="false" name="FDD_56_5" vbProcedure="false">"A32508"</definedName>
    <definedName function="false" hidden="false" name="FDD_56_6" vbProcedure="false">"A32873"</definedName>
    <definedName function="false" hidden="false" name="FDD_56_7" vbProcedure="false">"A33238"</definedName>
    <definedName function="false" hidden="false" name="FDD_56_8" vbProcedure="false">"A33603"</definedName>
    <definedName function="false" hidden="false" name="FDD_56_9" vbProcedure="false">"A33969"</definedName>
    <definedName function="false" hidden="false" name="FDD_57_0" vbProcedure="false">"A30681"</definedName>
    <definedName function="false" hidden="false" name="FDD_57_1" vbProcedure="false">"A31047"</definedName>
    <definedName function="false" hidden="false" name="FDD_57_10" vbProcedure="false">"A34334"</definedName>
    <definedName function="false" hidden="false" name="FDD_57_11" vbProcedure="false">"A34699"</definedName>
    <definedName function="false" hidden="false" name="FDD_57_12" vbProcedure="false">"A35064"</definedName>
    <definedName function="false" hidden="false" name="FDD_57_13" vbProcedure="false">"A35430"</definedName>
    <definedName function="false" hidden="false" name="FDD_57_14" vbProcedure="false">"A35795"</definedName>
    <definedName function="false" hidden="false" name="FDD_57_2" vbProcedure="false">"A31412"</definedName>
    <definedName function="false" hidden="false" name="FDD_57_3" vbProcedure="false">"A31777"</definedName>
    <definedName function="false" hidden="false" name="FDD_57_4" vbProcedure="false">"A32142"</definedName>
    <definedName function="false" hidden="false" name="FDD_57_5" vbProcedure="false">"A32508"</definedName>
    <definedName function="false" hidden="false" name="FDD_57_6" vbProcedure="false">"A32873"</definedName>
    <definedName function="false" hidden="false" name="FDD_57_7" vbProcedure="false">"A33238"</definedName>
    <definedName function="false" hidden="false" name="FDD_57_8" vbProcedure="false">"A33603"</definedName>
    <definedName function="false" hidden="false" name="FDD_57_9" vbProcedure="false">"A33969"</definedName>
    <definedName function="false" hidden="false" name="FDD_58_0" vbProcedure="false">"A30681"</definedName>
    <definedName function="false" hidden="false" name="FDD_58_1" vbProcedure="false">"A31047"</definedName>
    <definedName function="false" hidden="false" name="FDD_58_10" vbProcedure="false">"A34334"</definedName>
    <definedName function="false" hidden="false" name="FDD_58_11" vbProcedure="false">"A34699"</definedName>
    <definedName function="false" hidden="false" name="FDD_58_12" vbProcedure="false">"A35064"</definedName>
    <definedName function="false" hidden="false" name="FDD_58_13" vbProcedure="false">"A35430"</definedName>
    <definedName function="false" hidden="false" name="FDD_58_14" vbProcedure="false">"A35795"</definedName>
    <definedName function="false" hidden="false" name="FDD_58_2" vbProcedure="false">"A31412"</definedName>
    <definedName function="false" hidden="false" name="FDD_58_3" vbProcedure="false">"A31777"</definedName>
    <definedName function="false" hidden="false" name="FDD_58_4" vbProcedure="false">"A32142"</definedName>
    <definedName function="false" hidden="false" name="FDD_58_5" vbProcedure="false">"A32508"</definedName>
    <definedName function="false" hidden="false" name="FDD_58_6" vbProcedure="false">"A32873"</definedName>
    <definedName function="false" hidden="false" name="FDD_58_7" vbProcedure="false">"A33238"</definedName>
    <definedName function="false" hidden="false" name="FDD_58_8" vbProcedure="false">"A33603"</definedName>
    <definedName function="false" hidden="false" name="FDD_58_9" vbProcedure="false">"A33969"</definedName>
    <definedName function="false" hidden="false" name="FDD_59_0" vbProcedure="false">"A30681"</definedName>
    <definedName function="false" hidden="false" name="FDD_59_1" vbProcedure="false">"A31047"</definedName>
    <definedName function="false" hidden="false" name="FDD_59_10" vbProcedure="false">"A34334"</definedName>
    <definedName function="false" hidden="false" name="FDD_59_11" vbProcedure="false">"A34699"</definedName>
    <definedName function="false" hidden="false" name="FDD_59_12" vbProcedure="false">"A35064"</definedName>
    <definedName function="false" hidden="false" name="FDD_59_13" vbProcedure="false">"A35430"</definedName>
    <definedName function="false" hidden="false" name="FDD_59_14" vbProcedure="false">"A35795"</definedName>
    <definedName function="false" hidden="false" name="FDD_59_2" vbProcedure="false">"A31412"</definedName>
    <definedName function="false" hidden="false" name="FDD_59_3" vbProcedure="false">"A31777"</definedName>
    <definedName function="false" hidden="false" name="FDD_59_4" vbProcedure="false">"A32142"</definedName>
    <definedName function="false" hidden="false" name="FDD_59_5" vbProcedure="false">"A32508"</definedName>
    <definedName function="false" hidden="false" name="FDD_59_6" vbProcedure="false">"A32873"</definedName>
    <definedName function="false" hidden="false" name="FDD_59_7" vbProcedure="false">"A33238"</definedName>
    <definedName function="false" hidden="false" name="FDD_59_8" vbProcedure="false">"A33603"</definedName>
    <definedName function="false" hidden="false" name="FDD_59_9" vbProcedure="false">"A33969"</definedName>
    <definedName function="false" hidden="false" name="FDD_5_0" vbProcedure="false">"A25569"</definedName>
    <definedName function="false" hidden="false" name="FDD_60_0" vbProcedure="false">"A30681"</definedName>
    <definedName function="false" hidden="false" name="FDD_60_1" vbProcedure="false">"A31047"</definedName>
    <definedName function="false" hidden="false" name="FDD_60_10" vbProcedure="false">"A34334"</definedName>
    <definedName function="false" hidden="false" name="FDD_60_11" vbProcedure="false">"A34699"</definedName>
    <definedName function="false" hidden="false" name="FDD_60_12" vbProcedure="false">"A35064"</definedName>
    <definedName function="false" hidden="false" name="FDD_60_13" vbProcedure="false">"A35430"</definedName>
    <definedName function="false" hidden="false" name="FDD_60_14" vbProcedure="false">"A35795"</definedName>
    <definedName function="false" hidden="false" name="FDD_60_2" vbProcedure="false">"A31412"</definedName>
    <definedName function="false" hidden="false" name="FDD_60_3" vbProcedure="false">"A31777"</definedName>
    <definedName function="false" hidden="false" name="FDD_60_4" vbProcedure="false">"A32142"</definedName>
    <definedName function="false" hidden="false" name="FDD_60_5" vbProcedure="false">"A32508"</definedName>
    <definedName function="false" hidden="false" name="FDD_60_6" vbProcedure="false">"A32873"</definedName>
    <definedName function="false" hidden="false" name="FDD_60_7" vbProcedure="false">"A33238"</definedName>
    <definedName function="false" hidden="false" name="FDD_60_8" vbProcedure="false">"A33603"</definedName>
    <definedName function="false" hidden="false" name="FDD_60_9" vbProcedure="false">"A33969"</definedName>
    <definedName function="false" hidden="false" name="FDD_61_0" vbProcedure="false">"A30681"</definedName>
    <definedName function="false" hidden="false" name="FDD_61_1" vbProcedure="false">"A31047"</definedName>
    <definedName function="false" hidden="false" name="FDD_61_10" vbProcedure="false">"A34334"</definedName>
    <definedName function="false" hidden="false" name="FDD_61_11" vbProcedure="false">"A34699"</definedName>
    <definedName function="false" hidden="false" name="FDD_61_12" vbProcedure="false">"A35064"</definedName>
    <definedName function="false" hidden="false" name="FDD_61_13" vbProcedure="false">"A35430"</definedName>
    <definedName function="false" hidden="false" name="FDD_61_14" vbProcedure="false">"A35795"</definedName>
    <definedName function="false" hidden="false" name="FDD_61_2" vbProcedure="false">"A31412"</definedName>
    <definedName function="false" hidden="false" name="FDD_61_3" vbProcedure="false">"A31777"</definedName>
    <definedName function="false" hidden="false" name="FDD_61_4" vbProcedure="false">"A32142"</definedName>
    <definedName function="false" hidden="false" name="FDD_61_5" vbProcedure="false">"A32508"</definedName>
    <definedName function="false" hidden="false" name="FDD_61_6" vbProcedure="false">"A32873"</definedName>
    <definedName function="false" hidden="false" name="FDD_61_7" vbProcedure="false">"A33238"</definedName>
    <definedName function="false" hidden="false" name="FDD_61_8" vbProcedure="false">"A33603"</definedName>
    <definedName function="false" hidden="false" name="FDD_61_9" vbProcedure="false">"A33969"</definedName>
    <definedName function="false" hidden="false" name="FDD_62_0" vbProcedure="false">"A30681"</definedName>
    <definedName function="false" hidden="false" name="FDD_62_1" vbProcedure="false">"A31047"</definedName>
    <definedName function="false" hidden="false" name="FDD_62_10" vbProcedure="false">"A34334"</definedName>
    <definedName function="false" hidden="false" name="FDD_62_11" vbProcedure="false">"A34699"</definedName>
    <definedName function="false" hidden="false" name="FDD_62_12" vbProcedure="false">"A35064"</definedName>
    <definedName function="false" hidden="false" name="FDD_62_13" vbProcedure="false">"A35430"</definedName>
    <definedName function="false" hidden="false" name="FDD_62_14" vbProcedure="false">"A35795"</definedName>
    <definedName function="false" hidden="false" name="FDD_62_2" vbProcedure="false">"A31412"</definedName>
    <definedName function="false" hidden="false" name="FDD_62_3" vbProcedure="false">"A31777"</definedName>
    <definedName function="false" hidden="false" name="FDD_62_4" vbProcedure="false">"A32142"</definedName>
    <definedName function="false" hidden="false" name="FDD_62_5" vbProcedure="false">"A32508"</definedName>
    <definedName function="false" hidden="false" name="FDD_62_6" vbProcedure="false">"A32873"</definedName>
    <definedName function="false" hidden="false" name="FDD_62_7" vbProcedure="false">"A33238"</definedName>
    <definedName function="false" hidden="false" name="FDD_62_8" vbProcedure="false">"A33603"</definedName>
    <definedName function="false" hidden="false" name="FDD_62_9" vbProcedure="false">"A33969"</definedName>
    <definedName function="false" hidden="false" name="FDD_63_0" vbProcedure="false">"A30681"</definedName>
    <definedName function="false" hidden="false" name="FDD_63_1" vbProcedure="false">"A31047"</definedName>
    <definedName function="false" hidden="false" name="FDD_63_10" vbProcedure="false">"A34334"</definedName>
    <definedName function="false" hidden="false" name="FDD_63_11" vbProcedure="false">"A34699"</definedName>
    <definedName function="false" hidden="false" name="FDD_63_12" vbProcedure="false">"A35064"</definedName>
    <definedName function="false" hidden="false" name="FDD_63_13" vbProcedure="false">"A35430"</definedName>
    <definedName function="false" hidden="false" name="FDD_63_14" vbProcedure="false">"A35795"</definedName>
    <definedName function="false" hidden="false" name="FDD_63_2" vbProcedure="false">"A31412"</definedName>
    <definedName function="false" hidden="false" name="FDD_63_3" vbProcedure="false">"A31777"</definedName>
    <definedName function="false" hidden="false" name="FDD_63_4" vbProcedure="false">"A32142"</definedName>
    <definedName function="false" hidden="false" name="FDD_63_5" vbProcedure="false">"A32508"</definedName>
    <definedName function="false" hidden="false" name="FDD_63_6" vbProcedure="false">"A32873"</definedName>
    <definedName function="false" hidden="false" name="FDD_63_7" vbProcedure="false">"A33238"</definedName>
    <definedName function="false" hidden="false" name="FDD_63_8" vbProcedure="false">"A33603"</definedName>
    <definedName function="false" hidden="false" name="FDD_63_9" vbProcedure="false">"A33969"</definedName>
    <definedName function="false" hidden="false" name="FDD_64_0" vbProcedure="false">"A30681"</definedName>
    <definedName function="false" hidden="false" name="FDD_64_1" vbProcedure="false">"A31047"</definedName>
    <definedName function="false" hidden="false" name="FDD_64_10" vbProcedure="false">"A34334"</definedName>
    <definedName function="false" hidden="false" name="FDD_64_11" vbProcedure="false">"A34699"</definedName>
    <definedName function="false" hidden="false" name="FDD_64_12" vbProcedure="false">"A35064"</definedName>
    <definedName function="false" hidden="false" name="FDD_64_13" vbProcedure="false">"A35430"</definedName>
    <definedName function="false" hidden="false" name="FDD_64_14" vbProcedure="false">"A35795"</definedName>
    <definedName function="false" hidden="false" name="FDD_64_2" vbProcedure="false">"A31412"</definedName>
    <definedName function="false" hidden="false" name="FDD_64_3" vbProcedure="false">"A31777"</definedName>
    <definedName function="false" hidden="false" name="FDD_64_4" vbProcedure="false">"A32142"</definedName>
    <definedName function="false" hidden="false" name="FDD_64_5" vbProcedure="false">"A32508"</definedName>
    <definedName function="false" hidden="false" name="FDD_64_6" vbProcedure="false">"A32873"</definedName>
    <definedName function="false" hidden="false" name="FDD_64_7" vbProcedure="false">"A33238"</definedName>
    <definedName function="false" hidden="false" name="FDD_64_8" vbProcedure="false">"A33603"</definedName>
    <definedName function="false" hidden="false" name="FDD_64_9" vbProcedure="false">"A33969"</definedName>
    <definedName function="false" hidden="false" name="FDD_65_0" vbProcedure="false">"A30681"</definedName>
    <definedName function="false" hidden="false" name="FDD_65_1" vbProcedure="false">"A31047"</definedName>
    <definedName function="false" hidden="false" name="FDD_65_10" vbProcedure="false">"A34334"</definedName>
    <definedName function="false" hidden="false" name="FDD_65_11" vbProcedure="false">"A34699"</definedName>
    <definedName function="false" hidden="false" name="FDD_65_12" vbProcedure="false">"A35064"</definedName>
    <definedName function="false" hidden="false" name="FDD_65_13" vbProcedure="false">"A35430"</definedName>
    <definedName function="false" hidden="false" name="FDD_65_14" vbProcedure="false">"A35795"</definedName>
    <definedName function="false" hidden="false" name="FDD_65_2" vbProcedure="false">"A31412"</definedName>
    <definedName function="false" hidden="false" name="FDD_65_3" vbProcedure="false">"A31777"</definedName>
    <definedName function="false" hidden="false" name="FDD_65_4" vbProcedure="false">"A32142"</definedName>
    <definedName function="false" hidden="false" name="FDD_65_5" vbProcedure="false">"A32508"</definedName>
    <definedName function="false" hidden="false" name="FDD_65_6" vbProcedure="false">"A32873"</definedName>
    <definedName function="false" hidden="false" name="FDD_65_7" vbProcedure="false">"A33238"</definedName>
    <definedName function="false" hidden="false" name="FDD_65_8" vbProcedure="false">"A33603"</definedName>
    <definedName function="false" hidden="false" name="FDD_65_9" vbProcedure="false">"A33969"</definedName>
    <definedName function="false" hidden="false" name="FDD_66_0" vbProcedure="false">"A30681"</definedName>
    <definedName function="false" hidden="false" name="FDD_66_1" vbProcedure="false">"A31047"</definedName>
    <definedName function="false" hidden="false" name="FDD_66_10" vbProcedure="false">"A34334"</definedName>
    <definedName function="false" hidden="false" name="FDD_66_11" vbProcedure="false">"A34699"</definedName>
    <definedName function="false" hidden="false" name="FDD_66_12" vbProcedure="false">"A35064"</definedName>
    <definedName function="false" hidden="false" name="FDD_66_13" vbProcedure="false">"A35430"</definedName>
    <definedName function="false" hidden="false" name="FDD_66_14" vbProcedure="false">"A35795"</definedName>
    <definedName function="false" hidden="false" name="FDD_66_2" vbProcedure="false">"A31412"</definedName>
    <definedName function="false" hidden="false" name="FDD_66_3" vbProcedure="false">"A31777"</definedName>
    <definedName function="false" hidden="false" name="FDD_66_4" vbProcedure="false">"A32142"</definedName>
    <definedName function="false" hidden="false" name="FDD_66_5" vbProcedure="false">"A32508"</definedName>
    <definedName function="false" hidden="false" name="FDD_66_6" vbProcedure="false">"A32873"</definedName>
    <definedName function="false" hidden="false" name="FDD_66_7" vbProcedure="false">"A33238"</definedName>
    <definedName function="false" hidden="false" name="FDD_66_8" vbProcedure="false">"A33603"</definedName>
    <definedName function="false" hidden="false" name="FDD_66_9" vbProcedure="false">"A33969"</definedName>
    <definedName function="false" hidden="false" name="FDD_67_0" vbProcedure="false">"A30681"</definedName>
    <definedName function="false" hidden="false" name="FDD_67_1" vbProcedure="false">"A31047"</definedName>
    <definedName function="false" hidden="false" name="FDD_67_10" vbProcedure="false">"A34334"</definedName>
    <definedName function="false" hidden="false" name="FDD_67_11" vbProcedure="false">"A34699"</definedName>
    <definedName function="false" hidden="false" name="FDD_67_12" vbProcedure="false">"A35064"</definedName>
    <definedName function="false" hidden="false" name="FDD_67_13" vbProcedure="false">"A35430"</definedName>
    <definedName function="false" hidden="false" name="FDD_67_14" vbProcedure="false">"A35795"</definedName>
    <definedName function="false" hidden="false" name="FDD_67_2" vbProcedure="false">"A31412"</definedName>
    <definedName function="false" hidden="false" name="FDD_67_3" vbProcedure="false">"A31777"</definedName>
    <definedName function="false" hidden="false" name="FDD_67_4" vbProcedure="false">"A32142"</definedName>
    <definedName function="false" hidden="false" name="FDD_67_5" vbProcedure="false">"A32508"</definedName>
    <definedName function="false" hidden="false" name="FDD_67_6" vbProcedure="false">"A32873"</definedName>
    <definedName function="false" hidden="false" name="FDD_67_7" vbProcedure="false">"A33238"</definedName>
    <definedName function="false" hidden="false" name="FDD_67_8" vbProcedure="false">"A33603"</definedName>
    <definedName function="false" hidden="false" name="FDD_67_9" vbProcedure="false">"A33969"</definedName>
    <definedName function="false" hidden="false" name="FDD_68_0" vbProcedure="false">"A30681"</definedName>
    <definedName function="false" hidden="false" name="FDD_68_1" vbProcedure="false">"A31047"</definedName>
    <definedName function="false" hidden="false" name="FDD_68_10" vbProcedure="false">"A34334"</definedName>
    <definedName function="false" hidden="false" name="FDD_68_11" vbProcedure="false">"A34699"</definedName>
    <definedName function="false" hidden="false" name="FDD_68_12" vbProcedure="false">"A35064"</definedName>
    <definedName function="false" hidden="false" name="FDD_68_13" vbProcedure="false">"A35430"</definedName>
    <definedName function="false" hidden="false" name="FDD_68_14" vbProcedure="false">"A35795"</definedName>
    <definedName function="false" hidden="false" name="FDD_68_2" vbProcedure="false">"A31412"</definedName>
    <definedName function="false" hidden="false" name="FDD_68_3" vbProcedure="false">"A31777"</definedName>
    <definedName function="false" hidden="false" name="FDD_68_4" vbProcedure="false">"A32142"</definedName>
    <definedName function="false" hidden="false" name="FDD_68_5" vbProcedure="false">"A32508"</definedName>
    <definedName function="false" hidden="false" name="FDD_68_6" vbProcedure="false">"A32873"</definedName>
    <definedName function="false" hidden="false" name="FDD_68_7" vbProcedure="false">"A33238"</definedName>
    <definedName function="false" hidden="false" name="FDD_68_8" vbProcedure="false">"A33603"</definedName>
    <definedName function="false" hidden="false" name="FDD_68_9" vbProcedure="false">"A33969"</definedName>
    <definedName function="false" hidden="false" name="FDD_69_0" vbProcedure="false">"U30681"</definedName>
    <definedName function="false" hidden="false" name="FDD_69_1" vbProcedure="false">"A31047"</definedName>
    <definedName function="false" hidden="false" name="FDD_69_10" vbProcedure="false">"A34334"</definedName>
    <definedName function="false" hidden="false" name="FDD_69_11" vbProcedure="false">"A34699"</definedName>
    <definedName function="false" hidden="false" name="FDD_69_12" vbProcedure="false">"A35064"</definedName>
    <definedName function="false" hidden="false" name="FDD_69_13" vbProcedure="false">"A35430"</definedName>
    <definedName function="false" hidden="false" name="FDD_69_14" vbProcedure="false">"A35795"</definedName>
    <definedName function="false" hidden="false" name="FDD_69_2" vbProcedure="false">"A31412"</definedName>
    <definedName function="false" hidden="false" name="FDD_69_3" vbProcedure="false">"A31777"</definedName>
    <definedName function="false" hidden="false" name="FDD_69_4" vbProcedure="false">"A32142"</definedName>
    <definedName function="false" hidden="false" name="FDD_69_5" vbProcedure="false">"A32508"</definedName>
    <definedName function="false" hidden="false" name="FDD_69_6" vbProcedure="false">"A32873"</definedName>
    <definedName function="false" hidden="false" name="FDD_69_7" vbProcedure="false">"A33238"</definedName>
    <definedName function="false" hidden="false" name="FDD_69_8" vbProcedure="false">"A33603"</definedName>
    <definedName function="false" hidden="false" name="FDD_69_9" vbProcedure="false">"A33969"</definedName>
    <definedName function="false" hidden="false" name="FDD_6_0" vbProcedure="false">"A25569"</definedName>
    <definedName function="false" hidden="false" name="FDD_70_0" vbProcedure="false">"A30681"</definedName>
    <definedName function="false" hidden="false" name="FDD_70_1" vbProcedure="false">"A31047"</definedName>
    <definedName function="false" hidden="false" name="FDD_70_10" vbProcedure="false">"A34334"</definedName>
    <definedName function="false" hidden="false" name="FDD_70_11" vbProcedure="false">"A34699"</definedName>
    <definedName function="false" hidden="false" name="FDD_70_12" vbProcedure="false">"A35064"</definedName>
    <definedName function="false" hidden="false" name="FDD_70_13" vbProcedure="false">"A35430"</definedName>
    <definedName function="false" hidden="false" name="FDD_70_14" vbProcedure="false">"A35795"</definedName>
    <definedName function="false" hidden="false" name="FDD_70_2" vbProcedure="false">"A31412"</definedName>
    <definedName function="false" hidden="false" name="FDD_70_3" vbProcedure="false">"A31777"</definedName>
    <definedName function="false" hidden="false" name="FDD_70_4" vbProcedure="false">"A32142"</definedName>
    <definedName function="false" hidden="false" name="FDD_70_5" vbProcedure="false">"A32508"</definedName>
    <definedName function="false" hidden="false" name="FDD_70_6" vbProcedure="false">"A32873"</definedName>
    <definedName function="false" hidden="false" name="FDD_70_7" vbProcedure="false">"A33238"</definedName>
    <definedName function="false" hidden="false" name="FDD_70_8" vbProcedure="false">"A33603"</definedName>
    <definedName function="false" hidden="false" name="FDD_70_9" vbProcedure="false">"A33969"</definedName>
    <definedName function="false" hidden="false" name="FDD_71_0" vbProcedure="false">"A30681"</definedName>
    <definedName function="false" hidden="false" name="FDD_71_1" vbProcedure="false">"A31047"</definedName>
    <definedName function="false" hidden="false" name="FDD_71_10" vbProcedure="false">"A34334"</definedName>
    <definedName function="false" hidden="false" name="FDD_71_11" vbProcedure="false">"A34699"</definedName>
    <definedName function="false" hidden="false" name="FDD_71_12" vbProcedure="false">"A35064"</definedName>
    <definedName function="false" hidden="false" name="FDD_71_13" vbProcedure="false">"A35430"</definedName>
    <definedName function="false" hidden="false" name="FDD_71_14" vbProcedure="false">"A35795"</definedName>
    <definedName function="false" hidden="false" name="FDD_71_2" vbProcedure="false">"A31412"</definedName>
    <definedName function="false" hidden="false" name="FDD_71_3" vbProcedure="false">"A31777"</definedName>
    <definedName function="false" hidden="false" name="FDD_71_4" vbProcedure="false">"A32142"</definedName>
    <definedName function="false" hidden="false" name="FDD_71_5" vbProcedure="false">"A32508"</definedName>
    <definedName function="false" hidden="false" name="FDD_71_6" vbProcedure="false">"A32873"</definedName>
    <definedName function="false" hidden="false" name="FDD_71_7" vbProcedure="false">"A33238"</definedName>
    <definedName function="false" hidden="false" name="FDD_71_8" vbProcedure="false">"A33603"</definedName>
    <definedName function="false" hidden="false" name="FDD_71_9" vbProcedure="false">"A33969"</definedName>
    <definedName function="false" hidden="false" name="FDD_72_0" vbProcedure="false">"A30681"</definedName>
    <definedName function="false" hidden="false" name="FDD_72_1" vbProcedure="false">"A31047"</definedName>
    <definedName function="false" hidden="false" name="FDD_72_10" vbProcedure="false">"A34334"</definedName>
    <definedName function="false" hidden="false" name="FDD_72_11" vbProcedure="false">"A34699"</definedName>
    <definedName function="false" hidden="false" name="FDD_72_12" vbProcedure="false">"A35064"</definedName>
    <definedName function="false" hidden="false" name="FDD_72_13" vbProcedure="false">"A35430"</definedName>
    <definedName function="false" hidden="false" name="FDD_72_14" vbProcedure="false">"A35795"</definedName>
    <definedName function="false" hidden="false" name="FDD_72_2" vbProcedure="false">"A31412"</definedName>
    <definedName function="false" hidden="false" name="FDD_72_3" vbProcedure="false">"A31777"</definedName>
    <definedName function="false" hidden="false" name="FDD_72_4" vbProcedure="false">"A32142"</definedName>
    <definedName function="false" hidden="false" name="FDD_72_5" vbProcedure="false">"A32508"</definedName>
    <definedName function="false" hidden="false" name="FDD_72_6" vbProcedure="false">"A32873"</definedName>
    <definedName function="false" hidden="false" name="FDD_72_7" vbProcedure="false">"A33238"</definedName>
    <definedName function="false" hidden="false" name="FDD_72_8" vbProcedure="false">"A33603"</definedName>
    <definedName function="false" hidden="false" name="FDD_72_9" vbProcedure="false">"A33969"</definedName>
    <definedName function="false" hidden="false" name="FDD_73_0" vbProcedure="false">"A30681"</definedName>
    <definedName function="false" hidden="false" name="FDD_73_1" vbProcedure="false">"A31047"</definedName>
    <definedName function="false" hidden="false" name="FDD_73_10" vbProcedure="false">"A34334"</definedName>
    <definedName function="false" hidden="false" name="FDD_73_11" vbProcedure="false">"A34699"</definedName>
    <definedName function="false" hidden="false" name="FDD_73_12" vbProcedure="false">"A35064"</definedName>
    <definedName function="false" hidden="false" name="FDD_73_13" vbProcedure="false">"A35430"</definedName>
    <definedName function="false" hidden="false" name="FDD_73_14" vbProcedure="false">"A35795"</definedName>
    <definedName function="false" hidden="false" name="FDD_73_2" vbProcedure="false">"A31412"</definedName>
    <definedName function="false" hidden="false" name="FDD_73_3" vbProcedure="false">"A31777"</definedName>
    <definedName function="false" hidden="false" name="FDD_73_4" vbProcedure="false">"A32142"</definedName>
    <definedName function="false" hidden="false" name="FDD_73_5" vbProcedure="false">"A32508"</definedName>
    <definedName function="false" hidden="false" name="FDD_73_6" vbProcedure="false">"A32873"</definedName>
    <definedName function="false" hidden="false" name="FDD_73_7" vbProcedure="false">"A33238"</definedName>
    <definedName function="false" hidden="false" name="FDD_73_8" vbProcedure="false">"A33603"</definedName>
    <definedName function="false" hidden="false" name="FDD_73_9" vbProcedure="false">"A33969"</definedName>
    <definedName function="false" hidden="false" name="FDD_74_0" vbProcedure="false">"A30681"</definedName>
    <definedName function="false" hidden="false" name="FDD_74_1" vbProcedure="false">"A31047"</definedName>
    <definedName function="false" hidden="false" name="FDD_74_10" vbProcedure="false">"A34334"</definedName>
    <definedName function="false" hidden="false" name="FDD_74_11" vbProcedure="false">"A34699"</definedName>
    <definedName function="false" hidden="false" name="FDD_74_12" vbProcedure="false">"A35064"</definedName>
    <definedName function="false" hidden="false" name="FDD_74_13" vbProcedure="false">"A35430"</definedName>
    <definedName function="false" hidden="false" name="FDD_74_14" vbProcedure="false">"A35795"</definedName>
    <definedName function="false" hidden="false" name="FDD_74_2" vbProcedure="false">"A31412"</definedName>
    <definedName function="false" hidden="false" name="FDD_74_3" vbProcedure="false">"A31777"</definedName>
    <definedName function="false" hidden="false" name="FDD_74_4" vbProcedure="false">"A32142"</definedName>
    <definedName function="false" hidden="false" name="FDD_74_5" vbProcedure="false">"A32508"</definedName>
    <definedName function="false" hidden="false" name="FDD_74_6" vbProcedure="false">"A32873"</definedName>
    <definedName function="false" hidden="false" name="FDD_74_7" vbProcedure="false">"A33238"</definedName>
    <definedName function="false" hidden="false" name="FDD_74_8" vbProcedure="false">"A33603"</definedName>
    <definedName function="false" hidden="false" name="FDD_74_9" vbProcedure="false">"A33969"</definedName>
    <definedName function="false" hidden="false" name="FDD_75_0" vbProcedure="false">"A30681"</definedName>
    <definedName function="false" hidden="false" name="FDD_75_1" vbProcedure="false">"A31047"</definedName>
    <definedName function="false" hidden="false" name="FDD_75_10" vbProcedure="false">"A34334"</definedName>
    <definedName function="false" hidden="false" name="FDD_75_11" vbProcedure="false">"A34699"</definedName>
    <definedName function="false" hidden="false" name="FDD_75_12" vbProcedure="false">"A35064"</definedName>
    <definedName function="false" hidden="false" name="FDD_75_13" vbProcedure="false">"A35430"</definedName>
    <definedName function="false" hidden="false" name="FDD_75_14" vbProcedure="false">"A35795"</definedName>
    <definedName function="false" hidden="false" name="FDD_75_2" vbProcedure="false">"A31412"</definedName>
    <definedName function="false" hidden="false" name="FDD_75_3" vbProcedure="false">"A31777"</definedName>
    <definedName function="false" hidden="false" name="FDD_75_4" vbProcedure="false">"A32142"</definedName>
    <definedName function="false" hidden="false" name="FDD_75_5" vbProcedure="false">"A32508"</definedName>
    <definedName function="false" hidden="false" name="FDD_75_6" vbProcedure="false">"A32873"</definedName>
    <definedName function="false" hidden="false" name="FDD_75_7" vbProcedure="false">"A33238"</definedName>
    <definedName function="false" hidden="false" name="FDD_75_8" vbProcedure="false">"A33603"</definedName>
    <definedName function="false" hidden="false" name="FDD_75_9" vbProcedure="false">"A33969"</definedName>
    <definedName function="false" hidden="false" name="FDD_76_0" vbProcedure="false">"A30681"</definedName>
    <definedName function="false" hidden="false" name="FDD_76_1" vbProcedure="false">"A31047"</definedName>
    <definedName function="false" hidden="false" name="FDD_76_10" vbProcedure="false">"A34334"</definedName>
    <definedName function="false" hidden="false" name="FDD_76_11" vbProcedure="false">"A34699"</definedName>
    <definedName function="false" hidden="false" name="FDD_76_12" vbProcedure="false">"A35064"</definedName>
    <definedName function="false" hidden="false" name="FDD_76_13" vbProcedure="false">"A35430"</definedName>
    <definedName function="false" hidden="false" name="FDD_76_14" vbProcedure="false">"A35795"</definedName>
    <definedName function="false" hidden="false" name="FDD_76_2" vbProcedure="false">"A31412"</definedName>
    <definedName function="false" hidden="false" name="FDD_76_3" vbProcedure="false">"A31777"</definedName>
    <definedName function="false" hidden="false" name="FDD_76_4" vbProcedure="false">"A32142"</definedName>
    <definedName function="false" hidden="false" name="FDD_76_5" vbProcedure="false">"A32508"</definedName>
    <definedName function="false" hidden="false" name="FDD_76_6" vbProcedure="false">"A32873"</definedName>
    <definedName function="false" hidden="false" name="FDD_76_7" vbProcedure="false">"A33238"</definedName>
    <definedName function="false" hidden="false" name="FDD_76_8" vbProcedure="false">"A33603"</definedName>
    <definedName function="false" hidden="false" name="FDD_76_9" vbProcedure="false">"A33969"</definedName>
    <definedName function="false" hidden="false" name="FDD_77_0" vbProcedure="false">"A30681"</definedName>
    <definedName function="false" hidden="false" name="FDD_77_1" vbProcedure="false">"A31047"</definedName>
    <definedName function="false" hidden="false" name="FDD_77_10" vbProcedure="false">"A34334"</definedName>
    <definedName function="false" hidden="false" name="FDD_77_11" vbProcedure="false">"A34699"</definedName>
    <definedName function="false" hidden="false" name="FDD_77_12" vbProcedure="false">"A35064"</definedName>
    <definedName function="false" hidden="false" name="FDD_77_13" vbProcedure="false">"A35430"</definedName>
    <definedName function="false" hidden="false" name="FDD_77_14" vbProcedure="false">"A35795"</definedName>
    <definedName function="false" hidden="false" name="FDD_77_2" vbProcedure="false">"A31412"</definedName>
    <definedName function="false" hidden="false" name="FDD_77_3" vbProcedure="false">"A31777"</definedName>
    <definedName function="false" hidden="false" name="FDD_77_4" vbProcedure="false">"A32142"</definedName>
    <definedName function="false" hidden="false" name="FDD_77_5" vbProcedure="false">"A32508"</definedName>
    <definedName function="false" hidden="false" name="FDD_77_6" vbProcedure="false">"A32873"</definedName>
    <definedName function="false" hidden="false" name="FDD_77_7" vbProcedure="false">"A33238"</definedName>
    <definedName function="false" hidden="false" name="FDD_77_8" vbProcedure="false">"A33603"</definedName>
    <definedName function="false" hidden="false" name="FDD_77_9" vbProcedure="false">"A33969"</definedName>
    <definedName function="false" hidden="false" name="FDD_78_0" vbProcedure="false">"A30681"</definedName>
    <definedName function="false" hidden="false" name="FDD_78_1" vbProcedure="false">"A31047"</definedName>
    <definedName function="false" hidden="false" name="FDD_78_10" vbProcedure="false">"A34334"</definedName>
    <definedName function="false" hidden="false" name="FDD_78_11" vbProcedure="false">"A34699"</definedName>
    <definedName function="false" hidden="false" name="FDD_78_12" vbProcedure="false">"A35064"</definedName>
    <definedName function="false" hidden="false" name="FDD_78_13" vbProcedure="false">"A35430"</definedName>
    <definedName function="false" hidden="false" name="FDD_78_14" vbProcedure="false">"A35795"</definedName>
    <definedName function="false" hidden="false" name="FDD_78_2" vbProcedure="false">"A31412"</definedName>
    <definedName function="false" hidden="false" name="FDD_78_3" vbProcedure="false">"A31777"</definedName>
    <definedName function="false" hidden="false" name="FDD_78_4" vbProcedure="false">"A32142"</definedName>
    <definedName function="false" hidden="false" name="FDD_78_5" vbProcedure="false">"A32508"</definedName>
    <definedName function="false" hidden="false" name="FDD_78_6" vbProcedure="false">"A32873"</definedName>
    <definedName function="false" hidden="false" name="FDD_78_7" vbProcedure="false">"A33238"</definedName>
    <definedName function="false" hidden="false" name="FDD_78_8" vbProcedure="false">"A33603"</definedName>
    <definedName function="false" hidden="false" name="FDD_78_9" vbProcedure="false">"A33969"</definedName>
    <definedName function="false" hidden="false" name="FDD_79_0" vbProcedure="false">"A30681"</definedName>
    <definedName function="false" hidden="false" name="FDD_79_1" vbProcedure="false">"A31047"</definedName>
    <definedName function="false" hidden="false" name="FDD_79_10" vbProcedure="false">"A34334"</definedName>
    <definedName function="false" hidden="false" name="FDD_79_11" vbProcedure="false">"A34699"</definedName>
    <definedName function="false" hidden="false" name="FDD_79_12" vbProcedure="false">"A35064"</definedName>
    <definedName function="false" hidden="false" name="FDD_79_13" vbProcedure="false">"A35430"</definedName>
    <definedName function="false" hidden="false" name="FDD_79_14" vbProcedure="false">"A35795"</definedName>
    <definedName function="false" hidden="false" name="FDD_79_2" vbProcedure="false">"A31412"</definedName>
    <definedName function="false" hidden="false" name="FDD_79_3" vbProcedure="false">"A31777"</definedName>
    <definedName function="false" hidden="false" name="FDD_79_4" vbProcedure="false">"A32142"</definedName>
    <definedName function="false" hidden="false" name="FDD_79_5" vbProcedure="false">"A32508"</definedName>
    <definedName function="false" hidden="false" name="FDD_79_6" vbProcedure="false">"A32873"</definedName>
    <definedName function="false" hidden="false" name="FDD_79_7" vbProcedure="false">"A33238"</definedName>
    <definedName function="false" hidden="false" name="FDD_79_8" vbProcedure="false">"A33603"</definedName>
    <definedName function="false" hidden="false" name="FDD_79_9" vbProcedure="false">"A33969"</definedName>
    <definedName function="false" hidden="false" name="FDD_7_0" vbProcedure="false">"A25569"</definedName>
    <definedName function="false" hidden="false" name="FDD_80_0" vbProcedure="false">"A30681"</definedName>
    <definedName function="false" hidden="false" name="FDD_80_1" vbProcedure="false">"A31047"</definedName>
    <definedName function="false" hidden="false" name="FDD_80_10" vbProcedure="false">"A34334"</definedName>
    <definedName function="false" hidden="false" name="FDD_80_11" vbProcedure="false">"A34699"</definedName>
    <definedName function="false" hidden="false" name="FDD_80_12" vbProcedure="false">"A35064"</definedName>
    <definedName function="false" hidden="false" name="FDD_80_13" vbProcedure="false">"A35430"</definedName>
    <definedName function="false" hidden="false" name="FDD_80_14" vbProcedure="false">"A35795"</definedName>
    <definedName function="false" hidden="false" name="FDD_80_2" vbProcedure="false">"A31412"</definedName>
    <definedName function="false" hidden="false" name="FDD_80_3" vbProcedure="false">"A31777"</definedName>
    <definedName function="false" hidden="false" name="FDD_80_4" vbProcedure="false">"A32142"</definedName>
    <definedName function="false" hidden="false" name="FDD_80_5" vbProcedure="false">"A32508"</definedName>
    <definedName function="false" hidden="false" name="FDD_80_6" vbProcedure="false">"A32873"</definedName>
    <definedName function="false" hidden="false" name="FDD_80_7" vbProcedure="false">"A33238"</definedName>
    <definedName function="false" hidden="false" name="FDD_80_8" vbProcedure="false">"A33603"</definedName>
    <definedName function="false" hidden="false" name="FDD_80_9" vbProcedure="false">"A33969"</definedName>
    <definedName function="false" hidden="false" name="FDD_81_0" vbProcedure="false">"A30681"</definedName>
    <definedName function="false" hidden="false" name="FDD_81_1" vbProcedure="false">"A31047"</definedName>
    <definedName function="false" hidden="false" name="FDD_81_10" vbProcedure="false">"A34334"</definedName>
    <definedName function="false" hidden="false" name="FDD_81_11" vbProcedure="false">"A34699"</definedName>
    <definedName function="false" hidden="false" name="FDD_81_12" vbProcedure="false">"A35064"</definedName>
    <definedName function="false" hidden="false" name="FDD_81_13" vbProcedure="false">"A35430"</definedName>
    <definedName function="false" hidden="false" name="FDD_81_14" vbProcedure="false">"A35795"</definedName>
    <definedName function="false" hidden="false" name="FDD_81_2" vbProcedure="false">"A31412"</definedName>
    <definedName function="false" hidden="false" name="FDD_81_3" vbProcedure="false">"A31777"</definedName>
    <definedName function="false" hidden="false" name="FDD_81_4" vbProcedure="false">"A32142"</definedName>
    <definedName function="false" hidden="false" name="FDD_81_5" vbProcedure="false">"A32508"</definedName>
    <definedName function="false" hidden="false" name="FDD_81_6" vbProcedure="false">"A32873"</definedName>
    <definedName function="false" hidden="false" name="FDD_81_7" vbProcedure="false">"A33238"</definedName>
    <definedName function="false" hidden="false" name="FDD_81_8" vbProcedure="false">"A33603"</definedName>
    <definedName function="false" hidden="false" name="FDD_81_9" vbProcedure="false">"A33969"</definedName>
    <definedName function="false" hidden="false" name="FDD_82_0" vbProcedure="false">"A30681"</definedName>
    <definedName function="false" hidden="false" name="FDD_82_1" vbProcedure="false">"A31047"</definedName>
    <definedName function="false" hidden="false" name="FDD_82_10" vbProcedure="false">"A34334"</definedName>
    <definedName function="false" hidden="false" name="FDD_82_11" vbProcedure="false">"A34699"</definedName>
    <definedName function="false" hidden="false" name="FDD_82_12" vbProcedure="false">"A35064"</definedName>
    <definedName function="false" hidden="false" name="FDD_82_13" vbProcedure="false">"A35430"</definedName>
    <definedName function="false" hidden="false" name="FDD_82_14" vbProcedure="false">"A35795"</definedName>
    <definedName function="false" hidden="false" name="FDD_82_2" vbProcedure="false">"A31412"</definedName>
    <definedName function="false" hidden="false" name="FDD_82_3" vbProcedure="false">"A31777"</definedName>
    <definedName function="false" hidden="false" name="FDD_82_4" vbProcedure="false">"A32142"</definedName>
    <definedName function="false" hidden="false" name="FDD_82_5" vbProcedure="false">"A32508"</definedName>
    <definedName function="false" hidden="false" name="FDD_82_6" vbProcedure="false">"A32873"</definedName>
    <definedName function="false" hidden="false" name="FDD_82_7" vbProcedure="false">"A33238"</definedName>
    <definedName function="false" hidden="false" name="FDD_82_8" vbProcedure="false">"A33603"</definedName>
    <definedName function="false" hidden="false" name="FDD_82_9" vbProcedure="false">"A33969"</definedName>
    <definedName function="false" hidden="false" name="FDD_83_0" vbProcedure="false">"A30681"</definedName>
    <definedName function="false" hidden="false" name="FDD_83_1" vbProcedure="false">"A31047"</definedName>
    <definedName function="false" hidden="false" name="FDD_83_10" vbProcedure="false">"A34334"</definedName>
    <definedName function="false" hidden="false" name="FDD_83_11" vbProcedure="false">"A34699"</definedName>
    <definedName function="false" hidden="false" name="FDD_83_12" vbProcedure="false">"A35064"</definedName>
    <definedName function="false" hidden="false" name="FDD_83_13" vbProcedure="false">"A35430"</definedName>
    <definedName function="false" hidden="false" name="FDD_83_14" vbProcedure="false">"A35795"</definedName>
    <definedName function="false" hidden="false" name="FDD_83_2" vbProcedure="false">"A31412"</definedName>
    <definedName function="false" hidden="false" name="FDD_83_3" vbProcedure="false">"A31777"</definedName>
    <definedName function="false" hidden="false" name="FDD_83_4" vbProcedure="false">"A32142"</definedName>
    <definedName function="false" hidden="false" name="FDD_83_5" vbProcedure="false">"A32508"</definedName>
    <definedName function="false" hidden="false" name="FDD_83_6" vbProcedure="false">"A32873"</definedName>
    <definedName function="false" hidden="false" name="FDD_83_7" vbProcedure="false">"A33238"</definedName>
    <definedName function="false" hidden="false" name="FDD_83_8" vbProcedure="false">"A33603"</definedName>
    <definedName function="false" hidden="false" name="FDD_83_9" vbProcedure="false">"A33969"</definedName>
    <definedName function="false" hidden="false" name="FDD_84_0" vbProcedure="false">"A30681"</definedName>
    <definedName function="false" hidden="false" name="FDD_84_1" vbProcedure="false">"A31047"</definedName>
    <definedName function="false" hidden="false" name="FDD_84_10" vbProcedure="false">"A34334"</definedName>
    <definedName function="false" hidden="false" name="FDD_84_11" vbProcedure="false">"A34699"</definedName>
    <definedName function="false" hidden="false" name="FDD_84_12" vbProcedure="false">"A35064"</definedName>
    <definedName function="false" hidden="false" name="FDD_84_13" vbProcedure="false">"A35430"</definedName>
    <definedName function="false" hidden="false" name="FDD_84_14" vbProcedure="false">"A35795"</definedName>
    <definedName function="false" hidden="false" name="FDD_84_2" vbProcedure="false">"A31412"</definedName>
    <definedName function="false" hidden="false" name="FDD_84_3" vbProcedure="false">"A31777"</definedName>
    <definedName function="false" hidden="false" name="FDD_84_4" vbProcedure="false">"A32142"</definedName>
    <definedName function="false" hidden="false" name="FDD_84_5" vbProcedure="false">"A32508"</definedName>
    <definedName function="false" hidden="false" name="FDD_84_6" vbProcedure="false">"A32873"</definedName>
    <definedName function="false" hidden="false" name="FDD_84_7" vbProcedure="false">"A33238"</definedName>
    <definedName function="false" hidden="false" name="FDD_84_8" vbProcedure="false">"A33603"</definedName>
    <definedName function="false" hidden="false" name="FDD_84_9" vbProcedure="false">"A33969"</definedName>
    <definedName function="false" hidden="false" name="FDD_85_0" vbProcedure="false">"A30681"</definedName>
    <definedName function="false" hidden="false" name="FDD_85_1" vbProcedure="false">"A31047"</definedName>
    <definedName function="false" hidden="false" name="FDD_85_10" vbProcedure="false">"A34334"</definedName>
    <definedName function="false" hidden="false" name="FDD_85_11" vbProcedure="false">"A34699"</definedName>
    <definedName function="false" hidden="false" name="FDD_85_12" vbProcedure="false">"A35064"</definedName>
    <definedName function="false" hidden="false" name="FDD_85_13" vbProcedure="false">"A35430"</definedName>
    <definedName function="false" hidden="false" name="FDD_85_14" vbProcedure="false">"A35795"</definedName>
    <definedName function="false" hidden="false" name="FDD_85_2" vbProcedure="false">"A31412"</definedName>
    <definedName function="false" hidden="false" name="FDD_85_3" vbProcedure="false">"A31777"</definedName>
    <definedName function="false" hidden="false" name="FDD_85_4" vbProcedure="false">"A32142"</definedName>
    <definedName function="false" hidden="false" name="FDD_85_5" vbProcedure="false">"A32508"</definedName>
    <definedName function="false" hidden="false" name="FDD_85_6" vbProcedure="false">"A32873"</definedName>
    <definedName function="false" hidden="false" name="FDD_85_7" vbProcedure="false">"A33238"</definedName>
    <definedName function="false" hidden="false" name="FDD_85_8" vbProcedure="false">"A33603"</definedName>
    <definedName function="false" hidden="false" name="FDD_85_9" vbProcedure="false">"A33969"</definedName>
    <definedName function="false" hidden="false" name="FDD_86_0" vbProcedure="false">"A30681"</definedName>
    <definedName function="false" hidden="false" name="FDD_86_1" vbProcedure="false">"A31047"</definedName>
    <definedName function="false" hidden="false" name="FDD_86_10" vbProcedure="false">"A34334"</definedName>
    <definedName function="false" hidden="false" name="FDD_86_11" vbProcedure="false">"A34699"</definedName>
    <definedName function="false" hidden="false" name="FDD_86_12" vbProcedure="false">"A35064"</definedName>
    <definedName function="false" hidden="false" name="FDD_86_13" vbProcedure="false">"A35430"</definedName>
    <definedName function="false" hidden="false" name="FDD_86_14" vbProcedure="false">"A35795"</definedName>
    <definedName function="false" hidden="false" name="FDD_86_2" vbProcedure="false">"A31412"</definedName>
    <definedName function="false" hidden="false" name="FDD_86_3" vbProcedure="false">"A31777"</definedName>
    <definedName function="false" hidden="false" name="FDD_86_4" vbProcedure="false">"A32142"</definedName>
    <definedName function="false" hidden="false" name="FDD_86_5" vbProcedure="false">"A32508"</definedName>
    <definedName function="false" hidden="false" name="FDD_86_6" vbProcedure="false">"A32873"</definedName>
    <definedName function="false" hidden="false" name="FDD_86_7" vbProcedure="false">"A33238"</definedName>
    <definedName function="false" hidden="false" name="FDD_86_8" vbProcedure="false">"A33603"</definedName>
    <definedName function="false" hidden="false" name="FDD_86_9" vbProcedure="false">"A33969"</definedName>
    <definedName function="false" hidden="false" name="FDD_87_0" vbProcedure="false">"A30681"</definedName>
    <definedName function="false" hidden="false" name="FDD_87_1" vbProcedure="false">"A31047"</definedName>
    <definedName function="false" hidden="false" name="FDD_87_10" vbProcedure="false">"A34334"</definedName>
    <definedName function="false" hidden="false" name="FDD_87_11" vbProcedure="false">"A34699"</definedName>
    <definedName function="false" hidden="false" name="FDD_87_12" vbProcedure="false">"A35064"</definedName>
    <definedName function="false" hidden="false" name="FDD_87_13" vbProcedure="false">"A35430"</definedName>
    <definedName function="false" hidden="false" name="FDD_87_14" vbProcedure="false">"A35795"</definedName>
    <definedName function="false" hidden="false" name="FDD_87_2" vbProcedure="false">"A31412"</definedName>
    <definedName function="false" hidden="false" name="FDD_87_3" vbProcedure="false">"A31777"</definedName>
    <definedName function="false" hidden="false" name="FDD_87_4" vbProcedure="false">"A32142"</definedName>
    <definedName function="false" hidden="false" name="FDD_87_5" vbProcedure="false">"A32508"</definedName>
    <definedName function="false" hidden="false" name="FDD_87_6" vbProcedure="false">"A32873"</definedName>
    <definedName function="false" hidden="false" name="FDD_87_7" vbProcedure="false">"A33238"</definedName>
    <definedName function="false" hidden="false" name="FDD_87_8" vbProcedure="false">"A33603"</definedName>
    <definedName function="false" hidden="false" name="FDD_87_9" vbProcedure="false">"A33969"</definedName>
    <definedName function="false" hidden="false" name="FDD_88_0" vbProcedure="false">"A30681"</definedName>
    <definedName function="false" hidden="false" name="FDD_88_1" vbProcedure="false">"A31047"</definedName>
    <definedName function="false" hidden="false" name="FDD_88_10" vbProcedure="false">"A34334"</definedName>
    <definedName function="false" hidden="false" name="FDD_88_11" vbProcedure="false">"A34699"</definedName>
    <definedName function="false" hidden="false" name="FDD_88_12" vbProcedure="false">"A35064"</definedName>
    <definedName function="false" hidden="false" name="FDD_88_13" vbProcedure="false">"A35430"</definedName>
    <definedName function="false" hidden="false" name="FDD_88_14" vbProcedure="false">"A35795"</definedName>
    <definedName function="false" hidden="false" name="FDD_88_2" vbProcedure="false">"A31412"</definedName>
    <definedName function="false" hidden="false" name="FDD_88_3" vbProcedure="false">"A31777"</definedName>
    <definedName function="false" hidden="false" name="FDD_88_4" vbProcedure="false">"A32142"</definedName>
    <definedName function="false" hidden="false" name="FDD_88_5" vbProcedure="false">"A32508"</definedName>
    <definedName function="false" hidden="false" name="FDD_88_6" vbProcedure="false">"A32873"</definedName>
    <definedName function="false" hidden="false" name="FDD_88_7" vbProcedure="false">"A33238"</definedName>
    <definedName function="false" hidden="false" name="FDD_88_8" vbProcedure="false">"A33603"</definedName>
    <definedName function="false" hidden="false" name="FDD_88_9" vbProcedure="false">"A33969"</definedName>
    <definedName function="false" hidden="false" name="FDD_89_0" vbProcedure="false">"A30681"</definedName>
    <definedName function="false" hidden="false" name="FDD_89_1" vbProcedure="false">"A31047"</definedName>
    <definedName function="false" hidden="false" name="FDD_89_10" vbProcedure="false">"A34334"</definedName>
    <definedName function="false" hidden="false" name="FDD_89_11" vbProcedure="false">"A34699"</definedName>
    <definedName function="false" hidden="false" name="FDD_89_12" vbProcedure="false">"A35064"</definedName>
    <definedName function="false" hidden="false" name="FDD_89_13" vbProcedure="false">"A35430"</definedName>
    <definedName function="false" hidden="false" name="FDD_89_14" vbProcedure="false">"A35795"</definedName>
    <definedName function="false" hidden="false" name="FDD_89_2" vbProcedure="false">"A31412"</definedName>
    <definedName function="false" hidden="false" name="FDD_89_3" vbProcedure="false">"A31777"</definedName>
    <definedName function="false" hidden="false" name="FDD_89_4" vbProcedure="false">"A32142"</definedName>
    <definedName function="false" hidden="false" name="FDD_89_5" vbProcedure="false">"A32508"</definedName>
    <definedName function="false" hidden="false" name="FDD_89_6" vbProcedure="false">"A32873"</definedName>
    <definedName function="false" hidden="false" name="FDD_89_7" vbProcedure="false">"A33238"</definedName>
    <definedName function="false" hidden="false" name="FDD_89_8" vbProcedure="false">"A33603"</definedName>
    <definedName function="false" hidden="false" name="FDD_89_9" vbProcedure="false">"A33969"</definedName>
    <definedName function="false" hidden="false" name="FDD_8_0" vbProcedure="false">"A25569"</definedName>
    <definedName function="false" hidden="false" name="FDD_90_0" vbProcedure="false">"A30681"</definedName>
    <definedName function="false" hidden="false" name="FDD_90_1" vbProcedure="false">"A31047"</definedName>
    <definedName function="false" hidden="false" name="FDD_90_10" vbProcedure="false">"A34334"</definedName>
    <definedName function="false" hidden="false" name="FDD_90_11" vbProcedure="false">"A34699"</definedName>
    <definedName function="false" hidden="false" name="FDD_90_12" vbProcedure="false">"A35064"</definedName>
    <definedName function="false" hidden="false" name="FDD_90_13" vbProcedure="false">"A35430"</definedName>
    <definedName function="false" hidden="false" name="FDD_90_14" vbProcedure="false">"A35795"</definedName>
    <definedName function="false" hidden="false" name="FDD_90_2" vbProcedure="false">"A31412"</definedName>
    <definedName function="false" hidden="false" name="FDD_90_3" vbProcedure="false">"A31777"</definedName>
    <definedName function="false" hidden="false" name="FDD_90_4" vbProcedure="false">"A32142"</definedName>
    <definedName function="false" hidden="false" name="FDD_90_5" vbProcedure="false">"A32508"</definedName>
    <definedName function="false" hidden="false" name="FDD_90_6" vbProcedure="false">"A32873"</definedName>
    <definedName function="false" hidden="false" name="FDD_90_7" vbProcedure="false">"A33238"</definedName>
    <definedName function="false" hidden="false" name="FDD_90_8" vbProcedure="false">"A33603"</definedName>
    <definedName function="false" hidden="false" name="FDD_90_9" vbProcedure="false">"A33969"</definedName>
    <definedName function="false" hidden="false" name="FDD_91_0" vbProcedure="false">"A30681"</definedName>
    <definedName function="false" hidden="false" name="FDD_91_1" vbProcedure="false">"A31047"</definedName>
    <definedName function="false" hidden="false" name="FDD_91_10" vbProcedure="false">"A34334"</definedName>
    <definedName function="false" hidden="false" name="FDD_91_11" vbProcedure="false">"A34699"</definedName>
    <definedName function="false" hidden="false" name="FDD_91_12" vbProcedure="false">"A35064"</definedName>
    <definedName function="false" hidden="false" name="FDD_91_13" vbProcedure="false">"A35430"</definedName>
    <definedName function="false" hidden="false" name="FDD_91_14" vbProcedure="false">"A35795"</definedName>
    <definedName function="false" hidden="false" name="FDD_91_2" vbProcedure="false">"A31412"</definedName>
    <definedName function="false" hidden="false" name="FDD_91_3" vbProcedure="false">"A31777"</definedName>
    <definedName function="false" hidden="false" name="FDD_91_4" vbProcedure="false">"A32142"</definedName>
    <definedName function="false" hidden="false" name="FDD_91_5" vbProcedure="false">"A32508"</definedName>
    <definedName function="false" hidden="false" name="FDD_91_6" vbProcedure="false">"A32873"</definedName>
    <definedName function="false" hidden="false" name="FDD_91_7" vbProcedure="false">"A33238"</definedName>
    <definedName function="false" hidden="false" name="FDD_91_8" vbProcedure="false">"A33603"</definedName>
    <definedName function="false" hidden="false" name="FDD_91_9" vbProcedure="false">"A33969"</definedName>
    <definedName function="false" hidden="false" name="FDD_92_0" vbProcedure="false">"A30681"</definedName>
    <definedName function="false" hidden="false" name="FDD_92_1" vbProcedure="false">"A31047"</definedName>
    <definedName function="false" hidden="false" name="FDD_92_10" vbProcedure="false">"A34334"</definedName>
    <definedName function="false" hidden="false" name="FDD_92_11" vbProcedure="false">"A34699"</definedName>
    <definedName function="false" hidden="false" name="FDD_92_12" vbProcedure="false">"A35064"</definedName>
    <definedName function="false" hidden="false" name="FDD_92_13" vbProcedure="false">"A35430"</definedName>
    <definedName function="false" hidden="false" name="FDD_92_14" vbProcedure="false">"A35795"</definedName>
    <definedName function="false" hidden="false" name="FDD_92_2" vbProcedure="false">"A31412"</definedName>
    <definedName function="false" hidden="false" name="FDD_92_3" vbProcedure="false">"A31777"</definedName>
    <definedName function="false" hidden="false" name="FDD_92_4" vbProcedure="false">"A32142"</definedName>
    <definedName function="false" hidden="false" name="FDD_92_5" vbProcedure="false">"A32508"</definedName>
    <definedName function="false" hidden="false" name="FDD_92_6" vbProcedure="false">"A32873"</definedName>
    <definedName function="false" hidden="false" name="FDD_92_7" vbProcedure="false">"A33238"</definedName>
    <definedName function="false" hidden="false" name="FDD_92_8" vbProcedure="false">"A33603"</definedName>
    <definedName function="false" hidden="false" name="FDD_92_9" vbProcedure="false">"A33969"</definedName>
    <definedName function="false" hidden="false" name="FDD_93_0" vbProcedure="false">"A30681"</definedName>
    <definedName function="false" hidden="false" name="FDD_93_1" vbProcedure="false">"A31047"</definedName>
    <definedName function="false" hidden="false" name="FDD_93_10" vbProcedure="false">"A34334"</definedName>
    <definedName function="false" hidden="false" name="FDD_93_11" vbProcedure="false">"A34699"</definedName>
    <definedName function="false" hidden="false" name="FDD_93_12" vbProcedure="false">"A35064"</definedName>
    <definedName function="false" hidden="false" name="FDD_93_13" vbProcedure="false">"A35430"</definedName>
    <definedName function="false" hidden="false" name="FDD_93_14" vbProcedure="false">"A35795"</definedName>
    <definedName function="false" hidden="false" name="FDD_93_2" vbProcedure="false">"A31412"</definedName>
    <definedName function="false" hidden="false" name="FDD_93_3" vbProcedure="false">"A31777"</definedName>
    <definedName function="false" hidden="false" name="FDD_93_4" vbProcedure="false">"A32142"</definedName>
    <definedName function="false" hidden="false" name="FDD_93_5" vbProcedure="false">"A32508"</definedName>
    <definedName function="false" hidden="false" name="FDD_93_6" vbProcedure="false">"A32873"</definedName>
    <definedName function="false" hidden="false" name="FDD_93_7" vbProcedure="false">"A33238"</definedName>
    <definedName function="false" hidden="false" name="FDD_93_8" vbProcedure="false">"A33603"</definedName>
    <definedName function="false" hidden="false" name="FDD_93_9" vbProcedure="false">"A33969"</definedName>
    <definedName function="false" hidden="false" name="FDD_94_0" vbProcedure="false">"A30681"</definedName>
    <definedName function="false" hidden="false" name="FDD_94_1" vbProcedure="false">"A31047"</definedName>
    <definedName function="false" hidden="false" name="FDD_94_10" vbProcedure="false">"A34334"</definedName>
    <definedName function="false" hidden="false" name="FDD_94_11" vbProcedure="false">"A34699"</definedName>
    <definedName function="false" hidden="false" name="FDD_94_12" vbProcedure="false">"A35064"</definedName>
    <definedName function="false" hidden="false" name="FDD_94_13" vbProcedure="false">"A35430"</definedName>
    <definedName function="false" hidden="false" name="FDD_94_14" vbProcedure="false">"A35795"</definedName>
    <definedName function="false" hidden="false" name="FDD_94_2" vbProcedure="false">"A31412"</definedName>
    <definedName function="false" hidden="false" name="FDD_94_3" vbProcedure="false">"A31777"</definedName>
    <definedName function="false" hidden="false" name="FDD_94_4" vbProcedure="false">"A32142"</definedName>
    <definedName function="false" hidden="false" name="FDD_94_5" vbProcedure="false">"A32508"</definedName>
    <definedName function="false" hidden="false" name="FDD_94_6" vbProcedure="false">"A32873"</definedName>
    <definedName function="false" hidden="false" name="FDD_94_7" vbProcedure="false">"A33238"</definedName>
    <definedName function="false" hidden="false" name="FDD_94_8" vbProcedure="false">"A33603"</definedName>
    <definedName function="false" hidden="false" name="FDD_94_9" vbProcedure="false">"A33969"</definedName>
    <definedName function="false" hidden="false" name="FDD_95_0" vbProcedure="false">"A30681"</definedName>
    <definedName function="false" hidden="false" name="FDD_95_1" vbProcedure="false">"A31047"</definedName>
    <definedName function="false" hidden="false" name="FDD_95_10" vbProcedure="false">"A34334"</definedName>
    <definedName function="false" hidden="false" name="FDD_95_11" vbProcedure="false">"A34699"</definedName>
    <definedName function="false" hidden="false" name="FDD_95_12" vbProcedure="false">"A35064"</definedName>
    <definedName function="false" hidden="false" name="FDD_95_13" vbProcedure="false">"A35430"</definedName>
    <definedName function="false" hidden="false" name="FDD_95_14" vbProcedure="false">"A35795"</definedName>
    <definedName function="false" hidden="false" name="FDD_95_2" vbProcedure="false">"A31412"</definedName>
    <definedName function="false" hidden="false" name="FDD_95_3" vbProcedure="false">"A31777"</definedName>
    <definedName function="false" hidden="false" name="FDD_95_4" vbProcedure="false">"A32142"</definedName>
    <definedName function="false" hidden="false" name="FDD_95_5" vbProcedure="false">"A32508"</definedName>
    <definedName function="false" hidden="false" name="FDD_95_6" vbProcedure="false">"A32873"</definedName>
    <definedName function="false" hidden="false" name="FDD_95_7" vbProcedure="false">"A33238"</definedName>
    <definedName function="false" hidden="false" name="FDD_95_8" vbProcedure="false">"A33603"</definedName>
    <definedName function="false" hidden="false" name="FDD_95_9" vbProcedure="false">"A33969"</definedName>
    <definedName function="false" hidden="false" name="FDD_96_0" vbProcedure="false">"U30681"</definedName>
    <definedName function="false" hidden="false" name="FDD_96_1" vbProcedure="false">"A31047"</definedName>
    <definedName function="false" hidden="false" name="FDD_96_10" vbProcedure="false">"A34334"</definedName>
    <definedName function="false" hidden="false" name="FDD_96_11" vbProcedure="false">"A34699"</definedName>
    <definedName function="false" hidden="false" name="FDD_96_12" vbProcedure="false">"A35064"</definedName>
    <definedName function="false" hidden="false" name="FDD_96_13" vbProcedure="false">"A35430"</definedName>
    <definedName function="false" hidden="false" name="FDD_96_14" vbProcedure="false">"A35795"</definedName>
    <definedName function="false" hidden="false" name="FDD_96_2" vbProcedure="false">"A31412"</definedName>
    <definedName function="false" hidden="false" name="FDD_96_3" vbProcedure="false">"A31777"</definedName>
    <definedName function="false" hidden="false" name="FDD_96_4" vbProcedure="false">"A32142"</definedName>
    <definedName function="false" hidden="false" name="FDD_96_5" vbProcedure="false">"A32508"</definedName>
    <definedName function="false" hidden="false" name="FDD_96_6" vbProcedure="false">"A32873"</definedName>
    <definedName function="false" hidden="false" name="FDD_96_7" vbProcedure="false">"A33238"</definedName>
    <definedName function="false" hidden="false" name="FDD_96_8" vbProcedure="false">"A33603"</definedName>
    <definedName function="false" hidden="false" name="FDD_96_9" vbProcedure="false">"A33969"</definedName>
    <definedName function="false" hidden="false" name="FDD_97_0" vbProcedure="false">"U30681"</definedName>
    <definedName function="false" hidden="false" name="FDD_97_1" vbProcedure="false">"A31047"</definedName>
    <definedName function="false" hidden="false" name="FDD_97_10" vbProcedure="false">"A34334"</definedName>
    <definedName function="false" hidden="false" name="FDD_97_11" vbProcedure="false">"A34699"</definedName>
    <definedName function="false" hidden="false" name="FDD_97_12" vbProcedure="false">"A35064"</definedName>
    <definedName function="false" hidden="false" name="FDD_97_13" vbProcedure="false">"A35430"</definedName>
    <definedName function="false" hidden="false" name="FDD_97_14" vbProcedure="false">"A35795"</definedName>
    <definedName function="false" hidden="false" name="FDD_97_2" vbProcedure="false">"A31412"</definedName>
    <definedName function="false" hidden="false" name="FDD_97_3" vbProcedure="false">"A31777"</definedName>
    <definedName function="false" hidden="false" name="FDD_97_4" vbProcedure="false">"A32142"</definedName>
    <definedName function="false" hidden="false" name="FDD_97_5" vbProcedure="false">"A32508"</definedName>
    <definedName function="false" hidden="false" name="FDD_97_6" vbProcedure="false">"A32873"</definedName>
    <definedName function="false" hidden="false" name="FDD_97_7" vbProcedure="false">"A33238"</definedName>
    <definedName function="false" hidden="false" name="FDD_97_8" vbProcedure="false">"A33603"</definedName>
    <definedName function="false" hidden="false" name="FDD_97_9" vbProcedure="false">"A33969"</definedName>
    <definedName function="false" hidden="false" name="FDD_98_0" vbProcedure="false">"U30681"</definedName>
    <definedName function="false" hidden="false" name="FDD_98_1" vbProcedure="false">"A31047"</definedName>
    <definedName function="false" hidden="false" name="FDD_98_10" vbProcedure="false">"A34334"</definedName>
    <definedName function="false" hidden="false" name="FDD_98_11" vbProcedure="false">"A34699"</definedName>
    <definedName function="false" hidden="false" name="FDD_98_12" vbProcedure="false">"A35064"</definedName>
    <definedName function="false" hidden="false" name="FDD_98_13" vbProcedure="false">"A35430"</definedName>
    <definedName function="false" hidden="false" name="FDD_98_14" vbProcedure="false">"A35795"</definedName>
    <definedName function="false" hidden="false" name="FDD_98_2" vbProcedure="false">"A31412"</definedName>
    <definedName function="false" hidden="false" name="FDD_98_3" vbProcedure="false">"A31777"</definedName>
    <definedName function="false" hidden="false" name="FDD_98_4" vbProcedure="false">"A32142"</definedName>
    <definedName function="false" hidden="false" name="FDD_98_5" vbProcedure="false">"A32508"</definedName>
    <definedName function="false" hidden="false" name="FDD_98_6" vbProcedure="false">"A32873"</definedName>
    <definedName function="false" hidden="false" name="FDD_98_7" vbProcedure="false">"A33238"</definedName>
    <definedName function="false" hidden="false" name="FDD_98_8" vbProcedure="false">"A33603"</definedName>
    <definedName function="false" hidden="false" name="FDD_98_9" vbProcedure="false">"A33969"</definedName>
    <definedName function="false" hidden="false" name="FDD_99_0" vbProcedure="false">"U30681"</definedName>
    <definedName function="false" hidden="false" name="FDD_99_1" vbProcedure="false">"A31047"</definedName>
    <definedName function="false" hidden="false" name="FDD_99_10" vbProcedure="false">"A34334"</definedName>
    <definedName function="false" hidden="false" name="FDD_99_11" vbProcedure="false">"A34699"</definedName>
    <definedName function="false" hidden="false" name="FDD_99_12" vbProcedure="false">"A35064"</definedName>
    <definedName function="false" hidden="false" name="FDD_99_13" vbProcedure="false">"A35430"</definedName>
    <definedName function="false" hidden="false" name="FDD_99_14" vbProcedure="false">"A35795"</definedName>
    <definedName function="false" hidden="false" name="FDD_99_2" vbProcedure="false">"A31412"</definedName>
    <definedName function="false" hidden="false" name="FDD_99_3" vbProcedure="false">"A31777"</definedName>
    <definedName function="false" hidden="false" name="FDD_99_4" vbProcedure="false">"A32142"</definedName>
    <definedName function="false" hidden="false" name="FDD_99_5" vbProcedure="false">"A32508"</definedName>
    <definedName function="false" hidden="false" name="FDD_99_6" vbProcedure="false">"A32873"</definedName>
    <definedName function="false" hidden="false" name="FDD_99_7" vbProcedure="false">"A33238"</definedName>
    <definedName function="false" hidden="false" name="FDD_99_8" vbProcedure="false">"A33603"</definedName>
    <definedName function="false" hidden="false" name="FDD_99_9" vbProcedure="false">"A33969"</definedName>
    <definedName function="false" hidden="false" name="FDD_9_0" vbProcedure="false">"A25569"</definedName>
    <definedName function="false" hidden="false" name="fdg" vbProcedure="false">#N/A</definedName>
    <definedName function="false" hidden="false" name="fdggh" vbProcedure="false">fdggh</definedName>
    <definedName function="false" hidden="false" name="fdgh" vbProcedure="false">#N/A</definedName>
    <definedName function="false" hidden="false" name="FDGHS" vbProcedure="false">FDGHS</definedName>
    <definedName function="false" hidden="false" name="fdgqsjsbc" vbProcedure="false">fdgqsjsbc</definedName>
    <definedName function="false" hidden="false" name="fdhedtbfc" vbProcedure="false">fdhedtbfc</definedName>
    <definedName function="false" hidden="false" name="fdhfdh" vbProcedure="false">{"First Page",#N/A,FALSE,"Surfactants LBO";"Second Page",#N/A,FALSE,"Surfactants LBO"}</definedName>
    <definedName function="false" hidden="false" name="fdhfghfdh" vbProcedure="false">{"First Page",#N/A,FALSE,"Surfactants LBO";"Second Page",#N/A,FALSE,"Surfactants LBO"}</definedName>
    <definedName function="false" hidden="false" name="February" vbProcedure="false">#REF!</definedName>
    <definedName function="false" hidden="false" name="fegc" vbProcedure="false">fegc</definedName>
    <definedName function="false" hidden="false" name="fev" vbProcedure="false">#REF!</definedName>
    <definedName function="false" hidden="false" name="Fevrier" vbProcedure="false">#REF!</definedName>
    <definedName function="false" hidden="false" name="fevruer" vbProcedure="false">fevruer</definedName>
    <definedName function="false" hidden="false" name="FF" vbProcedure="false">#N/A</definedName>
    <definedName function="false" hidden="false" name="fff" vbProcedure="false">[0]!tx_intérêt_par_an/#REF!</definedName>
    <definedName function="false" hidden="false" name="ffff" vbProcedure="false">Nb_de_paiements_par_an*#REF!</definedName>
    <definedName function="false" hidden="false" name="fffff" vbProcedure="false">#N/A</definedName>
    <definedName function="false" hidden="false" name="fffffffff" vbProcedure="false">[0]!tx_intérêt_par_an/#REF!</definedName>
    <definedName function="false" hidden="false" name="fffffffffffff" vbProcedure="false">#N/A</definedName>
    <definedName function="false" hidden="false" name="fffffffff___0" vbProcedure="false">VolFactor___5/#REF!</definedName>
    <definedName function="false" hidden="false" name="fffffffff___12" vbProcedure="false">VolFactor___25/#REF!</definedName>
    <definedName function="false" hidden="false" name="fffffffff___14" vbProcedure="false">VolFactor___16/#REF!</definedName>
    <definedName function="false" hidden="false" name="fffffffff___2" vbProcedure="false">VolFactor___5/#REF!</definedName>
    <definedName function="false" hidden="false" name="fffffffff___26" vbProcedure="false">VolFactor___5/#REF!</definedName>
    <definedName function="false" hidden="false" name="fffffffff___27" vbProcedure="false">VolFactor___14/#REF!</definedName>
    <definedName function="false" hidden="false" name="fffffffff___3" vbProcedure="false">VolFactor___5/#REF!</definedName>
    <definedName function="false" hidden="false" name="fffffffff___5" vbProcedure="false">VolFactor___2/#REF!</definedName>
    <definedName function="false" hidden="false" name="fffffffff___7" vbProcedure="false">VolFactor___5/#REF!</definedName>
    <definedName function="false" hidden="false" name="fffffffff___9" vbProcedure="false">VolFactor___5/#REF!</definedName>
    <definedName function="false" hidden="false" name="ffff___25" vbProcedure="false">O___0*#REF!</definedName>
    <definedName function="false" hidden="false" name="ffff___9" vbProcedure="false">O___0*#REF!</definedName>
    <definedName function="false" hidden="false" name="fffs" vbProcedure="false">{"IS",#N/A,FALSE,"IS";"RPTIS",#N/A,FALSE,"RPTIS";"STATS",#N/A,FALSE,"STATS";"CELL",#N/A,FALSE,"CELL";"BS",#N/A,FALSE,"BS"}</definedName>
    <definedName function="false" hidden="false" name="FG" vbProcedure="false">FG</definedName>
    <definedName function="false" hidden="false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fghdgfhdf" vbProcedure="false">{#N/A,#N/A,TRUE,"Cover sheet";#N/A,#N/A,TRUE,"DCF analysis";#N/A,#N/A,TRUE,"WACC calculation"}</definedName>
    <definedName function="false" hidden="false" name="FG___0" vbProcedure="false">G___7</definedName>
    <definedName function="false" hidden="false" name="G___7" vbProcedure="false">#REF!</definedName>
    <definedName function="false" hidden="false" name="FG___12" vbProcedure="false">G___2</definedName>
    <definedName function="false" hidden="false" name="G___2" vbProcedure="false">#REF!</definedName>
    <definedName function="false" hidden="false" name="FG___14" vbProcedure="false">G___14</definedName>
    <definedName function="false" hidden="false" name="G___14" vbProcedure="false">#REF!</definedName>
    <definedName function="false" hidden="false" name="FG___16" vbProcedure="false">G___16</definedName>
    <definedName function="false" hidden="false" name="G___16" vbProcedure="false">#REF!</definedName>
    <definedName function="false" hidden="false" name="FG___25" vbProcedure="false">G___4</definedName>
    <definedName function="false" hidden="false" name="G___4" vbProcedure="false">#REF!</definedName>
    <definedName function="false" hidden="false" name="FG___26" vbProcedure="false">G___5</definedName>
    <definedName function="false" hidden="false" name="G___5" vbProcedure="false">#REF!</definedName>
    <definedName function="false" hidden="false" name="FG___27" vbProcedure="false">G___12</definedName>
    <definedName function="false" hidden="false" name="G___12" vbProcedure="false">#REF!</definedName>
    <definedName function="false" hidden="false" name="FG___5" vbProcedure="false">G___27</definedName>
    <definedName function="false" hidden="false" name="G___27" vbProcedure="false">#REF!</definedName>
    <definedName function="false" hidden="false" name="FG___7" vbProcedure="false">G___26</definedName>
    <definedName function="false" hidden="false" name="G___26" vbProcedure="false">#REF!</definedName>
    <definedName function="false" hidden="false" name="FG___9" vbProcedure="false">G___25</definedName>
    <definedName function="false" hidden="false" name="G___25" vbProcedure="false">#REF!</definedName>
    <definedName function="false" hidden="false" name="fiche" vbProcedure="false">#REF!</definedName>
    <definedName function="false" hidden="false" name="fichexpliq_EVOSB" vbProcedure="false">#REF!</definedName>
    <definedName function="false" hidden="false" name="FINAL" vbProcedure="false">#N/A</definedName>
    <definedName function="false" hidden="false" name="FirstProjYr" vbProcedure="false">#REF!</definedName>
    <definedName function="false" hidden="false" name="FirstProjYr___0" vbProcedure="false">#REF!</definedName>
    <definedName function="false" hidden="false" name="FirstProjYr___12" vbProcedure="false">#REF!</definedName>
    <definedName function="false" hidden="false" name="FirstProjYr___14" vbProcedure="false">#REF!</definedName>
    <definedName function="false" hidden="false" name="FirstProjYr___16" vbProcedure="false">#REF!</definedName>
    <definedName function="false" hidden="false" name="FirstProjYr___2" vbProcedure="false">#REF!</definedName>
    <definedName function="false" hidden="false" name="FirstProjYr___25" vbProcedure="false">#REF!</definedName>
    <definedName function="false" hidden="false" name="FirstProjYr___26" vbProcedure="false">#REF!</definedName>
    <definedName function="false" hidden="false" name="FirstProjYr___27" vbProcedure="false">#REF!</definedName>
    <definedName function="false" hidden="false" name="FirstProjYr___4" vbProcedure="false">#REF!</definedName>
    <definedName function="false" hidden="false" name="FirstProjYr___5" vbProcedure="false">#REF!</definedName>
    <definedName function="false" hidden="false" name="FirstProjYr___7" vbProcedure="false">#REF!</definedName>
    <definedName function="false" hidden="false" name="FOOT" vbProcedure="false">#N/A</definedName>
    <definedName function="false" hidden="false" name="forecast" vbProcedure="false">OFFSET(CompRange1Main,9,0,COUNTA(CompRange1Main)-COUNTA(#REF!),1)</definedName>
    <definedName function="false" hidden="false" name="FP" vbProcedure="false">#REF!</definedName>
    <definedName function="false" hidden="false" name="fpaout" vbProcedure="false">fpaout</definedName>
    <definedName function="false" hidden="false" name="fp_0802" vbProcedure="false">#N/A</definedName>
    <definedName function="false" hidden="false" name="FP_Aout" vbProcedure="false">#N/A</definedName>
    <definedName function="false" hidden="false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raispers802" vbProcedure="false">#N/A</definedName>
    <definedName function="false" hidden="false" name="FraisRaccAbon" vbProcedure="false">#REF!</definedName>
    <definedName function="false" hidden="false" name="FraisRaccAbon___0" vbProcedure="false">#REF!</definedName>
    <definedName function="false" hidden="false" name="FraisRaccAbon___12" vbProcedure="false">#REF!</definedName>
    <definedName function="false" hidden="false" name="FraisRaccAbon___14" vbProcedure="false">#REF!</definedName>
    <definedName function="false" hidden="false" name="FraisRaccAbon___16" vbProcedure="false">#REF!</definedName>
    <definedName function="false" hidden="false" name="FraisRaccAbon___2" vbProcedure="false">#REF!</definedName>
    <definedName function="false" hidden="false" name="FraisRaccAbon___25" vbProcedure="false">#REF!</definedName>
    <definedName function="false" hidden="false" name="FraisRaccAbon___26" vbProcedure="false">#REF!</definedName>
    <definedName function="false" hidden="false" name="FraisRaccAbon___27" vbProcedure="false">#REF!</definedName>
    <definedName function="false" hidden="false" name="FraisRaccAbon___4" vbProcedure="false">#REF!</definedName>
    <definedName function="false" hidden="false" name="FraisRaccAbon___5" vbProcedure="false">#REF!</definedName>
    <definedName function="false" hidden="false" name="FraisRaccAbon___7" vbProcedure="false">#REF!</definedName>
    <definedName function="false" hidden="false" name="Frank" vbProcedure="false">{#N/A,#N/A,TRUE,"Cover sheet";#N/A,#N/A,TRUE,"DCF analysis";#N/A,#N/A,TRUE,"WACC calculation"}</definedName>
    <definedName function="false" hidden="false" name="frde" vbProcedure="false">#REF!</definedName>
    <definedName function="false" hidden="false" name="FSDSG" vbProcedure="false">#N/A</definedName>
    <definedName function="false" hidden="false" name="fsgf" vbProcedure="false">#N/A</definedName>
    <definedName function="false" hidden="false" name="FSGHFS" vbProcedure="false">#N/A</definedName>
    <definedName function="false" hidden="false" name="FTK" vbProcedure="false">#REF!</definedName>
    <definedName function="false" hidden="false" name="fuffuy" vbProcedure="false">{#N/A,#N/A,FALSE,"Cover";"outputs total",#N/A,FALSE,"Outputs"}</definedName>
    <definedName function="false" hidden="false" name="fukfy" vbProcedure="false">#N/A</definedName>
    <definedName function="false" hidden="false" name="fyukf" vbProcedure="false">#N/A</definedName>
    <definedName function="false" hidden="false" name="fzrs" vbProcedure="false">fzrs</definedName>
    <definedName function="false" hidden="false" name="F_SMS_Data" vbProcedure="false">#REF!</definedName>
    <definedName function="false" hidden="false" name="F___0" vbProcedure="false">#REF!</definedName>
    <definedName function="false" hidden="false" name="G" vbProcedure="false">#REF!</definedName>
    <definedName function="false" hidden="false" name="gaga" vbProcedure="false">{#N/A,#N/A,TRUE,"Cover sheet";#N/A,#N/A,TRUE,"INPUTS";#N/A,#N/A,TRUE,"OUTPUTS";#N/A,#N/A,TRUE,"VALUATION"}</definedName>
    <definedName function="false" hidden="false" name="GBP" vbProcedure="false">#REF!</definedName>
    <definedName function="false" hidden="false" name="gdf" vbProcedure="false">#N/A</definedName>
    <definedName function="false" hidden="false" name="gdfch" vbProcedure="false">#N/A</definedName>
    <definedName function="false" hidden="false" name="gdfdh" vbProcedure="false">#N/A</definedName>
    <definedName function="false" hidden="false" name="GDFH" vbProcedure="false">GDFH</definedName>
    <definedName function="false" hidden="false" name="gdfjfg" vbProcedure="false">gdfjfg</definedName>
    <definedName function="false" hidden="false" name="gdfr" vbProcedure="false">#N/A</definedName>
    <definedName function="false" hidden="false" name="gdhdj" vbProcedure="false">gdhdj</definedName>
    <definedName function="false" hidden="false" name="gdhdt" vbProcedure="false">#N/A</definedName>
    <definedName function="false" hidden="false" name="GDHG" vbProcedure="false">#N/A</definedName>
    <definedName function="false" hidden="false" name="gdhj" vbProcedure="false">#N/A</definedName>
    <definedName function="false" hidden="false" name="gdhjf" vbProcedure="false">#N/A</definedName>
    <definedName function="false" hidden="false" name="gdsfg" vbProcedure="false">{#N/A,#N/A,TRUE,"Cover sheet";#N/A,#N/A,TRUE,"INPUTS";#N/A,#N/A,TRUE,"OUTPUTS";#N/A,#N/A,TRUE,"VALUATION"}</definedName>
    <definedName function="false" hidden="false" name="gdsh" vbProcedure="false">gdsh</definedName>
    <definedName function="false" hidden="false" name="ger" vbProcedure="false">#N/A</definedName>
    <definedName function="false" hidden="false" name="gf" vbProcedure="false">{"IS",#N/A,FALSE,"IS";"RPTIS",#N/A,FALSE,"RPTIS";"STATS",#N/A,FALSE,"STATS";"CELL",#N/A,FALSE,"CELL";"BS",#N/A,FALSE,"BS"}</definedName>
    <definedName function="false" hidden="false" name="GFDB" vbProcedure="false">#N/A</definedName>
    <definedName function="false" hidden="false" name="GFDBNH" vbProcedure="false">#N/A</definedName>
    <definedName function="false" hidden="false" name="gfdgfdfhfgh" vbProcedure="false">gfdgfdfhfgh</definedName>
    <definedName function="false" hidden="false" name="gfdgfdfhfgh___0" vbProcedure="false">HardCodedEquityCost___12</definedName>
    <definedName function="false" hidden="false" name="HardCodedEquityCost___12" vbProcedure="false">#REF!</definedName>
    <definedName function="false" hidden="false" name="gfdgfdfhfgh___12" vbProcedure="false">HardCodedEquityCost___16</definedName>
    <definedName function="false" hidden="false" name="HardCodedEquityCost___16" vbProcedure="false">#REF!</definedName>
    <definedName function="false" hidden="false" name="gfdgfdfhfgh___14" vbProcedure="false">HardCodedATDebtCost___0</definedName>
    <definedName function="false" hidden="false" name="HardCodedATDebtCost___0" vbProcedure="false">#REF!</definedName>
    <definedName function="false" hidden="false" name="gfdgfdfhfgh___16" vbProcedure="false">HardCodedATDebtCost___12</definedName>
    <definedName function="false" hidden="false" name="HardCodedATDebtCost___12" vbProcedure="false">#REF!</definedName>
    <definedName function="false" hidden="false" name="gfdgfdfhfgh___23" vbProcedure="false">HardCodedATDebtCost___2</definedName>
    <definedName function="false" hidden="false" name="HardCodedATDebtCost___2" vbProcedure="false">#REF!</definedName>
    <definedName function="false" hidden="false" name="gfdgfdfhfgh___25" vbProcedure="false">HardCodedATDebtCost___5</definedName>
    <definedName function="false" hidden="false" name="HardCodedATDebtCost___5" vbProcedure="false">#REF!</definedName>
    <definedName function="false" hidden="false" name="gfdgfdfhfgh___26" vbProcedure="false">HardCodedEquityCost___14</definedName>
    <definedName function="false" hidden="false" name="HardCodedEquityCost___14" vbProcedure="false">#REF!</definedName>
    <definedName function="false" hidden="false" name="gfdgfdfhfgh___27" vbProcedure="false">HardCodedEquityCost___4</definedName>
    <definedName function="false" hidden="false" name="HardCodedEquityCost___4" vbProcedure="false">#REF!</definedName>
    <definedName function="false" hidden="false" name="gfdgfdfhfgh___3" vbProcedure="false">HardCodedATDebtCost___7</definedName>
    <definedName function="false" hidden="false" name="HardCodedATDebtCost___7" vbProcedure="false">#REF!</definedName>
    <definedName function="false" hidden="false" name="gfdgfdfhfgh___4" vbProcedure="false">HardCodedATDebtCost___27</definedName>
    <definedName function="false" hidden="false" name="HardCodedATDebtCost___27" vbProcedure="false">#REF!</definedName>
    <definedName function="false" hidden="false" name="gfdgfdfhfgh___5" vbProcedure="false">HardCodedEquityCost___25</definedName>
    <definedName function="false" hidden="false" name="HardCodedEquityCost___25" vbProcedure="false">#REF!</definedName>
    <definedName function="false" hidden="false" name="gfdgfdfhfgh___6" vbProcedure="false">HardCodedATDebtCost___14</definedName>
    <definedName function="false" hidden="false" name="HardCodedATDebtCost___14" vbProcedure="false">#REF!</definedName>
    <definedName function="false" hidden="false" name="gfdgfdfhfgh___7" vbProcedure="false">HardCodedEquityCost___2</definedName>
    <definedName function="false" hidden="false" name="HardCodedEquityCost___2" vbProcedure="false">#REF!</definedName>
    <definedName function="false" hidden="false" name="gfdgfdfhfgh___9" vbProcedure="false">HardCodedATDebtCost___26</definedName>
    <definedName function="false" hidden="false" name="HardCodedATDebtCost___26" vbProcedure="false">#REF!</definedName>
    <definedName function="false" hidden="false" name="gfdh" vbProcedure="false">#N/A</definedName>
    <definedName function="false" hidden="false" name="gfdjdh" vbProcedure="false">#N/A</definedName>
    <definedName function="false" hidden="false" name="gfgsdh" vbProcedure="false">#N/A</definedName>
    <definedName function="false" hidden="false" name="gfhfdl" vbProcedure="false">gfhfdl</definedName>
    <definedName function="false" hidden="false" name="gfhfj" vbProcedure="false">gfhfj</definedName>
    <definedName function="false" hidden="false" name="gfhgdcvh" vbProcedure="false">#N/A</definedName>
    <definedName function="false" hidden="false" name="GFHGFHFGH" vbProcedure="false">#REF!</definedName>
    <definedName function="false" hidden="false" name="gfhkd" vbProcedure="false">#N/A</definedName>
    <definedName function="false" hidden="false" name="gfjf" vbProcedure="false">#N/A</definedName>
    <definedName function="false" hidden="false" name="GFYT" vbProcedure="false">#REF!</definedName>
    <definedName function="false" hidden="false" name="GFYT___0" vbProcedure="false">#REF!</definedName>
    <definedName function="false" hidden="false" name="GFYT___12" vbProcedure="false">#REF!</definedName>
    <definedName function="false" hidden="false" name="GFYT___6" vbProcedure="false">#REF!</definedName>
    <definedName function="false" hidden="false" name="gg" vbProcedure="false">gg</definedName>
    <definedName function="false" hidden="false" name="GGDHK" vbProcedure="false">GGDHK</definedName>
    <definedName function="false" hidden="false" name="ggf" vbProcedure="false">{"comps",#N/A,FALSE,"comps";"notes",#N/A,FALSE,"comps"}</definedName>
    <definedName function="false" hidden="false" name="ggg" vbProcedure="false">#N/A</definedName>
    <definedName function="false" hidden="false" name="GH" vbProcedure="false">GH</definedName>
    <definedName function="false" hidden="false" name="ghb" vbProcedure="false">#REF!</definedName>
    <definedName function="false" hidden="false" name="GHD" vbProcedure="false">#N/A</definedName>
    <definedName function="false" hidden="false" name="GHDZBGD?DJ" vbProcedure="false">#N/A</definedName>
    <definedName function="false" hidden="false" name="GHFBD" vbProcedure="false">GHFBD</definedName>
    <definedName function="false" hidden="false" name="GHFHGFHTYU" vbProcedure="false">#REF!</definedName>
    <definedName function="false" hidden="false" name="ghfj" vbProcedure="false">#N/A</definedName>
    <definedName function="false" hidden="false" name="ghfjd" vbProcedure="false">ghfjd</definedName>
    <definedName function="false" hidden="false" name="GHFK" vbProcedure="false">#N/A</definedName>
    <definedName function="false" hidden="false" name="ghghgh" vbProcedure="false">{#N/A,#N/A,TRUE,"Cover sheet";#N/A,#N/A,TRUE,"DCF analysis";#N/A,#N/A,TRUE,"WACC calculation"}</definedName>
    <definedName function="false" hidden="false" name="ghghghghg" vbProcedure="false">{#N/A,#N/A,TRUE,"Cover sheet";#N/A,#N/A,TRUE,"DCF analysis";#N/A,#N/A,TRUE,"WACC calculation"}</definedName>
    <definedName function="false" hidden="false" name="GHJIYRAD" vbProcedure="false">#N/A</definedName>
    <definedName function="false" hidden="false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gi" vbProcedure="false">#N/A</definedName>
    <definedName function="false" hidden="false" name="gogo" vbProcedure="false">{#N/A,#N/A,TRUE,"Cover sheet";#N/A,#N/A,TRUE,"INPUTS";#N/A,#N/A,TRUE,"OUTPUTS";#N/A,#N/A,TRUE,"VALUATION"}</definedName>
    <definedName function="false" hidden="false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GPRS" vbProcedure="false">#REF!</definedName>
    <definedName function="false" hidden="false" name="GRE" vbProcedure="false">#N/A</definedName>
    <definedName function="false" hidden="false" name="GROWTH" vbProcedure="false">#N/A</definedName>
    <definedName function="false" hidden="false" name="grt" vbProcedure="false">#N/A</definedName>
    <definedName function="false" hidden="false" name="gs" vbProcedure="false">{"IS",#N/A,FALSE,"IS";"RPTIS",#N/A,FALSE,"RPTIS";"STATS",#N/A,FALSE,"STATS";"CELL",#N/A,FALSE,"CELL";"BS",#N/A,FALSE,"BS"}</definedName>
    <definedName function="false" hidden="false" name="gsb" vbProcedure="false">#N/A</definedName>
    <definedName function="false" hidden="false" name="gsddhds" vbProcedure="false">#N/A</definedName>
    <definedName function="false" hidden="false" name="GSFEZ" vbProcedure="false">#N/A</definedName>
    <definedName function="false" hidden="false" name="GSJHYEGF" vbProcedure="false">#N/A</definedName>
    <definedName function="false" hidden="false" name="GSM" vbProcedure="false">#REF!</definedName>
    <definedName function="false" hidden="false" name="GSN_HARDWARE" vbProcedure="false">#REF!</definedName>
    <definedName function="false" hidden="false" name="GSN_SOFTWARE" vbProcedure="false">#REF!</definedName>
    <definedName function="false" hidden="false" name="GSS" vbProcedure="false">#REF!</definedName>
    <definedName function="false" hidden="false" name="GSTG" vbProcedure="false">#REF!</definedName>
    <definedName function="false" hidden="false" name="gtf" vbProcedure="false">#REF!</definedName>
    <definedName function="false" hidden="false" name="gtfr" vbProcedure="false">#REF!</definedName>
    <definedName function="false" hidden="false" name="gtr" vbProcedure="false">{"print 1",#N/A,FALSE,"PrimeCo PCS";"print 2",#N/A,FALSE,"PrimeCo PCS";"valuation",#N/A,FALSE,"PrimeCo PCS"}</definedName>
    <definedName function="false" hidden="false" name="G_Terminaux_SIM" vbProcedure="false">#REF!</definedName>
    <definedName function="false" hidden="false" name="G_Terminaux_SIM___0" vbProcedure="false">#REF!</definedName>
    <definedName function="false" hidden="false" name="G_Terminaux_SIM___12" vbProcedure="false">#REF!</definedName>
    <definedName function="false" hidden="false" name="G_Terminaux_SIM___14" vbProcedure="false">#REF!</definedName>
    <definedName function="false" hidden="false" name="G_Terminaux_SIM___16" vbProcedure="false">#REF!</definedName>
    <definedName function="false" hidden="false" name="G_Terminaux_SIM___2" vbProcedure="false">#REF!</definedName>
    <definedName function="false" hidden="false" name="G_Terminaux_SIM___26" vbProcedure="false">#REF!</definedName>
    <definedName function="false" hidden="false" name="G_Terminaux_SIM___27" vbProcedure="false">#REF!</definedName>
    <definedName function="false" hidden="false" name="G_Terminaux_SIM___5" vbProcedure="false">#REF!</definedName>
    <definedName function="false" hidden="false" name="G_Terminaux_SIM___7" vbProcedure="false">#REF!</definedName>
    <definedName function="false" hidden="false" name="G___0" vbProcedure="false">#REF!</definedName>
    <definedName function="false" hidden="false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HANNA1" vbProcedure="false">#REF!</definedName>
    <definedName function="false" hidden="false" name="HANNA2" vbProcedure="false">#REF!</definedName>
    <definedName function="false" hidden="false" name="HardCodeBaseTBF" vbProcedure="false">#REF!</definedName>
    <definedName function="false" hidden="false" name="HardCodeBaseTBF___0" vbProcedure="false">#REF!</definedName>
    <definedName function="false" hidden="false" name="HardCodeBaseTBF___12" vbProcedure="false">#REF!</definedName>
    <definedName function="false" hidden="false" name="HardCodeBaseTBF___14" vbProcedure="false">#REF!</definedName>
    <definedName function="false" hidden="false" name="HardCodeBaseTBF___16" vbProcedure="false">#REF!</definedName>
    <definedName function="false" hidden="false" name="HardCodeBaseTBF___2" vbProcedure="false">#REF!</definedName>
    <definedName function="false" hidden="false" name="HardCodeBaseTBF___25" vbProcedure="false">#REF!</definedName>
    <definedName function="false" hidden="false" name="HardCodeBaseTBF___26" vbProcedure="false">#REF!</definedName>
    <definedName function="false" hidden="false" name="HardCodeBaseTBF___27" vbProcedure="false">#REF!</definedName>
    <definedName function="false" hidden="false" name="HardCodeBaseTBF___4" vbProcedure="false">#REF!</definedName>
    <definedName function="false" hidden="false" name="HardCodeBaseTBF___5" vbProcedure="false">#REF!</definedName>
    <definedName function="false" hidden="false" name="HardCodeBaseTBF___7" vbProcedure="false">#REF!</definedName>
    <definedName function="false" hidden="false" name="HardCodedATDebtCost" vbProcedure="false">#REF!</definedName>
    <definedName function="false" hidden="false" name="HardCodedATDebtCost___16" vbProcedure="false">#REF!</definedName>
    <definedName function="false" hidden="false" name="HardCodedATDebtCost___25" vbProcedure="false">#REF!</definedName>
    <definedName function="false" hidden="false" name="HardCodedATDebtCost___4" vbProcedure="false">#REF!</definedName>
    <definedName function="false" hidden="false" name="HardCodedEquityCost" vbProcedure="false">#REF!</definedName>
    <definedName function="false" hidden="false" name="HardCodedEquityCost___0" vbProcedure="false">#REF!</definedName>
    <definedName function="false" hidden="false" name="HardCodedEquityCost___26" vbProcedure="false">#REF!</definedName>
    <definedName function="false" hidden="false" name="HardCodedEquityCost___27" vbProcedure="false">#REF!</definedName>
    <definedName function="false" hidden="false" name="HardCodedEquityCost___5" vbProcedure="false">#REF!</definedName>
    <definedName function="false" hidden="false" name="HardCodedEquityCost___7" vbProcedure="false">#REF!</definedName>
    <definedName function="false" hidden="false" name="HardCodedWACC" vbProcedure="false">#REF!</definedName>
    <definedName function="false" hidden="false" name="HardCodedWACC___0" vbProcedure="false">#REF!</definedName>
    <definedName function="false" hidden="false" name="HardCodedWACC___12" vbProcedure="false">#REF!</definedName>
    <definedName function="false" hidden="false" name="HardCodedWACC___14" vbProcedure="false">#REF!</definedName>
    <definedName function="false" hidden="false" name="HardCodedWACC___16" vbProcedure="false">#REF!</definedName>
    <definedName function="false" hidden="false" name="HardCodedWACC___2" vbProcedure="false">#REF!</definedName>
    <definedName function="false" hidden="false" name="HardCodedWACC___25" vbProcedure="false">#REF!</definedName>
    <definedName function="false" hidden="false" name="HardCodedWACC___26" vbProcedure="false">#REF!</definedName>
    <definedName function="false" hidden="false" name="HardCodedWACC___27" vbProcedure="false">#REF!</definedName>
    <definedName function="false" hidden="false" name="HardCodedWACC___4" vbProcedure="false">#REF!</definedName>
    <definedName function="false" hidden="false" name="HardCodedWACC___5" vbProcedure="false">#REF!</definedName>
    <definedName function="false" hidden="false" name="HardCodedWACC___7" vbProcedure="false">#REF!</definedName>
    <definedName function="false" hidden="false" name="hassan" vbProcedure="false">#REF!</definedName>
    <definedName function="false" hidden="false" name="HC" vbProcedure="false">#REF!</definedName>
    <definedName function="false" hidden="false" name="hdfgd" vbProcedure="false">#N/A</definedName>
    <definedName function="false" hidden="false" name="hdfsr" vbProcedure="false">#N/A</definedName>
    <definedName function="false" hidden="false" name="hdg" vbProcedure="false">#N/A</definedName>
    <definedName function="false" hidden="false" name="hdgfk" vbProcedure="false">#N/A</definedName>
    <definedName function="false" hidden="false" name="header" vbProcedure="false">#REF!</definedName>
    <definedName function="false" hidden="false" name="hegch" vbProcedure="false">hegch</definedName>
    <definedName function="false" hidden="false" name="hello" vbProcedure="false">{#N/A,#N/A,FALSE,"Cover";"outputs total",#N/A,FALSE,"Outputs"}</definedName>
    <definedName function="false" hidden="false" name="hfdgdt" vbProcedure="false">hfdgdt</definedName>
    <definedName function="false" hidden="false" name="HFG" vbProcedure="false">#N/A</definedName>
    <definedName function="false" hidden="false" name="hfgfkv" vbProcedure="false">#N/A</definedName>
    <definedName function="false" hidden="false" name="hfgjd" vbProcedure="false">hfgjd</definedName>
    <definedName function="false" hidden="false" name="hfgjdhb" vbProcedure="false">hfgjdhb</definedName>
    <definedName function="false" hidden="false" name="hfgjdk" vbProcedure="false">hfgjdk</definedName>
    <definedName function="false" hidden="false" name="hfgjkf" vbProcedure="false">#N/A</definedName>
    <definedName function="false" hidden="false" name="hfgr" vbProcedure="false">#N/A</definedName>
    <definedName function="false" hidden="false" name="hfgtd" vbProcedure="false">#N/A</definedName>
    <definedName function="false" hidden="false" name="hfgvcb" vbProcedure="false">#N/A</definedName>
    <definedName function="false" hidden="false" name="hfgyr" vbProcedure="false">#N/A</definedName>
    <definedName function="false" hidden="false" name="HFJDKHBF" vbProcedure="false">#REF!</definedName>
    <definedName function="false" hidden="false" name="hfjfh" vbProcedure="false">#N/A</definedName>
    <definedName function="false" hidden="false" name="hfjfk" vbProcedure="false">#N/A</definedName>
    <definedName function="false" hidden="false" name="hfjhfk" vbProcedure="false">hfjhfk</definedName>
    <definedName function="false" hidden="false" name="HFJHGN" vbProcedure="false">HFJHGN</definedName>
    <definedName function="false" hidden="false" name="hfsgfx" vbProcedure="false">{#N/A,#N/A,FALSE,"Outlook for Month ";#N/A,#N/A,FALSE,"Risk for Month ";#N/A,#N/A,FALSE,"Upside for Month"}</definedName>
    <definedName function="false" hidden="false" name="hgchdb" vbProcedure="false">hgchdb</definedName>
    <definedName function="false" hidden="false" name="HGDF?" vbProcedure="false">hgdf?</definedName>
    <definedName function="false" hidden="false" name="hgdsj" vbProcedure="false">hgdsj</definedName>
    <definedName function="false" hidden="false" name="hgfjd" vbProcedure="false">#N/A</definedName>
    <definedName function="false" hidden="false" name="hgfjfjfv" vbProcedure="false">hgfjfjfv</definedName>
    <definedName function="false" hidden="false" name="HGFJNB" vbProcedure="false">HGFJNB</definedName>
    <definedName function="false" hidden="false" name="HGFKJBFH" vbProcedure="false">#N/A</definedName>
    <definedName function="false" hidden="false" name="hggfdsgj" vbProcedure="false">#N/A</definedName>
    <definedName function="false" hidden="false" name="HGGVFDC" vbProcedure="false">#N/A</definedName>
    <definedName function="false" hidden="false" name="hgjdkd" vbProcedure="false">#N/A</definedName>
    <definedName function="false" hidden="false" name="hgnbh" vbProcedure="false">#N/A</definedName>
    <definedName function="false" hidden="false" name="HH" vbProcedure="false">#N/A</definedName>
    <definedName function="false" hidden="false" name="hhh" vbProcedure="false">#N/A</definedName>
    <definedName function="false" hidden="false" name="hhhhh" vbProcedure="false">#N/A</definedName>
    <definedName function="false" hidden="false" name="hhhsdf" vbProcedure="false">{"up stand alones",#N/A,FALSE,"Acquiror"}</definedName>
    <definedName function="false" hidden="false" name="hjdhf" vbProcedure="false">#N/A</definedName>
    <definedName function="false" hidden="false" name="hjkdhfgj" vbProcedure="false">hjkdhfgj</definedName>
    <definedName function="false" hidden="false" name="hjugr_o" vbProcedure="false">#N/A</definedName>
    <definedName function="false" hidden="false" name="HK" vbProcedure="false">#REF!</definedName>
    <definedName function="false" hidden="false" name="hoi" vbProcedure="false">hoi</definedName>
    <definedName function="false" hidden="false" name="honor" vbProcedure="false">#REF!</definedName>
    <definedName function="false" hidden="false" name="hqehqeh" vbProcedure="false">#N/A</definedName>
    <definedName function="false" hidden="false" name="hqerhqerh" vbProcedure="false">#N/A</definedName>
    <definedName function="false" hidden="false" name="hqethqrtj" vbProcedure="false">#N/A</definedName>
    <definedName function="false" hidden="false" name="HSFRZ" vbProcedure="false">HSFRZ</definedName>
    <definedName function="false" hidden="false" name="HSGF" vbProcedure="false">#N/A</definedName>
    <definedName function="false" hidden="false" name="ht" vbProcedure="false">#REF!</definedName>
    <definedName function="false" hidden="false" name="HTML1_1" vbProcedure="false">"'[FLASH.XLS]R74'!$B$1:$M$50"</definedName>
    <definedName function="false" hidden="false" name="HTML1_10" vbProcedure="false">""</definedName>
    <definedName function="false" hidden="false" name="HTML1_11" vbProcedure="false">1</definedName>
    <definedName function="false" hidden="false" name="HTML1_12" vbProcedure="false">"C:\AUCTION\FLASH\MYHTML.HTM"</definedName>
    <definedName function="false" hidden="false" name="HTML1_2" vbProcedure="false">1</definedName>
    <definedName function="false" hidden="false" name="HTML1_3" vbProcedure="false">"FLASH"</definedName>
    <definedName function="false" hidden="false" name="HTML1_4" vbProcedure="false">"Flash Round 74"</definedName>
    <definedName function="false" hidden="false" name="HTML1_5" vbProcedure="false">"Wednesday April 3, 1996"</definedName>
    <definedName function="false" hidden="false" name="HTML1_6" vbProcedure="false">1</definedName>
    <definedName function="false" hidden="false" name="HTML1_7" vbProcedure="false">1</definedName>
    <definedName function="false" hidden="false" name="HTML1_8" vbProcedure="false">"4/3/96"</definedName>
    <definedName function="false" hidden="false" name="HTML1_9" vbProcedure="false">"Ken Hamel"</definedName>
    <definedName function="false" hidden="false" name="HTMLCount" vbProcedure="false">1</definedName>
    <definedName function="false" hidden="false" name="HTML_CodePage" vbProcedure="false">1252</definedName>
    <definedName function="false" hidden="false" name="HTML_Control" vbProcedure="false">{"' calendrier 2000'!$A$1:$Q$38"}</definedName>
    <definedName function="false" hidden="false" name="HTML_Control2" vbProcedure="false">{"' calendrier 2000'!$A$1:$Q$38"}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"calendrier 2000"</definedName>
    <definedName function="false" hidden="false" name="HTML_LastUpdate" vbProcedure="false">"06/04/00"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"LEMAITRE Thierry"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"K:\Divers\MonHTML.htm"</definedName>
    <definedName function="false" hidden="false" name="HTML_Title" vbProcedure="false">"calendrier 2000"</definedName>
    <definedName function="false" hidden="false" name="HUF" vbProcedure="false">#REF!</definedName>
    <definedName function="false" hidden="false" name="hughfj" vbProcedure="false">#N/A</definedName>
    <definedName function="false" hidden="false" name="H_Roaming_Internat" vbProcedure="false">#REF!</definedName>
    <definedName function="false" hidden="false" name="H_Roaming_Internat___0" vbProcedure="false">#REF!</definedName>
    <definedName function="false" hidden="false" name="H_Roaming_Internat___12" vbProcedure="false">#REF!</definedName>
    <definedName function="false" hidden="false" name="H_Roaming_Internat___14" vbProcedure="false">#REF!</definedName>
    <definedName function="false" hidden="false" name="H_Roaming_Internat___16" vbProcedure="false">#REF!</definedName>
    <definedName function="false" hidden="false" name="H_Roaming_Internat___2" vbProcedure="false">#REF!</definedName>
    <definedName function="false" hidden="false" name="H_Roaming_Internat___26" vbProcedure="false">#REF!</definedName>
    <definedName function="false" hidden="false" name="H_Roaming_Internat___27" vbProcedure="false">#REF!</definedName>
    <definedName function="false" hidden="false" name="H_Roaming_Internat___5" vbProcedure="false">#REF!</definedName>
    <definedName function="false" hidden="false" name="H_Roaming_Internat___7" vbProcedure="false">#REF!</definedName>
    <definedName function="false" hidden="false" name="héhé" vbProcedure="false">#N/A</definedName>
    <definedName function="false" hidden="false" name="héhé___0" vbProcedure="false">VolFactor___5/#REF!</definedName>
    <definedName function="false" hidden="false" name="héhé___12" vbProcedure="false">NA()</definedName>
    <definedName function="false" hidden="false" name="héhé___14" vbProcedure="false">VolFactor___16/#REF!</definedName>
    <definedName function="false" hidden="false" name="héhé___16" vbProcedure="false">VLastRowToPrint___7/#REF!</definedName>
    <definedName function="false" hidden="false" name="héhé___2" vbProcedure="false">NA()</definedName>
    <definedName function="false" hidden="false" name="héhé___23" vbProcedure="false">VolFactor___5/#REF!</definedName>
    <definedName function="false" hidden="false" name="héhé___26" vbProcedure="false">VolFactor___5/#REF!</definedName>
    <definedName function="false" hidden="false" name="héhé___27" vbProcedure="false">VolFactor___14/#REF!</definedName>
    <definedName function="false" hidden="false" name="héhé___4" vbProcedure="false">VLastRowToPrint___0/#REF!</definedName>
    <definedName function="false" hidden="false" name="héhé___5" vbProcedure="false">VolFactor___2/#REF!</definedName>
    <definedName function="false" hidden="false" name="héhé___6" vbProcedure="false">NA()</definedName>
    <definedName function="false" hidden="false" name="héhé___7" vbProcedure="false">VolFactor___5/#REF!</definedName>
    <definedName function="false" hidden="false" name="héhé___9" vbProcedure="false">VolFactor___5/#REF!</definedName>
    <definedName function="false" hidden="false" name="I" vbProcedure="false">#REF!</definedName>
    <definedName function="false" hidden="false" name="iflyl" vbProcedure="false">#N/A</definedName>
    <definedName function="false" hidden="false" name="ik" vbProcedure="false">{"casespecific",#N/A,FALSE,"Assumptions"}</definedName>
    <definedName function="false" hidden="false" name="IM" vbProcedure="false">IM</definedName>
    <definedName function="false" hidden="false" name="immo" vbProcedure="false">#REF!</definedName>
    <definedName function="false" hidden="false" name="immodiv" vbProcedure="false">#REF!</definedName>
    <definedName function="false" hidden="false" name="ImportFile" vbProcedure="false">ImportFile</definedName>
    <definedName function="false" hidden="false" name="ImportFile___0" vbProcedure="false">ISPctList___2</definedName>
    <definedName function="false" hidden="false" name="ISPctList___2" vbProcedure="false">#REF!</definedName>
    <definedName function="false" hidden="false" name="ImportFile___14" vbProcedure="false">ISPctChoice___7</definedName>
    <definedName function="false" hidden="false" name="ISPctChoice___7" vbProcedure="false">#REF!</definedName>
    <definedName function="false" hidden="false" name="ImportFile___16" vbProcedure="false">ISPctChoice___2</definedName>
    <definedName function="false" hidden="false" name="ISPctChoice___2" vbProcedure="false">#REF!</definedName>
    <definedName function="false" hidden="false" name="ImportFile___2" vbProcedure="false">ISPctChoice___0</definedName>
    <definedName function="false" hidden="false" name="ISPctChoice___0" vbProcedure="false">#REF!</definedName>
    <definedName function="false" hidden="false" name="ImportFile___23" vbProcedure="false">ISPctChoice___14</definedName>
    <definedName function="false" hidden="false" name="ISPctChoice___14" vbProcedure="false">#REF!</definedName>
    <definedName function="false" hidden="false" name="ImportFile___25" vbProcedure="false">ISPctChoice___27</definedName>
    <definedName function="false" hidden="false" name="ISPctChoice___27" vbProcedure="false">#REF!</definedName>
    <definedName function="false" hidden="false" name="ImportFile___26" vbProcedure="false">ISPctList___25</definedName>
    <definedName function="false" hidden="false" name="ISPctList___25" vbProcedure="false">#REF!</definedName>
    <definedName function="false" hidden="false" name="ImportFile___27" vbProcedure="false">ISPctList___16</definedName>
    <definedName function="false" hidden="false" name="ISPctList___16" vbProcedure="false">#REF!</definedName>
    <definedName function="false" hidden="false" name="ImportFile___3" vbProcedure="false">ISPctChoice___26</definedName>
    <definedName function="false" hidden="false" name="ISPctChoice___26" vbProcedure="false">#REF!</definedName>
    <definedName function="false" hidden="false" name="ImportFile___4" vbProcedure="false">ISPctChoice___12</definedName>
    <definedName function="false" hidden="false" name="ISPctChoice___12" vbProcedure="false">#REF!</definedName>
    <definedName function="false" hidden="false" name="ImportFile___5" vbProcedure="false">ISPctList___4</definedName>
    <definedName function="false" hidden="false" name="ISPctList___4" vbProcedure="false">#REF!</definedName>
    <definedName function="false" hidden="false" name="ImportFile___6" vbProcedure="false">ISPctChoice___25</definedName>
    <definedName function="false" hidden="false" name="ISPctChoice___25" vbProcedure="false">#REF!</definedName>
    <definedName function="false" hidden="false" name="ImportFile___7" vbProcedure="false">ISPctList___14</definedName>
    <definedName function="false" hidden="false" name="ISPctList___14" vbProcedure="false">#REF!</definedName>
    <definedName function="false" hidden="false" name="ImportFile___9" vbProcedure="false">ISPctChoice___5</definedName>
    <definedName function="false" hidden="false" name="ISPctChoice___5" vbProcedure="false">#REF!</definedName>
    <definedName function="false" hidden="false" name="Impres_titres_MI" vbProcedure="false">#REF!</definedName>
    <definedName function="false" hidden="false" name="Impres_titres_MI___0" vbProcedure="false">NA()</definedName>
    <definedName function="false" hidden="false" name="Impres_titres_MI___12" vbProcedure="false">#REF!</definedName>
    <definedName function="false" hidden="false" name="Impres_titres_MI___2" vbProcedure="false">#REF!</definedName>
    <definedName function="false" hidden="false" name="Impres_titres_MI___25" vbProcedure="false">#REF!</definedName>
    <definedName function="false" hidden="false" name="Impres_titres_MI___26" vbProcedure="false">#REF!</definedName>
    <definedName function="false" hidden="false" name="Impres_titres_MI___27" vbProcedure="false">NA()</definedName>
    <definedName function="false" hidden="false" name="Impres_titres_MI___4" vbProcedure="false">#REF!</definedName>
    <definedName function="false" hidden="false" name="Impres_titres_MI___5" vbProcedure="false">NA()</definedName>
    <definedName function="false" hidden="false" name="Impres_titres_MI___6" vbProcedure="false">#REF!</definedName>
    <definedName function="false" hidden="false" name="Impres_titres_MI___7" vbProcedure="false">#REF!</definedName>
    <definedName function="false" hidden="false" name="INCIT" vbProcedure="false">#N/A</definedName>
    <definedName function="false" hidden="false" name="inddd" vbProcedure="false">#REF!</definedName>
    <definedName function="false" hidden="false" name="INSUR" vbProcedure="false">#REF!</definedName>
    <definedName function="false" hidden="false" name="INTEREST" vbProcedure="false">#REF!</definedName>
    <definedName function="false" hidden="false" name="inv" vbProcedure="false">[0]!tx_intérêt_par_an/#REF!</definedName>
    <definedName function="false" hidden="false" name="INVENTORY_PRIOR_MONTH" vbProcedure="false">#REF!</definedName>
    <definedName function="false" hidden="false" name="INVEST" vbProcedure="false">#N/A</definedName>
    <definedName function="false" hidden="false" name="inv___0" vbProcedure="false">VolFactor___5/#REF!</definedName>
    <definedName function="false" hidden="false" name="inv___12" vbProcedure="false">VolFactor___25/#REF!</definedName>
    <definedName function="false" hidden="false" name="inv___14" vbProcedure="false">VolFactor___16/#REF!</definedName>
    <definedName function="false" hidden="false" name="inv___16" vbProcedure="false">VLastRowToPrint___7/#REF!</definedName>
    <definedName function="false" hidden="false" name="inv___2" vbProcedure="false">VolFactor___4/#REF!</definedName>
    <definedName function="false" hidden="false" name="inv___23" vbProcedure="false">VolFactor___5/#REF!</definedName>
    <definedName function="false" hidden="false" name="inv___26" vbProcedure="false">VolFactor___12/#REF!</definedName>
    <definedName function="false" hidden="false" name="inv___27" vbProcedure="false">VolFactor___14/#REF!</definedName>
    <definedName function="false" hidden="false" name="inv___3" vbProcedure="false">VolFactor___5/#REF!</definedName>
    <definedName function="false" hidden="false" name="inv___4" vbProcedure="false">VLastRowToPrint___0/#REF!</definedName>
    <definedName function="false" hidden="false" name="inv___5" vbProcedure="false">VolFactor___2/#REF!</definedName>
    <definedName function="false" hidden="false" name="inv___6" vbProcedure="false">VLastRowToPrint___26/#REF!</definedName>
    <definedName function="false" hidden="false" name="inv___7" vbProcedure="false">VolFactor___27/#REF!</definedName>
    <definedName function="false" hidden="false" name="inv___9" vbProcedure="false">VolFactor___5/#REF!</definedName>
    <definedName function="false" hidden="false" name="io" vbProcedure="false">{#N/A,#N/A,FALSE,"Contribution Analysis"}</definedName>
    <definedName function="false" hidden="false" name="iouirtrt" vbProcedure="false">#REF!</definedName>
    <definedName function="false" hidden="false" name="IQ_ACCOUNTS_PAY" vbProcedure="false">"c32"</definedName>
    <definedName function="false" hidden="false" name="IQ_ACCOUNT_CHANGE" vbProcedure="false">"c413"</definedName>
    <definedName function="false" hidden="false" name="IQ_ACCRUED_EXP" vbProcedure="false">"c8"</definedName>
    <definedName function="false" hidden="false" name="IQ_ACCR_INT_PAY" vbProcedure="false">"c1"</definedName>
    <definedName function="false" hidden="false" name="IQ_ACCR_INT_PAY_CF" vbProcedure="false">"c2"</definedName>
    <definedName function="false" hidden="false" name="IQ_ACCR_INT_RECEIV" vbProcedure="false">"c3"</definedName>
    <definedName function="false" hidden="false" name="IQ_ACCR_INT_RECEIV_CF" vbProcedure="false">"c4"</definedName>
    <definedName function="false" hidden="false" name="IQ_ACCUM_DEP" vbProcedure="false">"c7"</definedName>
    <definedName function="false" hidden="false" name="IQ_ACQUIRE_REAL_ESTATE_CF" vbProcedure="false">"c6"</definedName>
    <definedName function="false" hidden="false" name="IQ_ACQUISITION_RE_ASSETS" vbProcedure="false">"c1628"</definedName>
    <definedName function="false" hidden="false" name="IQ_ACQ_COSTS_CAPITALIZED" vbProcedure="false">"c5"</definedName>
    <definedName function="false" hidden="false" name="IQ_AD" vbProcedure="false">"c7"</definedName>
    <definedName function="false" hidden="false" name="IQ_ADD_PAID_IN" vbProcedure="false">"c39"</definedName>
    <definedName function="false" hidden="false" name="IQ_ADVERTISING_MARKETING" vbProcedure="false">"c1566"</definedName>
    <definedName function="false" hidden="false" name="IQ_AE" vbProcedure="false">"c8"</definedName>
    <definedName function="false" hidden="false" name="IQ_AE_BNK" vbProcedure="false">"c9"</definedName>
    <definedName function="false" hidden="false" name="IQ_AE_BR" vbProcedure="false">"c10"</definedName>
    <definedName function="false" hidden="false" name="IQ_AE_FIN" vbProcedure="false">"c11"</definedName>
    <definedName function="false" hidden="false" name="IQ_AE_INS" vbProcedure="false">"c12"</definedName>
    <definedName function="false" hidden="false" name="IQ_AE_REIT" vbProcedure="false">"c13"</definedName>
    <definedName function="false" hidden="false" name="IQ_AE_UTI" vbProcedure="false">"c14"</definedName>
    <definedName function="false" hidden="false" name="IQ_ALLOWANCE_10YR_ANN_GROWTH" vbProcedure="false">"c18"</definedName>
    <definedName function="false" hidden="false" name="IQ_ALLOWANCE_1YR_ANN_GROWTH" vbProcedure="false">"c19"</definedName>
    <definedName function="false" hidden="false" name="IQ_ALLOWANCE_2YR_ANN_GROWTH" vbProcedure="false">"c20"</definedName>
    <definedName function="false" hidden="false" name="IQ_ALLOWANCE_3YR_ANN_GROWTH" vbProcedure="false">"c21"</definedName>
    <definedName function="false" hidden="false" name="IQ_ALLOWANCE_5YR_ANN_GROWTH" vbProcedure="false">"c22"</definedName>
    <definedName function="false" hidden="false" name="IQ_ALLOWANCE_7YR_ANN_GROWTH" vbProcedure="false">"c23"</definedName>
    <definedName function="false" hidden="false" name="IQ_ALLOWANCE_CHARGE_OFFS" vbProcedure="false">"c24"</definedName>
    <definedName function="false" hidden="false" name="IQ_ALLOWANCE_NON_PERF_LOANS" vbProcedure="false">"c25"</definedName>
    <definedName function="false" hidden="false" name="IQ_ALLOWANCE_TOTAL_LOANS" vbProcedure="false">"c26"</definedName>
    <definedName function="false" hidden="false" name="IQ_ALLOW_BORROW_CONST" vbProcedure="false">"c15"</definedName>
    <definedName function="false" hidden="false" name="IQ_ALLOW_CONST" vbProcedure="false">"c16"</definedName>
    <definedName function="false" hidden="false" name="IQ_ALLOW_EQUITY_CONST" vbProcedure="false">"c16"</definedName>
    <definedName function="false" hidden="false" name="IQ_ALLOW_LL" vbProcedure="false">"c17"</definedName>
    <definedName function="false" hidden="false" name="IQ_AMORTIZATION" vbProcedure="false">"c1471"</definedName>
    <definedName function="false" hidden="false" name="IQ_ANNUALIZED_DIVIDEND" vbProcedure="false">"c1579"</definedName>
    <definedName function="false" hidden="false" name="IQ_ANNUITY_LIAB" vbProcedure="false">"c27"</definedName>
    <definedName function="false" hidden="false" name="IQ_ANNUITY_PAY" vbProcedure="false">"c28"</definedName>
    <definedName function="false" hidden="false" name="IQ_ANNUITY_POLICY_EXP" vbProcedure="false">"c29"</definedName>
    <definedName function="false" hidden="false" name="IQ_ANNUITY_REC" vbProcedure="false">"c30"</definedName>
    <definedName function="false" hidden="false" name="IQ_ANNUITY_REV" vbProcedure="false">"c31"</definedName>
    <definedName function="false" hidden="false" name="IQ_AP" vbProcedure="false">"c32"</definedName>
    <definedName function="false" hidden="false" name="IQ_APIC" vbProcedure="false">"c39"</definedName>
    <definedName function="false" hidden="false" name="IQ_AP_BNK" vbProcedure="false">"c33"</definedName>
    <definedName function="false" hidden="false" name="IQ_AP_BR" vbProcedure="false">"c34"</definedName>
    <definedName function="false" hidden="false" name="IQ_AP_FIN" vbProcedure="false">"c35"</definedName>
    <definedName function="false" hidden="false" name="IQ_AP_INS" vbProcedure="false">"c36"</definedName>
    <definedName function="false" hidden="false" name="IQ_AP_REIT" vbProcedure="false">"c37"</definedName>
    <definedName function="false" hidden="false" name="IQ_AP_UTI" vbProcedure="false">"c38"</definedName>
    <definedName function="false" hidden="false" name="IQ_AR" vbProcedure="false">"c40"</definedName>
    <definedName function="false" hidden="false" name="IQ_AR_BR" vbProcedure="false">"c41"</definedName>
    <definedName function="false" hidden="false" name="IQ_AR_LT" vbProcedure="false">"c42"</definedName>
    <definedName function="false" hidden="false" name="IQ_AR_REIT" vbProcedure="false">"c43"</definedName>
    <definedName function="false" hidden="false" name="IQ_AR_TURNS" vbProcedure="false">"c44"</definedName>
    <definedName function="false" hidden="false" name="IQ_AR_UTI" vbProcedure="false">"c45"</definedName>
    <definedName function="false" hidden="false" name="IQ_ASSET_MGMT_FEE" vbProcedure="false">"c46"</definedName>
    <definedName function="false" hidden="false" name="IQ_ASSET_TURNS" vbProcedure="false">"c47"</definedName>
    <definedName function="false" hidden="false" name="IQ_ASSET_WRITEDOWN" vbProcedure="false">"c48"</definedName>
    <definedName function="false" hidden="false" name="IQ_ASSET_WRITEDOWN_BNK" vbProcedure="false">"c49"</definedName>
    <definedName function="false" hidden="false" name="IQ_ASSET_WRITEDOWN_BR" vbProcedure="false">"c50"</definedName>
    <definedName function="false" hidden="false" name="IQ_ASSET_WRITEDOWN_CF" vbProcedure="false">"c51"</definedName>
    <definedName function="false" hidden="false" name="IQ_ASSET_WRITEDOWN_CF_BNK" vbProcedure="false">"c52"</definedName>
    <definedName function="false" hidden="false" name="IQ_ASSET_WRITEDOWN_CF_BR" vbProcedure="false">"c53"</definedName>
    <definedName function="false" hidden="false" name="IQ_ASSET_WRITEDOWN_CF_FIN" vbProcedure="false">"c54"</definedName>
    <definedName function="false" hidden="false" name="IQ_ASSET_WRITEDOWN_CF_INS" vbProcedure="false">"c55"</definedName>
    <definedName function="false" hidden="false" name="IQ_ASSET_WRITEDOWN_CF_REIT" vbProcedure="false">"c56"</definedName>
    <definedName function="false" hidden="false" name="IQ_ASSET_WRITEDOWN_CF_UTI" vbProcedure="false">"c57"</definedName>
    <definedName function="false" hidden="false" name="IQ_ASSET_WRITEDOWN_FIN" vbProcedure="false">"c58"</definedName>
    <definedName function="false" hidden="false" name="IQ_ASSET_WRITEDOWN_INS" vbProcedure="false">"c59"</definedName>
    <definedName function="false" hidden="false" name="IQ_ASSET_WRITEDOWN_REIT" vbProcedure="false">"c60"</definedName>
    <definedName function="false" hidden="false" name="IQ_ASSET_WRITEDOWN_UTI" vbProcedure="false">"c61"</definedName>
    <definedName function="false" hidden="false" name="IQ_AUDITOR_NAME" vbProcedure="false">"c1539"</definedName>
    <definedName function="false" hidden="false" name="IQ_AUDITOR_OPINION" vbProcedure="false">"c1540"</definedName>
    <definedName function="false" hidden="false" name="IQ_AUTO_WRITTEN" vbProcedure="false">"c62"</definedName>
    <definedName function="false" hidden="false" name="IQ_AVG_BROKER_REC" vbProcedure="false">"c63"</definedName>
    <definedName function="false" hidden="false" name="IQ_AVG_BROKER_REC_NO" vbProcedure="false">"c64"</definedName>
    <definedName function="false" hidden="false" name="IQ_AVG_DAILY_VOL" vbProcedure="false">"c65"</definedName>
    <definedName function="false" hidden="false" name="IQ_AVG_INT_BEAR_LIAB" vbProcedure="false">"c66"</definedName>
    <definedName function="false" hidden="false" name="IQ_AVG_INT_BEAR_LIAB_10YR_ANN_GROWTH" vbProcedure="false">"c67"</definedName>
    <definedName function="false" hidden="false" name="IQ_AVG_INT_BEAR_LIAB_1YR_ANN_GROWTH" vbProcedure="false">"c68"</definedName>
    <definedName function="false" hidden="false" name="IQ_AVG_INT_BEAR_LIAB_2YR_ANN_GROWTH" vbProcedure="false">"c69"</definedName>
    <definedName function="false" hidden="false" name="IQ_AVG_INT_BEAR_LIAB_3YR_ANN_GROWTH" vbProcedure="false">"c70"</definedName>
    <definedName function="false" hidden="false" name="IQ_AVG_INT_BEAR_LIAB_5YR_ANN_GROWTH" vbProcedure="false">"c71"</definedName>
    <definedName function="false" hidden="false" name="IQ_AVG_INT_BEAR_LIAB_7YR_ANN_GROWTH" vbProcedure="false">"c72"</definedName>
    <definedName function="false" hidden="false" name="IQ_AVG_INT_EARN_ASSETS" vbProcedure="false">"c73"</definedName>
    <definedName function="false" hidden="false" name="IQ_AVG_INT_EARN_ASSETS_10YR_ANN_GROWTH" vbProcedure="false">"c74"</definedName>
    <definedName function="false" hidden="false" name="IQ_AVG_INT_EARN_ASSETS_1YR_ANN_GROWTH" vbProcedure="false">"c75"</definedName>
    <definedName function="false" hidden="false" name="IQ_AVG_INT_EARN_ASSETS_2YR_ANN_GROWTH" vbProcedure="false">"c76"</definedName>
    <definedName function="false" hidden="false" name="IQ_AVG_INT_EARN_ASSETS_3YR_ANN_GROWTH" vbProcedure="false">"c77"</definedName>
    <definedName function="false" hidden="false" name="IQ_AVG_INT_EARN_ASSETS_5YR_ANN_GROWTH" vbProcedure="false">"c78"</definedName>
    <definedName function="false" hidden="false" name="IQ_AVG_INT_EARN_ASSETS_7YR_ANN_GROWTH" vbProcedure="false">"c79"</definedName>
    <definedName function="false" hidden="false" name="IQ_AVG_MKTCAP" vbProcedure="false">"c80"</definedName>
    <definedName function="false" hidden="false" name="IQ_AVG_PRICE" vbProcedure="false">"c81"</definedName>
    <definedName function="false" hidden="false" name="IQ_AVG_PRICE_TARGET" vbProcedure="false">"c82"</definedName>
    <definedName function="false" hidden="false" name="IQ_AVG_SHAREOUTSTANDING" vbProcedure="false">"c83"</definedName>
    <definedName function="false" hidden="false" name="IQ_AVG_TEV" vbProcedure="false">"c84"</definedName>
    <definedName function="false" hidden="false" name="IQ_AVG_VOLUME" vbProcedure="false">"c65"</definedName>
    <definedName function="false" hidden="false" name="IQ_BASIC_EPS_EXCL" vbProcedure="false">"c85"</definedName>
    <definedName function="false" hidden="false" name="IQ_BASIC_EPS_INCL" vbProcedure="false">"c86"</definedName>
    <definedName function="false" hidden="false" name="IQ_BASIC_NORMAL_EPS" vbProcedure="false">"c1592"</definedName>
    <definedName function="false" hidden="false" name="IQ_BASIC_WEIGHT" vbProcedure="false">"c87"</definedName>
    <definedName function="false" hidden="false" name="IQ_BETA" vbProcedure="false">"c88"</definedName>
    <definedName function="false" hidden="false" name="IQ_BIG_INT_BEAR_CD" vbProcedure="false">"c89"</definedName>
    <definedName function="false" hidden="false" name="IQ_BOARD_MEMBER" vbProcedure="false">"c96"</definedName>
    <definedName function="false" hidden="false" name="IQ_BOARD_MEMBER_TITLE" vbProcedure="false">"c97"</definedName>
    <definedName function="false" hidden="false" name="IQ_BROK_COMISSION" vbProcedure="false">"c98"</definedName>
    <definedName function="false" hidden="false" name="IQ_BUILDINGS" vbProcedure="false">"c99"</definedName>
    <definedName function="false" hidden="false" name="IQ_BUSINESS_DESCRIPTION" vbProcedure="false">"c322"</definedName>
    <definedName function="false" hidden="false" name="IQ_BV_OVER_SHARES" vbProcedure="false">"c100"</definedName>
    <definedName function="false" hidden="false" name="IQ_BV_SHARE" vbProcedure="false">"c100"</definedName>
    <definedName function="false" hidden="false" name="IQ_CAL_Q" vbProcedure="false">"c101"</definedName>
    <definedName function="false" hidden="false" name="IQ_CAL_Y" vbProcedure="false">"c102"</definedName>
    <definedName function="false" hidden="false" name="IQ_CAPEX" vbProcedure="false">"c103"</definedName>
    <definedName function="false" hidden="false" name="IQ_CAPEX_10YR_ANN_GROWTH" vbProcedure="false">"c104"</definedName>
    <definedName function="false" hidden="false" name="IQ_CAPEX_1YR_ANN_GROWTH" vbProcedure="false">"c105"</definedName>
    <definedName function="false" hidden="false" name="IQ_CAPEX_2YR_ANN_GROWTH" vbProcedure="false">"c106"</definedName>
    <definedName function="false" hidden="false" name="IQ_CAPEX_3YR_ANN_GROWTH" vbProcedure="false">"c107"</definedName>
    <definedName function="false" hidden="false" name="IQ_CAPEX_5YR_ANN_GROWTH" vbProcedure="false">"c108"</definedName>
    <definedName function="false" hidden="false" name="IQ_CAPEX_7YR_ANN_GROWTH" vbProcedure="false">"c109"</definedName>
    <definedName function="false" hidden="false" name="IQ_CAPEX_BNK" vbProcedure="false">"c110"</definedName>
    <definedName function="false" hidden="false" name="IQ_CAPEX_BR" vbProcedure="false">"c111"</definedName>
    <definedName function="false" hidden="false" name="IQ_CAPEX_FIN" vbProcedure="false">"c112"</definedName>
    <definedName function="false" hidden="false" name="IQ_CAPEX_INS" vbProcedure="false">"c113"</definedName>
    <definedName function="false" hidden="false" name="IQ_CAPEX_UTI" vbProcedure="false">"c114"</definedName>
    <definedName function="false" hidden="false" name="IQ_CAPITAL_LEASE" vbProcedure="false">"c115"</definedName>
    <definedName function="false" hidden="false" name="IQ_CAPITAL_LEASES" vbProcedure="false">"c115"</definedName>
    <definedName function="false" hidden="false" name="IQ_CASH" vbProcedure="false">"c118"</definedName>
    <definedName function="false" hidden="false" name="IQ_CASH_ACQUIRE_CF" vbProcedure="false">"c1630"</definedName>
    <definedName function="false" hidden="false" name="IQ_CASH_CONVERSION" vbProcedure="false">"c117"</definedName>
    <definedName function="false" hidden="false" name="IQ_CASH_DUE_BANKS" vbProcedure="false">"c118"</definedName>
    <definedName function="false" hidden="false" name="IQ_CASH_EQUIV" vbProcedure="false">"c118"</definedName>
    <definedName function="false" hidden="false" name="IQ_CASH_FINAN" vbProcedure="false">"c119"</definedName>
    <definedName function="false" hidden="false" name="IQ_CASH_INTEREST" vbProcedure="false">"c120"</definedName>
    <definedName function="false" hidden="false" name="IQ_CASH_INVEST" vbProcedure="false">"c121"</definedName>
    <definedName function="false" hidden="false" name="IQ_CASH_OPER" vbProcedure="false">"c122"</definedName>
    <definedName function="false" hidden="false" name="IQ_CASH_SEGREG" vbProcedure="false">"c123"</definedName>
    <definedName function="false" hidden="false" name="IQ_CASH_ST" vbProcedure="false">"c124"</definedName>
    <definedName function="false" hidden="false" name="IQ_CASH_ST_INVEST" vbProcedure="false">"c124"</definedName>
    <definedName function="false" hidden="false" name="IQ_CASH_TAXES" vbProcedure="false">"c125"</definedName>
    <definedName function="false" hidden="false" name="IQ_CFO_10YR_ANN_GROWTH" vbProcedure="false">"c126"</definedName>
    <definedName function="false" hidden="false" name="IQ_CFO_1YR_ANN_GROWTH" vbProcedure="false">"c127"</definedName>
    <definedName function="false" hidden="false" name="IQ_CFO_2YR_ANN_GROWTH" vbProcedure="false">"c128"</definedName>
    <definedName function="false" hidden="false" name="IQ_CFO_3YR_ANN_GROWTH" vbProcedure="false">"c129"</definedName>
    <definedName function="false" hidden="false" name="IQ_CFO_5YR_ANN_GROWTH" vbProcedure="false">"c130"</definedName>
    <definedName function="false" hidden="false" name="IQ_CFO_7YR_ANN_GROWTH" vbProcedure="false">"c131"</definedName>
    <definedName function="false" hidden="false" name="IQ_CFO_CURRENT_LIAB" vbProcedure="false">"c132"</definedName>
    <definedName function="false" hidden="false" name="IQ_CHANGES_WORK_CAP" vbProcedure="false">"c161"</definedName>
    <definedName function="false" hidden="false" name="IQ_CHANGE_AP" vbProcedure="false">"c133"</definedName>
    <definedName function="false" hidden="false" name="IQ_CHANGE_AP_BNK" vbProcedure="false">"c134"</definedName>
    <definedName function="false" hidden="false" name="IQ_CHANGE_AP_BR" vbProcedure="false">"c135"</definedName>
    <definedName function="false" hidden="false" name="IQ_CHANGE_AP_FIN" vbProcedure="false">"c136"</definedName>
    <definedName function="false" hidden="false" name="IQ_CHANGE_AP_INS" vbProcedure="false">"c137"</definedName>
    <definedName function="false" hidden="false" name="IQ_CHANGE_AP_REIT" vbProcedure="false">"c138"</definedName>
    <definedName function="false" hidden="false" name="IQ_CHANGE_AP_UTI" vbProcedure="false">"c139"</definedName>
    <definedName function="false" hidden="false" name="IQ_CHANGE_AR" vbProcedure="false">"c140"</definedName>
    <definedName function="false" hidden="false" name="IQ_CHANGE_AR_BNK" vbProcedure="false">"c141"</definedName>
    <definedName function="false" hidden="false" name="IQ_CHANGE_AR_BR" vbProcedure="false">"c142"</definedName>
    <definedName function="false" hidden="false" name="IQ_CHANGE_AR_FIN" vbProcedure="false">"c143"</definedName>
    <definedName function="false" hidden="false" name="IQ_CHANGE_AR_INS" vbProcedure="false">"c144"</definedName>
    <definedName function="false" hidden="false" name="IQ_CHANGE_AR_REIT" vbProcedure="false">"c145"</definedName>
    <definedName function="false" hidden="false" name="IQ_CHANGE_AR_UTI" vbProcedure="false">"c146"</definedName>
    <definedName function="false" hidden="false" name="IQ_CHANGE_DEF_TAX" vbProcedure="false">"c147"</definedName>
    <definedName function="false" hidden="false" name="IQ_CHANGE_DEPOSIT_ACCT" vbProcedure="false">"c148"</definedName>
    <definedName function="false" hidden="false" name="IQ_CHANGE_INC_TAX" vbProcedure="false">"c149"</definedName>
    <definedName function="false" hidden="false" name="IQ_CHANGE_INS_RES_LIAB" vbProcedure="false">"c150"</definedName>
    <definedName function="false" hidden="false" name="IQ_CHANGE_INVENTORY" vbProcedure="false">"c151"</definedName>
    <definedName function="false" hidden="false" name="IQ_CHANGE_OTHER_WORK_CAP" vbProcedure="false">"c152"</definedName>
    <definedName function="false" hidden="false" name="IQ_CHANGE_OTHER_WORK_CAP_BNK" vbProcedure="false">"c153"</definedName>
    <definedName function="false" hidden="false" name="IQ_CHANGE_OTHER_WORK_CAP_BR" vbProcedure="false">"c154"</definedName>
    <definedName function="false" hidden="false" name="IQ_CHANGE_OTHER_WORK_CAP_FIN" vbProcedure="false">"c155"</definedName>
    <definedName function="false" hidden="false" name="IQ_CHANGE_OTHER_WORK_CAP_INS" vbProcedure="false">"c156"</definedName>
    <definedName function="false" hidden="false" name="IQ_CHANGE_OTHER_WORK_CAP_REIT" vbProcedure="false">"c157"</definedName>
    <definedName function="false" hidden="false" name="IQ_CHANGE_OTHER_WORK_CAP_UTI" vbProcedure="false">"c158"</definedName>
    <definedName function="false" hidden="false" name="IQ_CHANGE_TRADING_ASSETS" vbProcedure="false">"c159"</definedName>
    <definedName function="false" hidden="false" name="IQ_CHANGE_UNEARN_REV" vbProcedure="false">"c160"</definedName>
    <definedName function="false" hidden="false" name="IQ_CHANGE_WORK_CAP" vbProcedure="false">"c161"</definedName>
    <definedName function="false" hidden="false" name="IQ_CHARGE_OFFS_GROSS" vbProcedure="false">"c162"</definedName>
    <definedName function="false" hidden="false" name="IQ_CHARGE_OFFS_NET" vbProcedure="false">"c163"</definedName>
    <definedName function="false" hidden="false" name="IQ_CHARGE_OFFS_RECOVERED" vbProcedure="false">"c164"</definedName>
    <definedName function="false" hidden="false" name="IQ_CHARGE_OFFS_TOTAL_AVG_LOANS" vbProcedure="false">"c165"</definedName>
    <definedName function="false" hidden="false" name="IQ_CITY" vbProcedure="false">"c166"</definedName>
    <definedName function="false" hidden="false" name="IQ_CLOSEPRICE" vbProcedure="false">"c174"</definedName>
    <definedName function="false" hidden="false" name="IQ_CL_DUE_AFTER_FIVE" vbProcedure="false">"c167"</definedName>
    <definedName function="false" hidden="false" name="IQ_CL_DUE_CY" vbProcedure="false">"c168"</definedName>
    <definedName function="false" hidden="false" name="IQ_CL_DUE_CY1" vbProcedure="false">"c169"</definedName>
    <definedName function="false" hidden="false" name="IQ_CL_DUE_CY2" vbProcedure="false">"c170"</definedName>
    <definedName function="false" hidden="false" name="IQ_CL_DUE_CY3" vbProcedure="false">"c171"</definedName>
    <definedName function="false" hidden="false" name="IQ_CL_DUE_CY4" vbProcedure="false">"c172"</definedName>
    <definedName function="false" hidden="false" name="IQ_CL_DUE_NEXT_FIVE" vbProcedure="false">"c173"</definedName>
    <definedName function="false" hidden="false" name="IQ_COGS" vbProcedure="false">"c175"</definedName>
    <definedName function="false" hidden="false" name="IQ_COMBINED_RATIO" vbProcedure="false">"c176"</definedName>
    <definedName function="false" hidden="false" name="IQ_COMMERCIAL_DOM" vbProcedure="false">"c177"</definedName>
    <definedName function="false" hidden="false" name="IQ_COMMERCIAL_FIRE_WRITTEN" vbProcedure="false">"c178"</definedName>
    <definedName function="false" hidden="false" name="IQ_COMMERCIAL_MORT" vbProcedure="false">"c179"</definedName>
    <definedName function="false" hidden="false" name="IQ_COMMISSION_DEF" vbProcedure="false">"c181"</definedName>
    <definedName function="false" hidden="false" name="IQ_COMMISS_FEES" vbProcedure="false">"c180"</definedName>
    <definedName function="false" hidden="false" name="IQ_COMMON" vbProcedure="false">"c182"</definedName>
    <definedName function="false" hidden="false" name="IQ_COMMON_APIC" vbProcedure="false">"c183"</definedName>
    <definedName function="false" hidden="false" name="IQ_COMMON_APIC_BNK" vbProcedure="false">"c184"</definedName>
    <definedName function="false" hidden="false" name="IQ_COMMON_APIC_BR" vbProcedure="false">"c185"</definedName>
    <definedName function="false" hidden="false" name="IQ_COMMON_APIC_FIN" vbProcedure="false">"c186"</definedName>
    <definedName function="false" hidden="false" name="IQ_COMMON_APIC_INS" vbProcedure="false">"c187"</definedName>
    <definedName function="false" hidden="false" name="IQ_COMMON_APIC_REIT" vbProcedure="false">"c188"</definedName>
    <definedName function="false" hidden="false" name="IQ_COMMON_APIC_UTI" vbProcedure="false">"c189"</definedName>
    <definedName function="false" hidden="false" name="IQ_COMMON_DIV_CF" vbProcedure="false">"c190"</definedName>
    <definedName function="false" hidden="false" name="IQ_COMMON_EQUITY_10YR_ANN_GROWTH" vbProcedure="false">"c191"</definedName>
    <definedName function="false" hidden="false" name="IQ_COMMON_EQUITY_1YR_ANN_GROWTH" vbProcedure="false">"c192"</definedName>
    <definedName function="false" hidden="false" name="IQ_COMMON_EQUITY_2YR_ANN_GROWTH" vbProcedure="false">"c193"</definedName>
    <definedName function="false" hidden="false" name="IQ_COMMON_EQUITY_3YR_ANN_GROWTH" vbProcedure="false">"c194"</definedName>
    <definedName function="false" hidden="false" name="IQ_COMMON_EQUITY_5YR_ANN_GROWTH" vbProcedure="false">"c195"</definedName>
    <definedName function="false" hidden="false" name="IQ_COMMON_EQUITY_7YR_ANN_GROWTH" vbProcedure="false">"c196"</definedName>
    <definedName function="false" hidden="false" name="IQ_COMMON_ISSUED" vbProcedure="false">"c197"</definedName>
    <definedName function="false" hidden="false" name="IQ_COMMON_ISSUED_BNK" vbProcedure="false">"c198"</definedName>
    <definedName function="false" hidden="false" name="IQ_COMMON_ISSUED_BR" vbProcedure="false">"c199"</definedName>
    <definedName function="false" hidden="false" name="IQ_COMMON_ISSUED_FIN" vbProcedure="false">"c200"</definedName>
    <definedName function="false" hidden="false" name="IQ_COMMON_ISSUED_INS" vbProcedure="false">"c201"</definedName>
    <definedName function="false" hidden="false" name="IQ_COMMON_ISSUED_REIT" vbProcedure="false">"c202"</definedName>
    <definedName function="false" hidden="false" name="IQ_COMMON_ISSUED_UTI" vbProcedure="false">"c203"</definedName>
    <definedName function="false" hidden="false" name="IQ_COMMON_PER_ADR" vbProcedure="false">"c204"</definedName>
    <definedName function="false" hidden="false" name="IQ_COMMON_PREF_DIV_CF" vbProcedure="false">"c205"</definedName>
    <definedName function="false" hidden="false" name="IQ_COMMON_REP" vbProcedure="false">"c206"</definedName>
    <definedName function="false" hidden="false" name="IQ_COMMON_REP_BNK" vbProcedure="false">"c207"</definedName>
    <definedName function="false" hidden="false" name="IQ_COMMON_REP_BR" vbProcedure="false">"c208"</definedName>
    <definedName function="false" hidden="false" name="IQ_COMMON_REP_FIN" vbProcedure="false">"c209"</definedName>
    <definedName function="false" hidden="false" name="IQ_COMMON_REP_INS" vbProcedure="false">"c210"</definedName>
    <definedName function="false" hidden="false" name="IQ_COMMON_REP_REIT" vbProcedure="false">"c211"</definedName>
    <definedName function="false" hidden="false" name="IQ_COMMON_REP_UTI" vbProcedure="false">"c212"</definedName>
    <definedName function="false" hidden="false" name="IQ_COMMON_STOCK" vbProcedure="false">"c182"</definedName>
    <definedName function="false" hidden="false" name="IQ_COMPANY_ADDRESS" vbProcedure="false">"c214"</definedName>
    <definedName function="false" hidden="false" name="IQ_COMPANY_NAME" vbProcedure="false">"c215"</definedName>
    <definedName function="false" hidden="false" name="IQ_COMPANY_NAME_LONG" vbProcedure="false">"c1585"</definedName>
    <definedName function="false" hidden="false" name="IQ_COMPANY_PHONE" vbProcedure="false">"c216"</definedName>
    <definedName function="false" hidden="false" name="IQ_COMPANY_STREET1" vbProcedure="false">"c217"</definedName>
    <definedName function="false" hidden="false" name="IQ_COMPANY_STREET2" vbProcedure="false">"c218"</definedName>
    <definedName function="false" hidden="false" name="IQ_COMPANY_TICKER" vbProcedure="false">"c219"</definedName>
    <definedName function="false" hidden="false" name="IQ_COMPANY_WEBSITE" vbProcedure="false">"c220"</definedName>
    <definedName function="false" hidden="false" name="IQ_COMPANY_ZIP" vbProcedure="false">"c221"</definedName>
    <definedName function="false" hidden="false" name="IQ_COMP_BENEFITS" vbProcedure="false">"c213"</definedName>
    <definedName function="false" hidden="false" name="IQ_CONSTRUCTION_LOANS" vbProcedure="false">"c222"</definedName>
    <definedName function="false" hidden="false" name="IQ_CONSUMER_LOANS" vbProcedure="false">"c223"</definedName>
    <definedName function="false" hidden="false" name="IQ_COST_BORROWINGS" vbProcedure="false">"c225"</definedName>
    <definedName function="false" hidden="false" name="IQ_COST_REV" vbProcedure="false">"c226"</definedName>
    <definedName function="false" hidden="false" name="IQ_COST_REVENUE" vbProcedure="false">"c226"</definedName>
    <definedName function="false" hidden="false" name="IQ_COST_SAVINGS" vbProcedure="false">"c227"</definedName>
    <definedName function="false" hidden="false" name="IQ_COST_SERVICE" vbProcedure="false">"c228"</definedName>
    <definedName function="false" hidden="false" name="IQ_COST_TOTAL_BORROWINGS" vbProcedure="false">"c229"</definedName>
    <definedName function="false" hidden="false" name="IQ_COUNTRY_NAME" vbProcedure="false">"c230"</definedName>
    <definedName function="false" hidden="false" name="IQ_CQ" vbProcedure="false">5000</definedName>
    <definedName function="false" hidden="false" name="IQ_CREDIT_CARD_FEE_BNK" vbProcedure="false">"c231"</definedName>
    <definedName function="false" hidden="false" name="IQ_CREDIT_CARD_FEE_FIN" vbProcedure="false">"c1583"</definedName>
    <definedName function="false" hidden="false" name="IQ_CREDIT_LOSS_CF" vbProcedure="false">"c232"</definedName>
    <definedName function="false" hidden="false" name="IQ_CURRENCY_FACTOR_BS" vbProcedure="false">"c233"</definedName>
    <definedName function="false" hidden="false" name="IQ_CURRENCY_FACTOR_IS" vbProcedure="false">"c234"</definedName>
    <definedName function="false" hidden="false" name="IQ_CURRENCY_GAIN" vbProcedure="false">"c235"</definedName>
    <definedName function="false" hidden="false" name="IQ_CURRENCY_GAIN_BR" vbProcedure="false">"c236"</definedName>
    <definedName function="false" hidden="false" name="IQ_CURRENCY_GAIN_FIN" vbProcedure="false">"c237"</definedName>
    <definedName function="false" hidden="false" name="IQ_CURRENCY_GAIN_INS" vbProcedure="false">"c238"</definedName>
    <definedName function="false" hidden="false" name="IQ_CURRENCY_GAIN_REIT" vbProcedure="false">"c239"</definedName>
    <definedName function="false" hidden="false" name="IQ_CURRENCY_GAIN_UTI" vbProcedure="false">"c240"</definedName>
    <definedName function="false" hidden="false" name="IQ_CURRENT_PORT" vbProcedure="false">"c241"</definedName>
    <definedName function="false" hidden="false" name="IQ_CURRENT_PORT_BNK" vbProcedure="false">"c242"</definedName>
    <definedName function="false" hidden="false" name="IQ_CURRENT_PORT_DEBT" vbProcedure="false">"c243"</definedName>
    <definedName function="false" hidden="false" name="IQ_CURRENT_PORT_DEBT_BNK" vbProcedure="false">"c244"</definedName>
    <definedName function="false" hidden="false" name="IQ_CURRENT_PORT_DEBT_BR" vbProcedure="false">"c1567"</definedName>
    <definedName function="false" hidden="false" name="IQ_CURRENT_PORT_DEBT_FIN" vbProcedure="false">"c1568"</definedName>
    <definedName function="false" hidden="false" name="IQ_CURRENT_PORT_DEBT_INS" vbProcedure="false">"c1569"</definedName>
    <definedName function="false" hidden="false" name="IQ_CURRENT_PORT_DEBT_REIT" vbProcedure="false">"c1570"</definedName>
    <definedName function="false" hidden="false" name="IQ_CURRENT_PORT_DEBT_UTI" vbProcedure="false">"c1571"</definedName>
    <definedName function="false" hidden="false" name="IQ_CURRENT_PORT_LEASES" vbProcedure="false">"c245"</definedName>
    <definedName function="false" hidden="false" name="IQ_CURRENT_RATIO" vbProcedure="false">"c246"</definedName>
    <definedName function="false" hidden="false" name="IQ_CY" vbProcedure="false">10000</definedName>
    <definedName function="false" hidden="false" name="IQ_DA" vbProcedure="false">"c247"</definedName>
    <definedName function="false" hidden="false" name="IQ_DAYS_COVER_SHORT" vbProcedure="false">"c1578"</definedName>
    <definedName function="false" hidden="false" name="IQ_DAYS_INVENTORY_OUT" vbProcedure="false">"c273"</definedName>
    <definedName function="false" hidden="false" name="IQ_DAYS_PAYABLE_OUT" vbProcedure="false">"c274"</definedName>
    <definedName function="false" hidden="false" name="IQ_DAYS_PAY_OUTST" vbProcedure="false">"c274"</definedName>
    <definedName function="false" hidden="false" name="IQ_DAYS_SALES_OUT" vbProcedure="false">"c275"</definedName>
    <definedName function="false" hidden="false" name="IQ_DAYS_SALES_OUTST" vbProcedure="false">"c275"</definedName>
    <definedName function="false" hidden="false" name="IQ_DA_BR" vbProcedure="false">"c248"</definedName>
    <definedName function="false" hidden="false" name="IQ_DA_CF" vbProcedure="false">"c249"</definedName>
    <definedName function="false" hidden="false" name="IQ_DA_CF_BNK" vbProcedure="false">"c250"</definedName>
    <definedName function="false" hidden="false" name="IQ_DA_CF_BR" vbProcedure="false">"c251"</definedName>
    <definedName function="false" hidden="false" name="IQ_DA_CF_FIN" vbProcedure="false">"c252"</definedName>
    <definedName function="false" hidden="false" name="IQ_DA_CF_INS" vbProcedure="false">"c253"</definedName>
    <definedName function="false" hidden="false" name="IQ_DA_CF_REIT" vbProcedure="false">"c254"</definedName>
    <definedName function="false" hidden="false" name="IQ_DA_CF_UTI" vbProcedure="false">"c255"</definedName>
    <definedName function="false" hidden="false" name="IQ_DA_FIN" vbProcedure="false">"c256"</definedName>
    <definedName function="false" hidden="false" name="IQ_DA_INS" vbProcedure="false">"c257"</definedName>
    <definedName function="false" hidden="false" name="IQ_DA_REIT" vbProcedure="false">"c258"</definedName>
    <definedName function="false" hidden="false" name="IQ_DA_SUPPL" vbProcedure="false">"c259"</definedName>
    <definedName function="false" hidden="false" name="IQ_DA_SUPPL_BR" vbProcedure="false">"c260"</definedName>
    <definedName function="false" hidden="false" name="IQ_DA_SUPPL_CF" vbProcedure="false">"c261"</definedName>
    <definedName function="false" hidden="false" name="IQ_DA_SUPPL_CF_BNK" vbProcedure="false">"c262"</definedName>
    <definedName function="false" hidden="false" name="IQ_DA_SUPPL_CF_BR" vbProcedure="false">"c263"</definedName>
    <definedName function="false" hidden="false" name="IQ_DA_SUPPL_CF_FIN" vbProcedure="false">"c264"</definedName>
    <definedName function="false" hidden="false" name="IQ_DA_SUPPL_CF_INS" vbProcedure="false">"c265"</definedName>
    <definedName function="false" hidden="false" name="IQ_DA_SUPPL_CF_REIT" vbProcedure="false">"c266"</definedName>
    <definedName function="false" hidden="false" name="IQ_DA_SUPPL_CF_UTI" vbProcedure="false">"c267"</definedName>
    <definedName function="false" hidden="false" name="IQ_DA_SUPPL_FIN" vbProcedure="false">"c268"</definedName>
    <definedName function="false" hidden="false" name="IQ_DA_SUPPL_INS" vbProcedure="false">"c269"</definedName>
    <definedName function="false" hidden="false" name="IQ_DA_SUPPL_REIT" vbProcedure="false">"c270"</definedName>
    <definedName function="false" hidden="false" name="IQ_DA_SUPPL_UTI" vbProcedure="false">"c271"</definedName>
    <definedName function="false" hidden="false" name="IQ_DA_UTI" vbProcedure="false">"c272"</definedName>
    <definedName function="false" hidden="false" name="IQ_DEFERRED_INC_TAX" vbProcedure="false">"c315"</definedName>
    <definedName function="false" hidden="false" name="IQ_DEFERRED_TAXES" vbProcedure="false">"c147"</definedName>
    <definedName function="false" hidden="false" name="IQ_DEF_ACQ_CST" vbProcedure="false">"c301"</definedName>
    <definedName function="false" hidden="false" name="IQ_DEF_AMORT" vbProcedure="false">"c276"</definedName>
    <definedName function="false" hidden="false" name="IQ_DEF_AMORT_BNK" vbProcedure="false">"c277"</definedName>
    <definedName function="false" hidden="false" name="IQ_DEF_AMORT_BR" vbProcedure="false">"c278"</definedName>
    <definedName function="false" hidden="false" name="IQ_DEF_AMORT_FIN" vbProcedure="false">"c279"</definedName>
    <definedName function="false" hidden="false" name="IQ_DEF_AMORT_INS" vbProcedure="false">"c280"</definedName>
    <definedName function="false" hidden="false" name="IQ_DEF_AMORT_REIT" vbProcedure="false">"c281"</definedName>
    <definedName function="false" hidden="false" name="IQ_DEF_AMORT_UTI" vbProcedure="false">"c282"</definedName>
    <definedName function="false" hidden="false" name="IQ_DEF_BENEFIT_INTEREST_COST" vbProcedure="false">"c283"</definedName>
    <definedName function="false" hidden="false" name="IQ_DEF_BENEFIT_OTHER_COST" vbProcedure="false">"c284"</definedName>
    <definedName function="false" hidden="false" name="IQ_DEF_BENEFIT_ROA" vbProcedure="false">"c285"</definedName>
    <definedName function="false" hidden="false" name="IQ_DEF_BENEFIT_SERVICE_COST" vbProcedure="false">"c286"</definedName>
    <definedName function="false" hidden="false" name="IQ_DEF_BENEFIT_TOTAL_COST" vbProcedure="false">"c287"</definedName>
    <definedName function="false" hidden="false" name="IQ_DEF_CHARGES_BR" vbProcedure="false">"c288"</definedName>
    <definedName function="false" hidden="false" name="IQ_DEF_CHARGES_CF" vbProcedure="false">"c289"</definedName>
    <definedName function="false" hidden="false" name="IQ_DEF_CHARGES_FIN" vbProcedure="false">"c290"</definedName>
    <definedName function="false" hidden="false" name="IQ_DEF_CHARGES_INS" vbProcedure="false">"c291"</definedName>
    <definedName function="false" hidden="false" name="IQ_DEF_CHARGES_LT" vbProcedure="false">"c292"</definedName>
    <definedName function="false" hidden="false" name="IQ_DEF_CHARGES_LT_BNK" vbProcedure="false">"c293"</definedName>
    <definedName function="false" hidden="false" name="IQ_DEF_CHARGES_LT_BR" vbProcedure="false">"c294"</definedName>
    <definedName function="false" hidden="false" name="IQ_DEF_CHARGES_LT_FIN" vbProcedure="false">"c295"</definedName>
    <definedName function="false" hidden="false" name="IQ_DEF_CHARGES_LT_INS" vbProcedure="false">"c296"</definedName>
    <definedName function="false" hidden="false" name="IQ_DEF_CHARGES_LT_REIT" vbProcedure="false">"c297"</definedName>
    <definedName function="false" hidden="false" name="IQ_DEF_CHARGES_LT_UTI" vbProcedure="false">"c298"</definedName>
    <definedName function="false" hidden="false" name="IQ_DEF_CHARGES_REIT" vbProcedure="false">"c299"</definedName>
    <definedName function="false" hidden="false" name="IQ_DEF_CONTRIBUTION_TOTAL_COST" vbProcedure="false">"c300"</definedName>
    <definedName function="false" hidden="false" name="IQ_DEF_INC_TAX" vbProcedure="false">"c313"</definedName>
    <definedName function="false" hidden="false" name="IQ_DEF_POLICY_ACQ_COSTS" vbProcedure="false">"c301"</definedName>
    <definedName function="false" hidden="false" name="IQ_DEF_POLICY_ACQ_COSTS_CF" vbProcedure="false">"c302"</definedName>
    <definedName function="false" hidden="false" name="IQ_DEF_POLICY_AMORT" vbProcedure="false">"c303"</definedName>
    <definedName function="false" hidden="false" name="IQ_DEF_TAX_ASSETS_CURRENT" vbProcedure="false">"c309"</definedName>
    <definedName function="false" hidden="false" name="IQ_DEF_TAX_ASSETS_LT" vbProcedure="false">"c310"</definedName>
    <definedName function="false" hidden="false" name="IQ_DEF_TAX_ASSETS_LT_BNK" vbProcedure="false">"c311"</definedName>
    <definedName function="false" hidden="false" name="IQ_DEF_TAX_ASSET_LT_BR" vbProcedure="false">"c304"</definedName>
    <definedName function="false" hidden="false" name="IQ_DEF_TAX_ASSET_LT_FIN" vbProcedure="false">"c305"</definedName>
    <definedName function="false" hidden="false" name="IQ_DEF_TAX_ASSET_LT_INS" vbProcedure="false">"c306"</definedName>
    <definedName function="false" hidden="false" name="IQ_DEF_TAX_ASSET_LT_REIT" vbProcedure="false">"c307"</definedName>
    <definedName function="false" hidden="false" name="IQ_DEF_TAX_ASSET_LT_UTI" vbProcedure="false">"c308"</definedName>
    <definedName function="false" hidden="false" name="IQ_DEF_TAX_LIAB_CURRENT" vbProcedure="false">"c312"</definedName>
    <definedName function="false" hidden="false" name="IQ_DEF_TAX_LIAB_LT" vbProcedure="false">"c313"</definedName>
    <definedName function="false" hidden="false" name="IQ_DEF_TAX_LIAB_LT_BNK" vbProcedure="false">"c314"</definedName>
    <definedName function="false" hidden="false" name="IQ_DEF_TAX_LIAB_LT_BR" vbProcedure="false">"c315"</definedName>
    <definedName function="false" hidden="false" name="IQ_DEF_TAX_LIAB_LT_FIN" vbProcedure="false">"c316"</definedName>
    <definedName function="false" hidden="false" name="IQ_DEF_TAX_LIAB_LT_INS" vbProcedure="false">"c317"</definedName>
    <definedName function="false" hidden="false" name="IQ_DEF_TAX_LIAB_LT_REIT" vbProcedure="false">"c318"</definedName>
    <definedName function="false" hidden="false" name="IQ_DEF_TAX_LIAB_LT_UTI" vbProcedure="false">"c319"</definedName>
    <definedName function="false" hidden="false" name="IQ_DEMAND_DEP" vbProcedure="false">"c320"</definedName>
    <definedName function="false" hidden="false" name="IQ_DEPOSITS_FIN" vbProcedure="false">"c321"</definedName>
    <definedName function="false" hidden="false" name="IQ_DEPRE_AMORT" vbProcedure="false">"c247"</definedName>
    <definedName function="false" hidden="false" name="IQ_DEPRE_AMORT_SUPPL" vbProcedure="false">"c1593"</definedName>
    <definedName function="false" hidden="false" name="IQ_DEPRE_DEPLE" vbProcedure="false">"c261"</definedName>
    <definedName function="false" hidden="false" name="IQ_DEPRE_SUPP" vbProcedure="false">"c1443"</definedName>
    <definedName function="false" hidden="false" name="IQ_DESCRIPTION_LONG" vbProcedure="false">"c322"</definedName>
    <definedName function="false" hidden="false" name="IQ_DEVELOP_LAND" vbProcedure="false">"c323"</definedName>
    <definedName function="false" hidden="false" name="IQ_DILUT_ADJUST" vbProcedure="false">"c1621"</definedName>
    <definedName function="false" hidden="false" name="IQ_DILUT_EPS_EXCL" vbProcedure="false">"c324"</definedName>
    <definedName function="false" hidden="false" name="IQ_DILUT_EPS_INCL" vbProcedure="false">"c325"</definedName>
    <definedName function="false" hidden="false" name="IQ_DILUT_NORMAL_EPS" vbProcedure="false">"c1594"</definedName>
    <definedName function="false" hidden="false" name="IQ_DILUT_WEIGHT" vbProcedure="false">"c326"</definedName>
    <definedName function="false" hidden="false" name="IQ_DISCONT_OPER" vbProcedure="false">"c333"</definedName>
    <definedName function="false" hidden="false" name="IQ_DISCOUNT_RATE_PENSION_DOMESTIC" vbProcedure="false">"c327"</definedName>
    <definedName function="false" hidden="false" name="IQ_DISCOUNT_RATE_PENSION_FOREIGN" vbProcedure="false">"c328"</definedName>
    <definedName function="false" hidden="false" name="IQ_DISTR_EXCESS_EARN" vbProcedure="false">"c329"</definedName>
    <definedName function="false" hidden="false" name="IQ_DIVEST_CF" vbProcedure="false">"c331"</definedName>
    <definedName function="false" hidden="false" name="IQ_DIVIDEND_YIELD" vbProcedure="false">"c332"</definedName>
    <definedName function="false" hidden="false" name="IQ_DIVID_SHARE" vbProcedure="false">"c330"</definedName>
    <definedName function="false" hidden="false" name="IQ_DIV_SHARE" vbProcedure="false">"c330"</definedName>
    <definedName function="false" hidden="false" name="IQ_DO" vbProcedure="false">"c333"</definedName>
    <definedName function="false" hidden="false" name="IQ_DO_ASSETS_CURRENT" vbProcedure="false">"c334"</definedName>
    <definedName function="false" hidden="false" name="IQ_DO_ASSETS_LT" vbProcedure="false">"c335"</definedName>
    <definedName function="false" hidden="false" name="IQ_DO_CF" vbProcedure="false">"c336"</definedName>
    <definedName function="false" hidden="false" name="IQ_DPS_10YR_ANN_GROWTH" vbProcedure="false">"c337"</definedName>
    <definedName function="false" hidden="false" name="IQ_DPS_1YR_ANN_GROWTH" vbProcedure="false">"c338"</definedName>
    <definedName function="false" hidden="false" name="IQ_DPS_2YR_ANN_GROWTH" vbProcedure="false">"c339"</definedName>
    <definedName function="false" hidden="false" name="IQ_DPS_3YR_ANN_GROWTH" vbProcedure="false">"c340"</definedName>
    <definedName function="false" hidden="false" name="IQ_DPS_5YR_ANN_GROWTH" vbProcedure="false">"c341"</definedName>
    <definedName function="false" hidden="false" name="IQ_DPS_7YR_ANN_GROWTH" vbProcedure="false">"c342"</definedName>
    <definedName function="false" hidden="false" name="IQ_EARNING_ASSET_YIELD" vbProcedure="false">"c343"</definedName>
    <definedName function="false" hidden="false" name="IQ_EARNING_CO" vbProcedure="false">"c344"</definedName>
    <definedName function="false" hidden="false" name="IQ_EARNING_CO_10YR_ANN_GROWTH" vbProcedure="false">"c345"</definedName>
    <definedName function="false" hidden="false" name="IQ_EARNING_CO_1YR_ANN_GROWTH" vbProcedure="false">"c346"</definedName>
    <definedName function="false" hidden="false" name="IQ_EARNING_CO_2YR_ANN_GROWTH" vbProcedure="false">"c347"</definedName>
    <definedName function="false" hidden="false" name="IQ_EARNING_CO_3YR_ANN_GROWTH" vbProcedure="false">"c348"</definedName>
    <definedName function="false" hidden="false" name="IQ_EARNING_CO_5YR_ANN_GROWTH" vbProcedure="false">"c349"</definedName>
    <definedName function="false" hidden="false" name="IQ_EARNING_CO_7YR_ANN_GROWTH" vbProcedure="false">"c350"</definedName>
    <definedName function="false" hidden="false" name="IQ_EARNING_CO_MARGIN" vbProcedure="false">"c351"</definedName>
    <definedName function="false" hidden="false" name="IQ_EBIT" vbProcedure="false">"c352"</definedName>
    <definedName function="false" hidden="false" name="IQ_EBITDA" vbProcedure="false">"c361"</definedName>
    <definedName function="false" hidden="false" name="IQ_EBITDA_10YR_ANN_GROWTH" vbProcedure="false">"c362"</definedName>
    <definedName function="false" hidden="false" name="IQ_EBITDA_1YR_ANN_GROWTH" vbProcedure="false">"c363"</definedName>
    <definedName function="false" hidden="false" name="IQ_EBITDA_2YR_ANN_GROWTH" vbProcedure="false">"c364"</definedName>
    <definedName function="false" hidden="false" name="IQ_EBITDA_3YR_ANN_GROWTH" vbProcedure="false">"c365"</definedName>
    <definedName function="false" hidden="false" name="IQ_EBITDA_5YR_ANN_GROWTH" vbProcedure="false">"c366"</definedName>
    <definedName function="false" hidden="false" name="IQ_EBITDA_7YR_ANN_GROWTH" vbProcedure="false">"c367"</definedName>
    <definedName function="false" hidden="false" name="IQ_EBITDA_CAPEX_INT" vbProcedure="false">"c368"</definedName>
    <definedName function="false" hidden="false" name="IQ_EBITDA_CAPEX_OVER_TOTAL_IE" vbProcedure="false">"c368"</definedName>
    <definedName function="false" hidden="false" name="IQ_EBITDA_INT" vbProcedure="false">"c373"</definedName>
    <definedName function="false" hidden="false" name="IQ_EBITDA_MARGIN" vbProcedure="false">"c372"</definedName>
    <definedName function="false" hidden="false" name="IQ_EBITDA_OVER_TOTAL_IE" vbProcedure="false">"c373"</definedName>
    <definedName function="false" hidden="false" name="IQ_EBIT_10YR_ANN_GROWTH" vbProcedure="false">"c353"</definedName>
    <definedName function="false" hidden="false" name="IQ_EBIT_1YR_ANN_GROWTH" vbProcedure="false">"c354"</definedName>
    <definedName function="false" hidden="false" name="IQ_EBIT_2YR_ANN_GROWTH" vbProcedure="false">"c355"</definedName>
    <definedName function="false" hidden="false" name="IQ_EBIT_3YR_ANN_GROWTH" vbProcedure="false">"c356"</definedName>
    <definedName function="false" hidden="false" name="IQ_EBIT_5YR_ANN_GROWTH" vbProcedure="false">"c357"</definedName>
    <definedName function="false" hidden="false" name="IQ_EBIT_7YR_ANN_GROWTH" vbProcedure="false">"c358"</definedName>
    <definedName function="false" hidden="false" name="IQ_EBIT_INT" vbProcedure="false">"c360"</definedName>
    <definedName function="false" hidden="false" name="IQ_EBIT_MARGIN" vbProcedure="false">"c359"</definedName>
    <definedName function="false" hidden="false" name="IQ_EBIT_OVER_IE" vbProcedure="false">"c360"</definedName>
    <definedName function="false" hidden="false" name="IQ_EBT" vbProcedure="false">"c376"</definedName>
    <definedName function="false" hidden="false" name="IQ_EBT_BNK" vbProcedure="false">"c377"</definedName>
    <definedName function="false" hidden="false" name="IQ_EBT_BR" vbProcedure="false">"c378"</definedName>
    <definedName function="false" hidden="false" name="IQ_EBT_EXCL" vbProcedure="false">"c379"</definedName>
    <definedName function="false" hidden="false" name="IQ_EBT_EXCL_BNK" vbProcedure="false">"c380"</definedName>
    <definedName function="false" hidden="false" name="IQ_EBT_EXCL_BR" vbProcedure="false">"c381"</definedName>
    <definedName function="false" hidden="false" name="IQ_EBT_EXCL_FIN" vbProcedure="false">"c382"</definedName>
    <definedName function="false" hidden="false" name="IQ_EBT_EXCL_INS" vbProcedure="false">"c383"</definedName>
    <definedName function="false" hidden="false" name="IQ_EBT_EXCL_MARGIN" vbProcedure="false">"c1462"</definedName>
    <definedName function="false" hidden="false" name="IQ_EBT_EXCL_REIT" vbProcedure="false">"c384"</definedName>
    <definedName function="false" hidden="false" name="IQ_EBT_EXCL_UTI" vbProcedure="false">"c385"</definedName>
    <definedName function="false" hidden="false" name="IQ_EBT_FIN" vbProcedure="false">"c386"</definedName>
    <definedName function="false" hidden="false" name="IQ_EBT_INS" vbProcedure="false">"c388"</definedName>
    <definedName function="false" hidden="false" name="IQ_EBT_REIT" vbProcedure="false">"c389"</definedName>
    <definedName function="false" hidden="false" name="IQ_EBT_UTI" vbProcedure="false">"c390"</definedName>
    <definedName function="false" hidden="false" name="IQ_EFFECT_SPECIAL_CHARGE" vbProcedure="false">"c1595"</definedName>
    <definedName function="false" hidden="false" name="IQ_EFFICIENCY_RATIO" vbProcedure="false">"c391"</definedName>
    <definedName function="false" hidden="false" name="IQ_EMPLOYEES" vbProcedure="false">"c392"</definedName>
    <definedName function="false" hidden="false" name="IQ_ENTERPRISE_VALUE" vbProcedure="false">"c84"</definedName>
    <definedName function="false" hidden="false" name="IQ_EPS_10YR_ANN_GROWTH" vbProcedure="false">"c393"</definedName>
    <definedName function="false" hidden="false" name="IQ_EPS_1YR_ANN_GROWTH" vbProcedure="false">"c394"</definedName>
    <definedName function="false" hidden="false" name="IQ_EPS_2YR_ANN_GROWTH" vbProcedure="false">"c395"</definedName>
    <definedName function="false" hidden="false" name="IQ_EPS_3YR_ANN_GROWTH" vbProcedure="false">"c396"</definedName>
    <definedName function="false" hidden="false" name="IQ_EPS_5YR_ANN_GROWTH" vbProcedure="false">"c397"</definedName>
    <definedName function="false" hidden="false" name="IQ_EPS_7YR_ANN_GROWTH" vbProcedure="false">"c398"</definedName>
    <definedName function="false" hidden="false" name="IQ_EPS_EST" vbProcedure="false">"c399"</definedName>
    <definedName function="false" hidden="false" name="IQ_EQUITY_AFFIL" vbProcedure="false">"c552"</definedName>
    <definedName function="false" hidden="false" name="IQ_EQUITY_METHOD" vbProcedure="false">"c404"</definedName>
    <definedName function="false" hidden="false" name="IQ_EQV_OVER_BV" vbProcedure="false">"c1596"</definedName>
    <definedName function="false" hidden="false" name="IQ_EQV_OVER_LTM_PRETAX_INC" vbProcedure="false">"c739"</definedName>
    <definedName function="false" hidden="false" name="IQ_ESOP_DEBT" vbProcedure="false">"c1597"</definedName>
    <definedName function="false" hidden="false" name="IQ_EST_ACT_EPS" vbProcedure="false">"c1648"</definedName>
    <definedName function="false" hidden="false" name="IQ_EST_DATE" vbProcedure="false">"c1634"</definedName>
    <definedName function="false" hidden="false" name="IQ_EST_EPS_GROWTH_1YR" vbProcedure="false">"c1636"</definedName>
    <definedName function="false" hidden="false" name="IQ_EST_EPS_GROWTH_Q_1YR" vbProcedure="false">"c1641"</definedName>
    <definedName function="false" hidden="false" name="IQ_EV_OVER_EMPLOYEE" vbProcedure="false">"c1225"</definedName>
    <definedName function="false" hidden="false" name="IQ_EV_OVER_LTM_EBIT" vbProcedure="false">"c1221"</definedName>
    <definedName function="false" hidden="false" name="IQ_EV_OVER_LTM_EBITDA" vbProcedure="false">"c1223"</definedName>
    <definedName function="false" hidden="false" name="IQ_EV_OVER_LTM_REVENUE" vbProcedure="false">"c1227"</definedName>
    <definedName function="false" hidden="false" name="IQ_EXCHANGE" vbProcedure="false">"c405"</definedName>
    <definedName function="false" hidden="false" name="IQ_EXERCISE_PRICE" vbProcedure="false">"c406"</definedName>
    <definedName function="false" hidden="false" name="IQ_EXPLORE_DRILL" vbProcedure="false">"c409"</definedName>
    <definedName function="false" hidden="false" name="IQ_EXP_RETURN_PENSION_DOMESTIC" vbProcedure="false">"c407"</definedName>
    <definedName function="false" hidden="false" name="IQ_EXP_RETURN_PENSION_FOREIGN" vbProcedure="false">"c408"</definedName>
    <definedName function="false" hidden="false" name="IQ_EXTRA_ACC_ITEMS" vbProcedure="false">"c410"</definedName>
    <definedName function="false" hidden="false" name="IQ_EXTRA_ACC_ITEMS_BNK" vbProcedure="false">"c411"</definedName>
    <definedName function="false" hidden="false" name="IQ_EXTRA_ACC_ITEMS_BR" vbProcedure="false">"c412"</definedName>
    <definedName function="false" hidden="false" name="IQ_EXTRA_ACC_ITEMS_FIN" vbProcedure="false">"c413"</definedName>
    <definedName function="false" hidden="false" name="IQ_EXTRA_ACC_ITEMS_INS" vbProcedure="false">"c414"</definedName>
    <definedName function="false" hidden="false" name="IQ_EXTRA_ACC_ITEMS_REIT" vbProcedure="false">"c415"</definedName>
    <definedName function="false" hidden="false" name="IQ_EXTRA_ACC_ITEMS_UTI" vbProcedure="false">"c416"</definedName>
    <definedName function="false" hidden="false" name="IQ_EXTRA_ITEMS" vbProcedure="false">"c413"</definedName>
    <definedName function="false" hidden="false" name="IQ_FDIC" vbProcedure="false">"c417"</definedName>
    <definedName function="false" hidden="false" name="IQ_FFO" vbProcedure="false">"c1574"</definedName>
    <definedName function="false" hidden="false" name="IQ_FHLB_DEBT" vbProcedure="false">"c423"</definedName>
    <definedName function="false" hidden="false" name="IQ_FILINGDATE_BS" vbProcedure="false">"c424"</definedName>
    <definedName function="false" hidden="false" name="IQ_FILINGDATE_CF" vbProcedure="false">"c425"</definedName>
    <definedName function="false" hidden="false" name="IQ_FILINGDATE_IS" vbProcedure="false">"c426"</definedName>
    <definedName function="false" hidden="false" name="IQ_FINANCING_CASH" vbProcedure="false">"c893"</definedName>
    <definedName function="false" hidden="false" name="IQ_FINANCING_CASH_SUPPL" vbProcedure="false">"c899"</definedName>
    <definedName function="false" hidden="false" name="IQ_FINISHED_INV" vbProcedure="false">"c438"</definedName>
    <definedName function="false" hidden="false" name="IQ_FIN_DIV_ASSETS_CURRENT" vbProcedure="false">"c427"</definedName>
    <definedName function="false" hidden="false" name="IQ_FIN_DIV_ASSETS_LT" vbProcedure="false">"c428"</definedName>
    <definedName function="false" hidden="false" name="IQ_FIN_DIV_DEBT_CURRENT" vbProcedure="false">"c429"</definedName>
    <definedName function="false" hidden="false" name="IQ_FIN_DIV_DEBT_LT" vbProcedure="false">"c430"</definedName>
    <definedName function="false" hidden="false" name="IQ_FIN_DIV_EXP" vbProcedure="false">"c431"</definedName>
    <definedName function="false" hidden="false" name="IQ_FIN_DIV_INT_EXP" vbProcedure="false">"c432"</definedName>
    <definedName function="false" hidden="false" name="IQ_FIN_DIV_LIAB_CURRENT" vbProcedure="false">"c433"</definedName>
    <definedName function="false" hidden="false" name="IQ_FIN_DIV_LIAB_LT" vbProcedure="false">"c434"</definedName>
    <definedName function="false" hidden="false" name="IQ_FIN_DIV_LOANS_CURRENT" vbProcedure="false">"c435"</definedName>
    <definedName function="false" hidden="false" name="IQ_FIN_DIV_LOANS_LT" vbProcedure="false">"c436"</definedName>
    <definedName function="false" hidden="false" name="IQ_FIN_DIV_REV" vbProcedure="false">"c437"</definedName>
    <definedName function="false" hidden="false" name="IQ_FIRST_YEAR_LIFE" vbProcedure="false">"c439"</definedName>
    <definedName function="false" hidden="false" name="IQ_FISCAL_Q" vbProcedure="false">"c440"</definedName>
    <definedName function="false" hidden="false" name="IQ_FISCAL_Y" vbProcedure="false">"c441"</definedName>
    <definedName function="false" hidden="false" name="IQ_FIVEPERCENT_PERCENT" vbProcedure="false">"c443"</definedName>
    <definedName function="false" hidden="false" name="IQ_FIVEPERCENT_SHARES" vbProcedure="false">"c444"</definedName>
    <definedName function="false" hidden="false" name="IQ_FIVE_PERCENT_OWNER" vbProcedure="false">"c442"</definedName>
    <definedName function="false" hidden="false" name="IQ_FIXED_ASSET_TURNS" vbProcedure="false">"c445"</definedName>
    <definedName function="false" hidden="false" name="IQ_FLOAT_PERCENT" vbProcedure="false">"c1575"</definedName>
    <definedName function="false" hidden="false" name="IQ_FOREIGN_DEP_IB" vbProcedure="false">"c446"</definedName>
    <definedName function="false" hidden="false" name="IQ_FOREIGN_DEP_NON_IB" vbProcedure="false">"c447"</definedName>
    <definedName function="false" hidden="false" name="IQ_FOREIGN_EXCHANGE" vbProcedure="false">"c451"</definedName>
    <definedName function="false" hidden="false" name="IQ_FOREIGN_LOANS" vbProcedure="false">"c448"</definedName>
    <definedName function="false" hidden="false" name="IQ_FQ" vbProcedure="false">500</definedName>
    <definedName function="false" hidden="false" name="IQ_FUEL" vbProcedure="false">"c449"</definedName>
    <definedName function="false" hidden="false" name="IQ_FULL_TIME" vbProcedure="false">"c450"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X" vbProcedure="false">"c451"</definedName>
    <definedName function="false" hidden="false" name="IQ_FY" vbProcedure="false">1000</definedName>
    <definedName function="false" hidden="false" name="IQ_GAIN_ASSETS" vbProcedure="false">"c452"</definedName>
    <definedName function="false" hidden="false" name="IQ_GAIN_ASSETS_BNK" vbProcedure="false">"c453"</definedName>
    <definedName function="false" hidden="false" name="IQ_GAIN_ASSETS_BR" vbProcedure="false">"c454"</definedName>
    <definedName function="false" hidden="false" name="IQ_GAIN_ASSETS_CF" vbProcedure="false">"c455"</definedName>
    <definedName function="false" hidden="false" name="IQ_GAIN_ASSETS_CF_BNK" vbProcedure="false">"c456"</definedName>
    <definedName function="false" hidden="false" name="IQ_GAIN_ASSETS_CF_BR" vbProcedure="false">"c457"</definedName>
    <definedName function="false" hidden="false" name="IQ_GAIN_ASSETS_CF_FIN" vbProcedure="false">"c458"</definedName>
    <definedName function="false" hidden="false" name="IQ_GAIN_ASSETS_CF_INS" vbProcedure="false">"c459"</definedName>
    <definedName function="false" hidden="false" name="IQ_GAIN_ASSETS_CF_REIT" vbProcedure="false">"c460"</definedName>
    <definedName function="false" hidden="false" name="IQ_GAIN_ASSETS_CF_UTI" vbProcedure="false">"c461"</definedName>
    <definedName function="false" hidden="false" name="IQ_GAIN_ASSETS_FIN" vbProcedure="false">"c462"</definedName>
    <definedName function="false" hidden="false" name="IQ_GAIN_ASSETS_INS" vbProcedure="false">"c463"</definedName>
    <definedName function="false" hidden="false" name="IQ_GAIN_ASSETS_REIT" vbProcedure="false">"c471"</definedName>
    <definedName function="false" hidden="false" name="IQ_GAIN_ASSETS_REV" vbProcedure="false">"c472"</definedName>
    <definedName function="false" hidden="false" name="IQ_GAIN_ASSETS_REV_BNK" vbProcedure="false">"c473"</definedName>
    <definedName function="false" hidden="false" name="IQ_GAIN_ASSETS_REV_BR" vbProcedure="false">"c474"</definedName>
    <definedName function="false" hidden="false" name="IQ_GAIN_ASSETS_REV_FIN" vbProcedure="false">"c475"</definedName>
    <definedName function="false" hidden="false" name="IQ_GAIN_ASSETS_REV_INS" vbProcedure="false">"c476"</definedName>
    <definedName function="false" hidden="false" name="IQ_GAIN_ASSETS_REV_REIT" vbProcedure="false">"c477"</definedName>
    <definedName function="false" hidden="false" name="IQ_GAIN_ASSETS_REV_UTI" vbProcedure="false">"c478"</definedName>
    <definedName function="false" hidden="false" name="IQ_GAIN_ASSETS_UTI" vbProcedure="false">"c479"</definedName>
    <definedName function="false" hidden="false" name="IQ_GAIN_INVEST" vbProcedure="false">"c1463"</definedName>
    <definedName function="false" hidden="false" name="IQ_GAIN_INVEST_BNK" vbProcedure="false">"c1582"</definedName>
    <definedName function="false" hidden="false" name="IQ_GAIN_INVEST_BR" vbProcedure="false">"c1464"</definedName>
    <definedName function="false" hidden="false" name="IQ_GAIN_INVEST_CF" vbProcedure="false">"c480"</definedName>
    <definedName function="false" hidden="false" name="IQ_GAIN_INVEST_CF_BNK" vbProcedure="false">"c481"</definedName>
    <definedName function="false" hidden="false" name="IQ_GAIN_INVEST_CF_BR" vbProcedure="false">"c482"</definedName>
    <definedName function="false" hidden="false" name="IQ_GAIN_INVEST_CF_FIN" vbProcedure="false">"c483"</definedName>
    <definedName function="false" hidden="false" name="IQ_GAIN_INVEST_CF_INS" vbProcedure="false">"c484"</definedName>
    <definedName function="false" hidden="false" name="IQ_GAIN_INVEST_CF_REIT" vbProcedure="false">"c485"</definedName>
    <definedName function="false" hidden="false" name="IQ_GAIN_INVEST_CF_UTI" vbProcedure="false">"c486"</definedName>
    <definedName function="false" hidden="false" name="IQ_GAIN_INVEST_FIN" vbProcedure="false">"c1465"</definedName>
    <definedName function="false" hidden="false" name="IQ_GAIN_INVEST_INS" vbProcedure="false">"c1466"</definedName>
    <definedName function="false" hidden="false" name="IQ_GAIN_INVEST_REIT" vbProcedure="false">"c1467"</definedName>
    <definedName function="false" hidden="false" name="IQ_GAIN_INVEST_REV" vbProcedure="false">"c494"</definedName>
    <definedName function="false" hidden="false" name="IQ_GAIN_INVEST_REV_BNK" vbProcedure="false">"c495"</definedName>
    <definedName function="false" hidden="false" name="IQ_GAIN_INVEST_REV_BR" vbProcedure="false">"c496"</definedName>
    <definedName function="false" hidden="false" name="IQ_GAIN_INVEST_REV_FIN" vbProcedure="false">"c497"</definedName>
    <definedName function="false" hidden="false" name="IQ_GAIN_INVEST_REV_INS" vbProcedure="false">"c498"</definedName>
    <definedName function="false" hidden="false" name="IQ_GAIN_INVEST_REV_REIT" vbProcedure="false">"c499"</definedName>
    <definedName function="false" hidden="false" name="IQ_GAIN_INVEST_REV_UTI" vbProcedure="false">"c500"</definedName>
    <definedName function="false" hidden="false" name="IQ_GAIN_INVEST_UTI" vbProcedure="false">"c1468"</definedName>
    <definedName function="false" hidden="false" name="IQ_GAIN_LOANS_REC" vbProcedure="false">"c501"</definedName>
    <definedName function="false" hidden="false" name="IQ_GAIN_LOANS_RECEIV" vbProcedure="false">"c502"</definedName>
    <definedName function="false" hidden="false" name="IQ_GAIN_LOANS_RECEIV_REV_FIN" vbProcedure="false">"c503"</definedName>
    <definedName function="false" hidden="false" name="IQ_GAIN_LOANS_REV" vbProcedure="false">"c504"</definedName>
    <definedName function="false" hidden="false" name="IQ_GAIN_SALE_ASSETS" vbProcedure="false">"c452"</definedName>
    <definedName function="false" hidden="false" name="IQ_GOODWILL_NET" vbProcedure="false">"c530"</definedName>
    <definedName function="false" hidden="false" name="IQ_GP" vbProcedure="false">"c511"</definedName>
    <definedName function="false" hidden="false" name="IQ_GPPE" vbProcedure="false">"c518"</definedName>
    <definedName function="false" hidden="false" name="IQ_GP_10YR_ANN_GROWTH" vbProcedure="false">"c512"</definedName>
    <definedName function="false" hidden="false" name="IQ_GP_1YR_ANN_GROWTH" vbProcedure="false">"c513"</definedName>
    <definedName function="false" hidden="false" name="IQ_GP_2YR_ANN_GROWTH" vbProcedure="false">"c514"</definedName>
    <definedName function="false" hidden="false" name="IQ_GP_3YR_ANN_GROWTH" vbProcedure="false">"c515"</definedName>
    <definedName function="false" hidden="false" name="IQ_GP_5YR_ANN_GROWTH" vbProcedure="false">"c516"</definedName>
    <definedName function="false" hidden="false" name="IQ_GP_7YR_ANN_GROWTH" vbProcedure="false">"c517"</definedName>
    <definedName function="false" hidden="false" name="IQ_GROSS_DIVID" vbProcedure="false">"c192"</definedName>
    <definedName function="false" hidden="false" name="IQ_GROSS_LOANS" vbProcedure="false">"c521"</definedName>
    <definedName function="false" hidden="false" name="IQ_GROSS_LOANS_10YR_ANN_GROWTH" vbProcedure="false">"c522"</definedName>
    <definedName function="false" hidden="false" name="IQ_GROSS_LOANS_1YR_ANN_GROWTH" vbProcedure="false">"c523"</definedName>
    <definedName function="false" hidden="false" name="IQ_GROSS_LOANS_2YR_ANN_GROWTH" vbProcedure="false">"c524"</definedName>
    <definedName function="false" hidden="false" name="IQ_GROSS_LOANS_3YR_ANN_GROWTH" vbProcedure="false">"c525"</definedName>
    <definedName function="false" hidden="false" name="IQ_GROSS_LOANS_5YR_ANN_GROWTH" vbProcedure="false">"c526"</definedName>
    <definedName function="false" hidden="false" name="IQ_GROSS_LOANS_7YR_ANN_GROWTH" vbProcedure="false">"c527"</definedName>
    <definedName function="false" hidden="false" name="IQ_GROSS_LOANS_TOTAL_DEPOSITS" vbProcedure="false">"c528"</definedName>
    <definedName function="false" hidden="false" name="IQ_GROSS_MARGIN" vbProcedure="false">"c529"</definedName>
    <definedName function="false" hidden="false" name="IQ_GROSS_PROFIT" vbProcedure="false">"c511"</definedName>
    <definedName function="false" hidden="false" name="IQ_GW" vbProcedure="false">"c530"</definedName>
    <definedName function="false" hidden="false" name="IQ_GW_INTAN_AMORT" vbProcedure="false">"c1469"</definedName>
    <definedName function="false" hidden="false" name="IQ_GW_INTAN_AMORT_BNK" vbProcedure="false">"c544"</definedName>
    <definedName function="false" hidden="false" name="IQ_GW_INTAN_AMORT_BR" vbProcedure="false">"c1470"</definedName>
    <definedName function="false" hidden="false" name="IQ_GW_INTAN_AMORT_CF" vbProcedure="false">"c1471"</definedName>
    <definedName function="false" hidden="false" name="IQ_GW_INTAN_AMORT_CF_BNK" vbProcedure="false">"c1472"</definedName>
    <definedName function="false" hidden="false" name="IQ_GW_INTAN_AMORT_CF_BR" vbProcedure="false">"c1473"</definedName>
    <definedName function="false" hidden="false" name="IQ_GW_INTAN_AMORT_CF_FIN" vbProcedure="false">"c1474"</definedName>
    <definedName function="false" hidden="false" name="IQ_GW_INTAN_AMORT_CF_INS" vbProcedure="false">"c1475"</definedName>
    <definedName function="false" hidden="false" name="IQ_GW_INTAN_AMORT_CF_REIT" vbProcedure="false">"c1476"</definedName>
    <definedName function="false" hidden="false" name="IQ_GW_INTAN_AMORT_CF_UTI" vbProcedure="false">"c1477"</definedName>
    <definedName function="false" hidden="false" name="IQ_GW_INTAN_AMORT_FIN" vbProcedure="false">"c1478"</definedName>
    <definedName function="false" hidden="false" name="IQ_GW_INTAN_AMORT_INS" vbProcedure="false">"c1479"</definedName>
    <definedName function="false" hidden="false" name="IQ_GW_INTAN_AMORT_REIT" vbProcedure="false">"c1480"</definedName>
    <definedName function="false" hidden="false" name="IQ_GW_INTAN_AMORT_UTI" vbProcedure="false">"c1481"</definedName>
    <definedName function="false" hidden="false" name="IQ_HIGHPRICE" vbProcedure="false">"c545"</definedName>
    <definedName function="false" hidden="false" name="IQ_HOMEOWNERS_WRITTEN" vbProcedure="false">"c546"</definedName>
    <definedName function="false" hidden="false" name="IQ_IMPAIRMENT_GW" vbProcedure="false">"c548"</definedName>
    <definedName function="false" hidden="false" name="IQ_IMPAIR_OIL" vbProcedure="false">"c547"</definedName>
    <definedName function="false" hidden="false" name="IQ_INC_AFTER_TAX" vbProcedure="false">"c1598"</definedName>
    <definedName function="false" hidden="false" name="IQ_INC_AVAIL_EXCL" vbProcedure="false">"c789"</definedName>
    <definedName function="false" hidden="false" name="IQ_INC_AVAIL_INCL" vbProcedure="false">"c791"</definedName>
    <definedName function="false" hidden="false" name="IQ_INC_BEFORE_TAX" vbProcedure="false">"c386"</definedName>
    <definedName function="false" hidden="false" name="IQ_INC_EQUITY" vbProcedure="false">"c549"</definedName>
    <definedName function="false" hidden="false" name="IQ_INC_EQUITY_BR" vbProcedure="false">"c550"</definedName>
    <definedName function="false" hidden="false" name="IQ_INC_EQUITY_CF" vbProcedure="false">"c551"</definedName>
    <definedName function="false" hidden="false" name="IQ_INC_EQUITY_FIN" vbProcedure="false">"c552"</definedName>
    <definedName function="false" hidden="false" name="IQ_INC_EQUITY_INS" vbProcedure="false">"c553"</definedName>
    <definedName function="false" hidden="false" name="IQ_INC_EQUITY_REC_BNK" vbProcedure="false">"c554"</definedName>
    <definedName function="false" hidden="false" name="IQ_INC_EQUITY_REIT" vbProcedure="false">"c555"</definedName>
    <definedName function="false" hidden="false" name="IQ_INC_EQUITY_REV_BNK" vbProcedure="false">"c556"</definedName>
    <definedName function="false" hidden="false" name="IQ_INC_EQUITY_UTI" vbProcedure="false">"c557"</definedName>
    <definedName function="false" hidden="false" name="IQ_INC_REAL_ESTATE_REC" vbProcedure="false">"c558"</definedName>
    <definedName function="false" hidden="false" name="IQ_INC_REAL_ESTATE_REV" vbProcedure="false">"c559"</definedName>
    <definedName function="false" hidden="false" name="IQ_INC_TAX" vbProcedure="false">"c560"</definedName>
    <definedName function="false" hidden="false" name="IQ_INC_TAX_EXCL" vbProcedure="false">"c1599"</definedName>
    <definedName function="false" hidden="false" name="IQ_INC_TAX_PAY_CURRENT" vbProcedure="false">"c561"</definedName>
    <definedName function="false" hidden="false" name="IQ_INC_TRADE_ACT" vbProcedure="false">"c562"</definedName>
    <definedName function="false" hidden="false" name="IQ_INSIDER_3MTH_BOUGHT_PCT" vbProcedure="false">"c1534"</definedName>
    <definedName function="false" hidden="false" name="IQ_INSIDER_3MTH_NET_PCT" vbProcedure="false">"c1535"</definedName>
    <definedName function="false" hidden="false" name="IQ_INSIDER_3MTH_SOLD_PCT" vbProcedure="false">"c1533"</definedName>
    <definedName function="false" hidden="false" name="IQ_INSIDER_6MTH_BOUGHT_PCT" vbProcedure="false">"c1537"</definedName>
    <definedName function="false" hidden="false" name="IQ_INSIDER_6MTH_NET_PCT" vbProcedure="false">"c1538"</definedName>
    <definedName function="false" hidden="false" name="IQ_INSIDER_6MTH_SOLD_PCT" vbProcedure="false">"c1536"</definedName>
    <definedName function="false" hidden="false" name="IQ_INSIDER_OVER_TOTAL" vbProcedure="false">"c1581"</definedName>
    <definedName function="false" hidden="false" name="IQ_INSIDER_OWNER" vbProcedure="false">"c577"</definedName>
    <definedName function="false" hidden="false" name="IQ_INSIDER_PERCENT" vbProcedure="false">"c578"</definedName>
    <definedName function="false" hidden="false" name="IQ_INSIDER_SHARES" vbProcedure="false">"c579"</definedName>
    <definedName function="false" hidden="false" name="IQ_INSTITUTIONAL_OVER_TOTAL" vbProcedure="false">"c1580"</definedName>
    <definedName function="false" hidden="false" name="IQ_INSTITUTIONAL_OWNER" vbProcedure="false">"c580"</definedName>
    <definedName function="false" hidden="false" name="IQ_INSTITUTIONAL_PERCENT" vbProcedure="false">"c581"</definedName>
    <definedName function="false" hidden="false" name="IQ_INSTITUTIONAL_SHARES" vbProcedure="false">"c582"</definedName>
    <definedName function="false" hidden="false" name="IQ_INSUR_RECEIV" vbProcedure="false">"c1600"</definedName>
    <definedName function="false" hidden="false" name="IQ_INS_ANNUITY_LIAB" vbProcedure="false">"c563"</definedName>
    <definedName function="false" hidden="false" name="IQ_INS_DIV_EXP" vbProcedure="false">"c564"</definedName>
    <definedName function="false" hidden="false" name="IQ_INS_DIV_REV" vbProcedure="false">"c565"</definedName>
    <definedName function="false" hidden="false" name="IQ_INS_IN_FORCE" vbProcedure="false">"c566"</definedName>
    <definedName function="false" hidden="false" name="IQ_INS_LIAB" vbProcedure="false">"c567"</definedName>
    <definedName function="false" hidden="false" name="IQ_INS_POLICY_EXP" vbProcedure="false">"c568"</definedName>
    <definedName function="false" hidden="false" name="IQ_INS_REV" vbProcedure="false">"c569"</definedName>
    <definedName function="false" hidden="false" name="IQ_INS_SETTLE" vbProcedure="false">"c570"</definedName>
    <definedName function="false" hidden="false" name="IQ_INS_SETTLE_BNK" vbProcedure="false">"c571"</definedName>
    <definedName function="false" hidden="false" name="IQ_INS_SETTLE_BR" vbProcedure="false">"c572"</definedName>
    <definedName function="false" hidden="false" name="IQ_INS_SETTLE_FIN" vbProcedure="false">"c573"</definedName>
    <definedName function="false" hidden="false" name="IQ_INS_SETTLE_INS" vbProcedure="false">"c574"</definedName>
    <definedName function="false" hidden="false" name="IQ_INS_SETTLE_REIT" vbProcedure="false">"c575"</definedName>
    <definedName function="false" hidden="false" name="IQ_INS_SETTLE_UTI" vbProcedure="false">"c576"</definedName>
    <definedName function="false" hidden="false" name="IQ_INTANGIBLES_NET" vbProcedure="false">"c907"</definedName>
    <definedName function="false" hidden="false" name="IQ_INTEREST_EXP" vbProcedure="false">"c618"</definedName>
    <definedName function="false" hidden="false" name="IQ_INTEREST_EXP_NET" vbProcedure="false">"c1450"</definedName>
    <definedName function="false" hidden="false" name="IQ_INTEREST_EXP_NON" vbProcedure="false">"c618"</definedName>
    <definedName function="false" hidden="false" name="IQ_INTEREST_EXP_SUPPL" vbProcedure="false">"c1460"</definedName>
    <definedName function="false" hidden="false" name="IQ_INTEREST_INC" vbProcedure="false">"c769"</definedName>
    <definedName function="false" hidden="false" name="IQ_INTEREST_INC_NON" vbProcedure="false">"c619"</definedName>
    <definedName function="false" hidden="false" name="IQ_INTEREST_INVEST_INC" vbProcedure="false">"c619"</definedName>
    <definedName function="false" hidden="false" name="IQ_INT_BORROW" vbProcedure="false">"c583"</definedName>
    <definedName function="false" hidden="false" name="IQ_INT_DEPOSITS" vbProcedure="false">"c584"</definedName>
    <definedName function="false" hidden="false" name="IQ_INT_DIV_INC" vbProcedure="false">"c585"</definedName>
    <definedName function="false" hidden="false" name="IQ_INT_EXP_BR" vbProcedure="false">"c586"</definedName>
    <definedName function="false" hidden="false" name="IQ_INT_EXP_COVERAGE" vbProcedure="false">"c587"</definedName>
    <definedName function="false" hidden="false" name="IQ_INT_EXP_FIN" vbProcedure="false">"c588"</definedName>
    <definedName function="false" hidden="false" name="IQ_INT_EXP_INS" vbProcedure="false">"c589"</definedName>
    <definedName function="false" hidden="false" name="IQ_INT_EXP_REIT" vbProcedure="false">"c590"</definedName>
    <definedName function="false" hidden="false" name="IQ_INT_EXP_TOTAL" vbProcedure="false">"c591"</definedName>
    <definedName function="false" hidden="false" name="IQ_INT_EXP_UTI" vbProcedure="false">"c592"</definedName>
    <definedName function="false" hidden="false" name="IQ_INT_INC_BR" vbProcedure="false">"c593"</definedName>
    <definedName function="false" hidden="false" name="IQ_INT_INC_FIN" vbProcedure="false">"c594"</definedName>
    <definedName function="false" hidden="false" name="IQ_INT_INC_INVEST" vbProcedure="false">"c595"</definedName>
    <definedName function="false" hidden="false" name="IQ_INT_INC_LOANS" vbProcedure="false">"c596"</definedName>
    <definedName function="false" hidden="false" name="IQ_INT_INC_REIT" vbProcedure="false">"c597"</definedName>
    <definedName function="false" hidden="false" name="IQ_INT_INC_TOTAL" vbProcedure="false">"c598"</definedName>
    <definedName function="false" hidden="false" name="IQ_INT_INC_UTI" vbProcedure="false">"c599"</definedName>
    <definedName function="false" hidden="false" name="IQ_INT_INV_INC" vbProcedure="false">"c600"</definedName>
    <definedName function="false" hidden="false" name="IQ_INT_INV_INC_REIT" vbProcedure="false">"c601"</definedName>
    <definedName function="false" hidden="false" name="IQ_INT_INV_INC_UTI" vbProcedure="false">"c602"</definedName>
    <definedName function="false" hidden="false" name="IQ_INT_ON_BORROWING_COVERAGE" vbProcedure="false">"c603"</definedName>
    <definedName function="false" hidden="false" name="IQ_INT_RATE_SPREAD" vbProcedure="false">"c604"</definedName>
    <definedName function="false" hidden="false" name="IQ_INVENTORY" vbProcedure="false">"c622"</definedName>
    <definedName function="false" hidden="false" name="IQ_INVENTORY_TURNS" vbProcedure="false">"c623"</definedName>
    <definedName function="false" hidden="false" name="IQ_INVENTORY_UTI" vbProcedure="false">"c624"</definedName>
    <definedName function="false" hidden="false" name="IQ_INVEST_DEBT" vbProcedure="false">"c625"</definedName>
    <definedName function="false" hidden="false" name="IQ_INVEST_EQUITY_PREF" vbProcedure="false">"c626"</definedName>
    <definedName function="false" hidden="false" name="IQ_INVEST_FHLB" vbProcedure="false">"c627"</definedName>
    <definedName function="false" hidden="false" name="IQ_INVEST_LOANS_CF" vbProcedure="false">"c628"</definedName>
    <definedName function="false" hidden="false" name="IQ_INVEST_LOANS_CF_BNK" vbProcedure="false">"c629"</definedName>
    <definedName function="false" hidden="false" name="IQ_INVEST_LOANS_CF_BR" vbProcedure="false">"c630"</definedName>
    <definedName function="false" hidden="false" name="IQ_INVEST_LOANS_CF_FIN" vbProcedure="false">"c631"</definedName>
    <definedName function="false" hidden="false" name="IQ_INVEST_LOANS_CF_INS" vbProcedure="false">"c632"</definedName>
    <definedName function="false" hidden="false" name="IQ_INVEST_LOANS_CF_REIT" vbProcedure="false">"c633"</definedName>
    <definedName function="false" hidden="false" name="IQ_INVEST_LOANS_CF_UTI" vbProcedure="false">"c634"</definedName>
    <definedName function="false" hidden="false" name="IQ_INVEST_REAL_ESTATE" vbProcedure="false">"c635"</definedName>
    <definedName function="false" hidden="false" name="IQ_INVEST_SECURITY" vbProcedure="false">"c636"</definedName>
    <definedName function="false" hidden="false" name="IQ_INVEST_SECURITY_CF" vbProcedure="false">"c637"</definedName>
    <definedName function="false" hidden="false" name="IQ_INVEST_SECURITY_CF_BNK" vbProcedure="false">"c638"</definedName>
    <definedName function="false" hidden="false" name="IQ_INVEST_SECURITY_CF_BR" vbProcedure="false">"c639"</definedName>
    <definedName function="false" hidden="false" name="IQ_INVEST_SECURITY_CF_FIN" vbProcedure="false">"c640"</definedName>
    <definedName function="false" hidden="false" name="IQ_INVEST_SECURITY_CF_INS" vbProcedure="false">"c641"</definedName>
    <definedName function="false" hidden="false" name="IQ_INVEST_SECURITY_CF_REIT" vbProcedure="false">"c642"</definedName>
    <definedName function="false" hidden="false" name="IQ_INVEST_SECURITY_CF_UTI" vbProcedure="false">"c643"</definedName>
    <definedName function="false" hidden="false" name="IQ_INV_BANKING_FEE" vbProcedure="false">"c620"</definedName>
    <definedName function="false" hidden="false" name="IQ_INV_METHOD" vbProcedure="false">"c621"</definedName>
    <definedName function="false" hidden="false" name="IQ_IPRD" vbProcedure="false">"c644"</definedName>
    <definedName function="false" hidden="false" name="IQ_ISS_DEBT_NET" vbProcedure="false">"c751"</definedName>
    <definedName function="false" hidden="false" name="IQ_ISS_STOCK_NET" vbProcedure="false">"c1601"</definedName>
    <definedName function="false" hidden="false" name="IQ_LAND" vbProcedure="false">"c645"</definedName>
    <definedName function="false" hidden="false" name="IQ_LASTSALEPRICE" vbProcedure="false">"c646"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EGAL_SETTLE" vbProcedure="false">"c647"</definedName>
    <definedName function="false" hidden="false" name="IQ_LEGAL_SETTLE_BNK" vbProcedure="false">"c648"</definedName>
    <definedName function="false" hidden="false" name="IQ_LEGAL_SETTLE_BR" vbProcedure="false">"c649"</definedName>
    <definedName function="false" hidden="false" name="IQ_LEGAL_SETTLE_FIN" vbProcedure="false">"c650"</definedName>
    <definedName function="false" hidden="false" name="IQ_LEGAL_SETTLE_INS" vbProcedure="false">"c651"</definedName>
    <definedName function="false" hidden="false" name="IQ_LEGAL_SETTLE_REIT" vbProcedure="false">"c652"</definedName>
    <definedName function="false" hidden="false" name="IQ_LEGAL_SETTLE_UTI" vbProcedure="false">"c653"</definedName>
    <definedName function="false" hidden="false" name="IQ_LEVERAGE_RATIO" vbProcedure="false">"c654"</definedName>
    <definedName function="false" hidden="false" name="IQ_LIFOR" vbProcedure="false">"c655"</definedName>
    <definedName function="false" hidden="false" name="IQ_LL" vbProcedure="false">"c656"</definedName>
    <definedName function="false" hidden="false" name="IQ_LOANS_CF" vbProcedure="false">"c659"</definedName>
    <definedName function="false" hidden="false" name="IQ_LOANS_CF_BNK" vbProcedure="false">"c660"</definedName>
    <definedName function="false" hidden="false" name="IQ_LOANS_CF_BR" vbProcedure="false">"c661"</definedName>
    <definedName function="false" hidden="false" name="IQ_LOANS_CF_FIN" vbProcedure="false">"c662"</definedName>
    <definedName function="false" hidden="false" name="IQ_LOANS_CF_INS" vbProcedure="false">"c663"</definedName>
    <definedName function="false" hidden="false" name="IQ_LOANS_CF_REIT" vbProcedure="false">"c664"</definedName>
    <definedName function="false" hidden="false" name="IQ_LOANS_CF_UTI" vbProcedure="false">"c665"</definedName>
    <definedName function="false" hidden="false" name="IQ_LOANS_FOR_SALE" vbProcedure="false">"c666"</definedName>
    <definedName function="false" hidden="false" name="IQ_LOANS_PAST_DUE" vbProcedure="false">"c667"</definedName>
    <definedName function="false" hidden="false" name="IQ_LOANS_RECEIV_CURRENT" vbProcedure="false">"c668"</definedName>
    <definedName function="false" hidden="false" name="IQ_LOANS_RECEIV_LT" vbProcedure="false">"c669"</definedName>
    <definedName function="false" hidden="false" name="IQ_LOANS_RECEIV_LT_UTI" vbProcedure="false">"c670"</definedName>
    <definedName function="false" hidden="false" name="IQ_LOAN_LEASE_RECEIV" vbProcedure="false">"c657"</definedName>
    <definedName function="false" hidden="false" name="IQ_LOAN_LOSS" vbProcedure="false">"c656"</definedName>
    <definedName function="false" hidden="false" name="IQ_LOAN_SERVICE_REV" vbProcedure="false">"c658"</definedName>
    <definedName function="false" hidden="false" name="IQ_LONG_TERM_DEBT" vbProcedure="false">"c674"</definedName>
    <definedName function="false" hidden="false" name="IQ_LONG_TERM_DEBT_OVER_TOTAL_CAP" vbProcedure="false">"c677"</definedName>
    <definedName function="false" hidden="false" name="IQ_LONG_TERM_GROWTH" vbProcedure="false">"c671"</definedName>
    <definedName function="false" hidden="false" name="IQ_LONG_TERM_INV" vbProcedure="false">"c697"</definedName>
    <definedName function="false" hidden="false" name="IQ_LOSS_LOSS_EXP" vbProcedure="false">"c672"</definedName>
    <definedName function="false" hidden="false" name="IQ_LOWPRICE" vbProcedure="false">"c673"</definedName>
    <definedName function="false" hidden="false" name="IQ_LTD_DUE_AFTER_FIVE" vbProcedure="false">"c704"</definedName>
    <definedName function="false" hidden="false" name="IQ_LTD_DUE_CY" vbProcedure="false">"c705"</definedName>
    <definedName function="false" hidden="false" name="IQ_LTD_DUE_CY1" vbProcedure="false">"c706"</definedName>
    <definedName function="false" hidden="false" name="IQ_LTD_DUE_CY2" vbProcedure="false">"c707"</definedName>
    <definedName function="false" hidden="false" name="IQ_LTD_DUE_CY3" vbProcedure="false">"c708"</definedName>
    <definedName function="false" hidden="false" name="IQ_LTD_DUE_CY4" vbProcedure="false">"c709"</definedName>
    <definedName function="false" hidden="false" name="IQ_LTD_DUE_NEXT_FIVE" vbProcedure="false">"c710"</definedName>
    <definedName function="false" hidden="false" name="IQ_LTM" vbProcedure="false">2000</definedName>
    <definedName function="false" hidden="false" name="IQ_LTM_REVENUE_OVER_EMPLOYEES" vbProcedure="false">"c1304"</definedName>
    <definedName function="false" hidden="false" name="IQ_LT_DEBT" vbProcedure="false">"c674"</definedName>
    <definedName function="false" hidden="false" name="IQ_LT_DEBT_BNK" vbProcedure="false">"c675"</definedName>
    <definedName function="false" hidden="false" name="IQ_LT_DEBT_BR" vbProcedure="false">"c676"</definedName>
    <definedName function="false" hidden="false" name="IQ_LT_DEBT_CAPITAL" vbProcedure="false">"c677"</definedName>
    <definedName function="false" hidden="false" name="IQ_LT_DEBT_EQUITY" vbProcedure="false">"c678"</definedName>
    <definedName function="false" hidden="false" name="IQ_LT_DEBT_FIN" vbProcedure="false">"c679"</definedName>
    <definedName function="false" hidden="false" name="IQ_LT_DEBT_INS" vbProcedure="false">"c680"</definedName>
    <definedName function="false" hidden="false" name="IQ_LT_DEBT_ISSUED" vbProcedure="false">"c681"</definedName>
    <definedName function="false" hidden="false" name="IQ_LT_DEBT_ISSUED_BNK" vbProcedure="false">"c682"</definedName>
    <definedName function="false" hidden="false" name="IQ_LT_DEBT_ISSUED_BR" vbProcedure="false">"c683"</definedName>
    <definedName function="false" hidden="false" name="IQ_LT_DEBT_ISSUED_FIN" vbProcedure="false">"c684"</definedName>
    <definedName function="false" hidden="false" name="IQ_LT_DEBT_ISSUED_INS" vbProcedure="false">"c685"</definedName>
    <definedName function="false" hidden="false" name="IQ_LT_DEBT_ISSUED_REIT" vbProcedure="false">"c686"</definedName>
    <definedName function="false" hidden="false" name="IQ_LT_DEBT_ISSUED_UTI" vbProcedure="false">"c687"</definedName>
    <definedName function="false" hidden="false" name="IQ_LT_DEBT_REIT" vbProcedure="false">"c688"</definedName>
    <definedName function="false" hidden="false" name="IQ_LT_DEBT_REPAID" vbProcedure="false">"c689"</definedName>
    <definedName function="false" hidden="false" name="IQ_LT_DEBT_REPAID_BNK" vbProcedure="false">"c690"</definedName>
    <definedName function="false" hidden="false" name="IQ_LT_DEBT_REPAID_BR" vbProcedure="false">"c691"</definedName>
    <definedName function="false" hidden="false" name="IQ_LT_DEBT_REPAID_FIN" vbProcedure="false">"c692"</definedName>
    <definedName function="false" hidden="false" name="IQ_LT_DEBT_REPAID_INS" vbProcedure="false">"c693"</definedName>
    <definedName function="false" hidden="false" name="IQ_LT_DEBT_REPAID_REIT" vbProcedure="false">"c694"</definedName>
    <definedName function="false" hidden="false" name="IQ_LT_DEBT_REPAID_UTI" vbProcedure="false">"c695"</definedName>
    <definedName function="false" hidden="false" name="IQ_LT_DEBT_UTI" vbProcedure="false">"c696"</definedName>
    <definedName function="false" hidden="false" name="IQ_LT_INVEST" vbProcedure="false">"c697"</definedName>
    <definedName function="false" hidden="false" name="IQ_LT_INVEST_BR" vbProcedure="false">"c698"</definedName>
    <definedName function="false" hidden="false" name="IQ_LT_INVEST_FIN" vbProcedure="false">"c699"</definedName>
    <definedName function="false" hidden="false" name="IQ_LT_INVEST_REIT" vbProcedure="false">"c700"</definedName>
    <definedName function="false" hidden="false" name="IQ_LT_INVEST_UTI" vbProcedure="false">"c701"</definedName>
    <definedName function="false" hidden="false" name="IQ_LT_NOTE_RECEIV" vbProcedure="false">"c1602"</definedName>
    <definedName function="false" hidden="false" name="IQ_MACHINERY" vbProcedure="false">"c711"</definedName>
    <definedName function="false" hidden="false" name="IQ_MARKETCAP" vbProcedure="false">"c712"</definedName>
    <definedName function="false" hidden="false" name="IQ_MERGER" vbProcedure="false">"c713"</definedName>
    <definedName function="false" hidden="false" name="IQ_MERGER_BNK" vbProcedure="false">"c714"</definedName>
    <definedName function="false" hidden="false" name="IQ_MERGER_BR" vbProcedure="false">"c715"</definedName>
    <definedName function="false" hidden="false" name="IQ_MERGER_FIN" vbProcedure="false">"c716"</definedName>
    <definedName function="false" hidden="false" name="IQ_MERGER_INS" vbProcedure="false">"c717"</definedName>
    <definedName function="false" hidden="false" name="IQ_MERGER_REIT" vbProcedure="false">"c718"</definedName>
    <definedName function="false" hidden="false" name="IQ_MERGER_RESTRUCTURE" vbProcedure="false">"c719"</definedName>
    <definedName function="false" hidden="false" name="IQ_MERGER_RESTRUCTURE_BNK" vbProcedure="false">"c720"</definedName>
    <definedName function="false" hidden="false" name="IQ_MERGER_RESTRUCTURE_BR" vbProcedure="false">"c721"</definedName>
    <definedName function="false" hidden="false" name="IQ_MERGER_RESTRUCTURE_FIN" vbProcedure="false">"c722"</definedName>
    <definedName function="false" hidden="false" name="IQ_MERGER_RESTRUCTURE_INS" vbProcedure="false">"c723"</definedName>
    <definedName function="false" hidden="false" name="IQ_MERGER_RESTRUCTURE_REIT" vbProcedure="false">"c724"</definedName>
    <definedName function="false" hidden="false" name="IQ_MERGER_RESTRUCTURE_UTI" vbProcedure="false">"c725"</definedName>
    <definedName function="false" hidden="false" name="IQ_MERGER_UTI" vbProcedure="false">"c726"</definedName>
    <definedName function="false" hidden="false" name="IQ_MINORITY_INTEREST" vbProcedure="false">"c727"</definedName>
    <definedName function="false" hidden="false" name="IQ_MINORITY_INTEREST_BNK" vbProcedure="false">"c728"</definedName>
    <definedName function="false" hidden="false" name="IQ_MINORITY_INTEREST_BR" vbProcedure="false">"c729"</definedName>
    <definedName function="false" hidden="false" name="IQ_MINORITY_INTEREST_CF" vbProcedure="false">"c730"</definedName>
    <definedName function="false" hidden="false" name="IQ_MINORITY_INTEREST_FIN" vbProcedure="false">"c731"</definedName>
    <definedName function="false" hidden="false" name="IQ_MINORITY_INTEREST_INS" vbProcedure="false">"c732"</definedName>
    <definedName function="false" hidden="false" name="IQ_MINORITY_INTEREST_IS" vbProcedure="false">"c733"</definedName>
    <definedName function="false" hidden="false" name="IQ_MINORITY_INTEREST_REIT" vbProcedure="false">"c734"</definedName>
    <definedName function="false" hidden="false" name="IQ_MINORITY_INTEREST_UTI" vbProcedure="false">"c735"</definedName>
    <definedName function="false" hidden="false" name="IQ_MISC_ADJUST_CF" vbProcedure="false">"c736"</definedName>
    <definedName function="false" hidden="false" name="IQ_MISC_EARN_ADJ" vbProcedure="false">"c1603"</definedName>
    <definedName function="false" hidden="false" name="IQ_MKTCAP_EBT_EXCL" vbProcedure="false">"c737"</definedName>
    <definedName function="false" hidden="false" name="IQ_MKTCAP_EBT_EXCL_AVG" vbProcedure="false">"c738"</definedName>
    <definedName function="false" hidden="false" name="IQ_MKTCAP_EBT_INCL_AVG" vbProcedure="false">"c739"</definedName>
    <definedName function="false" hidden="false" name="IQ_MKTCAP_TOTAL_REV" vbProcedure="false">"c740"</definedName>
    <definedName function="false" hidden="false" name="IQ_MKTCAP_TOTAL_REV_AVG" vbProcedure="false">"c741"</definedName>
    <definedName function="false" hidden="false" name="IQ_MKTCAP_TOTAL_REV_FWD" vbProcedure="false">"c742"</definedName>
    <definedName function="false" hidden="false" name="IQ_MM_ACCOUNT" vbProcedure="false">"c743"</definedName>
    <definedName function="false" hidden="false" name="IQ_MORT_BANKING_FEE" vbProcedure="false">"c745"</definedName>
    <definedName function="false" hidden="false" name="IQ_MORT_BANK_ACT" vbProcedure="false">"c744"</definedName>
    <definedName function="false" hidden="false" name="IQ_MORT_INT_INC" vbProcedure="false">"c746"</definedName>
    <definedName function="false" hidden="false" name="IQ_MORT_LOANS" vbProcedure="false">"c747"</definedName>
    <definedName function="false" hidden="false" name="IQ_MORT_SECURITY" vbProcedure="false">"c748"</definedName>
    <definedName function="false" hidden="false" name="IQ_NET_CHANGE" vbProcedure="false">"c749"</definedName>
    <definedName function="false" hidden="false" name="IQ_NET_DEBT" vbProcedure="false">"c1584"</definedName>
    <definedName function="false" hidden="false" name="IQ_NET_DEBT_EBITDA" vbProcedure="false">"c750"</definedName>
    <definedName function="false" hidden="false" name="IQ_NET_DEBT_ISSUED" vbProcedure="false">"c751"</definedName>
    <definedName function="false" hidden="false" name="IQ_NET_DEBT_ISSUED_BNK" vbProcedure="false">"c752"</definedName>
    <definedName function="false" hidden="false" name="IQ_NET_DEBT_ISSUED_BR" vbProcedure="false">"c753"</definedName>
    <definedName function="false" hidden="false" name="IQ_NET_DEBT_ISSUED_FIN" vbProcedure="false">"c754"</definedName>
    <definedName function="false" hidden="false" name="IQ_NET_DEBT_ISSUED_INS" vbProcedure="false">"c755"</definedName>
    <definedName function="false" hidden="false" name="IQ_NET_DEBT_ISSUED_REIT" vbProcedure="false">"c756"</definedName>
    <definedName function="false" hidden="false" name="IQ_NET_DEBT_ISSUED_UTI" vbProcedure="false">"c757"</definedName>
    <definedName function="false" hidden="false" name="IQ_NET_INC" vbProcedure="false">"c781"</definedName>
    <definedName function="false" hidden="false" name="IQ_NET_INC_BEFORE" vbProcedure="false">"c344"</definedName>
    <definedName function="false" hidden="false" name="IQ_NET_INC_CF" vbProcedure="false">"c793"</definedName>
    <definedName function="false" hidden="false" name="IQ_NET_INC_MARGIN" vbProcedure="false">"c794"</definedName>
    <definedName function="false" hidden="false" name="IQ_NET_INTEREST_EXP" vbProcedure="false">"c769"</definedName>
    <definedName function="false" hidden="false" name="IQ_NET_INTEREST_EXP_REIT" vbProcedure="false">"c770"</definedName>
    <definedName function="false" hidden="false" name="IQ_NET_INTEREST_EXP_UTI" vbProcedure="false">"c771"</definedName>
    <definedName function="false" hidden="false" name="IQ_NET_INTEREST_INC" vbProcedure="false">"c764"</definedName>
    <definedName function="false" hidden="false" name="IQ_NET_INTEREST_INC_AFTER_LL" vbProcedure="false">"c1604"</definedName>
    <definedName function="false" hidden="false" name="IQ_NET_INT_INC_10YR_ANN_GROWTH" vbProcedure="false">"c758"</definedName>
    <definedName function="false" hidden="false" name="IQ_NET_INT_INC_1YR_ANN_GROWTH" vbProcedure="false">"c759"</definedName>
    <definedName function="false" hidden="false" name="IQ_NET_INT_INC_2YR_ANN_GROWTH" vbProcedure="false">"c760"</definedName>
    <definedName function="false" hidden="false" name="IQ_NET_INT_INC_3YR_ANN_GROWTH" vbProcedure="false">"c761"</definedName>
    <definedName function="false" hidden="false" name="IQ_NET_INT_INC_5YR_ANN_GROWTH" vbProcedure="false">"c762"</definedName>
    <definedName function="false" hidden="false" name="IQ_NET_INT_INC_7YR_ANN_GROWTH" vbProcedure="false">"c763"</definedName>
    <definedName function="false" hidden="false" name="IQ_NET_INT_INC_BNK" vbProcedure="false">"c764"</definedName>
    <definedName function="false" hidden="false" name="IQ_NET_INT_INC_BR" vbProcedure="false">"c765"</definedName>
    <definedName function="false" hidden="false" name="IQ_NET_INT_INC_FIN" vbProcedure="false">"c766"</definedName>
    <definedName function="false" hidden="false" name="IQ_NET_INT_INC_TOTAL_REV" vbProcedure="false">"c767"</definedName>
    <definedName function="false" hidden="false" name="IQ_NET_INT_MARGIN" vbProcedure="false">"c768"</definedName>
    <definedName function="false" hidden="false" name="IQ_NET_LOANS" vbProcedure="false">"c772"</definedName>
    <definedName function="false" hidden="false" name="IQ_NET_LOANS_10YR_ANN_GROWTH" vbProcedure="false">"c773"</definedName>
    <definedName function="false" hidden="false" name="IQ_NET_LOANS_1YR_ANN_GROWTH" vbProcedure="false">"c774"</definedName>
    <definedName function="false" hidden="false" name="IQ_NET_LOANS_2YR_ANN_GROWTH" vbProcedure="false">"c775"</definedName>
    <definedName function="false" hidden="false" name="IQ_NET_LOANS_3YR_ANN_GROWTH" vbProcedure="false">"c776"</definedName>
    <definedName function="false" hidden="false" name="IQ_NET_LOANS_5YR_ANN_GROWTH" vbProcedure="false">"c777"</definedName>
    <definedName function="false" hidden="false" name="IQ_NET_LOANS_7YR_ANN_GROWTH" vbProcedure="false">"c778"</definedName>
    <definedName function="false" hidden="false" name="IQ_NET_LOANS_TOTAL_DEPOSITS" vbProcedure="false">"c779"</definedName>
    <definedName function="false" hidden="false" name="IQ_NET_RENTAL_EXP_FN" vbProcedure="false">"c780"</definedName>
    <definedName function="false" hidden="false" name="IQ_NI" vbProcedure="false">"c781"</definedName>
    <definedName function="false" hidden="false" name="IQ_NI_10YR_ANN_GROWTH" vbProcedure="false">"c782"</definedName>
    <definedName function="false" hidden="false" name="IQ_NI_1YR_ANN_GROWTH" vbProcedure="false">"c783"</definedName>
    <definedName function="false" hidden="false" name="IQ_NI_2YR_ANN_GROWTH" vbProcedure="false">"c784"</definedName>
    <definedName function="false" hidden="false" name="IQ_NI_3YR_ANN_GROWTH" vbProcedure="false">"c785"</definedName>
    <definedName function="false" hidden="false" name="IQ_NI_5YR_ANN_GROWTH" vbProcedure="false">"c786"</definedName>
    <definedName function="false" hidden="false" name="IQ_NI_7YR_ANN_GROWTH" vbProcedure="false">"c787"</definedName>
    <definedName function="false" hidden="false" name="IQ_NI_AFTER_CAPITALIZED" vbProcedure="false">"c788"</definedName>
    <definedName function="false" hidden="false" name="IQ_NI_AVAIL_EXCL" vbProcedure="false">"c789"</definedName>
    <definedName function="false" hidden="false" name="IQ_NI_AVAIL_EXCL_MARGIN" vbProcedure="false">"c790"</definedName>
    <definedName function="false" hidden="false" name="IQ_NI_AVAIL_INCL" vbProcedure="false">"c791"</definedName>
    <definedName function="false" hidden="false" name="IQ_NI_BEFORE_CAPITALIZED" vbProcedure="false">"c792"</definedName>
    <definedName function="false" hidden="false" name="IQ_NI_CF" vbProcedure="false">"c793"</definedName>
    <definedName function="false" hidden="false" name="IQ_NI_MARGIN" vbProcedure="false">"c794"</definedName>
    <definedName function="false" hidden="false" name="IQ_NI_SFAS" vbProcedure="false">"c795"</definedName>
    <definedName function="false" hidden="false" name="IQ_NON_ACCRUAL_LOANS" vbProcedure="false">"c796"</definedName>
    <definedName function="false" hidden="false" name="IQ_NON_CASH" vbProcedure="false">"c797"</definedName>
    <definedName function="false" hidden="false" name="IQ_NON_CASH_ITEMS" vbProcedure="false">"c797"</definedName>
    <definedName function="false" hidden="false" name="IQ_NON_INS_EXP" vbProcedure="false">"c798"</definedName>
    <definedName function="false" hidden="false" name="IQ_NON_INS_REV" vbProcedure="false">"c799"</definedName>
    <definedName function="false" hidden="false" name="IQ_NON_INTEREST_EXP" vbProcedure="false">"c801"</definedName>
    <definedName function="false" hidden="false" name="IQ_NON_INTEREST_INC" vbProcedure="false">"c802"</definedName>
    <definedName function="false" hidden="false" name="IQ_NON_INT_BEAR_CD" vbProcedure="false">"c800"</definedName>
    <definedName function="false" hidden="false" name="IQ_NON_INT_EXP" vbProcedure="false">"c801"</definedName>
    <definedName function="false" hidden="false" name="IQ_NON_INT_INC" vbProcedure="false">"c802"</definedName>
    <definedName function="false" hidden="false" name="IQ_NON_INT_INC_10YR_ANN_GROWTH" vbProcedure="false">"c803"</definedName>
    <definedName function="false" hidden="false" name="IQ_NON_INT_INC_1YR_ANN_GROWTH" vbProcedure="false">"c804"</definedName>
    <definedName function="false" hidden="false" name="IQ_NON_INT_INC_2YR_ANN_GROWTH" vbProcedure="false">"c805"</definedName>
    <definedName function="false" hidden="false" name="IQ_NON_INT_INC_3YR_ANN_GROWTH" vbProcedure="false">"c806"</definedName>
    <definedName function="false" hidden="false" name="IQ_NON_INT_INC_5YR_ANN_GROWTH" vbProcedure="false">"c807"</definedName>
    <definedName function="false" hidden="false" name="IQ_NON_INT_INC_7YR_ANN_GROWTH" vbProcedure="false">"c808"</definedName>
    <definedName function="false" hidden="false" name="IQ_NON_OPER_EXP" vbProcedure="false">"c809"</definedName>
    <definedName function="false" hidden="false" name="IQ_NON_OPER_INC" vbProcedure="false">"c810"</definedName>
    <definedName function="false" hidden="false" name="IQ_NON_PERFORMING_ASSETS" vbProcedure="false">"c826"</definedName>
    <definedName function="false" hidden="false" name="IQ_NON_PERFORMING_LOANS" vbProcedure="false">"c827"</definedName>
    <definedName function="false" hidden="false" name="IQ_NON_PERF_ASSETS_10YR_ANN_GROWTH" vbProcedure="false">"c811"</definedName>
    <definedName function="false" hidden="false" name="IQ_NON_PERF_ASSETS_1YR_ANN_GROWTH" vbProcedure="false">"c812"</definedName>
    <definedName function="false" hidden="false" name="IQ_NON_PERF_ASSETS_2YR_ANN_GROWTH" vbProcedure="false">"c813"</definedName>
    <definedName function="false" hidden="false" name="IQ_NON_PERF_ASSETS_3YR_ANN_GROWTH" vbProcedure="false">"c814"</definedName>
    <definedName function="false" hidden="false" name="IQ_NON_PERF_ASSETS_5YR_ANN_GROWTH" vbProcedure="false">"c815"</definedName>
    <definedName function="false" hidden="false" name="IQ_NON_PERF_ASSETS_7YR_ANN_GROWTH" vbProcedure="false">"c816"</definedName>
    <definedName function="false" hidden="false" name="IQ_NON_PERF_ASSETS_TOTAL_ASSETS" vbProcedure="false">"c817"</definedName>
    <definedName function="false" hidden="false" name="IQ_NON_PERF_LOANS_10YR_ANN_GROWTH" vbProcedure="false">"c818"</definedName>
    <definedName function="false" hidden="false" name="IQ_NON_PERF_LOANS_1YR_ANN_GROWTH" vbProcedure="false">"c819"</definedName>
    <definedName function="false" hidden="false" name="IQ_NON_PERF_LOANS_2YR_ANN_GROWTH" vbProcedure="false">"c820"</definedName>
    <definedName function="false" hidden="false" name="IQ_NON_PERF_LOANS_3YR_ANN_GROWTH" vbProcedure="false">"c821"</definedName>
    <definedName function="false" hidden="false" name="IQ_NON_PERF_LOANS_5YR_ANN_GROWTH" vbProcedure="false">"c822"</definedName>
    <definedName function="false" hidden="false" name="IQ_NON_PERF_LOANS_7YR_ANN_GROWTH" vbProcedure="false">"c823"</definedName>
    <definedName function="false" hidden="false" name="IQ_NON_PERF_LOANS_TOTAL_ASSETS" vbProcedure="false">"c824"</definedName>
    <definedName function="false" hidden="false" name="IQ_NON_PERF_LOANS_TOTAL_LOANS" vbProcedure="false">"c825"</definedName>
    <definedName function="false" hidden="false" name="IQ_NORMAL_INC_AFTER" vbProcedure="false">"c1605"</definedName>
    <definedName function="false" hidden="false" name="IQ_NORMAL_INC_AVAIL" vbProcedure="false">"c1606"</definedName>
    <definedName function="false" hidden="false" name="IQ_NORMAL_INC_BEFORE" vbProcedure="false">"c1607"</definedName>
    <definedName function="false" hidden="false" name="IQ_NOTES_PAY" vbProcedure="false">"c1176"</definedName>
    <definedName function="false" hidden="false" name="IQ_NOW_ACCOUNT" vbProcedure="false">"c828"</definedName>
    <definedName function="false" hidden="false" name="IQ_NPPE" vbProcedure="false">"c829"</definedName>
    <definedName function="false" hidden="false" name="IQ_NPPE_10YR_ANN_GROWTH" vbProcedure="false">"c830"</definedName>
    <definedName function="false" hidden="false" name="IQ_NPPE_1YR_ANN_GROWTH" vbProcedure="false">"c831"</definedName>
    <definedName function="false" hidden="false" name="IQ_NPPE_2YR_ANN_GROWTH" vbProcedure="false">"c832"</definedName>
    <definedName function="false" hidden="false" name="IQ_NPPE_3YR_ANN_GROWTH" vbProcedure="false">"c833"</definedName>
    <definedName function="false" hidden="false" name="IQ_NPPE_5YR_ANN_GROWTH" vbProcedure="false">"c834"</definedName>
    <definedName function="false" hidden="false" name="IQ_NPPE_7YR_ANN_GROWTH" vbProcedure="false">"c835"</definedName>
    <definedName function="false" hidden="false" name="IQ_NTM" vbProcedure="false">6000</definedName>
    <definedName function="false" hidden="false" name="IQ_NUKE" vbProcedure="false">"c836"</definedName>
    <definedName function="false" hidden="false" name="IQ_NUKE_CF" vbProcedure="false">"c837"</definedName>
    <definedName function="false" hidden="false" name="IQ_NUKE_CONTR" vbProcedure="false">"c838"</definedName>
    <definedName function="false" hidden="false" name="IQ_OCCUPY_EXP" vbProcedure="false">"c839"</definedName>
    <definedName function="false" hidden="false" name="IQ_OIL_IMPAIR" vbProcedure="false">"c840"</definedName>
    <definedName function="false" hidden="false" name="IQ_OL_COMM_AFTER_FIVE" vbProcedure="false">"c841"</definedName>
    <definedName function="false" hidden="false" name="IQ_OL_COMM_CY" vbProcedure="false">"c842"</definedName>
    <definedName function="false" hidden="false" name="IQ_OL_COMM_CY1" vbProcedure="false">"c843"</definedName>
    <definedName function="false" hidden="false" name="IQ_OL_COMM_CY2" vbProcedure="false">"c844"</definedName>
    <definedName function="false" hidden="false" name="IQ_OL_COMM_CY3" vbProcedure="false">"c845"</definedName>
    <definedName function="false" hidden="false" name="IQ_OL_COMM_CY4" vbProcedure="false">"c846"</definedName>
    <definedName function="false" hidden="false" name="IQ_OL_COMM_NEXT_FIVE" vbProcedure="false">"c847"</definedName>
    <definedName function="false" hidden="false" name="IQ_OPENPRICE" vbProcedure="false">"c848"</definedName>
    <definedName function="false" hidden="false" name="IQ_OPERATIONS_EXP" vbProcedure="false">"c855"</definedName>
    <definedName function="false" hidden="false" name="IQ_OPER_INC" vbProcedure="false">"c849"</definedName>
    <definedName function="false" hidden="false" name="IQ_OPER_INC_BR" vbProcedure="false">"c850"</definedName>
    <definedName function="false" hidden="false" name="IQ_OPER_INC_FIN" vbProcedure="false">"c851"</definedName>
    <definedName function="false" hidden="false" name="IQ_OPER_INC_INS" vbProcedure="false">"c852"</definedName>
    <definedName function="false" hidden="false" name="IQ_OPER_INC_MARGIN" vbProcedure="false">"c362"</definedName>
    <definedName function="false" hidden="false" name="IQ_OPER_INC_REIT" vbProcedure="false">"c853"</definedName>
    <definedName function="false" hidden="false" name="IQ_OPER_INC_UTI" vbProcedure="false">"c854"</definedName>
    <definedName function="false" hidden="false" name="IQ_OPTIONS_BEG_OS" vbProcedure="false">"c1572"</definedName>
    <definedName function="false" hidden="false" name="IQ_OPTIONS_CANCELLED" vbProcedure="false">"c856"</definedName>
    <definedName function="false" hidden="false" name="IQ_OPTIONS_END_OS" vbProcedure="false">"c1573"</definedName>
    <definedName function="false" hidden="false" name="IQ_OPTIONS_ISSUED" vbProcedure="false">"c857"</definedName>
    <definedName function="false" hidden="false" name="IQ_OTHER_ADJUST_GROSS_LOANS" vbProcedure="false">"c859"</definedName>
    <definedName function="false" hidden="false" name="IQ_OTHER_ASSETS" vbProcedure="false">"c860"</definedName>
    <definedName function="false" hidden="false" name="IQ_OTHER_ASSETS_BNK" vbProcedure="false">"c861"</definedName>
    <definedName function="false" hidden="false" name="IQ_OTHER_ASSETS_BR" vbProcedure="false">"c862"</definedName>
    <definedName function="false" hidden="false" name="IQ_OTHER_ASSETS_FIN" vbProcedure="false">"c863"</definedName>
    <definedName function="false" hidden="false" name="IQ_OTHER_ASSETS_INS" vbProcedure="false">"c864"</definedName>
    <definedName function="false" hidden="false" name="IQ_OTHER_ASSETS_REIT" vbProcedure="false">"c865"</definedName>
    <definedName function="false" hidden="false" name="IQ_OTHER_ASSETS_UTI" vbProcedure="false">"c866"</definedName>
    <definedName function="false" hidden="false" name="IQ_OTHER_BEARING_LIAB" vbProcedure="false">"c1608"</definedName>
    <definedName function="false" hidden="false" name="IQ_OTHER_BENEFITS_OBLIGATION" vbProcedure="false">"c867"</definedName>
    <definedName function="false" hidden="false" name="IQ_OTHER_CA" vbProcedure="false">"c868"</definedName>
    <definedName function="false" hidden="false" name="IQ_OTHER_CA_SUPPL" vbProcedure="false">"c869"</definedName>
    <definedName function="false" hidden="false" name="IQ_OTHER_CA_SUPPL_BNK" vbProcedure="false">"c870"</definedName>
    <definedName function="false" hidden="false" name="IQ_OTHER_CA_SUPPL_BR" vbProcedure="false">"c871"</definedName>
    <definedName function="false" hidden="false" name="IQ_OTHER_CA_SUPPL_FIN" vbProcedure="false">"c872"</definedName>
    <definedName function="false" hidden="false" name="IQ_OTHER_CA_SUPPL_INS" vbProcedure="false">"c873"</definedName>
    <definedName function="false" hidden="false" name="IQ_OTHER_CA_SUPPL_REIT" vbProcedure="false">"c874"</definedName>
    <definedName function="false" hidden="false" name="IQ_OTHER_CA_SUPPL_UTI" vbProcedure="false">"c875"</definedName>
    <definedName function="false" hidden="false" name="IQ_OTHER_CA_UTI" vbProcedure="false">"c876"</definedName>
    <definedName function="false" hidden="false" name="IQ_OTHER_CL" vbProcedure="false">"c877"</definedName>
    <definedName function="false" hidden="false" name="IQ_OTHER_CL_SUPPL" vbProcedure="false">"c878"</definedName>
    <definedName function="false" hidden="false" name="IQ_OTHER_CL_SUPPL_BNK" vbProcedure="false">"c879"</definedName>
    <definedName function="false" hidden="false" name="IQ_OTHER_CL_SUPPL_BR" vbProcedure="false">"c880"</definedName>
    <definedName function="false" hidden="false" name="IQ_OTHER_CL_SUPPL_FIN" vbProcedure="false">"c881"</definedName>
    <definedName function="false" hidden="false" name="IQ_OTHER_CL_SUPPL_REIT" vbProcedure="false">"c882"</definedName>
    <definedName function="false" hidden="false" name="IQ_OTHER_CL_SUPPL_UTI" vbProcedure="false">"c883"</definedName>
    <definedName function="false" hidden="false" name="IQ_OTHER_CL_UTI" vbProcedure="false">"c884"</definedName>
    <definedName function="false" hidden="false" name="IQ_OTHER_CURRENT_ASSETS" vbProcedure="false">"c868"</definedName>
    <definedName function="false" hidden="false" name="IQ_OTHER_CURRENT_LIAB" vbProcedure="false">"c877"</definedName>
    <definedName function="false" hidden="false" name="IQ_OTHER_DEP" vbProcedure="false">"c885"</definedName>
    <definedName function="false" hidden="false" name="IQ_OTHER_EARNING" vbProcedure="false">"c1609"</definedName>
    <definedName function="false" hidden="false" name="IQ_OTHER_EQUITY" vbProcedure="false">"c886"</definedName>
    <definedName function="false" hidden="false" name="IQ_OTHER_EQUITY_BNK" vbProcedure="false">"c887"</definedName>
    <definedName function="false" hidden="false" name="IQ_OTHER_EQUITY_BR" vbProcedure="false">"c888"</definedName>
    <definedName function="false" hidden="false" name="IQ_OTHER_EQUITY_FIN" vbProcedure="false">"c889"</definedName>
    <definedName function="false" hidden="false" name="IQ_OTHER_EQUITY_INS" vbProcedure="false">"c890"</definedName>
    <definedName function="false" hidden="false" name="IQ_OTHER_EQUITY_REIT" vbProcedure="false">"c891"</definedName>
    <definedName function="false" hidden="false" name="IQ_OTHER_EQUITY_UTI" vbProcedure="false">"c892"</definedName>
    <definedName function="false" hidden="false" name="IQ_OTHER_FINANCE_ACT" vbProcedure="false">"c893"</definedName>
    <definedName function="false" hidden="false" name="IQ_OTHER_FINANCE_ACT_BNK" vbProcedure="false">"c894"</definedName>
    <definedName function="false" hidden="false" name="IQ_OTHER_FINANCE_ACT_BR" vbProcedure="false">"c895"</definedName>
    <definedName function="false" hidden="false" name="IQ_OTHER_FINANCE_ACT_FIN" vbProcedure="false">"c896"</definedName>
    <definedName function="false" hidden="false" name="IQ_OTHER_FINANCE_ACT_INS" vbProcedure="false">"c897"</definedName>
    <definedName function="false" hidden="false" name="IQ_OTHER_FINANCE_ACT_REIT" vbProcedure="false">"c898"</definedName>
    <definedName function="false" hidden="false" name="IQ_OTHER_FINANCE_ACT_SUPPL" vbProcedure="false">"c899"</definedName>
    <definedName function="false" hidden="false" name="IQ_OTHER_FINANCE_ACT_SUPPL_BNK" vbProcedure="false">"c900"</definedName>
    <definedName function="false" hidden="false" name="IQ_OTHER_FINANCE_ACT_SUPPL_BR" vbProcedure="false">"c901"</definedName>
    <definedName function="false" hidden="false" name="IQ_OTHER_FINANCE_ACT_SUPPL_FIN" vbProcedure="false">"c902"</definedName>
    <definedName function="false" hidden="false" name="IQ_OTHER_FINANCE_ACT_SUPPL_INS" vbProcedure="false">"c903"</definedName>
    <definedName function="false" hidden="false" name="IQ_OTHER_FINANCE_ACT_SUPPL_REIT" vbProcedure="false">"c904"</definedName>
    <definedName function="false" hidden="false" name="IQ_OTHER_FINANCE_ACT_SUPPL_UTI" vbProcedure="false">"c905"</definedName>
    <definedName function="false" hidden="false" name="IQ_OTHER_FINANCE_ACT_UTI" vbProcedure="false">"c906"</definedName>
    <definedName function="false" hidden="false" name="IQ_OTHER_INTAN" vbProcedure="false">"c907"</definedName>
    <definedName function="false" hidden="false" name="IQ_OTHER_INTAN_BNK" vbProcedure="false">"c908"</definedName>
    <definedName function="false" hidden="false" name="IQ_OTHER_INTAN_BR" vbProcedure="false">"c909"</definedName>
    <definedName function="false" hidden="false" name="IQ_OTHER_INTAN_FIN" vbProcedure="false">"c910"</definedName>
    <definedName function="false" hidden="false" name="IQ_OTHER_INTAN_INS" vbProcedure="false">"c911"</definedName>
    <definedName function="false" hidden="false" name="IQ_OTHER_INTAN_REIT" vbProcedure="false">"c912"</definedName>
    <definedName function="false" hidden="false" name="IQ_OTHER_INTAN_UTI" vbProcedure="false">"c913"</definedName>
    <definedName function="false" hidden="false" name="IQ_OTHER_INV" vbProcedure="false">"c914"</definedName>
    <definedName function="false" hidden="false" name="IQ_OTHER_INVEST" vbProcedure="false">"c915"</definedName>
    <definedName function="false" hidden="false" name="IQ_OTHER_INVESTING" vbProcedure="false">"c916"</definedName>
    <definedName function="false" hidden="false" name="IQ_OTHER_INVEST_ACT" vbProcedure="false">"c916"</definedName>
    <definedName function="false" hidden="false" name="IQ_OTHER_INVEST_ACT_BNK" vbProcedure="false">"c917"</definedName>
    <definedName function="false" hidden="false" name="IQ_OTHER_INVEST_ACT_BR" vbProcedure="false">"c918"</definedName>
    <definedName function="false" hidden="false" name="IQ_OTHER_INVEST_ACT_FIN" vbProcedure="false">"c919"</definedName>
    <definedName function="false" hidden="false" name="IQ_OTHER_INVEST_ACT_INS" vbProcedure="false">"c920"</definedName>
    <definedName function="false" hidden="false" name="IQ_OTHER_INVEST_ACT_REIT" vbProcedure="false">"c921"</definedName>
    <definedName function="false" hidden="false" name="IQ_OTHER_INVEST_ACT_SUPPL" vbProcedure="false">"c922"</definedName>
    <definedName function="false" hidden="false" name="IQ_OTHER_INVEST_ACT_SUPPL_BNK" vbProcedure="false">"c923"</definedName>
    <definedName function="false" hidden="false" name="IQ_OTHER_INVEST_ACT_SUPPL_BR" vbProcedure="false">"c924"</definedName>
    <definedName function="false" hidden="false" name="IQ_OTHER_INVEST_ACT_SUPPL_FIN" vbProcedure="false">"c925"</definedName>
    <definedName function="false" hidden="false" name="IQ_OTHER_INVEST_ACT_SUPPL_INS" vbProcedure="false">"c926"</definedName>
    <definedName function="false" hidden="false" name="IQ_OTHER_INVEST_ACT_SUPPL_REIT" vbProcedure="false">"c927"</definedName>
    <definedName function="false" hidden="false" name="IQ_OTHER_INVEST_ACT_SUPPL_UTI" vbProcedure="false">"c928"</definedName>
    <definedName function="false" hidden="false" name="IQ_OTHER_INVEST_ACT_UTI" vbProcedure="false">"c929"</definedName>
    <definedName function="false" hidden="false" name="IQ_OTHER_LIAB" vbProcedure="false">"c930"</definedName>
    <definedName function="false" hidden="false" name="IQ_OTHER_LIAB_BNK" vbProcedure="false">"c931"</definedName>
    <definedName function="false" hidden="false" name="IQ_OTHER_LIAB_BR" vbProcedure="false">"c932"</definedName>
    <definedName function="false" hidden="false" name="IQ_OTHER_LIAB_FIN" vbProcedure="false">"c933"</definedName>
    <definedName function="false" hidden="false" name="IQ_OTHER_LIAB_INS" vbProcedure="false">"c934"</definedName>
    <definedName function="false" hidden="false" name="IQ_OTHER_LIAB_LT" vbProcedure="false">"c935"</definedName>
    <definedName function="false" hidden="false" name="IQ_OTHER_LIAB_LT_BNK" vbProcedure="false">"c936"</definedName>
    <definedName function="false" hidden="false" name="IQ_OTHER_LIAB_LT_BR" vbProcedure="false">"c937"</definedName>
    <definedName function="false" hidden="false" name="IQ_OTHER_LIAB_LT_FIN" vbProcedure="false">"c938"</definedName>
    <definedName function="false" hidden="false" name="IQ_OTHER_LIAB_LT_INS" vbProcedure="false">"c939"</definedName>
    <definedName function="false" hidden="false" name="IQ_OTHER_LIAB_LT_REIT" vbProcedure="false">"c940"</definedName>
    <definedName function="false" hidden="false" name="IQ_OTHER_LIAB_LT_UTI" vbProcedure="false">"c941"</definedName>
    <definedName function="false" hidden="false" name="IQ_OTHER_LIAB_REIT" vbProcedure="false">"c942"</definedName>
    <definedName function="false" hidden="false" name="IQ_OTHER_LIAB_UTI" vbProcedure="false">"c943"</definedName>
    <definedName function="false" hidden="false" name="IQ_OTHER_LIAB_WRITTEN" vbProcedure="false">"c944"</definedName>
    <definedName function="false" hidden="false" name="IQ_OTHER_LOANS" vbProcedure="false">"c945"</definedName>
    <definedName function="false" hidden="false" name="IQ_OTHER_LONG_TERM" vbProcedure="false">"c946"</definedName>
    <definedName function="false" hidden="false" name="IQ_OTHER_LT_ASSETS" vbProcedure="false">"c946"</definedName>
    <definedName function="false" hidden="false" name="IQ_OTHER_LT_ASSETS_BNK" vbProcedure="false">"c947"</definedName>
    <definedName function="false" hidden="false" name="IQ_OTHER_LT_ASSETS_BR" vbProcedure="false">"c948"</definedName>
    <definedName function="false" hidden="false" name="IQ_OTHER_LT_ASSETS_FIN" vbProcedure="false">"c949"</definedName>
    <definedName function="false" hidden="false" name="IQ_OTHER_LT_ASSETS_INS" vbProcedure="false">"c950"</definedName>
    <definedName function="false" hidden="false" name="IQ_OTHER_LT_ASSETS_REIT" vbProcedure="false">"c951"</definedName>
    <definedName function="false" hidden="false" name="IQ_OTHER_LT_ASSETS_UTI" vbProcedure="false">"c952"</definedName>
    <definedName function="false" hidden="false" name="IQ_OTHER_NET" vbProcedure="false">"c959"</definedName>
    <definedName function="false" hidden="false" name="IQ_OTHER_NON_INT_EXP" vbProcedure="false">"c953"</definedName>
    <definedName function="false" hidden="false" name="IQ_OTHER_NON_INT_EXP_TOTAL" vbProcedure="false">"c954"</definedName>
    <definedName function="false" hidden="false" name="IQ_OTHER_NON_INT_INC" vbProcedure="false">"c955"</definedName>
    <definedName function="false" hidden="false" name="IQ_OTHER_NON_OPER_EXP" vbProcedure="false">"c956"</definedName>
    <definedName function="false" hidden="false" name="IQ_OTHER_NON_OPER_EXP_BR" vbProcedure="false">"c957"</definedName>
    <definedName function="false" hidden="false" name="IQ_OTHER_NON_OPER_EXP_FIN" vbProcedure="false">"c958"</definedName>
    <definedName function="false" hidden="false" name="IQ_OTHER_NON_OPER_EXP_INS" vbProcedure="false">"c959"</definedName>
    <definedName function="false" hidden="false" name="IQ_OTHER_NON_OPER_EXP_REIT" vbProcedure="false">"c960"</definedName>
    <definedName function="false" hidden="false" name="IQ_OTHER_NON_OPER_EXP_SUPPL" vbProcedure="false">"c961"</definedName>
    <definedName function="false" hidden="false" name="IQ_OTHER_NON_OPER_EXP_SUPPL_BR" vbProcedure="false">"c962"</definedName>
    <definedName function="false" hidden="false" name="IQ_OTHER_NON_OPER_EXP_SUPPL_FIN" vbProcedure="false">"c963"</definedName>
    <definedName function="false" hidden="false" name="IQ_OTHER_NON_OPER_EXP_SUPPL_INS" vbProcedure="false">"c964"</definedName>
    <definedName function="false" hidden="false" name="IQ_OTHER_NON_OPER_EXP_SUPPL_REIT" vbProcedure="false">"c965"</definedName>
    <definedName function="false" hidden="false" name="IQ_OTHER_NON_OPER_EXP_SUPPL_UTI" vbProcedure="false">"c966"</definedName>
    <definedName function="false" hidden="false" name="IQ_OTHER_NON_OPER_EXP_UTI" vbProcedure="false">"c967"</definedName>
    <definedName function="false" hidden="false" name="IQ_OTHER_OPER" vbProcedure="false">"c982"</definedName>
    <definedName function="false" hidden="false" name="IQ_OTHER_OPER_ACT" vbProcedure="false">"c983"</definedName>
    <definedName function="false" hidden="false" name="IQ_OTHER_OPER_ACT_BNK" vbProcedure="false">"c984"</definedName>
    <definedName function="false" hidden="false" name="IQ_OTHER_OPER_ACT_BR" vbProcedure="false">"c985"</definedName>
    <definedName function="false" hidden="false" name="IQ_OTHER_OPER_ACT_FIN" vbProcedure="false">"c986"</definedName>
    <definedName function="false" hidden="false" name="IQ_OTHER_OPER_ACT_INS" vbProcedure="false">"c987"</definedName>
    <definedName function="false" hidden="false" name="IQ_OTHER_OPER_ACT_REIT" vbProcedure="false">"c988"</definedName>
    <definedName function="false" hidden="false" name="IQ_OTHER_OPER_ACT_UTI" vbProcedure="false">"c989"</definedName>
    <definedName function="false" hidden="false" name="IQ_OTHER_OPER_BR" vbProcedure="false">"c990"</definedName>
    <definedName function="false" hidden="false" name="IQ_OTHER_OPER_FIN" vbProcedure="false">"c991"</definedName>
    <definedName function="false" hidden="false" name="IQ_OTHER_OPER_INS" vbProcedure="false">"c992"</definedName>
    <definedName function="false" hidden="false" name="IQ_OTHER_OPER_REIT" vbProcedure="false">"c993"</definedName>
    <definedName function="false" hidden="false" name="IQ_OTHER_OPER_SUPPL_BR" vbProcedure="false">"c994"</definedName>
    <definedName function="false" hidden="false" name="IQ_OTHER_OPER_SUPPL_FIN" vbProcedure="false">"c995"</definedName>
    <definedName function="false" hidden="false" name="IQ_OTHER_OPER_SUPPL_INS" vbProcedure="false">"c996"</definedName>
    <definedName function="false" hidden="false" name="IQ_OTHER_OPER_SUPPL_REIT" vbProcedure="false">"c997"</definedName>
    <definedName function="false" hidden="false" name="IQ_OTHER_OPER_SUPPL_UTI" vbProcedure="false">"c998"</definedName>
    <definedName function="false" hidden="false" name="IQ_OTHER_OPER_TOT_BNK" vbProcedure="false">"c999"</definedName>
    <definedName function="false" hidden="false" name="IQ_OTHER_OPER_TOT_BR" vbProcedure="false">"c1000"</definedName>
    <definedName function="false" hidden="false" name="IQ_OTHER_OPER_TOT_FIN" vbProcedure="false">"c1001"</definedName>
    <definedName function="false" hidden="false" name="IQ_OTHER_OPER_TOT_INS" vbProcedure="false">"c1002"</definedName>
    <definedName function="false" hidden="false" name="IQ_OTHER_OPER_TOT_REIT" vbProcedure="false">"c1003"</definedName>
    <definedName function="false" hidden="false" name="IQ_OTHER_OPER_TOT_UTI" vbProcedure="false">"c1004"</definedName>
    <definedName function="false" hidden="false" name="IQ_OTHER_OPER_UTI" vbProcedure="false">"c1005"</definedName>
    <definedName function="false" hidden="false" name="IQ_OTHER_PC_WRITTEN" vbProcedure="false">"c1006"</definedName>
    <definedName function="false" hidden="false" name="IQ_OTHER_REAL_ESTATE" vbProcedure="false">"c1007"</definedName>
    <definedName function="false" hidden="false" name="IQ_OTHER_RECEIV" vbProcedure="false">"c1008"</definedName>
    <definedName function="false" hidden="false" name="IQ_OTHER_RECEIV_INS" vbProcedure="false">"c1009"</definedName>
    <definedName function="false" hidden="false" name="IQ_OTHER_REV" vbProcedure="false">"c1010"</definedName>
    <definedName function="false" hidden="false" name="IQ_OTHER_REVENUE" vbProcedure="false">"c1010"</definedName>
    <definedName function="false" hidden="false" name="IQ_OTHER_REV_BR" vbProcedure="false">"c1011"</definedName>
    <definedName function="false" hidden="false" name="IQ_OTHER_REV_FIN" vbProcedure="false">"c1012"</definedName>
    <definedName function="false" hidden="false" name="IQ_OTHER_REV_INS" vbProcedure="false">"c1013"</definedName>
    <definedName function="false" hidden="false" name="IQ_OTHER_REV_REIT" vbProcedure="false">"c1014"</definedName>
    <definedName function="false" hidden="false" name="IQ_OTHER_REV_SUPPL" vbProcedure="false">"c1015"</definedName>
    <definedName function="false" hidden="false" name="IQ_OTHER_REV_SUPPL_BR" vbProcedure="false">"c1016"</definedName>
    <definedName function="false" hidden="false" name="IQ_OTHER_REV_SUPPL_FIN" vbProcedure="false">"c1017"</definedName>
    <definedName function="false" hidden="false" name="IQ_OTHER_REV_SUPPL_INS" vbProcedure="false">"c1018"</definedName>
    <definedName function="false" hidden="false" name="IQ_OTHER_REV_SUPPL_REIT" vbProcedure="false">"c1019"</definedName>
    <definedName function="false" hidden="false" name="IQ_OTHER_REV_SUPPL_UTI" vbProcedure="false">"c1020"</definedName>
    <definedName function="false" hidden="false" name="IQ_OTHER_REV_UTI" vbProcedure="false">"c1021"</definedName>
    <definedName function="false" hidden="false" name="IQ_OTHER_UNUSUAL" vbProcedure="false">"c1488"</definedName>
    <definedName function="false" hidden="false" name="IQ_OTHER_UNUSUAL_BNK" vbProcedure="false">"c1560"</definedName>
    <definedName function="false" hidden="false" name="IQ_OTHER_UNUSUAL_BR" vbProcedure="false">"c1561"</definedName>
    <definedName function="false" hidden="false" name="IQ_OTHER_UNUSUAL_FIN" vbProcedure="false">"c1562"</definedName>
    <definedName function="false" hidden="false" name="IQ_OTHER_UNUSUAL_INS" vbProcedure="false">"c1563"</definedName>
    <definedName function="false" hidden="false" name="IQ_OTHER_UNUSUAL_REIT" vbProcedure="false">"c1564"</definedName>
    <definedName function="false" hidden="false" name="IQ_OTHER_UNUSUAL_SUPPL" vbProcedure="false">"c1494"</definedName>
    <definedName function="false" hidden="false" name="IQ_OTHER_UNUSUAL_SUPPL_BNK" vbProcedure="false">"c1495"</definedName>
    <definedName function="false" hidden="false" name="IQ_OTHER_UNUSUAL_SUPPL_BR" vbProcedure="false">"c1496"</definedName>
    <definedName function="false" hidden="false" name="IQ_OTHER_UNUSUAL_SUPPL_FIN" vbProcedure="false">"c1497"</definedName>
    <definedName function="false" hidden="false" name="IQ_OTHER_UNUSUAL_SUPPL_INS" vbProcedure="false">"c1498"</definedName>
    <definedName function="false" hidden="false" name="IQ_OTHER_UNUSUAL_SUPPL_REIT" vbProcedure="false">"c1499"</definedName>
    <definedName function="false" hidden="false" name="IQ_OTHER_UNUSUAL_SUPPL_UTI" vbProcedure="false">"c1500"</definedName>
    <definedName function="false" hidden="false" name="IQ_OTHER_UNUSUAL_UTI" vbProcedure="false">"c1565"</definedName>
    <definedName function="false" hidden="false" name="IQ_OUTSTANDING_BS_DATE" vbProcedure="false">"c1022"</definedName>
    <definedName function="false" hidden="false" name="IQ_OUTSTANDING_FILING_DATE" vbProcedure="false">"c1023"</definedName>
    <definedName function="false" hidden="false" name="IQ_PART_TIME" vbProcedure="false">"c1024"</definedName>
    <definedName function="false" hidden="false" name="IQ_PAY_ACCRUED" vbProcedure="false">"c8"</definedName>
    <definedName function="false" hidden="false" name="IQ_PBV" vbProcedure="false">"c1025"</definedName>
    <definedName function="false" hidden="false" name="IQ_PBV_AVG" vbProcedure="false">"c1026"</definedName>
    <definedName function="false" hidden="false" name="IQ_PC_WRITTEN" vbProcedure="false">"c1027"</definedName>
    <definedName function="false" hidden="false" name="IQ_PENSION" vbProcedure="false">"c1031"</definedName>
    <definedName function="false" hidden="false" name="IQ_PERIODDATE" vbProcedure="false">"c1034"</definedName>
    <definedName function="false" hidden="false" name="IQ_PERIODDATE_BS" vbProcedure="false">"c1032"</definedName>
    <definedName function="false" hidden="false" name="IQ_PERIODDATE_CF" vbProcedure="false">"c1033"</definedName>
    <definedName function="false" hidden="false" name="IQ_PERIODDATE_IS" vbProcedure="false">"c1034"</definedName>
    <definedName function="false" hidden="false" name="IQ_PERIODLENGTH_CF" vbProcedure="false">"c1502"</definedName>
    <definedName function="false" hidden="false" name="IQ_PERIODLENGTH_IS" vbProcedure="false">"c1503"</definedName>
    <definedName function="false" hidden="false" name="IQ_PERTYPE" vbProcedure="false">"c1611"</definedName>
    <definedName function="false" hidden="false" name="IQ_PE_EXCL" vbProcedure="false">"c1028"</definedName>
    <definedName function="false" hidden="false" name="IQ_PE_EXCL_AVG" vbProcedure="false">"c1029"</definedName>
    <definedName function="false" hidden="false" name="IQ_PE_EXCL_FWD" vbProcedure="false">"c1030"</definedName>
    <definedName function="false" hidden="false" name="IQ_PE_RATIO" vbProcedure="false">"c1610"</definedName>
    <definedName function="false" hidden="false" name="IQ_POLICY_BENEFITS" vbProcedure="false">"c1036"</definedName>
    <definedName function="false" hidden="false" name="IQ_POLICY_COST" vbProcedure="false">"c1037"</definedName>
    <definedName function="false" hidden="false" name="IQ_POLICY_LIAB" vbProcedure="false">"c1612"</definedName>
    <definedName function="false" hidden="false" name="IQ_POLICY_LOANS" vbProcedure="false">"c1038"</definedName>
    <definedName function="false" hidden="false" name="IQ_POST_RETIRE_EXP" vbProcedure="false">"c1039"</definedName>
    <definedName function="false" hidden="false" name="IQ_PREF_CONVERT" vbProcedure="false">"c1041"</definedName>
    <definedName function="false" hidden="false" name="IQ_PREF_DIVID" vbProcedure="false">"c1461"</definedName>
    <definedName function="false" hidden="false" name="IQ_PREF_DIV_CF" vbProcedure="false">"c1042"</definedName>
    <definedName function="false" hidden="false" name="IQ_PREF_DIV_OTHER" vbProcedure="false">"c1043"</definedName>
    <definedName function="false" hidden="false" name="IQ_PREF_EQUITY" vbProcedure="false">"c1044"</definedName>
    <definedName function="false" hidden="false" name="IQ_PREF_ISSUED" vbProcedure="false">"c1045"</definedName>
    <definedName function="false" hidden="false" name="IQ_PREF_ISSUED_BNK" vbProcedure="false">"c1046"</definedName>
    <definedName function="false" hidden="false" name="IQ_PREF_ISSUED_BR" vbProcedure="false">"c1047"</definedName>
    <definedName function="false" hidden="false" name="IQ_PREF_ISSUED_FIN" vbProcedure="false">"c1048"</definedName>
    <definedName function="false" hidden="false" name="IQ_PREF_ISSUED_INS" vbProcedure="false">"c1049"</definedName>
    <definedName function="false" hidden="false" name="IQ_PREF_ISSUED_REIT" vbProcedure="false">"c1050"</definedName>
    <definedName function="false" hidden="false" name="IQ_PREF_ISSUED_UTI" vbProcedure="false">"c1051"</definedName>
    <definedName function="false" hidden="false" name="IQ_PREF_NON_REDEEM" vbProcedure="false">"c1052"</definedName>
    <definedName function="false" hidden="false" name="IQ_PREF_OTHER" vbProcedure="false">"c1053"</definedName>
    <definedName function="false" hidden="false" name="IQ_PREF_OTHER_BNK" vbProcedure="false">"c1054"</definedName>
    <definedName function="false" hidden="false" name="IQ_PREF_OTHER_BR" vbProcedure="false">"c1055"</definedName>
    <definedName function="false" hidden="false" name="IQ_PREF_OTHER_FIN" vbProcedure="false">"c1056"</definedName>
    <definedName function="false" hidden="false" name="IQ_PREF_OTHER_INS" vbProcedure="false">"c1057"</definedName>
    <definedName function="false" hidden="false" name="IQ_PREF_OTHER_REIT" vbProcedure="false">"c1058"</definedName>
    <definedName function="false" hidden="false" name="IQ_PREF_REDEEM" vbProcedure="false">"c1059"</definedName>
    <definedName function="false" hidden="false" name="IQ_PREF_REP" vbProcedure="false">"c1060"</definedName>
    <definedName function="false" hidden="false" name="IQ_PREF_REP_BNK" vbProcedure="false">"c1061"</definedName>
    <definedName function="false" hidden="false" name="IQ_PREF_REP_BR" vbProcedure="false">"c1062"</definedName>
    <definedName function="false" hidden="false" name="IQ_PREF_REP_FIN" vbProcedure="false">"c1063"</definedName>
    <definedName function="false" hidden="false" name="IQ_PREF_REP_INS" vbProcedure="false">"c1064"</definedName>
    <definedName function="false" hidden="false" name="IQ_PREF_REP_REIT" vbProcedure="false">"c1065"</definedName>
    <definedName function="false" hidden="false" name="IQ_PREF_REP_UTI" vbProcedure="false">"c1066"</definedName>
    <definedName function="false" hidden="false" name="IQ_PREF_STOCK" vbProcedure="false">"c1052"</definedName>
    <definedName function="false" hidden="false" name="IQ_PREF_TOT" vbProcedure="false">"c1044"</definedName>
    <definedName function="false" hidden="false" name="IQ_PREMIUMS_ANNUITY_REV" vbProcedure="false">"c1067"</definedName>
    <definedName function="false" hidden="false" name="IQ_PREPAID_EXP" vbProcedure="false">"c1068"</definedName>
    <definedName function="false" hidden="false" name="IQ_PREPAID_EXPEN" vbProcedure="false">"c1068"</definedName>
    <definedName function="false" hidden="false" name="IQ_PRE_OPEN_COST" vbProcedure="false">"c1040"</definedName>
    <definedName function="false" hidden="false" name="IQ_PRICEDATE" vbProcedure="false">"c1069"</definedName>
    <definedName function="false" hidden="false" name="IQ_PRICE_OVER_BVPS" vbProcedure="false">"c1026"</definedName>
    <definedName function="false" hidden="false" name="IQ_PRICE_OVER_LTM_EPS" vbProcedure="false">"c1029"</definedName>
    <definedName function="false" hidden="false" name="IQ_PRICING_DATE" vbProcedure="false">"c1613"</definedName>
    <definedName function="false" hidden="false" name="IQ_PRIMARY_INDUSTRY" vbProcedure="false">"c1070"</definedName>
    <definedName function="false" hidden="false" name="IQ_PROFESSIONAL" vbProcedure="false">"c1071"</definedName>
    <definedName function="false" hidden="false" name="IQ_PROFESSIONAL_TITLE" vbProcedure="false">"c1072"</definedName>
    <definedName function="false" hidden="false" name="IQ_PROPERTY_EXP" vbProcedure="false">"c1073"</definedName>
    <definedName function="false" hidden="false" name="IQ_PROPERTY_GROSS" vbProcedure="false">"c518"</definedName>
    <definedName function="false" hidden="false" name="IQ_PROPERTY_MGMT_FEE" vbProcedure="false">"c1074"</definedName>
    <definedName function="false" hidden="false" name="IQ_PROPERTY_NET" vbProcedure="false">"c829"</definedName>
    <definedName function="false" hidden="false" name="IQ_PROVISION_10YR_ANN_GROWTH" vbProcedure="false">"c1077"</definedName>
    <definedName function="false" hidden="false" name="IQ_PROVISION_1YR_ANN_GROWTH" vbProcedure="false">"c1078"</definedName>
    <definedName function="false" hidden="false" name="IQ_PROVISION_2YR_ANN_GROWTH" vbProcedure="false">"c1079"</definedName>
    <definedName function="false" hidden="false" name="IQ_PROVISION_3YR_ANN_GROWTH" vbProcedure="false">"c1080"</definedName>
    <definedName function="false" hidden="false" name="IQ_PROVISION_5YR_ANN_GROWTH" vbProcedure="false">"c1081"</definedName>
    <definedName function="false" hidden="false" name="IQ_PROVISION_7YR_ANN_GROWTH" vbProcedure="false">"c1082"</definedName>
    <definedName function="false" hidden="false" name="IQ_PROVISION_CHARGE_OFFS" vbProcedure="false">"c1083"</definedName>
    <definedName function="false" hidden="false" name="IQ_PROV_BAD_DEBTS" vbProcedure="false">"c1075"</definedName>
    <definedName function="false" hidden="false" name="IQ_PROV_BAD_DEBTS_CF" vbProcedure="false">"c1076"</definedName>
    <definedName function="false" hidden="false" name="IQ_PRO_FORMA_BASIC_EPS" vbProcedure="false">"c1614"</definedName>
    <definedName function="false" hidden="false" name="IQ_PRO_FORMA_DILUT_EPS" vbProcedure="false">"c1615"</definedName>
    <definedName function="false" hidden="false" name="IQ_PRO_FORMA_NET_INC" vbProcedure="false">"c795"</definedName>
    <definedName function="false" hidden="false" name="IQ_PTBV" vbProcedure="false">"c1084"</definedName>
    <definedName function="false" hidden="false" name="IQ_PTBV_AVG" vbProcedure="false">"c1085"</definedName>
    <definedName function="false" hidden="false" name="IQ_QUICK_RATIO" vbProcedure="false">"c1086"</definedName>
    <definedName function="false" hidden="false" name="IQ_RATE_COMP_GROWTH_DOMESTIC" vbProcedure="false">"c1087"</definedName>
    <definedName function="false" hidden="false" name="IQ_RATE_COMP_GROWTH_FOREIGN" vbProcedure="false">"c1088"</definedName>
    <definedName function="false" hidden="false" name="IQ_RAW_INV" vbProcedure="false">"c1089"</definedName>
    <definedName function="false" hidden="false" name="IQ_RD_EXP" vbProcedure="false">"c1090"</definedName>
    <definedName function="false" hidden="false" name="IQ_RD_EXP_FN" vbProcedure="false">"c1091"</definedName>
    <definedName function="false" hidden="false" name="IQ_RE" vbProcedure="false">"c1092"</definedName>
    <definedName function="false" hidden="false" name="IQ_REAL_ESTATE" vbProcedure="false">"c1093"</definedName>
    <definedName function="false" hidden="false" name="IQ_REAL_ESTATE_ASSETS" vbProcedure="false">"c1094"</definedName>
    <definedName function="false" hidden="false" name="IQ_REDEEM_PREF_STOCK" vbProcedure="false">"c1059"</definedName>
    <definedName function="false" hidden="false" name="IQ_REG_ASSETS" vbProcedure="false">"c1095"</definedName>
    <definedName function="false" hidden="false" name="IQ_REINSURANCE" vbProcedure="false">"c1100"</definedName>
    <definedName function="false" hidden="false" name="IQ_REINSUR_PAY" vbProcedure="false">"c1096"</definedName>
    <definedName function="false" hidden="false" name="IQ_REINSUR_PAY_CF" vbProcedure="false">"c1097"</definedName>
    <definedName function="false" hidden="false" name="IQ_REINSUR_RECOVER" vbProcedure="false">"c1098"</definedName>
    <definedName function="false" hidden="false" name="IQ_REINSUR_RECOVER_CF" vbProcedure="false">"c1099"</definedName>
    <definedName function="false" hidden="false" name="IQ_RENTAL_REV" vbProcedure="false">"c1101"</definedName>
    <definedName function="false" hidden="false" name="IQ_RESEARCH_DEV" vbProcedure="false">"c1090"</definedName>
    <definedName function="false" hidden="false" name="IQ_RESIDENTIAL_LOANS" vbProcedure="false">"c1102"</definedName>
    <definedName function="false" hidden="false" name="IQ_RESTATEMENT_BS" vbProcedure="false">"c1643"</definedName>
    <definedName function="false" hidden="false" name="IQ_RESTATEMENT_CF" vbProcedure="false">"c1644"</definedName>
    <definedName function="false" hidden="false" name="IQ_RESTATEMENT_IS" vbProcedure="false">"c1642"</definedName>
    <definedName function="false" hidden="false" name="IQ_RESTRICTED_CASH" vbProcedure="false">"c1103"</definedName>
    <definedName function="false" hidden="false" name="IQ_RESTRUCTURE" vbProcedure="false">"c1104"</definedName>
    <definedName function="false" hidden="false" name="IQ_RESTRUCTURED_LOANS" vbProcedure="false">"c1112"</definedName>
    <definedName function="false" hidden="false" name="IQ_RESTRUCTURE_BNK" vbProcedure="false">"c1105"</definedName>
    <definedName function="false" hidden="false" name="IQ_RESTRUCTURE_BR" vbProcedure="false">"c1106"</definedName>
    <definedName function="false" hidden="false" name="IQ_RESTRUCTURE_CF" vbProcedure="false">"c1107"</definedName>
    <definedName function="false" hidden="false" name="IQ_RESTRUCTURE_FIN" vbProcedure="false">"c1108"</definedName>
    <definedName function="false" hidden="false" name="IQ_RESTRUCTURE_INS" vbProcedure="false">"c1109"</definedName>
    <definedName function="false" hidden="false" name="IQ_RESTRUCTURE_REIT" vbProcedure="false">"c1110"</definedName>
    <definedName function="false" hidden="false" name="IQ_RESTRUCTURE_UTI" vbProcedure="false">"c1111"</definedName>
    <definedName function="false" hidden="false" name="IQ_RETAINED_EARN" vbProcedure="false">"c1092"</definedName>
    <definedName function="false" hidden="false" name="IQ_RETURN_ASSETS" vbProcedure="false">"c1113"</definedName>
    <definedName function="false" hidden="false" name="IQ_RETURN_ASSETS_BANK" vbProcedure="false">"c1114"</definedName>
    <definedName function="false" hidden="false" name="IQ_RETURN_ASSETS_BROK" vbProcedure="false">"c1115"</definedName>
    <definedName function="false" hidden="false" name="IQ_RETURN_ASSETS_FS" vbProcedure="false">"c1116"</definedName>
    <definedName function="false" hidden="false" name="IQ_RETURN_CAPITAL" vbProcedure="false">"c1117"</definedName>
    <definedName function="false" hidden="false" name="IQ_RETURN_EQUITY" vbProcedure="false">"c1118"</definedName>
    <definedName function="false" hidden="false" name="IQ_RETURN_EQUITY_BANK" vbProcedure="false">"c1119"</definedName>
    <definedName function="false" hidden="false" name="IQ_RETURN_EQUITY_BROK" vbProcedure="false">"c1120"</definedName>
    <definedName function="false" hidden="false" name="IQ_RETURN_EQUITY_FS" vbProcedure="false">"c1121"</definedName>
    <definedName function="false" hidden="false" name="IQ_RETURN_INVESTMENT" vbProcedure="false">"c1117"</definedName>
    <definedName function="false" hidden="false" name="IQ_REV" vbProcedure="false">"c1122"</definedName>
    <definedName function="false" hidden="false" name="IQ_REVENUE" vbProcedure="false">"c1122"</definedName>
    <definedName function="false" hidden="false" name="IQ_REV_BEFORE_LL" vbProcedure="false">"c1123"</definedName>
    <definedName function="false" hidden="false" name="IQ_REV_UTI" vbProcedure="false">"c1125"</definedName>
    <definedName function="false" hidden="false" name="IQ_SALARY" vbProcedure="false">"c1130"</definedName>
    <definedName function="false" hidden="false" name="IQ_SALE_INTAN_CF" vbProcedure="false">"c1131"</definedName>
    <definedName function="false" hidden="false" name="IQ_SALE_INTAN_CF_BNK" vbProcedure="false">"c1132"</definedName>
    <definedName function="false" hidden="false" name="IQ_SALE_INTAN_CF_BR" vbProcedure="false">"c1133"</definedName>
    <definedName function="false" hidden="false" name="IQ_SALE_INTAN_CF_FIN" vbProcedure="false">"c1134"</definedName>
    <definedName function="false" hidden="false" name="IQ_SALE_INTAN_CF_INS" vbProcedure="false">"c1135"</definedName>
    <definedName function="false" hidden="false" name="IQ_SALE_INTAN_CF_REIT" vbProcedure="false">"c1627"</definedName>
    <definedName function="false" hidden="false" name="IQ_SALE_INTAN_CF_UTI" vbProcedure="false">"c1136"</definedName>
    <definedName function="false" hidden="false" name="IQ_SALE_PPE_CF" vbProcedure="false">"c1137"</definedName>
    <definedName function="false" hidden="false" name="IQ_SALE_PPE_CF_BNK" vbProcedure="false">"c1138"</definedName>
    <definedName function="false" hidden="false" name="IQ_SALE_PPE_CF_BR" vbProcedure="false">"c1139"</definedName>
    <definedName function="false" hidden="false" name="IQ_SALE_PPE_CF_FIN" vbProcedure="false">"c1140"</definedName>
    <definedName function="false" hidden="false" name="IQ_SALE_PPE_CF_INS" vbProcedure="false">"c1141"</definedName>
    <definedName function="false" hidden="false" name="IQ_SALE_PPE_CF_UTI" vbProcedure="false">"c1142"</definedName>
    <definedName function="false" hidden="false" name="IQ_SALE_REAL_ESTATE_CF" vbProcedure="false">"c1143"</definedName>
    <definedName function="false" hidden="false" name="IQ_SALE_REAL_ESTATE_CF_BNK" vbProcedure="false">"c1144"</definedName>
    <definedName function="false" hidden="false" name="IQ_SALE_REAL_ESTATE_CF_BR" vbProcedure="false">"c1145"</definedName>
    <definedName function="false" hidden="false" name="IQ_SALE_REAL_ESTATE_CF_FIN" vbProcedure="false">"c1146"</definedName>
    <definedName function="false" hidden="false" name="IQ_SALE_REAL_ESTATE_CF_INS" vbProcedure="false">"c1147"</definedName>
    <definedName function="false" hidden="false" name="IQ_SALE_REAL_ESTATE_CF_UTI" vbProcedure="false">"c1148"</definedName>
    <definedName function="false" hidden="false" name="IQ_SALE_RE_ASSETS" vbProcedure="false">"c1629"</definedName>
    <definedName function="false" hidden="false" name="IQ_SAME_STORE" vbProcedure="false">"c1149"</definedName>
    <definedName function="false" hidden="false" name="IQ_SAVING_DEP" vbProcedure="false">"c1150"</definedName>
    <definedName function="false" hidden="false" name="IQ_SECURITY_BORROW" vbProcedure="false">"c1152"</definedName>
    <definedName function="false" hidden="false" name="IQ_SECURITY_OWN" vbProcedure="false">"c1153"</definedName>
    <definedName function="false" hidden="false" name="IQ_SECURITY_RESELL" vbProcedure="false">"c1154"</definedName>
    <definedName function="false" hidden="false" name="IQ_SECUR_RECEIV" vbProcedure="false">"c1151"</definedName>
    <definedName function="false" hidden="false" name="IQ_SEPARATE_ACCT_ASSETS" vbProcedure="false">"c1155"</definedName>
    <definedName function="false" hidden="false" name="IQ_SEPARATE_ACCT_LIAB" vbProcedure="false">"c1156"</definedName>
    <definedName function="false" hidden="false" name="IQ_SERV_CHARGE_DEPOSITS" vbProcedure="false">"c1157"</definedName>
    <definedName function="false" hidden="false" name="IQ_SGA" vbProcedure="false">"c1158"</definedName>
    <definedName function="false" hidden="false" name="IQ_SGA_BNK" vbProcedure="false">"c1159"</definedName>
    <definedName function="false" hidden="false" name="IQ_SGA_INS" vbProcedure="false">"c1160"</definedName>
    <definedName function="false" hidden="false" name="IQ_SGA_REIT" vbProcedure="false">"c1161"</definedName>
    <definedName function="false" hidden="false" name="IQ_SGA_SUPPL" vbProcedure="false">"c1162"</definedName>
    <definedName function="false" hidden="false" name="IQ_SGA_UTI" vbProcedure="false">"c1163"</definedName>
    <definedName function="false" hidden="false" name="IQ_SHAREOUTSTANDING" vbProcedure="false">"c83"</definedName>
    <definedName function="false" hidden="false" name="IQ_SHARESOUTSTANDING" vbProcedure="false">"c1164"</definedName>
    <definedName function="false" hidden="false" name="IQ_SHORT_INTEREST" vbProcedure="false">"c1165"</definedName>
    <definedName function="false" hidden="false" name="IQ_SHORT_INTEREST_OVER_FLOAT" vbProcedure="false">"c1577"</definedName>
    <definedName function="false" hidden="false" name="IQ_SHORT_INTEREST_PERCENT" vbProcedure="false">"c1576"</definedName>
    <definedName function="false" hidden="false" name="IQ_SHORT_TERM_INVEST" vbProcedure="false">"c1197"</definedName>
    <definedName function="false" hidden="false" name="IQ_SMALL_INT_BEAR_CD" vbProcedure="false">"c1166"</definedName>
    <definedName function="false" hidden="false" name="IQ_SOFTWARE" vbProcedure="false">"c1167"</definedName>
    <definedName function="false" hidden="false" name="IQ_SOURCE" vbProcedure="false">"c1168"</definedName>
    <definedName function="false" hidden="false" name="IQ_SPECIAL_DIV_CF" vbProcedure="false">"c1169"</definedName>
    <definedName function="false" hidden="false" name="IQ_SPECIAL_DIV_CF_BNK" vbProcedure="false">"c1170"</definedName>
    <definedName function="false" hidden="false" name="IQ_SPECIAL_DIV_CF_BR" vbProcedure="false">"c1171"</definedName>
    <definedName function="false" hidden="false" name="IQ_SPECIAL_DIV_CF_FIN" vbProcedure="false">"c1172"</definedName>
    <definedName function="false" hidden="false" name="IQ_SPECIAL_DIV_CF_INS" vbProcedure="false">"c1173"</definedName>
    <definedName function="false" hidden="false" name="IQ_SPECIAL_DIV_CF_REIT" vbProcedure="false">"c1174"</definedName>
    <definedName function="false" hidden="false" name="IQ_SPECIAL_DIV_CF_UTI" vbProcedure="false">"c1175"</definedName>
    <definedName function="false" hidden="false" name="IQ_STATE" vbProcedure="false">"c1200"</definedName>
    <definedName function="false" hidden="false" name="IQ_STATUTORY_SURPLUS" vbProcedure="false">"c1201"</definedName>
    <definedName function="false" hidden="false" name="IQ_STOCK_BASED" vbProcedure="false">"c1202"</definedName>
    <definedName function="false" hidden="false" name="IQ_STOCK_BASED_CF" vbProcedure="false">"c1203"</definedName>
    <definedName function="false" hidden="false" name="IQ_STRIKE_PRICE_ISSUED" vbProcedure="false">"c1645"</definedName>
    <definedName function="false" hidden="false" name="IQ_STRIKE_PRICE_OS" vbProcedure="false">"c1646"</definedName>
    <definedName function="false" hidden="false" name="IQ_ST_DEBT" vbProcedure="false">"c1176"</definedName>
    <definedName function="false" hidden="false" name="IQ_ST_DEBT_BNK" vbProcedure="false">"c1177"</definedName>
    <definedName function="false" hidden="false" name="IQ_ST_DEBT_BR" vbProcedure="false">"c1178"</definedName>
    <definedName function="false" hidden="false" name="IQ_ST_DEBT_FIN" vbProcedure="false">"c1179"</definedName>
    <definedName function="false" hidden="false" name="IQ_ST_DEBT_INS" vbProcedure="false">"c1180"</definedName>
    <definedName function="false" hidden="false" name="IQ_ST_DEBT_ISSUED" vbProcedure="false">"c1181"</definedName>
    <definedName function="false" hidden="false" name="IQ_ST_DEBT_ISSUED_BNK" vbProcedure="false">"c1182"</definedName>
    <definedName function="false" hidden="false" name="IQ_ST_DEBT_ISSUED_BR" vbProcedure="false">"c1183"</definedName>
    <definedName function="false" hidden="false" name="IQ_ST_DEBT_ISSUED_FIN" vbProcedure="false">"c1184"</definedName>
    <definedName function="false" hidden="false" name="IQ_ST_DEBT_ISSUED_INS" vbProcedure="false">"c1185"</definedName>
    <definedName function="false" hidden="false" name="IQ_ST_DEBT_ISSUED_REIT" vbProcedure="false">"c1186"</definedName>
    <definedName function="false" hidden="false" name="IQ_ST_DEBT_ISSUED_UTI" vbProcedure="false">"c1187"</definedName>
    <definedName function="false" hidden="false" name="IQ_ST_DEBT_REIT" vbProcedure="false">"c1188"</definedName>
    <definedName function="false" hidden="false" name="IQ_ST_DEBT_REPAID" vbProcedure="false">"c1189"</definedName>
    <definedName function="false" hidden="false" name="IQ_ST_DEBT_REPAID_BNK" vbProcedure="false">"c1190"</definedName>
    <definedName function="false" hidden="false" name="IQ_ST_DEBT_REPAID_BR" vbProcedure="false">"c1191"</definedName>
    <definedName function="false" hidden="false" name="IQ_ST_DEBT_REPAID_FIN" vbProcedure="false">"c1192"</definedName>
    <definedName function="false" hidden="false" name="IQ_ST_DEBT_REPAID_INS" vbProcedure="false">"c1193"</definedName>
    <definedName function="false" hidden="false" name="IQ_ST_DEBT_REPAID_REIT" vbProcedure="false">"c1194"</definedName>
    <definedName function="false" hidden="false" name="IQ_ST_DEBT_REPAID_UTI" vbProcedure="false">"c1195"</definedName>
    <definedName function="false" hidden="false" name="IQ_ST_DEBT_UTI" vbProcedure="false">"c1196"</definedName>
    <definedName function="false" hidden="false" name="IQ_ST_INVEST" vbProcedure="false">"c1197"</definedName>
    <definedName function="false" hidden="false" name="IQ_ST_INVEST_UTI" vbProcedure="false">"c1198"</definedName>
    <definedName function="false" hidden="false" name="IQ_ST_NOTE_RECEIV" vbProcedure="false">"c1199"</definedName>
    <definedName function="false" hidden="false" name="IQ_SUB_LEASE_AFTER_FIVE" vbProcedure="false">"c1207"</definedName>
    <definedName function="false" hidden="false" name="IQ_SUB_LEASE_INC_CY" vbProcedure="false">"c1208"</definedName>
    <definedName function="false" hidden="false" name="IQ_SUB_LEASE_INC_CY1" vbProcedure="false">"c1209"</definedName>
    <definedName function="false" hidden="false" name="IQ_SUB_LEASE_INC_CY2" vbProcedure="false">"c1210"</definedName>
    <definedName function="false" hidden="false" name="IQ_SUB_LEASE_INC_CY3" vbProcedure="false">"c1211"</definedName>
    <definedName function="false" hidden="false" name="IQ_SUB_LEASE_INC_CY4" vbProcedure="false">"c1212"</definedName>
    <definedName function="false" hidden="false" name="IQ_SUB_LEASE_NEXT_FIVE" vbProcedure="false">"c1213"</definedName>
    <definedName function="false" hidden="false" name="IQ_SVA" vbProcedure="false">"c1214"</definedName>
    <definedName function="false" hidden="false" name="IQ_TAX_BENEFIT_OPTIONS" vbProcedure="false">"c1215"</definedName>
    <definedName function="false" hidden="false" name="IQ_TAX_EQUIV_NET_INT_INC" vbProcedure="false">"c1216"</definedName>
    <definedName function="false" hidden="false" name="IQ_TBV_SHARE" vbProcedure="false">"c1217"</definedName>
    <definedName function="false" hidden="false" name="IQ_TEMPLATE" vbProcedure="false">"c1521"</definedName>
    <definedName function="false" hidden="false" name="IQ_TENANT" vbProcedure="false">"c1218"</definedName>
    <definedName function="false" hidden="false" name="IQ_TEV" vbProcedure="false">"c1219"</definedName>
    <definedName function="false" hidden="false" name="IQ_TEV_EBIT" vbProcedure="false">"c1220"</definedName>
    <definedName function="false" hidden="false" name="IQ_TEV_EBITDA" vbProcedure="false">"c1222"</definedName>
    <definedName function="false" hidden="false" name="IQ_TEV_EBITDA_AVG" vbProcedure="false">"c1223"</definedName>
    <definedName function="false" hidden="false" name="IQ_TEV_EBITDA_FWD" vbProcedure="false">"c1224"</definedName>
    <definedName function="false" hidden="false" name="IQ_TEV_EBIT_AVG" vbProcedure="false">"c1221"</definedName>
    <definedName function="false" hidden="false" name="IQ_TEV_EMPLOYEE_AVG" vbProcedure="false">"c1225"</definedName>
    <definedName function="false" hidden="false" name="IQ_TEV_TOTAL_REV" vbProcedure="false">"c1226"</definedName>
    <definedName function="false" hidden="false" name="IQ_TEV_TOTAL_REV_AVG" vbProcedure="false">"c1227"</definedName>
    <definedName function="false" hidden="false" name="IQ_TEV_TOTAL_REV_FWD" vbProcedure="false">"c1228"</definedName>
    <definedName function="false" hidden="false" name="IQ_TIER_ONE_RATIO" vbProcedure="false">"c1229"</definedName>
    <definedName function="false" hidden="false" name="IQ_TIME_DEP" vbProcedure="false">"c1230"</definedName>
    <definedName function="false" hidden="false" name="IQ_TODAY" vbProcedure="false">0</definedName>
    <definedName function="false" hidden="false" name="IQ_TOTAL_AR_BR" vbProcedure="false">"c1231"</definedName>
    <definedName function="false" hidden="false" name="IQ_TOTAL_AR_REIT" vbProcedure="false">"c1232"</definedName>
    <definedName function="false" hidden="false" name="IQ_TOTAL_AR_UTI" vbProcedure="false">"c1233"</definedName>
    <definedName function="false" hidden="false" name="IQ_TOTAL_ASSETS" vbProcedure="false">"c1234"</definedName>
    <definedName function="false" hidden="false" name="IQ_TOTAL_ASSETS_10YR_ANN_GROWTH" vbProcedure="false">"c1235"</definedName>
    <definedName function="false" hidden="false" name="IQ_TOTAL_ASSETS_1YR_ANN_GROWTH" vbProcedure="false">"c1236"</definedName>
    <definedName function="false" hidden="false" name="IQ_TOTAL_ASSETS_2YR_ANN_GROWTH" vbProcedure="false">"c1237"</definedName>
    <definedName function="false" hidden="false" name="IQ_TOTAL_ASSETS_3YR_ANN_GROWTH" vbProcedure="false">"c1238"</definedName>
    <definedName function="false" hidden="false" name="IQ_TOTAL_ASSETS_5YR_ANN_GROWTH" vbProcedure="false">"c1239"</definedName>
    <definedName function="false" hidden="false" name="IQ_TOTAL_ASSETS_7YR_ANN_GROWTH" vbProcedure="false">"c1240"</definedName>
    <definedName function="false" hidden="false" name="IQ_TOTAL_AVG_CE_TOTAL_AVG_ASSETS" vbProcedure="false">"c1241"</definedName>
    <definedName function="false" hidden="false" name="IQ_TOTAL_AVG_EQUITY_TOTAL_AVG_ASSETS" vbProcedure="false">"c1242"</definedName>
    <definedName function="false" hidden="false" name="IQ_TOTAL_CA" vbProcedure="false">"c1243"</definedName>
    <definedName function="false" hidden="false" name="IQ_TOTAL_CAP" vbProcedure="false">"c1507"</definedName>
    <definedName function="false" hidden="false" name="IQ_TOTAL_CAPITAL_RATIO" vbProcedure="false">"c1244"</definedName>
    <definedName function="false" hidden="false" name="IQ_TOTAL_CASH_DIVID" vbProcedure="false">"c1266"</definedName>
    <definedName function="false" hidden="false" name="IQ_TOTAL_CASH_FINAN" vbProcedure="false">"c119"</definedName>
    <definedName function="false" hidden="false" name="IQ_TOTAL_CASH_INVEST" vbProcedure="false">"c121"</definedName>
    <definedName function="false" hidden="false" name="IQ_TOTAL_CASH_OPER" vbProcedure="false">"c122"</definedName>
    <definedName function="false" hidden="false" name="IQ_TOTAL_CL" vbProcedure="false">"c1245"</definedName>
    <definedName function="false" hidden="false" name="IQ_TOTAL_COMMON" vbProcedure="false">"c1022"</definedName>
    <definedName function="false" hidden="false" name="IQ_TOTAL_COMMON_EQUITY" vbProcedure="false">"c1246"</definedName>
    <definedName function="false" hidden="false" name="IQ_TOTAL_CURRENT_ASSETS" vbProcedure="false">"c1243"</definedName>
    <definedName function="false" hidden="false" name="IQ_TOTAL_CURRENT_LIAB" vbProcedure="false">"c1245"</definedName>
    <definedName function="false" hidden="false" name="IQ_TOTAL_DEBT" vbProcedure="false">"c1247"</definedName>
    <definedName function="false" hidden="false" name="IQ_TOTAL_DEBT_CAPITAL" vbProcedure="false">"c1248"</definedName>
    <definedName function="false" hidden="false" name="IQ_TOTAL_DEBT_EBITDA" vbProcedure="false">"c1249"</definedName>
    <definedName function="false" hidden="false" name="IQ_TOTAL_DEBT_EQUITY" vbProcedure="false">"c1250"</definedName>
    <definedName function="false" hidden="false" name="IQ_TOTAL_DEBT_ISSUED" vbProcedure="false">"c1251"</definedName>
    <definedName function="false" hidden="false" name="IQ_TOTAL_DEBT_ISSUED_BNK" vbProcedure="false">"c1252"</definedName>
    <definedName function="false" hidden="false" name="IQ_TOTAL_DEBT_ISSUED_BR" vbProcedure="false">"c1253"</definedName>
    <definedName function="false" hidden="false" name="IQ_TOTAL_DEBT_ISSUED_FIN" vbProcedure="false">"c1254"</definedName>
    <definedName function="false" hidden="false" name="IQ_TOTAL_DEBT_ISSUED_REIT" vbProcedure="false">"c1255"</definedName>
    <definedName function="false" hidden="false" name="IQ_TOTAL_DEBT_ISSUED_UTI" vbProcedure="false">"c1256"</definedName>
    <definedName function="false" hidden="false" name="IQ_TOTAL_DEBT_ISSUES_INS" vbProcedure="false">"c1257"</definedName>
    <definedName function="false" hidden="false" name="IQ_TOTAL_DEBT_OVER_EBITDA" vbProcedure="false">"c1249"</definedName>
    <definedName function="false" hidden="false" name="IQ_TOTAL_DEBT_OVER_TOTAL_BV" vbProcedure="false">"c1250"</definedName>
    <definedName function="false" hidden="false" name="IQ_TOTAL_DEBT_OVER_TOTAL_CAP" vbProcedure="false">"c1248"</definedName>
    <definedName function="false" hidden="false" name="IQ_TOTAL_DEBT_REPAID" vbProcedure="false">"c1258"</definedName>
    <definedName function="false" hidden="false" name="IQ_TOTAL_DEBT_REPAID_BNK" vbProcedure="false">"c1259"</definedName>
    <definedName function="false" hidden="false" name="IQ_TOTAL_DEBT_REPAID_BR" vbProcedure="false">"c1260"</definedName>
    <definedName function="false" hidden="false" name="IQ_TOTAL_DEBT_REPAID_FIN" vbProcedure="false">"c1261"</definedName>
    <definedName function="false" hidden="false" name="IQ_TOTAL_DEBT_REPAID_INS" vbProcedure="false">"c1262"</definedName>
    <definedName function="false" hidden="false" name="IQ_TOTAL_DEBT_REPAID_REIT" vbProcedure="false">"c1263"</definedName>
    <definedName function="false" hidden="false" name="IQ_TOTAL_DEBT_REPAID_UTI" vbProcedure="false">"c1264"</definedName>
    <definedName function="false" hidden="false" name="IQ_TOTAL_DEPOSITS" vbProcedure="false">"c1265"</definedName>
    <definedName function="false" hidden="false" name="IQ_TOTAL_DIV_PAID_CF" vbProcedure="false">"c1266"</definedName>
    <definedName function="false" hidden="false" name="IQ_TOTAL_EMPLOYEE" vbProcedure="false">"c1522"</definedName>
    <definedName function="false" hidden="false" name="IQ_TOTAL_EQUITY" vbProcedure="false">"c1267"</definedName>
    <definedName function="false" hidden="false" name="IQ_TOTAL_EQUITY_10YR_ANN_GROWTH" vbProcedure="false">"c1268"</definedName>
    <definedName function="false" hidden="false" name="IQ_TOTAL_EQUITY_1YR_ANN_GROWTH" vbProcedure="false">"c1269"</definedName>
    <definedName function="false" hidden="false" name="IQ_TOTAL_EQUITY_2YR_ANN_GROWTH" vbProcedure="false">"c1270"</definedName>
    <definedName function="false" hidden="false" name="IQ_TOTAL_EQUITY_3YR_ANN_GROWTH" vbProcedure="false">"c1271"</definedName>
    <definedName function="false" hidden="false" name="IQ_TOTAL_EQUITY_5YR_ANN_GROWTH" vbProcedure="false">"c1272"</definedName>
    <definedName function="false" hidden="false" name="IQ_TOTAL_EQUITY_7YR_ANN_GROWTH" vbProcedure="false">"c1273"</definedName>
    <definedName function="false" hidden="false" name="IQ_TOTAL_EQUITY_ALLOWANCE_TOTAL_LOANS" vbProcedure="false">"c1274"</definedName>
    <definedName function="false" hidden="false" name="IQ_TOTAL_INTEREST_EXP" vbProcedure="false">"c591"</definedName>
    <definedName function="false" hidden="false" name="IQ_TOTAL_INVENTORY" vbProcedure="false">"c622"</definedName>
    <definedName function="false" hidden="false" name="IQ_TOTAL_INVEST" vbProcedure="false">"c1275"</definedName>
    <definedName function="false" hidden="false" name="IQ_TOTAL_LIAB" vbProcedure="false">"c1276"</definedName>
    <definedName function="false" hidden="false" name="IQ_TOTAL_LIAB_BNK" vbProcedure="false">"c1277"</definedName>
    <definedName function="false" hidden="false" name="IQ_TOTAL_LIAB_BR" vbProcedure="false">"c1278"</definedName>
    <definedName function="false" hidden="false" name="IQ_TOTAL_LIAB_EQUITY" vbProcedure="false">"c1279"</definedName>
    <definedName function="false" hidden="false" name="IQ_TOTAL_LIAB_FIN" vbProcedure="false">"c1280"</definedName>
    <definedName function="false" hidden="false" name="IQ_TOTAL_LIAB_INS" vbProcedure="false">"c1281"</definedName>
    <definedName function="false" hidden="false" name="IQ_TOTAL_LIAB_REIT" vbProcedure="false">"c1282"</definedName>
    <definedName function="false" hidden="false" name="IQ_TOTAL_LIAB_SHAREHOLD" vbProcedure="false">"c1279"</definedName>
    <definedName function="false" hidden="false" name="IQ_TOTAL_LIAB_TOTAL_ASSETS" vbProcedure="false">"c1283"</definedName>
    <definedName function="false" hidden="false" name="IQ_TOTAL_LONG_DEBT" vbProcedure="false">"c1617"</definedName>
    <definedName function="false" hidden="false" name="IQ_TOTAL_OPER_EXPEN" vbProcedure="false">"c1445"</definedName>
    <definedName function="false" hidden="false" name="IQ_TOTAL_OPER_EXP_BR" vbProcedure="false">"c1284"</definedName>
    <definedName function="false" hidden="false" name="IQ_TOTAL_OPER_EXP_FIN" vbProcedure="false">"c1285"</definedName>
    <definedName function="false" hidden="false" name="IQ_TOTAL_OPER_EXP_INS" vbProcedure="false">"c1286"</definedName>
    <definedName function="false" hidden="false" name="IQ_TOTAL_OPER_EXP_REIT" vbProcedure="false">"c1287"</definedName>
    <definedName function="false" hidden="false" name="IQ_TOTAL_OPER_EXP_UTI" vbProcedure="false">"c1288"</definedName>
    <definedName function="false" hidden="false" name="IQ_TOTAL_OTHER_OPER" vbProcedure="false">"c1289"</definedName>
    <definedName function="false" hidden="false" name="IQ_TOTAL_PENSION_ASSETS" vbProcedure="false">"c1290"</definedName>
    <definedName function="false" hidden="false" name="IQ_TOTAL_PENSION_EXP" vbProcedure="false">"c1291"</definedName>
    <definedName function="false" hidden="false" name="IQ_TOTAL_PENSION_OBLIGATION" vbProcedure="false">"c1292"</definedName>
    <definedName function="false" hidden="false" name="IQ_TOTAL_RECEIV" vbProcedure="false">"c1293"</definedName>
    <definedName function="false" hidden="false" name="IQ_TOTAL_REV" vbProcedure="false">"c1294"</definedName>
    <definedName function="false" hidden="false" name="IQ_TOTAL_REVENUE" vbProcedure="false">"c1294"</definedName>
    <definedName function="false" hidden="false" name="IQ_TOTAL_REV_10YR_ANN_GROWTH" vbProcedure="false">"c1295"</definedName>
    <definedName function="false" hidden="false" name="IQ_TOTAL_REV_1YR_ANN_GROWTH" vbProcedure="false">"c1296"</definedName>
    <definedName function="false" hidden="false" name="IQ_TOTAL_REV_2YR_ANN_GROWTH" vbProcedure="false">"c1297"</definedName>
    <definedName function="false" hidden="false" name="IQ_TOTAL_REV_3YR_ANN_GROWTH" vbProcedure="false">"c1298"</definedName>
    <definedName function="false" hidden="false" name="IQ_TOTAL_REV_5YR_ANN_GROWTH" vbProcedure="false">"c1299"</definedName>
    <definedName function="false" hidden="false" name="IQ_TOTAL_REV_7YR_ANN_GROWTH" vbProcedure="false">"c1300"</definedName>
    <definedName function="false" hidden="false" name="IQ_TOTAL_REV_AS_REPORTED" vbProcedure="false">"c1301"</definedName>
    <definedName function="false" hidden="false" name="IQ_TOTAL_REV_BNK" vbProcedure="false">"c1302"</definedName>
    <definedName function="false" hidden="false" name="IQ_TOTAL_REV_BR" vbProcedure="false">"c1303"</definedName>
    <definedName function="false" hidden="false" name="IQ_TOTAL_REV_EMPLOYEE" vbProcedure="false">"c1304"</definedName>
    <definedName function="false" hidden="false" name="IQ_TOTAL_REV_FIN" vbProcedure="false">"c1305"</definedName>
    <definedName function="false" hidden="false" name="IQ_TOTAL_REV_INS" vbProcedure="false">"c1306"</definedName>
    <definedName function="false" hidden="false" name="IQ_TOTAL_REV_REIT" vbProcedure="false">"c1307"</definedName>
    <definedName function="false" hidden="false" name="IQ_TOTAL_REV_UTI" vbProcedure="false">"c1308"</definedName>
    <definedName function="false" hidden="false" name="IQ_TOTAL_SPECIAL" vbProcedure="false">"c1618"</definedName>
    <definedName function="false" hidden="false" name="IQ_TOTAL_ST_BORROW" vbProcedure="false">"c1177"</definedName>
    <definedName function="false" hidden="false" name="IQ_TOTAL_UNUSUAL" vbProcedure="false">"c1508"</definedName>
    <definedName function="false" hidden="false" name="IQ_TOT_ADJ_INC" vbProcedure="false">"c1616"</definedName>
    <definedName function="false" hidden="false" name="IQ_TRADE_AR" vbProcedure="false">"c40"</definedName>
    <definedName function="false" hidden="false" name="IQ_TRADE_PRINCIPAL" vbProcedure="false">"c1309"</definedName>
    <definedName function="false" hidden="false" name="IQ_TRADING_ASSETS" vbProcedure="false">"c1310"</definedName>
    <definedName function="false" hidden="false" name="IQ_TREASURY" vbProcedure="false">"c1311"</definedName>
    <definedName function="false" hidden="false" name="IQ_TREASURY_OTHER_EQUITY" vbProcedure="false">"c1312"</definedName>
    <definedName function="false" hidden="false" name="IQ_TREASURY_OTHER_EQUITY_BNK" vbProcedure="false">"c1313"</definedName>
    <definedName function="false" hidden="false" name="IQ_TREASURY_OTHER_EQUITY_BR" vbProcedure="false">"c1314"</definedName>
    <definedName function="false" hidden="false" name="IQ_TREASURY_OTHER_EQUITY_FIN" vbProcedure="false">"c1315"</definedName>
    <definedName function="false" hidden="false" name="IQ_TREASURY_OTHER_EQUITY_INS" vbProcedure="false">"c1316"</definedName>
    <definedName function="false" hidden="false" name="IQ_TREASURY_OTHER_EQUITY_REIT" vbProcedure="false">"c1317"</definedName>
    <definedName function="false" hidden="false" name="IQ_TREASURY_OTHER_EQUITY_UTI" vbProcedure="false">"c1318"</definedName>
    <definedName function="false" hidden="false" name="IQ_TREASURY_STOCK" vbProcedure="false">"c1311"</definedName>
    <definedName function="false" hidden="false" name="IQ_TRUST_INC" vbProcedure="false">"c1319"</definedName>
    <definedName function="false" hidden="false" name="IQ_TRUST_PREF" vbProcedure="false">"c1320"</definedName>
    <definedName function="false" hidden="false" name="IQ_UNEARN_PREMIUM" vbProcedure="false">"c1321"</definedName>
    <definedName function="false" hidden="false" name="IQ_UNEARN_REV_CURRENT" vbProcedure="false">"c1322"</definedName>
    <definedName function="false" hidden="false" name="IQ_UNEARN_REV_CURRENT_BNK" vbProcedure="false">"c1323"</definedName>
    <definedName function="false" hidden="false" name="IQ_UNEARN_REV_CURRENT_BR" vbProcedure="false">"c1324"</definedName>
    <definedName function="false" hidden="false" name="IQ_UNEARN_REV_CURRENT_FIN" vbProcedure="false">"c1325"</definedName>
    <definedName function="false" hidden="false" name="IQ_UNEARN_REV_CURRENT_INS" vbProcedure="false">"c1326"</definedName>
    <definedName function="false" hidden="false" name="IQ_UNEARN_REV_CURRENT_REIT" vbProcedure="false">"c1327"</definedName>
    <definedName function="false" hidden="false" name="IQ_UNEARN_REV_CURRENT_UTI" vbProcedure="false">"c1328"</definedName>
    <definedName function="false" hidden="false" name="IQ_UNEARN_REV_LT" vbProcedure="false">"c1329"</definedName>
    <definedName function="false" hidden="false" name="IQ_UNPAID_CLAIMS" vbProcedure="false">"c1330"</definedName>
    <definedName function="false" hidden="false" name="IQ_UNREALIZED_GAIN" vbProcedure="false">"c1619"</definedName>
    <definedName function="false" hidden="false" name="IQ_US_GAAP" vbProcedure="false">"c1331"</definedName>
    <definedName function="false" hidden="false" name="IQ_UTIL_PPE_NET" vbProcedure="false">"c1620"</definedName>
    <definedName function="false" hidden="false" name="IQ_UV_PENSION_LIAB" vbProcedure="false">"c1332"</definedName>
    <definedName function="false" hidden="false" name="IQ_VALUE_TRADED_LAST_3MTH" vbProcedure="false">"c1530"</definedName>
    <definedName function="false" hidden="false" name="IQ_VALUE_TRADED_LAST_6MTH" vbProcedure="false">"c1531"</definedName>
    <definedName function="false" hidden="false" name="IQ_VALUE_TRADED_LAST_MTH" vbProcedure="false">"c1529"</definedName>
    <definedName function="false" hidden="false" name="IQ_VALUE_TRADED_LAST_WK" vbProcedure="false">"c1528"</definedName>
    <definedName function="false" hidden="false" name="IQ_VALUE_TRADED_LAST_YR" vbProcedure="false">"c1532"</definedName>
    <definedName function="false" hidden="false" name="IQ_VOLUME" vbProcedure="false">"c1333"</definedName>
    <definedName function="false" hidden="false" name="IQ_VOL_LAST_3MTH" vbProcedure="false">"c1525"</definedName>
    <definedName function="false" hidden="false" name="IQ_VOL_LAST_6MTH" vbProcedure="false">"c1526"</definedName>
    <definedName function="false" hidden="false" name="IQ_VOL_LAST_MTH" vbProcedure="false">"c1524"</definedName>
    <definedName function="false" hidden="false" name="IQ_VOL_LAST_WK" vbProcedure="false">"c1523"</definedName>
    <definedName function="false" hidden="false" name="IQ_VOL_LAST_YR" vbProcedure="false">"c1527"</definedName>
    <definedName function="false" hidden="false" name="IQ_WEIGHTED_AVG_PRICE" vbProcedure="false">"c1334"</definedName>
    <definedName function="false" hidden="false" name="IQ_WIP_INV" vbProcedure="false">"c1335"</definedName>
    <definedName function="false" hidden="false" name="IQ_WORKMEN_WRITTEN" vbProcedure="false">"c1336"</definedName>
    <definedName function="false" hidden="false" name="IQ_YEARHIGH" vbProcedure="false">"c1337"</definedName>
    <definedName function="false" hidden="false" name="IQ_YEARLOW" vbProcedure="false">"c1338"</definedName>
    <definedName function="false" hidden="false" name="IQ_YTD" vbProcedure="false">3000</definedName>
    <definedName function="false" hidden="false" name="IQ_Z_SCORE" vbProcedure="false">"c1339"</definedName>
    <definedName function="false" hidden="false" name="ISPctChoice" vbProcedure="false">#REF!</definedName>
    <definedName function="false" hidden="false" name="ISPctChoice___16" vbProcedure="false">#REF!</definedName>
    <definedName function="false" hidden="false" name="ISPctChoice___4" vbProcedure="false">#REF!</definedName>
    <definedName function="false" hidden="false" name="ISPctList" vbProcedure="false">#REF!</definedName>
    <definedName function="false" hidden="false" name="ISPctList___0" vbProcedure="false">#REF!</definedName>
    <definedName function="false" hidden="false" name="ISPctList___12" vbProcedure="false">#REF!</definedName>
    <definedName function="false" hidden="false" name="ISPctList___26" vbProcedure="false">#REF!</definedName>
    <definedName function="false" hidden="false" name="ISPctList___27" vbProcedure="false">#REF!</definedName>
    <definedName function="false" hidden="false" name="ISPctList___5" vbProcedure="false">#REF!</definedName>
    <definedName function="false" hidden="false" name="ISPctList___7" vbProcedure="false">#REF!</definedName>
    <definedName function="false" hidden="false" name="itl" vbProcedure="false">#REF!</definedName>
    <definedName function="false" hidden="false" name="iu" vbProcedure="false">{"orixcsc",#N/A,FALSE,"ORIX CSC";"orixcsc2",#N/A,FALSE,"ORIX CSC"}</definedName>
    <definedName function="false" hidden="false" name="I___0" vbProcedure="false">NA()</definedName>
    <definedName function="false" hidden="false" name="I___12" vbProcedure="false">#REF!</definedName>
    <definedName function="false" hidden="false" name="I___2" vbProcedure="false">#REF!</definedName>
    <definedName function="false" hidden="false" name="I___25" vbProcedure="false">#REF!</definedName>
    <definedName function="false" hidden="false" name="I___26" vbProcedure="false">#REF!</definedName>
    <definedName function="false" hidden="false" name="I___27" vbProcedure="false">NA()</definedName>
    <definedName function="false" hidden="false" name="I___4" vbProcedure="false">#REF!</definedName>
    <definedName function="false" hidden="false" name="I___5" vbProcedure="false">NA()</definedName>
    <definedName function="false" hidden="false" name="I___6" vbProcedure="false">#REF!</definedName>
    <definedName function="false" hidden="false" name="I___7" vbProcedure="false">#REF!</definedName>
    <definedName function="false" hidden="false" name="j" vbProcedure="false">{"résultats",#N/A,FALSE,"résultats SFS";"indicateurs",#N/A,FALSE,"résultats SFS";"commentaires",#N/A,FALSE,"commentaires SFS";"graphiques",#N/A,FALSE,"graphiques SFS"}</definedName>
    <definedName function="false" hidden="false" name="Jadida" vbProcedure="false">#REF!</definedName>
    <definedName function="false" hidden="false" name="January" vbProcedure="false">#REF!</definedName>
    <definedName function="false" hidden="false" name="Janvier" vbProcedure="false">#REF!</definedName>
    <definedName function="false" hidden="false" name="JB" vbProcedure="false">#REF!</definedName>
    <definedName function="false" hidden="false" name="jbh" vbProcedure="false">#N/A</definedName>
    <definedName function="false" hidden="false" name="JDJY" vbProcedure="false">JDJY</definedName>
    <definedName function="false" hidden="false" name="jdtju" vbProcedure="false">#N/A</definedName>
    <definedName function="false" hidden="false" name="jfgkj" vbProcedure="false">#N/A</definedName>
    <definedName function="false" hidden="false" name="jfh" vbProcedure="false">#N/A</definedName>
    <definedName function="false" hidden="false" name="jfhbvc" vbProcedure="false">#REF!</definedName>
    <definedName function="false" hidden="false" name="jfhg" vbProcedure="false">#N/A</definedName>
    <definedName function="false" hidden="false" name="jfhgf" vbProcedure="false">#N/A</definedName>
    <definedName function="false" hidden="false" name="jfhjkfv" vbProcedure="false">jfhjkfv</definedName>
    <definedName function="false" hidden="false" name="jfhkf" vbProcedure="false">#N/A</definedName>
    <definedName function="false" hidden="false" name="jfhkfn" vbProcedure="false">jfhkfn</definedName>
    <definedName function="false" hidden="false" name="jfhkfv" vbProcedure="false">#N/A</definedName>
    <definedName function="false" hidden="false" name="JFHKG" vbProcedure="false">JFHKG</definedName>
    <definedName function="false" hidden="false" name="JFHLF" vbProcedure="false">#N/A</definedName>
    <definedName function="false" hidden="false" name="jfhur" vbProcedure="false">#N/A</definedName>
    <definedName function="false" hidden="false" name="jfjfj" vbProcedure="false">{#N/A,#N/A,TRUE,"Cover sheet";#N/A,#N/A,TRUE,"DCF analysis";#N/A,#N/A,TRUE,"WACC calculation"}</definedName>
    <definedName function="false" hidden="false" name="JFL" vbProcedure="false">#N/A</definedName>
    <definedName function="false" hidden="false" name="jgkhjk" vbProcedure="false">#REF!</definedName>
    <definedName function="false" hidden="false" name="JH" vbProcedure="false">#N/A</definedName>
    <definedName function="false" hidden="false" name="JHDYGFFD" vbProcedure="false">#N/A</definedName>
    <definedName function="false" hidden="false" name="JHFK" vbProcedure="false">#N/A</definedName>
    <definedName function="false" hidden="false" name="JHFK." vbProcedure="false">#N/A</definedName>
    <definedName function="false" hidden="false" name="jhgjhgjhh" vbProcedure="false">jhgjhgjhh</definedName>
    <definedName function="false" hidden="false" name="jhgjhgjhh___0" vbProcedure="false">LastAmort___0</definedName>
    <definedName function="false" hidden="false" name="LastAmort___0" vbProcedure="false">#REF!</definedName>
    <definedName function="false" hidden="false" name="jhgjhgjhh___12" vbProcedure="false">LastAmort___12</definedName>
    <definedName function="false" hidden="false" name="LastAmort___12" vbProcedure="false">#REF!</definedName>
    <definedName function="false" hidden="false" name="jhgjhgjhh___14" vbProcedure="false">LastAmort___14</definedName>
    <definedName function="false" hidden="false" name="LastAmort___14" vbProcedure="false">#REF!</definedName>
    <definedName function="false" hidden="false" name="jhgjhgjhh___16" vbProcedure="false">LAssets___0</definedName>
    <definedName function="false" hidden="false" name="LAssets___0" vbProcedure="false">#REF!</definedName>
    <definedName function="false" hidden="false" name="jhgjhgjhh___2" vbProcedure="false">LastAmort___2</definedName>
    <definedName function="false" hidden="false" name="LastAmort___2" vbProcedure="false">#REF!</definedName>
    <definedName function="false" hidden="false" name="jhgjhgjhh___23" vbProcedure="false">LAssets___7</definedName>
    <definedName function="false" hidden="false" name="LAssets___7" vbProcedure="false">#REF!</definedName>
    <definedName function="false" hidden="false" name="jhgjhgjhh___25" vbProcedure="false">LastAmort___16</definedName>
    <definedName function="false" hidden="false" name="LastAmort___16" vbProcedure="false">#REF!</definedName>
    <definedName function="false" hidden="false" name="jhgjhgjhh___26" vbProcedure="false">LastAmort___26</definedName>
    <definedName function="false" hidden="false" name="LastAmort___26" vbProcedure="false">#REF!</definedName>
    <definedName function="false" hidden="false" name="jhgjhgjhh___27" vbProcedure="false">LastAmort___27</definedName>
    <definedName function="false" hidden="false" name="LastAmort___27" vbProcedure="false">#REF!</definedName>
    <definedName function="false" hidden="false" name="jhgjhgjhh___3" vbProcedure="false">LastAmort___25</definedName>
    <definedName function="false" hidden="false" name="LastAmort___25" vbProcedure="false">#REF!</definedName>
    <definedName function="false" hidden="false" name="jhgjhgjhh___5" vbProcedure="false">LastAmort___5</definedName>
    <definedName function="false" hidden="false" name="LastAmort___5" vbProcedure="false">#REF!</definedName>
    <definedName function="false" hidden="false" name="jhgjhgjhh___6" vbProcedure="false">LAssets___26</definedName>
    <definedName function="false" hidden="false" name="LAssets___26" vbProcedure="false">#REF!</definedName>
    <definedName function="false" hidden="false" name="jhgjhgjhh___7" vbProcedure="false">LastAmort___7</definedName>
    <definedName function="false" hidden="false" name="LastAmort___7" vbProcedure="false">#REF!</definedName>
    <definedName function="false" hidden="false" name="jhgjhgjhh___9" vbProcedure="false">LastAmort___4</definedName>
    <definedName function="false" hidden="false" name="LastAmort___4" vbProcedure="false">#REF!</definedName>
    <definedName function="false" hidden="false" name="jhgjuy" vbProcedure="false">jhgjuy</definedName>
    <definedName function="false" hidden="false" name="jhy" vbProcedure="false">#N/A</definedName>
    <definedName function="false" hidden="false" name="JHYBG" vbProcedure="false">#N/A</definedName>
    <definedName function="false" hidden="false" name="JHYGB" vbProcedure="false">JHYGB</definedName>
    <definedName function="false" hidden="false" name="jhyt" vbProcedure="false">#N/A</definedName>
    <definedName function="false" hidden="false" name="jj" vbProcedure="false">jj</definedName>
    <definedName function="false" hidden="false" name="JJJJJ" vbProcedure="false">#N/A</definedName>
    <definedName function="false" hidden="false" name="JJJJJJ" vbProcedure="false">JJJJJJ</definedName>
    <definedName function="false" hidden="false" name="JJJJJJJJJJJ" vbProcedure="false">#N/A</definedName>
    <definedName function="false" hidden="false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name="JNBGHVC" vbProcedure="false">JNBGHVC</definedName>
    <definedName function="false" hidden="false" name="jnijk" vbProcedure="false">jnijk</definedName>
    <definedName function="false" hidden="false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JTYJKYTK" vbProcedure="false">JTYJKYTK</definedName>
    <definedName function="false" hidden="false" name="juin" vbProcedure="false">#REF!</definedName>
    <definedName function="false" hidden="false" name="July" vbProcedure="false">#REF!</definedName>
    <definedName function="false" hidden="false" name="June" vbProcedure="false">#REF!</definedName>
    <definedName function="false" hidden="false" name="JYDTJKTK" vbProcedure="false">JYDTJKTK</definedName>
    <definedName function="false" hidden="false" name="jzrdsf" vbProcedure="false">jzrdsf</definedName>
    <definedName function="false" hidden="false" name="K" vbProcedure="false">#REF!</definedName>
    <definedName function="false" hidden="false" name="ka" vbProcedure="false">{"IS",#N/A,FALSE,"IS";"RPTIS",#N/A,FALSE,"RPTIS";"STATS",#N/A,FALSE,"STATS";"CELL",#N/A,FALSE,"CELL";"BS",#N/A,FALSE,"BS"}</definedName>
    <definedName function="false" hidden="false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djfg" vbProcedure="false">#N/A</definedName>
    <definedName function="false" hidden="false" name="kdnhfg" vbProcedure="false">kdnhfg</definedName>
    <definedName function="false" hidden="false" name="ke" vbProcedure="false">{"orixcsc",#N/A,FALSE,"ORIX CSC";"orixcsc2",#N/A,FALSE,"ORIX CSC"}</definedName>
    <definedName function="false" hidden="false" name="Kenitra" vbProcedure="false">#REF!</definedName>
    <definedName function="false" hidden="false" name="Keyboards" vbProcedure="false">#REF!</definedName>
    <definedName function="false" hidden="false" name="KeyPt" vbProcedure="false">#REF!</definedName>
    <definedName function="false" hidden="false" name="KeyValues" vbProcedure="false">#REF!</definedName>
    <definedName function="false" hidden="false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FG" vbProcedure="false">#REF!</definedName>
    <definedName function="false" hidden="false" name="kfhgdj" vbProcedure="false">kfhgdj</definedName>
    <definedName function="false" hidden="false" name="kfhy" vbProcedure="false">#N/A</definedName>
    <definedName function="false" hidden="false" name="kg" vbProcedure="false">{"print 1",#N/A,FALSE,"PrimeCo PCS";"print 2",#N/A,FALSE,"PrimeCo PCS";"valuation",#N/A,FALSE,"PrimeCo PCS"}</definedName>
    <definedName function="false" hidden="false" name="kgkgk" vbProcedure="false">{#N/A,#N/A,TRUE,"Cover sheet";#N/A,#N/A,TRUE,"DCF analysis";#N/A,#N/A,TRUE,"WACC calculation"}</definedName>
    <definedName function="false" hidden="false" name="kh" vbProcedure="false">{"test2",#N/A,TRUE,"Prices"}</definedName>
    <definedName function="false" hidden="false" name="ki" vbProcedure="false">{"orixcsc",#N/A,FALSE,"ORIX CSC";"orixcsc2",#N/A,FALSE,"ORIX CSC"}</definedName>
    <definedName function="false" hidden="false" name="KitEL_RM_SCS" vbProcedure="false">#REF!</definedName>
    <definedName function="false" hidden="false" name="KitPart" vbProcedure="false">#REF!</definedName>
    <definedName function="false" hidden="false" name="Kits" vbProcedure="false">#REF!</definedName>
    <definedName function="false" hidden="false" name="Kit_RMD_VPC" vbProcedure="false">#REF!</definedName>
    <definedName function="false" hidden="false" name="kj" vbProcedure="false">{"IS",#N/A,FALSE,"IS";"RPTIS",#N/A,FALSE,"RPTIS";"STATS",#N/A,FALSE,"STATS";"BS",#N/A,FALSE,"BS"}</definedName>
    <definedName function="false" hidden="false" name="kk" vbProcedure="false">#N/A</definedName>
    <definedName function="false" hidden="false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kk" vbProcedure="false">{#N/A,#N/A,FALSE,"ORIX CSC"}</definedName>
    <definedName function="false" hidden="false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kkkkkkkkkk" vbProcedure="false">{#N/A,#N/A,FALSE,"Contribution Analysis"}</definedName>
    <definedName function="false" hidden="false" name="kkkkkkkkkkkk" vbProcedure="false">{"IS",#N/A,FALSE,"IS";"RPTIS",#N/A,FALSE,"RPTIS";"STATS",#N/A,FALSE,"STATS";"CELL",#N/A,FALSE,"CELL";"BS",#N/A,FALSE,"BS"}</definedName>
    <definedName function="false" hidden="false" name="kkkkkkkkkkkkk" vbProcedure="false">{#N/A,#N/A,FALSE,"ORIX CSC"}</definedName>
    <definedName function="false" hidden="false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kkkkkkkkkkkkkkkkk" vbProcedure="false">{"IS",#N/A,FALSE,"IS";"RPTIS",#N/A,FALSE,"RPTIS";"STATS",#N/A,FALSE,"STATS";"CELL",#N/A,FALSE,"CELL";"BS",#N/A,FALSE,"BS"}</definedName>
    <definedName function="false" hidden="false" name="kma" vbProcedure="false">{#N/A,#N/A,TRUE,"Cover sheet";#N/A,#N/A,TRUE,"DCF analysis";#N/A,#N/A,TRUE,"WACC calculation"}</definedName>
    <definedName function="false" hidden="false" name="kmh" vbProcedure="false">{#N/A,#N/A,TRUE,"Cover sheet";#N/A,#N/A,TRUE,"DCF analysis";#N/A,#N/A,TRUE,"WACC calculation"}</definedName>
    <definedName function="false" hidden="false" name="kmj" vbProcedure="false">#N/A</definedName>
    <definedName function="false" hidden="false" name="KMP" vbProcedure="false">#REF!</definedName>
    <definedName function="false" hidden="false" name="knl" vbProcedure="false">knl</definedName>
    <definedName function="false" hidden="false" name="ko" vbProcedure="false">{#N/A,#N/A,FALSE,"ORIX CSC"}</definedName>
    <definedName function="false" hidden="false" name="kol" vbProcedure="false">{"away stand alones",#N/A,FALSE,"Target"}</definedName>
    <definedName function="false" hidden="false" name="kp" vbProcedure="false">{"subs",#N/A,FALSE,"database ";"proportional",#N/A,FALSE,"database "}</definedName>
    <definedName function="false" hidden="false" name="kpo" vbProcedure="false">#N/A</definedName>
    <definedName function="false" hidden="false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qty" vbProcedure="false">#REF!</definedName>
    <definedName function="false" hidden="false" name="Kqty2" vbProcedure="false">#REF!</definedName>
    <definedName function="false" hidden="false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Rates" vbProcedure="false">#REF!</definedName>
    <definedName function="false" hidden="false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sdhelmoe" vbProcedure="false">#N/A</definedName>
    <definedName function="false" hidden="false" name="kt" vbProcedure="false">{"IS",#N/A,FALSE,"IS";"RPTIS",#N/A,FALSE,"RPTIS";"STATS",#N/A,FALSE,"STATS";"CELL",#N/A,FALSE,"CELL";"BS",#N/A,FALSE,"BS"}</definedName>
    <definedName function="false" hidden="false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uh" vbProcedure="false">#N/A</definedName>
    <definedName function="false" hidden="false" name="kuu" vbProcedure="false">#N/A</definedName>
    <definedName function="false" hidden="false" name="ky" vbProcedure="false">{#N/A,#N/A,FALSE,"Contribution Analysis"}</definedName>
    <definedName function="false" hidden="false" name="K___0" vbProcedure="false">#REF!</definedName>
    <definedName function="false" hidden="false" name="K___12" vbProcedure="false">#REF!</definedName>
    <definedName function="false" hidden="false" name="K___14" vbProcedure="false">#REF!</definedName>
    <definedName function="false" hidden="false" name="K___16" vbProcedure="false">#REF!</definedName>
    <definedName function="false" hidden="false" name="K___2" vbProcedure="false">#REF!</definedName>
    <definedName function="false" hidden="false" name="K___25" vbProcedure="false">#REF!</definedName>
    <definedName function="false" hidden="false" name="K___26" vbProcedure="false">#REF!</definedName>
    <definedName function="false" hidden="false" name="K___27" vbProcedure="false">#REF!</definedName>
    <definedName function="false" hidden="false" name="K___4" vbProcedure="false">#REF!</definedName>
    <definedName function="false" hidden="false" name="K___5" vbProcedure="false">#REF!</definedName>
    <definedName function="false" hidden="false" name="K___7" vbProcedure="false">#REF!</definedName>
    <definedName function="false" hidden="false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lailahaillellah" vbProcedure="false">#N/A</definedName>
    <definedName function="false" hidden="false" name="lala" vbProcedure="false">{#N/A,#N/A,TRUE,"Cover sheet";#N/A,#N/A,TRUE,"DCF analysis";#N/A,#N/A,TRUE,"WACC calculation"}</definedName>
    <definedName function="false" hidden="false" name="laribi" vbProcedure="false">#N/A</definedName>
    <definedName function="false" hidden="false" name="LAssets" vbProcedure="false">#REF!</definedName>
    <definedName function="false" hidden="false" name="LAssets___12" vbProcedure="false">#REF!</definedName>
    <definedName function="false" hidden="false" name="LAssets___14" vbProcedure="false">#REF!</definedName>
    <definedName function="false" hidden="false" name="LAssets___16" vbProcedure="false">#REF!</definedName>
    <definedName function="false" hidden="false" name="LAssets___2" vbProcedure="false">#REF!</definedName>
    <definedName function="false" hidden="false" name="LAssets___25" vbProcedure="false">#REF!</definedName>
    <definedName function="false" hidden="false" name="LAssets___27" vbProcedure="false">#REF!</definedName>
    <definedName function="false" hidden="false" name="LAssets___4" vbProcedure="false">#REF!</definedName>
    <definedName function="false" hidden="false" name="LAssets___5" vbProcedure="false">#REF!</definedName>
    <definedName function="false" hidden="false" name="LastAmort" vbProcedure="false">#REF!</definedName>
    <definedName function="false" hidden="false" name="LastChgDefTax" vbProcedure="false">#REF!</definedName>
    <definedName function="false" hidden="false" name="LastChgDefTax___0" vbProcedure="false">#REF!</definedName>
    <definedName function="false" hidden="false" name="LastChgDefTax___12" vbProcedure="false">#REF!</definedName>
    <definedName function="false" hidden="false" name="LastChgDefTax___14" vbProcedure="false">#REF!</definedName>
    <definedName function="false" hidden="false" name="LastChgDefTax___16" vbProcedure="false">#REF!</definedName>
    <definedName function="false" hidden="false" name="LastChgDefTax___2" vbProcedure="false">#REF!</definedName>
    <definedName function="false" hidden="false" name="LastChgDefTax___25" vbProcedure="false">#REF!</definedName>
    <definedName function="false" hidden="false" name="LastChgDefTax___26" vbProcedure="false">#REF!</definedName>
    <definedName function="false" hidden="false" name="LastChgDefTax___27" vbProcedure="false">#REF!</definedName>
    <definedName function="false" hidden="false" name="LastChgDefTax___4" vbProcedure="false">#REF!</definedName>
    <definedName function="false" hidden="false" name="LastChgDefTax___5" vbProcedure="false">#REF!</definedName>
    <definedName function="false" hidden="false" name="LastChgDefTax___7" vbProcedure="false">#REF!</definedName>
    <definedName function="false" hidden="false" name="LastDepr" vbProcedure="false">#REF!</definedName>
    <definedName function="false" hidden="false" name="LastDepr___0" vbProcedure="false">#REF!</definedName>
    <definedName function="false" hidden="false" name="LastDepr___12" vbProcedure="false">#REF!</definedName>
    <definedName function="false" hidden="false" name="LastDepr___14" vbProcedure="false">#REF!</definedName>
    <definedName function="false" hidden="false" name="LastDepr___16" vbProcedure="false">#REF!</definedName>
    <definedName function="false" hidden="false" name="LastDepr___2" vbProcedure="false">#REF!</definedName>
    <definedName function="false" hidden="false" name="LastDepr___25" vbProcedure="false">#REF!</definedName>
    <definedName function="false" hidden="false" name="LastDepr___26" vbProcedure="false">#REF!</definedName>
    <definedName function="false" hidden="false" name="LastDepr___27" vbProcedure="false">#REF!</definedName>
    <definedName function="false" hidden="false" name="LastDepr___4" vbProcedure="false">#REF!</definedName>
    <definedName function="false" hidden="false" name="LastDepr___5" vbProcedure="false">#REF!</definedName>
    <definedName function="false" hidden="false" name="LastDepr___7" vbProcedure="false">#REF!</definedName>
    <definedName function="false" hidden="false" name="LastHistYr" vbProcedure="false">#REF!</definedName>
    <definedName function="false" hidden="false" name="LastHistYr___0" vbProcedure="false">#REF!</definedName>
    <definedName function="false" hidden="false" name="LastHistYr___12" vbProcedure="false">#REF!</definedName>
    <definedName function="false" hidden="false" name="LastHistYr___14" vbProcedure="false">#REF!</definedName>
    <definedName function="false" hidden="false" name="LastHistYr___16" vbProcedure="false">#REF!</definedName>
    <definedName function="false" hidden="false" name="LastHistYr___2" vbProcedure="false">#REF!</definedName>
    <definedName function="false" hidden="false" name="LastHistYr___25" vbProcedure="false">#REF!</definedName>
    <definedName function="false" hidden="false" name="LastHistYr___26" vbProcedure="false">#REF!</definedName>
    <definedName function="false" hidden="false" name="LastHistYr___27" vbProcedure="false">#REF!</definedName>
    <definedName function="false" hidden="false" name="LastHistYr___4" vbProcedure="false">#REF!</definedName>
    <definedName function="false" hidden="false" name="LastHistYr___5" vbProcedure="false">#REF!</definedName>
    <definedName function="false" hidden="false" name="LastHistYr___7" vbProcedure="false">#REF!</definedName>
    <definedName function="false" hidden="false" name="LastNetPPE" vbProcedure="false">#REF!</definedName>
    <definedName function="false" hidden="false" name="LastNetPPE___0" vbProcedure="false">#REF!</definedName>
    <definedName function="false" hidden="false" name="LastNetPPE___12" vbProcedure="false">#REF!</definedName>
    <definedName function="false" hidden="false" name="LastNetPPE___14" vbProcedure="false">#REF!</definedName>
    <definedName function="false" hidden="false" name="LastNetPPE___16" vbProcedure="false">#REF!</definedName>
    <definedName function="false" hidden="false" name="LastNetPPE___2" vbProcedure="false">#REF!</definedName>
    <definedName function="false" hidden="false" name="LastNetPPE___25" vbProcedure="false">#REF!</definedName>
    <definedName function="false" hidden="false" name="LastNetPPE___26" vbProcedure="false">#REF!</definedName>
    <definedName function="false" hidden="false" name="LastNetPPE___27" vbProcedure="false">#REF!</definedName>
    <definedName function="false" hidden="false" name="LastNetPPE___4" vbProcedure="false">#REF!</definedName>
    <definedName function="false" hidden="false" name="LastNetPPE___5" vbProcedure="false">#REF!</definedName>
    <definedName function="false" hidden="false" name="LastNetPPE___7" vbProcedure="false">#REF!</definedName>
    <definedName function="false" hidden="false" name="LastNWIPct" vbProcedure="false">#REF!</definedName>
    <definedName function="false" hidden="false" name="LastNWIPct___0" vbProcedure="false">#REF!</definedName>
    <definedName function="false" hidden="false" name="LastNWIPct___12" vbProcedure="false">#REF!</definedName>
    <definedName function="false" hidden="false" name="LastNWIPct___14" vbProcedure="false">#REF!</definedName>
    <definedName function="false" hidden="false" name="LastNWIPct___16" vbProcedure="false">#REF!</definedName>
    <definedName function="false" hidden="false" name="LastNWIPct___2" vbProcedure="false">#REF!</definedName>
    <definedName function="false" hidden="false" name="LastNWIPct___25" vbProcedure="false">#REF!</definedName>
    <definedName function="false" hidden="false" name="LastNWIPct___26" vbProcedure="false">#REF!</definedName>
    <definedName function="false" hidden="false" name="LastNWIPct___27" vbProcedure="false">#REF!</definedName>
    <definedName function="false" hidden="false" name="LastNWIPct___4" vbProcedure="false">#REF!</definedName>
    <definedName function="false" hidden="false" name="LastNWIPct___5" vbProcedure="false">#REF!</definedName>
    <definedName function="false" hidden="false" name="LastNWIPct___7" vbProcedure="false">#REF!</definedName>
    <definedName function="false" hidden="false" name="LastPPESalesPct" vbProcedure="false">#REF!</definedName>
    <definedName function="false" hidden="false" name="LastPPESalesPct___0" vbProcedure="false">#REF!</definedName>
    <definedName function="false" hidden="false" name="LastPPESalesPct___12" vbProcedure="false">#REF!</definedName>
    <definedName function="false" hidden="false" name="LastPPESalesPct___14" vbProcedure="false">#REF!</definedName>
    <definedName function="false" hidden="false" name="LastPPESalesPct___16" vbProcedure="false">#REF!</definedName>
    <definedName function="false" hidden="false" name="LastPPESalesPct___2" vbProcedure="false">#REF!</definedName>
    <definedName function="false" hidden="false" name="LastPPESalesPct___25" vbProcedure="false">#REF!</definedName>
    <definedName function="false" hidden="false" name="LastPPESalesPct___26" vbProcedure="false">#REF!</definedName>
    <definedName function="false" hidden="false" name="LastPPESalesPct___27" vbProcedure="false">#REF!</definedName>
    <definedName function="false" hidden="false" name="LastPPESalesPct___4" vbProcedure="false">#REF!</definedName>
    <definedName function="false" hidden="false" name="LastPPESalesPct___5" vbProcedure="false">#REF!</definedName>
    <definedName function="false" hidden="false" name="LastPPESalesPct___7" vbProcedure="false">#REF!</definedName>
    <definedName function="false" hidden="false" name="LastProjYr" vbProcedure="false">#REF!</definedName>
    <definedName function="false" hidden="false" name="LastProjYr___0" vbProcedure="false">#REF!</definedName>
    <definedName function="false" hidden="false" name="LastProjYr___12" vbProcedure="false">#REF!</definedName>
    <definedName function="false" hidden="false" name="LastProjYr___14" vbProcedure="false">#REF!</definedName>
    <definedName function="false" hidden="false" name="LastProjYr___16" vbProcedure="false">#REF!</definedName>
    <definedName function="false" hidden="false" name="LastProjYr___2" vbProcedure="false">#REF!</definedName>
    <definedName function="false" hidden="false" name="LastProjYr___25" vbProcedure="false">#REF!</definedName>
    <definedName function="false" hidden="false" name="LastProjYr___26" vbProcedure="false">#REF!</definedName>
    <definedName function="false" hidden="false" name="LastProjYr___27" vbProcedure="false">#REF!</definedName>
    <definedName function="false" hidden="false" name="LastProjYr___4" vbProcedure="false">#REF!</definedName>
    <definedName function="false" hidden="false" name="LastProjYr___5" vbProcedure="false">#REF!</definedName>
    <definedName function="false" hidden="false" name="LastProjYr___7" vbProcedure="false">#REF!</definedName>
    <definedName function="false" hidden="false" name="LastProvisions" vbProcedure="false">#REF!</definedName>
    <definedName function="false" hidden="false" name="LastProvisions___0" vbProcedure="false">#REF!</definedName>
    <definedName function="false" hidden="false" name="LastProvisions___12" vbProcedure="false">#REF!</definedName>
    <definedName function="false" hidden="false" name="LastProvisions___14" vbProcedure="false">#REF!</definedName>
    <definedName function="false" hidden="false" name="LastProvisions___16" vbProcedure="false">#REF!</definedName>
    <definedName function="false" hidden="false" name="LastProvisions___2" vbProcedure="false">#REF!</definedName>
    <definedName function="false" hidden="false" name="LastProvisions___25" vbProcedure="false">#REF!</definedName>
    <definedName function="false" hidden="false" name="LastProvisions___26" vbProcedure="false">#REF!</definedName>
    <definedName function="false" hidden="false" name="LastProvisions___27" vbProcedure="false">#REF!</definedName>
    <definedName function="false" hidden="false" name="LastProvisions___4" vbProcedure="false">#REF!</definedName>
    <definedName function="false" hidden="false" name="LastProvisions___5" vbProcedure="false">#REF!</definedName>
    <definedName function="false" hidden="false" name="LastProvisions___7" vbProcedure="false">#REF!</definedName>
    <definedName function="false" hidden="false" name="LastSales" vbProcedure="false">#REF!</definedName>
    <definedName function="false" hidden="false" name="LastSales___0" vbProcedure="false">#REF!</definedName>
    <definedName function="false" hidden="false" name="LastSales___12" vbProcedure="false">#REF!</definedName>
    <definedName function="false" hidden="false" name="LastSales___14" vbProcedure="false">#REF!</definedName>
    <definedName function="false" hidden="false" name="LastSales___16" vbProcedure="false">#REF!</definedName>
    <definedName function="false" hidden="false" name="LastSales___2" vbProcedure="false">#REF!</definedName>
    <definedName function="false" hidden="false" name="LastSales___25" vbProcedure="false">#REF!</definedName>
    <definedName function="false" hidden="false" name="LastSales___26" vbProcedure="false">#REF!</definedName>
    <definedName function="false" hidden="false" name="LastSales___27" vbProcedure="false">#REF!</definedName>
    <definedName function="false" hidden="false" name="LastSales___4" vbProcedure="false">#REF!</definedName>
    <definedName function="false" hidden="false" name="LastSales___5" vbProcedure="false">#REF!</definedName>
    <definedName function="false" hidden="false" name="LastSales___7" vbProcedure="false">#REF!</definedName>
    <definedName function="false" hidden="false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CapexPct" vbProcedure="false">#REF!</definedName>
    <definedName function="false" hidden="false" name="LCapexPct___0" vbProcedure="false">#REF!</definedName>
    <definedName function="false" hidden="false" name="LCapexPct___12" vbProcedure="false">#REF!</definedName>
    <definedName function="false" hidden="false" name="LCapexPct___14" vbProcedure="false">#REF!</definedName>
    <definedName function="false" hidden="false" name="LCapexPct___16" vbProcedure="false">#REF!</definedName>
    <definedName function="false" hidden="false" name="LCapexPct___2" vbProcedure="false">#REF!</definedName>
    <definedName function="false" hidden="false" name="LCapexPct___25" vbProcedure="false">#REF!</definedName>
    <definedName function="false" hidden="false" name="LCapexPct___26" vbProcedure="false">#REF!</definedName>
    <definedName function="false" hidden="false" name="LCapexPct___27" vbProcedure="false">#REF!</definedName>
    <definedName function="false" hidden="false" name="LCapexPct___4" vbProcedure="false">#REF!</definedName>
    <definedName function="false" hidden="false" name="LCapexPct___5" vbProcedure="false">#REF!</definedName>
    <definedName function="false" hidden="false" name="LCapexPct___7" vbProcedure="false">#REF!</definedName>
    <definedName function="false" hidden="false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ldgy" vbProcedure="false">ldgy</definedName>
    <definedName function="false" hidden="false" name="le" vbProcedure="false">{"IS",#N/A,FALSE,"IS";"RPTIS",#N/A,FALSE,"RPTIS";"STATS",#N/A,FALSE,"STATS";"CELL",#N/A,FALSE,"CELL";"BS",#N/A,FALSE,"BS"}</definedName>
    <definedName function="false" hidden="false" name="LEBITMargin" vbProcedure="false">#REF!</definedName>
    <definedName function="false" hidden="false" name="LEBITMargin___0" vbProcedure="false">#REF!</definedName>
    <definedName function="false" hidden="false" name="LEBITMargin___12" vbProcedure="false">#REF!</definedName>
    <definedName function="false" hidden="false" name="LEBITMargin___14" vbProcedure="false">#REF!</definedName>
    <definedName function="false" hidden="false" name="LEBITMargin___16" vbProcedure="false">#REF!</definedName>
    <definedName function="false" hidden="false" name="LEBITMargin___2" vbProcedure="false">#REF!</definedName>
    <definedName function="false" hidden="false" name="LEBITMargin___25" vbProcedure="false">#REF!</definedName>
    <definedName function="false" hidden="false" name="LEBITMargin___26" vbProcedure="false">#REF!</definedName>
    <definedName function="false" hidden="false" name="LEBITMargin___27" vbProcedure="false">#REF!</definedName>
    <definedName function="false" hidden="false" name="LEBITMargin___4" vbProcedure="false">#REF!</definedName>
    <definedName function="false" hidden="false" name="LEBITMargin___5" vbProcedure="false">#REF!</definedName>
    <definedName function="false" hidden="false" name="LEBITMargin___7" vbProcedure="false">#REF!</definedName>
    <definedName function="false" hidden="false" name="LeveredBeta" vbProcedure="false">#REF!</definedName>
    <definedName function="false" hidden="false" name="LeveredBeta___0" vbProcedure="false">#REF!</definedName>
    <definedName function="false" hidden="false" name="LeveredBeta___12" vbProcedure="false">#REF!</definedName>
    <definedName function="false" hidden="false" name="LeveredBeta___14" vbProcedure="false">#REF!</definedName>
    <definedName function="false" hidden="false" name="LeveredBeta___16" vbProcedure="false">#REF!</definedName>
    <definedName function="false" hidden="false" name="LeveredBeta___2" vbProcedure="false">#REF!</definedName>
    <definedName function="false" hidden="false" name="LeveredBeta___25" vbProcedure="false">#REF!</definedName>
    <definedName function="false" hidden="false" name="LeveredBeta___26" vbProcedure="false">#REF!</definedName>
    <definedName function="false" hidden="false" name="LeveredBeta___27" vbProcedure="false">#REF!</definedName>
    <definedName function="false" hidden="false" name="LeveredBeta___4" vbProcedure="false">#REF!</definedName>
    <definedName function="false" hidden="false" name="LeveredBeta___5" vbProcedure="false">#REF!</definedName>
    <definedName function="false" hidden="false" name="LeveredBeta___7" vbProcedure="false">#REF!</definedName>
    <definedName function="false" hidden="false" name="li" vbProcedure="false">{"IS",#N/A,FALSE,"IS";"RPTIS",#N/A,FALSE,"RPTIS";"STATS",#N/A,FALSE,"STATS";"CELL",#N/A,FALSE,"CELL";"BS",#N/A,FALSE,"BS"}</definedName>
    <definedName function="false" hidden="false" name="liasse" vbProcedure="false">#REF!</definedName>
    <definedName function="false" hidden="false" name="liasse30" vbProcedure="false">#REF!</definedName>
    <definedName function="false" hidden="false" name="LIFE" vbProcedure="false">#N/A</definedName>
    <definedName function="false" hidden="false" name="limcount" vbProcedure="false">1</definedName>
    <definedName function="false" hidden="false" name="Lissasfa" vbProcedure="false">#REF!</definedName>
    <definedName function="false" hidden="false" name="LISTA_100" vbProcedure="false">#REF!</definedName>
    <definedName function="false" hidden="false" name="LISTE" vbProcedure="false">#REF!</definedName>
    <definedName function="false" hidden="false" name="ListPrice" vbProcedure="false">#REF!</definedName>
    <definedName function="false" hidden="false" name="LJ" vbProcedure="false">#REF!</definedName>
    <definedName function="false" hidden="false" name="lkglotr" vbProcedure="false">#REF!</definedName>
    <definedName function="false" hidden="false" name="lkjhh" vbProcedure="false">#N/A</definedName>
    <definedName function="false" hidden="false" name="LKJLML" vbProcedure="false">#REF!</definedName>
    <definedName function="false" hidden="false" name="lkkgopr" vbProcedure="false">#REF!</definedName>
    <definedName function="false" hidden="false" name="LLiabs" vbProcedure="false">#REF!</definedName>
    <definedName function="false" hidden="false" name="LLiabs___0" vbProcedure="false">#REF!</definedName>
    <definedName function="false" hidden="false" name="LLiabs___12" vbProcedure="false">#REF!</definedName>
    <definedName function="false" hidden="false" name="LLiabs___14" vbProcedure="false">#REF!</definedName>
    <definedName function="false" hidden="false" name="LLiabs___16" vbProcedure="false">#REF!</definedName>
    <definedName function="false" hidden="false" name="LLiabs___2" vbProcedure="false">#REF!</definedName>
    <definedName function="false" hidden="false" name="LLiabs___25" vbProcedure="false">#REF!</definedName>
    <definedName function="false" hidden="false" name="LLiabs___26" vbProcedure="false">#REF!</definedName>
    <definedName function="false" hidden="false" name="LLiabs___27" vbProcedure="false">#REF!</definedName>
    <definedName function="false" hidden="false" name="LLiabs___4" vbProcedure="false">#REF!</definedName>
    <definedName function="false" hidden="false" name="LLiabs___5" vbProcedure="false">#REF!</definedName>
    <definedName function="false" hidden="false" name="LLiabs___7" vbProcedure="false">#REF!</definedName>
    <definedName function="false" hidden="false" name="LMPS" vbProcedure="false">#REF!</definedName>
    <definedName function="false" hidden="false" name="ln" vbProcedure="false">{#N/A,#N/A,FALSE,"Contribution Analysis"}</definedName>
    <definedName function="false" hidden="false" name="LNPPESales" vbProcedure="false">#REF!</definedName>
    <definedName function="false" hidden="false" name="LNPPESales___0" vbProcedure="false">#REF!</definedName>
    <definedName function="false" hidden="false" name="LNPPESales___12" vbProcedure="false">#REF!</definedName>
    <definedName function="false" hidden="false" name="LNPPESales___14" vbProcedure="false">#REF!</definedName>
    <definedName function="false" hidden="false" name="LNPPESales___16" vbProcedure="false">#REF!</definedName>
    <definedName function="false" hidden="false" name="LNPPESales___2" vbProcedure="false">#REF!</definedName>
    <definedName function="false" hidden="false" name="LNPPESales___25" vbProcedure="false">#REF!</definedName>
    <definedName function="false" hidden="false" name="LNPPESales___26" vbProcedure="false">#REF!</definedName>
    <definedName function="false" hidden="false" name="LNPPESales___27" vbProcedure="false">#REF!</definedName>
    <definedName function="false" hidden="false" name="LNPPESales___4" vbProcedure="false">#REF!</definedName>
    <definedName function="false" hidden="false" name="LNPPESales___5" vbProcedure="false">#REF!</definedName>
    <definedName function="false" hidden="false" name="LNPPESales___7" vbProcedure="false">#REF!</definedName>
    <definedName function="false" hidden="false" name="lo" vbProcedure="false">{"IS",#N/A,FALSE,"IS";"RPTIS",#N/A,FALSE,"RPTIS";"STATS",#N/A,FALSE,"STATS";"CELL",#N/A,FALSE,"CELL";"BS",#N/A,FALSE,"BS"}</definedName>
    <definedName function="false" hidden="false" name="loki" vbProcedure="false">#REF!</definedName>
    <definedName function="false" hidden="false" name="LongBond" vbProcedure="false">#REF!</definedName>
    <definedName function="false" hidden="false" name="LongBond___0" vbProcedure="false">#REF!</definedName>
    <definedName function="false" hidden="false" name="LongBond___12" vbProcedure="false">#REF!</definedName>
    <definedName function="false" hidden="false" name="LongBond___14" vbProcedure="false">#REF!</definedName>
    <definedName function="false" hidden="false" name="LongBond___16" vbProcedure="false">#REF!</definedName>
    <definedName function="false" hidden="false" name="LongBond___2" vbProcedure="false">#REF!</definedName>
    <definedName function="false" hidden="false" name="LongBond___25" vbProcedure="false">#REF!</definedName>
    <definedName function="false" hidden="false" name="LongBond___26" vbProcedure="false">#REF!</definedName>
    <definedName function="false" hidden="false" name="LongBond___27" vbProcedure="false">#REF!</definedName>
    <definedName function="false" hidden="false" name="LongBond___4" vbProcedure="false">#REF!</definedName>
    <definedName function="false" hidden="false" name="LongBond___5" vbProcedure="false">#REF!</definedName>
    <definedName function="false" hidden="false" name="LongBond___7" vbProcedure="false">#REF!</definedName>
    <definedName function="false" hidden="false" name="loubna" vbProcedure="false">#N/A</definedName>
    <definedName function="false" hidden="false" name="LPEBIT" vbProcedure="false">#REF!</definedName>
    <definedName function="false" hidden="false" name="LPEBITDA" vbProcedure="false">#REF!</definedName>
    <definedName function="false" hidden="false" name="LPEBITDA___0" vbProcedure="false">#REF!</definedName>
    <definedName function="false" hidden="false" name="LPEBITDA___12" vbProcedure="false">#REF!</definedName>
    <definedName function="false" hidden="false" name="LPEBITDA___14" vbProcedure="false">#REF!</definedName>
    <definedName function="false" hidden="false" name="LPEBITDA___16" vbProcedure="false">#REF!</definedName>
    <definedName function="false" hidden="false" name="LPEBITDA___2" vbProcedure="false">#REF!</definedName>
    <definedName function="false" hidden="false" name="LPEBITDA___25" vbProcedure="false">#REF!</definedName>
    <definedName function="false" hidden="false" name="LPEBITDA___26" vbProcedure="false">#REF!</definedName>
    <definedName function="false" hidden="false" name="LPEBITDA___27" vbProcedure="false">#REF!</definedName>
    <definedName function="false" hidden="false" name="LPEBITDA___4" vbProcedure="false">#REF!</definedName>
    <definedName function="false" hidden="false" name="LPEBITDA___5" vbProcedure="false">#REF!</definedName>
    <definedName function="false" hidden="false" name="LPEBITDA___7" vbProcedure="false">#REF!</definedName>
    <definedName function="false" hidden="false" name="LPEBIT___0" vbProcedure="false">#REF!</definedName>
    <definedName function="false" hidden="false" name="LPEBIT___12" vbProcedure="false">#REF!</definedName>
    <definedName function="false" hidden="false" name="LPEBIT___14" vbProcedure="false">#REF!</definedName>
    <definedName function="false" hidden="false" name="LPEBIT___16" vbProcedure="false">#REF!</definedName>
    <definedName function="false" hidden="false" name="LPEBIT___2" vbProcedure="false">#REF!</definedName>
    <definedName function="false" hidden="false" name="LPEBIT___25" vbProcedure="false">#REF!</definedName>
    <definedName function="false" hidden="false" name="LPEBIT___26" vbProcedure="false">#REF!</definedName>
    <definedName function="false" hidden="false" name="LPEBIT___27" vbProcedure="false">#REF!</definedName>
    <definedName function="false" hidden="false" name="LPEBIT___4" vbProcedure="false">#REF!</definedName>
    <definedName function="false" hidden="false" name="LPEBIT___5" vbProcedure="false">#REF!</definedName>
    <definedName function="false" hidden="false" name="LPEBIT___7" vbProcedure="false">#REF!</definedName>
    <definedName function="false" hidden="false" name="LPOperProfit" vbProcedure="false">#REF!</definedName>
    <definedName function="false" hidden="false" name="LPOperProfit___0" vbProcedure="false">#REF!</definedName>
    <definedName function="false" hidden="false" name="LPOperProfit___12" vbProcedure="false">#REF!</definedName>
    <definedName function="false" hidden="false" name="LPOperProfit___14" vbProcedure="false">#REF!</definedName>
    <definedName function="false" hidden="false" name="LPOperProfit___16" vbProcedure="false">#REF!</definedName>
    <definedName function="false" hidden="false" name="LPOperProfit___2" vbProcedure="false">#REF!</definedName>
    <definedName function="false" hidden="false" name="LPOperProfit___25" vbProcedure="false">#REF!</definedName>
    <definedName function="false" hidden="false" name="LPOperProfit___26" vbProcedure="false">#REF!</definedName>
    <definedName function="false" hidden="false" name="LPOperProfit___27" vbProcedure="false">#REF!</definedName>
    <definedName function="false" hidden="false" name="LPOperProfit___4" vbProcedure="false">#REF!</definedName>
    <definedName function="false" hidden="false" name="LPOperProfit___5" vbProcedure="false">#REF!</definedName>
    <definedName function="false" hidden="false" name="LPOperProfit___7" vbProcedure="false">#REF!</definedName>
    <definedName function="false" hidden="false" name="LPOther1" vbProcedure="false">#REF!</definedName>
    <definedName function="false" hidden="false" name="LPOther1___0" vbProcedure="false">#REF!</definedName>
    <definedName function="false" hidden="false" name="LPOther1___12" vbProcedure="false">#REF!</definedName>
    <definedName function="false" hidden="false" name="LPOther1___14" vbProcedure="false">#REF!</definedName>
    <definedName function="false" hidden="false" name="LPOther1___16" vbProcedure="false">#REF!</definedName>
    <definedName function="false" hidden="false" name="LPOther1___2" vbProcedure="false">#REF!</definedName>
    <definedName function="false" hidden="false" name="LPOther1___25" vbProcedure="false">#REF!</definedName>
    <definedName function="false" hidden="false" name="LPOther1___26" vbProcedure="false">#REF!</definedName>
    <definedName function="false" hidden="false" name="LPOther1___27" vbProcedure="false">#REF!</definedName>
    <definedName function="false" hidden="false" name="LPOther1___4" vbProcedure="false">#REF!</definedName>
    <definedName function="false" hidden="false" name="LPOther1___5" vbProcedure="false">#REF!</definedName>
    <definedName function="false" hidden="false" name="LPOther1___7" vbProcedure="false">#REF!</definedName>
    <definedName function="false" hidden="false" name="LPOther2" vbProcedure="false">#REF!</definedName>
    <definedName function="false" hidden="false" name="LPOther2___0" vbProcedure="false">#REF!</definedName>
    <definedName function="false" hidden="false" name="LPOther2___12" vbProcedure="false">#REF!</definedName>
    <definedName function="false" hidden="false" name="LPOther2___14" vbProcedure="false">#REF!</definedName>
    <definedName function="false" hidden="false" name="LPOther2___16" vbProcedure="false">#REF!</definedName>
    <definedName function="false" hidden="false" name="LPOther2___2" vbProcedure="false">#REF!</definedName>
    <definedName function="false" hidden="false" name="LPOther2___25" vbProcedure="false">#REF!</definedName>
    <definedName function="false" hidden="false" name="LPOther2___26" vbProcedure="false">#REF!</definedName>
    <definedName function="false" hidden="false" name="LPOther2___27" vbProcedure="false">#REF!</definedName>
    <definedName function="false" hidden="false" name="LPOther2___4" vbProcedure="false">#REF!</definedName>
    <definedName function="false" hidden="false" name="LPOther2___5" vbProcedure="false">#REF!</definedName>
    <definedName function="false" hidden="false" name="LPOther2___7" vbProcedure="false">#REF!</definedName>
    <definedName function="false" hidden="false" name="LPOther3" vbProcedure="false">#REF!</definedName>
    <definedName function="false" hidden="false" name="LPOther3___0" vbProcedure="false">#REF!</definedName>
    <definedName function="false" hidden="false" name="LPOther3___12" vbProcedure="false">#REF!</definedName>
    <definedName function="false" hidden="false" name="LPOther3___14" vbProcedure="false">#REF!</definedName>
    <definedName function="false" hidden="false" name="LPOther3___16" vbProcedure="false">#REF!</definedName>
    <definedName function="false" hidden="false" name="LPOther3___2" vbProcedure="false">#REF!</definedName>
    <definedName function="false" hidden="false" name="LPOther3___25" vbProcedure="false">#REF!</definedName>
    <definedName function="false" hidden="false" name="LPOther3___26" vbProcedure="false">#REF!</definedName>
    <definedName function="false" hidden="false" name="LPOther3___27" vbProcedure="false">#REF!</definedName>
    <definedName function="false" hidden="false" name="LPOther3___4" vbProcedure="false">#REF!</definedName>
    <definedName function="false" hidden="false" name="LPOther3___5" vbProcedure="false">#REF!</definedName>
    <definedName function="false" hidden="false" name="LPOther3___7" vbProcedure="false">#REF!</definedName>
    <definedName function="false" hidden="false" name="LPSales" vbProcedure="false">#REF!</definedName>
    <definedName function="false" hidden="false" name="LPSales___0" vbProcedure="false">#REF!</definedName>
    <definedName function="false" hidden="false" name="LPSales___12" vbProcedure="false">#REF!</definedName>
    <definedName function="false" hidden="false" name="LPSales___14" vbProcedure="false">#REF!</definedName>
    <definedName function="false" hidden="false" name="LPSales___16" vbProcedure="false">#REF!</definedName>
    <definedName function="false" hidden="false" name="LPSales___2" vbProcedure="false">#REF!</definedName>
    <definedName function="false" hidden="false" name="LPSales___25" vbProcedure="false">#REF!</definedName>
    <definedName function="false" hidden="false" name="LPSales___26" vbProcedure="false">#REF!</definedName>
    <definedName function="false" hidden="false" name="LPSales___27" vbProcedure="false">#REF!</definedName>
    <definedName function="false" hidden="false" name="LPSales___4" vbProcedure="false">#REF!</definedName>
    <definedName function="false" hidden="false" name="LPSales___5" vbProcedure="false">#REF!</definedName>
    <definedName function="false" hidden="false" name="LPSales___7" vbProcedure="false">#REF!</definedName>
    <definedName function="false" hidden="false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r" vbProcedure="false">{"IS",#N/A,FALSE,"IS";"RPTIS",#N/A,FALSE,"RPTIS";"STATS",#N/A,FALSE,"STATS";"CELL",#N/A,FALSE,"CELL";"BS",#N/A,FALSE,"BS"}</definedName>
    <definedName function="false" hidden="false" name="lrty" vbProcedure="false">#REF!</definedName>
    <definedName function="false" hidden="false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LSalesGrowth" vbProcedure="false">#REF!</definedName>
    <definedName function="false" hidden="false" name="LSalesGrowth___0" vbProcedure="false">#REF!</definedName>
    <definedName function="false" hidden="false" name="LSalesGrowth___12" vbProcedure="false">#REF!</definedName>
    <definedName function="false" hidden="false" name="LSalesGrowth___14" vbProcedure="false">#REF!</definedName>
    <definedName function="false" hidden="false" name="LSalesGrowth___16" vbProcedure="false">#REF!</definedName>
    <definedName function="false" hidden="false" name="LSalesGrowth___2" vbProcedure="false">#REF!</definedName>
    <definedName function="false" hidden="false" name="LSalesGrowth___25" vbProcedure="false">#REF!</definedName>
    <definedName function="false" hidden="false" name="LSalesGrowth___26" vbProcedure="false">#REF!</definedName>
    <definedName function="false" hidden="false" name="LSalesGrowth___27" vbProcedure="false">#REF!</definedName>
    <definedName function="false" hidden="false" name="LSalesGrowth___4" vbProcedure="false">#REF!</definedName>
    <definedName function="false" hidden="false" name="LSalesGrowth___5" vbProcedure="false">#REF!</definedName>
    <definedName function="false" hidden="false" name="LSalesGrowth___7" vbProcedure="false">#REF!</definedName>
    <definedName function="false" hidden="false" name="LTaxRate" vbProcedure="false">#REF!</definedName>
    <definedName function="false" hidden="false" name="LTaxRate___0" vbProcedure="false">#REF!</definedName>
    <definedName function="false" hidden="false" name="LTaxRate___12" vbProcedure="false">#REF!</definedName>
    <definedName function="false" hidden="false" name="LTaxRate___14" vbProcedure="false">#REF!</definedName>
    <definedName function="false" hidden="false" name="LTaxRate___16" vbProcedure="false">#REF!</definedName>
    <definedName function="false" hidden="false" name="LTaxRate___2" vbProcedure="false">#REF!</definedName>
    <definedName function="false" hidden="false" name="LTaxRate___25" vbProcedure="false">#REF!</definedName>
    <definedName function="false" hidden="false" name="LTaxRate___26" vbProcedure="false">#REF!</definedName>
    <definedName function="false" hidden="false" name="LTaxRate___27" vbProcedure="false">#REF!</definedName>
    <definedName function="false" hidden="false" name="LTaxRate___4" vbProcedure="false">#REF!</definedName>
    <definedName function="false" hidden="false" name="LTaxRate___5" vbProcedure="false">#REF!</definedName>
    <definedName function="false" hidden="false" name="LTaxRate___7" vbProcedure="false">#REF!</definedName>
    <definedName function="false" hidden="false" name="lu" vbProcedure="false">{"orixcsc",#N/A,FALSE,"ORIX CSC";"orixcsc2",#N/A,FALSE,"ORIX CSC"}</definedName>
    <definedName function="false" hidden="false" name="lumpjiùo" vbProcedure="false">{"IS",#N/A,FALSE,"IS";"RPTIS",#N/A,FALSE,"RPTIS";"STATS",#N/A,FALSE,"STATS";"BS",#N/A,FALSE,"BS"}</definedName>
    <definedName function="false" hidden="false" name="lv" vbProcedure="false">{"IS",#N/A,FALSE,"IS";"RPTIS",#N/A,FALSE,"RPTIS";"STATS",#N/A,FALSE,"STATS";"BS",#N/A,FALSE,"BS"}</definedName>
    <definedName function="false" hidden="false" name="ly" vbProcedure="false">{#N/A,#N/A,FALSE,"Contribution Analysis"}</definedName>
    <definedName function="false" hidden="false" name="lz" vbProcedure="false">{"IS",#N/A,FALSE,"IS";"RPTIS",#N/A,FALSE,"RPTIS";"STATS",#N/A,FALSE,"STATS";"CELL",#N/A,FALSE,"CELL";"BS",#N/A,FALSE,"BS"}</definedName>
    <definedName function="false" hidden="false" name="L_" vbProcedure="false">#REF!</definedName>
    <definedName function="false" hidden="false" name="L____0" vbProcedure="false">#REF!</definedName>
    <definedName function="false" hidden="false" name="L____12" vbProcedure="false">#REF!</definedName>
    <definedName function="false" hidden="false" name="L____14" vbProcedure="false">#REF!</definedName>
    <definedName function="false" hidden="false" name="L____16" vbProcedure="false">#REF!</definedName>
    <definedName function="false" hidden="false" name="L____2" vbProcedure="false">#REF!</definedName>
    <definedName function="false" hidden="false" name="L____25" vbProcedure="false">#REF!</definedName>
    <definedName function="false" hidden="false" name="L____26" vbProcedure="false">#REF!</definedName>
    <definedName function="false" hidden="false" name="L____27" vbProcedure="false">#REF!</definedName>
    <definedName function="false" hidden="false" name="L____4" vbProcedure="false">#REF!</definedName>
    <definedName function="false" hidden="false" name="L____5" vbProcedure="false">#REF!</definedName>
    <definedName function="false" hidden="false" name="L____7" vbProcedure="false">#REF!</definedName>
    <definedName function="false" hidden="false" name="M" vbProcedure="false">#REF!</definedName>
    <definedName function="false" hidden="false" name="M.E.SFES" vbProcedure="false">#REF!</definedName>
    <definedName function="false" hidden="false" name="ma" vbProcedure="false">{#N/A,#N/A,FALSE,"ORIX CSC"}</definedName>
    <definedName function="false" hidden="false" name="Macro3" vbProcedure="false">#REF!</definedName>
    <definedName function="false" hidden="false" name="Macro3___0" vbProcedure="false">#REF!</definedName>
    <definedName function="false" hidden="false" name="Macro3___12" vbProcedure="false">#REF!</definedName>
    <definedName function="false" hidden="false" name="Macro3___2" vbProcedure="false">#REF!</definedName>
    <definedName function="false" hidden="false" name="Macro3___27" vbProcedure="false">#REF!</definedName>
    <definedName function="false" hidden="false" name="Macro3___5" vbProcedure="false">#REF!</definedName>
    <definedName function="false" hidden="false" name="MAIN" vbProcedure="false">#REF!</definedName>
    <definedName function="false" hidden="false" name="Maintenance_Markup" vbProcedure="false">#REF!</definedName>
    <definedName function="false" hidden="false" name="March" vbProcedure="false">#REF!</definedName>
    <definedName function="false" hidden="false" name="Markets" vbProcedure="false">#REF!</definedName>
    <definedName function="false" hidden="false" name="Marrakech" vbProcedure="false">#REF!</definedName>
    <definedName function="false" hidden="false" name="Mars" vbProcedure="false">#REF!</definedName>
    <definedName function="false" hidden="false" name="marsabon" vbProcedure="false">#REF!</definedName>
    <definedName function="false" hidden="false" name="marsabon___0" vbProcedure="false">#REF!</definedName>
    <definedName function="false" hidden="false" name="marsabon___14" vbProcedure="false">#REF!</definedName>
    <definedName function="false" hidden="false" name="marsinterur" vbProcedure="false">#REF!</definedName>
    <definedName function="false" hidden="false" name="marsinterur___0" vbProcedure="false">#REF!</definedName>
    <definedName function="false" hidden="false" name="marsinterur___14" vbProcedure="false">#REF!</definedName>
    <definedName function="false" hidden="false" name="marsloc" vbProcedure="false">#REF!</definedName>
    <definedName function="false" hidden="false" name="marsloc___0" vbProcedure="false">#REF!</definedName>
    <definedName function="false" hidden="false" name="marsloc___14" vbProcedure="false">#REF!</definedName>
    <definedName function="false" hidden="false" name="MaSalar" vbProcedure="false">#REF!</definedName>
    <definedName function="false" hidden="false" name="May" vbProcedure="false">#REF!</definedName>
    <definedName function="false" hidden="false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c" vbProcedure="false">{"IS",#N/A,FALSE,"IS";"RPTIS",#N/A,FALSE,"RPTIS";"STATS",#N/A,FALSE,"STATS";"BS",#N/A,FALSE,"BS"}</definedName>
    <definedName function="false" hidden="false" name="md" vbProcedure="false">{"IS",#N/A,FALSE,"IS";"RPTIS",#N/A,FALSE,"RPTIS";"STATS",#N/A,FALSE,"STATS";"CELL",#N/A,FALSE,"CELL";"BS",#N/A,FALSE,"BS"}</definedName>
    <definedName function="false" hidden="false" name="MDB_SAQ" vbProcedure="false">#REF!</definedName>
    <definedName function="false" hidden="false" name="mdlm" vbProcedure="false">{#N/A,#N/A,TRUE,"financial";#N/A,#N/A,TRUE,"plants"}</definedName>
    <definedName function="false" hidden="false" name="me" vbProcedure="false">"Button 5"</definedName>
    <definedName function="false" hidden="false" name="Meknes" vbProcedure="false">#REF!</definedName>
    <definedName function="false" hidden="false" name="mf" vbProcedure="false">{"print 1",#N/A,FALSE,"PrimeCo PCS";"print 2",#N/A,FALSE,"PrimeCo PCS";"valuation",#N/A,FALSE,"PrimeCo PCS"}</definedName>
    <definedName function="false" hidden="false" name="mh" vbProcedure="false">{"IS",#N/A,FALSE,"IS";"RPTIS",#N/A,FALSE,"RPTIS";"STATS",#N/A,FALSE,"STATS";"BS",#N/A,FALSE,"BS"}</definedName>
    <definedName function="false" hidden="false" name="mi" vbProcedure="false">{"subs",#N/A,FALSE,"database ";"proportional",#N/A,FALSE,"database "}</definedName>
    <definedName function="false" hidden="false" name="MIDR" vbProcedure="false">#REF!</definedName>
    <definedName function="false" hidden="false" name="MIMS" vbProcedure="false">#REF!</definedName>
    <definedName function="false" hidden="false" name="mj" vbProcedure="false">{"test2",#N/A,TRUE,"Prices"}</definedName>
    <definedName function="false" hidden="false" name="MktRiskAdj" vbProcedure="false">#REF!</definedName>
    <definedName function="false" hidden="false" name="MktRiskAdj___0" vbProcedure="false">#REF!</definedName>
    <definedName function="false" hidden="false" name="MktRiskAdj___12" vbProcedure="false">#REF!</definedName>
    <definedName function="false" hidden="false" name="MktRiskAdj___14" vbProcedure="false">#REF!</definedName>
    <definedName function="false" hidden="false" name="MktRiskAdj___16" vbProcedure="false">#REF!</definedName>
    <definedName function="false" hidden="false" name="MktRiskAdj___2" vbProcedure="false">#REF!</definedName>
    <definedName function="false" hidden="false" name="MktRiskAdj___25" vbProcedure="false">#REF!</definedName>
    <definedName function="false" hidden="false" name="MktRiskAdj___26" vbProcedure="false">#REF!</definedName>
    <definedName function="false" hidden="false" name="MktRiskAdj___27" vbProcedure="false">#REF!</definedName>
    <definedName function="false" hidden="false" name="MktRiskAdj___4" vbProcedure="false">#REF!</definedName>
    <definedName function="false" hidden="false" name="MktRiskAdj___5" vbProcedure="false">#REF!</definedName>
    <definedName function="false" hidden="false" name="MktRiskAdj___7" vbProcedure="false">#REF!</definedName>
    <definedName function="false" hidden="false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LK" vbProcedure="false">#N/A</definedName>
    <definedName function="false" hidden="false" name="MMMMM" vbProcedure="false">MMMMM</definedName>
    <definedName function="false" hidden="false" name="mn" vbProcedure="false">{"print 1",#N/A,FALSE,"PrimeCo PCS";"print 2",#N/A,FALSE,"PrimeCo PCS";"valuation",#N/A,FALSE,"PrimeCo PCS"}</definedName>
    <definedName function="false" hidden="false" name="mo" vbProcedure="false">{"test2",#N/A,TRUE,"Prices"}</definedName>
    <definedName function="false" hidden="false" name="Mohammedia" vbProcedure="false">#REF!</definedName>
    <definedName function="false" hidden="false" name="mois" vbProcedure="false">#REF!</definedName>
    <definedName function="false" hidden="false" name="mois___0" vbProcedure="false">#REF!</definedName>
    <definedName function="false" hidden="false" name="mois___14" vbProcedure="false">#REF!</definedName>
    <definedName function="false" hidden="false" name="mois___26" vbProcedure="false">#REF!</definedName>
    <definedName function="false" hidden="false" name="mois___27" vbProcedure="false">#REF!</definedName>
    <definedName function="false" hidden="false" name="mois___5" vbProcedure="false">#REF!</definedName>
    <definedName function="false" hidden="false" name="mois___7" vbProcedure="false">#REF!</definedName>
    <definedName function="false" hidden="false" name="Montant_prêt" vbProcedure="false">#REF!</definedName>
    <definedName function="false" hidden="false" name="Montant_prêt___0" vbProcedure="false">#REF!</definedName>
    <definedName function="false" hidden="false" name="Montant_prêt___12" vbProcedure="false">#REF!</definedName>
    <definedName function="false" hidden="false" name="Montant_prêt___14" vbProcedure="false">#REF!</definedName>
    <definedName function="false" hidden="false" name="Montant_prêt___16" vbProcedure="false">#REF!</definedName>
    <definedName function="false" hidden="false" name="Montant_prêt___2" vbProcedure="false">#REF!</definedName>
    <definedName function="false" hidden="false" name="Montant_prêt___25" vbProcedure="false">#REF!</definedName>
    <definedName function="false" hidden="false" name="Montant_prêt___26" vbProcedure="false">#REF!</definedName>
    <definedName function="false" hidden="false" name="Montant_prêt___27" vbProcedure="false">#REF!</definedName>
    <definedName function="false" hidden="false" name="Montant_prêt___4" vbProcedure="false">#REF!</definedName>
    <definedName function="false" hidden="false" name="Montant_prêt___5" vbProcedure="false">#REF!</definedName>
    <definedName function="false" hidden="false" name="Montant_prêt___7" vbProcedure="false">#REF!</definedName>
    <definedName function="false" hidden="false" name="month" vbProcedure="false">#REF!</definedName>
    <definedName function="false" hidden="false" name="MonthlyLigne1" vbProcedure="false">#REF!</definedName>
    <definedName function="false" hidden="false" name="MonthlyLigne2" vbProcedure="false">#REF!</definedName>
    <definedName function="false" hidden="false" name="MOVIES" vbProcedure="false">#N/A</definedName>
    <definedName function="false" hidden="false" name="Movies_Shared_w_USA" vbProcedure="false">#REF!</definedName>
    <definedName function="false" hidden="false" name="Movie_Grid" vbProcedure="false">#REF!</definedName>
    <definedName function="false" hidden="false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pol" vbProcedure="false">#REF!</definedName>
    <definedName function="false" hidden="false" name="mq" vbProcedure="false">{"IS",#N/A,FALSE,"IS";"RPTIS",#N/A,FALSE,"RPTIS";"STATS",#N/A,FALSE,"STATS";"CELL",#N/A,FALSE,"CELL";"BS",#N/A,FALSE,"BS"}</definedName>
    <definedName function="false" hidden="false" name="mr" vbProcedure="false">{"IS",#N/A,FALSE,"IS";"RPTIS",#N/A,FALSE,"RPTIS";"STATS",#N/A,FALSE,"STATS";"CELL",#N/A,FALSE,"CELL";"BS",#N/A,FALSE,"BS"}</definedName>
    <definedName function="false" hidden="false" name="ms" vbProcedure="false">{"IS",#N/A,FALSE,"IS";"RPTIS",#N/A,FALSE,"RPTIS";"STATS",#N/A,FALSE,"STATS";"CELL",#N/A,FALSE,"CELL";"BS",#N/A,FALSE,"BS"}</definedName>
    <definedName function="false" hidden="false" name="MST_3K" vbProcedure="false">#REF!</definedName>
    <definedName function="false" hidden="false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mu" vbProcedure="false">{"IS",#N/A,FALSE,"IS";"RPTIS",#N/A,FALSE,"RPTIS";"STATS",#N/A,FALSE,"STATS";"BS",#N/A,FALSE,"BS"}</definedName>
    <definedName function="false" hidden="false" name="Multiples" vbProcedure="false">#REF!</definedName>
    <definedName function="false" hidden="false" name="Multiples___0" vbProcedure="false">#REF!</definedName>
    <definedName function="false" hidden="false" name="Multiples___12" vbProcedure="false">#REF!</definedName>
    <definedName function="false" hidden="false" name="Multiples___14" vbProcedure="false">#REF!</definedName>
    <definedName function="false" hidden="false" name="Multiples___16" vbProcedure="false">#REF!</definedName>
    <definedName function="false" hidden="false" name="Multiples___2" vbProcedure="false">#REF!</definedName>
    <definedName function="false" hidden="false" name="Multiples___25" vbProcedure="false">#REF!</definedName>
    <definedName function="false" hidden="false" name="Multiples___26" vbProcedure="false">#REF!</definedName>
    <definedName function="false" hidden="false" name="Multiples___27" vbProcedure="false">#REF!</definedName>
    <definedName function="false" hidden="false" name="Multiples___4" vbProcedure="false">#REF!</definedName>
    <definedName function="false" hidden="false" name="Multiples___5" vbProcedure="false">#REF!</definedName>
    <definedName function="false" hidden="false" name="Multiples___7" vbProcedure="false">#REF!</definedName>
    <definedName function="false" hidden="false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vctco" vbProcedure="false">#REF!</definedName>
    <definedName function="false" hidden="false" name="mvctim" vbProcedure="false">#REF!</definedName>
    <definedName function="false" hidden="false" name="mvctpa" vbProcedure="false">#REF!</definedName>
    <definedName function="false" hidden="false" name="mvcttiap" vbProcedure="false">#REF!</definedName>
    <definedName function="false" hidden="false" name="mvctvmp" vbProcedure="false">#REF!</definedName>
    <definedName function="false" hidden="false" name="mvltco" vbProcedure="false">#REF!</definedName>
    <definedName function="false" hidden="false" name="mvltim" vbProcedure="false">#REF!</definedName>
    <definedName function="false" hidden="false" name="mvltnc" vbProcedure="false">#REF!</definedName>
    <definedName function="false" hidden="false" name="mvltpa" vbProcedure="false">#REF!</definedName>
    <definedName function="false" hidden="false" name="mvlttiap" vbProcedure="false">#REF!</definedName>
    <definedName function="false" hidden="false" name="mw" vbProcedure="false">{"test2",#N/A,TRUE,"Prices"}</definedName>
    <definedName function="false" hidden="false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z" vbProcedure="false">{"IS",#N/A,FALSE,"IS";"RPTIS",#N/A,FALSE,"RPTIS";"STATS",#N/A,FALSE,"STATS";"CELL",#N/A,FALSE,"CELL";"BS",#N/A,FALSE,"BS"}</definedName>
    <definedName function="false" hidden="false" name="M___0" vbProcedure="false">#REF!</definedName>
    <definedName function="false" hidden="false" name="M___12" vbProcedure="false">#REF!</definedName>
    <definedName function="false" hidden="false" name="M___14" vbProcedure="false">#REF!</definedName>
    <definedName function="false" hidden="false" name="M___16" vbProcedure="false">#REF!</definedName>
    <definedName function="false" hidden="false" name="M___2" vbProcedure="false">#REF!</definedName>
    <definedName function="false" hidden="false" name="M___25" vbProcedure="false">#REF!</definedName>
    <definedName function="false" hidden="false" name="M___26" vbProcedure="false">#REF!</definedName>
    <definedName function="false" hidden="false" name="M___27" vbProcedure="false">#REF!</definedName>
    <definedName function="false" hidden="false" name="M___4" vbProcedure="false">#REF!</definedName>
    <definedName function="false" hidden="false" name="M___5" vbProcedure="false">#REF!</definedName>
    <definedName function="false" hidden="false" name="M___7" vbProcedure="false">#REF!</definedName>
    <definedName function="false" hidden="false" name="nalo" vbProcedure="false">#REF!</definedName>
    <definedName function="false" hidden="false" name="NameVersion" vbProcedure="false">#REF!</definedName>
    <definedName function="false" hidden="false" name="NameVersion___12" vbProcedure="false">#REF!</definedName>
    <definedName function="false" hidden="false" name="Nbe_total_de_paiements" vbProcedure="false">Nb_de_paiements_par_an*#REF!</definedName>
    <definedName function="false" hidden="false" name="Nbe_total_de_paiements___0" vbProcedure="false">Nb_de_paiements_par_an___0*#REF!</definedName>
    <definedName function="false" hidden="false" name="Nb_de_paiements_par_an___0" vbProcedure="false">#REF!</definedName>
    <definedName function="false" hidden="false" name="Nbe_total_de_paiements___12" vbProcedure="false">Nb_de_paiements_par_an___12*#REF!</definedName>
    <definedName function="false" hidden="false" name="Nb_de_paiements_par_an___12" vbProcedure="false">#REF!</definedName>
    <definedName function="false" hidden="false" name="Nbe_total_de_paiements___14" vbProcedure="false">Nb_de_paiements_par_an___14*#REF!</definedName>
    <definedName function="false" hidden="false" name="Nb_de_paiements_par_an___14" vbProcedure="false">#REF!</definedName>
    <definedName function="false" hidden="false" name="Nbe_total_de_paiements___16" vbProcedure="false">Nb_de_paiements_par_an___16*#REF!</definedName>
    <definedName function="false" hidden="false" name="Nb_de_paiements_par_an___16" vbProcedure="false">#REF!</definedName>
    <definedName function="false" hidden="false" name="Nbe_total_de_paiements___2" vbProcedure="false">Nb_de_paiements_par_an___2*#REF!</definedName>
    <definedName function="false" hidden="false" name="Nb_de_paiements_par_an___2" vbProcedure="false">#REF!</definedName>
    <definedName function="false" hidden="false" name="Nbe_total_de_paiements___23" vbProcedure="false">Nb_de_paiements_par_an___0*#REF!</definedName>
    <definedName function="false" hidden="false" name="Nbe_total_de_paiements___25" vbProcedure="false">Nb_de_paiements_par_an___25*#REF!</definedName>
    <definedName function="false" hidden="false" name="Nb_de_paiements_par_an___25" vbProcedure="false">#REF!</definedName>
    <definedName function="false" hidden="false" name="Nbe_total_de_paiements___26" vbProcedure="false">Nb_de_paiements_par_an___26*#REF!</definedName>
    <definedName function="false" hidden="false" name="Nb_de_paiements_par_an___26" vbProcedure="false">#REF!</definedName>
    <definedName function="false" hidden="false" name="Nbe_total_de_paiements___27" vbProcedure="false">Nb_de_paiements_par_an___27*#REF!</definedName>
    <definedName function="false" hidden="false" name="Nb_de_paiements_par_an___27" vbProcedure="false">#REF!</definedName>
    <definedName function="false" hidden="false" name="Nbe_total_de_paiements___3" vbProcedure="false">Nb_de_paiements_par_an___0*#REF!</definedName>
    <definedName function="false" hidden="false" name="Nbe_total_de_paiements___4" vbProcedure="false">Nb_de_paiements_par_an___4*#REF!</definedName>
    <definedName function="false" hidden="false" name="Nb_de_paiements_par_an___4" vbProcedure="false">#REF!</definedName>
    <definedName function="false" hidden="false" name="Nbe_total_de_paiements___5" vbProcedure="false">Nb_de_paiements_par_an___5*#REF!</definedName>
    <definedName function="false" hidden="false" name="Nb_de_paiements_par_an___5" vbProcedure="false">#REF!</definedName>
    <definedName function="false" hidden="false" name="Nbe_total_de_paiements___7" vbProcedure="false">Nb_de_paiements_par_an___7*#REF!</definedName>
    <definedName function="false" hidden="false" name="Nb_de_paiements_par_an___7" vbProcedure="false">#REF!</definedName>
    <definedName function="false" hidden="false" name="Nbe_total_de_paiements___9" vbProcedure="false">Nb_de_paiements_par_an___0*#REF!</definedName>
    <definedName function="false" hidden="false" name="NDHEY" vbProcedure="false">#N/A</definedName>
    <definedName function="false" hidden="false" name="NETGAAP12M97" vbProcedure="false">#REF!</definedName>
    <definedName function="false" hidden="false" name="new" vbProcedure="false">#REF!</definedName>
    <definedName function="false" hidden="false" name="newbel" vbProcedure="false">{"IS",#N/A,FALSE,"IS";"RPTIS",#N/A,FALSE,"RPTIS";"STATS",#N/A,FALSE,"STATS";"CELL",#N/A,FALSE,"CELL";"BS",#N/A,FALSE,"BS"}</definedName>
    <definedName function="false" hidden="false" name="newbel1" vbProcedure="false">{"IS",#N/A,FALSE,"IS";"RPTIS",#N/A,FALSE,"RPTIS";"STATS",#N/A,FALSE,"STATS";"CELL",#N/A,FALSE,"CELL";"BS",#N/A,FALSE,"BS"}</definedName>
    <definedName function="false" hidden="false" name="newDC" vbProcedure="false">{#N/A,#N/A,TRUE,"Cover sheet";#N/A,#N/A,TRUE,"DCF analysis";#N/A,#N/A,TRUE,"WACC calculation"}</definedName>
    <definedName function="false" hidden="false" name="new_FTK" vbProcedure="false">{#N/A,#N/A,FALSE,"Outlook for Month ";#N/A,#N/A,FALSE,"Risk for Month ";#N/A,#N/A,FALSE,"Upside for Month"}</definedName>
    <definedName function="false" hidden="false" name="nfh" vbProcedure="false">#N/A</definedName>
    <definedName function="false" hidden="false" name="nhf" vbProcedure="false">#N/A</definedName>
    <definedName function="false" hidden="false" name="NHFGJ" vbProcedure="false">NHFGJ</definedName>
    <definedName function="false" hidden="false" name="nhgk" vbProcedure="false">#N/A</definedName>
    <definedName function="false" hidden="false" name="Nine" vbProcedure="false">#REF!</definedName>
    <definedName function="false" hidden="false" name="nka" vbProcedure="false">#REF!</definedName>
    <definedName function="false" hidden="false" name="nki" vbProcedure="false">#REF!</definedName>
    <definedName function="false" hidden="false" name="nlk" vbProcedure="false">#N/A</definedName>
    <definedName function="false" hidden="false" name="nnflklkfrji" vbProcedure="false">#REF!</definedName>
    <definedName function="false" hidden="false" name="nnn" vbProcedure="false">OFFSET(DateRangeCompMain,9,0,COUNTA(DateRangeCompMain)-COUNTA(#REF!),1)</definedName>
    <definedName function="false" hidden="false" name="noidea" vbProcedure="false">{#N/A,#N/A,FALSE,"Calc";#N/A,#N/A,FALSE,"Sensitivity";#N/A,#N/A,FALSE,"LT Earn.Dil.";#N/A,#N/A,FALSE,"Dil. AVP"}</definedName>
    <definedName function="false" hidden="false" name="NOIDEA2" vbProcedure="false">{#N/A,#N/A,FALSE,"Calc";#N/A,#N/A,FALSE,"Sensitivity";#N/A,#N/A,FALSE,"LT Earn.Dil.";#N/A,#N/A,FALSE,"Dil. AVP"}</definedName>
    <definedName function="false" hidden="false" name="NonRGCols" vbProcedure="false">#REF!</definedName>
    <definedName function="false" hidden="false" name="NonRGCols___0" vbProcedure="false">#REF!</definedName>
    <definedName function="false" hidden="false" name="NonRGCols___12" vbProcedure="false">#REF!</definedName>
    <definedName function="false" hidden="false" name="NonRGCols___14" vbProcedure="false">#REF!</definedName>
    <definedName function="false" hidden="false" name="NonRGCols___16" vbProcedure="false">#REF!</definedName>
    <definedName function="false" hidden="false" name="NonRGCols___2" vbProcedure="false">#REF!</definedName>
    <definedName function="false" hidden="false" name="NonRGCols___25" vbProcedure="false">#REF!</definedName>
    <definedName function="false" hidden="false" name="NonRGCols___26" vbProcedure="false">#REF!</definedName>
    <definedName function="false" hidden="false" name="NonRGCols___27" vbProcedure="false">#REF!</definedName>
    <definedName function="false" hidden="false" name="NonRGCols___4" vbProcedure="false">#REF!</definedName>
    <definedName function="false" hidden="false" name="NonRGCols___5" vbProcedure="false">#REF!</definedName>
    <definedName function="false" hidden="false" name="NonRGCols___7" vbProcedure="false">#REF!</definedName>
    <definedName function="false" hidden="false" name="nouvelle_identification" vbProcedure="false">#REF!</definedName>
    <definedName function="false" hidden="false" name="Novacom" vbProcedure="false">OFFSET(CompRange1Main,9,0,COUNTA(CompRange1Main)-COUNTA(#REF!),1)</definedName>
    <definedName function="false" hidden="false" name="November" vbProcedure="false">#REF!</definedName>
    <definedName function="false" hidden="false" name="NSS_RVA_Encours" vbProcedure="false">#N/A</definedName>
    <definedName function="false" hidden="false" name="Num_premier_paiement" vbProcedure="false">#REF!</definedName>
    <definedName function="false" hidden="false" name="Num_premier_paiement___12" vbProcedure="false">#REF!</definedName>
    <definedName function="false" hidden="false" name="Num_premier_paiement___14" vbProcedure="false">#REF!</definedName>
    <definedName function="false" hidden="false" name="Num_premier_paiement___16" vbProcedure="false">#REF!</definedName>
    <definedName function="false" hidden="false" name="Num_premier_paiement___2" vbProcedure="false">#REF!</definedName>
    <definedName function="false" hidden="false" name="Num_premier_paiement___25" vbProcedure="false">#REF!</definedName>
    <definedName function="false" hidden="false" name="Num_premier_paiement___26" vbProcedure="false">#REF!</definedName>
    <definedName function="false" hidden="false" name="Num_premier_paiement___27" vbProcedure="false">#REF!</definedName>
    <definedName function="false" hidden="false" name="Num_premier_paiement___4" vbProcedure="false">#REF!</definedName>
    <definedName function="false" hidden="false" name="Num_premier_paiement___5" vbProcedure="false">#REF!</definedName>
    <definedName function="false" hidden="false" name="Num_premier_paiement___7" vbProcedure="false">#REF!</definedName>
    <definedName function="false" hidden="false" name="nvbidf" vbProcedure="false">nvbidf</definedName>
    <definedName function="false" hidden="false" name="NvsASD" vbProcedure="false">"V2003-12-31"</definedName>
    <definedName function="false" hidden="false" name="NvsAutoDrillOk" vbProcedure="false">"VN"</definedName>
    <definedName function="false" hidden="false" name="NvsElapsedTime" vbProcedure="false">0.000520833331393078</definedName>
    <definedName function="false" hidden="false" name="NvsEndTime" vbProcedure="false">38041.478900463</definedName>
    <definedName function="false" hidden="false" name="NvsInstLang" vbProcedure="false">"VENG"</definedName>
    <definedName function="false" hidden="false" name="NvsInstSpec" vbProcedure="false">"%,FBUSINESS_UNIT,TBUDIV,NREPORTING"</definedName>
    <definedName function="false" hidden="false" name="NvsInstSpec1" vbProcedure="false">","</definedName>
    <definedName function="false" hidden="false" name="NvsInstSpec2" vbProcedure="false">","</definedName>
    <definedName function="false" hidden="false" name="NvsInstSpec3" vbProcedure="false">","</definedName>
    <definedName function="false" hidden="false" name="NvsInstSpec4" vbProcedure="false">","</definedName>
    <definedName function="false" hidden="false" name="NvsInstSpec5" vbProcedure="false">","</definedName>
    <definedName function="false" hidden="false" name="NvsInstSpec6" vbProcedure="false">","</definedName>
    <definedName function="false" hidden="false" name="NvsInstSpec7" vbProcedure="false">","</definedName>
    <definedName function="false" hidden="false" name="NvsInstSpec8" vbProcedure="false">","</definedName>
    <definedName function="false" hidden="false" name="NvsInstSpec9" vbProcedure="false">","</definedName>
    <definedName function="false" hidden="false" name="NvsLayoutType" vbProcedure="false">"M3"</definedName>
    <definedName function="false" hidden="false" name="NvsNplSpec" vbProcedure="false">"%,X,RNF..,CNF.."</definedName>
    <definedName function="false" hidden="false" name="NvsPanelBusUnit" vbProcedure="false">"V"</definedName>
    <definedName function="false" hidden="false" name="NvsPanelEffdt" vbProcedure="false">"V2020-01-01"</definedName>
    <definedName function="false" hidden="false" name="NvsPanelSetid" vbProcedure="false">"VNBC"</definedName>
    <definedName function="false" hidden="false" name="NvsReqBU" vbProcedure="false">"V083"</definedName>
    <definedName function="false" hidden="false" name="NvsReqBUOnly" vbProcedure="false">"VY"</definedName>
    <definedName function="false" hidden="false" name="NvsTransLed" vbProcedure="false">"VN"</definedName>
    <definedName function="false" hidden="false" name="NvsTreeASD" vbProcedure="false">"V2003-12-31"</definedName>
    <definedName function="false" hidden="false" name="NvsValTbl.BUSINESS_UNIT" vbProcedure="false">"BUS_UNIT_TBL_GL"</definedName>
    <definedName function="false" hidden="false" name="O" vbProcedure="false">#REF!</definedName>
    <definedName function="false" hidden="false" name="ObjectifCommutation" vbProcedure="false">#REF!,#REF!,#REF!</definedName>
    <definedName function="false" hidden="false" name="OBSERVATIONS" vbProcedure="false">#REF!</definedName>
    <definedName function="false" hidden="false" name="October" vbProcedure="false">#REF!</definedName>
    <definedName function="false" hidden="false" name="OH" vbProcedure="false">#REF!</definedName>
    <definedName function="false" hidden="false" name="oiuoiuouiyuiui" vbProcedure="false">#REF!</definedName>
    <definedName function="false" hidden="false" name="ok" vbProcedure="false">{#N/A,#N/A,FALSE,"Calc";#N/A,#N/A,FALSE,"Sensitivity";#N/A,#N/A,FALSE,"LT Earn.Dil.";#N/A,#N/A,FALSE,"Dil. AVP"}</definedName>
    <definedName function="false" hidden="false" name="okj" vbProcedure="false">okj</definedName>
    <definedName function="false" hidden="false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omar" vbProcedure="false">#REF!</definedName>
    <definedName function="false" hidden="false" name="OMC_HARDWARE" vbProcedure="false">#REF!</definedName>
    <definedName function="false" hidden="false" name="OMC_SOFTWARE" vbProcedure="false">#REF!</definedName>
    <definedName function="false" hidden="false" name="OMMAMAAC" vbProcedure="false">#REF!</definedName>
    <definedName function="false" hidden="false" name="OP" vbProcedure="false">{#N/A,#N/A,FALSE,"Operations";#N/A,#N/A,FALSE,"Financials"}</definedName>
    <definedName function="false" hidden="false" name="OPEX" vbProcedure="false">#N/A</definedName>
    <definedName function="false" hidden="false" name="opex2" vbProcedure="false">#N/A</definedName>
    <definedName function="false" hidden="false" name="opex3" vbProcedure="false">opex3</definedName>
    <definedName function="false" hidden="false" name="OPEX4RCG" vbProcedure="false">#REF!</definedName>
    <definedName function="false" hidden="false" name="OPEX4Rcumul_general" vbProcedure="false">#REF!</definedName>
    <definedName function="false" hidden="false" name="opex_" vbProcedure="false">#N/A</definedName>
    <definedName function="false" hidden="false" name="OPEX_ACTU_DETAIL_DIV" vbProcedure="false">#REF!</definedName>
    <definedName function="false" hidden="false" name="OPEX_CG_03" vbProcedure="false">#REF!</definedName>
    <definedName function="false" hidden="false" name="OPEX_CR" vbProcedure="false">#REF!</definedName>
    <definedName function="false" hidden="false" name="OPEX_MC" vbProcedure="false">#REF!</definedName>
    <definedName function="false" hidden="false" name="OPEX_PREVISION" vbProcedure="false">#REF!</definedName>
    <definedName function="false" hidden="false" name="OTHER" vbProcedure="false">#REF!</definedName>
    <definedName function="false" hidden="false" name="OUJ" vbProcedure="false">#REF!</definedName>
    <definedName function="false" hidden="false" name="outi" vbProcedure="false">#N/A</definedName>
    <definedName function="false" hidden="false" name="outilagemobile" vbProcedure="false">#N/A</definedName>
    <definedName function="false" hidden="false" name="p" vbProcedure="false">#REF!</definedName>
    <definedName function="false" hidden="false" name="page1" vbProcedure="false">#REF!</definedName>
    <definedName function="false" hidden="false" name="page2" vbProcedure="false">#REF!</definedName>
    <definedName function="false" hidden="false" name="page3" vbProcedure="false">#REF!</definedName>
    <definedName function="false" hidden="false" name="PAGE_1" vbProcedure="false">#N/A</definedName>
    <definedName function="false" hidden="false" name="PAGE_2" vbProcedure="false">#N/A</definedName>
    <definedName function="false" hidden="false" name="PAIE" vbProcedure="false">#REF!</definedName>
    <definedName function="false" hidden="false" name="Paiement_calculé" vbProcedure="false">#REF!</definedName>
    <definedName function="false" hidden="false" name="Paiement_calculé___0" vbProcedure="false">#REF!</definedName>
    <definedName function="false" hidden="false" name="Paiement_calculé___12" vbProcedure="false">#REF!</definedName>
    <definedName function="false" hidden="false" name="Paiement_calculé___14" vbProcedure="false">#REF!</definedName>
    <definedName function="false" hidden="false" name="Paiement_calculé___16" vbProcedure="false">#REF!</definedName>
    <definedName function="false" hidden="false" name="Paiement_calculé___2" vbProcedure="false">#REF!</definedName>
    <definedName function="false" hidden="false" name="Paiement_calculé___25" vbProcedure="false">#REF!</definedName>
    <definedName function="false" hidden="false" name="Paiement_calculé___26" vbProcedure="false">#REF!</definedName>
    <definedName function="false" hidden="false" name="Paiement_calculé___27" vbProcedure="false">#REF!</definedName>
    <definedName function="false" hidden="false" name="Paiement_calculé___4" vbProcedure="false">#REF!</definedName>
    <definedName function="false" hidden="false" name="Paiement_calculé___5" vbProcedure="false">#REF!</definedName>
    <definedName function="false" hidden="false" name="Paiement_calculé___7" vbProcedure="false">#REF!</definedName>
    <definedName function="false" hidden="false" name="PAM" vbProcedure="false">PAM</definedName>
    <definedName function="false" hidden="false" name="PAM___0" vbProcedure="false">Premier_paiement___16</definedName>
    <definedName function="false" hidden="false" name="Premier_paiement___16" vbProcedure="false">#REF!</definedName>
    <definedName function="false" hidden="false" name="PAM___12" vbProcedure="false">PreDealReduction___5</definedName>
    <definedName function="false" hidden="false" name="PreDealReduction___5" vbProcedure="false">#REF!</definedName>
    <definedName function="false" hidden="false" name="PAM___14" vbProcedure="false">PreDealReduction___27</definedName>
    <definedName function="false" hidden="false" name="PreDealReduction___27" vbProcedure="false">#REF!</definedName>
    <definedName function="false" hidden="false" name="PAM___16" vbProcedure="false">PreDealReduction___14</definedName>
    <definedName function="false" hidden="false" name="PreDealReduction___14" vbProcedure="false">#REF!</definedName>
    <definedName function="false" hidden="false" name="PAM___23" vbProcedure="false">PreDealReduction___25</definedName>
    <definedName function="false" hidden="false" name="PreDealReduction___25" vbProcedure="false">#REF!</definedName>
    <definedName function="false" hidden="false" name="PAM___25" vbProcedure="false">PreDealReduction___2</definedName>
    <definedName function="false" hidden="false" name="PreDealReduction___2" vbProcedure="false">#REF!</definedName>
    <definedName function="false" hidden="false" name="PAM___26" vbProcedure="false">PreDealReduction___0</definedName>
    <definedName function="false" hidden="false" name="PreDealReduction___0" vbProcedure="false">#REF!</definedName>
    <definedName function="false" hidden="false" name="PAM___27" vbProcedure="false">PreDealReduction___26</definedName>
    <definedName function="false" hidden="false" name="PreDealReduction___26" vbProcedure="false">#REF!</definedName>
    <definedName function="false" hidden="false" name="PAM___5" vbProcedure="false">PreDealReduction___7</definedName>
    <definedName function="false" hidden="false" name="PreDealReduction___7" vbProcedure="false">#REF!</definedName>
    <definedName function="false" hidden="false" name="PAM___6" vbProcedure="false">PreDealReduction___4</definedName>
    <definedName function="false" hidden="false" name="PreDealReduction___4" vbProcedure="false">#REF!</definedName>
    <definedName function="false" hidden="false" name="PAM___9" vbProcedure="false">PreDealReduction___12</definedName>
    <definedName function="false" hidden="false" name="PreDealReduction___12" vbProcedure="false">#REF!</definedName>
    <definedName function="false" hidden="false" name="part" vbProcedure="false">#REF!</definedName>
    <definedName function="false" hidden="false" name="partdiv" vbProcedure="false">#REF!</definedName>
    <definedName function="false" hidden="false" name="PARTICIP" vbProcedure="false">#REF!</definedName>
    <definedName function="false" hidden="false" name="par_article" vbProcedure="false">#REF!</definedName>
    <definedName function="false" hidden="false" name="PATENTE_2003" vbProcedure="false">#REF!</definedName>
    <definedName function="false" hidden="false" name="PCU_HARDWARE" vbProcedure="false">#REF!</definedName>
    <definedName function="false" hidden="false" name="PCU_SOFTWARE" vbProcedure="false">#REF!</definedName>
    <definedName function="false" hidden="false" name="PD" vbProcedure="false">#REF!</definedName>
    <definedName function="false" hidden="false" name="Percent_Effort_Expend" vbProcedure="false">#REF!</definedName>
    <definedName function="false" hidden="false" name="PeriodsToRun" vbProcedure="false">#REF!</definedName>
    <definedName function="false" hidden="false" name="PeriodsToRun___12" vbProcedure="false">#REF!</definedName>
    <definedName function="false" hidden="false" name="Phase1" vbProcedure="false">#REF!</definedName>
    <definedName function="false" hidden="false" name="Phase2" vbProcedure="false">#REF!</definedName>
    <definedName function="false" hidden="false" name="Phase3" vbProcedure="false">#REF!</definedName>
    <definedName function="false" hidden="false" name="Phase4" vbProcedure="false">#REF!</definedName>
    <definedName function="false" hidden="false" name="Phase5" vbProcedure="false">#REF!</definedName>
    <definedName function="false" hidden="false" name="PI" vbProcedure="false">#REF!</definedName>
    <definedName function="false" hidden="false" name="PI___0" vbProcedure="false">#REF!</definedName>
    <definedName function="false" hidden="false" name="PI___12" vbProcedure="false">#REF!</definedName>
    <definedName function="false" hidden="false" name="PI___14" vbProcedure="false">#REF!</definedName>
    <definedName function="false" hidden="false" name="PI___16" vbProcedure="false">#REF!</definedName>
    <definedName function="false" hidden="false" name="PI___2" vbProcedure="false">#REF!</definedName>
    <definedName function="false" hidden="false" name="PI___25" vbProcedure="false">#REF!</definedName>
    <definedName function="false" hidden="false" name="PI___26" vbProcedure="false">#REF!</definedName>
    <definedName function="false" hidden="false" name="PI___27" vbProcedure="false">#REF!</definedName>
    <definedName function="false" hidden="false" name="PI___4" vbProcedure="false">#REF!</definedName>
    <definedName function="false" hidden="false" name="PI___5" vbProcedure="false">#REF!</definedName>
    <definedName function="false" hidden="false" name="PI___7" vbProcedure="false">#REF!</definedName>
    <definedName function="false" hidden="false" name="PLAYS_TO_DATE" vbProcedure="false">#REF!</definedName>
    <definedName function="false" hidden="false" name="PMENU" vbProcedure="false">#REF!</definedName>
    <definedName function="false" hidden="false" name="PMENU1" vbProcedure="false">#REF!</definedName>
    <definedName function="false" hidden="false" name="po" vbProcedure="false">{#N/A,#N/A,FALSE,"Calc";#N/A,#N/A,FALSE,"Sensitivity";#N/A,#N/A,FALSE,"LT Earn.Dil.";#N/A,#N/A,FALSE,"Dil. AVP"}</definedName>
    <definedName function="false" hidden="false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POLY2000" vbProcedure="false">#REF!</definedName>
    <definedName function="false" hidden="false" name="PortionInDeal" vbProcedure="false">#REF!</definedName>
    <definedName function="false" hidden="false" name="PortionInDeal___0" vbProcedure="false">#REF!</definedName>
    <definedName function="false" hidden="false" name="PortionInDeal___12" vbProcedure="false">#REF!</definedName>
    <definedName function="false" hidden="false" name="PortionInDeal___14" vbProcedure="false">#REF!</definedName>
    <definedName function="false" hidden="false" name="PortionInDeal___16" vbProcedure="false">#REF!</definedName>
    <definedName function="false" hidden="false" name="PortionInDeal___2" vbProcedure="false">#REF!</definedName>
    <definedName function="false" hidden="false" name="PortionInDeal___25" vbProcedure="false">#REF!</definedName>
    <definedName function="false" hidden="false" name="PortionInDeal___26" vbProcedure="false">#REF!</definedName>
    <definedName function="false" hidden="false" name="PortionInDeal___27" vbProcedure="false">#REF!</definedName>
    <definedName function="false" hidden="false" name="PortionInDeal___4" vbProcedure="false">#REF!</definedName>
    <definedName function="false" hidden="false" name="PortionInDeal___5" vbProcedure="false">#REF!</definedName>
    <definedName function="false" hidden="false" name="PortionInDeal___7" vbProcedure="false">#REF!</definedName>
    <definedName function="false" hidden="false" name="PP" vbProcedure="false">#REF!</definedName>
    <definedName function="false" hidden="false" name="pr" vbProcedure="false">'Data Mobile'!pr</definedName>
    <definedName function="false" hidden="false" localSheetId="7" name="pr" vbProcedure="false">'Data Mobile'!pr</definedName>
    <definedName function="false" hidden="false" name="PreDealReduction" vbProcedure="false">#REF!</definedName>
    <definedName function="false" hidden="false" name="PreDealReduction___16" vbProcedure="false">#REF!</definedName>
    <definedName function="false" hidden="false" name="Premier_paiement" vbProcedure="false">#REF!</definedName>
    <definedName function="false" hidden="false" name="Premier_paiement___0" vbProcedure="false">#REF!</definedName>
    <definedName function="false" hidden="false" name="Premier_paiement___12" vbProcedure="false">#REF!</definedName>
    <definedName function="false" hidden="false" name="Premier_paiement___14" vbProcedure="false">#REF!</definedName>
    <definedName function="false" hidden="false" name="Premier_paiement___2" vbProcedure="false">#REF!</definedName>
    <definedName function="false" hidden="false" name="Premier_paiement___25" vbProcedure="false">#REF!</definedName>
    <definedName function="false" hidden="false" name="Premier_paiement___26" vbProcedure="false">#REF!</definedName>
    <definedName function="false" hidden="false" name="Premier_paiement___27" vbProcedure="false">#REF!</definedName>
    <definedName function="false" hidden="false" name="Premier_paiement___4" vbProcedure="false">#REF!</definedName>
    <definedName function="false" hidden="false" name="Premier_paiement___5" vbProcedure="false">#REF!</definedName>
    <definedName function="false" hidden="false" name="Premier_paiement___7" vbProcedure="false">#REF!</definedName>
    <definedName function="false" hidden="false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PresentationNormalA4" vbProcedure="false">#REF!</definedName>
    <definedName function="false" hidden="false" name="prets" vbProcedure="false">#REF!</definedName>
    <definedName function="false" hidden="false" name="print4" vbProcedure="false">{#N/A,#N/A,FALSE,"Operations";#N/A,#N/A,FALSE,"Financials"}</definedName>
    <definedName function="false" hidden="false" name="Print_fullyear" vbProcedure="false">#REF!</definedName>
    <definedName function="false" hidden="false" name="Print_totalproj" vbProcedure="false">#REF!</definedName>
    <definedName function="false" hidden="false" name="PRIOR_MONTH_PLAYS" vbProcedure="false">#REF!</definedName>
    <definedName function="false" hidden="false" name="PROD" vbProcedure="false">#REF!</definedName>
    <definedName function="false" hidden="false" name="ProdCorresp" vbProcedure="false">#REF!</definedName>
    <definedName function="false" hidden="false" name="ProdCorresp___0" vbProcedure="false">#REF!</definedName>
    <definedName function="false" hidden="false" name="ProdCorresp___12" vbProcedure="false">#REF!</definedName>
    <definedName function="false" hidden="false" name="ProdCorresp___14" vbProcedure="false">#REF!</definedName>
    <definedName function="false" hidden="false" name="ProdCorresp___16" vbProcedure="false">#REF!</definedName>
    <definedName function="false" hidden="false" name="ProdCorresp___2" vbProcedure="false">#REF!</definedName>
    <definedName function="false" hidden="false" name="ProdCorresp___25" vbProcedure="false">#REF!</definedName>
    <definedName function="false" hidden="false" name="ProdCorresp___26" vbProcedure="false">#REF!</definedName>
    <definedName function="false" hidden="false" name="ProdCorresp___27" vbProcedure="false">#REF!</definedName>
    <definedName function="false" hidden="false" name="ProdCorresp___4" vbProcedure="false">#REF!</definedName>
    <definedName function="false" hidden="false" name="ProdCorresp___5" vbProcedure="false">#REF!</definedName>
    <definedName function="false" hidden="false" name="ProdCorresp___7" vbProcedure="false">#REF!</definedName>
    <definedName function="false" hidden="false" name="PROGRAM_LU" vbProcedure="false">#REF!</definedName>
    <definedName function="false" hidden="false" name="ProImportExport.ImportFile" vbProcedure="false">ProImportExport.ImportFile</definedName>
    <definedName function="false" hidden="false" name="ProImportExport.ImportFile___0" vbProcedure="false">qa___26</definedName>
    <definedName function="false" hidden="false" name="qa___26" vbProcedure="false">Nb_de_paiements_par_an___26*#REF!</definedName>
    <definedName function="false" hidden="false" name="ProImportExport.ImportFile___12" vbProcedure="false">qa___14</definedName>
    <definedName function="false" hidden="false" name="qa___14" vbProcedure="false">Nb_de_paiements_par_an___14*#REF!</definedName>
    <definedName function="false" hidden="false" name="ProImportExport.ImportFile___14" vbProcedure="false">qa___9</definedName>
    <definedName function="false" hidden="false" name="qa___9" vbProcedure="false">Nb_de_paiements_par_an___0*#REF!</definedName>
    <definedName function="false" hidden="false" name="ProImportExport.ImportFile___16" vbProcedure="false">qa___6</definedName>
    <definedName function="false" hidden="false" name="ProImportExport.ImportFile___2" vbProcedure="false">qa___3</definedName>
    <definedName function="false" hidden="false" name="qa___3" vbProcedure="false">Nb_de_paiements_par_an___0*#REF!</definedName>
    <definedName function="false" hidden="false" name="ProImportExport.ImportFile___25" vbProcedure="false">qa___16</definedName>
    <definedName function="false" hidden="false" name="qa___16" vbProcedure="false">Nb_de_paiements_par_an___16*#REF!</definedName>
    <definedName function="false" hidden="false" name="ProImportExport.ImportFile___26" vbProcedure="false">qa___27</definedName>
    <definedName function="false" hidden="false" name="qa___27" vbProcedure="false">Nb_de_paiements_par_an___27*#REF!</definedName>
    <definedName function="false" hidden="false" name="ProImportExport.ImportFile___27" vbProcedure="false">qa___2</definedName>
    <definedName function="false" hidden="false" name="qa___2" vbProcedure="false">Nb_de_paiements_par_an___2*#REF!</definedName>
    <definedName function="false" hidden="false" name="ProImportExport.ImportFile___3" vbProcedure="false">qa___25</definedName>
    <definedName function="false" hidden="false" name="qa___25" vbProcedure="false">Nb_de_paiements_par_an___25*#REF!</definedName>
    <definedName function="false" hidden="false" name="ProImportExport.ImportFile___4" vbProcedure="false">qa___23</definedName>
    <definedName function="false" hidden="false" name="qa___23" vbProcedure="false">Nb_de_paiements_par_an___0*#REF!</definedName>
    <definedName function="false" hidden="false" name="ProImportExport.ImportFile___5" vbProcedure="false">qa___12</definedName>
    <definedName function="false" hidden="false" name="qa___12" vbProcedure="false">Nb_de_paiements_par_an___12*#REF!</definedName>
    <definedName function="false" hidden="false" name="ProImportExport.ImportFile___6" vbProcedure="false">Q___0</definedName>
    <definedName function="false" hidden="false" name="Q___0" vbProcedure="false">#REF!</definedName>
    <definedName function="false" hidden="false" name="ProImportExport.ImportFile___7" vbProcedure="false">qa___5</definedName>
    <definedName function="false" hidden="false" name="qa___5" vbProcedure="false">Nb_de_paiements_par_an___5*#REF!</definedName>
    <definedName function="false" hidden="false" name="ProImportExport.ImportFile___9" vbProcedure="false">qa___4</definedName>
    <definedName function="false" hidden="false" name="qa___4" vbProcedure="false">Nb_de_paiements_par_an___4*#REF!</definedName>
    <definedName function="false" hidden="false" name="ProImportExport.SaveNewFile" vbProcedure="false">ProImportExport.SaveNewFile</definedName>
    <definedName function="false" hidden="false" name="ProImportExport.SaveNewFile___0" vbProcedure="false">qq___26</definedName>
    <definedName function="false" hidden="false" name="qq___26" vbProcedure="false">NA()</definedName>
    <definedName function="false" hidden="false" name="ProImportExport.SaveNewFile___12" vbProcedure="false">qq___14</definedName>
    <definedName function="false" hidden="false" name="qq___14" vbProcedure="false">VolFactor___16/#REF!</definedName>
    <definedName function="false" hidden="false" name="ProImportExport.SaveNewFile___14" vbProcedure="false">qq___9</definedName>
    <definedName function="false" hidden="false" name="qq___9" vbProcedure="false">VolFactor___5/#REF!</definedName>
    <definedName function="false" hidden="false" name="ProImportExport.SaveNewFile___16" vbProcedure="false">qq___6</definedName>
    <definedName function="false" hidden="false" name="qq___6" vbProcedure="false">NA()</definedName>
    <definedName function="false" hidden="false" name="ProImportExport.SaveNewFile___2" vbProcedure="false">qq___3</definedName>
    <definedName function="false" hidden="false" name="qq___3" vbProcedure="false">VolFactor___5/#REF!</definedName>
    <definedName function="false" hidden="false" name="ProImportExport.SaveNewFile___25" vbProcedure="false">qq___16</definedName>
    <definedName function="false" hidden="false" name="qq___16" vbProcedure="false">VLastRowToPrint___7/#REF!</definedName>
    <definedName function="false" hidden="false" name="ProImportExport.SaveNewFile___26" vbProcedure="false">qq___27</definedName>
    <definedName function="false" hidden="false" name="qq___27" vbProcedure="false">VolFactor___14/#REF!</definedName>
    <definedName function="false" hidden="false" name="ProImportExport.SaveNewFile___27" vbProcedure="false">qq___2</definedName>
    <definedName function="false" hidden="false" name="qq___2" vbProcedure="false">NA()</definedName>
    <definedName function="false" hidden="false" name="ProImportExport.SaveNewFile___3" vbProcedure="false">qq___25</definedName>
    <definedName function="false" hidden="false" name="ProImportExport.SaveNewFile___4" vbProcedure="false">qq___23</definedName>
    <definedName function="false" hidden="false" name="qq___23" vbProcedure="false">VolFactor___5/#REF!</definedName>
    <definedName function="false" hidden="false" name="ProImportExport.SaveNewFile___5" vbProcedure="false">qq___12</definedName>
    <definedName function="false" hidden="false" name="qq___12" vbProcedure="false">NA()</definedName>
    <definedName function="false" hidden="false" name="ProImportExport.SaveNewFile___6" vbProcedure="false">qa___0</definedName>
    <definedName function="false" hidden="false" name="qa___0" vbProcedure="false">Nb_de_paiements_par_an___0*#REF!</definedName>
    <definedName function="false" hidden="false" name="ProImportExport.SaveNewFile___7" vbProcedure="false">qq___5</definedName>
    <definedName function="false" hidden="false" name="qq___5" vbProcedure="false">VolFactor___2/#REF!</definedName>
    <definedName function="false" hidden="false" name="ProImportExport.SaveNewFile___9" vbProcedure="false">qq___4</definedName>
    <definedName function="false" hidden="false" name="qq___4" vbProcedure="false">VLastRowToPrint___0/#REF!</definedName>
    <definedName function="false" hidden="false" name="projectname" vbProcedure="false">#REF!</definedName>
    <definedName function="false" hidden="false" name="projets" vbProcedure="false">#REF!</definedName>
    <definedName function="false" hidden="false" name="projets___0" vbProcedure="false">#REF!</definedName>
    <definedName function="false" hidden="false" name="projets___12" vbProcedure="false">#REF!</definedName>
    <definedName function="false" hidden="false" name="projets___14" vbProcedure="false">#REF!</definedName>
    <definedName function="false" hidden="false" name="projets___16" vbProcedure="false">#REF!</definedName>
    <definedName function="false" hidden="false" name="projets___2" vbProcedure="false">#REF!</definedName>
    <definedName function="false" hidden="false" name="projets___26" vbProcedure="false">#REF!</definedName>
    <definedName function="false" hidden="false" name="projets___27" vbProcedure="false">#REF!</definedName>
    <definedName function="false" hidden="false" name="projets___5" vbProcedure="false">#REF!</definedName>
    <definedName function="false" hidden="false" name="projets___7" vbProcedure="false">#REF!</definedName>
    <definedName function="false" hidden="false" name="PROOF" vbProcedure="false">#N/A</definedName>
    <definedName function="false" hidden="false" name="prout" vbProcedure="false">{"comp1",#N/A,FALSE,"COMPS";"footnotes",#N/A,FALSE,"COMPS"}</definedName>
    <definedName function="false" hidden="false" name="PTK" vbProcedure="false">#REF!</definedName>
    <definedName function="false" hidden="false" name="PTRt" vbProcedure="false">OFFSET(CompRange3Main,9,0,COUNTA(CompRange3Main)-COUNTA(#REF!),1)</definedName>
    <definedName function="false" hidden="false" name="pvctco" vbProcedure="false">#REF!</definedName>
    <definedName function="false" hidden="false" name="pvctim" vbProcedure="false">#REF!</definedName>
    <definedName function="false" hidden="false" name="pvctnc" vbProcedure="false">#REF!</definedName>
    <definedName function="false" hidden="false" name="pvctpa" vbProcedure="false">#REF!</definedName>
    <definedName function="false" hidden="false" name="pvctpl" vbProcedure="false">#REF!</definedName>
    <definedName function="false" hidden="false" name="pvcttiap" vbProcedure="false">#REF!</definedName>
    <definedName function="false" hidden="false" name="pvctvmp" vbProcedure="false">#REF!</definedName>
    <definedName function="false" hidden="false" name="pvltim" vbProcedure="false">#REF!</definedName>
    <definedName function="false" hidden="false" name="pvltnc" vbProcedure="false">#REF!</definedName>
    <definedName function="false" hidden="false" name="pvltpa" vbProcedure="false">#REF!</definedName>
    <definedName function="false" hidden="false" name="pvltpl" vbProcedure="false">#REF!</definedName>
    <definedName function="false" hidden="false" name="pvlttiap" vbProcedure="false">#REF!</definedName>
    <definedName function="false" hidden="false" name="pvlttp" vbProcedure="false">#REF!</definedName>
    <definedName function="false" hidden="false" name="pvltvmp" vbProcedure="false">#REF!</definedName>
    <definedName function="false" hidden="false" name="pvtiap" vbProcedure="false">#REF!</definedName>
    <definedName function="false" hidden="false" name="PV_Planned_Value" vbProcedure="false">#REF!</definedName>
    <definedName function="false" hidden="false" name="PwrRed" vbProcedure="false">#REF!</definedName>
    <definedName function="false" hidden="false" name="PY" vbProcedure="false">PY</definedName>
    <definedName function="false" hidden="false" name="Q" vbProcedure="false">#REF!</definedName>
    <definedName function="false" hidden="false" name="qa" vbProcedure="false">Nb_de_paiements_par_an*#REF!</definedName>
    <definedName function="false" hidden="false" name="qaecdaze" vbProcedure="false">{"First Page",#N/A,FALSE,"Surfactants LBO";"Second Page",#N/A,FALSE,"Surfactants LBO"}</definedName>
    <definedName function="false" hidden="false" name="qa___7" vbProcedure="false">Nb_de_paiements_par_an___7*#REF!</definedName>
    <definedName function="false" hidden="false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qd" vbProcedure="false">#N/A</definedName>
    <definedName function="false" hidden="false" name="qdffd" vbProcedure="false">#REF!</definedName>
    <definedName function="false" hidden="false" name="qererh" vbProcedure="false">#N/A</definedName>
    <definedName function="false" hidden="false" name="qergh" vbProcedure="false">qergh</definedName>
    <definedName function="false" hidden="false" name="qerhy" vbProcedure="false">#N/A</definedName>
    <definedName function="false" hidden="false" name="qerqeh" vbProcedure="false">#N/A</definedName>
    <definedName function="false" hidden="false" name="qerqr" vbProcedure="false">#N/A</definedName>
    <definedName function="false" hidden="false" name="qerqreqr" vbProcedure="false">#N/A</definedName>
    <definedName function="false" hidden="false" name="qethte" vbProcedure="false">qethte</definedName>
    <definedName function="false" hidden="false" name="qf" vbProcedure="false">{#N/A,#N/A,TRUE,"Cover sheet";#N/A,#N/A,TRUE,"INPUTS";#N/A,#N/A,TRUE,"OUTPUTS";#N/A,#N/A,TRUE,"VALUATION"}</definedName>
    <definedName function="false" hidden="false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qg" vbProcedure="false">#N/A</definedName>
    <definedName function="false" hidden="false" name="qger" vbProcedure="false">qger</definedName>
    <definedName function="false" hidden="false" name="qgg" vbProcedure="false">{#N/A,#N/A,FALSE,"Cover";"outputs total",#N/A,FALSE,"Outputs"}</definedName>
    <definedName function="false" hidden="false" name="qgte" vbProcedure="false">#N/A</definedName>
    <definedName function="false" hidden="false" name="qgtqrq" vbProcedure="false">#N/A</definedName>
    <definedName function="false" hidden="false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qheh" vbProcedure="false">qheh</definedName>
    <definedName function="false" hidden="false" name="qhehyqe" vbProcedure="false">#N/A</definedName>
    <definedName function="false" hidden="false" name="qhethet" vbProcedure="false">#N/A</definedName>
    <definedName function="false" hidden="false" name="qhth" vbProcedure="false">#N/A</definedName>
    <definedName function="false" hidden="false" name="ql" vbProcedure="false">{"test2",#N/A,TRUE,"Prices"}</definedName>
    <definedName function="false" hidden="false" name="qm" vbProcedure="false">{"IS",#N/A,FALSE,"IS";"RPTIS",#N/A,FALSE,"RPTIS";"STATS",#N/A,FALSE,"STATS";"BS",#N/A,FALSE,"BS"}</definedName>
    <definedName function="false" hidden="false" name="qq" vbProcedure="false">#N/A</definedName>
    <definedName function="false" hidden="false" name="qqqq" vbProcedure="false">qqqq</definedName>
    <definedName function="false" hidden="false" name="qqtrrt" vbProcedure="false">qqtrrt</definedName>
    <definedName function="false" hidden="false" name="qq___0" vbProcedure="false">VolFactor___5/#REF!</definedName>
    <definedName function="false" hidden="false" name="qq___7" vbProcedure="false">NA()</definedName>
    <definedName function="false" hidden="false" name="QREBFH" vbProcedure="false">#N/A</definedName>
    <definedName function="false" hidden="false" name="qregqe" vbProcedure="false">#N/A</definedName>
    <definedName function="false" hidden="false" name="qrgqseg" vbProcedure="false">#N/A</definedName>
    <definedName function="false" hidden="false" name="qrhyqetyuqrus" vbProcedure="false">#N/A</definedName>
    <definedName function="false" hidden="false" name="qrqr" vbProcedure="false">#N/A</definedName>
    <definedName function="false" hidden="false" name="qrtgq" vbProcedure="false">#N/A</definedName>
    <definedName function="false" hidden="false" name="qryerye" vbProcedure="false">#N/A</definedName>
    <definedName function="false" hidden="false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qscfaq" vbProcedure="false">{"First Page",#N/A,FALSE,"Surfactants LBO";"Second Page",#N/A,FALSE,"Surfactants LBO"}</definedName>
    <definedName function="false" hidden="false" name="qsd" vbProcedure="false">{#N/A,#N/A,TRUE,"Cover sheet";#N/A,#N/A,TRUE,"DCF analysis";#N/A,#N/A,TRUE,"WACC calculation"}</definedName>
    <definedName function="false" hidden="false" name="qsdf" vbProcedure="false">{#N/A,#N/A,FALSE,"Contribution Analysis"}</definedName>
    <definedName function="false" hidden="false" name="qsdfqsdf" vbProcedure="false">[0]!tx_intérêt_par_an/#REF!</definedName>
    <definedName function="false" hidden="false" name="qsdjlgzerg" vbProcedure="false">{#N/A,#N/A,TRUE,"Cover sheet";#N/A,#N/A,TRUE,"DCF analysis";#N/A,#N/A,TRUE,"WACC calculation"}</definedName>
    <definedName function="false" hidden="false" name="qsfd" vbProcedure="false">{#N/A,#N/A,TRUE,"Cover sheet";#N/A,#N/A,TRUE,"INPUTS";#N/A,#N/A,TRUE,"OUTPUTS";#N/A,#N/A,TRUE,"VALUATION"}</definedName>
    <definedName function="false" hidden="false" name="qth" vbProcedure="false">qth</definedName>
    <definedName function="false" hidden="false" name="qthqq" vbProcedure="false">#N/A</definedName>
    <definedName function="false" hidden="false" name="QTHRSJ" vbProcedure="false">QTHRSJ</definedName>
    <definedName function="false" hidden="false" name="qtqy" vbProcedure="false">qtqy</definedName>
    <definedName function="false" hidden="false" name="qyqey" vbProcedure="false">#N/A</definedName>
    <definedName function="false" hidden="false" name="qyqyqery" vbProcedure="false">qyqyqery</definedName>
    <definedName function="false" hidden="false" name="QZ" vbProcedure="false">#REF!</definedName>
    <definedName function="false" hidden="false" name="qzetqt" vbProcedure="false">qzetqt</definedName>
    <definedName function="false" hidden="false" name="qzezezare" vbProcedure="false">#REF!</definedName>
    <definedName function="false" hidden="false" name="qzq" vbProcedure="false">#N/A</definedName>
    <definedName function="false" hidden="false" name="qztqt" vbProcedure="false">#N/A</definedName>
    <definedName function="false" hidden="false" name="qztze" vbProcedure="false">qztze</definedName>
    <definedName function="false" hidden="false" name="QZ___0" vbProcedure="false">#REF!</definedName>
    <definedName function="false" hidden="false" name="QZ___12" vbProcedure="false">#REF!</definedName>
    <definedName function="false" hidden="false" name="QZ___14" vbProcedure="false">#REF!</definedName>
    <definedName function="false" hidden="false" name="QZ___16" vbProcedure="false">#REF!</definedName>
    <definedName function="false" hidden="false" name="QZ___2" vbProcedure="false">#REF!</definedName>
    <definedName function="false" hidden="false" name="QZ___25" vbProcedure="false">#REF!</definedName>
    <definedName function="false" hidden="false" name="QZ___26" vbProcedure="false">#REF!</definedName>
    <definedName function="false" hidden="false" name="QZ___27" vbProcedure="false">#REF!</definedName>
    <definedName function="false" hidden="false" name="QZ___4" vbProcedure="false">#REF!</definedName>
    <definedName function="false" hidden="false" name="QZ___5" vbProcedure="false">#REF!</definedName>
    <definedName function="false" hidden="false" name="QZ___7" vbProcedure="false">#REF!</definedName>
    <definedName function="false" hidden="false" name="Q___12" vbProcedure="false">#REF!</definedName>
    <definedName function="false" hidden="false" name="Q___14" vbProcedure="false">#REF!</definedName>
    <definedName function="false" hidden="false" name="Q___16" vbProcedure="false">#REF!</definedName>
    <definedName function="false" hidden="false" name="Q___2" vbProcedure="false">#REF!</definedName>
    <definedName function="false" hidden="false" name="Q___25" vbProcedure="false">#REF!</definedName>
    <definedName function="false" hidden="false" name="Q___26" vbProcedure="false">#REF!</definedName>
    <definedName function="false" hidden="false" name="Q___27" vbProcedure="false">#REF!</definedName>
    <definedName function="false" hidden="false" name="Q___4" vbProcedure="false">#REF!</definedName>
    <definedName function="false" hidden="false" name="Q___5" vbProcedure="false">#REF!</definedName>
    <definedName function="false" hidden="false" name="Q___7" vbProcedure="false">#REF!</definedName>
    <definedName function="false" hidden="false" name="Rabat2" vbProcedure="false">#REF!</definedName>
    <definedName function="false" hidden="false" name="RE" vbProcedure="false">#REF!</definedName>
    <definedName function="false" hidden="false" name="REC" vbProcedure="false">#REF!</definedName>
    <definedName function="false" hidden="false" name="RECAP" vbProcedure="false">#REF!</definedName>
    <definedName function="false" hidden="false" name="recappv" vbProcedure="false">#REF!</definedName>
    <definedName function="false" hidden="false" name="RECAP___12" vbProcedure="false">#REF!</definedName>
    <definedName function="false" hidden="false" name="RECAP___2" vbProcedure="false">#REF!</definedName>
    <definedName function="false" hidden="false" name="RECAP___25" vbProcedure="false">#REF!</definedName>
    <definedName function="false" hidden="false" name="RECAP___26" vbProcedure="false">#REF!</definedName>
    <definedName function="false" hidden="false" name="RECAP___4" vbProcedure="false">#REF!</definedName>
    <definedName function="false" hidden="false" name="RECAP___6" vbProcedure="false">#REF!</definedName>
    <definedName function="false" hidden="false" name="RECAP___7" vbProcedure="false">#REF!</definedName>
    <definedName function="false" hidden="false" name="recglob" vbProcedure="false">#REF!</definedName>
    <definedName function="false" hidden="false" name="recglob___12" vbProcedure="false">#REF!</definedName>
    <definedName function="false" hidden="false" name="recglob___6" vbProcedure="false">#REF!</definedName>
    <definedName function="false" hidden="false" name="RECON" vbProcedure="false">#REF!</definedName>
    <definedName function="false" hidden="false" name="Recrutement2002" vbProcedure="false">#REF!</definedName>
    <definedName function="false" hidden="false" name="Recrutement2003" vbProcedure="false">#REF!</definedName>
    <definedName function="false" hidden="false" name="REC___0" vbProcedure="false">#REF!</definedName>
    <definedName function="false" hidden="false" name="REC___12" vbProcedure="false">#REF!</definedName>
    <definedName function="false" hidden="false" name="REC___14" vbProcedure="false">#REF!</definedName>
    <definedName function="false" hidden="false" name="REC___16" vbProcedure="false">#REF!</definedName>
    <definedName function="false" hidden="false" name="REC___2" vbProcedure="false">#REF!</definedName>
    <definedName function="false" hidden="false" name="REC___25" vbProcedure="false">#REF!</definedName>
    <definedName function="false" hidden="false" name="REC___26" vbProcedure="false">#REF!</definedName>
    <definedName function="false" hidden="false" name="REC___27" vbProcedure="false">#REF!</definedName>
    <definedName function="false" hidden="false" name="REC___4" vbProcedure="false">#REF!</definedName>
    <definedName function="false" hidden="false" name="REC___5" vbProcedure="false">#REF!</definedName>
    <definedName function="false" hidden="false" name="REC___7" vbProcedure="false">#REF!</definedName>
    <definedName function="false" hidden="false" name="REDEVANCE_OCCUPATION_DOMAINE_PUBLIC" vbProcedure="false">#REF!</definedName>
    <definedName function="false" hidden="false" name="reel2000" vbProcedure="false">#REF!</definedName>
    <definedName function="false" hidden="false" name="reel2000___0" vbProcedure="false">#REF!</definedName>
    <definedName function="false" hidden="false" name="reel2000___14" vbProcedure="false">#REF!</definedName>
    <definedName function="false" hidden="false" name="reel2000___27" vbProcedure="false">#REF!</definedName>
    <definedName function="false" hidden="false" name="reel2000___5" vbProcedure="false">#REF!</definedName>
    <definedName function="false" hidden="false" name="REGLEE_LE_02_06_2003" vbProcedure="false">#REF!</definedName>
    <definedName function="false" hidden="false" name="Regular_Movies" vbProcedure="false">#REF!</definedName>
    <definedName function="false" hidden="false" name="rer" vbProcedure="false">#N/A</definedName>
    <definedName function="false" hidden="false" name="rert" vbProcedure="false">#REF!</definedName>
    <definedName function="false" hidden="false" name="retraite2002" vbProcedure="false">#REF!</definedName>
    <definedName function="false" hidden="false" name="Retraite2003" vbProcedure="false">#REF!</definedName>
    <definedName function="false" hidden="false" name="rev" vbProcedure="false">#REF!</definedName>
    <definedName function="false" hidden="false" name="revenus" vbProcedure="false">#REF!</definedName>
    <definedName function="false" hidden="false" name="revenus___0" vbProcedure="false">#REF!</definedName>
    <definedName function="false" hidden="false" name="revenus___12" vbProcedure="false">#REF!</definedName>
    <definedName function="false" hidden="false" name="revenus___14" vbProcedure="false">#REF!</definedName>
    <definedName function="false" hidden="false" name="revenus___16" vbProcedure="false">#REF!</definedName>
    <definedName function="false" hidden="false" name="revenus___2" vbProcedure="false">#REF!</definedName>
    <definedName function="false" hidden="false" name="revenus___25" vbProcedure="false">#REF!</definedName>
    <definedName function="false" hidden="false" name="revenus___26" vbProcedure="false">#REF!</definedName>
    <definedName function="false" hidden="false" name="revenus___27" vbProcedure="false">#REF!</definedName>
    <definedName function="false" hidden="false" name="revenus___4" vbProcedure="false">#REF!</definedName>
    <definedName function="false" hidden="false" name="revenus___5" vbProcedure="false">#REF!</definedName>
    <definedName function="false" hidden="false" name="revenus___7" vbProcedure="false">#REF!</definedName>
    <definedName function="false" hidden="false" name="REVISIONS" vbProcedure="false">#REF!</definedName>
    <definedName function="false" hidden="false" name="rev___12" vbProcedure="false">#REF!</definedName>
    <definedName function="false" hidden="false" name="rezze" vbProcedure="false">#REF!</definedName>
    <definedName function="false" hidden="false" name="rgedrgvd" vbProcedure="false">#REF!</definedName>
    <definedName function="false" hidden="false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rhrr" vbProcedure="false">#REF!</definedName>
    <definedName function="false" hidden="false" name="Riad" vbProcedure="false">#REF!</definedName>
    <definedName function="false" hidden="false" name="RiskPremium" vbProcedure="false">#REF!</definedName>
    <definedName function="false" hidden="false" name="RiskPremium___0" vbProcedure="false">#REF!</definedName>
    <definedName function="false" hidden="false" name="RiskPremium___12" vbProcedure="false">#REF!</definedName>
    <definedName function="false" hidden="false" name="RiskPremium___14" vbProcedure="false">#REF!</definedName>
    <definedName function="false" hidden="false" name="RiskPremium___16" vbProcedure="false">#REF!</definedName>
    <definedName function="false" hidden="false" name="RiskPremium___2" vbProcedure="false">#REF!</definedName>
    <definedName function="false" hidden="false" name="RiskPremium___25" vbProcedure="false">#REF!</definedName>
    <definedName function="false" hidden="false" name="RiskPremium___26" vbProcedure="false">#REF!</definedName>
    <definedName function="false" hidden="false" name="RiskPremium___27" vbProcedure="false">#REF!</definedName>
    <definedName function="false" hidden="false" name="RiskPremium___4" vbProcedure="false">#REF!</definedName>
    <definedName function="false" hidden="false" name="RiskPremium___5" vbProcedure="false">#REF!</definedName>
    <definedName function="false" hidden="false" name="RiskPremium___7" vbProcedure="false">#REF!</definedName>
    <definedName function="false" hidden="false" name="RMD_VPC" vbProcedure="false">#REF!</definedName>
    <definedName function="false" hidden="false" name="RM_Distri" vbProcedure="false">#REF!</definedName>
    <definedName function="false" hidden="false" name="RM_SCS" vbProcedure="false">#REF!</definedName>
    <definedName function="false" hidden="false" name="rngCellNotes" vbProcedure="false">#REF!</definedName>
    <definedName function="false" hidden="false" name="rngColor" vbProcedure="false">#REF!</definedName>
    <definedName function="false" hidden="false" name="rngDim1" vbProcedure="false">#REF!</definedName>
    <definedName function="false" hidden="false" name="rngDim2" vbProcedure="false">#REF!</definedName>
    <definedName function="false" hidden="false" name="rngDim3" vbProcedure="false">#REF!</definedName>
    <definedName function="false" hidden="false" name="rngDim4" vbProcedure="false">#REF!</definedName>
    <definedName function="false" hidden="false" name="rngRetrieve" vbProcedure="false">#REF!</definedName>
    <definedName function="false" hidden="false" name="rngRetrieveFlags" vbProcedure="false">#REF!</definedName>
    <definedName function="false" hidden="false" name="Rochd" vbProcedure="false">#REF!</definedName>
    <definedName function="false" hidden="false" name="ROCK" vbProcedure="false">#N/A</definedName>
    <definedName function="false" hidden="false" name="ROLL" vbProcedure="false">#N/A</definedName>
    <definedName function="false" hidden="false" name="ROWS" vbProcedure="false">#N/A</definedName>
    <definedName function="false" hidden="false" name="rqerger" vbProcedure="false">rqerger</definedName>
    <definedName function="false" hidden="false" name="RR" vbProcedure="false">RR</definedName>
    <definedName function="false" hidden="false" name="rrrr" vbProcedure="false">#N/A</definedName>
    <definedName function="false" hidden="false" name="rrrrr" vbProcedure="false">#REF!</definedName>
    <definedName function="false" hidden="false" name="rrthth" vbProcedure="false">#REF!</definedName>
    <definedName function="false" hidden="false" name="RS" vbProcedure="false">#N/A</definedName>
    <definedName function="false" hidden="false" name="rsb_cig" vbProcedure="false">#REF!</definedName>
    <definedName function="false" hidden="false" name="RSB_Markets" vbProcedure="false">#REF!</definedName>
    <definedName function="false" hidden="false" name="RT" vbProcedure="false">#N/A</definedName>
    <definedName function="false" hidden="false" name="rty" vbProcedure="false">{#N/A,#N/A,TRUE,"Pro Forma";#N/A,#N/A,TRUE,"PF_Bal";#N/A,#N/A,TRUE,"PF_INC";#N/A,#N/A,TRUE,"CBE";#N/A,#N/A,TRUE,"SWK"}</definedName>
    <definedName function="false" hidden="false" name="R___0" vbProcedure="false">NA()</definedName>
    <definedName function="false" hidden="false" name="R___12" vbProcedure="false">#REF!</definedName>
    <definedName function="false" hidden="false" name="R___2" vbProcedure="false">#REF!</definedName>
    <definedName function="false" hidden="false" name="R___25" vbProcedure="false">#REF!</definedName>
    <definedName function="false" hidden="false" name="R___26" vbProcedure="false">#REF!</definedName>
    <definedName function="false" hidden="false" name="R___27" vbProcedure="false">NA()</definedName>
    <definedName function="false" hidden="false" name="R___4" vbProcedure="false">#REF!</definedName>
    <definedName function="false" hidden="false" name="R___5" vbProcedure="false">NA()</definedName>
    <definedName function="false" hidden="false" name="R___6" vbProcedure="false">#REF!</definedName>
    <definedName function="false" hidden="false" name="R___7" vbProcedure="false">#REF!</definedName>
    <definedName function="false" hidden="false" name="référence" vbProcedure="false">#REF!</definedName>
    <definedName function="false" hidden="false" name="S" vbProcedure="false">#REF!</definedName>
    <definedName function="false" hidden="false" name="S.G.M.B" vbProcedure="false">#REF!</definedName>
    <definedName function="false" hidden="false" name="S.G.M.B." vbProcedure="false">#REF!</definedName>
    <definedName function="false" hidden="false" name="S.M.D.C" vbProcedure="false">#REF!</definedName>
    <definedName function="false" hidden="false" name="S.M.D.C." vbProcedure="false">#REF!</definedName>
    <definedName function="false" hidden="false" name="SAChoice" vbProcedure="false">#REF!</definedName>
    <definedName function="false" hidden="false" name="SAChoice___0" vbProcedure="false">#REF!</definedName>
    <definedName function="false" hidden="false" name="SAChoice___12" vbProcedure="false">#REF!</definedName>
    <definedName function="false" hidden="false" name="SAChoice___14" vbProcedure="false">#REF!</definedName>
    <definedName function="false" hidden="false" name="SAChoice___16" vbProcedure="false">#REF!</definedName>
    <definedName function="false" hidden="false" name="SAChoice___2" vbProcedure="false">#REF!</definedName>
    <definedName function="false" hidden="false" name="SAChoice___25" vbProcedure="false">#REF!</definedName>
    <definedName function="false" hidden="false" name="SAChoice___26" vbProcedure="false">#REF!</definedName>
    <definedName function="false" hidden="false" name="SAChoice___27" vbProcedure="false">#REF!</definedName>
    <definedName function="false" hidden="false" name="SAChoice___4" vbProcedure="false">#REF!</definedName>
    <definedName function="false" hidden="false" name="SAChoice___5" vbProcedure="false">#REF!</definedName>
    <definedName function="false" hidden="false" name="SAChoice___7" vbProcedure="false">#REF!</definedName>
    <definedName function="false" hidden="false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le" vbProcedure="false">#REF!</definedName>
    <definedName function="false" hidden="false" name="SAList" vbProcedure="false">#REF!</definedName>
    <definedName function="false" hidden="false" name="SAList___0" vbProcedure="false">#REF!</definedName>
    <definedName function="false" hidden="false" name="SAList___12" vbProcedure="false">#REF!</definedName>
    <definedName function="false" hidden="false" name="SAList___14" vbProcedure="false">#REF!</definedName>
    <definedName function="false" hidden="false" name="SAList___16" vbProcedure="false">#REF!</definedName>
    <definedName function="false" hidden="false" name="SAList___2" vbProcedure="false">#REF!</definedName>
    <definedName function="false" hidden="false" name="SAList___25" vbProcedure="false">#REF!</definedName>
    <definedName function="false" hidden="false" name="SAList___26" vbProcedure="false">#REF!</definedName>
    <definedName function="false" hidden="false" name="SAList___27" vbProcedure="false">#REF!</definedName>
    <definedName function="false" hidden="false" name="SAList___4" vbProcedure="false">#REF!</definedName>
    <definedName function="false" hidden="false" name="SAList___5" vbProcedure="false">#REF!</definedName>
    <definedName function="false" hidden="false" name="SAList___7" vbProcedure="false">#REF!</definedName>
    <definedName function="false" hidden="false" name="SALVAGE__" vbProcedure="false">#N/A</definedName>
    <definedName function="false" hidden="false" name="SAPBEXrevision" vbProcedure="false">1</definedName>
    <definedName function="false" hidden="false" name="SAPBEXrevision_1" vbProcedure="false">1</definedName>
    <definedName function="false" hidden="false" name="SAPBEXsysID" vbProcedure="false">"BP1"</definedName>
    <definedName function="false" hidden="false" name="SAPBEXsysID_1" vbProcedure="false">"BP1"</definedName>
    <definedName function="false" hidden="false" name="SAPBEXwbID" vbProcedure="false">"4GPG7WY8FO47YTFU26F0UOWSY"</definedName>
    <definedName function="false" hidden="false" name="Saturday_Animated" vbProcedure="false">#REF!</definedName>
    <definedName function="false" hidden="false" name="save" vbProcedure="false">'Data Mobile'!save</definedName>
    <definedName function="false" hidden="false" localSheetId="7" name="save" vbProcedure="false">'Data Mobile'!save</definedName>
    <definedName function="false" hidden="false" name="SaveNewFile" vbProcedure="false">SaveNewFile</definedName>
    <definedName function="false" hidden="false" name="SaveNewFile___0" vbProcedure="false">TAmort___2</definedName>
    <definedName function="false" hidden="false" name="TAmort___2" vbProcedure="false">#REF!</definedName>
    <definedName function="false" hidden="false" name="SaveNewFile___16" vbProcedure="false">sss___27</definedName>
    <definedName function="false" hidden="false" name="sss___27" vbProcedure="false">VolFactor___14/#REF!</definedName>
    <definedName function="false" hidden="false" name="SaveNewFile___2" vbProcedure="false">t.g</definedName>
    <definedName function="false" hidden="false" name="SaveNewFile___23" vbProcedure="false">sss___12</definedName>
    <definedName function="false" hidden="false" name="sss___12" vbProcedure="false">VolFactor___25/#REF!</definedName>
    <definedName function="false" hidden="false" name="SaveNewFile___25" vbProcedure="false">sss___26</definedName>
    <definedName function="false" hidden="false" name="sss___26" vbProcedure="false">VolFactor___12/#REF!</definedName>
    <definedName function="false" hidden="false" name="SaveNewFile___26" vbProcedure="false">TAmort___25</definedName>
    <definedName function="false" hidden="false" name="TAmort___25" vbProcedure="false">#REF!</definedName>
    <definedName function="false" hidden="false" name="SaveNewFile___27" vbProcedure="false">TAmort___16</definedName>
    <definedName function="false" hidden="false" name="TAmort___16" vbProcedure="false">#REF!</definedName>
    <definedName function="false" hidden="false" name="SaveNewFile___3" vbProcedure="false">sss___0</definedName>
    <definedName function="false" hidden="false" name="sss___0" vbProcedure="false">VolFactor___5/#REF!</definedName>
    <definedName function="false" hidden="false" name="SaveNewFile___4" vbProcedure="false">sss___5</definedName>
    <definedName function="false" hidden="false" name="sss___5" vbProcedure="false">VolFactor___2/#REF!</definedName>
    <definedName function="false" hidden="false" name="SaveNewFile___5" vbProcedure="false">TAmort___4</definedName>
    <definedName function="false" hidden="false" name="TAmort___4" vbProcedure="false">#REF!</definedName>
    <definedName function="false" hidden="false" name="SaveNewFile___6" vbProcedure="false">sss___2</definedName>
    <definedName function="false" hidden="false" name="sss___2" vbProcedure="false">VolFactor___4/#REF!</definedName>
    <definedName function="false" hidden="false" name="SaveNewFile___7" vbProcedure="false">TAmort___14</definedName>
    <definedName function="false" hidden="false" name="TAmort___14" vbProcedure="false">#REF!</definedName>
    <definedName function="false" hidden="false" name="SaveNewFile___9" vbProcedure="false">sss___7</definedName>
    <definedName function="false" hidden="false" name="sss___7" vbProcedure="false">VolFactor___27/#REF!</definedName>
    <definedName function="false" hidden="false" name="SC16___0" vbProcedure="false">#REF!</definedName>
    <definedName function="false" hidden="false" name="SC16___12" vbProcedure="false">#REF!</definedName>
    <definedName function="false" hidden="false" name="SC16___14" vbProcedure="false">#REF!</definedName>
    <definedName function="false" hidden="false" name="SC16___16" vbProcedure="false">#REF!</definedName>
    <definedName function="false" hidden="false" name="SC16___2" vbProcedure="false">#REF!</definedName>
    <definedName function="false" hidden="false" name="SC16___25" vbProcedure="false">#REF!</definedName>
    <definedName function="false" hidden="false" name="SC16___26" vbProcedure="false">#REF!</definedName>
    <definedName function="false" hidden="false" name="SC16___27" vbProcedure="false">#REF!</definedName>
    <definedName function="false" hidden="false" name="SC16___4" vbProcedure="false">#REF!</definedName>
    <definedName function="false" hidden="false" name="SC16___5" vbProcedure="false">#REF!</definedName>
    <definedName function="false" hidden="false" name="SC16___7" vbProcedure="false">#REF!</definedName>
    <definedName function="false" hidden="false" name="scdv" vbProcedure="false">scdv</definedName>
    <definedName function="false" hidden="false" name="SD" vbProcedure="false">SD</definedName>
    <definedName function="false" hidden="false" name="sdd" vbProcedure="false">#N/A</definedName>
    <definedName function="false" hidden="false" name="sdf" vbProcedure="false">{#N/A,#N/A,FALSE,"Calc";#N/A,#N/A,FALSE,"Sensitivity";#N/A,#N/A,FALSE,"LT Earn.Dil.";#N/A,#N/A,FALSE,"Dil. AVP"}</definedName>
    <definedName function="false" hidden="false" name="SDFHLSDH" vbProcedure="false">#N/A</definedName>
    <definedName function="false" hidden="false" name="sdfr" vbProcedure="false">#N/A</definedName>
    <definedName function="false" hidden="false" name="sdfsdf" vbProcedure="false">[0]!tx_intérêt_par_an/#REF!</definedName>
    <definedName function="false" hidden="false" name="SDFSDFD" vbProcedure="false">#REF!</definedName>
    <definedName function="false" hidden="false" name="SDHKSLTH" vbProcedure="false">#N/A</definedName>
    <definedName function="false" hidden="false" name="se" vbProcedure="false">{"consolidated",#N/A,FALSE,"Sheet1";"cms",#N/A,FALSE,"Sheet1";"fse",#N/A,FALSE,"Sheet1"}</definedName>
    <definedName function="false" hidden="false" name="SECTORISATION" vbProcedure="false">#N/A</definedName>
    <definedName function="false" hidden="false" name="segr" vbProcedure="false">#N/A</definedName>
    <definedName function="false" hidden="false" name="sel" vbProcedure="false">#REF!</definedName>
    <definedName function="false" hidden="false" name="select" vbProcedure="false">#REF!</definedName>
    <definedName function="false" hidden="false" name="selectALI" vbProcedure="false">#REF!</definedName>
    <definedName function="false" hidden="false" name="selection" vbProcedure="false">#REF!</definedName>
    <definedName function="false" hidden="false" name="Select_BIB" vbProcedure="false">#REF!</definedName>
    <definedName function="false" hidden="false" name="Select_Power27v" vbProcedure="false">#REF!</definedName>
    <definedName function="false" hidden="false" name="Select_PowerSelect" vbProcedure="false">#REF!</definedName>
    <definedName function="false" hidden="false" name="seltzer" vbProcedure="false">#REF!</definedName>
    <definedName function="false" hidden="false" name="sencount" vbProcedure="false">1</definedName>
    <definedName function="false" hidden="false" name="September" vbProcedure="false">#REF!</definedName>
    <definedName function="false" hidden="false" name="SERIES1" vbProcedure="false">#N/A</definedName>
    <definedName function="false" hidden="false" name="SERIES2" vbProcedure="false">#N/A</definedName>
    <definedName function="false" hidden="false" name="Services_Markup" vbProcedure="false">#REF!</definedName>
    <definedName function="false" hidden="false" name="set" vbProcedure="false">#REF!</definedName>
    <definedName function="false" hidden="false" name="sfdff" vbProcedure="false">sfdff</definedName>
    <definedName function="false" hidden="false" name="sfdtgjh" vbProcedure="false">#N/A</definedName>
    <definedName function="false" hidden="false" name="sfdvxcvx" vbProcedure="false">#REF!</definedName>
    <definedName function="false" hidden="false" name="sfgj" vbProcedure="false">#N/A</definedName>
    <definedName function="false" hidden="false" name="sfgjhsf" vbProcedure="false">sfgjhsf</definedName>
    <definedName function="false" hidden="false" name="sfgjsf" vbProcedure="false">sfgjsf</definedName>
    <definedName function="false" hidden="false" name="sfhjkj" vbProcedure="false">#REF!</definedName>
    <definedName function="false" hidden="false" name="sfsdfsf" vbProcedure="false">{"First Page",#N/A,FALSE,"Surfactants LBO";"Second Page",#N/A,FALSE,"Surfactants LBO"}</definedName>
    <definedName function="false" hidden="false" name="sfsfc" vbProcedure="false">sfsfc</definedName>
    <definedName function="false" hidden="false" name="sfsfd" vbProcedure="false">#REF!</definedName>
    <definedName function="false" hidden="false" name="sfze" vbProcedure="false">{#N/A,#N/A,FALSE,"Contribution Analysis"}</definedName>
    <definedName function="false" hidden="false" name="SF_Original" vbProcedure="false">#REF!</definedName>
    <definedName function="false" hidden="false" name="SGADJ" vbProcedure="false">#REF!</definedName>
    <definedName function="false" hidden="false" name="SGUNADJ" vbProcedure="false">#REF!</definedName>
    <definedName function="false" hidden="false" name="sh" vbProcedure="false">sh</definedName>
    <definedName function="false" hidden="false" name="shdrhjrt" vbProcedure="false">shdrhjrt</definedName>
    <definedName function="false" hidden="false" name="shst" vbProcedure="false">shst</definedName>
    <definedName function="false" hidden="false" name="si" vbProcedure="false">#REF!</definedName>
    <definedName function="false" hidden="false" name="sjg" vbProcedure="false">sjg</definedName>
    <definedName function="false" hidden="false" name="sm" vbProcedure="false">#REF!</definedName>
    <definedName function="false" hidden="false" name="solver_lin" vbProcedure="false">0</definedName>
    <definedName function="false" hidden="false" name="solver_num" vbProcedure="false">0</definedName>
    <definedName function="false" hidden="false" name="solver_opt" vbProcedure="false">#REF!</definedName>
    <definedName function="false" hidden="false" name="solver_tmp" vbProcedure="false">#NULL!</definedName>
    <definedName function="false" hidden="false" name="solver_typ" vbProcedure="false">1</definedName>
    <definedName function="false" hidden="false" name="solver_val" vbProcedure="false">0</definedName>
    <definedName function="false" hidden="false" name="SPARES" vbProcedure="false">#REF!</definedName>
    <definedName function="false" hidden="false" name="Spares_Markup" vbProcedure="false">#REF!</definedName>
    <definedName function="false" hidden="false" name="SPI_Sch_Perf_Index" vbProcedure="false">#REF!</definedName>
    <definedName function="false" hidden="false" name="SPS" vbProcedure="false">#REF!</definedName>
    <definedName function="false" hidden="false" name="sq" vbProcedure="false">#N/A</definedName>
    <definedName function="false" hidden="false" name="sqdf" vbProcedure="false">#N/A</definedName>
    <definedName function="false" hidden="false" name="sqdqs" vbProcedure="false">#REF!</definedName>
    <definedName function="false" hidden="false" name="sqdsf" vbProcedure="false">[0]!tx_intérêt_par_an/#REF!</definedName>
    <definedName function="false" hidden="false" name="srjj" vbProcedure="false">#N/A</definedName>
    <definedName function="false" hidden="false" name="ss" vbProcedure="false">#REF!</definedName>
    <definedName function="false" hidden="false" name="SSCurrInput" vbProcedure="false">#REF!</definedName>
    <definedName function="false" hidden="false" name="SSCurrInput___0" vbProcedure="false">#REF!</definedName>
    <definedName function="false" hidden="false" name="SSCurrInput___12" vbProcedure="false">#REF!</definedName>
    <definedName function="false" hidden="false" name="SSCurrInput___14" vbProcedure="false">#REF!</definedName>
    <definedName function="false" hidden="false" name="SSCurrInput___16" vbProcedure="false">#REF!</definedName>
    <definedName function="false" hidden="false" name="SSCurrInput___2" vbProcedure="false">#REF!</definedName>
    <definedName function="false" hidden="false" name="SSCurrInput___25" vbProcedure="false">#REF!</definedName>
    <definedName function="false" hidden="false" name="SSCurrInput___26" vbProcedure="false">#REF!</definedName>
    <definedName function="false" hidden="false" name="SSCurrInput___27" vbProcedure="false">#REF!</definedName>
    <definedName function="false" hidden="false" name="SSCurrInput___4" vbProcedure="false">#REF!</definedName>
    <definedName function="false" hidden="false" name="SSCurrInput___5" vbProcedure="false">#REF!</definedName>
    <definedName function="false" hidden="false" name="SSCurrInput___7" vbProcedure="false">#REF!</definedName>
    <definedName function="false" hidden="false" name="ssdsds" vbProcedure="false">{#N/A,#N/A,TRUE,"Cover sheet";#N/A,#N/A,TRUE,"DCF analysis";#N/A,#N/A,TRUE,"WACC calculation"}</definedName>
    <definedName function="false" hidden="false" name="sshsh" vbProcedure="false">#N/A</definedName>
    <definedName function="false" hidden="false" name="SSQ" vbProcedure="false">#REF!</definedName>
    <definedName function="false" hidden="false" name="sss" vbProcedure="false">[0]!tx_intérêt_par_an/#REF!</definedName>
    <definedName function="false" hidden="false" name="sssc" vbProcedure="false">#N/A</definedName>
    <definedName function="false" hidden="false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sssssssssss" vbProcedure="false">#REF!</definedName>
    <definedName function="false" hidden="false" name="sss___14" vbProcedure="false">VolFactor___16/#REF!</definedName>
    <definedName function="false" hidden="false" name="sss___16" vbProcedure="false">VLastRowToPrint___7/#REF!</definedName>
    <definedName function="false" hidden="false" name="sss___23" vbProcedure="false">VolFactor___5/#REF!</definedName>
    <definedName function="false" hidden="false" name="sss___3" vbProcedure="false">VolFactor___5/#REF!</definedName>
    <definedName function="false" hidden="false" name="sss___4" vbProcedure="false">VLastRowToPrint___0/#REF!</definedName>
    <definedName function="false" hidden="false" name="sss___6" vbProcedure="false">VLastRowToPrint___26/#REF!</definedName>
    <definedName function="false" hidden="false" name="sss___9" vbProcedure="false">VolFactor___5/#REF!</definedName>
    <definedName function="false" hidden="false" name="startdate" vbProcedure="false">#REF!</definedName>
    <definedName function="false" hidden="false" name="STDCOSTS" vbProcedure="false">#REF!</definedName>
    <definedName function="false" hidden="false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TPER" vbProcedure="false">#REF!</definedName>
    <definedName function="false" hidden="false" name="SUM" vbProcedure="false">#REF!</definedName>
    <definedName function="false" hidden="false" name="SV_Sch_Var" vbProcedure="false">#REF!</definedName>
    <definedName function="false" hidden="false" name="SV_Sch_Variance" vbProcedure="false">#REF!</definedName>
    <definedName function="false" hidden="false" name="SYNTHESE_BA__ETAT_PRIVE" vbProcedure="false">#REF!</definedName>
    <definedName function="false" hidden="false" name="synthèse" vbProcedure="false">#REF!</definedName>
    <definedName function="false" hidden="false" name="SystemImpedance" vbProcedure="false">#REF!</definedName>
    <definedName function="false" hidden="false" name="S___0" vbProcedure="false">#REF!</definedName>
    <definedName function="false" hidden="false" name="S___12" vbProcedure="false">#REF!</definedName>
    <definedName function="false" hidden="false" name="S___14" vbProcedure="false">#REF!</definedName>
    <definedName function="false" hidden="false" name="S___16" vbProcedure="false">#REF!</definedName>
    <definedName function="false" hidden="false" name="S___2" vbProcedure="false">#REF!</definedName>
    <definedName function="false" hidden="false" name="S___25" vbProcedure="false">#REF!</definedName>
    <definedName function="false" hidden="false" name="S___26" vbProcedure="false">#REF!</definedName>
    <definedName function="false" hidden="false" name="S___27" vbProcedure="false">#REF!</definedName>
    <definedName function="false" hidden="false" name="S___4" vbProcedure="false">#REF!</definedName>
    <definedName function="false" hidden="false" name="S___5" vbProcedure="false">#REF!</definedName>
    <definedName function="false" hidden="false" name="S___7" vbProcedure="false">#REF!</definedName>
    <definedName function="false" hidden="false" name="T" vbProcedure="false">#N/A</definedName>
    <definedName function="false" hidden="false" name="T.V.A__MAI__2003" vbProcedure="false">#REF!</definedName>
    <definedName function="false" hidden="false" name="TABLE" vbProcedure="false">#REF!</definedName>
    <definedName function="false" hidden="false" name="tableau" vbProcedure="false">#REF!</definedName>
    <definedName function="false" hidden="false" name="tableau10" vbProcedure="false">#REF!,#REF!</definedName>
    <definedName function="false" hidden="false" name="tableau14" vbProcedure="false">#REF!</definedName>
    <definedName function="false" hidden="false" name="tableau15" vbProcedure="false">#REF!</definedName>
    <definedName function="false" hidden="false" name="tableau16" vbProcedure="false">#REF!,#REF!</definedName>
    <definedName function="false" hidden="false" name="tableau17" vbProcedure="false">#REF!</definedName>
    <definedName function="false" hidden="false" name="tableau18" vbProcedure="false">#REF!,#REF!,#REF!</definedName>
    <definedName function="false" hidden="false" name="tableau2" vbProcedure="false">#REF!,#REF!</definedName>
    <definedName function="false" hidden="false" name="tableau3" vbProcedure="false">#REF!,#REF!,#REF!,#REF!</definedName>
    <definedName function="false" hidden="false" name="tableau4" vbProcedure="false">#REF!,#REF!,#REF!</definedName>
    <definedName function="false" hidden="false" name="tableau5" vbProcedure="false">#REF!</definedName>
    <definedName function="false" hidden="false" name="tableau6" vbProcedure="false">#REF!</definedName>
    <definedName function="false" hidden="false" name="tableau7" vbProcedure="false">#REF!</definedName>
    <definedName function="false" hidden="false" name="tableau8" vbProcedure="false">#REF!,#REF!</definedName>
    <definedName function="false" hidden="false" name="tableconv" vbProcedure="false">#REF!</definedName>
    <definedName function="false" hidden="false" name="tableconversion" vbProcedure="false">#REF!</definedName>
    <definedName function="false" hidden="false" name="TAmort" vbProcedure="false">#REF!</definedName>
    <definedName function="false" hidden="false" name="TAmort___0" vbProcedure="false">#REF!</definedName>
    <definedName function="false" hidden="false" name="TAmort___12" vbProcedure="false">#REF!</definedName>
    <definedName function="false" hidden="false" name="TAmort___26" vbProcedure="false">#REF!</definedName>
    <definedName function="false" hidden="false" name="TAmort___27" vbProcedure="false">#REF!</definedName>
    <definedName function="false" hidden="false" name="TAmort___5" vbProcedure="false">#REF!</definedName>
    <definedName function="false" hidden="false" name="TAmort___7" vbProcedure="false">#REF!</definedName>
    <definedName function="false" hidden="false" name="Tanger" vbProcedure="false">#REF!</definedName>
    <definedName function="false" hidden="false" name="TargetDebtToCapital" vbProcedure="false">#REF!</definedName>
    <definedName function="false" hidden="false" name="TargetDebtToCapital___0" vbProcedure="false">#REF!</definedName>
    <definedName function="false" hidden="false" name="TargetDebtToCapital___12" vbProcedure="false">#REF!</definedName>
    <definedName function="false" hidden="false" name="TargetDebtToCapital___14" vbProcedure="false">#REF!</definedName>
    <definedName function="false" hidden="false" name="TargetDebtToCapital___16" vbProcedure="false">#REF!</definedName>
    <definedName function="false" hidden="false" name="TargetDebtToCapital___2" vbProcedure="false">#REF!</definedName>
    <definedName function="false" hidden="false" name="TargetDebtToCapital___25" vbProcedure="false">#REF!</definedName>
    <definedName function="false" hidden="false" name="TargetDebtToCapital___26" vbProcedure="false">#REF!</definedName>
    <definedName function="false" hidden="false" name="TargetDebtToCapital___27" vbProcedure="false">#REF!</definedName>
    <definedName function="false" hidden="false" name="TargetDebtToCapital___4" vbProcedure="false">#REF!</definedName>
    <definedName function="false" hidden="false" name="TargetDebtToCapital___5" vbProcedure="false">#REF!</definedName>
    <definedName function="false" hidden="false" name="TargetDebtToCapital___7" vbProcedure="false">#REF!</definedName>
    <definedName function="false" hidden="false" name="TAssetPct" vbProcedure="false">#REF!</definedName>
    <definedName function="false" hidden="false" name="TAssetPct___0" vbProcedure="false">#REF!</definedName>
    <definedName function="false" hidden="false" name="TAssetPct___12" vbProcedure="false">#REF!</definedName>
    <definedName function="false" hidden="false" name="TAssetPct___14" vbProcedure="false">#REF!</definedName>
    <definedName function="false" hidden="false" name="TAssetPct___16" vbProcedure="false">#REF!</definedName>
    <definedName function="false" hidden="false" name="TAssetPct___2" vbProcedure="false">#REF!</definedName>
    <definedName function="false" hidden="false" name="TAssetPct___25" vbProcedure="false">#REF!</definedName>
    <definedName function="false" hidden="false" name="TAssetPct___26" vbProcedure="false">#REF!</definedName>
    <definedName function="false" hidden="false" name="TAssetPct___27" vbProcedure="false">#REF!</definedName>
    <definedName function="false" hidden="false" name="TAssetPct___4" vbProcedure="false">#REF!</definedName>
    <definedName function="false" hidden="false" name="TAssetPct___5" vbProcedure="false">#REF!</definedName>
    <definedName function="false" hidden="false" name="TAssetPct___7" vbProcedure="false">#REF!</definedName>
    <definedName function="false" hidden="false" name="TAssets" vbProcedure="false">#REF!</definedName>
    <definedName function="false" hidden="false" name="TAssets___0" vbProcedure="false">#REF!</definedName>
    <definedName function="false" hidden="false" name="TAssets___12" vbProcedure="false">#REF!</definedName>
    <definedName function="false" hidden="false" name="TAssets___14" vbProcedure="false">#REF!</definedName>
    <definedName function="false" hidden="false" name="TAssets___16" vbProcedure="false">#REF!</definedName>
    <definedName function="false" hidden="false" name="TAssets___2" vbProcedure="false">#REF!</definedName>
    <definedName function="false" hidden="false" name="TAssets___25" vbProcedure="false">#REF!</definedName>
    <definedName function="false" hidden="false" name="TAssets___26" vbProcedure="false">#REF!</definedName>
    <definedName function="false" hidden="false" name="TAssets___27" vbProcedure="false">#REF!</definedName>
    <definedName function="false" hidden="false" name="TAssets___4" vbProcedure="false">#REF!</definedName>
    <definedName function="false" hidden="false" name="TAssets___5" vbProcedure="false">#REF!</definedName>
    <definedName function="false" hidden="false" name="TAssets___7" vbProcedure="false">#REF!</definedName>
    <definedName function="false" hidden="false" name="tata" vbProcedure="false">#REF!</definedName>
    <definedName function="false" hidden="false" name="tatat" vbProcedure="false">{"IS",#N/A,FALSE,"IS";"RPTIS",#N/A,FALSE,"RPTIS";"STATS",#N/A,FALSE,"STATS";"CELL",#N/A,FALSE,"CELL";"BS",#N/A,FALSE,"BS"}</definedName>
    <definedName function="false" hidden="false" name="Taux_intérêt_par_an" vbProcedure="false">#REF!</definedName>
    <definedName function="false" hidden="false" name="Taux_intérêt_par_an___0" vbProcedure="false">#REF!</definedName>
    <definedName function="false" hidden="false" name="Taux_intérêt_par_an___12" vbProcedure="false">#REF!</definedName>
    <definedName function="false" hidden="false" name="Taux_intérêt_par_an___14" vbProcedure="false">#REF!</definedName>
    <definedName function="false" hidden="false" name="Taux_intérêt_par_an___16" vbProcedure="false">#REF!</definedName>
    <definedName function="false" hidden="false" name="Taux_intérêt_par_an___2" vbProcedure="false">#REF!</definedName>
    <definedName function="false" hidden="false" name="Taux_intérêt_par_an___25" vbProcedure="false">#REF!</definedName>
    <definedName function="false" hidden="false" name="Taux_intérêt_par_an___26" vbProcedure="false">#REF!</definedName>
    <definedName function="false" hidden="false" name="Taux_intérêt_par_an___27" vbProcedure="false">#REF!</definedName>
    <definedName function="false" hidden="false" name="Taux_intérêt_par_an___4" vbProcedure="false">#REF!</definedName>
    <definedName function="false" hidden="false" name="Taux_intérêt_par_an___5" vbProcedure="false">#REF!</definedName>
    <definedName function="false" hidden="false" name="Taux_intérêt_par_an___7" vbProcedure="false">#REF!</definedName>
    <definedName function="false" hidden="false" name="TAX" vbProcedure="false">#N/A</definedName>
    <definedName function="false" hidden="false" name="TCapex" vbProcedure="false">#REF!</definedName>
    <definedName function="false" hidden="false" name="TCapexPct" vbProcedure="false">#REF!</definedName>
    <definedName function="false" hidden="false" name="TCapexPct___0" vbProcedure="false">#REF!</definedName>
    <definedName function="false" hidden="false" name="TCapexPct___12" vbProcedure="false">#REF!</definedName>
    <definedName function="false" hidden="false" name="TCapexPct___14" vbProcedure="false">#REF!</definedName>
    <definedName function="false" hidden="false" name="TCapexPct___16" vbProcedure="false">#REF!</definedName>
    <definedName function="false" hidden="false" name="TCapexPct___2" vbProcedure="false">#REF!</definedName>
    <definedName function="false" hidden="false" name="TCapexPct___25" vbProcedure="false">#REF!</definedName>
    <definedName function="false" hidden="false" name="TCapexPct___26" vbProcedure="false">#REF!</definedName>
    <definedName function="false" hidden="false" name="TCapexPct___27" vbProcedure="false">#REF!</definedName>
    <definedName function="false" hidden="false" name="TCapexPct___4" vbProcedure="false">#REF!</definedName>
    <definedName function="false" hidden="false" name="TCapexPct___5" vbProcedure="false">#REF!</definedName>
    <definedName function="false" hidden="false" name="TCapexPct___7" vbProcedure="false">#REF!</definedName>
    <definedName function="false" hidden="false" name="TCapex___0" vbProcedure="false">#REF!</definedName>
    <definedName function="false" hidden="false" name="TCapex___12" vbProcedure="false">#REF!</definedName>
    <definedName function="false" hidden="false" name="TCapex___14" vbProcedure="false">#REF!</definedName>
    <definedName function="false" hidden="false" name="TCapex___16" vbProcedure="false">#REF!</definedName>
    <definedName function="false" hidden="false" name="TCapex___2" vbProcedure="false">#REF!</definedName>
    <definedName function="false" hidden="false" name="TCapex___25" vbProcedure="false">#REF!</definedName>
    <definedName function="false" hidden="false" name="TCapex___26" vbProcedure="false">#REF!</definedName>
    <definedName function="false" hidden="false" name="TCapex___27" vbProcedure="false">#REF!</definedName>
    <definedName function="false" hidden="false" name="TCapex___4" vbProcedure="false">#REF!</definedName>
    <definedName function="false" hidden="false" name="TCapex___5" vbProcedure="false">#REF!</definedName>
    <definedName function="false" hidden="false" name="TCapex___7" vbProcedure="false">#REF!</definedName>
    <definedName function="false" hidden="false" name="Tcasa" vbProcedure="false">#REF!</definedName>
    <definedName function="false" hidden="false" name="TChgDefTax" vbProcedure="false">#REF!</definedName>
    <definedName function="false" hidden="false" name="TChgDefTax___0" vbProcedure="false">#REF!</definedName>
    <definedName function="false" hidden="false" name="TChgDefTax___12" vbProcedure="false">#REF!</definedName>
    <definedName function="false" hidden="false" name="TChgDefTax___14" vbProcedure="false">#REF!</definedName>
    <definedName function="false" hidden="false" name="TChgDefTax___16" vbProcedure="false">#REF!</definedName>
    <definedName function="false" hidden="false" name="TChgDefTax___2" vbProcedure="false">#REF!</definedName>
    <definedName function="false" hidden="false" name="TChgDefTax___25" vbProcedure="false">#REF!</definedName>
    <definedName function="false" hidden="false" name="TChgDefTax___26" vbProcedure="false">#REF!</definedName>
    <definedName function="false" hidden="false" name="TChgDefTax___27" vbProcedure="false">#REF!</definedName>
    <definedName function="false" hidden="false" name="TChgDefTax___4" vbProcedure="false">#REF!</definedName>
    <definedName function="false" hidden="false" name="TChgDefTax___5" vbProcedure="false">#REF!</definedName>
    <definedName function="false" hidden="false" name="TChgDefTax___7" vbProcedure="false">#REF!</definedName>
    <definedName function="false" hidden="false" name="TChgNWI" vbProcedure="false">#REF!</definedName>
    <definedName function="false" hidden="false" name="TChgNWI___0" vbProcedure="false">#REF!</definedName>
    <definedName function="false" hidden="false" name="TChgNWI___12" vbProcedure="false">#REF!</definedName>
    <definedName function="false" hidden="false" name="TChgNWI___14" vbProcedure="false">#REF!</definedName>
    <definedName function="false" hidden="false" name="TChgNWI___16" vbProcedure="false">#REF!</definedName>
    <definedName function="false" hidden="false" name="TChgNWI___2" vbProcedure="false">#REF!</definedName>
    <definedName function="false" hidden="false" name="TChgNWI___25" vbProcedure="false">#REF!</definedName>
    <definedName function="false" hidden="false" name="TChgNWI___26" vbProcedure="false">#REF!</definedName>
    <definedName function="false" hidden="false" name="TChgNWI___27" vbProcedure="false">#REF!</definedName>
    <definedName function="false" hidden="false" name="TChgNWI___4" vbProcedure="false">#REF!</definedName>
    <definedName function="false" hidden="false" name="TChgNWI___5" vbProcedure="false">#REF!</definedName>
    <definedName function="false" hidden="false" name="TChgNWI___7" vbProcedure="false">#REF!</definedName>
    <definedName function="false" hidden="false" name="TDepr" vbProcedure="false">#REF!</definedName>
    <definedName function="false" hidden="false" name="TDeprOutput" vbProcedure="false">#REF!</definedName>
    <definedName function="false" hidden="false" name="TDeprOutput___0" vbProcedure="false">#REF!</definedName>
    <definedName function="false" hidden="false" name="TDeprOutput___12" vbProcedure="false">#REF!</definedName>
    <definedName function="false" hidden="false" name="TDeprOutput___14" vbProcedure="false">#REF!</definedName>
    <definedName function="false" hidden="false" name="TDeprOutput___16" vbProcedure="false">#REF!</definedName>
    <definedName function="false" hidden="false" name="TDeprOutput___2" vbProcedure="false">#REF!</definedName>
    <definedName function="false" hidden="false" name="TDeprOutput___25" vbProcedure="false">#REF!</definedName>
    <definedName function="false" hidden="false" name="TDeprOutput___26" vbProcedure="false">#REF!</definedName>
    <definedName function="false" hidden="false" name="TDeprOutput___27" vbProcedure="false">#REF!</definedName>
    <definedName function="false" hidden="false" name="TDeprOutput___4" vbProcedure="false">#REF!</definedName>
    <definedName function="false" hidden="false" name="TDeprOutput___5" vbProcedure="false">#REF!</definedName>
    <definedName function="false" hidden="false" name="TDeprOutput___7" vbProcedure="false">#REF!</definedName>
    <definedName function="false" hidden="false" name="TDepr___0" vbProcedure="false">#REF!</definedName>
    <definedName function="false" hidden="false" name="TDepr___12" vbProcedure="false">#REF!</definedName>
    <definedName function="false" hidden="false" name="TDepr___14" vbProcedure="false">#REF!</definedName>
    <definedName function="false" hidden="false" name="TDepr___16" vbProcedure="false">#REF!</definedName>
    <definedName function="false" hidden="false" name="TDepr___2" vbProcedure="false">#REF!</definedName>
    <definedName function="false" hidden="false" name="TDepr___25" vbProcedure="false">#REF!</definedName>
    <definedName function="false" hidden="false" name="TDepr___26" vbProcedure="false">#REF!</definedName>
    <definedName function="false" hidden="false" name="TDepr___27" vbProcedure="false">#REF!</definedName>
    <definedName function="false" hidden="false" name="TDepr___4" vbProcedure="false">#REF!</definedName>
    <definedName function="false" hidden="false" name="TDepr___5" vbProcedure="false">#REF!</definedName>
    <definedName function="false" hidden="false" name="TDepr___7" vbProcedure="false">#REF!</definedName>
    <definedName function="false" hidden="false" name="TD_CAPEX_ACTU2_PREVISION" vbProcedure="false">#REF!</definedName>
    <definedName function="false" hidden="false" name="TEBIAT" vbProcedure="false">#REF!</definedName>
    <definedName function="false" hidden="false" name="TEBIAT___0" vbProcedure="false">#REF!</definedName>
    <definedName function="false" hidden="false" name="TEBIAT___12" vbProcedure="false">#REF!</definedName>
    <definedName function="false" hidden="false" name="TEBIAT___14" vbProcedure="false">#REF!</definedName>
    <definedName function="false" hidden="false" name="TEBIAT___16" vbProcedure="false">#REF!</definedName>
    <definedName function="false" hidden="false" name="TEBIAT___2" vbProcedure="false">#REF!</definedName>
    <definedName function="false" hidden="false" name="TEBIAT___25" vbProcedure="false">#REF!</definedName>
    <definedName function="false" hidden="false" name="TEBIAT___26" vbProcedure="false">#REF!</definedName>
    <definedName function="false" hidden="false" name="TEBIAT___27" vbProcedure="false">#REF!</definedName>
    <definedName function="false" hidden="false" name="TEBIAT___4" vbProcedure="false">#REF!</definedName>
    <definedName function="false" hidden="false" name="TEBIAT___5" vbProcedure="false">#REF!</definedName>
    <definedName function="false" hidden="false" name="TEBIAT___7" vbProcedure="false">#REF!</definedName>
    <definedName function="false" hidden="false" name="TEBIT" vbProcedure="false">#REF!</definedName>
    <definedName function="false" hidden="false" name="TEBITAdj" vbProcedure="false">#REF!</definedName>
    <definedName function="false" hidden="false" name="TEBITAdj___0" vbProcedure="false">#REF!</definedName>
    <definedName function="false" hidden="false" name="TEBITAdj___12" vbProcedure="false">#REF!</definedName>
    <definedName function="false" hidden="false" name="TEBITAdj___14" vbProcedure="false">#REF!</definedName>
    <definedName function="false" hidden="false" name="TEBITAdj___16" vbProcedure="false">#REF!</definedName>
    <definedName function="false" hidden="false" name="TEBITAdj___2" vbProcedure="false">#REF!</definedName>
    <definedName function="false" hidden="false" name="TEBITAdj___25" vbProcedure="false">#REF!</definedName>
    <definedName function="false" hidden="false" name="TEBITAdj___26" vbProcedure="false">#REF!</definedName>
    <definedName function="false" hidden="false" name="TEBITAdj___27" vbProcedure="false">#REF!</definedName>
    <definedName function="false" hidden="false" name="TEBITAdj___4" vbProcedure="false">#REF!</definedName>
    <definedName function="false" hidden="false" name="TEBITAdj___5" vbProcedure="false">#REF!</definedName>
    <definedName function="false" hidden="false" name="TEBITAdj___7" vbProcedure="false">#REF!</definedName>
    <definedName function="false" hidden="false" name="TEBITDAAdj" vbProcedure="false">#REF!</definedName>
    <definedName function="false" hidden="false" name="TEBITDAAdj___0" vbProcedure="false">#REF!</definedName>
    <definedName function="false" hidden="false" name="TEBITDAAdj___12" vbProcedure="false">#REF!</definedName>
    <definedName function="false" hidden="false" name="TEBITDAAdj___14" vbProcedure="false">#REF!</definedName>
    <definedName function="false" hidden="false" name="TEBITDAAdj___16" vbProcedure="false">#REF!</definedName>
    <definedName function="false" hidden="false" name="TEBITDAAdj___2" vbProcedure="false">#REF!</definedName>
    <definedName function="false" hidden="false" name="TEBITDAAdj___25" vbProcedure="false">#REF!</definedName>
    <definedName function="false" hidden="false" name="TEBITDAAdj___26" vbProcedure="false">#REF!</definedName>
    <definedName function="false" hidden="false" name="TEBITDAAdj___27" vbProcedure="false">#REF!</definedName>
    <definedName function="false" hidden="false" name="TEBITDAAdj___4" vbProcedure="false">#REF!</definedName>
    <definedName function="false" hidden="false" name="TEBITDAAdj___5" vbProcedure="false">#REF!</definedName>
    <definedName function="false" hidden="false" name="TEBITDAAdj___7" vbProcedure="false">#REF!</definedName>
    <definedName function="false" hidden="false" name="TEBITDAMult" vbProcedure="false">#REF!</definedName>
    <definedName function="false" hidden="false" name="TEBITDAMult___0" vbProcedure="false">#REF!</definedName>
    <definedName function="false" hidden="false" name="TEBITDAMult___12" vbProcedure="false">#REF!</definedName>
    <definedName function="false" hidden="false" name="TEBITDAMult___14" vbProcedure="false">#REF!</definedName>
    <definedName function="false" hidden="false" name="TEBITDAMult___16" vbProcedure="false">#REF!</definedName>
    <definedName function="false" hidden="false" name="TEBITDAMult___2" vbProcedure="false">#REF!</definedName>
    <definedName function="false" hidden="false" name="TEBITDAMult___25" vbProcedure="false">#REF!</definedName>
    <definedName function="false" hidden="false" name="TEBITDAMult___26" vbProcedure="false">#REF!</definedName>
    <definedName function="false" hidden="false" name="TEBITDAMult___27" vbProcedure="false">#REF!</definedName>
    <definedName function="false" hidden="false" name="TEBITDAMult___4" vbProcedure="false">#REF!</definedName>
    <definedName function="false" hidden="false" name="TEBITDAMult___5" vbProcedure="false">#REF!</definedName>
    <definedName function="false" hidden="false" name="TEBITDAMult___7" vbProcedure="false">#REF!</definedName>
    <definedName function="false" hidden="false" name="TEBITMargin" vbProcedure="false">#REF!</definedName>
    <definedName function="false" hidden="false" name="TEBITMargin___0" vbProcedure="false">#REF!</definedName>
    <definedName function="false" hidden="false" name="TEBITMargin___12" vbProcedure="false">#REF!</definedName>
    <definedName function="false" hidden="false" name="TEBITMargin___14" vbProcedure="false">#REF!</definedName>
    <definedName function="false" hidden="false" name="TEBITMargin___16" vbProcedure="false">#REF!</definedName>
    <definedName function="false" hidden="false" name="TEBITMargin___2" vbProcedure="false">#REF!</definedName>
    <definedName function="false" hidden="false" name="TEBITMargin___25" vbProcedure="false">#REF!</definedName>
    <definedName function="false" hidden="false" name="TEBITMargin___26" vbProcedure="false">#REF!</definedName>
    <definedName function="false" hidden="false" name="TEBITMargin___27" vbProcedure="false">#REF!</definedName>
    <definedName function="false" hidden="false" name="TEBITMargin___4" vbProcedure="false">#REF!</definedName>
    <definedName function="false" hidden="false" name="TEBITMargin___5" vbProcedure="false">#REF!</definedName>
    <definedName function="false" hidden="false" name="TEBITMargin___7" vbProcedure="false">#REF!</definedName>
    <definedName function="false" hidden="false" name="TEBITMult" vbProcedure="false">#REF!</definedName>
    <definedName function="false" hidden="false" name="TEBITMult___0" vbProcedure="false">#REF!</definedName>
    <definedName function="false" hidden="false" name="TEBITMult___12" vbProcedure="false">#REF!</definedName>
    <definedName function="false" hidden="false" name="TEBITMult___14" vbProcedure="false">#REF!</definedName>
    <definedName function="false" hidden="false" name="TEBITMult___16" vbProcedure="false">#REF!</definedName>
    <definedName function="false" hidden="false" name="TEBITMult___2" vbProcedure="false">#REF!</definedName>
    <definedName function="false" hidden="false" name="TEBITMult___25" vbProcedure="false">#REF!</definedName>
    <definedName function="false" hidden="false" name="TEBITMult___26" vbProcedure="false">#REF!</definedName>
    <definedName function="false" hidden="false" name="TEBITMult___27" vbProcedure="false">#REF!</definedName>
    <definedName function="false" hidden="false" name="TEBITMult___4" vbProcedure="false">#REF!</definedName>
    <definedName function="false" hidden="false" name="TEBITMult___5" vbProcedure="false">#REF!</definedName>
    <definedName function="false" hidden="false" name="TEBITMult___7" vbProcedure="false">#REF!</definedName>
    <definedName function="false" hidden="false" name="TEBIT___0" vbProcedure="false">#REF!</definedName>
    <definedName function="false" hidden="false" name="TEBIT___12" vbProcedure="false">#REF!</definedName>
    <definedName function="false" hidden="false" name="TEBIT___14" vbProcedure="false">#REF!</definedName>
    <definedName function="false" hidden="false" name="TEBIT___16" vbProcedure="false">#REF!</definedName>
    <definedName function="false" hidden="false" name="TEBIT___2" vbProcedure="false">#REF!</definedName>
    <definedName function="false" hidden="false" name="TEBIT___25" vbProcedure="false">#REF!</definedName>
    <definedName function="false" hidden="false" name="TEBIT___26" vbProcedure="false">#REF!</definedName>
    <definedName function="false" hidden="false" name="TEBIT___27" vbProcedure="false">#REF!</definedName>
    <definedName function="false" hidden="false" name="TEBIT___4" vbProcedure="false">#REF!</definedName>
    <definedName function="false" hidden="false" name="TEBIT___5" vbProcedure="false">#REF!</definedName>
    <definedName function="false" hidden="false" name="TEBIT___7" vbProcedure="false">#REF!</definedName>
    <definedName function="false" hidden="false" name="Telco_GDP" vbProcedure="false">#REF!</definedName>
    <definedName function="false" hidden="false" name="Telco_GDP___0" vbProcedure="false">#REF!</definedName>
    <definedName function="false" hidden="false" name="Telco_GDP___12" vbProcedure="false">#REF!</definedName>
    <definedName function="false" hidden="false" name="Telco_GDP___14" vbProcedure="false">#REF!</definedName>
    <definedName function="false" hidden="false" name="Telco_GDP___16" vbProcedure="false">#REF!</definedName>
    <definedName function="false" hidden="false" name="Telco_GDP___2" vbProcedure="false">#REF!</definedName>
    <definedName function="false" hidden="false" name="Telco_GDP___25" vbProcedure="false">#REF!</definedName>
    <definedName function="false" hidden="false" name="Telco_GDP___26" vbProcedure="false">#REF!</definedName>
    <definedName function="false" hidden="false" name="Telco_GDP___27" vbProcedure="false">#REF!</definedName>
    <definedName function="false" hidden="false" name="Telco_GDP___4" vbProcedure="false">#REF!</definedName>
    <definedName function="false" hidden="false" name="Telco_GDP___5" vbProcedure="false">#REF!</definedName>
    <definedName function="false" hidden="false" name="Telco_GDP___7" vbProcedure="false">#REF!</definedName>
    <definedName function="false" hidden="false" name="TermDiscperiods" vbProcedure="false">#REF!</definedName>
    <definedName function="false" hidden="false" name="TermDiscperiods___0" vbProcedure="false">#REF!</definedName>
    <definedName function="false" hidden="false" name="TermDiscperiods___12" vbProcedure="false">#REF!</definedName>
    <definedName function="false" hidden="false" name="TermDiscperiods___14" vbProcedure="false">#REF!</definedName>
    <definedName function="false" hidden="false" name="TermDiscperiods___16" vbProcedure="false">#REF!</definedName>
    <definedName function="false" hidden="false" name="TermDiscperiods___2" vbProcedure="false">#REF!</definedName>
    <definedName function="false" hidden="false" name="TermDiscperiods___25" vbProcedure="false">#REF!</definedName>
    <definedName function="false" hidden="false" name="TermDiscperiods___26" vbProcedure="false">#REF!</definedName>
    <definedName function="false" hidden="false" name="TermDiscperiods___27" vbProcedure="false">#REF!</definedName>
    <definedName function="false" hidden="false" name="TermDiscperiods___4" vbProcedure="false">#REF!</definedName>
    <definedName function="false" hidden="false" name="TermDiscperiods___5" vbProcedure="false">#REF!</definedName>
    <definedName function="false" hidden="false" name="TermDiscperiods___7" vbProcedure="false">#REF!</definedName>
    <definedName function="false" hidden="false" name="TerminalWACC" vbProcedure="false">#REF!</definedName>
    <definedName function="false" hidden="false" name="TerminalWACC___0" vbProcedure="false">#REF!</definedName>
    <definedName function="false" hidden="false" name="TerminalWACC___12" vbProcedure="false">#REF!</definedName>
    <definedName function="false" hidden="false" name="TerminalWACC___14" vbProcedure="false">#REF!</definedName>
    <definedName function="false" hidden="false" name="TerminalWACC___16" vbProcedure="false">#REF!</definedName>
    <definedName function="false" hidden="false" name="TerminalWACC___2" vbProcedure="false">#REF!</definedName>
    <definedName function="false" hidden="false" name="TerminalWACC___25" vbProcedure="false">#REF!</definedName>
    <definedName function="false" hidden="false" name="TerminalWACC___26" vbProcedure="false">#REF!</definedName>
    <definedName function="false" hidden="false" name="TerminalWACC___27" vbProcedure="false">#REF!</definedName>
    <definedName function="false" hidden="false" name="TerminalWACC___4" vbProcedure="false">#REF!</definedName>
    <definedName function="false" hidden="false" name="TerminalWACC___5" vbProcedure="false">#REF!</definedName>
    <definedName function="false" hidden="false" name="TerminalWACC___7" vbProcedure="false">#REF!</definedName>
    <definedName function="false" hidden="false" name="test" vbProcedure="false">{#N/A,#N/A,FALSE,"F_Plan";#N/A,#N/A,FALSE,"Parameter"}</definedName>
    <definedName function="false" hidden="false" name="TEST0" vbProcedure="false">#REF!</definedName>
    <definedName function="false" hidden="false" name="test1" vbProcedure="false">{#N/A,#N/A,FALSE,"Umsatz";#N/A,#N/A,FALSE,"Base V.02";#N/A,#N/A,FALSE,"Charts"}</definedName>
    <definedName function="false" hidden="false" name="test2" vbProcedure="false">{#N/A,#N/A,FALSE,"F_Plan";#N/A,#N/A,FALSE,"Parameter"}</definedName>
    <definedName function="false" hidden="false" name="TEST3" vbProcedure="false">#REF!</definedName>
    <definedName function="false" hidden="false" name="test4" vbProcedure="false">{#N/A,#N/A,FALSE,"F_Plan";#N/A,#N/A,FALSE,"Parameter"}</definedName>
    <definedName function="false" hidden="false" name="TestAdd" vbProcedure="false">"Test RefersTo1"</definedName>
    <definedName function="false" hidden="false" name="teste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s" vbProcedure="false">{#N/A,#N/A,FALSE,"F_Plan";#N/A,#N/A,FALSE,"Parameter"}</definedName>
    <definedName function="false" hidden="false" name="TESTVKEY" vbProcedure="false">#REF!</definedName>
    <definedName function="false" hidden="false" name="Test_Equipment_Markup" vbProcedure="false">#REF!</definedName>
    <definedName function="false" hidden="false" name="tete" vbProcedure="false">#REF!</definedName>
    <definedName function="false" hidden="false" name="TextRefCopyRangeCount" vbProcedure="false">1</definedName>
    <definedName function="false" hidden="false" name="TFCF" vbProcedure="false">#REF!</definedName>
    <definedName function="false" hidden="false" name="TFCFColumn" vbProcedure="false">#REF!</definedName>
    <definedName function="false" hidden="false" name="TFCFColumn___0" vbProcedure="false">#REF!</definedName>
    <definedName function="false" hidden="false" name="TFCFColumn___12" vbProcedure="false">#REF!</definedName>
    <definedName function="false" hidden="false" name="TFCFColumn___14" vbProcedure="false">#REF!</definedName>
    <definedName function="false" hidden="false" name="TFCFColumn___16" vbProcedure="false">#REF!</definedName>
    <definedName function="false" hidden="false" name="TFCFColumn___2" vbProcedure="false">#REF!</definedName>
    <definedName function="false" hidden="false" name="TFCFColumn___25" vbProcedure="false">#REF!</definedName>
    <definedName function="false" hidden="false" name="TFCFColumn___26" vbProcedure="false">#REF!</definedName>
    <definedName function="false" hidden="false" name="TFCFColumn___27" vbProcedure="false">#REF!</definedName>
    <definedName function="false" hidden="false" name="TFCFColumn___4" vbProcedure="false">#REF!</definedName>
    <definedName function="false" hidden="false" name="TFCFColumn___5" vbProcedure="false">#REF!</definedName>
    <definedName function="false" hidden="false" name="TFCFColumn___7" vbProcedure="false">#REF!</definedName>
    <definedName function="false" hidden="false" name="TFCF___0" vbProcedure="false">#REF!</definedName>
    <definedName function="false" hidden="false" name="TFCF___12" vbProcedure="false">#REF!</definedName>
    <definedName function="false" hidden="false" name="TFCF___14" vbProcedure="false">#REF!</definedName>
    <definedName function="false" hidden="false" name="TFCF___16" vbProcedure="false">#REF!</definedName>
    <definedName function="false" hidden="false" name="TFCF___2" vbProcedure="false">#REF!</definedName>
    <definedName function="false" hidden="false" name="TFCF___25" vbProcedure="false">#REF!</definedName>
    <definedName function="false" hidden="false" name="TFCF___26" vbProcedure="false">#REF!</definedName>
    <definedName function="false" hidden="false" name="TFCF___27" vbProcedure="false">#REF!</definedName>
    <definedName function="false" hidden="false" name="TFCF___4" vbProcedure="false">#REF!</definedName>
    <definedName function="false" hidden="false" name="TFCF___5" vbProcedure="false">#REF!</definedName>
    <definedName function="false" hidden="false" name="TFCF___7" vbProcedure="false">#REF!</definedName>
    <definedName function="false" hidden="false" name="TFirstProjDate" vbProcedure="false">#REF!</definedName>
    <definedName function="false" hidden="false" name="TFirstProjDateDays" vbProcedure="false">#REF!</definedName>
    <definedName function="false" hidden="false" name="TFirstProjDateDays___0" vbProcedure="false">#REF!</definedName>
    <definedName function="false" hidden="false" name="TFirstProjDateDays___12" vbProcedure="false">#REF!</definedName>
    <definedName function="false" hidden="false" name="TFirstProjDateDays___14" vbProcedure="false">#REF!</definedName>
    <definedName function="false" hidden="false" name="TFirstProjDateDays___16" vbProcedure="false">#REF!</definedName>
    <definedName function="false" hidden="false" name="TFirstProjDateDays___2" vbProcedure="false">#REF!</definedName>
    <definedName function="false" hidden="false" name="TFirstProjDateDays___25" vbProcedure="false">#REF!</definedName>
    <definedName function="false" hidden="false" name="TFirstProjDateDays___26" vbProcedure="false">#REF!</definedName>
    <definedName function="false" hidden="false" name="TFirstProjDateDays___27" vbProcedure="false">#REF!</definedName>
    <definedName function="false" hidden="false" name="TFirstProjDateDays___4" vbProcedure="false">#REF!</definedName>
    <definedName function="false" hidden="false" name="TFirstProjDateDays___5" vbProcedure="false">#REF!</definedName>
    <definedName function="false" hidden="false" name="TFirstProjDateDays___7" vbProcedure="false">#REF!</definedName>
    <definedName function="false" hidden="false" name="TFirstProjDate___0" vbProcedure="false">#REF!</definedName>
    <definedName function="false" hidden="false" name="TFirstProjDate___12" vbProcedure="false">#REF!</definedName>
    <definedName function="false" hidden="false" name="TFirstProjDate___14" vbProcedure="false">#REF!</definedName>
    <definedName function="false" hidden="false" name="TFirstProjDate___16" vbProcedure="false">#REF!</definedName>
    <definedName function="false" hidden="false" name="TFirstProjDate___2" vbProcedure="false">#REF!</definedName>
    <definedName function="false" hidden="false" name="TFirstProjDate___25" vbProcedure="false">#REF!</definedName>
    <definedName function="false" hidden="false" name="TFirstProjDate___26" vbProcedure="false">#REF!</definedName>
    <definedName function="false" hidden="false" name="TFirstProjDate___27" vbProcedure="false">#REF!</definedName>
    <definedName function="false" hidden="false" name="TFirstProjDate___4" vbProcedure="false">#REF!</definedName>
    <definedName function="false" hidden="false" name="TFirstProjDate___5" vbProcedure="false">#REF!</definedName>
    <definedName function="false" hidden="false" name="TFirstProjDate___7" vbProcedure="false">#REF!</definedName>
    <definedName function="false" hidden="false" name="TG" vbProcedure="false">#REF!</definedName>
    <definedName function="false" hidden="false" name="THB" vbProcedure="false">#REF!</definedName>
    <definedName function="false" hidden="false" name="Theme_Week_Mov" vbProcedure="false">#REF!</definedName>
    <definedName function="false" hidden="false" name="TIEEQ" vbProcedure="false">#REF!</definedName>
    <definedName function="false" hidden="false" name="TITLES" vbProcedure="false">#N/A</definedName>
    <definedName function="false" hidden="false" name="Titles2" vbProcedure="false">"a59:a67"</definedName>
    <definedName function="false" hidden="false" name="titres" vbProcedure="false">#REF!</definedName>
    <definedName function="false" hidden="false" name="tkprtkt" vbProcedure="false">#REF!</definedName>
    <definedName function="false" hidden="false" name="TLiabPct" vbProcedure="false">#REF!</definedName>
    <definedName function="false" hidden="false" name="TLiabPct___0" vbProcedure="false">#REF!</definedName>
    <definedName function="false" hidden="false" name="TLiabPct___12" vbProcedure="false">#REF!</definedName>
    <definedName function="false" hidden="false" name="TLiabPct___14" vbProcedure="false">#REF!</definedName>
    <definedName function="false" hidden="false" name="TLiabPct___16" vbProcedure="false">#REF!</definedName>
    <definedName function="false" hidden="false" name="TLiabPct___2" vbProcedure="false">#REF!</definedName>
    <definedName function="false" hidden="false" name="TLiabPct___25" vbProcedure="false">#REF!</definedName>
    <definedName function="false" hidden="false" name="TLiabPct___26" vbProcedure="false">#REF!</definedName>
    <definedName function="false" hidden="false" name="TLiabPct___27" vbProcedure="false">#REF!</definedName>
    <definedName function="false" hidden="false" name="TLiabPct___4" vbProcedure="false">#REF!</definedName>
    <definedName function="false" hidden="false" name="TLiabPct___5" vbProcedure="false">#REF!</definedName>
    <definedName function="false" hidden="false" name="TLiabPct___7" vbProcedure="false">#REF!</definedName>
    <definedName function="false" hidden="false" name="TLiabs" vbProcedure="false">#REF!</definedName>
    <definedName function="false" hidden="false" name="TLiabs___0" vbProcedure="false">#REF!</definedName>
    <definedName function="false" hidden="false" name="TLiabs___12" vbProcedure="false">#REF!</definedName>
    <definedName function="false" hidden="false" name="TLiabs___14" vbProcedure="false">#REF!</definedName>
    <definedName function="false" hidden="false" name="TLiabs___16" vbProcedure="false">#REF!</definedName>
    <definedName function="false" hidden="false" name="TLiabs___2" vbProcedure="false">#REF!</definedName>
    <definedName function="false" hidden="false" name="TLiabs___25" vbProcedure="false">#REF!</definedName>
    <definedName function="false" hidden="false" name="TLiabs___26" vbProcedure="false">#REF!</definedName>
    <definedName function="false" hidden="false" name="TLiabs___27" vbProcedure="false">#REF!</definedName>
    <definedName function="false" hidden="false" name="TLiabs___4" vbProcedure="false">#REF!</definedName>
    <definedName function="false" hidden="false" name="TLiabs___5" vbProcedure="false">#REF!</definedName>
    <definedName function="false" hidden="false" name="TLiabs___7" vbProcedure="false">#REF!</definedName>
    <definedName function="false" hidden="false" name="Tmarrakech" vbProcedure="false">#REF!</definedName>
    <definedName function="false" hidden="false" name="Tmeknes" vbProcedure="false">#REF!</definedName>
    <definedName function="false" hidden="false" name="TNPPESales" vbProcedure="false">#REF!</definedName>
    <definedName function="false" hidden="false" name="TNPPESales___0" vbProcedure="false">#REF!</definedName>
    <definedName function="false" hidden="false" name="TNPPESales___12" vbProcedure="false">#REF!</definedName>
    <definedName function="false" hidden="false" name="TNPPESales___14" vbProcedure="false">#REF!</definedName>
    <definedName function="false" hidden="false" name="TNPPESales___16" vbProcedure="false">#REF!</definedName>
    <definedName function="false" hidden="false" name="TNPPESales___2" vbProcedure="false">#REF!</definedName>
    <definedName function="false" hidden="false" name="TNPPESales___25" vbProcedure="false">#REF!</definedName>
    <definedName function="false" hidden="false" name="TNPPESales___26" vbProcedure="false">#REF!</definedName>
    <definedName function="false" hidden="false" name="TNPPESales___27" vbProcedure="false">#REF!</definedName>
    <definedName function="false" hidden="false" name="TNPPESales___4" vbProcedure="false">#REF!</definedName>
    <definedName function="false" hidden="false" name="TNPPESales___5" vbProcedure="false">#REF!</definedName>
    <definedName function="false" hidden="false" name="TNPPESales___7" vbProcedure="false">#REF!</definedName>
    <definedName function="false" hidden="false" name="TNWIPct" vbProcedure="false">#REF!</definedName>
    <definedName function="false" hidden="false" name="TNWIPct___0" vbProcedure="false">#REF!</definedName>
    <definedName function="false" hidden="false" name="TNWIPct___12" vbProcedure="false">#REF!</definedName>
    <definedName function="false" hidden="false" name="TNWIPct___14" vbProcedure="false">#REF!</definedName>
    <definedName function="false" hidden="false" name="TNWIPct___16" vbProcedure="false">#REF!</definedName>
    <definedName function="false" hidden="false" name="TNWIPct___2" vbProcedure="false">#REF!</definedName>
    <definedName function="false" hidden="false" name="TNWIPct___25" vbProcedure="false">#REF!</definedName>
    <definedName function="false" hidden="false" name="TNWIPct___26" vbProcedure="false">#REF!</definedName>
    <definedName function="false" hidden="false" name="TNWIPct___27" vbProcedure="false">#REF!</definedName>
    <definedName function="false" hidden="false" name="TNWIPct___4" vbProcedure="false">#REF!</definedName>
    <definedName function="false" hidden="false" name="TNWIPct___5" vbProcedure="false">#REF!</definedName>
    <definedName function="false" hidden="false" name="TNWIPct___7" vbProcedure="false">#REF!</definedName>
    <definedName function="false" hidden="false" name="TokyoIndFactor" vbProcedure="false">#REF!</definedName>
    <definedName function="false" hidden="false" name="TokyoIndFactor___0" vbProcedure="false">#REF!</definedName>
    <definedName function="false" hidden="false" name="TokyoIndFactor___12" vbProcedure="false">#REF!</definedName>
    <definedName function="false" hidden="false" name="TokyoIndFactor___14" vbProcedure="false">#REF!</definedName>
    <definedName function="false" hidden="false" name="TokyoIndFactor___16" vbProcedure="false">#REF!</definedName>
    <definedName function="false" hidden="false" name="TokyoIndFactor___2" vbProcedure="false">#REF!</definedName>
    <definedName function="false" hidden="false" name="TokyoIndFactor___25" vbProcedure="false">#REF!</definedName>
    <definedName function="false" hidden="false" name="TokyoIndFactor___26" vbProcedure="false">#REF!</definedName>
    <definedName function="false" hidden="false" name="TokyoIndFactor___27" vbProcedure="false">#REF!</definedName>
    <definedName function="false" hidden="false" name="TokyoIndFactor___4" vbProcedure="false">#REF!</definedName>
    <definedName function="false" hidden="false" name="TokyoIndFactor___5" vbProcedure="false">#REF!</definedName>
    <definedName function="false" hidden="false" name="TokyoIndFactor___7" vbProcedure="false">#REF!</definedName>
    <definedName function="false" hidden="false" name="TOperProfitAdj" vbProcedure="false">#REF!</definedName>
    <definedName function="false" hidden="false" name="TOperProfitAdj___0" vbProcedure="false">#REF!</definedName>
    <definedName function="false" hidden="false" name="TOperProfitAdj___12" vbProcedure="false">#REF!</definedName>
    <definedName function="false" hidden="false" name="TOperProfitAdj___14" vbProcedure="false">#REF!</definedName>
    <definedName function="false" hidden="false" name="TOperProfitAdj___16" vbProcedure="false">#REF!</definedName>
    <definedName function="false" hidden="false" name="TOperProfitAdj___2" vbProcedure="false">#REF!</definedName>
    <definedName function="false" hidden="false" name="TOperProfitAdj___25" vbProcedure="false">#REF!</definedName>
    <definedName function="false" hidden="false" name="TOperProfitAdj___26" vbProcedure="false">#REF!</definedName>
    <definedName function="false" hidden="false" name="TOperProfitAdj___27" vbProcedure="false">#REF!</definedName>
    <definedName function="false" hidden="false" name="TOperProfitAdj___4" vbProcedure="false">#REF!</definedName>
    <definedName function="false" hidden="false" name="TOperProfitAdj___5" vbProcedure="false">#REF!</definedName>
    <definedName function="false" hidden="false" name="TOperProfitAdj___7" vbProcedure="false">#REF!</definedName>
    <definedName function="false" hidden="false" name="TOPMult" vbProcedure="false">#REF!</definedName>
    <definedName function="false" hidden="false" name="TOPMult___0" vbProcedure="false">#REF!</definedName>
    <definedName function="false" hidden="false" name="TOPMult___12" vbProcedure="false">#REF!</definedName>
    <definedName function="false" hidden="false" name="TOPMult___14" vbProcedure="false">#REF!</definedName>
    <definedName function="false" hidden="false" name="TOPMult___16" vbProcedure="false">#REF!</definedName>
    <definedName function="false" hidden="false" name="TOPMult___2" vbProcedure="false">#REF!</definedName>
    <definedName function="false" hidden="false" name="TOPMult___25" vbProcedure="false">#REF!</definedName>
    <definedName function="false" hidden="false" name="TOPMult___26" vbProcedure="false">#REF!</definedName>
    <definedName function="false" hidden="false" name="TOPMult___27" vbProcedure="false">#REF!</definedName>
    <definedName function="false" hidden="false" name="TOPMult___4" vbProcedure="false">#REF!</definedName>
    <definedName function="false" hidden="false" name="TOPMult___5" vbProcedure="false">#REF!</definedName>
    <definedName function="false" hidden="false" name="TOPMult___7" vbProcedure="false">#REF!</definedName>
    <definedName function="false" hidden="false" name="TOTAL" vbProcedure="false">#REF!</definedName>
    <definedName function="false" hidden="false" name="totalvalue" vbProcedure="false">#REF!</definedName>
    <definedName function="false" hidden="false" name="TOTAL___12" vbProcedure="false">#REF!</definedName>
    <definedName function="false" hidden="false" name="TOther1" vbProcedure="false">#REF!</definedName>
    <definedName function="false" hidden="false" name="TOther1Adj" vbProcedure="false">#REF!</definedName>
    <definedName function="false" hidden="false" name="TOther1Adj___0" vbProcedure="false">#REF!</definedName>
    <definedName function="false" hidden="false" name="TOther1Adj___12" vbProcedure="false">#REF!</definedName>
    <definedName function="false" hidden="false" name="TOther1Adj___14" vbProcedure="false">#REF!</definedName>
    <definedName function="false" hidden="false" name="TOther1Adj___16" vbProcedure="false">#REF!</definedName>
    <definedName function="false" hidden="false" name="TOther1Adj___2" vbProcedure="false">#REF!</definedName>
    <definedName function="false" hidden="false" name="TOther1Adj___25" vbProcedure="false">#REF!</definedName>
    <definedName function="false" hidden="false" name="TOther1Adj___26" vbProcedure="false">#REF!</definedName>
    <definedName function="false" hidden="false" name="TOther1Adj___27" vbProcedure="false">#REF!</definedName>
    <definedName function="false" hidden="false" name="TOther1Adj___4" vbProcedure="false">#REF!</definedName>
    <definedName function="false" hidden="false" name="TOther1Adj___5" vbProcedure="false">#REF!</definedName>
    <definedName function="false" hidden="false" name="TOther1Adj___7" vbProcedure="false">#REF!</definedName>
    <definedName function="false" hidden="false" name="TOther1Mult" vbProcedure="false">#REF!</definedName>
    <definedName function="false" hidden="false" name="TOther1Mult___0" vbProcedure="false">#REF!</definedName>
    <definedName function="false" hidden="false" name="TOther1Mult___12" vbProcedure="false">#REF!</definedName>
    <definedName function="false" hidden="false" name="TOther1Mult___14" vbProcedure="false">#REF!</definedName>
    <definedName function="false" hidden="false" name="TOther1Mult___16" vbProcedure="false">#REF!</definedName>
    <definedName function="false" hidden="false" name="TOther1Mult___2" vbProcedure="false">#REF!</definedName>
    <definedName function="false" hidden="false" name="TOther1Mult___25" vbProcedure="false">#REF!</definedName>
    <definedName function="false" hidden="false" name="TOther1Mult___26" vbProcedure="false">#REF!</definedName>
    <definedName function="false" hidden="false" name="TOther1Mult___27" vbProcedure="false">#REF!</definedName>
    <definedName function="false" hidden="false" name="TOther1Mult___4" vbProcedure="false">#REF!</definedName>
    <definedName function="false" hidden="false" name="TOther1Mult___5" vbProcedure="false">#REF!</definedName>
    <definedName function="false" hidden="false" name="TOther1Mult___7" vbProcedure="false">#REF!</definedName>
    <definedName function="false" hidden="false" name="TOther1Pct" vbProcedure="false">#REF!</definedName>
    <definedName function="false" hidden="false" name="TOther1Pct___0" vbProcedure="false">#REF!</definedName>
    <definedName function="false" hidden="false" name="TOther1Pct___12" vbProcedure="false">#REF!</definedName>
    <definedName function="false" hidden="false" name="TOther1Pct___14" vbProcedure="false">#REF!</definedName>
    <definedName function="false" hidden="false" name="TOther1Pct___16" vbProcedure="false">#REF!</definedName>
    <definedName function="false" hidden="false" name="TOther1Pct___2" vbProcedure="false">#REF!</definedName>
    <definedName function="false" hidden="false" name="TOther1Pct___25" vbProcedure="false">#REF!</definedName>
    <definedName function="false" hidden="false" name="TOther1Pct___26" vbProcedure="false">#REF!</definedName>
    <definedName function="false" hidden="false" name="TOther1Pct___27" vbProcedure="false">#REF!</definedName>
    <definedName function="false" hidden="false" name="TOther1Pct___4" vbProcedure="false">#REF!</definedName>
    <definedName function="false" hidden="false" name="TOther1Pct___5" vbProcedure="false">#REF!</definedName>
    <definedName function="false" hidden="false" name="TOther1Pct___7" vbProcedure="false">#REF!</definedName>
    <definedName function="false" hidden="false" name="TOther1___0" vbProcedure="false">#REF!</definedName>
    <definedName function="false" hidden="false" name="TOther1___12" vbProcedure="false">#REF!</definedName>
    <definedName function="false" hidden="false" name="TOther1___14" vbProcedure="false">#REF!</definedName>
    <definedName function="false" hidden="false" name="TOther1___16" vbProcedure="false">#REF!</definedName>
    <definedName function="false" hidden="false" name="TOther1___2" vbProcedure="false">#REF!</definedName>
    <definedName function="false" hidden="false" name="TOther1___25" vbProcedure="false">#REF!</definedName>
    <definedName function="false" hidden="false" name="TOther1___26" vbProcedure="false">#REF!</definedName>
    <definedName function="false" hidden="false" name="TOther1___27" vbProcedure="false">#REF!</definedName>
    <definedName function="false" hidden="false" name="TOther1___4" vbProcedure="false">#REF!</definedName>
    <definedName function="false" hidden="false" name="TOther1___5" vbProcedure="false">#REF!</definedName>
    <definedName function="false" hidden="false" name="TOther1___7" vbProcedure="false">#REF!</definedName>
    <definedName function="false" hidden="false" name="TOther2" vbProcedure="false">#REF!</definedName>
    <definedName function="false" hidden="false" name="TOther2Adj" vbProcedure="false">#REF!</definedName>
    <definedName function="false" hidden="false" name="TOther2Adj___0" vbProcedure="false">#REF!</definedName>
    <definedName function="false" hidden="false" name="TOther2Adj___12" vbProcedure="false">#REF!</definedName>
    <definedName function="false" hidden="false" name="TOther2Adj___14" vbProcedure="false">#REF!</definedName>
    <definedName function="false" hidden="false" name="TOther2Adj___16" vbProcedure="false">#REF!</definedName>
    <definedName function="false" hidden="false" name="TOther2Adj___2" vbProcedure="false">#REF!</definedName>
    <definedName function="false" hidden="false" name="TOther2Adj___25" vbProcedure="false">#REF!</definedName>
    <definedName function="false" hidden="false" name="TOther2Adj___26" vbProcedure="false">#REF!</definedName>
    <definedName function="false" hidden="false" name="TOther2Adj___27" vbProcedure="false">#REF!</definedName>
    <definedName function="false" hidden="false" name="TOther2Adj___4" vbProcedure="false">#REF!</definedName>
    <definedName function="false" hidden="false" name="TOther2Adj___5" vbProcedure="false">#REF!</definedName>
    <definedName function="false" hidden="false" name="TOther2Adj___7" vbProcedure="false">#REF!</definedName>
    <definedName function="false" hidden="false" name="TOther2Mult" vbProcedure="false">#REF!</definedName>
    <definedName function="false" hidden="false" name="TOther2Mult___0" vbProcedure="false">#REF!</definedName>
    <definedName function="false" hidden="false" name="TOther2Mult___12" vbProcedure="false">#REF!</definedName>
    <definedName function="false" hidden="false" name="TOther2Mult___14" vbProcedure="false">#REF!</definedName>
    <definedName function="false" hidden="false" name="TOther2Mult___16" vbProcedure="false">#REF!</definedName>
    <definedName function="false" hidden="false" name="TOther2Mult___2" vbProcedure="false">#REF!</definedName>
    <definedName function="false" hidden="false" name="TOther2Mult___25" vbProcedure="false">#REF!</definedName>
    <definedName function="false" hidden="false" name="TOther2Mult___26" vbProcedure="false">#REF!</definedName>
    <definedName function="false" hidden="false" name="TOther2Mult___27" vbProcedure="false">#REF!</definedName>
    <definedName function="false" hidden="false" name="TOther2Mult___4" vbProcedure="false">#REF!</definedName>
    <definedName function="false" hidden="false" name="TOther2Mult___5" vbProcedure="false">#REF!</definedName>
    <definedName function="false" hidden="false" name="TOther2Mult___7" vbProcedure="false">#REF!</definedName>
    <definedName function="false" hidden="false" name="TOther2Pct" vbProcedure="false">#REF!</definedName>
    <definedName function="false" hidden="false" name="TOther2Pct___0" vbProcedure="false">#REF!</definedName>
    <definedName function="false" hidden="false" name="TOther2Pct___12" vbProcedure="false">#REF!</definedName>
    <definedName function="false" hidden="false" name="TOther2Pct___14" vbProcedure="false">#REF!</definedName>
    <definedName function="false" hidden="false" name="TOther2Pct___16" vbProcedure="false">#REF!</definedName>
    <definedName function="false" hidden="false" name="TOther2Pct___2" vbProcedure="false">#REF!</definedName>
    <definedName function="false" hidden="false" name="TOther2Pct___25" vbProcedure="false">#REF!</definedName>
    <definedName function="false" hidden="false" name="TOther2Pct___26" vbProcedure="false">#REF!</definedName>
    <definedName function="false" hidden="false" name="TOther2Pct___27" vbProcedure="false">#REF!</definedName>
    <definedName function="false" hidden="false" name="TOther2Pct___4" vbProcedure="false">#REF!</definedName>
    <definedName function="false" hidden="false" name="TOther2Pct___5" vbProcedure="false">#REF!</definedName>
    <definedName function="false" hidden="false" name="TOther2Pct___7" vbProcedure="false">#REF!</definedName>
    <definedName function="false" hidden="false" name="TOther2___0" vbProcedure="false">#REF!</definedName>
    <definedName function="false" hidden="false" name="TOther2___12" vbProcedure="false">#REF!</definedName>
    <definedName function="false" hidden="false" name="TOther2___14" vbProcedure="false">#REF!</definedName>
    <definedName function="false" hidden="false" name="TOther2___16" vbProcedure="false">#REF!</definedName>
    <definedName function="false" hidden="false" name="TOther2___2" vbProcedure="false">#REF!</definedName>
    <definedName function="false" hidden="false" name="TOther2___25" vbProcedure="false">#REF!</definedName>
    <definedName function="false" hidden="false" name="TOther2___26" vbProcedure="false">#REF!</definedName>
    <definedName function="false" hidden="false" name="TOther2___27" vbProcedure="false">#REF!</definedName>
    <definedName function="false" hidden="false" name="TOther2___4" vbProcedure="false">#REF!</definedName>
    <definedName function="false" hidden="false" name="TOther2___5" vbProcedure="false">#REF!</definedName>
    <definedName function="false" hidden="false" name="TOther2___7" vbProcedure="false">#REF!</definedName>
    <definedName function="false" hidden="false" name="TOther3Adj" vbProcedure="false">#REF!</definedName>
    <definedName function="false" hidden="false" name="TOther3Adj___0" vbProcedure="false">#REF!</definedName>
    <definedName function="false" hidden="false" name="TOther3Adj___12" vbProcedure="false">#REF!</definedName>
    <definedName function="false" hidden="false" name="TOther3Adj___14" vbProcedure="false">#REF!</definedName>
    <definedName function="false" hidden="false" name="TOther3Adj___16" vbProcedure="false">#REF!</definedName>
    <definedName function="false" hidden="false" name="TOther3Adj___2" vbProcedure="false">#REF!</definedName>
    <definedName function="false" hidden="false" name="TOther3Adj___25" vbProcedure="false">#REF!</definedName>
    <definedName function="false" hidden="false" name="TOther3Adj___26" vbProcedure="false">#REF!</definedName>
    <definedName function="false" hidden="false" name="TOther3Adj___27" vbProcedure="false">#REF!</definedName>
    <definedName function="false" hidden="false" name="TOther3Adj___4" vbProcedure="false">#REF!</definedName>
    <definedName function="false" hidden="false" name="TOther3Adj___5" vbProcedure="false">#REF!</definedName>
    <definedName function="false" hidden="false" name="TOther3Adj___7" vbProcedure="false">#REF!</definedName>
    <definedName function="false" hidden="false" name="TOther3Mult" vbProcedure="false">#REF!</definedName>
    <definedName function="false" hidden="false" name="TOther3Mult___0" vbProcedure="false">#REF!</definedName>
    <definedName function="false" hidden="false" name="TOther3Mult___12" vbProcedure="false">#REF!</definedName>
    <definedName function="false" hidden="false" name="TOther3Mult___14" vbProcedure="false">#REF!</definedName>
    <definedName function="false" hidden="false" name="TOther3Mult___16" vbProcedure="false">#REF!</definedName>
    <definedName function="false" hidden="false" name="TOther3Mult___2" vbProcedure="false">#REF!</definedName>
    <definedName function="false" hidden="false" name="TOther3Mult___25" vbProcedure="false">#REF!</definedName>
    <definedName function="false" hidden="false" name="TOther3Mult___26" vbProcedure="false">#REF!</definedName>
    <definedName function="false" hidden="false" name="TOther3Mult___27" vbProcedure="false">#REF!</definedName>
    <definedName function="false" hidden="false" name="TOther3Mult___4" vbProcedure="false">#REF!</definedName>
    <definedName function="false" hidden="false" name="TOther3Mult___5" vbProcedure="false">#REF!</definedName>
    <definedName function="false" hidden="false" name="TOther3Mult___7" vbProcedure="false">#REF!</definedName>
    <definedName function="false" hidden="false" name="TOTMOT" vbProcedure="false">#REF!</definedName>
    <definedName function="false" hidden="false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TPPESalesPct" vbProcedure="false">#REF!</definedName>
    <definedName function="false" hidden="false" name="TPPESalesPct___0" vbProcedure="false">#REF!</definedName>
    <definedName function="false" hidden="false" name="TPPESalesPct___12" vbProcedure="false">#REF!</definedName>
    <definedName function="false" hidden="false" name="TPPESalesPct___14" vbProcedure="false">#REF!</definedName>
    <definedName function="false" hidden="false" name="TPPESalesPct___16" vbProcedure="false">#REF!</definedName>
    <definedName function="false" hidden="false" name="TPPESalesPct___2" vbProcedure="false">#REF!</definedName>
    <definedName function="false" hidden="false" name="TPPESalesPct___25" vbProcedure="false">#REF!</definedName>
    <definedName function="false" hidden="false" name="TPPESalesPct___26" vbProcedure="false">#REF!</definedName>
    <definedName function="false" hidden="false" name="TPPESalesPct___27" vbProcedure="false">#REF!</definedName>
    <definedName function="false" hidden="false" name="TPPESalesPct___4" vbProcedure="false">#REF!</definedName>
    <definedName function="false" hidden="false" name="TPPESalesPct___5" vbProcedure="false">#REF!</definedName>
    <definedName function="false" hidden="false" name="TPPESalesPct___7" vbProcedure="false">#REF!</definedName>
    <definedName function="false" hidden="false" name="TProvisions" vbProcedure="false">#REF!</definedName>
    <definedName function="false" hidden="false" name="TProvisions___0" vbProcedure="false">#REF!</definedName>
    <definedName function="false" hidden="false" name="TProvisions___12" vbProcedure="false">#REF!</definedName>
    <definedName function="false" hidden="false" name="TProvisions___14" vbProcedure="false">#REF!</definedName>
    <definedName function="false" hidden="false" name="TProvisions___16" vbProcedure="false">#REF!</definedName>
    <definedName function="false" hidden="false" name="TProvisions___2" vbProcedure="false">#REF!</definedName>
    <definedName function="false" hidden="false" name="TProvisions___25" vbProcedure="false">#REF!</definedName>
    <definedName function="false" hidden="false" name="TProvisions___26" vbProcedure="false">#REF!</definedName>
    <definedName function="false" hidden="false" name="TProvisions___27" vbProcedure="false">#REF!</definedName>
    <definedName function="false" hidden="false" name="TProvisions___4" vbProcedure="false">#REF!</definedName>
    <definedName function="false" hidden="false" name="TProvisions___5" vbProcedure="false">#REF!</definedName>
    <definedName function="false" hidden="false" name="TProvisions___7" vbProcedure="false">#REF!</definedName>
    <definedName function="false" hidden="false" name="TP_CAPEX_ACTU2_PREVISION" vbProcedure="false">#REF!</definedName>
    <definedName function="false" hidden="false" name="tr" vbProcedure="false">#N/A</definedName>
    <definedName function="false" hidden="false" name="Trabat" vbProcedure="false">#REF!</definedName>
    <definedName function="false" hidden="false" name="traficinterur" vbProcedure="false">#REF!</definedName>
    <definedName function="false" hidden="false" name="traficinterur___0" vbProcedure="false">#REF!</definedName>
    <definedName function="false" hidden="false" name="traficinterur___14" vbProcedure="false">#REF!</definedName>
    <definedName function="false" hidden="false" name="tralocintur" vbProcedure="false">#REF!</definedName>
    <definedName function="false" hidden="false" name="tralocintur___0" vbProcedure="false">#REF!</definedName>
    <definedName function="false" hidden="false" name="tralocintur___12" vbProcedure="false">#REF!</definedName>
    <definedName function="false" hidden="false" name="TREAS" vbProcedure="false">#REF!</definedName>
    <definedName function="false" hidden="false" name="TRESORERIE_REGIONALE" vbProcedure="false">#REF!</definedName>
    <definedName function="false" hidden="false" name="TRESORERIE_REGIONALE___0" vbProcedure="false">#REF!</definedName>
    <definedName function="false" hidden="false" name="TRESORERIE_REGIONALE___12" vbProcedure="false">#REF!</definedName>
    <definedName function="false" hidden="false" name="trf_des" vbProcedure="false">#REF!</definedName>
    <definedName function="false" hidden="false" name="tri" vbProcedure="false">#N/A</definedName>
    <definedName function="false" hidden="false" name="trim" vbProcedure="false">#REF!</definedName>
    <definedName function="false" hidden="false" name="trim2" vbProcedure="false">#REF!</definedName>
    <definedName function="false" hidden="false" name="trim2___0" vbProcedure="false">#REF!</definedName>
    <definedName function="false" hidden="false" name="trim2___12" vbProcedure="false">#REF!</definedName>
    <definedName function="false" hidden="false" name="trim___0" vbProcedure="false">#REF!</definedName>
    <definedName function="false" hidden="false" name="trim___14" vbProcedure="false">#REF!</definedName>
    <definedName function="false" hidden="false" name="trim___26" vbProcedure="false">#REF!</definedName>
    <definedName function="false" hidden="false" name="trim___27" vbProcedure="false">#REF!</definedName>
    <definedName function="false" hidden="false" name="trim___5" vbProcedure="false">#REF!</definedName>
    <definedName function="false" hidden="false" name="trim___7" vbProcedure="false">#REF!</definedName>
    <definedName function="false" hidden="false" name="trthhhnlmklm" vbProcedure="false">#REF!</definedName>
    <definedName function="false" hidden="false" name="TSales" vbProcedure="false">#REF!</definedName>
    <definedName function="false" hidden="false" name="TSalesAdj" vbProcedure="false">#REF!</definedName>
    <definedName function="false" hidden="false" name="TSalesAdj___0" vbProcedure="false">#REF!</definedName>
    <definedName function="false" hidden="false" name="TSalesAdj___12" vbProcedure="false">#REF!</definedName>
    <definedName function="false" hidden="false" name="TSalesAdj___14" vbProcedure="false">#REF!</definedName>
    <definedName function="false" hidden="false" name="TSalesAdj___16" vbProcedure="false">#REF!</definedName>
    <definedName function="false" hidden="false" name="TSalesAdj___2" vbProcedure="false">#REF!</definedName>
    <definedName function="false" hidden="false" name="TSalesAdj___25" vbProcedure="false">#REF!</definedName>
    <definedName function="false" hidden="false" name="TSalesAdj___26" vbProcedure="false">#REF!</definedName>
    <definedName function="false" hidden="false" name="TSalesAdj___27" vbProcedure="false">#REF!</definedName>
    <definedName function="false" hidden="false" name="TSalesAdj___4" vbProcedure="false">#REF!</definedName>
    <definedName function="false" hidden="false" name="TSalesAdj___5" vbProcedure="false">#REF!</definedName>
    <definedName function="false" hidden="false" name="TSalesAdj___7" vbProcedure="false">#REF!</definedName>
    <definedName function="false" hidden="false" name="TSalesG" vbProcedure="false">#REF!</definedName>
    <definedName function="false" hidden="false" name="TSalesGIncrement" vbProcedure="false">#REF!</definedName>
    <definedName function="false" hidden="false" name="TSalesGIncrement___0" vbProcedure="false">#REF!</definedName>
    <definedName function="false" hidden="false" name="TSalesGIncrement___12" vbProcedure="false">#REF!</definedName>
    <definedName function="false" hidden="false" name="TSalesGIncrement___14" vbProcedure="false">#REF!</definedName>
    <definedName function="false" hidden="false" name="TSalesGIncrement___16" vbProcedure="false">#REF!</definedName>
    <definedName function="false" hidden="false" name="TSalesGIncrement___2" vbProcedure="false">#REF!</definedName>
    <definedName function="false" hidden="false" name="TSalesGIncrement___25" vbProcedure="false">#REF!</definedName>
    <definedName function="false" hidden="false" name="TSalesGIncrement___26" vbProcedure="false">#REF!</definedName>
    <definedName function="false" hidden="false" name="TSalesGIncrement___27" vbProcedure="false">#REF!</definedName>
    <definedName function="false" hidden="false" name="TSalesGIncrement___4" vbProcedure="false">#REF!</definedName>
    <definedName function="false" hidden="false" name="TSalesGIncrement___5" vbProcedure="false">#REF!</definedName>
    <definedName function="false" hidden="false" name="TSalesGIncrement___7" vbProcedure="false">#REF!</definedName>
    <definedName function="false" hidden="false" name="TSalesGrowth" vbProcedure="false">#REF!</definedName>
    <definedName function="false" hidden="false" name="TSalesGrowth___0" vbProcedure="false">#REF!</definedName>
    <definedName function="false" hidden="false" name="TSalesGrowth___12" vbProcedure="false">#REF!</definedName>
    <definedName function="false" hidden="false" name="TSalesGrowth___14" vbProcedure="false">#REF!</definedName>
    <definedName function="false" hidden="false" name="TSalesGrowth___16" vbProcedure="false">#REF!</definedName>
    <definedName function="false" hidden="false" name="TSalesGrowth___2" vbProcedure="false">#REF!</definedName>
    <definedName function="false" hidden="false" name="TSalesGrowth___25" vbProcedure="false">#REF!</definedName>
    <definedName function="false" hidden="false" name="TSalesGrowth___26" vbProcedure="false">#REF!</definedName>
    <definedName function="false" hidden="false" name="TSalesGrowth___27" vbProcedure="false">#REF!</definedName>
    <definedName function="false" hidden="false" name="TSalesGrowth___4" vbProcedure="false">#REF!</definedName>
    <definedName function="false" hidden="false" name="TSalesGrowth___5" vbProcedure="false">#REF!</definedName>
    <definedName function="false" hidden="false" name="TSalesGrowth___7" vbProcedure="false">#REF!</definedName>
    <definedName function="false" hidden="false" name="TSalesG___0" vbProcedure="false">#REF!</definedName>
    <definedName function="false" hidden="false" name="TSalesG___12" vbProcedure="false">#REF!</definedName>
    <definedName function="false" hidden="false" name="TSalesG___14" vbProcedure="false">#REF!</definedName>
    <definedName function="false" hidden="false" name="TSalesG___16" vbProcedure="false">#REF!</definedName>
    <definedName function="false" hidden="false" name="TSalesG___2" vbProcedure="false">#REF!</definedName>
    <definedName function="false" hidden="false" name="TSalesG___25" vbProcedure="false">#REF!</definedName>
    <definedName function="false" hidden="false" name="TSalesG___26" vbProcedure="false">#REF!</definedName>
    <definedName function="false" hidden="false" name="TSalesG___27" vbProcedure="false">#REF!</definedName>
    <definedName function="false" hidden="false" name="TSalesG___4" vbProcedure="false">#REF!</definedName>
    <definedName function="false" hidden="false" name="TSalesG___5" vbProcedure="false">#REF!</definedName>
    <definedName function="false" hidden="false" name="TSalesG___7" vbProcedure="false">#REF!</definedName>
    <definedName function="false" hidden="false" name="TSalesOutput" vbProcedure="false">#REF!</definedName>
    <definedName function="false" hidden="false" name="TSalesOutput___0" vbProcedure="false">#REF!</definedName>
    <definedName function="false" hidden="false" name="TSalesOutput___12" vbProcedure="false">#REF!</definedName>
    <definedName function="false" hidden="false" name="TSalesOutput___14" vbProcedure="false">#REF!</definedName>
    <definedName function="false" hidden="false" name="TSalesOutput___16" vbProcedure="false">#REF!</definedName>
    <definedName function="false" hidden="false" name="TSalesOutput___2" vbProcedure="false">#REF!</definedName>
    <definedName function="false" hidden="false" name="TSalesOutput___25" vbProcedure="false">#REF!</definedName>
    <definedName function="false" hidden="false" name="TSalesOutput___26" vbProcedure="false">#REF!</definedName>
    <definedName function="false" hidden="false" name="TSalesOutput___27" vbProcedure="false">#REF!</definedName>
    <definedName function="false" hidden="false" name="TSalesOutput___4" vbProcedure="false">#REF!</definedName>
    <definedName function="false" hidden="false" name="TSalesOutput___5" vbProcedure="false">#REF!</definedName>
    <definedName function="false" hidden="false" name="TSalesOutput___7" vbProcedure="false">#REF!</definedName>
    <definedName function="false" hidden="false" name="TSales___0" vbProcedure="false">#REF!</definedName>
    <definedName function="false" hidden="false" name="TSales___12" vbProcedure="false">#REF!</definedName>
    <definedName function="false" hidden="false" name="TSales___14" vbProcedure="false">#REF!</definedName>
    <definedName function="false" hidden="false" name="TSales___16" vbProcedure="false">#REF!</definedName>
    <definedName function="false" hidden="false" name="TSales___2" vbProcedure="false">#REF!</definedName>
    <definedName function="false" hidden="false" name="TSales___25" vbProcedure="false">#REF!</definedName>
    <definedName function="false" hidden="false" name="TSales___26" vbProcedure="false">#REF!</definedName>
    <definedName function="false" hidden="false" name="TSales___27" vbProcedure="false">#REF!</definedName>
    <definedName function="false" hidden="false" name="TSales___4" vbProcedure="false">#REF!</definedName>
    <definedName function="false" hidden="false" name="TSales___5" vbProcedure="false">#REF!</definedName>
    <definedName function="false" hidden="false" name="TSales___7" vbProcedure="false">#REF!</definedName>
    <definedName function="false" hidden="false" name="TSMult" vbProcedure="false">#REF!</definedName>
    <definedName function="false" hidden="false" name="TSMult___0" vbProcedure="false">#REF!</definedName>
    <definedName function="false" hidden="false" name="TSMult___12" vbProcedure="false">#REF!</definedName>
    <definedName function="false" hidden="false" name="TSMult___14" vbProcedure="false">#REF!</definedName>
    <definedName function="false" hidden="false" name="TSMult___16" vbProcedure="false">#REF!</definedName>
    <definedName function="false" hidden="false" name="TSMult___2" vbProcedure="false">#REF!</definedName>
    <definedName function="false" hidden="false" name="TSMult___25" vbProcedure="false">#REF!</definedName>
    <definedName function="false" hidden="false" name="TSMult___26" vbProcedure="false">#REF!</definedName>
    <definedName function="false" hidden="false" name="TSMult___27" vbProcedure="false">#REF!</definedName>
    <definedName function="false" hidden="false" name="TSMult___4" vbProcedure="false">#REF!</definedName>
    <definedName function="false" hidden="false" name="TSMult___5" vbProcedure="false">#REF!</definedName>
    <definedName function="false" hidden="false" name="TSMult___7" vbProcedure="false">#REF!</definedName>
    <definedName function="false" hidden="false" name="tt" vbProcedure="false">#N/A</definedName>
    <definedName function="false" hidden="false" name="TTaxes" vbProcedure="false">#REF!</definedName>
    <definedName function="false" hidden="false" name="TTaxes___0" vbProcedure="false">#REF!</definedName>
    <definedName function="false" hidden="false" name="TTaxes___12" vbProcedure="false">#REF!</definedName>
    <definedName function="false" hidden="false" name="TTaxes___14" vbProcedure="false">#REF!</definedName>
    <definedName function="false" hidden="false" name="TTaxes___16" vbProcedure="false">#REF!</definedName>
    <definedName function="false" hidden="false" name="TTaxes___2" vbProcedure="false">#REF!</definedName>
    <definedName function="false" hidden="false" name="TTaxes___25" vbProcedure="false">#REF!</definedName>
    <definedName function="false" hidden="false" name="TTaxes___26" vbProcedure="false">#REF!</definedName>
    <definedName function="false" hidden="false" name="TTaxes___27" vbProcedure="false">#REF!</definedName>
    <definedName function="false" hidden="false" name="TTaxes___4" vbProcedure="false">#REF!</definedName>
    <definedName function="false" hidden="false" name="TTaxes___5" vbProcedure="false">#REF!</definedName>
    <definedName function="false" hidden="false" name="TTaxes___7" vbProcedure="false">#REF!</definedName>
    <definedName function="false" hidden="false" name="TTaxRate" vbProcedure="false">#REF!</definedName>
    <definedName function="false" hidden="false" name="TTaxRate___0" vbProcedure="false">#REF!</definedName>
    <definedName function="false" hidden="false" name="TTaxRate___12" vbProcedure="false">#REF!</definedName>
    <definedName function="false" hidden="false" name="TTaxRate___14" vbProcedure="false">#REF!</definedName>
    <definedName function="false" hidden="false" name="TTaxRate___16" vbProcedure="false">#REF!</definedName>
    <definedName function="false" hidden="false" name="TTaxRate___2" vbProcedure="false">#REF!</definedName>
    <definedName function="false" hidden="false" name="TTaxRate___25" vbProcedure="false">#REF!</definedName>
    <definedName function="false" hidden="false" name="TTaxRate___26" vbProcedure="false">#REF!</definedName>
    <definedName function="false" hidden="false" name="TTaxRate___27" vbProcedure="false">#REF!</definedName>
    <definedName function="false" hidden="false" name="TTaxRate___4" vbProcedure="false">#REF!</definedName>
    <definedName function="false" hidden="false" name="TTaxRate___5" vbProcedure="false">#REF!</definedName>
    <definedName function="false" hidden="false" name="TTaxRate___7" vbProcedure="false">#REF!</definedName>
    <definedName function="false" hidden="false" name="tttt" vbProcedure="false">#REF!</definedName>
    <definedName function="false" hidden="false" name="TVAsChosen" vbProcedure="false">#REF!</definedName>
    <definedName function="false" hidden="false" name="TVAsChosen___0" vbProcedure="false">#REF!</definedName>
    <definedName function="false" hidden="false" name="TVAsChosen___12" vbProcedure="false">#REF!</definedName>
    <definedName function="false" hidden="false" name="TVAsChosen___14" vbProcedure="false">#REF!</definedName>
    <definedName function="false" hidden="false" name="TVAsChosen___16" vbProcedure="false">#REF!</definedName>
    <definedName function="false" hidden="false" name="TVAsChosen___2" vbProcedure="false">#REF!</definedName>
    <definedName function="false" hidden="false" name="TVAsChosen___25" vbProcedure="false">#REF!</definedName>
    <definedName function="false" hidden="false" name="TVAsChosen___26" vbProcedure="false">#REF!</definedName>
    <definedName function="false" hidden="false" name="TVAsChosen___27" vbProcedure="false">#REF!</definedName>
    <definedName function="false" hidden="false" name="TVAsChosen___4" vbProcedure="false">#REF!</definedName>
    <definedName function="false" hidden="false" name="TVAsChosen___5" vbProcedure="false">#REF!</definedName>
    <definedName function="false" hidden="false" name="TVAsChosen___7" vbProcedure="false">#REF!</definedName>
    <definedName function="false" hidden="false" name="TVButton" vbProcedure="false">#REF!</definedName>
    <definedName function="false" hidden="false" name="TVButton___0" vbProcedure="false">#REF!</definedName>
    <definedName function="false" hidden="false" name="TVButton___12" vbProcedure="false">#REF!</definedName>
    <definedName function="false" hidden="false" name="TVButton___14" vbProcedure="false">#REF!</definedName>
    <definedName function="false" hidden="false" name="TVButton___16" vbProcedure="false">#REF!</definedName>
    <definedName function="false" hidden="false" name="TVButton___2" vbProcedure="false">#REF!</definedName>
    <definedName function="false" hidden="false" name="TVButton___25" vbProcedure="false">#REF!</definedName>
    <definedName function="false" hidden="false" name="TVButton___26" vbProcedure="false">#REF!</definedName>
    <definedName function="false" hidden="false" name="TVButton___27" vbProcedure="false">#REF!</definedName>
    <definedName function="false" hidden="false" name="TVButton___4" vbProcedure="false">#REF!</definedName>
    <definedName function="false" hidden="false" name="TVButton___5" vbProcedure="false">#REF!</definedName>
    <definedName function="false" hidden="false" name="TVButton___7" vbProcedure="false">#REF!</definedName>
    <definedName function="false" hidden="false" name="TVbyTFCF" vbProcedure="false">#REF!</definedName>
    <definedName function="false" hidden="false" name="TVbyTFCF___0" vbProcedure="false">#REF!</definedName>
    <definedName function="false" hidden="false" name="TVbyTFCF___12" vbProcedure="false">#REF!</definedName>
    <definedName function="false" hidden="false" name="TVbyTFCF___14" vbProcedure="false">#REF!</definedName>
    <definedName function="false" hidden="false" name="TVbyTFCF___16" vbProcedure="false">#REF!</definedName>
    <definedName function="false" hidden="false" name="TVbyTFCF___2" vbProcedure="false">#REF!</definedName>
    <definedName function="false" hidden="false" name="TVbyTFCF___25" vbProcedure="false">#REF!</definedName>
    <definedName function="false" hidden="false" name="TVbyTFCF___26" vbProcedure="false">#REF!</definedName>
    <definedName function="false" hidden="false" name="TVbyTFCF___27" vbProcedure="false">#REF!</definedName>
    <definedName function="false" hidden="false" name="TVbyTFCF___4" vbProcedure="false">#REF!</definedName>
    <definedName function="false" hidden="false" name="TVbyTFCF___5" vbProcedure="false">#REF!</definedName>
    <definedName function="false" hidden="false" name="TVbyTFCF___7" vbProcedure="false">#REF!</definedName>
    <definedName function="false" hidden="false" name="TVMult" vbProcedure="false">#REF!</definedName>
    <definedName function="false" hidden="false" name="TVMultIncrement" vbProcedure="false">#REF!</definedName>
    <definedName function="false" hidden="false" name="TVMultIncrement___0" vbProcedure="false">#REF!</definedName>
    <definedName function="false" hidden="false" name="TVMultIncrement___12" vbProcedure="false">#REF!</definedName>
    <definedName function="false" hidden="false" name="TVMultIncrement___14" vbProcedure="false">#REF!</definedName>
    <definedName function="false" hidden="false" name="TVMultIncrement___16" vbProcedure="false">#REF!</definedName>
    <definedName function="false" hidden="false" name="TVMultIncrement___2" vbProcedure="false">#REF!</definedName>
    <definedName function="false" hidden="false" name="TVMultIncrement___25" vbProcedure="false">#REF!</definedName>
    <definedName function="false" hidden="false" name="TVMultIncrement___26" vbProcedure="false">#REF!</definedName>
    <definedName function="false" hidden="false" name="TVMultIncrement___27" vbProcedure="false">#REF!</definedName>
    <definedName function="false" hidden="false" name="TVMultIncrement___4" vbProcedure="false">#REF!</definedName>
    <definedName function="false" hidden="false" name="TVMultIncrement___5" vbProcedure="false">#REF!</definedName>
    <definedName function="false" hidden="false" name="TVMultIncrement___7" vbProcedure="false">#REF!</definedName>
    <definedName function="false" hidden="false" name="TVMultInputs" vbProcedure="false">#REF!</definedName>
    <definedName function="false" hidden="false" name="TVMultInputs___0" vbProcedure="false">#REF!</definedName>
    <definedName function="false" hidden="false" name="TVMultInputs___12" vbProcedure="false">#REF!</definedName>
    <definedName function="false" hidden="false" name="TVMultInputs___14" vbProcedure="false">#REF!</definedName>
    <definedName function="false" hidden="false" name="TVMultInputs___16" vbProcedure="false">#REF!</definedName>
    <definedName function="false" hidden="false" name="TVMultInputs___2" vbProcedure="false">#REF!</definedName>
    <definedName function="false" hidden="false" name="TVMultInputs___25" vbProcedure="false">#REF!</definedName>
    <definedName function="false" hidden="false" name="TVMultInputs___26" vbProcedure="false">#REF!</definedName>
    <definedName function="false" hidden="false" name="TVMultInputs___27" vbProcedure="false">#REF!</definedName>
    <definedName function="false" hidden="false" name="TVMultInputs___4" vbProcedure="false">#REF!</definedName>
    <definedName function="false" hidden="false" name="TVMultInputs___5" vbProcedure="false">#REF!</definedName>
    <definedName function="false" hidden="false" name="TVMultInputs___7" vbProcedure="false">#REF!</definedName>
    <definedName function="false" hidden="false" name="TVMult___0" vbProcedure="false">#REF!</definedName>
    <definedName function="false" hidden="false" name="TVMult___12" vbProcedure="false">#REF!</definedName>
    <definedName function="false" hidden="false" name="TVMult___14" vbProcedure="false">#REF!</definedName>
    <definedName function="false" hidden="false" name="TVMult___16" vbProcedure="false">#REF!</definedName>
    <definedName function="false" hidden="false" name="TVMult___2" vbProcedure="false">#REF!</definedName>
    <definedName function="false" hidden="false" name="TVMult___25" vbProcedure="false">#REF!</definedName>
    <definedName function="false" hidden="false" name="TVMult___26" vbProcedure="false">#REF!</definedName>
    <definedName function="false" hidden="false" name="TVMult___27" vbProcedure="false">#REF!</definedName>
    <definedName function="false" hidden="false" name="TVMult___4" vbProcedure="false">#REF!</definedName>
    <definedName function="false" hidden="false" name="TVMult___5" vbProcedure="false">#REF!</definedName>
    <definedName function="false" hidden="false" name="TVMult___7" vbProcedure="false">#REF!</definedName>
    <definedName function="false" hidden="false" name="TVREV" vbProcedure="false">#REF!</definedName>
    <definedName function="false" hidden="false" name="TVTitles" vbProcedure="false">#REF!</definedName>
    <definedName function="false" hidden="false" name="TVTitles___0" vbProcedure="false">#REF!</definedName>
    <definedName function="false" hidden="false" name="TVTitles___12" vbProcedure="false">#REF!</definedName>
    <definedName function="false" hidden="false" name="TVTitles___14" vbProcedure="false">#REF!</definedName>
    <definedName function="false" hidden="false" name="TVTitles___16" vbProcedure="false">#REF!</definedName>
    <definedName function="false" hidden="false" name="TVTitles___2" vbProcedure="false">#REF!</definedName>
    <definedName function="false" hidden="false" name="TVTitles___25" vbProcedure="false">#REF!</definedName>
    <definedName function="false" hidden="false" name="TVTitles___26" vbProcedure="false">#REF!</definedName>
    <definedName function="false" hidden="false" name="TVTitles___27" vbProcedure="false">#REF!</definedName>
    <definedName function="false" hidden="false" name="TVTitles___4" vbProcedure="false">#REF!</definedName>
    <definedName function="false" hidden="false" name="TVTitles___5" vbProcedure="false">#REF!</definedName>
    <definedName function="false" hidden="false" name="TVTitles___7" vbProcedure="false">#REF!</definedName>
    <definedName function="false" hidden="false" name="TWACCAdjustment" vbProcedure="false">#REF!</definedName>
    <definedName function="false" hidden="false" name="TWACCAdjustment___0" vbProcedure="false">#REF!</definedName>
    <definedName function="false" hidden="false" name="TWACCAdjustment___12" vbProcedure="false">#REF!</definedName>
    <definedName function="false" hidden="false" name="TWACCAdjustment___14" vbProcedure="false">#REF!</definedName>
    <definedName function="false" hidden="false" name="TWACCAdjustment___16" vbProcedure="false">#REF!</definedName>
    <definedName function="false" hidden="false" name="TWACCAdjustment___2" vbProcedure="false">#REF!</definedName>
    <definedName function="false" hidden="false" name="TWACCAdjustment___25" vbProcedure="false">#REF!</definedName>
    <definedName function="false" hidden="false" name="TWACCAdjustment___26" vbProcedure="false">#REF!</definedName>
    <definedName function="false" hidden="false" name="TWACCAdjustment___27" vbProcedure="false">#REF!</definedName>
    <definedName function="false" hidden="false" name="TWACCAdjustment___4" vbProcedure="false">#REF!</definedName>
    <definedName function="false" hidden="false" name="TWACCAdjustment___5" vbProcedure="false">#REF!</definedName>
    <definedName function="false" hidden="false" name="TWACCAdjustment___7" vbProcedure="false">#REF!</definedName>
    <definedName function="false" hidden="false" name="twd" vbProcedure="false">#REF!</definedName>
    <definedName function="false" hidden="false" name="Tx_intérêt_par_an" vbProcedure="false">#REF!</definedName>
    <definedName function="false" hidden="false" name="Tx_intérêt_par_an___0" vbProcedure="false">#REF!</definedName>
    <definedName function="false" hidden="false" name="Tx_intérêt_par_an___12" vbProcedure="false">#REF!</definedName>
    <definedName function="false" hidden="false" name="Tx_intérêt_par_an___14" vbProcedure="false">#REF!</definedName>
    <definedName function="false" hidden="false" name="Tx_intérêt_par_an___16" vbProcedure="false">#REF!</definedName>
    <definedName function="false" hidden="false" name="Tx_intérêt_par_an___2" vbProcedure="false">#REF!</definedName>
    <definedName function="false" hidden="false" name="Tx_intérêt_par_an___25" vbProcedure="false">#REF!</definedName>
    <definedName function="false" hidden="false" name="Tx_intérêt_par_an___26" vbProcedure="false">#REF!</definedName>
    <definedName function="false" hidden="false" name="Tx_intérêt_par_an___27" vbProcedure="false">#REF!</definedName>
    <definedName function="false" hidden="false" name="Tx_intérêt_par_an___4" vbProcedure="false">#REF!</definedName>
    <definedName function="false" hidden="false" name="Tx_intérêt_par_an___5" vbProcedure="false">#REF!</definedName>
    <definedName function="false" hidden="false" name="Tx_intérêt_par_an___7" vbProcedure="false">#REF!</definedName>
    <definedName function="false" hidden="false" name="ty" vbProcedure="false">{"orixcsc",#N/A,FALSE,"ORIX CSC";"orixcsc2",#N/A,FALSE,"ORIX CSC"}</definedName>
    <definedName function="false" hidden="false" name="TYFTRYRTYRTYUR" vbProcedure="false">#REF!</definedName>
    <definedName function="false" hidden="false" name="tyhtf" vbProcedure="false">#REF!</definedName>
    <definedName function="false" hidden="false" name="Type_1" vbProcedure="false">#REF!</definedName>
    <definedName function="false" hidden="false" name="Type_2" vbProcedure="false">#REF!</definedName>
    <definedName function="false" hidden="false" name="tyryt" vbProcedure="false">#REF!</definedName>
    <definedName function="false" hidden="false" name="télphabontralocal" vbProcedure="false">#REF!</definedName>
    <definedName function="false" hidden="false" name="télphabontralocal___0" vbProcedure="false">#REF!</definedName>
    <definedName function="false" hidden="false" name="télphabontralocal___14" vbProcedure="false">#REF!</definedName>
    <definedName function="false" hidden="false" name="U" vbProcedure="false">#N/A</definedName>
    <definedName function="false" hidden="false" name="ufykfk" vbProcedure="false">{"print 1",#N/A,FALSE,"PrimeCo PCS";"print 2",#N/A,FALSE,"PrimeCo PCS";"valuation",#N/A,FALSE,"PrimeCo PCS"}</definedName>
    <definedName function="false" hidden="false" name="ULTSUMM97" vbProcedure="false">#REF!</definedName>
    <definedName function="false" hidden="false" name="UNDERLINE" vbProcedure="false">#N/A</definedName>
    <definedName function="false" hidden="false" name="uydk" vbProcedure="false">#N/A</definedName>
    <definedName function="false" hidden="false" name="uykfu" vbProcedure="false">uykfu</definedName>
    <definedName function="false" hidden="false" name="uyuyuyuyuyu" vbProcedure="false">{#N/A,#N/A,TRUE,"Cover sheet";#N/A,#N/A,TRUE,"DCF analysis";#N/A,#N/A,TRUE,"WACC calculation"}</definedName>
    <definedName function="false" hidden="false" name="V" vbProcedure="false">V</definedName>
    <definedName function="false" hidden="false" name="VA" vbProcedure="false">#REF!</definedName>
    <definedName function="false" hidden="false" name="ValuationDate" vbProcedure="false">#REF!</definedName>
    <definedName function="false" hidden="false" name="ValuationDate___0" vbProcedure="false">#REF!</definedName>
    <definedName function="false" hidden="false" name="ValuationDate___12" vbProcedure="false">#REF!</definedName>
    <definedName function="false" hidden="false" name="ValuationDate___14" vbProcedure="false">#REF!</definedName>
    <definedName function="false" hidden="false" name="ValuationDate___16" vbProcedure="false">#REF!</definedName>
    <definedName function="false" hidden="false" name="ValuationDate___2" vbProcedure="false">#REF!</definedName>
    <definedName function="false" hidden="false" name="ValuationDate___25" vbProcedure="false">#REF!</definedName>
    <definedName function="false" hidden="false" name="ValuationDate___26" vbProcedure="false">#REF!</definedName>
    <definedName function="false" hidden="false" name="ValuationDate___27" vbProcedure="false">#REF!</definedName>
    <definedName function="false" hidden="false" name="ValuationDate___4" vbProcedure="false">#REF!</definedName>
    <definedName function="false" hidden="false" name="ValuationDate___5" vbProcedure="false">#REF!</definedName>
    <definedName function="false" hidden="false" name="ValuationDate___7" vbProcedure="false">#REF!</definedName>
    <definedName function="false" hidden="false" name="variance" vbProcedure="false">#REF!</definedName>
    <definedName function="false" hidden="false" name="vbb" vbProcedure="false">#N/A</definedName>
    <definedName function="false" hidden="false" name="VColsToPrint" vbProcedure="false">#REF!</definedName>
    <definedName function="false" hidden="false" name="VColsToPrint___0" vbProcedure="false">#REF!</definedName>
    <definedName function="false" hidden="false" name="VColsToPrint___12" vbProcedure="false">#REF!</definedName>
    <definedName function="false" hidden="false" name="VColsToPrint___14" vbProcedure="false">#REF!</definedName>
    <definedName function="false" hidden="false" name="VColsToPrint___16" vbProcedure="false">#REF!</definedName>
    <definedName function="false" hidden="false" name="VColsToPrint___2" vbProcedure="false">#REF!</definedName>
    <definedName function="false" hidden="false" name="VColsToPrint___25" vbProcedure="false">#REF!</definedName>
    <definedName function="false" hidden="false" name="VColsToPrint___26" vbProcedure="false">#REF!</definedName>
    <definedName function="false" hidden="false" name="VColsToPrint___27" vbProcedure="false">#REF!</definedName>
    <definedName function="false" hidden="false" name="VColsToPrint___4" vbProcedure="false">#REF!</definedName>
    <definedName function="false" hidden="false" name="VColsToPrint___5" vbProcedure="false">#REF!</definedName>
    <definedName function="false" hidden="false" name="VColsToPrint___7" vbProcedure="false">#REF!</definedName>
    <definedName function="false" hidden="false" name="VERS_REC_CCP" vbProcedure="false">#REF!</definedName>
    <definedName function="false" hidden="false" name="vgdsj" vbProcedure="false">#N/A</definedName>
    <definedName function="false" hidden="false" name="vghh" vbProcedure="false">#N/A</definedName>
    <definedName function="false" hidden="false" name="VIGNETTES_TG" vbProcedure="false">#REF!</definedName>
    <definedName function="false" hidden="false" name="vince" vbProcedure="false">{#N/A,#N/A,TRUE,"Cover sheet";#N/A,#N/A,TRUE,"DCF analysis";#N/A,#N/A,TRUE,"WACC calculation"}</definedName>
    <definedName function="false" hidden="false" name="VIR_BANQUE" vbProcedure="false">#REF!</definedName>
    <definedName function="false" hidden="false" name="VLastRow" vbProcedure="false">#REF!</definedName>
    <definedName function="false" hidden="false" name="VLastRowToPrint" vbProcedure="false">#REF!</definedName>
    <definedName function="false" hidden="false" name="VLastRowToPrint___12" vbProcedure="false">#REF!</definedName>
    <definedName function="false" hidden="false" name="VLastRowToPrint___14" vbProcedure="false">#REF!</definedName>
    <definedName function="false" hidden="false" name="VLastRowToPrint___16" vbProcedure="false">#REF!</definedName>
    <definedName function="false" hidden="false" name="VLastRowToPrint___2" vbProcedure="false">#REF!</definedName>
    <definedName function="false" hidden="false" name="VLastRowToPrint___25" vbProcedure="false">#REF!</definedName>
    <definedName function="false" hidden="false" name="VLastRowToPrint___27" vbProcedure="false">#REF!</definedName>
    <definedName function="false" hidden="false" name="VLastRowToPrint___4" vbProcedure="false">#REF!</definedName>
    <definedName function="false" hidden="false" name="VLastRowToPrint___5" vbProcedure="false">#REF!</definedName>
    <definedName function="false" hidden="false" name="VLastRow___0" vbProcedure="false">#REF!</definedName>
    <definedName function="false" hidden="false" name="VLastRow___12" vbProcedure="false">#REF!</definedName>
    <definedName function="false" hidden="false" name="VLastRow___14" vbProcedure="false">#REF!</definedName>
    <definedName function="false" hidden="false" name="VLastRow___16" vbProcedure="false">#REF!</definedName>
    <definedName function="false" hidden="false" name="VLastRow___2" vbProcedure="false">#REF!</definedName>
    <definedName function="false" hidden="false" name="VLastRow___25" vbProcedure="false">#REF!</definedName>
    <definedName function="false" hidden="false" name="VLastRow___26" vbProcedure="false">#REF!</definedName>
    <definedName function="false" hidden="false" name="VLastRow___27" vbProcedure="false">#REF!</definedName>
    <definedName function="false" hidden="false" name="VLastRow___4" vbProcedure="false">#REF!</definedName>
    <definedName function="false" hidden="false" name="VLastRow___5" vbProcedure="false">#REF!</definedName>
    <definedName function="false" hidden="false" name="VLastRow___7" vbProcedure="false">#REF!</definedName>
    <definedName function="false" hidden="false" name="VLR" vbProcedure="false">#REF!,#REF!</definedName>
    <definedName function="false" hidden="false" name="VolFactor" vbProcedure="false">#REF!</definedName>
    <definedName function="false" hidden="false" name="VolFactor___0" vbProcedure="false">#REF!</definedName>
    <definedName function="false" hidden="false" name="VolFactor___26" vbProcedure="false">#REF!</definedName>
    <definedName function="false" hidden="false" name="VolFactor___7" vbProcedure="false">#REF!</definedName>
    <definedName function="false" hidden="false" name="VPLastRow" vbProcedure="false">#REF!</definedName>
    <definedName function="false" hidden="false" name="VPLastRow___0" vbProcedure="false">#REF!</definedName>
    <definedName function="false" hidden="false" name="VPLastRow___12" vbProcedure="false">#REF!</definedName>
    <definedName function="false" hidden="false" name="VPLastRow___14" vbProcedure="false">#REF!</definedName>
    <definedName function="false" hidden="false" name="VPLastRow___16" vbProcedure="false">#REF!</definedName>
    <definedName function="false" hidden="false" name="VPLastRow___2" vbProcedure="false">#REF!</definedName>
    <definedName function="false" hidden="false" name="VPLastRow___25" vbProcedure="false">#REF!</definedName>
    <definedName function="false" hidden="false" name="VPLastRow___26" vbProcedure="false">#REF!</definedName>
    <definedName function="false" hidden="false" name="VPLastRow___27" vbProcedure="false">#REF!</definedName>
    <definedName function="false" hidden="false" name="VPLastRow___4" vbProcedure="false">#REF!</definedName>
    <definedName function="false" hidden="false" name="VPLastRow___5" vbProcedure="false">#REF!</definedName>
    <definedName function="false" hidden="false" name="VPLastRow___7" vbProcedure="false">#REF!</definedName>
    <definedName function="false" hidden="false" name="VTitle" vbProcedure="false">#REF!</definedName>
    <definedName function="false" hidden="false" name="VTitle___0" vbProcedure="false">#REF!</definedName>
    <definedName function="false" hidden="false" name="VTitle___12" vbProcedure="false">#REF!</definedName>
    <definedName function="false" hidden="false" name="VTitle___14" vbProcedure="false">#REF!</definedName>
    <definedName function="false" hidden="false" name="VTitle___16" vbProcedure="false">#REF!</definedName>
    <definedName function="false" hidden="false" name="VTitle___2" vbProcedure="false">#REF!</definedName>
    <definedName function="false" hidden="false" name="VTitle___25" vbProcedure="false">#REF!</definedName>
    <definedName function="false" hidden="false" name="VTitle___26" vbProcedure="false">#REF!</definedName>
    <definedName function="false" hidden="false" name="VTitle___27" vbProcedure="false">#REF!</definedName>
    <definedName function="false" hidden="false" name="VTitle___4" vbProcedure="false">#REF!</definedName>
    <definedName function="false" hidden="false" name="VTitle___5" vbProcedure="false">#REF!</definedName>
    <definedName function="false" hidden="false" name="VTitle___7" vbProcedure="false">#REF!</definedName>
    <definedName function="false" hidden="false" name="vvv" vbProcedure="false">{#N/A,#N/A,TRUE,"Cover sheet";#N/A,#N/A,TRUE,"DCF analysis";#N/A,#N/A,TRUE,"WACC calculation"}</definedName>
    <definedName function="false" hidden="false" name="W" vbProcedure="false">#REF!</definedName>
    <definedName function="false" hidden="false" name="W.B" vbProcedure="false">#REF!</definedName>
    <definedName function="false" hidden="false" name="WACC" vbProcedure="false">#REF!</definedName>
    <definedName function="false" hidden="false" name="WACCIncrement" vbProcedure="false">#REF!</definedName>
    <definedName function="false" hidden="false" name="WACCIncrement___0" vbProcedure="false">#REF!</definedName>
    <definedName function="false" hidden="false" name="WACCIncrement___12" vbProcedure="false">#REF!</definedName>
    <definedName function="false" hidden="false" name="WACCIncrement___14" vbProcedure="false">#REF!</definedName>
    <definedName function="false" hidden="false" name="WACCIncrement___16" vbProcedure="false">#REF!</definedName>
    <definedName function="false" hidden="false" name="WACCIncrement___2" vbProcedure="false">#REF!</definedName>
    <definedName function="false" hidden="false" name="WACCIncrement___25" vbProcedure="false">#REF!</definedName>
    <definedName function="false" hidden="false" name="WACCIncrement___26" vbProcedure="false">#REF!</definedName>
    <definedName function="false" hidden="false" name="WACCIncrement___27" vbProcedure="false">#REF!</definedName>
    <definedName function="false" hidden="false" name="WACCIncrement___4" vbProcedure="false">#REF!</definedName>
    <definedName function="false" hidden="false" name="WACCIncrement___5" vbProcedure="false">#REF!</definedName>
    <definedName function="false" hidden="false" name="WACCIncrement___7" vbProcedure="false">#REF!</definedName>
    <definedName function="false" hidden="false" name="WACC___0" vbProcedure="false">#REF!</definedName>
    <definedName function="false" hidden="false" name="WACC___12" vbProcedure="false">#REF!</definedName>
    <definedName function="false" hidden="false" name="WACC___14" vbProcedure="false">#REF!</definedName>
    <definedName function="false" hidden="false" name="WACC___16" vbProcedure="false">#REF!</definedName>
    <definedName function="false" hidden="false" name="WACC___2" vbProcedure="false">#REF!</definedName>
    <definedName function="false" hidden="false" name="WACC___25" vbProcedure="false">#REF!</definedName>
    <definedName function="false" hidden="false" name="WACC___26" vbProcedure="false">#REF!</definedName>
    <definedName function="false" hidden="false" name="WACC___27" vbProcedure="false">#REF!</definedName>
    <definedName function="false" hidden="false" name="WACC___4" vbProcedure="false">#REF!</definedName>
    <definedName function="false" hidden="false" name="WACC___5" vbProcedure="false">#REF!</definedName>
    <definedName function="false" hidden="false" name="WACC___7" vbProcedure="false">#REF!</definedName>
    <definedName function="false" hidden="false" name="WAFA_BANK" vbProcedure="false">#REF!</definedName>
    <definedName function="false" hidden="false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1." vbProcedure="false">{#N/A,#N/A,FALSE,"Calc";#N/A,#N/A,FALSE,"Sensitivity";#N/A,#N/A,FALSE,"LT Earn.Dil.";#N/A,#N/A,FALSE,"Dil. AVP"}</definedName>
    <definedName function="false" hidden="false" name="WRN.2." vbProcedure="false">{#N/A,#N/A,FALSE,"Calc";#N/A,#N/A,FALSE,"Sensitivity";#N/A,#N/A,FALSE,"LT Earn.Dil.";#N/A,#N/A,FALSE,"Dil. AVP"}</definedName>
    <definedName function="false" hidden="false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wrn.assumptions." vbProcedure="false">{"casespecific",#N/A,FALSE,"Assumptions"}</definedName>
    <definedName function="false" hidden="false" name="wrn.away." vbProcedure="false">{"away stand alones",#N/A,FALSE,"Target"}</definedName>
    <definedName function="false" hidden="false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wrn.BEL." vbProcedure="false">{"IS",#N/A,FALSE,"IS";"RPTIS",#N/A,FALSE,"RPTIS";"STATS",#N/A,FALSE,"STATS";"CELL",#N/A,FALSE,"CELL";"BS",#N/A,FALSE,"BS"}</definedName>
    <definedName function="false" hidden="false" name="wrn.Both." vbProcedure="false">{#N/A,#N/A,FALSE,"1998";#N/A,#N/A,FALSE,"1997"}</definedName>
    <definedName function="false" hidden="false" name="wrn.BPlan." vbProcedure="false">{#N/A,#N/A,FALSE,"F_Plan";#N/A,#N/A,FALSE,"Parameter"}</definedName>
    <definedName function="false" hidden="false" name="wrn.brian." vbProcedure="false">{#N/A,#N/A,FALSE,"output";#N/A,#N/A,FALSE,"contrib";#N/A,#N/A,FALSE,"profile";#N/A,#N/A,FALSE,"comps"}</definedName>
    <definedName function="false" hidden="false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name="wrn.comps." vbProcedure="false">{"comps",#N/A,FALSE,"comps";"notes",#N/A,FALSE,"comps"}</definedName>
    <definedName function="false" hidden="false" name="wrn.contribution." vbProcedure="false">{#N/A,#N/A,FALSE,"Contribution Analysis"}</definedName>
    <definedName function="false" hidden="false" name="wrn.cooper." vbProcedure="false">{#N/A,#N/A,TRUE,"Pro Forma";#N/A,#N/A,TRUE,"PF_Bal";#N/A,#N/A,TRUE,"PF_INC";#N/A,#N/A,TRUE,"CBE";#N/A,#N/A,TRUE,"SWK"}</definedName>
    <definedName function="false" hidden="fals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wrn.csc." vbProcedure="false">{"orixcsc",#N/A,FALSE,"ORIX CSC";"orixcsc2",#N/A,FALSE,"ORIX CSC"}</definedName>
    <definedName function="false" hidden="false" name="wrn.csc2." vbProcedure="false">{#N/A,#N/A,FALSE,"ORIX CSC"}</definedName>
    <definedName function="false" hidden="false" name="wrn.database." vbProcedure="false">{"subs",#N/A,FALSE,"database ";"proportional",#N/A,FALSE,"database "}</definedName>
    <definedName function="false" hidden="false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dil_anal." vbProcedure="false">{"hiden",#N/A,FALSE,"14";"hidden",#N/A,FALSE,"16";"hidden",#N/A,FALSE,"18";"hidden",#N/A,FALSE,"20"}</definedName>
    <definedName function="false" hidden="false" name="wrn.document." vbProcedure="false">{"consolidated",#N/A,FALSE,"Sheet1";"cms",#N/A,FALSE,"Sheet1";"fse",#N/A,FALSE,"Sheet1"}</definedName>
    <definedName function="false" hidden="false" name="wrn.documentaero." vbProcedure="false">{"comps2",#N/A,FALSE,"AERO";"footnotes",#N/A,FALSE,"AERO"}</definedName>
    <definedName function="false" hidden="false" name="wrn.documenthand." vbProcedure="false">{"comps",#N/A,FALSE,"HANDPACK";"footnotes",#N/A,FALSE,"HANDPACK"}</definedName>
    <definedName function="false" hidden="false" name="wrn.equity._.comps." vbProcedure="false">{"equity comps",#N/A,FALSE,"CS Comps";"equity comps",#N/A,FALSE,"PS Comps";"equity comps",#N/A,FALSE,"GIC_Comps";"equity comps",#N/A,FALSE,"GIC2_Comps"}</definedName>
    <definedName function="false" hidden="fals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wrn.Flash._.Report." vbProcedure="false">{#N/A,#N/A,FALSE,"1999 Fiscal Current Week";#N/A,#N/A,FALSE,"1999 Flash Report Variance "}</definedName>
    <definedName function="false" hidden="false" name="wrn.fleck." vbProcedure="false">{"first",#N/A,FALSE,"FLEXPAC2";"second",#N/A,FALSE,"FLEXPAC2"}</definedName>
    <definedName function="false" hidden="false" name="wrn.fleckcompac." vbProcedure="false">{"one",#N/A,FALSE,"FLEXPAC2";"two",#N/A,FALSE,"FLEXPAC2";"three",#N/A,FALSE,"FLEXPAC2"}</definedName>
    <definedName function="false" hidden="false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wrn.Full." vbProcedure="false">{#N/A,#N/A,FALSE,"Cover";"outputs total",#N/A,FALSE,"Outputs"}</definedName>
    <definedName function="false" hidden="false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wrn.imp." vbProcedure="false">{"vue1",#N/A,FALSE,"synthese";"vue2",#N/A,FALSE,"synthese"}</definedName>
    <definedName function="false" hidden="false" name="wrn.Inputsheet_ProjectInput." vbProcedure="false">{"ProjectInput",#N/A,FALSE,"INPUT-AREA"}</definedName>
    <definedName function="false" hidden="false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name="wrn.Mark._.P.._.Report." vbProcedure="false">{#N/A,#N/A,FALSE,"1999 Fiscal Current Week";#N/A,#N/A,FALSE,"1999 Fiscal Variance"}</definedName>
    <definedName function="false" hidden="false" name="wrn.memo." vbProcedure="false">{#N/A,#N/A,TRUE,"financial";#N/A,#N/A,TRUE,"plants"}</definedName>
    <definedName function="false" hidden="false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name="wrn.new." vbProcedure="false">{"new1",#N/A,FALSE,"FLEXPAC2";"new2",#N/A,FALSE,"FLEXPAC2"}</definedName>
    <definedName function="false" hidden="false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name="wrn.Outlook._.Report." vbProcedure="false">{#N/A,#N/A,FALSE,"Outlook for Month ";#N/A,#N/A,FALSE,"Risk for Month ";#N/A,#N/A,FALSE,"Upside for Month"}</definedName>
    <definedName function="false" hidden="fals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wrn.PrimeCo." vbProcedure="false">{"print 1",#N/A,FALSE,"PrimeCo PCS";"print 2",#N/A,FALSE,"PrimeCo PCS";"valuation",#N/A,FALSE,"PrimeCo PCS"}</definedName>
    <definedName function="false" hidden="false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name="wrn.Print._.the._.lot." vbProcedure="false">{"First Page",#N/A,FALSE,"Surfactants LBO";"Second Page",#N/A,FALSE,"Surfactants LBO"}</definedName>
    <definedName function="false" hidden="false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wrn.Printing._.the._.transactions._.sheets." vbProcedure="false">{#N/A,#N/A,FALSE,"Eastern";#N/A,#N/A,FALSE,"Western"}</definedName>
    <definedName function="false" hidden="fals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eport1." vbProcedure="false">{#N/A,#N/A,FALSE,"Operations";#N/A,#N/A,FALSE,"Financials"}</definedName>
    <definedName function="false" hidden="false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wrn.sens." vbProcedure="false">{#N/A,#N/A,FALSE,"Sensitivities";#N/A,#N/A,FALSE,"Sensitivities2"}</definedName>
    <definedName function="false" hidden="false" name="wrn.sensitivity._.analyses." vbProcedure="false">{"general",#N/A,FALSE,"Assumptions"}</definedName>
    <definedName function="false" hidden="false" name="wrn.stand_alone." vbProcedure="false">{#N/A,#N/A,FALSE,"CBE";#N/A,#N/A,FALSE,"SWK"}</definedName>
    <definedName function="false" hidden="false" name="wrn.Summary." vbProcedure="false">{#N/A,#N/A,FALSE,"Summary3";#N/A,#N/A,FALSE,"Summary1";#N/A,#N/A,FALSE,"Summary2";#N/A,#N/A,FALSE,"Sensitivities1";#N/A,#N/A,FALSE,"Sensitivities2"}</definedName>
    <definedName function="false" hidden="false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name="wrn.test." vbProcedure="false">{"test2",#N/A,TRUE,"Prices"}</definedName>
    <definedName function="false" hidden="false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name="wrn.totalcomp." vbProcedure="false">{"comp1",#N/A,FALSE,"COMPS";"footnotes",#N/A,FALSE,"COMPS"}</definedName>
    <definedName function="false" hidden="false" name="wrn.trans._.sum." vbProcedure="false">{"trans assumptions",#N/A,FALSE,"Merger";"trans accretion",#N/A,FALSE,"Merger"}</definedName>
    <definedName function="false" hidden="false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name="wrn.Umsatz." vbProcedure="false">{#N/A,#N/A,FALSE,"Umsatz";#N/A,#N/A,FALSE,"Base V.02";#N/A,#N/A,FALSE,"Charts"}</definedName>
    <definedName function="false" hidden="false" name="wrn.up." vbProcedure="false">{"up stand alones",#N/A,FALSE,"Acquiror"}</definedName>
    <definedName function="false" hidden="false" name="wrn.upfront." vbProcedure="false">{#N/A,#N/A,FALSE,"SUMMARY";#N/A,#N/A,FALSE,"COACH";#N/A,#N/A,FALSE,"ACTIONPK";#N/A,#N/A,FALSE,"LASTCALL";#N/A,#N/A,FALSE,"SUZANNE";#N/A,#N/A,FALSE,"NEXPO"}</definedName>
    <definedName function="false" hidden="false" name="wrn.USW." vbProcedure="false">{"IS",#N/A,FALSE,"IS";"RPTIS",#N/A,FALSE,"RPTIS";"STATS",#N/A,FALSE,"STATS";"BS",#N/A,FALSE,"BS"}</definedName>
    <definedName function="false" hidden="false" name="wrn.édition." vbProcedure="false">{"résultats",#N/A,FALSE,"résultats SFS";"indicateurs",#N/A,FALSE,"résultats SFS";"commentaires",#N/A,FALSE,"commentaires SFS";"graphiques",#N/A,FALSE,"graphiques SFS"}</definedName>
    <definedName function="false" hidden="false" name="wrn1.flash._.Report." vbProcedure="false">{#N/A,#N/A,FALSE,"1999 Fiscal Current Week";#N/A,#N/A,FALSE,"1999 Flash Report Variance "}</definedName>
    <definedName function="false" hidden="false" name="wrn2.Bplan." vbProcedure="false">{#N/A,#N/A,FALSE,"F_Plan";#N/A,#N/A,FALSE,"Parameter"}</definedName>
    <definedName function="false" hidden="false" name="WRN2.Document" vbProcedure="false">{"consolidated",#N/A,FALSE,"Sheet1";"cms",#N/A,FALSE,"Sheet1";"fse",#N/A,FALSE,"Sheet1"}</definedName>
    <definedName function="false" hidden="false" name="W___0" vbProcedure="false">#REF!</definedName>
    <definedName function="false" hidden="false" name="W___12" vbProcedure="false">#REF!</definedName>
    <definedName function="false" hidden="false" name="W___14" vbProcedure="false">#REF!</definedName>
    <definedName function="false" hidden="false" name="W___16" vbProcedure="false">#REF!</definedName>
    <definedName function="false" hidden="false" name="W___2" vbProcedure="false">#REF!</definedName>
    <definedName function="false" hidden="false" name="W___25" vbProcedure="false">#REF!</definedName>
    <definedName function="false" hidden="false" name="W___26" vbProcedure="false">#REF!</definedName>
    <definedName function="false" hidden="false" name="W___27" vbProcedure="false">#REF!</definedName>
    <definedName function="false" hidden="false" name="W___4" vbProcedure="false">#REF!</definedName>
    <definedName function="false" hidden="false" name="W___5" vbProcedure="false">#REF!</definedName>
    <definedName function="false" hidden="false" name="W___7" vbProcedure="false">#REF!</definedName>
    <definedName function="false" hidden="false" name="X" vbProcedure="false">#REF!</definedName>
    <definedName function="false" hidden="false" name="xcdq" vbProcedure="false">{#N/A,#N/A,FALSE,"Outlook for Month ";#N/A,#N/A,FALSE,"Risk for Month ";#N/A,#N/A,FALSE,"Upside for Month"}</definedName>
    <definedName function="false" hidden="false" name="xcvxcvx" vbProcedure="false">#REF!</definedName>
    <definedName function="false" hidden="false" name="xf" vbProcedure="false">#REF!</definedName>
    <definedName function="false" hidden="false" name="XRefActiveRow" vbProcedure="false">#REF!</definedName>
    <definedName function="false" hidden="false" name="XRefColumnsCount" vbProcedure="false">2</definedName>
    <definedName function="false" hidden="false" name="XRefCopy2Row" vbProcedure="false">#REF!</definedName>
    <definedName function="false" hidden="false" name="XRefCopyRangeCount" vbProcedure="false">2</definedName>
    <definedName function="false" hidden="false" name="XRefPaste2Row" vbProcedure="false">#REF!</definedName>
    <definedName function="false" hidden="false" name="XRefPaste3Row" vbProcedure="false">#REF!</definedName>
    <definedName function="false" hidden="false" name="XRefPaste4Row" vbProcedure="false">#REF!</definedName>
    <definedName function="false" hidden="false" name="XRefPaste5Row" vbProcedure="false">#REF!</definedName>
    <definedName function="false" hidden="false" name="XRefPasteRangeCount" vbProcedure="false">5</definedName>
    <definedName function="false" hidden="false" name="xv" vbProcedure="false">#REF!</definedName>
    <definedName function="false" hidden="false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XXX" vbProcedure="false">#N/A</definedName>
    <definedName function="false" hidden="false" name="xxxxx" vbProcedure="false">{#N/A,#N/A,FALSE,"CBE";#N/A,#N/A,FALSE,"SWK"}</definedName>
    <definedName function="false" hidden="false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X___12" vbProcedure="false">#REF!</definedName>
    <definedName function="false" hidden="false" name="X___2" vbProcedure="false">#REF!</definedName>
    <definedName function="false" hidden="false" name="X___25" vbProcedure="false">#REF!</definedName>
    <definedName function="false" hidden="false" name="X___26" vbProcedure="false">#REF!</definedName>
    <definedName function="false" hidden="false" name="X___4" vbProcedure="false">#REF!</definedName>
    <definedName function="false" hidden="false" name="X___6" vbProcedure="false">#REF!</definedName>
    <definedName function="false" hidden="false" name="X___7" vbProcedure="false">#REF!</definedName>
    <definedName function="false" hidden="false" name="Y" vbProcedure="false">#N/A</definedName>
    <definedName function="false" hidden="false" name="yak" vbProcedure="false">#REF!</definedName>
    <definedName function="false" hidden="false" name="year" vbProcedure="false">#REF!</definedName>
    <definedName function="false" hidden="false" name="YER" vbProcedure="false">#N/A</definedName>
    <definedName function="false" hidden="false" name="yfj" vbProcedure="false">{#N/A,#N/A,TRUE,"Cover sheet";#N/A,#N/A,TRUE,"INPUTS";#N/A,#N/A,TRUE,"OUTPUTS";#N/A,#N/A,TRUE,"VALUATION"}</definedName>
    <definedName function="false" hidden="false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yre" vbProcedure="false">{#N/A,#N/A,FALSE,"ORIX CSC"}</definedName>
    <definedName function="false" hidden="false" name="yutut" vbProcedure="false">#REF!</definedName>
    <definedName function="false" hidden="false" name="yuyuuyuyuyuyu" vbProcedure="false">{#N/A,#N/A,TRUE,"Cover sheet";#N/A,#N/A,TRUE,"DCF analysis";#N/A,#N/A,TRUE,"WACC calculation"}</definedName>
    <definedName function="false" hidden="false" name="yyyy" vbProcedure="false">yyyy</definedName>
    <definedName function="false" hidden="false" name="Z" vbProcedure="false">#REF!</definedName>
    <definedName function="false" hidden="false" name="ZA" vbProcedure="false">#REF!</definedName>
    <definedName function="false" hidden="false" name="ZAA" vbProcedure="false">#REF!</definedName>
    <definedName function="false" hidden="false" name="ZAAZAZ" vbProcedure="false">#REF!</definedName>
    <definedName function="false" hidden="false" name="ZAGOR" vbProcedure="false">#REF!</definedName>
    <definedName function="false" hidden="false" name="ZAGOR___0" vbProcedure="false">#REF!</definedName>
    <definedName function="false" hidden="false" name="ZAGOR___12" vbProcedure="false">#REF!</definedName>
    <definedName function="false" hidden="false" name="ZAGOR___14" vbProcedure="false">#REF!</definedName>
    <definedName function="false" hidden="false" name="ZAGOR___16" vbProcedure="false">#REF!</definedName>
    <definedName function="false" hidden="false" name="ZAGOR___2" vbProcedure="false">#REF!</definedName>
    <definedName function="false" hidden="false" name="ZAGOR___25" vbProcedure="false">#REF!</definedName>
    <definedName function="false" hidden="false" name="ZAGOR___26" vbProcedure="false">#REF!</definedName>
    <definedName function="false" hidden="false" name="ZAGOR___27" vbProcedure="false">#REF!</definedName>
    <definedName function="false" hidden="false" name="ZAGOR___4" vbProcedure="false">#REF!</definedName>
    <definedName function="false" hidden="false" name="ZAGOR___5" vbProcedure="false">#REF!</definedName>
    <definedName function="false" hidden="false" name="ZAGOR___7" vbProcedure="false">#REF!</definedName>
    <definedName function="false" hidden="false" name="ZAZA" vbProcedure="false">#REF!</definedName>
    <definedName function="false" hidden="false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zbari" vbProcedure="false">#N/A</definedName>
    <definedName function="false" hidden="false" name="zc" vbProcedure="false">{#N/A,#N/A,FALSE,"ORIX CSC"}</definedName>
    <definedName function="false" hidden="false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E" vbProcedure="false">#N/A</definedName>
    <definedName function="false" hidden="false" name="zedaqzd" vbProcedure="false">{#N/A,#N/A,FALSE,"Operations";#N/A,#N/A,FALSE,"Financials"}</definedName>
    <definedName function="false" hidden="false" name="zefz" vbProcedure="false">{"First Page",#N/A,FALSE,"Surfactants LBO";"Second Page",#N/A,FALSE,"Surfactants LBO"}</definedName>
    <definedName function="false" hidden="false" name="ZEGTQZE" vbProcedure="false">#REF!</definedName>
    <definedName function="false" hidden="false" name="zetet" vbProcedure="false">#N/A</definedName>
    <definedName function="false" hidden="false" name="zez" vbProcedure="false">#REF!</definedName>
    <definedName function="false" hidden="false" name="zezdc" vbProcedure="false">#N/A</definedName>
    <definedName function="false" hidden="false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g" vbProcedure="false">{#N/A,#N/A,FALSE,"Contribution Analysis"}</definedName>
    <definedName function="false" hidden="false" name="zh" vbProcedure="false">{"IS",#N/A,FALSE,"IS";"RPTIS",#N/A,FALSE,"RPTIS";"STATS",#N/A,FALSE,"STATS";"CELL",#N/A,FALSE,"CELL";"BS",#N/A,FALSE,"BS"}</definedName>
    <definedName function="false" hidden="false" name="zi" vbProcedure="false">{#N/A,#N/A,FALSE,"ORIX CSC"}</definedName>
    <definedName function="false" hidden="false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l" vbProcedure="false">{"IS",#N/A,FALSE,"IS";"RPTIS",#N/A,FALSE,"RPTIS";"STATS",#N/A,FALSE,"STATS";"CELL",#N/A,FALSE,"CELL";"BS",#N/A,FALSE,"BS"}</definedName>
    <definedName function="false" hidden="false" name="zm" vbProcedure="false">{#N/A,#N/A,FALSE,"Contribution Analysis"}</definedName>
    <definedName function="false" hidden="false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o" vbProcedure="false">{"orixcsc",#N/A,FALSE,"ORIX CSC";"orixcsc2",#N/A,FALSE,"ORIX CSC"}</definedName>
    <definedName function="false" hidden="false" name="zoneT" vbProcedure="false">#REF!</definedName>
    <definedName function="false" hidden="false" name="zonetri" vbProcedure="false">#REF!</definedName>
    <definedName function="false" hidden="false" name="zonetri2" vbProcedure="false">#REF!</definedName>
    <definedName function="false" hidden="false" name="Zone_impres_MI" vbProcedure="false">#REF!</definedName>
    <definedName function="false" hidden="false" name="Zone_impres_MI___12" vbProcedure="false">#REF!</definedName>
    <definedName function="false" hidden="false" name="Zone_impres_MI___2" vbProcedure="false">#REF!</definedName>
    <definedName function="false" hidden="false" name="Zone_impres_MI___25" vbProcedure="false">#REF!</definedName>
    <definedName function="false" hidden="false" name="Zone_impres_MI___26" vbProcedure="false">#REF!</definedName>
    <definedName function="false" hidden="false" name="Zone_impres_MI___4" vbProcedure="false">#REF!</definedName>
    <definedName function="false" hidden="false" name="Zone_impres_MI___6" vbProcedure="false">#REF!</definedName>
    <definedName function="false" hidden="false" name="Zone_impres_MI___7" vbProcedure="false">#REF!</definedName>
    <definedName function="false" hidden="false" name="zp" vbProcedure="false">{"IS",#N/A,FALSE,"IS";"RPTIS",#N/A,FALSE,"RPTIS";"STATS",#N/A,FALSE,"STATS";"CELL",#N/A,FALSE,"CELL";"BS",#N/A,FALSE,"BS"}</definedName>
    <definedName function="false" hidden="false" name="zq" vbProcedure="false">{"IS",#N/A,FALSE,"IS";"RPTIS",#N/A,FALSE,"RPTIS";"STATS",#N/A,FALSE,"STATS";"CELL",#N/A,FALSE,"CELL";"BS",#N/A,FALSE,"BS"}</definedName>
    <definedName function="false" hidden="false" name="ZQRG" vbProcedure="false">#N/A</definedName>
    <definedName function="false" hidden="false" name="zr" vbProcedure="false">{"IS",#N/A,FALSE,"IS";"RPTIS",#N/A,FALSE,"RPTIS";"STATS",#N/A,FALSE,"STATS";"BS",#N/A,FALSE,"BS"}</definedName>
    <definedName function="false" hidden="false" name="zrdzf" vbProcedure="false">#N/A</definedName>
    <definedName function="false" hidden="false" name="zreffze" vbProcedure="false">#REF!</definedName>
    <definedName function="false" hidden="false" name="zs" vbProcedure="false">{"subs",#N/A,FALSE,"database ";"proportional",#N/A,FALSE,"database "}</definedName>
    <definedName function="false" hidden="false" name="zt" vbProcedure="false">{"test2",#N/A,TRUE,"Prices"}</definedName>
    <definedName function="false" hidden="false" name="zu" vbProcedure="false">{"IS",#N/A,FALSE,"IS";"RPTIS",#N/A,FALSE,"RPTIS";"STATS",#N/A,FALSE,"STATS";"CELL",#N/A,FALSE,"CELL";"BS",#N/A,FALSE,"BS"}</definedName>
    <definedName function="false" hidden="false" name="zv" vbProcedure="false">{"subs",#N/A,FALSE,"database ";"proportional",#N/A,FALSE,"database "}</definedName>
    <definedName function="false" hidden="false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x" vbProcedure="false">{"orixcsc",#N/A,FALSE,"ORIX CSC";"orixcsc2",#N/A,FALSE,"ORIX CSC"}</definedName>
    <definedName function="false" hidden="false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" vbProcedure="false">#N/A</definedName>
    <definedName function="false" hidden="false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zzzz" vbProcedure="false">[0]!tx_intérêt_par_an/#REF!</definedName>
    <definedName function="false" hidden="false" name="ZZZZZ" vbProcedure="false">#N/A</definedName>
    <definedName function="false" hidden="false" name="ZZZZZZ" vbProcedure="false">#N/A</definedName>
    <definedName function="false" hidden="false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zzzzzz" vbProcedure="false">[0]!tx_intérêt_par_an/#REF!</definedName>
    <definedName function="false" hidden="false" name="zzzz___0" vbProcedure="false">Tx_intérêt_par_an___0/#REF!</definedName>
    <definedName function="false" hidden="false" name="zzzz___12" vbProcedure="false">Tx_intérêt_par_an___12/#REF!</definedName>
    <definedName function="false" hidden="false" name="zzzz___14" vbProcedure="false">Tx_intérêt_par_an___14/#REF!</definedName>
    <definedName function="false" hidden="false" name="zzzz___16" vbProcedure="false">Tx_intérêt_par_an___16/#REF!</definedName>
    <definedName function="false" hidden="false" name="zzzz___2" vbProcedure="false">Tx_intérêt_par_an___2/#REF!</definedName>
    <definedName function="false" hidden="false" name="zzzz___23" vbProcedure="false">Tx_intérêt_par_an___0/#REF!</definedName>
    <definedName function="false" hidden="false" name="zzzz___25" vbProcedure="false">Tx_intérêt_par_an___25/#REF!</definedName>
    <definedName function="false" hidden="false" name="zzzz___26" vbProcedure="false">Tx_intérêt_par_an___26/#REF!</definedName>
    <definedName function="false" hidden="false" name="zzzz___27" vbProcedure="false">Tx_intérêt_par_an___27/#REF!</definedName>
    <definedName function="false" hidden="false" name="zzzz___3" vbProcedure="false">Tx_intérêt_par_an___0/#REF!</definedName>
    <definedName function="false" hidden="false" name="zzzz___4" vbProcedure="false">Tx_intérêt_par_an___4/#REF!</definedName>
    <definedName function="false" hidden="false" name="zzzz___5" vbProcedure="false">Tx_intérêt_par_an___5/#REF!</definedName>
    <definedName function="false" hidden="false" name="zzzz___7" vbProcedure="false">Tx_intérêt_par_an___7/#REF!</definedName>
    <definedName function="false" hidden="false" name="zzzz___9" vbProcedure="false">Tx_intérêt_par_an___0/#REF!</definedName>
    <definedName function="false" hidden="false" name="zzz___0" vbProcedure="false">Nb_de_paiements_par_an___0*#REF!</definedName>
    <definedName function="false" hidden="false" name="zzz___12" vbProcedure="false">#N/A</definedName>
    <definedName function="false" hidden="false" name="zzz___14" vbProcedure="false">Nb_de_paiements_par_an___14*#REF!</definedName>
    <definedName function="false" hidden="false" name="zzz___16" vbProcedure="false">Nb_de_paiements_par_an___16*#REF!</definedName>
    <definedName function="false" hidden="false" name="zzz___23" vbProcedure="false">Nb_de_paiements_par_an___0*#REF!</definedName>
    <definedName function="false" hidden="false" name="zzz___25" vbProcedure="false">Nb_de_paiements_par_an___0*#REF!</definedName>
    <definedName function="false" hidden="false" name="zzz___26" vbProcedure="false">Nb_de_paiements_par_an___0*#REF!</definedName>
    <definedName function="false" hidden="false" name="zzz___27" vbProcedure="false">NA()</definedName>
    <definedName function="false" hidden="false" name="zzz___5" vbProcedure="false">NA()</definedName>
    <definedName function="false" hidden="false" name="zzz___6" vbProcedure="false">#N/A</definedName>
    <definedName function="false" hidden="false" name="zzz___7" vbProcedure="false">Nb_de_paiements_par_an___0*#REF!</definedName>
    <definedName function="false" hidden="false" name="zzz___9" vbProcedure="false">Nb_de_paiements_par_an___0*#REF!</definedName>
    <definedName function="false" hidden="false" name="Z___0" vbProcedure="false">NA()</definedName>
    <definedName function="false" hidden="false" name="Z___12" vbProcedure="false">#REF!</definedName>
    <definedName function="false" hidden="false" name="Z___2" vbProcedure="false">#REF!</definedName>
    <definedName function="false" hidden="false" name="Z___25" vbProcedure="false">#REF!</definedName>
    <definedName function="false" hidden="false" name="Z___26" vbProcedure="false">#REF!</definedName>
    <definedName function="false" hidden="false" name="Z___27" vbProcedure="false">NA()</definedName>
    <definedName function="false" hidden="false" name="Z___4" vbProcedure="false">#REF!</definedName>
    <definedName function="false" hidden="false" name="Z___5" vbProcedure="false">NA()</definedName>
    <definedName function="false" hidden="false" name="Z___6" vbProcedure="false">#REF!</definedName>
    <definedName function="false" hidden="false" name="Z___7" vbProcedure="false">#REF!</definedName>
    <definedName function="false" hidden="false" name="\e" vbProcedure="false">#N/A</definedName>
    <definedName function="false" hidden="false" name="\M" vbProcedure="false">#REF!</definedName>
    <definedName function="false" hidden="false" name="\p" vbProcedure="false">'[1]cur q v plan'!#ref!</definedName>
    <definedName function="false" hidden="false" name="\r" vbProcedure="false">#N/A</definedName>
    <definedName function="false" hidden="false" name="\t" vbProcedure="false">#N/A</definedName>
    <definedName function="false" hidden="false" name="_" vbProcedure="false">#REF!</definedName>
    <definedName function="false" hidden="false" name="_0" vbProcedure="false">#REF!</definedName>
    <definedName function="false" hidden="false" name="_0C" vbProcedure="false">#REF!</definedName>
    <definedName function="false" hidden="false" name="_0C___0" vbProcedure="false">#REF!</definedName>
    <definedName function="false" hidden="false" name="_0C___12" vbProcedure="false">#REF!</definedName>
    <definedName function="false" hidden="false" name="_0C___14" vbProcedure="false">#REF!</definedName>
    <definedName function="false" hidden="false" name="_0C___16" vbProcedure="false">#REF!</definedName>
    <definedName function="false" hidden="false" name="_0C___2" vbProcedure="false">#REF!</definedName>
    <definedName function="false" hidden="false" name="_0C___25" vbProcedure="false">#REF!</definedName>
    <definedName function="false" hidden="false" name="_0C___26" vbProcedure="false">#REF!</definedName>
    <definedName function="false" hidden="false" name="_0C___27" vbProcedure="false">#REF!</definedName>
    <definedName function="false" hidden="false" name="_0C___4" vbProcedure="false">#REF!</definedName>
    <definedName function="false" hidden="false" name="_0C___5" vbProcedure="false">#REF!</definedName>
    <definedName function="false" hidden="false" name="_0C___7" vbProcedure="false">#REF!</definedName>
    <definedName function="false" hidden="false" name="_0___0" vbProcedure="false">#REF!</definedName>
    <definedName function="false" hidden="false" name="_0___12" vbProcedure="false">#REF!</definedName>
    <definedName function="false" hidden="false" name="_0___14" vbProcedure="false">#REF!</definedName>
    <definedName function="false" hidden="false" name="_0___16" vbProcedure="false">#REF!</definedName>
    <definedName function="false" hidden="false" name="_0___2" vbProcedure="false">#REF!</definedName>
    <definedName function="false" hidden="false" name="_0___25" vbProcedure="false">#REF!</definedName>
    <definedName function="false" hidden="false" name="_0___26" vbProcedure="false">#REF!</definedName>
    <definedName function="false" hidden="false" name="_0___27" vbProcedure="false">#REF!</definedName>
    <definedName function="false" hidden="false" name="_0___4" vbProcedure="false">#REF!</definedName>
    <definedName function="false" hidden="false" name="_0___5" vbProcedure="false">#REF!</definedName>
    <definedName function="false" hidden="false" name="_0___7" vbProcedure="false">#REF!</definedName>
    <definedName function="false" hidden="false" name="_109__123Graph_LBL_ACHART_1" vbProcedure="false">[12]synthgraph!#ref!</definedName>
    <definedName function="false" hidden="false" name="_10_0__123Grap" vbProcedure="false">#REF!</definedName>
    <definedName function="false" hidden="false" name="_111__123Graph_LBL_ACHART_3" vbProcedure="false">#REF!</definedName>
    <definedName function="false" hidden="false" name="_11__123Graph_BCHART_1" vbProcedure="false">[12]synthgraph!#ref!</definedName>
    <definedName function="false" hidden="false" name="_129__123Graph_LBL_DCHART_1" vbProcedure="false">[12]synthgraph!#ref!</definedName>
    <definedName function="false" hidden="false" name="_13_0__123Grap" vbProcedure="false">#REF!</definedName>
    <definedName function="false" hidden="false" name="_13__123Graph_BCHART_3" vbProcedure="false">#REF!</definedName>
    <definedName function="false" hidden="false" name="_17__123Graph_DCHART_1" vbProcedure="false">[12]synthgraph!#ref!</definedName>
    <definedName function="false" hidden="false" name="_18_0__123Grap" vbProcedure="false">#REF!</definedName>
    <definedName function="false" hidden="false" name="_1993" vbProcedure="false">'[1]cur q v plan'!#ref!</definedName>
    <definedName function="false" hidden="false" name="_19_0__123Grap" vbProcedure="false">#REF!</definedName>
    <definedName function="false" hidden="false" name="_1_" vbProcedure="false">#REF!</definedName>
    <definedName function="false" hidden="false" name="_1_1_97_Balance" vbProcedure="false">#REF!</definedName>
    <definedName function="false" hidden="false" name="_200" vbProcedure="false">#REF!</definedName>
    <definedName function="false" hidden="false" name="_200___0" vbProcedure="false">#REF!</definedName>
    <definedName function="false" hidden="false" name="_200___12" vbProcedure="false">#REF!</definedName>
    <definedName function="false" hidden="false" name="_200___14" vbProcedure="false">#REF!</definedName>
    <definedName function="false" hidden="false" name="_200___16" vbProcedure="false">#REF!</definedName>
    <definedName function="false" hidden="false" name="_200___2" vbProcedure="false">#REF!</definedName>
    <definedName function="false" hidden="false" name="_200___25" vbProcedure="false">#REF!</definedName>
    <definedName function="false" hidden="false" name="_200___26" vbProcedure="false">#REF!</definedName>
    <definedName function="false" hidden="false" name="_200___27" vbProcedure="false">#REF!</definedName>
    <definedName function="false" hidden="false" name="_200___4" vbProcedure="false">#REF!</definedName>
    <definedName function="false" hidden="false" name="_200___5" vbProcedure="false">#REF!</definedName>
    <definedName function="false" hidden="false" name="_200___7" vbProcedure="false">#REF!</definedName>
    <definedName function="false" hidden="false" name="_20__123Graph_LBL_ACHART_1" vbProcedure="false">[12]synthgraph!#ref!</definedName>
    <definedName function="false" hidden="false" name="_211_I_1_6" vbProcedure="false">#REF!</definedName>
    <definedName function="false" hidden="false" name="_212" vbProcedure="false">#REF!</definedName>
    <definedName function="false" hidden="false" name="_212___0" vbProcedure="false">#REF!</definedName>
    <definedName function="false" hidden="false" name="_212___12" vbProcedure="false">#REF!</definedName>
    <definedName function="false" hidden="false" name="_212___14" vbProcedure="false">#REF!</definedName>
    <definedName function="false" hidden="false" name="_212___16" vbProcedure="false">#REF!</definedName>
    <definedName function="false" hidden="false" name="_212___2" vbProcedure="false">#REF!</definedName>
    <definedName function="false" hidden="false" name="_212___25" vbProcedure="false">#REF!</definedName>
    <definedName function="false" hidden="false" name="_212___26" vbProcedure="false">#REF!</definedName>
    <definedName function="false" hidden="false" name="_212___27" vbProcedure="false">#REF!</definedName>
    <definedName function="false" hidden="false" name="_212___4" vbProcedure="false">#REF!</definedName>
    <definedName function="false" hidden="false" name="_212___5" vbProcedure="false">#REF!</definedName>
    <definedName function="false" hidden="false" name="_212___7" vbProcedure="false">#REF!</definedName>
    <definedName function="false" hidden="false" name="_214" vbProcedure="false">#REF!</definedName>
    <definedName function="false" hidden="false" name="_214___0" vbProcedure="false">#REF!</definedName>
    <definedName function="false" hidden="false" name="_214___12" vbProcedure="false">#REF!</definedName>
    <definedName function="false" hidden="false" name="_214___14" vbProcedure="false">#REF!</definedName>
    <definedName function="false" hidden="false" name="_214___16" vbProcedure="false">#REF!</definedName>
    <definedName function="false" hidden="false" name="_214___2" vbProcedure="false">#REF!</definedName>
    <definedName function="false" hidden="false" name="_214___25" vbProcedure="false">#REF!</definedName>
    <definedName function="false" hidden="false" name="_214___26" vbProcedure="false">#REF!</definedName>
    <definedName function="false" hidden="false" name="_214___27" vbProcedure="false">#REF!</definedName>
    <definedName function="false" hidden="false" name="_214___4" vbProcedure="false">#REF!</definedName>
    <definedName function="false" hidden="false" name="_214___5" vbProcedure="false">#REF!</definedName>
    <definedName function="false" hidden="false" name="_214___7" vbProcedure="false">#REF!</definedName>
    <definedName function="false" hidden="false" name="_216" vbProcedure="false">#REF!</definedName>
    <definedName function="false" hidden="false" name="_216___0" vbProcedure="false">#REF!</definedName>
    <definedName function="false" hidden="false" name="_216___12" vbProcedure="false">#REF!</definedName>
    <definedName function="false" hidden="false" name="_216___14" vbProcedure="false">#REF!</definedName>
    <definedName function="false" hidden="false" name="_216___16" vbProcedure="false">#REF!</definedName>
    <definedName function="false" hidden="false" name="_216___2" vbProcedure="false">#REF!</definedName>
    <definedName function="false" hidden="false" name="_216___25" vbProcedure="false">#REF!</definedName>
    <definedName function="false" hidden="false" name="_216___26" vbProcedure="false">#REF!</definedName>
    <definedName function="false" hidden="false" name="_216___27" vbProcedure="false">#REF!</definedName>
    <definedName function="false" hidden="false" name="_216___4" vbProcedure="false">#REF!</definedName>
    <definedName function="false" hidden="false" name="_216___5" vbProcedure="false">#REF!</definedName>
    <definedName function="false" hidden="false" name="_216___7" vbProcedure="false">#REF!</definedName>
    <definedName function="false" hidden="false" name="_22_0__123Grap" vbProcedure="false">#REF!</definedName>
    <definedName function="false" hidden="false" name="_22__123Graph_LBL_ACHART_3" vbProcedure="false">#REF!</definedName>
    <definedName function="false" hidden="false" name="_232_IV_3_1" vbProcedure="false">#REF!</definedName>
    <definedName function="false" hidden="false" name="_24__123Graph_LBL_DCHART_1" vbProcedure="false">[12]synthgraph!#ref!</definedName>
    <definedName function="false" hidden="false" name="_27_0" vbProcedure="false">#REF!</definedName>
    <definedName function="false" hidden="false" name="_2C" vbProcedure="false">#REF!</definedName>
    <definedName function="false" hidden="false" name="_2C___0" vbProcedure="false">#REF!</definedName>
    <definedName function="false" hidden="false" name="_2C___12" vbProcedure="false">#REF!</definedName>
    <definedName function="false" hidden="false" name="_2C___14" vbProcedure="false">#REF!</definedName>
    <definedName function="false" hidden="false" name="_2C___16" vbProcedure="false">#REF!</definedName>
    <definedName function="false" hidden="false" name="_2C___2" vbProcedure="false">#REF!</definedName>
    <definedName function="false" hidden="false" name="_2C___25" vbProcedure="false">#REF!</definedName>
    <definedName function="false" hidden="false" name="_2C___26" vbProcedure="false">#REF!</definedName>
    <definedName function="false" hidden="false" name="_2C___27" vbProcedure="false">#REF!</definedName>
    <definedName function="false" hidden="false" name="_2C___4" vbProcedure="false">#REF!</definedName>
    <definedName function="false" hidden="false" name="_2C___5" vbProcedure="false">#REF!</definedName>
    <definedName function="false" hidden="false" name="_2C___7" vbProcedure="false">#REF!</definedName>
    <definedName function="false" hidden="false" name="_2_" vbProcedure="false">#REF!</definedName>
    <definedName function="false" hidden="false" name="_3" vbProcedure="false">#REF!</definedName>
    <definedName function="false" hidden="false" name="_30__123Graph_ACHART_1" vbProcedure="false">[12]synthgraph!#ref!</definedName>
    <definedName function="false" hidden="false" name="_31_12_88" vbProcedure="false">#N/A</definedName>
    <definedName function="false" hidden="false" name="_32__123Graph_ACHART_1" vbProcedure="false">[12]synthgraph!#ref!</definedName>
    <definedName function="false" hidden="false" name="_32__123Graph_ACHART_3" vbProcedure="false">#REF!</definedName>
    <definedName function="false" hidden="false" name="_34__123Graph_ACHART_3" vbProcedure="false">#REF!</definedName>
    <definedName function="false" hidden="false" name="_34__123Graph_BCHART_1" vbProcedure="false">[12]synthgraph!#ref!</definedName>
    <definedName function="false" hidden="false" name="_36__123Graph_BCHART_3" vbProcedure="false">#REF!</definedName>
    <definedName function="false" hidden="false" name="_37_0__123Grap" vbProcedure="false">#REF!</definedName>
    <definedName function="false" hidden="false" name="_39_0__123Grap" vbProcedure="false">#REF!</definedName>
    <definedName function="false" hidden="false" name="_3_" vbProcedure="false">#REF!</definedName>
    <definedName function="false" hidden="false" name="_3_123Grap" vbProcedure="false">#REF!</definedName>
    <definedName function="false" hidden="false" name="_3___12" vbProcedure="false">#REF!</definedName>
    <definedName function="false" hidden="false" name="_40__123Graph_DCHART_1" vbProcedure="false">[12]synthgraph!#ref!</definedName>
    <definedName function="false" hidden="false" name="_43__123Graph_LBL_ACHART_1" vbProcedure="false">[12]synthgraph!#ref!</definedName>
    <definedName function="false" hidden="false" name="_45__123Graph_LBL_ACHART_3" vbProcedure="false">#REF!</definedName>
    <definedName function="false" hidden="false" name="_47_1BudgetPôleFixe03" vbProcedure="false">#REF!</definedName>
    <definedName function="false" hidden="false" name="_47__123Graph_LBL_DCHART_1" vbProcedure="false">[12]synthgraph!#ref!</definedName>
    <definedName function="false" hidden="false" name="_4C" vbProcedure="false">#REF!</definedName>
    <definedName function="false" hidden="false" name="_4C___0" vbProcedure="false">#REF!</definedName>
    <definedName function="false" hidden="false" name="_4C___12" vbProcedure="false">#REF!</definedName>
    <definedName function="false" hidden="false" name="_4C___14" vbProcedure="false">#REF!</definedName>
    <definedName function="false" hidden="false" name="_4C___16" vbProcedure="false">#REF!</definedName>
    <definedName function="false" hidden="false" name="_4C___2" vbProcedure="false">#REF!</definedName>
    <definedName function="false" hidden="false" name="_4C___25" vbProcedure="false">#REF!</definedName>
    <definedName function="false" hidden="false" name="_4C___26" vbProcedure="false">#REF!</definedName>
    <definedName function="false" hidden="false" name="_4C___27" vbProcedure="false">#REF!</definedName>
    <definedName function="false" hidden="false" name="_4C___4" vbProcedure="false">#REF!</definedName>
    <definedName function="false" hidden="false" name="_4C___5" vbProcedure="false">#REF!</definedName>
    <definedName function="false" hidden="false" name="_4C___7" vbProcedure="false">#REF!</definedName>
    <definedName function="false" hidden="false" name="_50S" vbProcedure="false">#REF!</definedName>
    <definedName function="false" hidden="false" name="_52__123Graph_BCHART_1" vbProcedure="false">[12]synthgraph!#ref!</definedName>
    <definedName function="false" hidden="false" name="_53___0__123Grap" vbProcedure="false">#REF!</definedName>
    <definedName function="false" hidden="false" name="_54__123Graph_BCHART_3" vbProcedure="false">#REF!</definedName>
    <definedName function="false" hidden="false" name="_5_0__123Grap" vbProcedure="false">#REF!</definedName>
    <definedName function="false" hidden="false" name="_5_123Grap" vbProcedure="false">#REF!</definedName>
    <definedName function="false" hidden="false" name="_61220100" vbProcedure="false">#REF!</definedName>
    <definedName function="false" hidden="false" name="_61220200" vbProcedure="false">#REF!</definedName>
    <definedName function="false" hidden="false" name="_6133_1_3" vbProcedure="false">#REF!</definedName>
    <definedName function="false" hidden="false" name="_63" vbProcedure="false">#REF!</definedName>
    <definedName function="false" hidden="false" name="_63___12" vbProcedure="false">#REF!</definedName>
    <definedName function="false" hidden="false" name="_657_0__123Grap" vbProcedure="false">#REF!</definedName>
    <definedName function="false" hidden="false" name="_658_0__123Grap" vbProcedure="false">#REF!</definedName>
    <definedName function="false" hidden="false" name="_659_0__123Grap" vbProcedure="false">#REF!</definedName>
    <definedName function="false" hidden="false" name="_660_0__123Grap" vbProcedure="false">#REF!</definedName>
    <definedName function="false" hidden="false" name="_6C" vbProcedure="false">#REF!</definedName>
    <definedName function="false" hidden="false" name="_6C___0" vbProcedure="false">#REF!</definedName>
    <definedName function="false" hidden="false" name="_6C___12" vbProcedure="false">#REF!</definedName>
    <definedName function="false" hidden="false" name="_6C___14" vbProcedure="false">#REF!</definedName>
    <definedName function="false" hidden="false" name="_6C___16" vbProcedure="false">#REF!</definedName>
    <definedName function="false" hidden="false" name="_6C___2" vbProcedure="false">#REF!</definedName>
    <definedName function="false" hidden="false" name="_6C___25" vbProcedure="false">#REF!</definedName>
    <definedName function="false" hidden="false" name="_6C___26" vbProcedure="false">#REF!</definedName>
    <definedName function="false" hidden="false" name="_6C___27" vbProcedure="false">#REF!</definedName>
    <definedName function="false" hidden="false" name="_6C___4" vbProcedure="false">#REF!</definedName>
    <definedName function="false" hidden="false" name="_6C___5" vbProcedure="false">#REF!</definedName>
    <definedName function="false" hidden="false" name="_6C___7" vbProcedure="false">#REF!</definedName>
    <definedName function="false" hidden="false" name="_6_0__123Grap" vbProcedure="false">#REF!</definedName>
    <definedName function="false" hidden="false" name="_76_0__123Grap" vbProcedure="false">#REF!</definedName>
    <definedName function="false" hidden="false" name="_7_0__123Grap" vbProcedure="false">#REF!</definedName>
    <definedName function="false" hidden="false" name="_7__123Graph_ACHART_1" vbProcedure="false">[12]synthgraph!#ref!</definedName>
    <definedName function="false" hidden="false" name="_90__123Graph_DCHART_1" vbProcedure="false">[12]synthgraph!#ref!</definedName>
    <definedName function="false" hidden="false" name="_94" vbProcedure="false">#REF!</definedName>
    <definedName function="false" hidden="false" name="_94___0" vbProcedure="false">#REF!</definedName>
    <definedName function="false" hidden="false" name="_94___12" vbProcedure="false">#REF!</definedName>
    <definedName function="false" hidden="false" name="_94___14" vbProcedure="false">#REF!</definedName>
    <definedName function="false" hidden="false" name="_94___16" vbProcedure="false">#REF!</definedName>
    <definedName function="false" hidden="false" name="_94___2" vbProcedure="false">#REF!</definedName>
    <definedName function="false" hidden="false" name="_94___25" vbProcedure="false">#REF!</definedName>
    <definedName function="false" hidden="false" name="_94___26" vbProcedure="false">#REF!</definedName>
    <definedName function="false" hidden="false" name="_94___27" vbProcedure="false">#REF!</definedName>
    <definedName function="false" hidden="false" name="_94___4" vbProcedure="false">#REF!</definedName>
    <definedName function="false" hidden="false" name="_94___5" vbProcedure="false">#REF!</definedName>
    <definedName function="false" hidden="false" name="_94___7" vbProcedure="false">#REF!</definedName>
    <definedName function="false" hidden="false" name="_9__123Graph_ACHART_3" vbProcedure="false">#REF!</definedName>
    <definedName function="false" hidden="false" name="_aaa1" vbProcedure="false">#REF!</definedName>
    <definedName function="false" hidden="false" name="_aaa2" vbProcedure="false">#REF!</definedName>
    <definedName function="false" hidden="false" name="_aaa3" vbProcedure="false">#REF!</definedName>
    <definedName function="false" hidden="false" name="_aaa4" vbProcedure="false">#REF!</definedName>
    <definedName function="false" hidden="false" name="_aaa5" vbProcedure="false">#REF!</definedName>
    <definedName function="false" hidden="false" name="_aaa6" vbProcedure="false">#REF!</definedName>
    <definedName function="false" hidden="false" name="_aaa7" vbProcedure="false">#REF!</definedName>
    <definedName function="false" hidden="false" name="_aaa8" vbProcedure="false">#REF!</definedName>
    <definedName function="false" hidden="false" name="_ASP4" vbProcedure="false">#REF!</definedName>
    <definedName function="false" hidden="false" name="_B1" vbProcedure="false">#N/A</definedName>
    <definedName function="false" hidden="false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b1" vbProcedure="false">#N/A</definedName>
    <definedName function="false" hidden="false" name="_bdm.00C0D9EF8BE14012A7E563CDFAAFF67A.edm" vbProcedure="false">#REF!</definedName>
    <definedName function="false" hidden="false" name="_bdm.02AA2180B0084723AFFC9E4E6DA538AC.edm" vbProcedure="false">#REF!</definedName>
    <definedName function="false" hidden="false" name="_bdm.02EFED87DA6B440DAF356A06EA8CCE6D.edm" vbProcedure="false">#REF!</definedName>
    <definedName function="false" hidden="false" name="_bdm.053252EB6ED04855BFE51C3EB0837A6B.edm" vbProcedure="false">#REF!</definedName>
    <definedName function="false" hidden="false" name="_bdm.0883F6F83E204B74B7DD1E975DA13ADD.edm" vbProcedure="false">#REF!</definedName>
    <definedName function="false" hidden="false" name="_bdm.08E492A671284214AD982BEB208B8F93.edm" vbProcedure="false">#REF!</definedName>
    <definedName function="false" hidden="false" name="_bdm.09187C12D1CE45F193AE198DD6AE884F.edm" vbProcedure="false">#REF!</definedName>
    <definedName function="false" hidden="false" name="_bdm.0A4C5DE597874549B190FD467C6A1CC4.edm" vbProcedure="false">#REF!</definedName>
    <definedName function="false" hidden="false" name="_bdm.0EBC0B70D2854C038F08EFF978C7C67A.edm" vbProcedure="false">#REF!</definedName>
    <definedName function="false" hidden="false" name="_bdm.15890F25A4484043AF3AE51860B59A14.edm" vbProcedure="false">#REF!</definedName>
    <definedName function="false" hidden="false" name="_bdm.170C77E1E37E4B33A5A3F1CF661EAD22.edm" vbProcedure="false">#REF!</definedName>
    <definedName function="false" hidden="false" name="_bdm.18396CE513024A30AA8A76234D5FEFD0.edm" vbProcedure="false">#REF!</definedName>
    <definedName function="false" hidden="false" name="_bdm.2362C0156C8048FAA2961453BD7C4BCE.edm" vbProcedure="false">#REF!</definedName>
    <definedName function="false" hidden="false" name="_bdm.29102105AB86426CAAC299DD444B5E4D.edm" vbProcedure="false">#REF!</definedName>
    <definedName function="false" hidden="false" name="_bdm.2A38C861995B46C8991A97EA5A948A78.edm" vbProcedure="false">#REF!</definedName>
    <definedName function="false" hidden="false" name="_bdm.2CBA471E682C48A3A10CD1024A462351.edm" vbProcedure="false">#REF!</definedName>
    <definedName function="false" hidden="false" name="_bdm.2D161A2B7C76497F9F6D027C12375384.edm" vbProcedure="false">#REF!</definedName>
    <definedName function="false" hidden="false" name="_bdm.2F477F25EFBE4C9BB3E9EC617CD64545.edm" vbProcedure="false">#REF!</definedName>
    <definedName function="false" hidden="false" name="_bdm.304F174C8384432A9C14069F554DBEC0.edm" vbProcedure="false">#REF!</definedName>
    <definedName function="false" hidden="false" name="_bdm.31B8759EFE3D47B3BC99BC433F195FBF.edm" vbProcedure="false">#REF!</definedName>
    <definedName function="false" hidden="false" name="_bdm.37EED641822D4F2BAA2DDE4C8C2DFF5F.edm" vbProcedure="false">#N/A</definedName>
    <definedName function="false" hidden="false" name="_bdm.3BBFE8DA33C7499691935804E68E6B0C.edm" vbProcedure="false">#REF!</definedName>
    <definedName function="false" hidden="false" name="_bdm.49565BF5FF794C539DBC82076000DC4B.edm" vbProcedure="false">#REF!</definedName>
    <definedName function="false" hidden="false" name="_bdm.4A2A91CF59154905B89117F8831531D4.edm" vbProcedure="false">#REF!</definedName>
    <definedName function="false" hidden="false" name="_bdm.4B0774CF4D7546338C029DACD0AC04AF.edm" vbProcedure="false">#REF!</definedName>
    <definedName function="false" hidden="false" name="_bdm.560CC529085E43E4B75093E97034EB37.edm" vbProcedure="false">#REF!</definedName>
    <definedName function="false" hidden="false" name="_bdm.56F75FC2606341CFA60722E4964A61ED.edm" vbProcedure="false">#REF!</definedName>
    <definedName function="false" hidden="false" name="_bdm.5B9FA6AD16274AF0A7F1EA71741F6425.edm" vbProcedure="false">#REF!</definedName>
    <definedName function="false" hidden="false" name="_bdm.60AC218AF8CD42C485087DD4F01F6F68.edm" vbProcedure="false">#REF!</definedName>
    <definedName function="false" hidden="false" name="_bdm.66391AB36C3E40E8A357D2E91544AB4E.edm" vbProcedure="false">#REF!</definedName>
    <definedName function="false" hidden="false" name="_bdm.677B41292497421CBA635D54779C6A45.edm" vbProcedure="false">#N/A</definedName>
    <definedName function="false" hidden="false" name="_bdm.6E930F29C2E446FCB48CC686615AEB29.edm" vbProcedure="false">#REF!</definedName>
    <definedName function="false" hidden="false" name="_bdm.72BD0D0733C3441895C8CE1A7032FD8C.edm" vbProcedure="false">#REF!</definedName>
    <definedName function="false" hidden="false" name="_bdm.798B66F4737D405D8E166AD903AD9133.edm" vbProcedure="false">#REF!</definedName>
    <definedName function="false" hidden="false" name="_bdm.7AAACA4672FE4AABB120B35F1F6BF722.edm" vbProcedure="false">#REF!</definedName>
    <definedName function="false" hidden="false" name="_bdm.7B7617E2CF8F4F46B33C5D7AD69D1EB7.edm" vbProcedure="false">#REF!</definedName>
    <definedName function="false" hidden="false" name="_bdm.978AA887B7A0409D9BEB94DDCF92946A.edm" vbProcedure="false">#REF!</definedName>
    <definedName function="false" hidden="false" name="_bdm.9ACBBA07335647B59AADC13E50D1989D.edm" vbProcedure="false">#REF!</definedName>
    <definedName function="false" hidden="false" name="_bdm.9E068CDE91E2433BBDF7C764830C46CA.edm" vbProcedure="false">#REF!</definedName>
    <definedName function="false" hidden="false" name="_bdm.A28A9FABA82C4BC0ABDC9477F55B7009.edm" vbProcedure="false">#REF!</definedName>
    <definedName function="false" hidden="false" name="_bdm.A34D1CF0DB9D498B8FD69EF70C6190B9.edm" vbProcedure="false">#REF!</definedName>
    <definedName function="false" hidden="false" name="_bdm.A3ACD61AA97041CDB0D389B5A3B28566.edm" vbProcedure="false">#REF!</definedName>
    <definedName function="false" hidden="false" name="_bdm.BB237A5F4F0D4DD1B8979E5B117F89E3.edm" vbProcedure="false">#REF!</definedName>
    <definedName function="false" hidden="false" name="_bdm.BCBEAFDCF30E4D8FA746679BF86222DE.edm" vbProcedure="false">#REF!</definedName>
    <definedName function="false" hidden="false" name="_bdm.BCDC6A4BFB8F4261AAF69A1910BBFFAB.edm" vbProcedure="false">#REF!</definedName>
    <definedName function="false" hidden="false" name="_bdm.BF193DFCE64E4F0D81685B0562859DB2.edm" vbProcedure="false">#REF!</definedName>
    <definedName function="false" hidden="false" name="_bdm.C372A35933EB401BA3A6EC0685403139.edm" vbProcedure="false">#REF!</definedName>
    <definedName function="false" hidden="false" name="_bdm.C7A1F3F634A74A0F9EC4B07D8DBC668B.edm" vbProcedure="false">#REF!</definedName>
    <definedName function="false" hidden="false" name="_bdm.C86D533D5E914EB487C2080BF18E83E4.edm" vbProcedure="false">#REF!</definedName>
    <definedName function="false" hidden="false" name="_bdm.C935CBCFCC734F7AB9CA5D1103224C93.edm" vbProcedure="false">#REF!</definedName>
    <definedName function="false" hidden="false" name="_bdm.CDA74E3D7FAC4579B204406FAE55AE99.edm" vbProcedure="false">#REF!</definedName>
    <definedName function="false" hidden="false" name="_bdm.D68F0F579E0F4D9F8EDE01C05C8CBDCB.edm" vbProcedure="false">#REF!</definedName>
    <definedName function="false" hidden="false" name="_bdm.DB7A4686E71E4C1FA433BF1FC8CD0FF0.edm" vbProcedure="false">#REF!</definedName>
    <definedName function="false" hidden="false" name="_bdm.DCF303DB6FEF4A7D95C8B1A06C3EDA7D.edm" vbProcedure="false">#REF!</definedName>
    <definedName function="false" hidden="false" name="_bdm.E11B1C5716184E2EAE2F8DCD87BD458E.edm" vbProcedure="false">#REF!</definedName>
    <definedName function="false" hidden="false" name="_bdm.EBAC93D9B4434258968CD782605A4122.edm" vbProcedure="false">#REF!</definedName>
    <definedName function="false" hidden="false" name="_bdm.ECF6D3394DBF44B7ABC5637DE6403FE6.edm" vbProcedure="false">#REF!</definedName>
    <definedName function="false" hidden="false" name="_bdm.F18B3776FEAF4F7AA1587EB080776343.edm" vbProcedure="false">#REF!</definedName>
    <definedName function="false" hidden="false" name="_bdm.F44AE91BFA0E46E8889BCA3BF81CDCFF.edm" vbProcedure="false">#REF!</definedName>
    <definedName function="false" hidden="false" name="_c20041" vbProcedure="false">#REF!</definedName>
    <definedName function="false" hidden="false" name="_CAT4" vbProcedure="false">#REF!</definedName>
    <definedName function="false" hidden="false" name="_Co50" vbProcedure="false">{#N/A,"DR",FALSE,"increm pf";#N/A,"MAMSI",FALSE,"increm pf";#N/A,"MAXI",FALSE,"increm pf";#N/A,"PCAM",FALSE,"increm pf";#N/A,"PHSV",FALSE,"increm pf";#N/A,"SIE",FALSE,"increm pf"}</definedName>
    <definedName function="false" hidden="false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12" vbProcedure="false">#REF!</definedName>
    <definedName function="false" hidden="false" name="_DAT13" vbProcedure="false">#REF!</definedName>
    <definedName function="false" hidden="false" name="_DAT14" vbProcedure="false">#REF!</definedName>
    <definedName function="false" hidden="false" name="_DAT15" vbProcedure="false">#REF!</definedName>
    <definedName function="false" hidden="false" name="_DAT16" vbProcedure="false">#REF!</definedName>
    <definedName function="false" hidden="false" name="_DAT17" vbProcedure="false">#REF!</definedName>
    <definedName function="false" hidden="false" name="_DAT18" vbProcedure="false">#REF!</definedName>
    <definedName function="false" hidden="false" name="_DAT19" vbProcedure="false">#REF!</definedName>
    <definedName function="false" hidden="false" name="_DAT2" vbProcedure="false">#REF!</definedName>
    <definedName function="false" hidden="false" name="_DAT21" vbProcedure="false">#REF!</definedName>
    <definedName function="false" hidden="false" name="_DAT22" vbProcedure="false">#REF!</definedName>
    <definedName function="false" hidden="false" name="_DAT23" vbProcedure="false">#REF!</definedName>
    <definedName function="false" hidden="false" name="_DAT24" vbProcedure="false">#REF!</definedName>
    <definedName function="false" hidden="false" name="_DAT25" vbProcedure="false">#REF!</definedName>
    <definedName function="false" hidden="false" name="_DAT26" vbProcedure="false">#REF!</definedName>
    <definedName function="false" hidden="false" name="_DAT27" vbProcedure="false">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AT6" vbProcedure="false">#REF!</definedName>
    <definedName function="false" hidden="false" name="_DAT7" vbProcedure="false">#REF!</definedName>
    <definedName function="false" hidden="false" name="_DAT8" vbProcedure="false">#REF!</definedName>
    <definedName function="false" hidden="false" name="_DAT9" vbProcedure="false">#REF!</definedName>
    <definedName function="false" hidden="false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_eng2" vbProcedure="false">#N/A</definedName>
    <definedName function="false" hidden="false" name="_eng3" vbProcedure="false">_eng3</definedName>
    <definedName function="false" hidden="false" name="_eng4" vbProcedure="false">#N/A</definedName>
    <definedName function="false" hidden="false" name="_ess1" vbProcedure="false">#REF!</definedName>
    <definedName function="false" hidden="false" name="_Fill" vbProcedure="false">#REF!</definedName>
    <definedName function="false" hidden="false" name="_FRU2003" vbProcedure="false">#REF!</definedName>
    <definedName function="false" hidden="false" name="_GSRATES_1" vbProcedure="false">"CT300001Latest          "</definedName>
    <definedName function="false" hidden="false" name="_GSRATES_COUNT" vbProcedure="false">1</definedName>
    <definedName function="false" hidden="false" name="_Key1" vbProcedure="false">#REF!</definedName>
    <definedName function="false" hidden="false" name="_Key2" vbProcedure="false">#REF!</definedName>
    <definedName function="false" hidden="false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_Order1" vbProcedure="false">255</definedName>
    <definedName function="false" hidden="false" name="_Order2" vbProcedure="false">255</definedName>
    <definedName function="false" hidden="false" name="_OUJ2" vbProcedure="false">#REF!</definedName>
    <definedName function="false" hidden="false" name="_pg1" vbProcedure="false">#REF!</definedName>
    <definedName function="false" hidden="false" name="_pg2" vbProcedure="false">#REF!</definedName>
    <definedName function="false" hidden="false" name="_R" vbProcedure="false">#REF!</definedName>
    <definedName function="false" hidden="false" name="_R2000ssta" vbProcedure="false">#REF!</definedName>
    <definedName function="false" hidden="false" name="_R2000ssta___12" vbProcedure="false">#REF!</definedName>
    <definedName function="false" hidden="false" name="_RCV1" vbProcedure="false">#REF!,#REF!</definedName>
    <definedName function="false" hidden="false" name="_Regression_Out" vbProcedure="false">#REF!</definedName>
    <definedName function="false" hidden="false" name="_Regression_X" vbProcedure="false">#REF!</definedName>
    <definedName function="false" hidden="false" name="_Regression_Y" vbProcedure="false">#REF!</definedName>
    <definedName function="false" hidden="false" name="_SC16" vbProcedure="false">#REF!</definedName>
    <definedName function="false" hidden="false" name="_SET2" vbProcedure="false">#REF!</definedName>
    <definedName function="false" hidden="false" name="_Sort" vbProcedure="false">#REF!</definedName>
    <definedName function="false" hidden="false" name="_SYN1" vbProcedure="false">#REF!</definedName>
    <definedName function="false" hidden="false" name="_SYN2" vbProcedure="false">#REF!</definedName>
    <definedName function="false" hidden="false" name="_Table2_In1" vbProcedure="false">#REF!</definedName>
    <definedName function="false" hidden="false" name="_Table2_In2" vbProcedure="false">#REF!</definedName>
    <definedName function="false" hidden="false" name="_Table2_Out" vbProcedure="false">#REF!</definedName>
    <definedName function="false" hidden="false" name="_TAE2001" vbProcedure="false">#REF!</definedName>
    <definedName function="false" hidden="false" name="_TAE2002" vbProcedure="false">#REF!</definedName>
    <definedName function="false" hidden="false" name="_UNI1999" vbProcedure="false">#REF!</definedName>
    <definedName function="false" hidden="false" name="_UNI2000" vbProcedure="false">#REF!</definedName>
    <definedName function="false" hidden="false" name="_UNI2001" vbProcedure="false">#REF!</definedName>
    <definedName function="false" hidden="false" name="_vb100" vbProcedure="false">#REF!</definedName>
    <definedName function="false" hidden="false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xlnm.Database" vbProcedure="false">#REF!</definedName>
    <definedName function="false" hidden="false" name="_xlnm.Recorder" vbProcedure="false">#REF!</definedName>
    <definedName function="false" hidden="false" name="__" vbProcedure="false">#REF!</definedName>
    <definedName function="false" hidden="false" name="__0" vbProcedure="false">#REF!</definedName>
    <definedName function="false" hidden="false" name="__0S" vbProcedure="false">#REF!</definedName>
    <definedName function="false" hidden="false" name="__0S___0" vbProcedure="false">[5]_ref!#ref!</definedName>
    <definedName function="false" hidden="false" name="__0S___12" vbProcedure="false">[6]_ref!#ref!</definedName>
    <definedName function="false" hidden="false" name="__0S___14" vbProcedure="false">#REF!</definedName>
    <definedName function="false" hidden="false" name="__0___0" vbProcedure="false">#REF!</definedName>
    <definedName function="false" hidden="false" name="__0___12" vbProcedure="false">#REF!</definedName>
    <definedName function="false" hidden="false" name="__0___14" vbProcedure="false">#REF!</definedName>
    <definedName function="false" hidden="false" name="__123Graph_A" vbProcedure="false">#REF!</definedName>
    <definedName function="false" hidden="false" name="__123Graph_AGRAPH1" vbProcedure="false">[9]A!$C$248:$C$250</definedName>
    <definedName function="false" hidden="false" name="__123Graph_AGRAPH2" vbProcedure="false">[9]A!$K$242</definedName>
    <definedName function="false" hidden="false" name="__123Graph_AGRAPH3" vbProcedure="false">[9]A!$C$248:$C$250</definedName>
    <definedName function="false" hidden="false" name="__123Graph_AGRAPH4" vbProcedure="false">[9]A!$C$249:$G$249</definedName>
    <definedName function="false" hidden="false" name="__123Graph_AGRAPH5" vbProcedure="false">[9]A!$R$202:$R$212</definedName>
    <definedName function="false" hidden="false" name="__123Graph_AGRAPH6" vbProcedure="false">[9]A!$R$203:$R$212</definedName>
    <definedName function="false" hidden="false" name="__123Graph_B" vbProcedure="false">#REF!</definedName>
    <definedName function="false" hidden="false" name="__123Graph_BGRAPH1" vbProcedure="false">[9]A!$D$248:$D$250</definedName>
    <definedName function="false" hidden="false" name="__123Graph_BGRAPH3" vbProcedure="false">[9]A!$D$248:$D$250</definedName>
    <definedName function="false" hidden="false" name="__123Graph_BGRAPH4" vbProcedure="false">[9]A!$C$250:$G$250</definedName>
    <definedName function="false" hidden="false" name="__123Graph_BGRAPH5" vbProcedure="false">[9]A!$S$202:$S$212</definedName>
    <definedName function="false" hidden="false" name="__123Graph_BGRAPH6" vbProcedure="false">[9]A!$S$203:$S$212</definedName>
    <definedName function="false" hidden="false" name="__123Graph_CGRAPH1" vbProcedure="false">[9]A!$E$248:$E$250</definedName>
    <definedName function="false" hidden="false" name="__123Graph_CGRAPH3" vbProcedure="false">[9]A!$E$248:$E$250</definedName>
    <definedName function="false" hidden="false" name="__123Graph_D" vbProcedure="false">#REF!</definedName>
    <definedName function="false" hidden="false" name="__123Graph_DGRAPH1" vbProcedure="false">[9]A!$F$248:$F$250</definedName>
    <definedName function="false" hidden="false" name="__123Graph_DGRAPH3" vbProcedure="false">[9]A!$F$248:$F$250</definedName>
    <definedName function="false" hidden="false" name="__123Graph_EGRAPH1" vbProcedure="false">[9]A!$G$248:$G$250</definedName>
    <definedName function="false" hidden="false" name="__123Graph_EGRAPH3" vbProcedure="false">[9]A!$G$248:$G$250</definedName>
    <definedName function="false" hidden="false" name="__123Graph_LBL_AGRAPH6" vbProcedure="false">[9]A!$R$203:$R$213</definedName>
    <definedName function="false" hidden="false" name="__123Graph_LBL_BGRAPH6" vbProcedure="false">[9]A!$S$203:$S$213</definedName>
    <definedName function="false" hidden="false" name="__123Graph_X" vbProcedure="false">#REF!</definedName>
    <definedName function="false" hidden="false" name="__123Graph_XGRAPH1" vbProcedure="false">[9]A!$B$248:$B$250</definedName>
    <definedName function="false" hidden="false" name="__123Graph_XGRAPH3" vbProcedure="false">[9]A!$B$248:$B$250</definedName>
    <definedName function="false" hidden="false" name="__123Graph_XGRAPH4" vbProcedure="false">[9]A!$C$248:$G$248</definedName>
    <definedName function="false" hidden="false" name="__123Graph_XGRAPH5" vbProcedure="false">[9]A!$Q$202:$Q$212</definedName>
    <definedName function="false" hidden="false" name="__123Graph_XGRAPH6" vbProcedure="false">[9]A!$Q$203:$Q$212</definedName>
    <definedName function="false" hidden="false" name="__5_0__123Grap" vbProcedure="false">#REF!</definedName>
    <definedName function="false" hidden="false" name="__eng3" vbProcedure="false">#N/A</definedName>
    <definedName function="false" hidden="false" name="__FRF4" vbProcedure="false">'[4]FX Rates'!$G$10</definedName>
    <definedName function="false" hidden="false" name="__GBP4" vbProcedure="false">'[4]FX Rates'!$G$9</definedName>
    <definedName function="false" hidden="false" name="___FRF4" vbProcedure="false">'[4]FX Rates'!$G$10</definedName>
    <definedName function="false" hidden="false" name="___GBP4" vbProcedure="false">'[4]FX Rates'!$G$9</definedName>
    <definedName function="false" hidden="false" name="____0" vbProcedure="false">#REF!</definedName>
    <definedName function="false" hidden="false" name="____12" vbProcedure="false">#REF!</definedName>
    <definedName function="false" hidden="false" name="____14" vbProcedure="false">#REF!</definedName>
    <definedName function="false" hidden="false" name="____16" vbProcedure="false">#REF!</definedName>
    <definedName function="false" hidden="false" name="____2" vbProcedure="false">#REF!</definedName>
    <definedName function="false" hidden="false" name="____25" vbProcedure="false">#REF!</definedName>
    <definedName function="false" hidden="false" name="____26" vbProcedure="false">#REF!</definedName>
    <definedName function="false" hidden="false" name="____27" vbProcedure="false">#REF!</definedName>
    <definedName function="false" hidden="false" name="____4" vbProcedure="false">#REF!</definedName>
    <definedName function="false" hidden="false" name="____5" vbProcedure="false">#REF!</definedName>
    <definedName function="false" hidden="false" name="____7" vbProcedure="false">#REF!</definedName>
    <definedName function="false" hidden="false" name="____eng3" vbProcedure="false">'Data Mobile'!____eng3</definedName>
    <definedName function="false" hidden="false" localSheetId="7" name="____eng3" vbProcedure="false">'Data Mobile'!____eng3</definedName>
    <definedName function="false" hidden="false" name="____FRF4" vbProcedure="false">'[3]FX Rates'!$G$10</definedName>
    <definedName function="false" hidden="false" name="____GBP4" vbProcedure="false">'[3]FX Rates'!$G$9</definedName>
    <definedName function="false" hidden="false" name="_____0" vbProcedure="false">#REF!</definedName>
    <definedName function="false" hidden="false" name="_____12" vbProcedure="false">#REF!</definedName>
    <definedName function="false" hidden="false" name="_____14" vbProcedure="false">#REF!</definedName>
    <definedName function="false" hidden="false" name="_____16" vbProcedure="false">#REF!</definedName>
    <definedName function="false" hidden="false" name="_____2" vbProcedure="false">#REF!</definedName>
    <definedName function="false" hidden="false" name="_____25" vbProcedure="false">#REF!</definedName>
    <definedName function="false" hidden="false" name="_____26" vbProcedure="false">#REF!</definedName>
    <definedName function="false" hidden="false" name="_____27" vbProcedure="false">#REF!</definedName>
    <definedName function="false" hidden="false" name="_____28" vbProcedure="false">#REF!</definedName>
    <definedName function="false" hidden="false" name="_____4" vbProcedure="false">#REF!</definedName>
    <definedName function="false" hidden="false" name="_____5" vbProcedure="false">#REF!</definedName>
    <definedName function="false" hidden="false" name="_____6" vbProcedure="false">#REF!</definedName>
    <definedName function="false" hidden="false" name="_____7" vbProcedure="false">#REF!</definedName>
    <definedName function="false" hidden="false" name="_____eng3" vbProcedure="false">'Data Mobile'!_____eng3</definedName>
    <definedName function="false" hidden="false" localSheetId="7" name="_____eng3" vbProcedure="false">'Data Mobile'!_____eng3</definedName>
    <definedName function="false" hidden="false" name="_____FRF4" vbProcedure="false">'[2]FX Rates'!$G$10</definedName>
    <definedName function="false" hidden="false" name="_____GBP4" vbProcedure="false">'[2]FX Rates'!$G$9</definedName>
    <definedName function="false" hidden="false" name="______eng3" vbProcedure="false">'Data Mobile'!______eng3</definedName>
    <definedName function="false" hidden="false" localSheetId="7" name="______eng3" vbProcedure="false">'Data Mobile'!______eng3</definedName>
    <definedName function="false" hidden="false" name="______FRF4" vbProcedure="false">'[2]FX Rates'!$G$10</definedName>
    <definedName function="false" hidden="false" name="______GBP4" vbProcedure="false">'[2]FX Rates'!$G$9</definedName>
    <definedName function="false" hidden="false" name="_______eng3" vbProcedure="false">'Data Mobile'!_______eng3</definedName>
    <definedName function="false" hidden="false" localSheetId="7" name="_______eng3" vbProcedure="false">'Data Mobile'!_______eng3</definedName>
    <definedName function="false" hidden="false" name="________eng3" vbProcedure="false">'Data Mobile'!________eng3</definedName>
    <definedName function="false" hidden="false" localSheetId="7" name="________eng3" vbProcedure="false">'Data Mobile'!________eng3</definedName>
    <definedName function="false" hidden="false" name="_________eng3" vbProcedure="false">'Data Mobile'!_________eng3</definedName>
    <definedName function="false" hidden="false" localSheetId="7" name="_________eng3" vbProcedure="false">'Data Mobile'!_________eng3</definedName>
    <definedName function="false" hidden="false" name="__________B1" vbProcedure="false">#N/A</definedName>
    <definedName function="false" hidden="false" name="__________eng2" vbProcedure="false">#N/A</definedName>
    <definedName function="false" hidden="false" name="__________eng3" vbProcedure="false">'Data Mobile'!__________eng3</definedName>
    <definedName function="false" hidden="false" localSheetId="7" name="__________eng3" vbProcedure="false">'Data Mobile'!__________eng3</definedName>
    <definedName function="false" hidden="false" name="__________eng4" vbProcedure="false">#N/A</definedName>
    <definedName function="false" hidden="false" name="___________B1" vbProcedure="false">#N/A</definedName>
    <definedName function="false" hidden="false" name="___________eng2" vbProcedure="false">#N/A</definedName>
    <definedName function="false" hidden="false" name="___________eng3" vbProcedure="false">'Data Mobile'!___________eng3</definedName>
    <definedName function="false" hidden="false" localSheetId="7" name="___________eng3" vbProcedure="false">'Data Mobile'!___________eng3</definedName>
    <definedName function="false" hidden="false" name="___________eng4" vbProcedure="false">#N/A</definedName>
    <definedName function="false" hidden="false" name="ù" vbProcedure="false">#N/A</definedName>
    <definedName function="false" hidden="false" name="كضن" vbProcedure="false">#N/A</definedName>
    <definedName function="false" hidden="false" localSheetId="0" name="A" vbProcedure="false">#REF!</definedName>
    <definedName function="false" hidden="false" localSheetId="0" name="aaaa" vbProcedure="false">[0]!tx_intérêt_par_an/#REF!</definedName>
    <definedName function="false" hidden="false" localSheetId="0" name="aaaaaa" vbProcedure="false">{"IS",#N/A,FALSE,"IS";"RPTIS",#N/A,FALSE,"RPTIS";"STATS",#N/A,FALSE,"STATS";"CELL",#N/A,FALSE,"CELL";"BS",#N/A,FALSE,"BS"}</definedName>
    <definedName function="false" hidden="false" localSheetId="0" name="aaaaaaaaa" vbProcedure="false">{"subs",#N/A,FALSE,"database ";"proportional",#N/A,FALSE,"database "}</definedName>
    <definedName function="false" hidden="false" localSheetId="0" name="aaaa___0" vbProcedure="false">VolFactor___5/#REF!</definedName>
    <definedName function="false" hidden="false" localSheetId="0" name="aaaa___12" vbProcedure="false">VolFactor___25/#REF!</definedName>
    <definedName function="false" hidden="false" localSheetId="0" name="aaaa___14" vbProcedure="false">VolFactor___16/#REF!</definedName>
    <definedName function="false" hidden="false" localSheetId="0" name="aaaa___16" vbProcedure="false">VLastRowToPrint___7/#REF!</definedName>
    <definedName function="false" hidden="false" localSheetId="0" name="aaaa___2" vbProcedure="false">VolFactor___4/#REF!</definedName>
    <definedName function="false" hidden="false" localSheetId="0" name="aaaa___23" vbProcedure="false">VolFactor___5/#REF!</definedName>
    <definedName function="false" hidden="false" localSheetId="0" name="aaaa___26" vbProcedure="false">VolFactor___12/#REF!</definedName>
    <definedName function="false" hidden="false" localSheetId="0" name="aaaa___27" vbProcedure="false">VolFactor___14/#REF!</definedName>
    <definedName function="false" hidden="false" localSheetId="0" name="aaaa___3" vbProcedure="false">VolFactor___5/#REF!</definedName>
    <definedName function="false" hidden="false" localSheetId="0" name="aaaa___4" vbProcedure="false">VLastRowToPrint___0/#REF!</definedName>
    <definedName function="false" hidden="false" localSheetId="0" name="aaaa___5" vbProcedure="false">VolFactor___2/#REF!</definedName>
    <definedName function="false" hidden="false" localSheetId="0" name="aaaa___6" vbProcedure="false">VLastRowToPrint___26/#REF!</definedName>
    <definedName function="false" hidden="false" localSheetId="0" name="aaaa___7" vbProcedure="false">VolFactor___27/#REF!</definedName>
    <definedName function="false" hidden="false" localSheetId="0" name="aaaa___9" vbProcedure="false">VolFactor___5/#REF!</definedName>
    <definedName function="false" hidden="false" localSheetId="0" name="aaa___0" vbProcedure="false">VolFactor___5/#REF!</definedName>
    <definedName function="false" hidden="false" localSheetId="0" name="aaa___14" vbProcedure="false">VolFactor___16/#REF!</definedName>
    <definedName function="false" hidden="false" localSheetId="0" name="aaa___16" vbProcedure="false">VLastRowToPrint___7/#REF!</definedName>
    <definedName function="false" hidden="false" localSheetId="0" name="aaa___23" vbProcedure="false">VolFactor___5/#REF!</definedName>
    <definedName function="false" hidden="false" localSheetId="0" name="aaa___27" vbProcedure="false">VolFactor___14/#REF!</definedName>
    <definedName function="false" hidden="false" localSheetId="0" name="aaa___3" vbProcedure="false">VolFactor___5/#REF!</definedName>
    <definedName function="false" hidden="false" localSheetId="0" name="aaa___4" vbProcedure="false">VLastRowToPrint___0/#REF!</definedName>
    <definedName function="false" hidden="false" localSheetId="0" name="aaa___5" vbProcedure="false">VolFactor___2/#REF!</definedName>
    <definedName function="false" hidden="false" localSheetId="0" name="aaa___9" vbProcedure="false">VolFactor___5/#REF!</definedName>
    <definedName function="false" hidden="false" localSheetId="0" name="aaba" vbProcedure="false">aaba</definedName>
    <definedName function="false" hidden="false" localSheetId="0" name="AAZ" vbProcedure="false">#REF!</definedName>
    <definedName function="false" hidden="false" localSheetId="0" name="ABRACADABRA" vbProcedure="false">#REF!</definedName>
    <definedName function="false" hidden="false" localSheetId="0" name="ac" vbProcedure="false">{#N/A,#N/A,TRUE,"Pro Forma";#N/A,#N/A,TRUE,"PF_Bal";#N/A,#N/A,TRUE,"PF_INC";#N/A,#N/A,TRUE,"CBE";#N/A,#N/A,TRUE,"SWK"}</definedName>
    <definedName function="false" hidden="false" localSheetId="0" name="actu32000" vbProcedure="false">#REF!</definedName>
    <definedName function="false" hidden="false" localSheetId="0" name="actu32000___12" vbProcedure="false">#REF!</definedName>
    <definedName function="false" hidden="false" localSheetId="0" name="actu3ssta" vbProcedure="false">#REF!</definedName>
    <definedName function="false" hidden="false" localSheetId="0" name="actu3ssta___12" vbProcedure="false">#REF!</definedName>
    <definedName function="false" hidden="false" localSheetId="0" name="ACTUALS" vbProcedure="false">#REF!</definedName>
    <definedName function="false" hidden="false" localSheetId="0" name="ad" vbProcedure="false">{"IS",#N/A,FALSE,"IS";"RPTIS",#N/A,FALSE,"RPTIS";"STATS",#N/A,FALSE,"STATS";"CELL",#N/A,FALSE,"CELL";"BS",#N/A,FALSE,"BS"}</definedName>
    <definedName function="false" hidden="false" localSheetId="0" name="addg" vbProcedure="false">{#N/A,#N/A,FALSE,"CBE";#N/A,#N/A,FALSE,"SWK"}</definedName>
    <definedName function="false" hidden="false" localSheetId="0" name="aeaze" vbProcedure="false">aeaze</definedName>
    <definedName function="false" hidden="false" localSheetId="0" name="AECG" vbProcedure="false">#REF!</definedName>
    <definedName function="false" hidden="false" localSheetId="0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ah" vbProcedure="false">{"test2",#N/A,TRUE,"Prices"}</definedName>
    <definedName function="false" hidden="false" localSheetId="0" name="ai" vbProcedure="false">{"subs",#N/A,FALSE,"database ";"proportional",#N/A,FALSE,"database "}</definedName>
    <definedName function="false" hidden="false" localSheetId="0" name="ait" vbProcedure="false">#REF!</definedName>
    <definedName function="false" hidden="false" localSheetId="0" name="aity" vbProcedure="false">#REF!</definedName>
    <definedName function="false" hidden="false" localSheetId="0" name="aj" vbProcedure="false">{"IS",#N/A,FALSE,"IS";"RPTIS",#N/A,FALSE,"RPTIS";"STATS",#N/A,FALSE,"STATS";"BS",#N/A,FALSE,"BS"}</definedName>
    <definedName function="false" hidden="false" localSheetId="0" name="ALIMENT_TG" vbProcedure="false">#REF!</definedName>
    <definedName function="false" hidden="false" localSheetId="0" name="AM" vbProcedure="false">#REF!</definedName>
    <definedName function="false" hidden="false" localSheetId="0" name="AMRT" vbProcedure="false">#REF!</definedName>
    <definedName function="false" hidden="false" localSheetId="0" name="Annuité" vbProcedure="false">[0]!tx_intérêt_par_an/#REF!</definedName>
    <definedName function="false" hidden="false" localSheetId="0" name="Annuité___0" vbProcedure="false">VolFactor___5/#REF!</definedName>
    <definedName function="false" hidden="false" localSheetId="0" name="Annuité___12" vbProcedure="false">VolFactor___25/#REF!</definedName>
    <definedName function="false" hidden="false" localSheetId="0" name="Annuité___14" vbProcedure="false">VolFactor___16/#REF!</definedName>
    <definedName function="false" hidden="false" localSheetId="0" name="Annuité___16" vbProcedure="false">VLastRowToPrint___7/#REF!</definedName>
    <definedName function="false" hidden="false" localSheetId="0" name="Annuité___2" vbProcedure="false">VolFactor___4/#REF!</definedName>
    <definedName function="false" hidden="false" localSheetId="0" name="Annuité___23" vbProcedure="false">VolFactor___5/#REF!</definedName>
    <definedName function="false" hidden="false" localSheetId="0" name="Annuité___26" vbProcedure="false">VolFactor___12/#REF!</definedName>
    <definedName function="false" hidden="false" localSheetId="0" name="Annuité___27" vbProcedure="false">VolFactor___14/#REF!</definedName>
    <definedName function="false" hidden="false" localSheetId="0" name="Annuité___3" vbProcedure="false">VolFactor___5/#REF!</definedName>
    <definedName function="false" hidden="false" localSheetId="0" name="Annuité___4" vbProcedure="false">VLastRowToPrint___0/#REF!</definedName>
    <definedName function="false" hidden="false" localSheetId="0" name="Annuité___5" vbProcedure="false">VolFactor___2/#REF!</definedName>
    <definedName function="false" hidden="false" localSheetId="0" name="Annuité___6" vbProcedure="false">VLastRowToPrint___26/#REF!</definedName>
    <definedName function="false" hidden="false" localSheetId="0" name="Annuité___7" vbProcedure="false">VolFactor___27/#REF!</definedName>
    <definedName function="false" hidden="false" localSheetId="0" name="Annuité___9" vbProcedure="false">VolFactor___5/#REF!</definedName>
    <definedName function="false" hidden="false" localSheetId="0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April" vbProcedure="false">#REF!</definedName>
    <definedName function="false" hidden="false" localSheetId="0" name="AprRtgMFR" vbProcedure="false">{#N/A,#N/A,FALSE,"1999 Fiscal Current Week";#N/A,#N/A,FALSE,"1999 Fiscal Variance"}</definedName>
    <definedName function="false" hidden="false" localSheetId="0" name="aq" vbProcedure="false">{"IS",#N/A,FALSE,"IS";"RPTIS",#N/A,FALSE,"RPTIS";"STATS",#N/A,FALSE,"STATS";"CELL",#N/A,FALSE,"CELL";"BS",#N/A,FALSE,"BS"}</definedName>
    <definedName function="false" hidden="false" localSheetId="0" name="art" vbProcedure="false">{"First Page",#N/A,FALSE,"Surfactants LBO";"Second Page",#N/A,FALSE,"Surfactants LBO"}</definedName>
    <definedName function="false" hidden="false" localSheetId="0" name="Artems" vbProcedure="false">{"First Page",#N/A,FALSE,"Surfactants LBO";"Second Page",#N/A,FALSE,"Surfactants LBO"}</definedName>
    <definedName function="false" hidden="false" localSheetId="0" name="Artic" vbProcedure="false">{"First Page",#N/A,FALSE,"Surfactants LBO";"Second Page",#N/A,FALSE,"Surfactants LBO"}</definedName>
    <definedName function="false" hidden="false" localSheetId="0" name="as" vbProcedure="false">{"comp1",#N/A,FALSE,"COMPS";"footnotes",#N/A,FALSE,"COMPS"}</definedName>
    <definedName function="false" hidden="false" localSheetId="0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asdf" vbProcedure="false">{#N/A,#N/A,FALSE,"Calc";#N/A,#N/A,FALSE,"Sensitivity";#N/A,#N/A,FALSE,"LT Earn.Dil.";#N/A,#N/A,FALSE,"Dil. AVP"}</definedName>
    <definedName function="false" hidden="false" localSheetId="0" name="at" vbProcedure="false">{"IS",#N/A,FALSE,"IS";"RPTIS",#N/A,FALSE,"RPTIS";"STATS",#N/A,FALSE,"STATS";"CELL",#N/A,FALSE,"CELL";"BS",#N/A,FALSE,"BS"}</definedName>
    <definedName function="false" hidden="false" localSheetId="0" name="au" vbProcedure="false">{#N/A,#N/A,FALSE,"ORIX CSC"}</definedName>
    <definedName function="false" hidden="false" localSheetId="0" name="Auditor" vbProcedure="false">#N/A</definedName>
    <definedName function="false" hidden="false" localSheetId="0" name="August" vbProcedure="false">#REF!</definedName>
    <definedName function="false" hidden="false" localSheetId="0" name="axe_doc" vbProcedure="false">#REF!</definedName>
    <definedName function="false" hidden="false" localSheetId="0" name="axe_doc1" vbProcedure="false">#REF!</definedName>
    <definedName function="false" hidden="false" localSheetId="0" name="axe_doc10" vbProcedure="false">#REF!</definedName>
    <definedName function="false" hidden="false" localSheetId="0" name="ay" vbProcedure="false">{"print 1",#N/A,FALSE,"PrimeCo PCS";"print 2",#N/A,FALSE,"PrimeCo PCS";"valuation",#N/A,FALSE,"PrimeCo PCS"}</definedName>
    <definedName function="false" hidden="false" localSheetId="0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aze" vbProcedure="false">Nb_de_paiements_par_an*#REF!</definedName>
    <definedName function="false" hidden="false" localSheetId="0" name="Nb_de_paiements_par_an" vbProcedure="false">#REF!</definedName>
    <definedName function="false" hidden="false" localSheetId="0" name="azeazedazedazeed" vbProcedure="false">Nb_de_paiements_par_an*#REF!</definedName>
    <definedName function="false" hidden="false" localSheetId="0" name="azerty" vbProcedure="false">[0]!tx_intérêt_par_an/#REF!</definedName>
    <definedName function="false" hidden="false" localSheetId="0" name="azertyu" vbProcedure="false">azertyu</definedName>
    <definedName function="false" hidden="false" localSheetId="0" name="azertyu___0" vbProcedure="false">bbb___3</definedName>
    <definedName function="false" hidden="false" localSheetId="0" name="bbb___3" vbProcedure="false">VolFactor___5/#REF!</definedName>
    <definedName function="false" hidden="false" localSheetId="0" name="azertyu___12" vbProcedure="false">bbb___23</definedName>
    <definedName function="false" hidden="false" localSheetId="0" name="bbb___23" vbProcedure="false">VolFactor___5/#REF!</definedName>
    <definedName function="false" hidden="false" localSheetId="0" name="azertyu___16" vbProcedure="false">Excel_BuiltIn_Database_0</definedName>
    <definedName function="false" hidden="false" localSheetId="0" name="Excel_BuiltIn_Database_0" vbProcedure="false">#REF!</definedName>
    <definedName function="false" hidden="false" localSheetId="0" name="azertyu___2" vbProcedure="false">bbb___6</definedName>
    <definedName function="false" hidden="false" localSheetId="0" name="azertyu___25" vbProcedure="false">BAZ___6</definedName>
    <definedName function="false" hidden="false" localSheetId="0" name="BAZ___6" vbProcedure="false">#REF!</definedName>
    <definedName function="false" hidden="false" localSheetId="0" name="azertyu___26" vbProcedure="false">#N/A</definedName>
    <definedName function="false" hidden="false" localSheetId="0" name="azertyu___27" vbProcedure="false">bbb___16</definedName>
    <definedName function="false" hidden="false" localSheetId="0" name="bbb___16" vbProcedure="false">VLastRowToPrint___7/#REF!</definedName>
    <definedName function="false" hidden="false" localSheetId="0" name="azertyu___3" vbProcedure="false">#N/A</definedName>
    <definedName function="false" hidden="false" localSheetId="0" name="azertyu___5" vbProcedure="false">bbb___4</definedName>
    <definedName function="false" hidden="false" localSheetId="0" name="bbb___4" vbProcedure="false">VLastRowToPrint___0/#REF!</definedName>
    <definedName function="false" hidden="false" localSheetId="0" name="azertyu___6" vbProcedure="false">B2000ssta___0</definedName>
    <definedName function="false" hidden="false" localSheetId="0" name="azertyu___7" vbProcedure="false">bbb___9</definedName>
    <definedName function="false" hidden="false" localSheetId="0" name="bbb___9" vbProcedure="false">VolFactor___5/#REF!</definedName>
    <definedName function="false" hidden="false" localSheetId="0" name="azertyu___9" vbProcedure="false">BAZ___12</definedName>
    <definedName function="false" hidden="false" localSheetId="0" name="BAZ___12" vbProcedure="false">#REF!</definedName>
    <definedName function="false" hidden="false" localSheetId="0" name="azerty___0" vbProcedure="false">VolFactor___5/#REF!</definedName>
    <definedName function="false" hidden="false" localSheetId="0" name="azerty___12" vbProcedure="false">VolFactor___25/#REF!</definedName>
    <definedName function="false" hidden="false" localSheetId="0" name="azerty___14" vbProcedure="false">VolFactor___16/#REF!</definedName>
    <definedName function="false" hidden="false" localSheetId="0" name="azerty___16" vbProcedure="false">VLastRowToPrint___7/#REF!</definedName>
    <definedName function="false" hidden="false" localSheetId="0" name="azerty___2" vbProcedure="false">VolFactor___4/#REF!</definedName>
    <definedName function="false" hidden="false" localSheetId="0" name="azerty___23" vbProcedure="false">VolFactor___5/#REF!</definedName>
    <definedName function="false" hidden="false" localSheetId="0" name="azerty___26" vbProcedure="false">VolFactor___12/#REF!</definedName>
    <definedName function="false" hidden="false" localSheetId="0" name="azerty___27" vbProcedure="false">VolFactor___14/#REF!</definedName>
    <definedName function="false" hidden="false" localSheetId="0" name="azerty___3" vbProcedure="false">VolFactor___5/#REF!</definedName>
    <definedName function="false" hidden="false" localSheetId="0" name="azerty___4" vbProcedure="false">VLastRowToPrint___0/#REF!</definedName>
    <definedName function="false" hidden="false" localSheetId="0" name="azerty___5" vbProcedure="false">VolFactor___2/#REF!</definedName>
    <definedName function="false" hidden="false" localSheetId="0" name="azerty___6" vbProcedure="false">VLastRowToPrint___26/#REF!</definedName>
    <definedName function="false" hidden="false" localSheetId="0" name="azerty___7" vbProcedure="false">VolFactor___27/#REF!</definedName>
    <definedName function="false" hidden="false" localSheetId="0" name="azerty___9" vbProcedure="false">VolFactor___5/#REF!</definedName>
    <definedName function="false" hidden="false" localSheetId="0" name="azraze" vbProcedure="false">{"orixcsc",#N/A,FALSE,"ORIX CSC";"orixcsc2",#N/A,FALSE,"ORIX CSC"}</definedName>
    <definedName function="false" hidden="false" localSheetId="0" name="BANQUE" vbProcedure="false">#REF!</definedName>
    <definedName function="false" hidden="false" localSheetId="0" name="Base2" vbProcedure="false">#REF!</definedName>
    <definedName function="false" hidden="false" localSheetId="0" name="BASE_COSTES" vbProcedure="false">#REF!</definedName>
    <definedName function="false" hidden="false" localSheetId="0" name="BAZ" vbProcedure="false">#REF!</definedName>
    <definedName function="false" hidden="false" localSheetId="0" name="bb" vbProcedure="false">#REF!</definedName>
    <definedName function="false" hidden="false" localSheetId="0" name="bbbb" vbProcedure="false">[0]!tx_intérêt_par_an/#REF!</definedName>
    <definedName function="false" hidden="false" localSheetId="0" name="BBBBBBBB" vbProcedure="false">BBBBBBBB</definedName>
    <definedName function="false" hidden="false" localSheetId="0" name="bbbb___0" vbProcedure="false">VolFactor___5/#REF!</definedName>
    <definedName function="false" hidden="false" localSheetId="0" name="bbbb___12" vbProcedure="false">VolFactor___25/#REF!</definedName>
    <definedName function="false" hidden="false" localSheetId="0" name="bbbb___14" vbProcedure="false">VolFactor___16/#REF!</definedName>
    <definedName function="false" hidden="false" localSheetId="0" name="bbbb___16" vbProcedure="false">VLastRowToPrint___7/#REF!</definedName>
    <definedName function="false" hidden="false" localSheetId="0" name="bbbb___2" vbProcedure="false">VolFactor___4/#REF!</definedName>
    <definedName function="false" hidden="false" localSheetId="0" name="bbbb___23" vbProcedure="false">VolFactor___5/#REF!</definedName>
    <definedName function="false" hidden="false" localSheetId="0" name="bbbb___26" vbProcedure="false">VolFactor___12/#REF!</definedName>
    <definedName function="false" hidden="false" localSheetId="0" name="bbbb___27" vbProcedure="false">VolFactor___14/#REF!</definedName>
    <definedName function="false" hidden="false" localSheetId="0" name="bbbb___3" vbProcedure="false">VolFactor___5/#REF!</definedName>
    <definedName function="false" hidden="false" localSheetId="0" name="bbbb___4" vbProcedure="false">VLastRowToPrint___0/#REF!</definedName>
    <definedName function="false" hidden="false" localSheetId="0" name="bbbb___5" vbProcedure="false">VolFactor___2/#REF!</definedName>
    <definedName function="false" hidden="false" localSheetId="0" name="bbbb___6" vbProcedure="false">VLastRowToPrint___26/#REF!</definedName>
    <definedName function="false" hidden="false" localSheetId="0" name="bbbb___7" vbProcedure="false">VolFactor___27/#REF!</definedName>
    <definedName function="false" hidden="false" localSheetId="0" name="bbbb___9" vbProcedure="false">VolFactor___5/#REF!</definedName>
    <definedName function="false" hidden="false" localSheetId="0" name="bbb___0" vbProcedure="false">VolFactor___5/#REF!</definedName>
    <definedName function="false" hidden="false" localSheetId="0" name="bbb___14" vbProcedure="false">VolFactor___16/#REF!</definedName>
    <definedName function="false" hidden="false" localSheetId="0" name="bbb___27" vbProcedure="false">VolFactor___14/#REF!</definedName>
    <definedName function="false" hidden="false" localSheetId="0" name="bbb___5" vbProcedure="false">VolFactor___2/#REF!</definedName>
    <definedName function="false" hidden="false" localSheetId="0" name="bc" vbProcedure="false">{"IS",#N/A,FALSE,"IS";"RPTIS",#N/A,FALSE,"RPTIS";"STATS",#N/A,FALSE,"STATS";"CELL",#N/A,FALSE,"CELL";"BS",#N/A,FALSE,"BS"}</definedName>
    <definedName function="false" hidden="false" localSheetId="0" name="bcvgdhjdfhhjfev" vbProcedure="false">bcvgdhjdfhhjfev</definedName>
    <definedName function="false" hidden="false" localSheetId="0" name="BEGINNING" vbProcedure="false">#REF!</definedName>
    <definedName function="false" hidden="false" localSheetId="0" name="belnew" vbProcedure="false">{"IS",#N/A,FALSE,"IS";"RPTIS",#N/A,FALSE,"RPTIS";"STATS",#N/A,FALSE,"STATS";"CELL",#N/A,FALSE,"CELL";"BS",#N/A,FALSE,"BS"}</definedName>
    <definedName function="false" hidden="false" localSheetId="0" name="belnew1" vbProcedure="false">{"IS",#N/A,FALSE,"IS";"RPTIS",#N/A,FALSE,"RPTIS";"STATS",#N/A,FALSE,"STATS";"CELL",#N/A,FALSE,"CELL";"BS",#N/A,FALSE,"BS"}</definedName>
    <definedName function="false" hidden="false" localSheetId="0" name="belnew10" vbProcedure="false">{"IS",#N/A,FALSE,"IS";"RPTIS",#N/A,FALSE,"RPTIS";"STATS",#N/A,FALSE,"STATS";"CELL",#N/A,FALSE,"CELL";"BS",#N/A,FALSE,"BS"}</definedName>
    <definedName function="false" hidden="false" localSheetId="0" name="BG" vbProcedure="false">{#N/A,#N/A,TRUE,"Cover sheet";#N/A,#N/A,TRUE,"DCF analysis";#N/A,#N/A,TRUE,"WACC calculation"}</definedName>
    <definedName function="false" hidden="false" localSheetId="0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0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Blank3" vbProcedure="false">#REF!</definedName>
    <definedName function="false" hidden="false" localSheetId="0" name="Blank4" vbProcedure="false">#REF!</definedName>
    <definedName function="false" hidden="false" localSheetId="0" name="Blank5" vbProcedure="false">#REF!</definedName>
    <definedName function="false" hidden="false" localSheetId="0" name="Blank6" vbProcedure="false">#REF!</definedName>
    <definedName function="false" hidden="false" localSheetId="0" name="Blank7" vbProcedure="false">#REF!</definedName>
    <definedName function="false" hidden="false" localSheetId="0" name="Blank8" vbProcedure="false">#REF!</definedName>
    <definedName function="false" hidden="false" localSheetId="0" name="BMCE" vbProcedure="false">#REF!</definedName>
    <definedName function="false" hidden="false" localSheetId="0" name="BMCE.P" vbProcedure="false">#REF!</definedName>
    <definedName function="false" hidden="false" localSheetId="0" name="bnbbb" vbProcedure="false">bnbbb</definedName>
    <definedName function="false" hidden="false" localSheetId="0" name="bnkj" vbProcedure="false">{#N/A,#N/A,FALSE,"output";#N/A,#N/A,FALSE,"contrib";#N/A,#N/A,FALSE,"profile";#N/A,#N/A,FALSE,"comps"}</definedName>
    <definedName function="false" hidden="false" localSheetId="0" name="BSCVolt" vbProcedure="false">#REF!</definedName>
    <definedName function="false" hidden="false" localSheetId="0" name="BTSVolt" vbProcedure="false">#REF!</definedName>
    <definedName function="false" hidden="false" localSheetId="0" name="budget2000" vbProcedure="false">#REF!</definedName>
    <definedName function="false" hidden="false" localSheetId="0" name="budget2000___0" vbProcedure="false">#REF!</definedName>
    <definedName function="false" hidden="false" localSheetId="0" name="budget2000___12" vbProcedure="false">#REF!</definedName>
    <definedName function="false" hidden="false" localSheetId="0" name="Budget_2003_Conso" vbProcedure="false">#REF!</definedName>
    <definedName function="false" hidden="false" localSheetId="0" name="Budget_2003_Conso___0" vbProcedure="false">#REF!</definedName>
    <definedName function="false" hidden="false" localSheetId="0" name="Budget_2003_Conso___12" vbProcedure="false">#REF!</definedName>
    <definedName function="false" hidden="false" localSheetId="0" name="C.D.M" vbProcedure="false">#REF!</definedName>
    <definedName function="false" hidden="false" localSheetId="0" name="Cable" vbProcedure="false">{#N/A,#N/A,FALSE,"Operations";#N/A,#N/A,FALSE,"Financials"}</definedName>
    <definedName function="false" hidden="false" localSheetId="0" name="Cable2" vbProcedure="false">{#N/A,#N/A,FALSE,"Operations";#N/A,#N/A,FALSE,"Financials"}</definedName>
    <definedName function="false" hidden="false" localSheetId="0" name="cad" vbProcedure="false">[0]!tx_intérêt_par_an/#REF!</definedName>
    <definedName function="false" hidden="false" localSheetId="0" name="cad___0" vbProcedure="false">VolFactor___5/#REF!</definedName>
    <definedName function="false" hidden="false" localSheetId="0" name="cad___12" vbProcedure="false">VolFactor___25/#REF!</definedName>
    <definedName function="false" hidden="false" localSheetId="0" name="cad___14" vbProcedure="false">VolFactor___16/#REF!</definedName>
    <definedName function="false" hidden="false" localSheetId="0" name="cad___16" vbProcedure="false">VLastRowToPrint___7/#REF!</definedName>
    <definedName function="false" hidden="false" localSheetId="0" name="cad___2" vbProcedure="false">VolFactor___5/#REF!</definedName>
    <definedName function="false" hidden="false" localSheetId="0" name="cad___23" vbProcedure="false">VolFactor___5/#REF!</definedName>
    <definedName function="false" hidden="false" localSheetId="0" name="cad___25" vbProcedure="false">VolFactor___5/#REF!</definedName>
    <definedName function="false" hidden="false" localSheetId="0" name="cad___26" vbProcedure="false">VolFactor___5/#REF!</definedName>
    <definedName function="false" hidden="false" localSheetId="0" name="cad___27" vbProcedure="false">VolFactor___14/#REF!</definedName>
    <definedName function="false" hidden="false" localSheetId="0" name="cad___3" vbProcedure="false">VolFactor___5/#REF!</definedName>
    <definedName function="false" hidden="false" localSheetId="0" name="cad___4" vbProcedure="false">VolFactor___5/#REF!</definedName>
    <definedName function="false" hidden="false" localSheetId="0" name="cad___5" vbProcedure="false">VolFactor___2/#REF!</definedName>
    <definedName function="false" hidden="false" localSheetId="0" name="cad___6" vbProcedure="false">VLastRowToPrint___26/#REF!</definedName>
    <definedName function="false" hidden="false" localSheetId="0" name="cad___7" vbProcedure="false">VolFactor___5/#REF!</definedName>
    <definedName function="false" hidden="false" localSheetId="0" name="cad___9" vbProcedure="false">VolFactor___5/#REF!</definedName>
    <definedName function="false" hidden="false" localSheetId="0" name="Calibration" vbProcedure="false">Calibration</definedName>
    <definedName function="false" hidden="false" localSheetId="0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CAP2003àComptabiliser" vbProcedure="false">#REF!</definedName>
    <definedName function="false" hidden="false" localSheetId="0" name="CAPEX_ACTU2_PREVISION" vbProcedure="false">#REF!</definedName>
    <definedName function="false" hidden="false" localSheetId="0" name="CAPEX_ACTU_DETAIL_DIV" vbProcedure="false">#REF!</definedName>
    <definedName function="false" hidden="false" localSheetId="0" name="carte" vbProcedure="false">carte</definedName>
    <definedName function="false" hidden="false" localSheetId="0" name="Casa2" vbProcedure="false">#REF!</definedName>
    <definedName function="false" hidden="false" localSheetId="0" name="cc" vbProcedure="false">{#N/A,#N/A,FALSE,"CBE";#N/A,#N/A,FALSE,"SWK"}</definedName>
    <definedName function="false" hidden="false" localSheetId="0" name="ccc" vbProcedure="false">[0]!tx_intérêt_par_an/#REF!</definedName>
    <definedName function="false" hidden="false" localSheetId="0" name="cccc" vbProcedure="false">[0]!tx_intérêt_par_an/#REF!</definedName>
    <definedName function="false" hidden="false" localSheetId="0" name="cccc___0" vbProcedure="false">VolFactor___5/#REF!</definedName>
    <definedName function="false" hidden="false" localSheetId="0" name="cccc___12" vbProcedure="false">VolFactor___25/#REF!</definedName>
    <definedName function="false" hidden="false" localSheetId="0" name="cccc___14" vbProcedure="false">VolFactor___16/#REF!</definedName>
    <definedName function="false" hidden="false" localSheetId="0" name="cccc___16" vbProcedure="false">VLastRowToPrint___7/#REF!</definedName>
    <definedName function="false" hidden="false" localSheetId="0" name="cccc___2" vbProcedure="false">VolFactor___5/#REF!</definedName>
    <definedName function="false" hidden="false" localSheetId="0" name="cccc___23" vbProcedure="false">VolFactor___5/#REF!</definedName>
    <definedName function="false" hidden="false" localSheetId="0" name="cccc___25" vbProcedure="false">VolFactor___5/#REF!</definedName>
    <definedName function="false" hidden="false" localSheetId="0" name="cccc___26" vbProcedure="false">VolFactor___5/#REF!</definedName>
    <definedName function="false" hidden="false" localSheetId="0" name="cccc___27" vbProcedure="false">VolFactor___14/#REF!</definedName>
    <definedName function="false" hidden="false" localSheetId="0" name="cccc___3" vbProcedure="false">VolFactor___5/#REF!</definedName>
    <definedName function="false" hidden="false" localSheetId="0" name="cccc___4" vbProcedure="false">VolFactor___5/#REF!</definedName>
    <definedName function="false" hidden="false" localSheetId="0" name="cccc___5" vbProcedure="false">VolFactor___2/#REF!</definedName>
    <definedName function="false" hidden="false" localSheetId="0" name="cccc___6" vbProcedure="false">VLastRowToPrint___26/#REF!</definedName>
    <definedName function="false" hidden="false" localSheetId="0" name="cccc___7" vbProcedure="false">VolFactor___5/#REF!</definedName>
    <definedName function="false" hidden="false" localSheetId="0" name="cccc___9" vbProcedure="false">VolFactor___5/#REF!</definedName>
    <definedName function="false" hidden="false" localSheetId="0" name="CCP_AGADIR" vbProcedure="false">#REF!</definedName>
    <definedName function="false" hidden="false" localSheetId="0" name="CCP_MARRAKECH" vbProcedure="false">#REF!</definedName>
    <definedName function="false" hidden="false" localSheetId="0" name="CCP_ONPT" vbProcedure="false">#REF!</definedName>
    <definedName function="false" hidden="false" localSheetId="0" name="CCP_OUJDA" vbProcedure="false">#REF!</definedName>
    <definedName function="false" hidden="false" localSheetId="0" name="CdesPortefeuille" vbProcedure="false">#REF!</definedName>
    <definedName function="false" hidden="false" localSheetId="0" name="CDMA" vbProcedure="false">#REF!</definedName>
    <definedName function="false" hidden="false" localSheetId="0" name="CFCheck" vbProcedure="false">#REF!</definedName>
    <definedName function="false" hidden="false" localSheetId="0" name="CFCheck___0" vbProcedure="false">#REF!</definedName>
    <definedName function="false" hidden="false" localSheetId="0" name="chargaddit" vbProcedure="false">#REF!</definedName>
    <definedName function="false" hidden="false" localSheetId="0" name="CHEQUES_BANQUE" vbProcedure="false">#REF!</definedName>
    <definedName function="false" hidden="false" localSheetId="0" name="CHEQUES_CCP" vbProcedure="false">#REF!</definedName>
    <definedName function="false" hidden="false" localSheetId="0" name="Cible6" vbProcedure="false">#REF!</definedName>
    <definedName function="false" hidden="false" localSheetId="0" name="Cible6___0" vbProcedure="false">#REF!</definedName>
    <definedName function="false" hidden="false" localSheetId="0" name="Cible6___12" vbProcedure="false">#REF!</definedName>
    <definedName function="false" hidden="false" localSheetId="0" name="Combining" vbProcedure="false">#REF!,#REF!,#REF!,#REF!,#REF!,#REF!,#REF!,#REF!,#REF!</definedName>
    <definedName function="false" hidden="false" localSheetId="0" name="Commandes" vbProcedure="false">#REF!</definedName>
    <definedName function="false" hidden="false" localSheetId="0" name="CommonBTS" vbProcedure="false">#REF!</definedName>
    <definedName function="false" hidden="false" localSheetId="0" name="COMMUNES" vbProcedure="false">#REF!</definedName>
    <definedName function="false" hidden="false" localSheetId="0" name="Comp" vbProcedure="false">{"First Page",#N/A,FALSE,"Surfactants LBO";"Second Page",#N/A,FALSE,"Surfactants LBO"}</definedName>
    <definedName function="false" hidden="false" localSheetId="0" name="CompanyName1" vbProcedure="false">#REF!</definedName>
    <definedName function="false" hidden="false" localSheetId="0" name="CompanyName2" vbProcedure="false">#REF!</definedName>
    <definedName function="false" hidden="false" localSheetId="0" name="CompanyName3" vbProcedure="false">#REF!</definedName>
    <definedName function="false" hidden="false" localSheetId="0" name="Comparable" vbProcedure="false">{"First Page",#N/A,FALSE,"Surfactants LBO";"Second Page",#N/A,FALSE,"Surfactants LBO"}</definedName>
    <definedName function="false" hidden="false" localSheetId="0" name="CompRange1" vbProcedure="false">#N/A</definedName>
    <definedName function="false" hidden="false" localSheetId="0" name="CompRange1Main" vbProcedure="false">#REF!</definedName>
    <definedName function="false" hidden="false" localSheetId="0" name="CompRange2" vbProcedure="false">#N/A</definedName>
    <definedName function="false" hidden="false" localSheetId="0" name="CompRange2Main" vbProcedure="false">#REF!</definedName>
    <definedName function="false" hidden="false" localSheetId="0" name="CompRange3" vbProcedure="false">#N/A</definedName>
    <definedName function="false" hidden="false" localSheetId="0" name="CompRange3Main" vbProcedure="false">#REF!</definedName>
    <definedName function="false" hidden="false" localSheetId="0" name="cooper2" vbProcedure="false">{#N/A,#N/A,TRUE,"Pro Forma";#N/A,#N/A,TRUE,"PF_Bal";#N/A,#N/A,TRUE,"PF_INC";#N/A,#N/A,TRUE,"CBE";#N/A,#N/A,TRUE,"SWK"}</definedName>
    <definedName function="false" hidden="false" localSheetId="0" name="coucou" vbProcedure="false">{#N/A,#N/A,TRUE,"Cover sheet";#N/A,#N/A,TRUE,"INPUTS";#N/A,#N/A,TRUE,"OUTPUTS";#N/A,#N/A,TRUE,"VALUATION"}</definedName>
    <definedName function="false" hidden="false" localSheetId="0" name="CREDIT_DU_MAROC" vbProcedure="false">#REF!</definedName>
    <definedName function="false" hidden="false" localSheetId="0" name="CREDOC_BO" vbProcedure="false">#REF!</definedName>
    <definedName function="false" hidden="false" localSheetId="0" name="CumBasePeriod" vbProcedure="false">#REF!</definedName>
    <definedName function="false" hidden="false" localSheetId="0" name="CumBasePeriod___0" vbProcedure="false">#REF!</definedName>
    <definedName function="false" hidden="false" localSheetId="0" name="CumBasePeriod___12" vbProcedure="false">#REF!</definedName>
    <definedName function="false" hidden="false" localSheetId="0" name="CURRENT_MONTH_ADDS" vbProcedure="false">#REF!</definedName>
    <definedName function="false" hidden="false" localSheetId="0" name="Customer" vbProcedure="false">#REF!</definedName>
    <definedName function="false" hidden="false" localSheetId="0" name="cvxxc" vbProcedure="false">#REF!</definedName>
    <definedName function="false" hidden="false" localSheetId="0" name="CV_Cost_Var" vbProcedure="false">#REF!</definedName>
    <definedName function="false" hidden="false" localSheetId="0" name="C_" vbProcedure="false">#REF!</definedName>
    <definedName function="false" hidden="false" localSheetId="0" name="C_Prépaiement" vbProcedure="false">#REF!</definedName>
    <definedName function="false" hidden="false" localSheetId="0" name="C____12" vbProcedure="false">#REF!</definedName>
    <definedName function="false" hidden="false" localSheetId="0" name="C____2" vbProcedure="false">#REF!</definedName>
    <definedName function="false" hidden="false" localSheetId="0" name="C____25" vbProcedure="false">#REF!</definedName>
    <definedName function="false" hidden="false" localSheetId="0" name="C____4" vbProcedure="false">#REF!</definedName>
    <definedName function="false" hidden="false" localSheetId="0" name="C____6" vbProcedure="false">#REF!</definedName>
    <definedName function="false" hidden="false" localSheetId="0" name="C____7" vbProcedure="false">#REF!</definedName>
    <definedName function="false" hidden="false" localSheetId="0" name="D" vbProcedure="false">#REF!</definedName>
    <definedName function="false" hidden="false" localSheetId="0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0" name="DATE" vbProcedure="false">#REF!</definedName>
    <definedName function="false" hidden="false" localSheetId="0" name="DateRangeComp" vbProcedure="false">#N/A</definedName>
    <definedName function="false" hidden="false" localSheetId="0" name="DateRangeCompMain" vbProcedure="false">#REF!</definedName>
    <definedName function="false" hidden="false" localSheetId="0" name="dd" vbProcedure="false">[0]!tx_intérêt_par_an/#REF!</definedName>
    <definedName function="false" hidden="false" localSheetId="0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ddd" vbProcedure="false">#N/A</definedName>
    <definedName function="false" hidden="false" localSheetId="0" name="dddddd" vbProcedure="false">[0]!tx_intérêt_par_an/#REF!</definedName>
    <definedName function="false" hidden="false" localSheetId="0" name="DDDDDDDD" vbProcedure="false">DDDDDDDD</definedName>
    <definedName function="false" hidden="false" localSheetId="0" name="DDDDDDDDDD" vbProcedure="false">DDDDDDDDDD</definedName>
    <definedName function="false" hidden="false" localSheetId="0" name="dddddd___0" vbProcedure="false">VolFactor___5/#REF!</definedName>
    <definedName function="false" hidden="false" localSheetId="0" name="dddddd___12" vbProcedure="false">VolFactor___25/#REF!</definedName>
    <definedName function="false" hidden="false" localSheetId="0" name="dddddd___14" vbProcedure="false">VolFactor___16/#REF!</definedName>
    <definedName function="false" hidden="false" localSheetId="0" name="dddddd___16" vbProcedure="false">VLastRowToPrint___7/#REF!</definedName>
    <definedName function="false" hidden="false" localSheetId="0" name="dddddd___2" vbProcedure="false">VolFactor___4/#REF!</definedName>
    <definedName function="false" hidden="false" localSheetId="0" name="dddddd___23" vbProcedure="false">VolFactor___5/#REF!</definedName>
    <definedName function="false" hidden="false" localSheetId="0" name="dddddd___26" vbProcedure="false">VolFactor___12/#REF!</definedName>
    <definedName function="false" hidden="false" localSheetId="0" name="dddddd___27" vbProcedure="false">VolFactor___14/#REF!</definedName>
    <definedName function="false" hidden="false" localSheetId="0" name="dddddd___3" vbProcedure="false">VolFactor___5/#REF!</definedName>
    <definedName function="false" hidden="false" localSheetId="0" name="dddddd___4" vbProcedure="false">VLastRowToPrint___0/#REF!</definedName>
    <definedName function="false" hidden="false" localSheetId="0" name="dddddd___5" vbProcedure="false">VolFactor___2/#REF!</definedName>
    <definedName function="false" hidden="false" localSheetId="0" name="dddddd___6" vbProcedure="false">VLastRowToPrint___26/#REF!</definedName>
    <definedName function="false" hidden="false" localSheetId="0" name="dddddd___7" vbProcedure="false">VolFactor___27/#REF!</definedName>
    <definedName function="false" hidden="false" localSheetId="0" name="dddddd___9" vbProcedure="false">VolFactor___5/#REF!</definedName>
    <definedName function="false" hidden="false" localSheetId="0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decembre" vbProcedure="false">{#N/A,#N/A,FALSE,"Umsatz";#N/A,#N/A,FALSE,"Base V.02";#N/A,#N/A,FALSE,"Charts"}</definedName>
    <definedName function="false" hidden="false" localSheetId="0" name="deciembre" vbProcedure="false">{#N/A,#N/A,FALSE,"Umsatz";#N/A,#N/A,FALSE,"Base V.02";#N/A,#N/A,FALSE,"Charts"}</definedName>
    <definedName function="false" hidden="false" localSheetId="0" name="deg" vbProcedure="false">{"First Page",#N/A,FALSE,"Surfactants LBO";"Second Page",#N/A,FALSE,"Surfactants LBO"}</definedName>
    <definedName function="false" hidden="false" localSheetId="0" name="desz" vbProcedure="false">#REF!</definedName>
    <definedName function="false" hidden="false" localSheetId="0" name="DETAIL_DES_IMPÔTS_ET_TAXES" vbProcedure="false">#REF!</definedName>
    <definedName function="false" hidden="false" localSheetId="0" name="detail_pricing" vbProcedure="false">#REF!,#REF!,#REF!,#REF!,#REF!,#REF!,#REF!,#REF!,#REF!,#REF!,#REF!</definedName>
    <definedName function="false" hidden="false" localSheetId="0" name="dfd" vbProcedure="false">{"comp1",#N/A,FALSE,"COMPS";"footnotes",#N/A,FALSE,"COMPS"}</definedName>
    <definedName function="false" hidden="false" localSheetId="0" name="dg" vbProcedure="false">#REF!</definedName>
    <definedName function="false" hidden="false" localSheetId="0" name="dgjhgjhgjghhg" vbProcedure="false">dgjhgjhgjghhg</definedName>
    <definedName function="false" hidden="false" localSheetId="0" name="dgjhgjhgjghhg___0" vbProcedure="false">DRA___9</definedName>
    <definedName function="false" hidden="false" localSheetId="0" name="DRA___9" vbProcedure="false">VolFactor___5/#REF!</definedName>
    <definedName function="false" hidden="false" localSheetId="0" name="dgjhgjhgjghhg___12" vbProcedure="false">DRA___6</definedName>
    <definedName function="false" hidden="false" localSheetId="0" name="DRA___6" vbProcedure="false">VLastRowToPrint___26/#REF!</definedName>
    <definedName function="false" hidden="false" localSheetId="0" name="dgjhgjhgjghhg___14" vbProcedure="false">DiscretFCFOn1Off2___0</definedName>
    <definedName function="false" hidden="false" localSheetId="0" name="dgjhgjhgjghhg___16" vbProcedure="false">DiscretFCFOn1Off2___12</definedName>
    <definedName function="false" hidden="false" localSheetId="0" name="dgjhgjhgjghhg___23" vbProcedure="false">DiscretFCFOn1Off2___2</definedName>
    <definedName function="false" hidden="false" localSheetId="0" name="dgjhgjhgjghhg___25" vbProcedure="false">DiscretFCFOn1Off2___5</definedName>
    <definedName function="false" hidden="false" localSheetId="0" name="dgjhgjhgjghhg___26" vbProcedure="false">DRA___4</definedName>
    <definedName function="false" hidden="false" localSheetId="0" name="DRA___4" vbProcedure="false">VLastRowToPrint___0/#REF!</definedName>
    <definedName function="false" hidden="false" localSheetId="0" name="dgjhgjhgjghhg___27" vbProcedure="false">DRA___23</definedName>
    <definedName function="false" hidden="false" localSheetId="0" name="DRA___23" vbProcedure="false">VolFactor___5/#REF!</definedName>
    <definedName function="false" hidden="false" localSheetId="0" name="dgjhgjhgjghhg___3" vbProcedure="false">DiscretFCFOn1Off2___7</definedName>
    <definedName function="false" hidden="false" localSheetId="0" name="dgjhgjhgjghhg___4" vbProcedure="false">DiscretFCFOn1Off2___27</definedName>
    <definedName function="false" hidden="false" localSheetId="0" name="dgjhgjhgjghhg___5" vbProcedure="false">DRA___16</definedName>
    <definedName function="false" hidden="false" localSheetId="0" name="DRA___16" vbProcedure="false">VLastRowToPrint___7/#REF!</definedName>
    <definedName function="false" hidden="false" localSheetId="0" name="dgjhgjhgjghhg___6" vbProcedure="false">DiscretFCFOn1Off2___14</definedName>
    <definedName function="false" hidden="false" localSheetId="0" name="dgjhgjhgjghhg___7" vbProcedure="false">#N/A</definedName>
    <definedName function="false" hidden="false" localSheetId="0" name="dgjhgjhgjghhg___9" vbProcedure="false">DiscretFCFOn1Off2___26</definedName>
    <definedName function="false" hidden="false" localSheetId="0" name="DHSCHF" vbProcedure="false">#REF!</definedName>
    <definedName function="false" hidden="false" localSheetId="0" name="DHSEUROS" vbProcedure="false">#REF!</definedName>
    <definedName function="false" hidden="false" localSheetId="0" name="DHSFF" vbProcedure="false">#REF!</definedName>
    <definedName function="false" hidden="false" localSheetId="0" name="Diable" vbProcedure="false">{#N/A,#N/A,FALSE,"Operations";#N/A,#N/A,FALSE,"Financials"}</definedName>
    <definedName function="false" hidden="false" localSheetId="0" name="DIST" vbProcedure="false">#REF!</definedName>
    <definedName function="false" hidden="false" localSheetId="0" name="divdiv" vbProcedure="false">#REF!</definedName>
    <definedName function="false" hidden="false" localSheetId="0" name="Dividend" vbProcedure="false">#REF!</definedName>
    <definedName function="false" hidden="false" localSheetId="0" name="divimmo" vbProcedure="false">#REF!</definedName>
    <definedName function="false" hidden="false" localSheetId="0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djduj" vbProcedure="false">Nb_de_paiements_par_an*#REF!</definedName>
    <definedName function="false" hidden="false" localSheetId="0" name="DJFGNSKLDH" vbProcedure="false">DJFGNSKLDH</definedName>
    <definedName function="false" hidden="false" localSheetId="0" name="dkutkdk" vbProcedure="false">Nb_de_paiements_par_an*#REF!</definedName>
    <definedName function="false" hidden="false" localSheetId="0" name="dkyuk" vbProcedure="false">dkyuk</definedName>
    <definedName function="false" hidden="false" localSheetId="0" name="Dload2" vbProcedure="false">#REF!</definedName>
    <definedName function="false" hidden="false" localSheetId="0" name="DPD" vbProcedure="false">#REF!</definedName>
    <definedName function="false" hidden="false" localSheetId="0" name="dr" vbProcedure="false">{"IS",#N/A,FALSE,"IS";"RPTIS",#N/A,FALSE,"RPTIS";"STATS",#N/A,FALSE,"STATS";"BS",#N/A,FALSE,"BS"}</definedName>
    <definedName function="false" hidden="false" localSheetId="0" name="DRA" vbProcedure="false">[0]!tx_intérêt_par_an/#REF!</definedName>
    <definedName function="false" hidden="false" localSheetId="0" name="DRA___0" vbProcedure="false">VolFactor___5/#REF!</definedName>
    <definedName function="false" hidden="false" localSheetId="0" name="DRA___12" vbProcedure="false">VolFactor___25/#REF!</definedName>
    <definedName function="false" hidden="false" localSheetId="0" name="DRA___14" vbProcedure="false">VolFactor___16/#REF!</definedName>
    <definedName function="false" hidden="false" localSheetId="0" name="DRA___2" vbProcedure="false">VolFactor___4/#REF!</definedName>
    <definedName function="false" hidden="false" localSheetId="0" name="DRA___26" vbProcedure="false">VolFactor___12/#REF!</definedName>
    <definedName function="false" hidden="false" localSheetId="0" name="DRA___27" vbProcedure="false">VolFactor___14/#REF!</definedName>
    <definedName function="false" hidden="false" localSheetId="0" name="DRA___3" vbProcedure="false">VolFactor___5/#REF!</definedName>
    <definedName function="false" hidden="false" localSheetId="0" name="DRA___5" vbProcedure="false">VolFactor___2/#REF!</definedName>
    <definedName function="false" hidden="false" localSheetId="0" name="DRA___7" vbProcedure="false">VolFactor___27/#REF!</definedName>
    <definedName function="false" hidden="false" localSheetId="0" name="DRC" vbProcedure="false">Nb_de_paiements_par_an*#REF!</definedName>
    <definedName function="false" hidden="false" localSheetId="0" name="DRC___0" vbProcedure="false">O___0*#REF!</definedName>
    <definedName function="false" hidden="false" localSheetId="0" name="DRC___12" vbProcedure="false">O___12*#REF!</definedName>
    <definedName function="false" hidden="false" localSheetId="0" name="DRC___14" vbProcedure="false">O___25*#REF!</definedName>
    <definedName function="false" hidden="false" localSheetId="0" name="DRC___2" vbProcedure="false">O___2*#REF!</definedName>
    <definedName function="false" hidden="false" localSheetId="0" name="DRC___23" vbProcedure="false">O___0*#REF!</definedName>
    <definedName function="false" hidden="false" localSheetId="0" name="DRC___25" vbProcedure="false">O___4*#REF!</definedName>
    <definedName function="false" hidden="false" localSheetId="0" name="DRC___26" vbProcedure="false">O___26*#REF!</definedName>
    <definedName function="false" hidden="false" localSheetId="0" name="DRC___27" vbProcedure="false">O___27*#REF!</definedName>
    <definedName function="false" hidden="false" localSheetId="0" name="DRC___3" vbProcedure="false">O___0*#REF!</definedName>
    <definedName function="false" hidden="false" localSheetId="0" name="DRC___4" vbProcedure="false">O___6*#REF!</definedName>
    <definedName function="false" hidden="false" localSheetId="0" name="DRC___5" vbProcedure="false">O___5*#REF!</definedName>
    <definedName function="false" hidden="false" localSheetId="0" name="DRC___6" vbProcedure="false">Num_premier_paiement___0*#REF!</definedName>
    <definedName function="false" hidden="false" localSheetId="0" name="DRC___7" vbProcedure="false">O___7*#REF!</definedName>
    <definedName function="false" hidden="false" localSheetId="0" name="DRC___9" vbProcedure="false">O___0*#REF!</definedName>
    <definedName function="false" hidden="false" localSheetId="0" name="drg" vbProcedure="false">Nb_de_paiements_par_an*#REF!</definedName>
    <definedName function="false" hidden="false" localSheetId="0" name="drg___0" vbProcedure="false">O___0*#REF!</definedName>
    <definedName function="false" hidden="false" localSheetId="0" name="drg___12" vbProcedure="false">O___12*#REF!</definedName>
    <definedName function="false" hidden="false" localSheetId="0" name="drg___14" vbProcedure="false">O___25*#REF!</definedName>
    <definedName function="false" hidden="false" localSheetId="0" name="drg___2" vbProcedure="false">O___0*#REF!</definedName>
    <definedName function="false" hidden="false" localSheetId="0" name="drg___23" vbProcedure="false">O___0*#REF!</definedName>
    <definedName function="false" hidden="false" localSheetId="0" name="drg___25" vbProcedure="false">O___0*#REF!</definedName>
    <definedName function="false" hidden="false" localSheetId="0" name="drg___26" vbProcedure="false">O___0*#REF!</definedName>
    <definedName function="false" hidden="false" localSheetId="0" name="drg___27" vbProcedure="false">O___27*#REF!</definedName>
    <definedName function="false" hidden="false" localSheetId="0" name="drg___3" vbProcedure="false">O___0*#REF!</definedName>
    <definedName function="false" hidden="false" localSheetId="0" name="drg___4" vbProcedure="false">O___0*#REF!</definedName>
    <definedName function="false" hidden="false" localSheetId="0" name="drg___5" vbProcedure="false">O___5*#REF!</definedName>
    <definedName function="false" hidden="false" localSheetId="0" name="drg___6" vbProcedure="false">Num_premier_paiement___0*#REF!</definedName>
    <definedName function="false" hidden="false" localSheetId="0" name="drg___7" vbProcedure="false">O___0*#REF!</definedName>
    <definedName function="false" hidden="false" localSheetId="0" name="drg___9" vbProcedure="false">O___0*#REF!</definedName>
    <definedName function="false" hidden="false" localSheetId="0" name="dsfgsb" vbProcedure="false">dsfgsb</definedName>
    <definedName function="false" hidden="false" localSheetId="0" name="dsfsg" vbProcedure="false">dsfsg</definedName>
    <definedName function="false" hidden="false" localSheetId="0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0" name="dtyiuèi" vbProcedure="false">dtyiuèi</definedName>
    <definedName function="false" hidden="false" localSheetId="0" name="dtyjdtk" vbProcedure="false">dtyjdtk</definedName>
    <definedName function="false" hidden="false" localSheetId="0" name="dukdtu" vbProcedure="false">dukdtu</definedName>
    <definedName function="false" hidden="false" localSheetId="0" name="dukdu" vbProcedure="false">dukdu</definedName>
    <definedName function="false" hidden="false" localSheetId="0" name="Durée_prêt" vbProcedure="false">#REF!</definedName>
    <definedName function="false" hidden="false" localSheetId="0" name="dyhj" vbProcedure="false">dyhj</definedName>
    <definedName function="false" hidden="false" localSheetId="0" name="dz" vbProcedure="false">{"test2",#N/A,TRUE,"Prices"}</definedName>
    <definedName function="false" hidden="false" localSheetId="0" name="D_Gestion_Perso" vbProcedure="false">#REF!</definedName>
    <definedName function="false" hidden="false" localSheetId="0" name="D_Gestion_Perso___0" vbProcedure="false">#REF!</definedName>
    <definedName function="false" hidden="false" localSheetId="0" name="D___12" vbProcedure="false">#REF!</definedName>
    <definedName function="false" hidden="false" localSheetId="0" name="détail_CA___12" vbProcedure="false">#REF!</definedName>
    <definedName function="false" hidden="false" localSheetId="0" name="détail_CA___6" vbProcedure="false">#REF!</definedName>
    <definedName function="false" hidden="false" localSheetId="0" name="E" vbProcedure="false">#REF!</definedName>
    <definedName function="false" hidden="false" localSheetId="0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ededed" vbProcedure="false">ededed</definedName>
    <definedName function="false" hidden="false" localSheetId="0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eeee" vbProcedure="false">Nb_de_paiements_par_an*#REF!</definedName>
    <definedName function="false" hidden="false" localSheetId="0" name="EEEEEEEEE" vbProcedure="false">EEEEEEEEE</definedName>
    <definedName function="false" hidden="false" localSheetId="0" name="eeee___0" vbProcedure="false">O___0*#REF!</definedName>
    <definedName function="false" hidden="false" localSheetId="0" name="eeee___12" vbProcedure="false">O___12*#REF!</definedName>
    <definedName function="false" hidden="false" localSheetId="0" name="eeee___14" vbProcedure="false">O___25*#REF!</definedName>
    <definedName function="false" hidden="false" localSheetId="0" name="eeee___2" vbProcedure="false">O___2*#REF!</definedName>
    <definedName function="false" hidden="false" localSheetId="0" name="eeee___23" vbProcedure="false">O___0*#REF!</definedName>
    <definedName function="false" hidden="false" localSheetId="0" name="eeee___25" vbProcedure="false">O___4*#REF!</definedName>
    <definedName function="false" hidden="false" localSheetId="0" name="eeee___26" vbProcedure="false">O___26*#REF!</definedName>
    <definedName function="false" hidden="false" localSheetId="0" name="eeee___27" vbProcedure="false">O___27*#REF!</definedName>
    <definedName function="false" hidden="false" localSheetId="0" name="eeee___3" vbProcedure="false">O___0*#REF!</definedName>
    <definedName function="false" hidden="false" localSheetId="0" name="eeee___4" vbProcedure="false">O___6*#REF!</definedName>
    <definedName function="false" hidden="false" localSheetId="0" name="eeee___5" vbProcedure="false">O___5*#REF!</definedName>
    <definedName function="false" hidden="false" localSheetId="0" name="eeee___6" vbProcedure="false">Num_premier_paiement___0*#REF!</definedName>
    <definedName function="false" hidden="false" localSheetId="0" name="eeee___7" vbProcedure="false">O___7*#REF!</definedName>
    <definedName function="false" hidden="false" localSheetId="0" name="eeee___9" vbProcedure="false">O___0*#REF!</definedName>
    <definedName function="false" hidden="false" localSheetId="0" name="Effort_Expended" vbProcedure="false">#REF!</definedName>
    <definedName function="false" hidden="false" localSheetId="0" name="efgtyhjkoi" vbProcedure="false">efgtyhjkoi</definedName>
    <definedName function="false" hidden="false" localSheetId="0" name="efgtyhjkoi___0" vbProcedure="false">ExpandOutputs___5</definedName>
    <definedName function="false" hidden="false" localSheetId="0" name="ExpandOutputs___5" vbProcedure="false">F___27</definedName>
    <definedName function="false" hidden="false" localSheetId="0" name="efgtyhjkoi___12" vbProcedure="false">ExpandOutputs___3</definedName>
    <definedName function="false" hidden="false" localSheetId="0" name="ExpandOutputs___3" vbProcedure="false">F___4</definedName>
    <definedName function="false" hidden="false" localSheetId="0" name="efgtyhjkoi___14" vbProcedure="false">#N/A</definedName>
    <definedName function="false" hidden="false" localSheetId="0" name="efgtyhjkoi___2" vbProcedure="false">ExpandOutputs___9</definedName>
    <definedName function="false" hidden="false" localSheetId="0" name="ExpandOutputs___9" vbProcedure="false">F___16</definedName>
    <definedName function="false" hidden="false" localSheetId="0" name="efgtyhjkoi___23" vbProcedure="false">ess1___0</definedName>
    <definedName function="false" hidden="false" localSheetId="0" name="efgtyhjkoi___25" vbProcedure="false">ExpandOutputs___23</definedName>
    <definedName function="false" hidden="false" localSheetId="0" name="ExpandOutputs___23" vbProcedure="false">ExportFile___7</definedName>
    <definedName function="false" hidden="false" localSheetId="0" name="ExportFile___7" vbProcedure="false">fffffffff___4</definedName>
    <definedName function="false" hidden="false" localSheetId="0" name="fffffffff___4" vbProcedure="false">VolFactor___5/#REF!</definedName>
    <definedName function="false" hidden="false" localSheetId="0" name="efgtyhjkoi___26" vbProcedure="false">ExpandOutputs___12</definedName>
    <definedName function="false" hidden="false" localSheetId="0" name="ExpandOutputs___12" vbProcedure="false">F___2</definedName>
    <definedName function="false" hidden="false" localSheetId="0" name="efgtyhjkoi___27" vbProcedure="false">ExpandOutputs___14</definedName>
    <definedName function="false" hidden="false" localSheetId="0" name="ExpandOutputs___14" vbProcedure="false">F___25</definedName>
    <definedName function="false" hidden="false" localSheetId="0" name="efgtyhjkoi___3" vbProcedure="false">ExpandOutputs___4</definedName>
    <definedName function="false" hidden="false" localSheetId="0" name="ExpandOutputs___4" vbProcedure="false">excel_builtin_extract_0</definedName>
    <definedName function="false" hidden="false" localSheetId="0" name="efgtyhjkoi___4" vbProcedure="false">ExpandOutputs___6</definedName>
    <definedName function="false" hidden="false" localSheetId="0" name="ExpandOutputs___6" vbProcedure="false">ExportFile___26</definedName>
    <definedName function="false" hidden="false" localSheetId="0" name="ExportFile___26" vbProcedure="false">fffffffff___16</definedName>
    <definedName function="false" hidden="false" localSheetId="0" name="fffffffff___16" vbProcedure="false">VLastRowToPrint___7/#REF!</definedName>
    <definedName function="false" hidden="false" localSheetId="0" name="efgtyhjkoi___5" vbProcedure="false">ExpandOutputs___2</definedName>
    <definedName function="false" hidden="false" localSheetId="0" name="ExpandOutputs___2" vbProcedure="false">F___14</definedName>
    <definedName function="false" hidden="false" localSheetId="0" name="efgtyhjkoi___6" vbProcedure="false">ess1___5</definedName>
    <definedName function="false" hidden="false" localSheetId="0" name="efgtyhjkoi___7" vbProcedure="false">ExpandOutputs___27</definedName>
    <definedName function="false" hidden="false" localSheetId="0" name="ExpandOutputs___27" vbProcedure="false">F___12</definedName>
    <definedName function="false" hidden="false" localSheetId="0" name="F___12" vbProcedure="false">#REF!</definedName>
    <definedName function="false" hidden="false" localSheetId="0" name="efgtyhjkoi___9" vbProcedure="false">ExpandOutputs___16</definedName>
    <definedName function="false" hidden="false" localSheetId="0" name="ExpandOutputs___16" vbProcedure="false">ExportFile___0</definedName>
    <definedName function="false" hidden="false" localSheetId="0" name="ExportFile___0" vbProcedure="false">fffffffff___25</definedName>
    <definedName function="false" hidden="false" localSheetId="0" name="fffffffff___25" vbProcedure="false">VolFactor___5/#REF!</definedName>
    <definedName function="false" hidden="false" localSheetId="0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ekrpzekpzork" vbProcedure="false">#REF!</definedName>
    <definedName function="false" hidden="false" localSheetId="0" name="emily" vbProcedure="false">{#N/A,#N/A,FALSE,"Calc";#N/A,#N/A,FALSE,"Sensitivity";#N/A,#N/A,FALSE,"LT Earn.Dil.";#N/A,#N/A,FALSE,"Dil. AVP"}</definedName>
    <definedName function="false" hidden="false" localSheetId="0" name="Emploi" vbProcedure="false">{"IS",#N/A,FALSE,"IS";"RPTIS",#N/A,FALSE,"RPTIS";"STATS",#N/A,FALSE,"STATS";"CELL",#N/A,FALSE,"CELL";"BS",#N/A,FALSE,"BS"}</definedName>
    <definedName function="false" hidden="false" localSheetId="0" name="ENT" vbProcedure="false">#REF!</definedName>
    <definedName function="false" hidden="false" localSheetId="0" name="ER" vbProcedure="false">#N/A</definedName>
    <definedName function="false" hidden="false" localSheetId="0" name="erer" vbProcedure="false">erer</definedName>
    <definedName function="false" hidden="false" localSheetId="0" name="ererer" vbProcedure="false">#REF!</definedName>
    <definedName function="false" hidden="false" localSheetId="0" name="ERGRE" vbProcedure="false">Nb_de_paiements_par_an*#REF!</definedName>
    <definedName function="false" hidden="false" localSheetId="0" name="erqt" vbProcedure="false">erqt</definedName>
    <definedName function="false" hidden="false" localSheetId="0" name="erzerpzj" vbProcedure="false">#REF!</definedName>
    <definedName function="false" hidden="false" localSheetId="0" name="essais" vbProcedure="false">{#N/A,#N/A,FALSE,"F_Plan";#N/A,#N/A,FALSE,"Parameter"}</definedName>
    <definedName function="false" hidden="false" localSheetId="0" name="et" vbProcedure="false">{"IS",#N/A,FALSE,"IS";"RPTIS",#N/A,FALSE,"RPTIS";"STATS",#N/A,FALSE,"STATS";"BS",#N/A,FALSE,"BS"}</definedName>
    <definedName function="false" hidden="false" localSheetId="0" name="euro" vbProcedure="false">#REF!</definedName>
    <definedName function="false" hidden="false" localSheetId="0" name="EX" vbProcedure="false">EX</definedName>
    <definedName function="false" hidden="false" localSheetId="0" name="Excel_BuiltIn_Recorder_0" vbProcedure="false">#REF!</definedName>
    <definedName function="false" hidden="false" localSheetId="0" name="ExpandOutputs" vbProcedure="false">ExpandOutputs</definedName>
    <definedName function="false" hidden="false" localSheetId="0" name="ExpandOutputs___0" vbProcedure="false">F___7</definedName>
    <definedName function="false" hidden="false" localSheetId="0" name="ExpandOutputs___26" vbProcedure="false">F___5</definedName>
    <definedName function="false" hidden="false" localSheetId="0" name="ExpandOutputs___7" vbProcedure="false">F___26</definedName>
    <definedName function="false" hidden="false" localSheetId="0" name="ExpandVPeriods" vbProcedure="false">ExpandVPeriods</definedName>
    <definedName function="false" hidden="false" localSheetId="0" name="ExpandVPeriods___0" vbProcedure="false">ffff___4</definedName>
    <definedName function="false" hidden="false" localSheetId="0" name="ffff___4" vbProcedure="false">O___0*#REF!</definedName>
    <definedName function="false" hidden="false" localSheetId="0" name="ExpandVPeriods___12" vbProcedure="false">F_SMS_Data___0</definedName>
    <definedName function="false" hidden="false" localSheetId="0" name="ExpandVPeriods___14" vbProcedure="false">F_SMS_Data___26</definedName>
    <definedName function="false" hidden="false" localSheetId="0" name="ExpandVPeriods___16" vbProcedure="false">F_SMS_Data___14</definedName>
    <definedName function="false" hidden="false" localSheetId="0" name="ExpandVPeriods___2" vbProcedure="false">F_SMS_Data___7</definedName>
    <definedName function="false" hidden="false" localSheetId="0" name="ExpandVPeriods___23" vbProcedure="false">F_SMS_Data___16</definedName>
    <definedName function="false" hidden="false" localSheetId="0" name="ExpandVPeriods___25" vbProcedure="false">F_SMS_Data___12</definedName>
    <definedName function="false" hidden="false" localSheetId="0" name="ExpandVPeriods___26" vbProcedure="false">ffff___23</definedName>
    <definedName function="false" hidden="false" localSheetId="0" name="ffff___23" vbProcedure="false">O___0*#REF!</definedName>
    <definedName function="false" hidden="false" localSheetId="0" name="ExpandVPeriods___3" vbProcedure="false">F_SMS_Data___5</definedName>
    <definedName function="false" hidden="false" localSheetId="0" name="ExpandVPeriods___4" vbProcedure="false">F_SMS_Data___2</definedName>
    <definedName function="false" hidden="false" localSheetId="0" name="ExpandVPeriods___5" vbProcedure="false">ffff___6</definedName>
    <definedName function="false" hidden="false" localSheetId="0" name="ffff___6" vbProcedure="false">Num_premier_paiement___0*#REF!</definedName>
    <definedName function="false" hidden="false" localSheetId="0" name="ExpandVPeriods___7" vbProcedure="false">#N/A</definedName>
    <definedName function="false" hidden="false" localSheetId="0" name="ExpandVPeriods___9" vbProcedure="false">F_SMS_Data___27</definedName>
    <definedName function="false" hidden="false" localSheetId="0" name="ExportFile" vbProcedure="false">ExportFile</definedName>
    <definedName function="false" hidden="false" localSheetId="0" name="ExportFile___14" vbProcedure="false">ffff___7</definedName>
    <definedName function="false" hidden="false" localSheetId="0" name="ffff___7" vbProcedure="false">O___0*#REF!</definedName>
    <definedName function="false" hidden="false" localSheetId="0" name="ExportFile___16" vbProcedure="false">ffff___2</definedName>
    <definedName function="false" hidden="false" localSheetId="0" name="ffff___2" vbProcedure="false">O___0*#REF!</definedName>
    <definedName function="false" hidden="false" localSheetId="0" name="ExportFile___2" vbProcedure="false">ffff___0</definedName>
    <definedName function="false" hidden="false" localSheetId="0" name="ffff___0" vbProcedure="false">O___0*#REF!</definedName>
    <definedName function="false" hidden="false" localSheetId="0" name="ExportFile___23" vbProcedure="false">ffff___14</definedName>
    <definedName function="false" hidden="false" localSheetId="0" name="ffff___14" vbProcedure="false">O___25*#REF!</definedName>
    <definedName function="false" hidden="false" localSheetId="0" name="ExportFile___25" vbProcedure="false">ffff___27</definedName>
    <definedName function="false" hidden="false" localSheetId="0" name="ffff___27" vbProcedure="false">O___27*#REF!</definedName>
    <definedName function="false" hidden="false" localSheetId="0" name="ExportFile___27" vbProcedure="false">fffffffff___6</definedName>
    <definedName function="false" hidden="false" localSheetId="0" name="fffffffff___6" vbProcedure="false">VLastRowToPrint___26/#REF!</definedName>
    <definedName function="false" hidden="false" localSheetId="0" name="ExportFile___3" vbProcedure="false">ffff___26</definedName>
    <definedName function="false" hidden="false" localSheetId="0" name="ffff___26" vbProcedure="false">O___0*#REF!</definedName>
    <definedName function="false" hidden="false" localSheetId="0" name="ExportFile___4" vbProcedure="false">ffff___12</definedName>
    <definedName function="false" hidden="false" localSheetId="0" name="ffff___12" vbProcedure="false">O___12*#REF!</definedName>
    <definedName function="false" hidden="false" localSheetId="0" name="ExportFile___5" vbProcedure="false">fffffffff___23</definedName>
    <definedName function="false" hidden="false" localSheetId="0" name="fffffffff___23" vbProcedure="false">VolFactor___5/#REF!</definedName>
    <definedName function="false" hidden="false" localSheetId="0" name="ExportFile___6" vbProcedure="false">ffff___3</definedName>
    <definedName function="false" hidden="false" localSheetId="0" name="ffff___3" vbProcedure="false">O___0*#REF!</definedName>
    <definedName function="false" hidden="false" localSheetId="0" name="ExportFile___9" vbProcedure="false">ffff___5</definedName>
    <definedName function="false" hidden="false" localSheetId="0" name="ffff___5" vbProcedure="false">O___5*#REF!</definedName>
    <definedName function="false" hidden="false" localSheetId="0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eyr" vbProcedure="false">{"hiden",#N/A,FALSE,"14";"hidden",#N/A,FALSE,"16";"hidden",#N/A,FALSE,"18";"hidden",#N/A,FALSE,"20"}</definedName>
    <definedName function="false" hidden="false" localSheetId="0" name="F" vbProcedure="false">#REF!</definedName>
    <definedName function="false" hidden="false" localSheetId="0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fdd" vbProcedure="false">fdd</definedName>
    <definedName function="false" hidden="false" localSheetId="0" name="fddr" vbProcedure="false">fddr</definedName>
    <definedName function="false" hidden="false" localSheetId="0" name="fdggh" vbProcedure="false">fdggh</definedName>
    <definedName function="false" hidden="false" localSheetId="0" name="FDGHS" vbProcedure="false">FDGHS</definedName>
    <definedName function="false" hidden="false" localSheetId="0" name="fdgqsjsbc" vbProcedure="false">fdgqsjsbc</definedName>
    <definedName function="false" hidden="false" localSheetId="0" name="fdhedtbfc" vbProcedure="false">fdhedtbfc</definedName>
    <definedName function="false" hidden="false" localSheetId="0" name="fdhfdh" vbProcedure="false">{"First Page",#N/A,FALSE,"Surfactants LBO";"Second Page",#N/A,FALSE,"Surfactants LBO"}</definedName>
    <definedName function="false" hidden="false" localSheetId="0" name="fdhfghfdh" vbProcedure="false">{"First Page",#N/A,FALSE,"Surfactants LBO";"Second Page",#N/A,FALSE,"Surfactants LBO"}</definedName>
    <definedName function="false" hidden="false" localSheetId="0" name="February" vbProcedure="false">#REF!</definedName>
    <definedName function="false" hidden="false" localSheetId="0" name="fegc" vbProcedure="false">fegc</definedName>
    <definedName function="false" hidden="false" localSheetId="0" name="fev" vbProcedure="false">#REF!</definedName>
    <definedName function="false" hidden="false" localSheetId="0" name="fevruer" vbProcedure="false">fevruer</definedName>
    <definedName function="false" hidden="false" localSheetId="0" name="fff" vbProcedure="false">#N/A</definedName>
    <definedName function="false" hidden="false" localSheetId="0" name="ffff" vbProcedure="false">Nb_de_paiements_par_an*#REF!</definedName>
    <definedName function="false" hidden="false" localSheetId="0" name="fffffffff" vbProcedure="false">[0]!tx_intérêt_par_an/#REF!</definedName>
    <definedName function="false" hidden="false" localSheetId="0" name="fffffffff___0" vbProcedure="false">VolFactor___5/#REF!</definedName>
    <definedName function="false" hidden="false" localSheetId="0" name="fffffffff___12" vbProcedure="false">VolFactor___25/#REF!</definedName>
    <definedName function="false" hidden="false" localSheetId="0" name="fffffffff___14" vbProcedure="false">VolFactor___16/#REF!</definedName>
    <definedName function="false" hidden="false" localSheetId="0" name="fffffffff___2" vbProcedure="false">VolFactor___5/#REF!</definedName>
    <definedName function="false" hidden="false" localSheetId="0" name="fffffffff___26" vbProcedure="false">VolFactor___5/#REF!</definedName>
    <definedName function="false" hidden="false" localSheetId="0" name="fffffffff___27" vbProcedure="false">VolFactor___14/#REF!</definedName>
    <definedName function="false" hidden="false" localSheetId="0" name="fffffffff___3" vbProcedure="false">VolFactor___5/#REF!</definedName>
    <definedName function="false" hidden="false" localSheetId="0" name="fffffffff___5" vbProcedure="false">VolFactor___2/#REF!</definedName>
    <definedName function="false" hidden="false" localSheetId="0" name="fffffffff___7" vbProcedure="false">VolFactor___5/#REF!</definedName>
    <definedName function="false" hidden="false" localSheetId="0" name="fffffffff___9" vbProcedure="false">VolFactor___5/#REF!</definedName>
    <definedName function="false" hidden="false" localSheetId="0" name="ffff___25" vbProcedure="false">O___0*#REF!</definedName>
    <definedName function="false" hidden="false" localSheetId="0" name="ffff___9" vbProcedure="false">O___0*#REF!</definedName>
    <definedName function="false" hidden="false" localSheetId="0" name="fffs" vbProcedure="false">{"IS",#N/A,FALSE,"IS";"RPTIS",#N/A,FALSE,"RPTIS";"STATS",#N/A,FALSE,"STATS";"CELL",#N/A,FALSE,"CELL";"BS",#N/A,FALSE,"BS"}</definedName>
    <definedName function="false" hidden="false" localSheetId="0" name="FG" vbProcedure="false">FG</definedName>
    <definedName function="false" hidden="false" localSheetId="0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0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fghdgfhdf" vbProcedure="false">{#N/A,#N/A,TRUE,"Cover sheet";#N/A,#N/A,TRUE,"DCF analysis";#N/A,#N/A,TRUE,"WACC calculation"}</definedName>
    <definedName function="false" hidden="false" localSheetId="0" name="FG___0" vbProcedure="false">G___7</definedName>
    <definedName function="false" hidden="false" localSheetId="0" name="FG___12" vbProcedure="false">G___2</definedName>
    <definedName function="false" hidden="false" localSheetId="0" name="FG___14" vbProcedure="false">G___14</definedName>
    <definedName function="false" hidden="false" localSheetId="0" name="FG___16" vbProcedure="false">G___16</definedName>
    <definedName function="false" hidden="false" localSheetId="0" name="FG___25" vbProcedure="false">G___4</definedName>
    <definedName function="false" hidden="false" localSheetId="0" name="FG___26" vbProcedure="false">G___5</definedName>
    <definedName function="false" hidden="false" localSheetId="0" name="FG___27" vbProcedure="false">G___12</definedName>
    <definedName function="false" hidden="false" localSheetId="0" name="FG___5" vbProcedure="false">G___27</definedName>
    <definedName function="false" hidden="false" localSheetId="0" name="FG___7" vbProcedure="false">G___26</definedName>
    <definedName function="false" hidden="false" localSheetId="0" name="FG___9" vbProcedure="false">G___25</definedName>
    <definedName function="false" hidden="false" localSheetId="0" name="fiche" vbProcedure="false">#REF!</definedName>
    <definedName function="false" hidden="false" localSheetId="0" name="fichexpliq_EVOSB" vbProcedure="false">#REF!</definedName>
    <definedName function="false" hidden="false" localSheetId="0" name="forecast" vbProcedure="false">OFFSET(CompRange1Main,9,0,COUNTA(CompRange1Main)-COUNTA(#REF!),1)</definedName>
    <definedName function="false" hidden="false" localSheetId="0" name="FP" vbProcedure="false">#REF!</definedName>
    <definedName function="false" hidden="false" localSheetId="0" name="fpaout" vbProcedure="false">fpaout</definedName>
    <definedName function="false" hidden="false" localSheetId="0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Frank" vbProcedure="false">{#N/A,#N/A,TRUE,"Cover sheet";#N/A,#N/A,TRUE,"DCF analysis";#N/A,#N/A,TRUE,"WACC calculation"}</definedName>
    <definedName function="false" hidden="false" localSheetId="0" name="frde" vbProcedure="false">#REF!</definedName>
    <definedName function="false" hidden="false" localSheetId="0" name="FTK" vbProcedure="false">#REF!</definedName>
    <definedName function="false" hidden="false" localSheetId="0" name="fuffuy" vbProcedure="false">{#N/A,#N/A,FALSE,"Cover";"outputs total",#N/A,FALSE,"Outputs"}</definedName>
    <definedName function="false" hidden="false" localSheetId="0" name="fukfy" vbProcedure="false">Nb_de_paiements_par_an*#REF!</definedName>
    <definedName function="false" hidden="false" localSheetId="0" name="fzrs" vbProcedure="false">fzrs</definedName>
    <definedName function="false" hidden="false" localSheetId="0" name="F___0" vbProcedure="false">#REF!</definedName>
    <definedName function="false" hidden="false" localSheetId="0" name="G" vbProcedure="false">#REF!</definedName>
    <definedName function="false" hidden="false" localSheetId="0" name="gaga" vbProcedure="false">{#N/A,#N/A,TRUE,"Cover sheet";#N/A,#N/A,TRUE,"INPUTS";#N/A,#N/A,TRUE,"OUTPUTS";#N/A,#N/A,TRUE,"VALUATION"}</definedName>
    <definedName function="false" hidden="false" localSheetId="0" name="GDFH" vbProcedure="false">GDFH</definedName>
    <definedName function="false" hidden="false" localSheetId="0" name="gdfjfg" vbProcedure="false">gdfjfg</definedName>
    <definedName function="false" hidden="false" localSheetId="0" name="gdhdj" vbProcedure="false">gdhdj</definedName>
    <definedName function="false" hidden="false" localSheetId="0" name="gdsfg" vbProcedure="false">{#N/A,#N/A,TRUE,"Cover sheet";#N/A,#N/A,TRUE,"INPUTS";#N/A,#N/A,TRUE,"OUTPUTS";#N/A,#N/A,TRUE,"VALUATION"}</definedName>
    <definedName function="false" hidden="false" localSheetId="0" name="gdsh" vbProcedure="false">gdsh</definedName>
    <definedName function="false" hidden="false" localSheetId="0" name="gf" vbProcedure="false">{"IS",#N/A,FALSE,"IS";"RPTIS",#N/A,FALSE,"RPTIS";"STATS",#N/A,FALSE,"STATS";"CELL",#N/A,FALSE,"CELL";"BS",#N/A,FALSE,"BS"}</definedName>
    <definedName function="false" hidden="false" localSheetId="0" name="gfdgfdfhfgh" vbProcedure="false">gfdgfdfhfgh</definedName>
    <definedName function="false" hidden="false" localSheetId="0" name="gfdgfdfhfgh___0" vbProcedure="false">HardCodedEquityCost___12</definedName>
    <definedName function="false" hidden="false" localSheetId="0" name="gfdgfdfhfgh___12" vbProcedure="false">HardCodedEquityCost___16</definedName>
    <definedName function="false" hidden="false" localSheetId="0" name="gfdgfdfhfgh___14" vbProcedure="false">HardCodedATDebtCost___0</definedName>
    <definedName function="false" hidden="false" localSheetId="0" name="gfdgfdfhfgh___16" vbProcedure="false">HardCodedATDebtCost___12</definedName>
    <definedName function="false" hidden="false" localSheetId="0" name="gfdgfdfhfgh___23" vbProcedure="false">HardCodedATDebtCost___2</definedName>
    <definedName function="false" hidden="false" localSheetId="0" name="gfdgfdfhfgh___25" vbProcedure="false">HardCodedATDebtCost___5</definedName>
    <definedName function="false" hidden="false" localSheetId="0" name="gfdgfdfhfgh___26" vbProcedure="false">HardCodedEquityCost___14</definedName>
    <definedName function="false" hidden="false" localSheetId="0" name="gfdgfdfhfgh___27" vbProcedure="false">HardCodedEquityCost___4</definedName>
    <definedName function="false" hidden="false" localSheetId="0" name="gfdgfdfhfgh___3" vbProcedure="false">HardCodedATDebtCost___7</definedName>
    <definedName function="false" hidden="false" localSheetId="0" name="gfdgfdfhfgh___4" vbProcedure="false">HardCodedATDebtCost___27</definedName>
    <definedName function="false" hidden="false" localSheetId="0" name="gfdgfdfhfgh___5" vbProcedure="false">HardCodedEquityCost___25</definedName>
    <definedName function="false" hidden="false" localSheetId="0" name="gfdgfdfhfgh___6" vbProcedure="false">HardCodedATDebtCost___14</definedName>
    <definedName function="false" hidden="false" localSheetId="0" name="gfdgfdfhfgh___7" vbProcedure="false">HardCodedEquityCost___2</definedName>
    <definedName function="false" hidden="false" localSheetId="0" name="gfdgfdfhfgh___9" vbProcedure="false">HardCodedATDebtCost___26</definedName>
    <definedName function="false" hidden="false" localSheetId="0" name="gfhfdl" vbProcedure="false">gfhfdl</definedName>
    <definedName function="false" hidden="false" localSheetId="0" name="gfhfj" vbProcedure="false">gfhfj</definedName>
    <definedName function="false" hidden="false" localSheetId="0" name="GFHGFHFGH" vbProcedure="false">#REF!</definedName>
    <definedName function="false" hidden="false" localSheetId="0" name="gg" vbProcedure="false">gg</definedName>
    <definedName function="false" hidden="false" localSheetId="0" name="GGDHK" vbProcedure="false">GGDHK</definedName>
    <definedName function="false" hidden="false" localSheetId="0" name="ggf" vbProcedure="false">{"comps",#N/A,FALSE,"comps";"notes",#N/A,FALSE,"comps"}</definedName>
    <definedName function="false" hidden="false" localSheetId="0" name="GH" vbProcedure="false">#N/A</definedName>
    <definedName function="false" hidden="false" localSheetId="0" name="ghb" vbProcedure="false">#REF!</definedName>
    <definedName function="false" hidden="false" localSheetId="0" name="GHFBD" vbProcedure="false">GHFBD</definedName>
    <definedName function="false" hidden="false" localSheetId="0" name="GHFHGFHTYU" vbProcedure="false">#REF!</definedName>
    <definedName function="false" hidden="false" localSheetId="0" name="ghfjd" vbProcedure="false">ghfjd</definedName>
    <definedName function="false" hidden="false" localSheetId="0" name="ghghgh" vbProcedure="false">{#N/A,#N/A,TRUE,"Cover sheet";#N/A,#N/A,TRUE,"DCF analysis";#N/A,#N/A,TRUE,"WACC calculation"}</definedName>
    <definedName function="false" hidden="false" localSheetId="0" name="ghghghghg" vbProcedure="false">{#N/A,#N/A,TRUE,"Cover sheet";#N/A,#N/A,TRUE,"DCF analysis";#N/A,#N/A,TRUE,"WACC calculation"}</definedName>
    <definedName function="false" hidden="false" localSheetId="0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0" name="gogo" vbProcedure="false">{#N/A,#N/A,TRUE,"Cover sheet";#N/A,#N/A,TRUE,"INPUTS";#N/A,#N/A,TRUE,"OUTPUTS";#N/A,#N/A,TRUE,"VALUATION"}</definedName>
    <definedName function="false" hidden="false" localSheetId="0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0" name="gs" vbProcedure="false">{"IS",#N/A,FALSE,"IS";"RPTIS",#N/A,FALSE,"RPTIS";"STATS",#N/A,FALSE,"STATS";"CELL",#N/A,FALSE,"CELL";"BS",#N/A,FALSE,"BS"}</definedName>
    <definedName function="false" hidden="false" localSheetId="0" name="gtf" vbProcedure="false">#REF!</definedName>
    <definedName function="false" hidden="false" localSheetId="0" name="gtfr" vbProcedure="false">#REF!</definedName>
    <definedName function="false" hidden="false" localSheetId="0" name="gtr" vbProcedure="false">{"print 1",#N/A,FALSE,"PrimeCo PCS";"print 2",#N/A,FALSE,"PrimeCo PCS";"valuation",#N/A,FALSE,"PrimeCo PCS"}</definedName>
    <definedName function="false" hidden="false" localSheetId="0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0" name="hegch" vbProcedure="false">hegch</definedName>
    <definedName function="false" hidden="false" localSheetId="0" name="hello" vbProcedure="false">{#N/A,#N/A,FALSE,"Cover";"outputs total",#N/A,FALSE,"Outputs"}</definedName>
    <definedName function="false" hidden="false" localSheetId="0" name="hfdgdt" vbProcedure="false">hfdgdt</definedName>
    <definedName function="false" hidden="false" localSheetId="0" name="hfgjd" vbProcedure="false">hfgjd</definedName>
    <definedName function="false" hidden="false" localSheetId="0" name="hfgjdhb" vbProcedure="false">hfgjdhb</definedName>
    <definedName function="false" hidden="false" localSheetId="0" name="hfgjdk" vbProcedure="false">hfgjdk</definedName>
    <definedName function="false" hidden="false" localSheetId="0" name="HFJDKHBF" vbProcedure="false">#REF!</definedName>
    <definedName function="false" hidden="false" localSheetId="0" name="hfjhfk" vbProcedure="false">hfjhfk</definedName>
    <definedName function="false" hidden="false" localSheetId="0" name="HFJHGN" vbProcedure="false">HFJHGN</definedName>
    <definedName function="false" hidden="false" localSheetId="0" name="hfsgfx" vbProcedure="false">{#N/A,#N/A,FALSE,"Outlook for Month ";#N/A,#N/A,FALSE,"Risk for Month ";#N/A,#N/A,FALSE,"Upside for Month"}</definedName>
    <definedName function="false" hidden="false" localSheetId="0" name="hgchdb" vbProcedure="false">hgchdb</definedName>
    <definedName function="false" hidden="false" localSheetId="0" name="HGDF?" vbProcedure="false">cover!hgdf?</definedName>
    <definedName function="false" hidden="false" localSheetId="0" name="hgdsj" vbProcedure="false">hgdsj</definedName>
    <definedName function="false" hidden="false" localSheetId="0" name="hgfjfjfv" vbProcedure="false">hgfjfjfv</definedName>
    <definedName function="false" hidden="false" localSheetId="0" name="HGFJNB" vbProcedure="false">HGFJNB</definedName>
    <definedName function="false" hidden="false" localSheetId="0" name="hhhsdf" vbProcedure="false">{"up stand alones",#N/A,FALSE,"Acquiror"}</definedName>
    <definedName function="false" hidden="false" localSheetId="0" name="hjkdhfgj" vbProcedure="false">hjkdhfgj</definedName>
    <definedName function="false" hidden="false" localSheetId="0" name="HK" vbProcedure="false">#REF!</definedName>
    <definedName function="false" hidden="false" localSheetId="0" name="hoi" vbProcedure="false">hoi</definedName>
    <definedName function="false" hidden="false" localSheetId="0" name="honor" vbProcedure="false">#REF!</definedName>
    <definedName function="false" hidden="false" localSheetId="0" name="HSFRZ" vbProcedure="false">HSFRZ</definedName>
    <definedName function="false" hidden="false" localSheetId="0" name="ht" vbProcedure="false">#REF!</definedName>
    <definedName function="false" hidden="false" localSheetId="0" name="HTML_Control" vbProcedure="false">{"' calendrier 2000'!$A$1:$Q$38"}</definedName>
    <definedName function="false" hidden="false" localSheetId="0" name="HTML_Control2" vbProcedure="false">{"' calendrier 2000'!$A$1:$Q$38"}</definedName>
    <definedName function="false" hidden="false" localSheetId="0" name="héhé___0" vbProcedure="false">VolFactor___5/#REF!</definedName>
    <definedName function="false" hidden="false" localSheetId="0" name="héhé___14" vbProcedure="false">VolFactor___16/#REF!</definedName>
    <definedName function="false" hidden="false" localSheetId="0" name="héhé___16" vbProcedure="false">VLastRowToPrint___7/#REF!</definedName>
    <definedName function="false" hidden="false" localSheetId="0" name="héhé___23" vbProcedure="false">VolFactor___5/#REF!</definedName>
    <definedName function="false" hidden="false" localSheetId="0" name="héhé___26" vbProcedure="false">VolFactor___5/#REF!</definedName>
    <definedName function="false" hidden="false" localSheetId="0" name="héhé___27" vbProcedure="false">VolFactor___14/#REF!</definedName>
    <definedName function="false" hidden="false" localSheetId="0" name="héhé___4" vbProcedure="false">VLastRowToPrint___0/#REF!</definedName>
    <definedName function="false" hidden="false" localSheetId="0" name="héhé___5" vbProcedure="false">VolFactor___2/#REF!</definedName>
    <definedName function="false" hidden="false" localSheetId="0" name="héhé___7" vbProcedure="false">VolFactor___5/#REF!</definedName>
    <definedName function="false" hidden="false" localSheetId="0" name="héhé___9" vbProcedure="false">VolFactor___5/#REF!</definedName>
    <definedName function="false" hidden="false" localSheetId="0" name="ik" vbProcedure="false">{"casespecific",#N/A,FALSE,"Assumptions"}</definedName>
    <definedName function="false" hidden="false" localSheetId="0" name="IM" vbProcedure="false">IM</definedName>
    <definedName function="false" hidden="false" localSheetId="0" name="immo" vbProcedure="false">#REF!</definedName>
    <definedName function="false" hidden="false" localSheetId="0" name="immodiv" vbProcedure="false">#REF!</definedName>
    <definedName function="false" hidden="false" localSheetId="0" name="ImportFile" vbProcedure="false">ImportFile</definedName>
    <definedName function="false" hidden="false" localSheetId="0" name="ImportFile___0" vbProcedure="false">ISPctList___2</definedName>
    <definedName function="false" hidden="false" localSheetId="0" name="ImportFile___14" vbProcedure="false">ISPctChoice___7</definedName>
    <definedName function="false" hidden="false" localSheetId="0" name="ImportFile___16" vbProcedure="false">ISPctChoice___2</definedName>
    <definedName function="false" hidden="false" localSheetId="0" name="ImportFile___2" vbProcedure="false">ISPctChoice___0</definedName>
    <definedName function="false" hidden="false" localSheetId="0" name="ImportFile___23" vbProcedure="false">ISPctChoice___14</definedName>
    <definedName function="false" hidden="false" localSheetId="0" name="ImportFile___25" vbProcedure="false">ISPctChoice___27</definedName>
    <definedName function="false" hidden="false" localSheetId="0" name="ImportFile___26" vbProcedure="false">ISPctList___25</definedName>
    <definedName function="false" hidden="false" localSheetId="0" name="ImportFile___27" vbProcedure="false">ISPctList___16</definedName>
    <definedName function="false" hidden="false" localSheetId="0" name="ImportFile___3" vbProcedure="false">ISPctChoice___26</definedName>
    <definedName function="false" hidden="false" localSheetId="0" name="ImportFile___4" vbProcedure="false">ISPctChoice___12</definedName>
    <definedName function="false" hidden="false" localSheetId="0" name="ImportFile___5" vbProcedure="false">ISPctList___4</definedName>
    <definedName function="false" hidden="false" localSheetId="0" name="ImportFile___6" vbProcedure="false">ISPctChoice___25</definedName>
    <definedName function="false" hidden="false" localSheetId="0" name="ImportFile___7" vbProcedure="false">ISPctList___14</definedName>
    <definedName function="false" hidden="false" localSheetId="0" name="ImportFile___9" vbProcedure="false">ISPctChoice___5</definedName>
    <definedName function="false" hidden="false" localSheetId="0" name="Impres_titres_MI" vbProcedure="false">#REF!</definedName>
    <definedName function="false" hidden="false" localSheetId="0" name="inv" vbProcedure="false">[0]!tx_intérêt_par_an/#REF!</definedName>
    <definedName function="false" hidden="false" localSheetId="0" name="INVENTORY_PRIOR_MONTH" vbProcedure="false">#REF!</definedName>
    <definedName function="false" hidden="false" localSheetId="0" name="inv___0" vbProcedure="false">VolFactor___5/#REF!</definedName>
    <definedName function="false" hidden="false" localSheetId="0" name="inv___12" vbProcedure="false">VolFactor___25/#REF!</definedName>
    <definedName function="false" hidden="false" localSheetId="0" name="inv___14" vbProcedure="false">VolFactor___16/#REF!</definedName>
    <definedName function="false" hidden="false" localSheetId="0" name="inv___16" vbProcedure="false">VLastRowToPrint___7/#REF!</definedName>
    <definedName function="false" hidden="false" localSheetId="0" name="inv___2" vbProcedure="false">VolFactor___4/#REF!</definedName>
    <definedName function="false" hidden="false" localSheetId="0" name="inv___23" vbProcedure="false">VolFactor___5/#REF!</definedName>
    <definedName function="false" hidden="false" localSheetId="0" name="inv___26" vbProcedure="false">VolFactor___12/#REF!</definedName>
    <definedName function="false" hidden="false" localSheetId="0" name="inv___27" vbProcedure="false">VolFactor___14/#REF!</definedName>
    <definedName function="false" hidden="false" localSheetId="0" name="inv___3" vbProcedure="false">VolFactor___5/#REF!</definedName>
    <definedName function="false" hidden="false" localSheetId="0" name="inv___4" vbProcedure="false">VLastRowToPrint___0/#REF!</definedName>
    <definedName function="false" hidden="false" localSheetId="0" name="inv___5" vbProcedure="false">VolFactor___2/#REF!</definedName>
    <definedName function="false" hidden="false" localSheetId="0" name="inv___6" vbProcedure="false">VLastRowToPrint___26/#REF!</definedName>
    <definedName function="false" hidden="false" localSheetId="0" name="inv___7" vbProcedure="false">VolFactor___27/#REF!</definedName>
    <definedName function="false" hidden="false" localSheetId="0" name="inv___9" vbProcedure="false">VolFactor___5/#REF!</definedName>
    <definedName function="false" hidden="false" localSheetId="0" name="io" vbProcedure="false">{#N/A,#N/A,FALSE,"Contribution Analysis"}</definedName>
    <definedName function="false" hidden="false" localSheetId="0" name="iouirtrt" vbProcedure="false">#REF!</definedName>
    <definedName function="false" hidden="false" localSheetId="0" name="iu" vbProcedure="false">{"orixcsc",#N/A,FALSE,"ORIX CSC";"orixcsc2",#N/A,FALSE,"ORIX CSC"}</definedName>
    <definedName function="false" hidden="false" localSheetId="0" name="j" vbProcedure="false">{"résultats",#N/A,FALSE,"résultats SFS";"indicateurs",#N/A,FALSE,"résultats SFS";"commentaires",#N/A,FALSE,"commentaires SFS";"graphiques",#N/A,FALSE,"graphiques SFS"}</definedName>
    <definedName function="false" hidden="false" localSheetId="0" name="JDJY" vbProcedure="false">JDJY</definedName>
    <definedName function="false" hidden="false" localSheetId="0" name="jdtju" vbProcedure="false">Nb_de_paiements_par_an*#REF!</definedName>
    <definedName function="false" hidden="false" localSheetId="0" name="jfhbvc" vbProcedure="false">#REF!</definedName>
    <definedName function="false" hidden="false" localSheetId="0" name="jfhjkfv" vbProcedure="false">jfhjkfv</definedName>
    <definedName function="false" hidden="false" localSheetId="0" name="jfhkfn" vbProcedure="false">jfhkfn</definedName>
    <definedName function="false" hidden="false" localSheetId="0" name="JFHKG" vbProcedure="false">JFHKG</definedName>
    <definedName function="false" hidden="false" localSheetId="0" name="jfjfj" vbProcedure="false">{#N/A,#N/A,TRUE,"Cover sheet";#N/A,#N/A,TRUE,"DCF analysis";#N/A,#N/A,TRUE,"WACC calculation"}</definedName>
    <definedName function="false" hidden="false" localSheetId="0" name="jgkhjk" vbProcedure="false">#REF!</definedName>
    <definedName function="false" hidden="false" localSheetId="0" name="jhgjhgjhh" vbProcedure="false">jhgjhgjhh</definedName>
    <definedName function="false" hidden="false" localSheetId="0" name="jhgjhgjhh___0" vbProcedure="false">LastAmort___0</definedName>
    <definedName function="false" hidden="false" localSheetId="0" name="jhgjhgjhh___12" vbProcedure="false">LastAmort___12</definedName>
    <definedName function="false" hidden="false" localSheetId="0" name="jhgjhgjhh___14" vbProcedure="false">LastAmort___14</definedName>
    <definedName function="false" hidden="false" localSheetId="0" name="jhgjhgjhh___16" vbProcedure="false">LAssets___0</definedName>
    <definedName function="false" hidden="false" localSheetId="0" name="jhgjhgjhh___2" vbProcedure="false">LastAmort___2</definedName>
    <definedName function="false" hidden="false" localSheetId="0" name="jhgjhgjhh___23" vbProcedure="false">LAssets___7</definedName>
    <definedName function="false" hidden="false" localSheetId="0" name="jhgjhgjhh___25" vbProcedure="false">LastAmort___16</definedName>
    <definedName function="false" hidden="false" localSheetId="0" name="jhgjhgjhh___26" vbProcedure="false">LastAmort___26</definedName>
    <definedName function="false" hidden="false" localSheetId="0" name="jhgjhgjhh___27" vbProcedure="false">LastAmort___27</definedName>
    <definedName function="false" hidden="false" localSheetId="0" name="jhgjhgjhh___3" vbProcedure="false">LastAmort___25</definedName>
    <definedName function="false" hidden="false" localSheetId="0" name="jhgjhgjhh___5" vbProcedure="false">LastAmort___5</definedName>
    <definedName function="false" hidden="false" localSheetId="0" name="jhgjhgjhh___6" vbProcedure="false">LAssets___26</definedName>
    <definedName function="false" hidden="false" localSheetId="0" name="jhgjhgjhh___7" vbProcedure="false">LastAmort___7</definedName>
    <definedName function="false" hidden="false" localSheetId="0" name="jhgjhgjhh___9" vbProcedure="false">LastAmort___4</definedName>
    <definedName function="false" hidden="false" localSheetId="0" name="jhgjuy" vbProcedure="false">jhgjuy</definedName>
    <definedName function="false" hidden="false" localSheetId="0" name="JHYGB" vbProcedure="false">JHYGB</definedName>
    <definedName function="false" hidden="false" localSheetId="0" name="jj" vbProcedure="false">jj</definedName>
    <definedName function="false" hidden="false" localSheetId="0" name="JJJJJJ" vbProcedure="false">JJJJJJ</definedName>
    <definedName function="false" hidden="false" localSheetId="0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0" name="JNBGHVC" vbProcedure="false">JNBGHVC</definedName>
    <definedName function="false" hidden="false" localSheetId="0" name="jnijk" vbProcedure="false">jnijk</definedName>
    <definedName function="false" hidden="false" localSheetId="0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JTYJKYTK" vbProcedure="false">JTYJKYTK</definedName>
    <definedName function="false" hidden="false" localSheetId="0" name="juin" vbProcedure="false">#REF!</definedName>
    <definedName function="false" hidden="false" localSheetId="0" name="JYDTJKTK" vbProcedure="false">JYDTJKTK</definedName>
    <definedName function="false" hidden="false" localSheetId="0" name="jzrdsf" vbProcedure="false">jzrdsf</definedName>
    <definedName function="false" hidden="false" localSheetId="0" name="K" vbProcedure="false">#REF!</definedName>
    <definedName function="false" hidden="false" localSheetId="0" name="ka" vbProcedure="false">{"IS",#N/A,FALSE,"IS";"RPTIS",#N/A,FALSE,"RPTIS";"STATS",#N/A,FALSE,"STATS";"CELL",#N/A,FALSE,"CELL";"BS",#N/A,FALSE,"BS"}</definedName>
    <definedName function="false" hidden="false" localSheetId="0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kdnhfg" vbProcedure="false">kdnhfg</definedName>
    <definedName function="false" hidden="false" localSheetId="0" name="ke" vbProcedure="false">{"orixcsc",#N/A,FALSE,"ORIX CSC";"orixcsc2",#N/A,FALSE,"ORIX CSC"}</definedName>
    <definedName function="false" hidden="false" localSheetId="0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kfhgdj" vbProcedure="false">kfhgdj</definedName>
    <definedName function="false" hidden="false" localSheetId="0" name="kg" vbProcedure="false">{"print 1",#N/A,FALSE,"PrimeCo PCS";"print 2",#N/A,FALSE,"PrimeCo PCS";"valuation",#N/A,FALSE,"PrimeCo PCS"}</definedName>
    <definedName function="false" hidden="false" localSheetId="0" name="kgkgk" vbProcedure="false">{#N/A,#N/A,TRUE,"Cover sheet";#N/A,#N/A,TRUE,"DCF analysis";#N/A,#N/A,TRUE,"WACC calculation"}</definedName>
    <definedName function="false" hidden="false" localSheetId="0" name="kh" vbProcedure="false">{"test2",#N/A,TRUE,"Prices"}</definedName>
    <definedName function="false" hidden="false" localSheetId="0" name="ki" vbProcedure="false">{"orixcsc",#N/A,FALSE,"ORIX CSC";"orixcsc2",#N/A,FALSE,"ORIX CSC"}</definedName>
    <definedName function="false" hidden="false" localSheetId="0" name="KitEL_RM_SCS" vbProcedure="false">#REF!</definedName>
    <definedName function="false" hidden="false" localSheetId="0" name="KitPart" vbProcedure="false">#REF!</definedName>
    <definedName function="false" hidden="false" localSheetId="0" name="Kits" vbProcedure="false">#REF!</definedName>
    <definedName function="false" hidden="false" localSheetId="0" name="kj" vbProcedure="false">{"IS",#N/A,FALSE,"IS";"RPTIS",#N/A,FALSE,"RPTIS";"STATS",#N/A,FALSE,"STATS";"BS",#N/A,FALSE,"BS"}</definedName>
    <definedName function="false" hidden="false" localSheetId="0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kkkkkk" vbProcedure="false">{#N/A,#N/A,FALSE,"ORIX CSC"}</definedName>
    <definedName function="false" hidden="false" localSheetId="0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kkkkkkkkkkk" vbProcedure="false">{#N/A,#N/A,FALSE,"Contribution Analysis"}</definedName>
    <definedName function="false" hidden="false" localSheetId="0" name="kkkkkkkkkkkk" vbProcedure="false">{"IS",#N/A,FALSE,"IS";"RPTIS",#N/A,FALSE,"RPTIS";"STATS",#N/A,FALSE,"STATS";"CELL",#N/A,FALSE,"CELL";"BS",#N/A,FALSE,"BS"}</definedName>
    <definedName function="false" hidden="false" localSheetId="0" name="kkkkkkkkkkkkk" vbProcedure="false">{#N/A,#N/A,FALSE,"ORIX CSC"}</definedName>
    <definedName function="false" hidden="false" localSheetId="0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kkkkkkkkkkkkkkkkkk" vbProcedure="false">{"IS",#N/A,FALSE,"IS";"RPTIS",#N/A,FALSE,"RPTIS";"STATS",#N/A,FALSE,"STATS";"CELL",#N/A,FALSE,"CELL";"BS",#N/A,FALSE,"BS"}</definedName>
    <definedName function="false" hidden="false" localSheetId="0" name="kma" vbProcedure="false">{#N/A,#N/A,TRUE,"Cover sheet";#N/A,#N/A,TRUE,"DCF analysis";#N/A,#N/A,TRUE,"WACC calculation"}</definedName>
    <definedName function="false" hidden="false" localSheetId="0" name="kmh" vbProcedure="false">{#N/A,#N/A,TRUE,"Cover sheet";#N/A,#N/A,TRUE,"DCF analysis";#N/A,#N/A,TRUE,"WACC calculation"}</definedName>
    <definedName function="false" hidden="false" localSheetId="0" name="knl" vbProcedure="false">knl</definedName>
    <definedName function="false" hidden="false" localSheetId="0" name="ko" vbProcedure="false">{#N/A,#N/A,FALSE,"ORIX CSC"}</definedName>
    <definedName function="false" hidden="false" localSheetId="0" name="kol" vbProcedure="false">{"away stand alones",#N/A,FALSE,"Target"}</definedName>
    <definedName function="false" hidden="false" localSheetId="0" name="kp" vbProcedure="false">{"subs",#N/A,FALSE,"database ";"proportional",#N/A,FALSE,"database "}</definedName>
    <definedName function="false" hidden="false" localSheetId="0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kt" vbProcedure="false">{"IS",#N/A,FALSE,"IS";"RPTIS",#N/A,FALSE,"RPTIS";"STATS",#N/A,FALSE,"STATS";"CELL",#N/A,FALSE,"CELL";"BS",#N/A,FALSE,"BS"}</definedName>
    <definedName function="false" hidden="false" localSheetId="0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ky" vbProcedure="false">{#N/A,#N/A,FALSE,"Contribution Analysis"}</definedName>
    <definedName function="false" hidden="false" localSheetId="0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lala" vbProcedure="false">{#N/A,#N/A,TRUE,"Cover sheet";#N/A,#N/A,TRUE,"DCF analysis";#N/A,#N/A,TRUE,"WACC calculation"}</definedName>
    <definedName function="false" hidden="false" localSheetId="0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ldgy" vbProcedure="false">ldgy</definedName>
    <definedName function="false" hidden="false" localSheetId="0" name="le" vbProcedure="false">{"IS",#N/A,FALSE,"IS";"RPTIS",#N/A,FALSE,"RPTIS";"STATS",#N/A,FALSE,"STATS";"CELL",#N/A,FALSE,"CELL";"BS",#N/A,FALSE,"BS"}</definedName>
    <definedName function="false" hidden="false" localSheetId="0" name="li" vbProcedure="false">{"IS",#N/A,FALSE,"IS";"RPTIS",#N/A,FALSE,"RPTIS";"STATS",#N/A,FALSE,"STATS";"CELL",#N/A,FALSE,"CELL";"BS",#N/A,FALSE,"BS"}</definedName>
    <definedName function="false" hidden="false" localSheetId="0" name="ListPrice" vbProcedure="false">#REF!</definedName>
    <definedName function="false" hidden="false" localSheetId="0" name="LJ" vbProcedure="false">#REF!</definedName>
    <definedName function="false" hidden="false" localSheetId="0" name="lkglotr" vbProcedure="false">#REF!</definedName>
    <definedName function="false" hidden="false" localSheetId="0" name="LKJLML" vbProcedure="false">#REF!</definedName>
    <definedName function="false" hidden="false" localSheetId="0" name="lkkgopr" vbProcedure="false">#REF!</definedName>
    <definedName function="false" hidden="false" localSheetId="0" name="ln" vbProcedure="false">{#N/A,#N/A,FALSE,"Contribution Analysis"}</definedName>
    <definedName function="false" hidden="false" localSheetId="0" name="lo" vbProcedure="false">{"IS",#N/A,FALSE,"IS";"RPTIS",#N/A,FALSE,"RPTIS";"STATS",#N/A,FALSE,"STATS";"CELL",#N/A,FALSE,"CELL";"BS",#N/A,FALSE,"BS"}</definedName>
    <definedName function="false" hidden="false" localSheetId="0" name="loki" vbProcedure="false">#REF!</definedName>
    <definedName function="false" hidden="false" localSheetId="0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lr" vbProcedure="false">{"IS",#N/A,FALSE,"IS";"RPTIS",#N/A,FALSE,"RPTIS";"STATS",#N/A,FALSE,"STATS";"CELL",#N/A,FALSE,"CELL";"BS",#N/A,FALSE,"BS"}</definedName>
    <definedName function="false" hidden="false" localSheetId="0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lu" vbProcedure="false">{"orixcsc",#N/A,FALSE,"ORIX CSC";"orixcsc2",#N/A,FALSE,"ORIX CSC"}</definedName>
    <definedName function="false" hidden="false" localSheetId="0" name="lumpjiùo" vbProcedure="false">{"IS",#N/A,FALSE,"IS";"RPTIS",#N/A,FALSE,"RPTIS";"STATS",#N/A,FALSE,"STATS";"BS",#N/A,FALSE,"BS"}</definedName>
    <definedName function="false" hidden="false" localSheetId="0" name="lv" vbProcedure="false">{"IS",#N/A,FALSE,"IS";"RPTIS",#N/A,FALSE,"RPTIS";"STATS",#N/A,FALSE,"STATS";"BS",#N/A,FALSE,"BS"}</definedName>
    <definedName function="false" hidden="false" localSheetId="0" name="ly" vbProcedure="false">{#N/A,#N/A,FALSE,"Contribution Analysis"}</definedName>
    <definedName function="false" hidden="false" localSheetId="0" name="lz" vbProcedure="false">{"IS",#N/A,FALSE,"IS";"RPTIS",#N/A,FALSE,"RPTIS";"STATS",#N/A,FALSE,"STATS";"CELL",#N/A,FALSE,"CELL";"BS",#N/A,FALSE,"BS"}</definedName>
    <definedName function="false" hidden="false" localSheetId="0" name="M.E.SFES" vbProcedure="false">#REF!</definedName>
    <definedName function="false" hidden="false" localSheetId="0" name="ma" vbProcedure="false">{#N/A,#N/A,FALSE,"ORIX CSC"}</definedName>
    <definedName function="false" hidden="false" localSheetId="0" name="March" vbProcedure="false">#REF!</definedName>
    <definedName function="false" hidden="false" localSheetId="0" name="Markets" vbProcedure="false">#REF!</definedName>
    <definedName function="false" hidden="false" localSheetId="0" name="Marrakech" vbProcedure="false">#REF!</definedName>
    <definedName function="false" hidden="false" localSheetId="0" name="May" vbProcedure="false">#REF!</definedName>
    <definedName function="false" hidden="false" localSheetId="0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mc" vbProcedure="false">{"IS",#N/A,FALSE,"IS";"RPTIS",#N/A,FALSE,"RPTIS";"STATS",#N/A,FALSE,"STATS";"BS",#N/A,FALSE,"BS"}</definedName>
    <definedName function="false" hidden="false" localSheetId="0" name="md" vbProcedure="false">{"IS",#N/A,FALSE,"IS";"RPTIS",#N/A,FALSE,"RPTIS";"STATS",#N/A,FALSE,"STATS";"CELL",#N/A,FALSE,"CELL";"BS",#N/A,FALSE,"BS"}</definedName>
    <definedName function="false" hidden="false" localSheetId="0" name="mdlm" vbProcedure="false">{#N/A,#N/A,TRUE,"financial";#N/A,#N/A,TRUE,"plants"}</definedName>
    <definedName function="false" hidden="false" localSheetId="0" name="mf" vbProcedure="false">{"print 1",#N/A,FALSE,"PrimeCo PCS";"print 2",#N/A,FALSE,"PrimeCo PCS";"valuation",#N/A,FALSE,"PrimeCo PCS"}</definedName>
    <definedName function="false" hidden="false" localSheetId="0" name="mh" vbProcedure="false">{"IS",#N/A,FALSE,"IS";"RPTIS",#N/A,FALSE,"RPTIS";"STATS",#N/A,FALSE,"STATS";"BS",#N/A,FALSE,"BS"}</definedName>
    <definedName function="false" hidden="false" localSheetId="0" name="mi" vbProcedure="false">{"subs",#N/A,FALSE,"database ";"proportional",#N/A,FALSE,"database "}</definedName>
    <definedName function="false" hidden="false" localSheetId="0" name="MIMS" vbProcedure="false">#REF!</definedName>
    <definedName function="false" hidden="false" localSheetId="0" name="mj" vbProcedure="false">{"test2",#N/A,TRUE,"Prices"}</definedName>
    <definedName function="false" hidden="false" localSheetId="0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MMMMM" vbProcedure="false">MMMMM</definedName>
    <definedName function="false" hidden="false" localSheetId="0" name="mn" vbProcedure="false">{"print 1",#N/A,FALSE,"PrimeCo PCS";"print 2",#N/A,FALSE,"PrimeCo PCS";"valuation",#N/A,FALSE,"PrimeCo PCS"}</definedName>
    <definedName function="false" hidden="false" localSheetId="0" name="mo" vbProcedure="false">{"test2",#N/A,TRUE,"Prices"}</definedName>
    <definedName function="false" hidden="false" localSheetId="0" name="Mohammedia" vbProcedure="false">#REF!</definedName>
    <definedName function="false" hidden="false" localSheetId="0" name="mois" vbProcedure="false">#REF!</definedName>
    <definedName function="false" hidden="false" localSheetId="0" name="mois___0" vbProcedure="false">#REF!</definedName>
    <definedName function="false" hidden="false" localSheetId="0" name="MonthlyLigne1" vbProcedure="false">#REF!</definedName>
    <definedName function="false" hidden="false" localSheetId="0" name="MonthlyLigne2" vbProcedure="false">#REF!</definedName>
    <definedName function="false" hidden="false" localSheetId="0" name="Movies_Shared_w_USA" vbProcedure="false">#REF!</definedName>
    <definedName function="false" hidden="false" localSheetId="0" name="Movie_Grid" vbProcedure="false">#REF!</definedName>
    <definedName function="false" hidden="false" localSheetId="0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mpol" vbProcedure="false">#REF!</definedName>
    <definedName function="false" hidden="false" localSheetId="0" name="mq" vbProcedure="false">{"IS",#N/A,FALSE,"IS";"RPTIS",#N/A,FALSE,"RPTIS";"STATS",#N/A,FALSE,"STATS";"CELL",#N/A,FALSE,"CELL";"BS",#N/A,FALSE,"BS"}</definedName>
    <definedName function="false" hidden="false" localSheetId="0" name="mr" vbProcedure="false">{"IS",#N/A,FALSE,"IS";"RPTIS",#N/A,FALSE,"RPTIS";"STATS",#N/A,FALSE,"STATS";"CELL",#N/A,FALSE,"CELL";"BS",#N/A,FALSE,"BS"}</definedName>
    <definedName function="false" hidden="false" localSheetId="0" name="ms" vbProcedure="false">{"IS",#N/A,FALSE,"IS";"RPTIS",#N/A,FALSE,"RPTIS";"STATS",#N/A,FALSE,"STATS";"CELL",#N/A,FALSE,"CELL";"BS",#N/A,FALSE,"BS"}</definedName>
    <definedName function="false" hidden="false" localSheetId="0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mu" vbProcedure="false">{"IS",#N/A,FALSE,"IS";"RPTIS",#N/A,FALSE,"RPTIS";"STATS",#N/A,FALSE,"STATS";"BS",#N/A,FALSE,"BS"}</definedName>
    <definedName function="false" hidden="false" localSheetId="0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mw" vbProcedure="false">{"test2",#N/A,TRUE,"Prices"}</definedName>
    <definedName function="false" hidden="false" localSheetId="0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mz" vbProcedure="false">{"IS",#N/A,FALSE,"IS";"RPTIS",#N/A,FALSE,"RPTIS";"STATS",#N/A,FALSE,"STATS";"CELL",#N/A,FALSE,"CELL";"BS",#N/A,FALSE,"BS"}</definedName>
    <definedName function="false" hidden="false" localSheetId="0" name="nalo" vbProcedure="false">#REF!</definedName>
    <definedName function="false" hidden="false" localSheetId="0" name="NameVersion" vbProcedure="false">#REF!</definedName>
    <definedName function="false" hidden="false" localSheetId="0" name="NameVersion___12" vbProcedure="false">#REF!</definedName>
    <definedName function="false" hidden="false" localSheetId="0" name="Nbe_total_de_paiements" vbProcedure="false">Nb_de_paiements_par_an*#REF!</definedName>
    <definedName function="false" hidden="false" localSheetId="0" name="Nbe_total_de_paiements___0" vbProcedure="false">Nb_de_paiements_par_an___0*#REF!</definedName>
    <definedName function="false" hidden="false" localSheetId="0" name="Nb_de_paiements_par_an___0" vbProcedure="false">#REF!</definedName>
    <definedName function="false" hidden="false" localSheetId="0" name="Nbe_total_de_paiements___12" vbProcedure="false">Nb_de_paiements_par_an___12*#REF!</definedName>
    <definedName function="false" hidden="false" localSheetId="0" name="Nb_de_paiements_par_an___12" vbProcedure="false">#REF!</definedName>
    <definedName function="false" hidden="false" localSheetId="0" name="Nbe_total_de_paiements___14" vbProcedure="false">Nb_de_paiements_par_an___14*#REF!</definedName>
    <definedName function="false" hidden="false" localSheetId="0" name="Nbe_total_de_paiements___16" vbProcedure="false">Nb_de_paiements_par_an___16*#REF!</definedName>
    <definedName function="false" hidden="false" localSheetId="0" name="Nbe_total_de_paiements___2" vbProcedure="false">Nb_de_paiements_par_an___2*#REF!</definedName>
    <definedName function="false" hidden="false" localSheetId="0" name="Nbe_total_de_paiements___23" vbProcedure="false">Nb_de_paiements_par_an___0*#REF!</definedName>
    <definedName function="false" hidden="false" localSheetId="0" name="Nbe_total_de_paiements___25" vbProcedure="false">Nb_de_paiements_par_an___25*#REF!</definedName>
    <definedName function="false" hidden="false" localSheetId="0" name="Nbe_total_de_paiements___26" vbProcedure="false">Nb_de_paiements_par_an___26*#REF!</definedName>
    <definedName function="false" hidden="false" localSheetId="0" name="Nbe_total_de_paiements___27" vbProcedure="false">Nb_de_paiements_par_an___27*#REF!</definedName>
    <definedName function="false" hidden="false" localSheetId="0" name="Nbe_total_de_paiements___3" vbProcedure="false">Nb_de_paiements_par_an___0*#REF!</definedName>
    <definedName function="false" hidden="false" localSheetId="0" name="Nbe_total_de_paiements___4" vbProcedure="false">Nb_de_paiements_par_an___4*#REF!</definedName>
    <definedName function="false" hidden="false" localSheetId="0" name="Nbe_total_de_paiements___5" vbProcedure="false">Nb_de_paiements_par_an___5*#REF!</definedName>
    <definedName function="false" hidden="false" localSheetId="0" name="Nbe_total_de_paiements___7" vbProcedure="false">Nb_de_paiements_par_an___7*#REF!</definedName>
    <definedName function="false" hidden="false" localSheetId="0" name="Nbe_total_de_paiements___9" vbProcedure="false">Nb_de_paiements_par_an___0*#REF!</definedName>
    <definedName function="false" hidden="false" localSheetId="0" name="NETGAAP12M97" vbProcedure="false">#REF!</definedName>
    <definedName function="false" hidden="false" localSheetId="0" name="new" vbProcedure="false">#REF!</definedName>
    <definedName function="false" hidden="false" localSheetId="0" name="newbel" vbProcedure="false">{"IS",#N/A,FALSE,"IS";"RPTIS",#N/A,FALSE,"RPTIS";"STATS",#N/A,FALSE,"STATS";"CELL",#N/A,FALSE,"CELL";"BS",#N/A,FALSE,"BS"}</definedName>
    <definedName function="false" hidden="false" localSheetId="0" name="newbel1" vbProcedure="false">{"IS",#N/A,FALSE,"IS";"RPTIS",#N/A,FALSE,"RPTIS";"STATS",#N/A,FALSE,"STATS";"CELL",#N/A,FALSE,"CELL";"BS",#N/A,FALSE,"BS"}</definedName>
    <definedName function="false" hidden="false" localSheetId="0" name="newDC" vbProcedure="false">{#N/A,#N/A,TRUE,"Cover sheet";#N/A,#N/A,TRUE,"DCF analysis";#N/A,#N/A,TRUE,"WACC calculation"}</definedName>
    <definedName function="false" hidden="false" localSheetId="0" name="new_FTK" vbProcedure="false">{#N/A,#N/A,FALSE,"Outlook for Month ";#N/A,#N/A,FALSE,"Risk for Month ";#N/A,#N/A,FALSE,"Upside for Month"}</definedName>
    <definedName function="false" hidden="false" localSheetId="0" name="NHFGJ" vbProcedure="false">NHFGJ</definedName>
    <definedName function="false" hidden="false" localSheetId="0" name="Nine" vbProcedure="false">#REF!</definedName>
    <definedName function="false" hidden="false" localSheetId="0" name="nnflklkfrji" vbProcedure="false">#REF!</definedName>
    <definedName function="false" hidden="false" localSheetId="0" name="nnn" vbProcedure="false">OFFSET(DateRangeCompMain,9,0,COUNTA(DateRangeCompMain)-COUNTA(#REF!),1)</definedName>
    <definedName function="false" hidden="false" localSheetId="0" name="noidea" vbProcedure="false">{#N/A,#N/A,FALSE,"Calc";#N/A,#N/A,FALSE,"Sensitivity";#N/A,#N/A,FALSE,"LT Earn.Dil.";#N/A,#N/A,FALSE,"Dil. AVP"}</definedName>
    <definedName function="false" hidden="false" localSheetId="0" name="NOIDEA2" vbProcedure="false">{#N/A,#N/A,FALSE,"Calc";#N/A,#N/A,FALSE,"Sensitivity";#N/A,#N/A,FALSE,"LT Earn.Dil.";#N/A,#N/A,FALSE,"Dil. AVP"}</definedName>
    <definedName function="false" hidden="false" localSheetId="0" name="NonRGCols" vbProcedure="false">#REF!</definedName>
    <definedName function="false" hidden="false" localSheetId="0" name="NonRGCols___0" vbProcedure="false">#REF!</definedName>
    <definedName function="false" hidden="false" localSheetId="0" name="NonRGCols___12" vbProcedure="false">#REF!</definedName>
    <definedName function="false" hidden="false" localSheetId="0" name="nouvelle_identification" vbProcedure="false">#REF!</definedName>
    <definedName function="false" hidden="false" localSheetId="0" name="Novacom" vbProcedure="false">OFFSET(CompRange1Main,9,0,COUNTA(CompRange1Main)-COUNTA(#REF!),1)</definedName>
    <definedName function="false" hidden="false" localSheetId="0" name="November" vbProcedure="false">#REF!</definedName>
    <definedName function="false" hidden="false" localSheetId="0" name="nvbidf" vbProcedure="false">nvbidf</definedName>
    <definedName function="false" hidden="false" localSheetId="0" name="O" vbProcedure="false">#REF!</definedName>
    <definedName function="false" hidden="false" localSheetId="0" name="ObjectifCommutation" vbProcedure="false">#REF!,#REF!,#REF!</definedName>
    <definedName function="false" hidden="false" localSheetId="0" name="OBSERVATIONS" vbProcedure="false">#REF!</definedName>
    <definedName function="false" hidden="false" localSheetId="0" name="oiuoiuouiyuiui" vbProcedure="false">#REF!</definedName>
    <definedName function="false" hidden="false" localSheetId="0" name="ok" vbProcedure="false">{#N/A,#N/A,FALSE,"Calc";#N/A,#N/A,FALSE,"Sensitivity";#N/A,#N/A,FALSE,"LT Earn.Dil.";#N/A,#N/A,FALSE,"Dil. AVP"}</definedName>
    <definedName function="false" hidden="false" localSheetId="0" name="okj" vbProcedure="false">okj</definedName>
    <definedName function="false" hidden="false" localSheetId="0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0" name="OP" vbProcedure="false">{#N/A,#N/A,FALSE,"Operations";#N/A,#N/A,FALSE,"Financials"}</definedName>
    <definedName function="false" hidden="false" localSheetId="0" name="opex3" vbProcedure="false">opex3</definedName>
    <definedName function="false" hidden="false" localSheetId="0" name="OPEX4RCG" vbProcedure="false">#REF!</definedName>
    <definedName function="false" hidden="false" localSheetId="0" name="p" vbProcedure="false">#REF!</definedName>
    <definedName function="false" hidden="false" localSheetId="0" name="page1" vbProcedure="false">#REF!</definedName>
    <definedName function="false" hidden="false" localSheetId="0" name="page2" vbProcedure="false">#REF!</definedName>
    <definedName function="false" hidden="false" localSheetId="0" name="PAM" vbProcedure="false">PAM</definedName>
    <definedName function="false" hidden="false" localSheetId="0" name="PAM___0" vbProcedure="false">Premier_paiement___16</definedName>
    <definedName function="false" hidden="false" localSheetId="0" name="PAM___12" vbProcedure="false">PreDealReduction___5</definedName>
    <definedName function="false" hidden="false" localSheetId="0" name="PAM___14" vbProcedure="false">PreDealReduction___27</definedName>
    <definedName function="false" hidden="false" localSheetId="0" name="PAM___16" vbProcedure="false">PreDealReduction___14</definedName>
    <definedName function="false" hidden="false" localSheetId="0" name="PAM___23" vbProcedure="false">PreDealReduction___25</definedName>
    <definedName function="false" hidden="false" localSheetId="0" name="PAM___25" vbProcedure="false">PreDealReduction___2</definedName>
    <definedName function="false" hidden="false" localSheetId="0" name="PAM___26" vbProcedure="false">PreDealReduction___0</definedName>
    <definedName function="false" hidden="false" localSheetId="0" name="PreDealReduction___0" vbProcedure="false">#REF!</definedName>
    <definedName function="false" hidden="false" localSheetId="0" name="PAM___27" vbProcedure="false">PreDealReduction___26</definedName>
    <definedName function="false" hidden="false" localSheetId="0" name="PAM___5" vbProcedure="false">PreDealReduction___7</definedName>
    <definedName function="false" hidden="false" localSheetId="0" name="PAM___6" vbProcedure="false">PreDealReduction___4</definedName>
    <definedName function="false" hidden="false" localSheetId="0" name="PAM___9" vbProcedure="false">PreDealReduction___12</definedName>
    <definedName function="false" hidden="false" localSheetId="0" name="PreDealReduction___12" vbProcedure="false">#REF!</definedName>
    <definedName function="false" hidden="false" localSheetId="0" name="part" vbProcedure="false">#REF!</definedName>
    <definedName function="false" hidden="false" localSheetId="0" name="partdiv" vbProcedure="false">#REF!</definedName>
    <definedName function="false" hidden="false" localSheetId="0" name="PARTICIP" vbProcedure="false">#REF!</definedName>
    <definedName function="false" hidden="false" localSheetId="0" name="par_article" vbProcedure="false">#REF!</definedName>
    <definedName function="false" hidden="false" localSheetId="0" name="PATENTE_2003" vbProcedure="false">#REF!</definedName>
    <definedName function="false" hidden="false" localSheetId="0" name="PCU_HARDWARE" vbProcedure="false">#REF!</definedName>
    <definedName function="false" hidden="false" localSheetId="0" name="PCU_SOFTWARE" vbProcedure="false">#REF!</definedName>
    <definedName function="false" hidden="false" localSheetId="0" name="PD" vbProcedure="false">#REF!</definedName>
    <definedName function="false" hidden="false" localSheetId="0" name="Percent_Effort_Expend" vbProcedure="false">#REF!</definedName>
    <definedName function="false" hidden="false" localSheetId="0" name="PeriodsToRun" vbProcedure="false">#REF!</definedName>
    <definedName function="false" hidden="false" localSheetId="0" name="PeriodsToRun___12" vbProcedure="false">#REF!</definedName>
    <definedName function="false" hidden="false" localSheetId="0" name="Phase1" vbProcedure="false">#REF!</definedName>
    <definedName function="false" hidden="false" localSheetId="0" name="Phase2" vbProcedure="false">#REF!</definedName>
    <definedName function="false" hidden="false" localSheetId="0" name="Phase3" vbProcedure="false">#REF!</definedName>
    <definedName function="false" hidden="false" localSheetId="0" name="po" vbProcedure="false">{#N/A,#N/A,FALSE,"Calc";#N/A,#N/A,FALSE,"Sensitivity";#N/A,#N/A,FALSE,"LT Earn.Dil.";#N/A,#N/A,FALSE,"Dil. AVP"}</definedName>
    <definedName function="false" hidden="false" localSheetId="0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POLY2000" vbProcedure="false">#REF!</definedName>
    <definedName function="false" hidden="false" localSheetId="0" name="PortionInDeal" vbProcedure="false">#REF!</definedName>
    <definedName function="false" hidden="false" localSheetId="0" name="PortionInDeal___0" vbProcedure="false">#REF!</definedName>
    <definedName function="false" hidden="false" localSheetId="0" name="PP" vbProcedure="false">#REF!</definedName>
    <definedName function="false" hidden="false" localSheetId="0" name="PreDealReduction" vbProcedure="false">#REF!</definedName>
    <definedName function="false" hidden="false" localSheetId="0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print4" vbProcedure="false">{#N/A,#N/A,FALSE,"Operations";#N/A,#N/A,FALSE,"Financials"}</definedName>
    <definedName function="false" hidden="false" localSheetId="0" name="Print_fullyear" vbProcedure="false">#REF!</definedName>
    <definedName function="false" hidden="false" localSheetId="0" name="Print_totalproj" vbProcedure="false">#REF!</definedName>
    <definedName function="false" hidden="false" localSheetId="0" name="PROGRAM_LU" vbProcedure="false">#REF!</definedName>
    <definedName function="false" hidden="false" localSheetId="0" name="ProImportExport.ImportFile" vbProcedure="false">ProImportExport.ImportFile</definedName>
    <definedName function="false" hidden="false" localSheetId="0" name="ProImportExport.ImportFile___0" vbProcedure="false">qa___26</definedName>
    <definedName function="false" hidden="false" localSheetId="0" name="qa___26" vbProcedure="false">Nb_de_paiements_par_an___26*#REF!</definedName>
    <definedName function="false" hidden="false" localSheetId="0" name="ProImportExport.ImportFile___12" vbProcedure="false">qa___14</definedName>
    <definedName function="false" hidden="false" localSheetId="0" name="qa___14" vbProcedure="false">Nb_de_paiements_par_an___14*#REF!</definedName>
    <definedName function="false" hidden="false" localSheetId="0" name="ProImportExport.ImportFile___14" vbProcedure="false">qa___9</definedName>
    <definedName function="false" hidden="false" localSheetId="0" name="qa___9" vbProcedure="false">Nb_de_paiements_par_an___0*#REF!</definedName>
    <definedName function="false" hidden="false" localSheetId="0" name="ProImportExport.ImportFile___16" vbProcedure="false">#N/A</definedName>
    <definedName function="false" hidden="false" localSheetId="0" name="ProImportExport.ImportFile___2" vbProcedure="false">qa___3</definedName>
    <definedName function="false" hidden="false" localSheetId="0" name="qa___3" vbProcedure="false">Nb_de_paiements_par_an___0*#REF!</definedName>
    <definedName function="false" hidden="false" localSheetId="0" name="ProImportExport.ImportFile___25" vbProcedure="false">qa___16</definedName>
    <definedName function="false" hidden="false" localSheetId="0" name="qa___16" vbProcedure="false">Nb_de_paiements_par_an___16*#REF!</definedName>
    <definedName function="false" hidden="false" localSheetId="0" name="ProImportExport.ImportFile___26" vbProcedure="false">qa___27</definedName>
    <definedName function="false" hidden="false" localSheetId="0" name="qa___27" vbProcedure="false">Nb_de_paiements_par_an___27*#REF!</definedName>
    <definedName function="false" hidden="false" localSheetId="0" name="ProImportExport.ImportFile___27" vbProcedure="false">qa___2</definedName>
    <definedName function="false" hidden="false" localSheetId="0" name="qa___2" vbProcedure="false">Nb_de_paiements_par_an___2*#REF!</definedName>
    <definedName function="false" hidden="false" localSheetId="0" name="ProImportExport.ImportFile___3" vbProcedure="false">qa___25</definedName>
    <definedName function="false" hidden="false" localSheetId="0" name="qa___25" vbProcedure="false">Nb_de_paiements_par_an___25*#REF!</definedName>
    <definedName function="false" hidden="false" localSheetId="0" name="ProImportExport.ImportFile___4" vbProcedure="false">qa___23</definedName>
    <definedName function="false" hidden="false" localSheetId="0" name="qa___23" vbProcedure="false">Nb_de_paiements_par_an___0*#REF!</definedName>
    <definedName function="false" hidden="false" localSheetId="0" name="ProImportExport.ImportFile___5" vbProcedure="false">qa___12</definedName>
    <definedName function="false" hidden="false" localSheetId="0" name="qa___12" vbProcedure="false">Nb_de_paiements_par_an___12*#REF!</definedName>
    <definedName function="false" hidden="false" localSheetId="0" name="ProImportExport.ImportFile___6" vbProcedure="false">Q___0</definedName>
    <definedName function="false" hidden="false" localSheetId="0" name="ProImportExport.ImportFile___7" vbProcedure="false">qa___5</definedName>
    <definedName function="false" hidden="false" localSheetId="0" name="qa___5" vbProcedure="false">Nb_de_paiements_par_an___5*#REF!</definedName>
    <definedName function="false" hidden="false" localSheetId="0" name="ProImportExport.ImportFile___9" vbProcedure="false">qa___4</definedName>
    <definedName function="false" hidden="false" localSheetId="0" name="qa___4" vbProcedure="false">Nb_de_paiements_par_an___4*#REF!</definedName>
    <definedName function="false" hidden="false" localSheetId="0" name="ProImportExport.SaveNewFile" vbProcedure="false">ProImportExport.SaveNewFile</definedName>
    <definedName function="false" hidden="false" localSheetId="0" name="ProImportExport.SaveNewFile___0" vbProcedure="false">qq___26</definedName>
    <definedName function="false" hidden="false" localSheetId="0" name="ProImportExport.SaveNewFile___12" vbProcedure="false">qq___14</definedName>
    <definedName function="false" hidden="false" localSheetId="0" name="qq___14" vbProcedure="false">VolFactor___16/#REF!</definedName>
    <definedName function="false" hidden="false" localSheetId="0" name="ProImportExport.SaveNewFile___14" vbProcedure="false">qq___9</definedName>
    <definedName function="false" hidden="false" localSheetId="0" name="qq___9" vbProcedure="false">VolFactor___5/#REF!</definedName>
    <definedName function="false" hidden="false" localSheetId="0" name="ProImportExport.SaveNewFile___16" vbProcedure="false">qq___6</definedName>
    <definedName function="false" hidden="false" localSheetId="0" name="ProImportExport.SaveNewFile___2" vbProcedure="false">qq___3</definedName>
    <definedName function="false" hidden="false" localSheetId="0" name="qq___3" vbProcedure="false">VolFactor___5/#REF!</definedName>
    <definedName function="false" hidden="false" localSheetId="0" name="ProImportExport.SaveNewFile___25" vbProcedure="false">qq___16</definedName>
    <definedName function="false" hidden="false" localSheetId="0" name="qq___16" vbProcedure="false">VLastRowToPrint___7/#REF!</definedName>
    <definedName function="false" hidden="false" localSheetId="0" name="ProImportExport.SaveNewFile___26" vbProcedure="false">qq___27</definedName>
    <definedName function="false" hidden="false" localSheetId="0" name="qq___27" vbProcedure="false">VolFactor___14/#REF!</definedName>
    <definedName function="false" hidden="false" localSheetId="0" name="ProImportExport.SaveNewFile___27" vbProcedure="false">qq___2</definedName>
    <definedName function="false" hidden="false" localSheetId="0" name="ProImportExport.SaveNewFile___3" vbProcedure="false">#N/A</definedName>
    <definedName function="false" hidden="false" localSheetId="0" name="ProImportExport.SaveNewFile___4" vbProcedure="false">qq___23</definedName>
    <definedName function="false" hidden="false" localSheetId="0" name="qq___23" vbProcedure="false">VolFactor___5/#REF!</definedName>
    <definedName function="false" hidden="false" localSheetId="0" name="ProImportExport.SaveNewFile___5" vbProcedure="false">qq___12</definedName>
    <definedName function="false" hidden="false" localSheetId="0" name="ProImportExport.SaveNewFile___6" vbProcedure="false">qa___0</definedName>
    <definedName function="false" hidden="false" localSheetId="0" name="qa___0" vbProcedure="false">Nb_de_paiements_par_an___0*#REF!</definedName>
    <definedName function="false" hidden="false" localSheetId="0" name="ProImportExport.SaveNewFile___7" vbProcedure="false">qq___5</definedName>
    <definedName function="false" hidden="false" localSheetId="0" name="qq___5" vbProcedure="false">VolFactor___2/#REF!</definedName>
    <definedName function="false" hidden="false" localSheetId="0" name="ProImportExport.SaveNewFile___9" vbProcedure="false">qq___4</definedName>
    <definedName function="false" hidden="false" localSheetId="0" name="qq___4" vbProcedure="false">VLastRowToPrint___0/#REF!</definedName>
    <definedName function="false" hidden="false" localSheetId="0" name="projectname" vbProcedure="false">#REF!</definedName>
    <definedName function="false" hidden="false" localSheetId="0" name="prout" vbProcedure="false">{"comp1",#N/A,FALSE,"COMPS";"footnotes",#N/A,FALSE,"COMPS"}</definedName>
    <definedName function="false" hidden="false" localSheetId="0" name="PTRt" vbProcedure="false">OFFSET(CompRange3Main,9,0,COUNTA(CompRange3Main)-COUNTA(#REF!),1)</definedName>
    <definedName function="false" hidden="false" localSheetId="0" name="PV_Planned_Value" vbProcedure="false">#REF!</definedName>
    <definedName function="false" hidden="false" localSheetId="0" name="PwrRed" vbProcedure="false">#REF!</definedName>
    <definedName function="false" hidden="false" localSheetId="0" name="PY" vbProcedure="false">PY</definedName>
    <definedName function="false" hidden="false" localSheetId="0" name="Q" vbProcedure="false">#REF!</definedName>
    <definedName function="false" hidden="false" localSheetId="0" name="qa" vbProcedure="false">Nb_de_paiements_par_an*#REF!</definedName>
    <definedName function="false" hidden="false" localSheetId="0" name="qaecdaze" vbProcedure="false">{"First Page",#N/A,FALSE,"Surfactants LBO";"Second Page",#N/A,FALSE,"Surfactants LBO"}</definedName>
    <definedName function="false" hidden="false" localSheetId="0" name="qa___7" vbProcedure="false">Nb_de_paiements_par_an___7*#REF!</definedName>
    <definedName function="false" hidden="false" localSheetId="0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qdffd" vbProcedure="false">#REF!</definedName>
    <definedName function="false" hidden="false" localSheetId="0" name="qererh" vbProcedure="false">Nb_de_paiements_par_an*#REF!</definedName>
    <definedName function="false" hidden="false" localSheetId="0" name="qergh" vbProcedure="false">qergh</definedName>
    <definedName function="false" hidden="false" localSheetId="0" name="qethte" vbProcedure="false">qethte</definedName>
    <definedName function="false" hidden="false" localSheetId="0" name="qf" vbProcedure="false">{#N/A,#N/A,TRUE,"Cover sheet";#N/A,#N/A,TRUE,"INPUTS";#N/A,#N/A,TRUE,"OUTPUTS";#N/A,#N/A,TRUE,"VALUATION"}</definedName>
    <definedName function="false" hidden="false" localSheetId="0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qger" vbProcedure="false">qger</definedName>
    <definedName function="false" hidden="false" localSheetId="0" name="qgg" vbProcedure="false">{#N/A,#N/A,FALSE,"Cover";"outputs total",#N/A,FALSE,"Outputs"}</definedName>
    <definedName function="false" hidden="false" localSheetId="0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qheh" vbProcedure="false">qheh</definedName>
    <definedName function="false" hidden="false" localSheetId="0" name="qhehyqe" vbProcedure="false">Nb_de_paiements_par_an*#REF!</definedName>
    <definedName function="false" hidden="false" localSheetId="0" name="qhth" vbProcedure="false">Nb_de_paiements_par_an*#REF!</definedName>
    <definedName function="false" hidden="false" localSheetId="0" name="ql" vbProcedure="false">{"test2",#N/A,TRUE,"Prices"}</definedName>
    <definedName function="false" hidden="false" localSheetId="0" name="qm" vbProcedure="false">{"IS",#N/A,FALSE,"IS";"RPTIS",#N/A,FALSE,"RPTIS";"STATS",#N/A,FALSE,"STATS";"BS",#N/A,FALSE,"BS"}</definedName>
    <definedName function="false" hidden="false" localSheetId="0" name="qqqq" vbProcedure="false">qqqq</definedName>
    <definedName function="false" hidden="false" localSheetId="0" name="qqtrrt" vbProcedure="false">qqtrrt</definedName>
    <definedName function="false" hidden="false" localSheetId="0" name="qq___0" vbProcedure="false">VolFactor___5/#REF!</definedName>
    <definedName function="false" hidden="false" localSheetId="0" name="qrtgq" vbProcedure="false">Nb_de_paiements_par_an*#REF!</definedName>
    <definedName function="false" hidden="false" localSheetId="0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qscfaq" vbProcedure="false">{"First Page",#N/A,FALSE,"Surfactants LBO";"Second Page",#N/A,FALSE,"Surfactants LBO"}</definedName>
    <definedName function="false" hidden="false" localSheetId="0" name="qsd" vbProcedure="false">{#N/A,#N/A,TRUE,"Cover sheet";#N/A,#N/A,TRUE,"DCF analysis";#N/A,#N/A,TRUE,"WACC calculation"}</definedName>
    <definedName function="false" hidden="false" localSheetId="0" name="qsdf" vbProcedure="false">{#N/A,#N/A,FALSE,"Contribution Analysis"}</definedName>
    <definedName function="false" hidden="false" localSheetId="0" name="qsdfqsdf" vbProcedure="false">[0]!tx_intérêt_par_an/#REF!</definedName>
    <definedName function="false" hidden="false" localSheetId="0" name="qsdjlgzerg" vbProcedure="false">{#N/A,#N/A,TRUE,"Cover sheet";#N/A,#N/A,TRUE,"DCF analysis";#N/A,#N/A,TRUE,"WACC calculation"}</definedName>
    <definedName function="false" hidden="false" localSheetId="0" name="qsfd" vbProcedure="false">{#N/A,#N/A,TRUE,"Cover sheet";#N/A,#N/A,TRUE,"INPUTS";#N/A,#N/A,TRUE,"OUTPUTS";#N/A,#N/A,TRUE,"VALUATION"}</definedName>
    <definedName function="false" hidden="false" localSheetId="0" name="qth" vbProcedure="false">qth</definedName>
    <definedName function="false" hidden="false" localSheetId="0" name="QTHRSJ" vbProcedure="false">QTHRSJ</definedName>
    <definedName function="false" hidden="false" localSheetId="0" name="qtqy" vbProcedure="false">qtqy</definedName>
    <definedName function="false" hidden="false" localSheetId="0" name="qyqey" vbProcedure="false">Nb_de_paiements_par_an*#REF!</definedName>
    <definedName function="false" hidden="false" localSheetId="0" name="qyqyqery" vbProcedure="false">qyqyqery</definedName>
    <definedName function="false" hidden="false" localSheetId="0" name="QZ" vbProcedure="false">#REF!</definedName>
    <definedName function="false" hidden="false" localSheetId="0" name="qzetqt" vbProcedure="false">qzetqt</definedName>
    <definedName function="false" hidden="false" localSheetId="0" name="qzezezare" vbProcedure="false">#REF!</definedName>
    <definedName function="false" hidden="false" localSheetId="0" name="qztqt" vbProcedure="false">Nb_de_paiements_par_an*#REF!</definedName>
    <definedName function="false" hidden="false" localSheetId="0" name="qztze" vbProcedure="false">qztze</definedName>
    <definedName function="false" hidden="false" localSheetId="0" name="RE" vbProcedure="false">#REF!</definedName>
    <definedName function="false" hidden="false" localSheetId="0" name="REC" vbProcedure="false">#REF!</definedName>
    <definedName function="false" hidden="false" localSheetId="0" name="recappv" vbProcedure="false">#REF!</definedName>
    <definedName function="false" hidden="false" localSheetId="0" name="RECAP___12" vbProcedure="false">#REF!</definedName>
    <definedName function="false" hidden="false" localSheetId="0" name="RECAP___2" vbProcedure="false">#REF!</definedName>
    <definedName function="false" hidden="false" localSheetId="0" name="RECAP___25" vbProcedure="false">#REF!</definedName>
    <definedName function="false" hidden="false" localSheetId="0" name="RECAP___4" vbProcedure="false">#REF!</definedName>
    <definedName function="false" hidden="false" localSheetId="0" name="RECAP___6" vbProcedure="false">#REF!</definedName>
    <definedName function="false" hidden="false" localSheetId="0" name="RECAP___7" vbProcedure="false">#REF!</definedName>
    <definedName function="false" hidden="false" localSheetId="0" name="recglob" vbProcedure="false">#REF!</definedName>
    <definedName function="false" hidden="false" localSheetId="0" name="recglob___12" vbProcedure="false">#REF!</definedName>
    <definedName function="false" hidden="false" localSheetId="0" name="recglob___6" vbProcedure="false">#REF!</definedName>
    <definedName function="false" hidden="false" localSheetId="0" name="RECON" vbProcedure="false">#REF!</definedName>
    <definedName function="false" hidden="false" localSheetId="0" name="REC___0" vbProcedure="false">#REF!</definedName>
    <definedName function="false" hidden="false" localSheetId="0" name="REDEVANCE_OCCUPATION_DOMAINE_PUBLIC" vbProcedure="false">#REF!</definedName>
    <definedName function="false" hidden="false" localSheetId="0" name="reel2000" vbProcedure="false">#REF!</definedName>
    <definedName function="false" hidden="false" localSheetId="0" name="reel2000___0" vbProcedure="false">#REF!</definedName>
    <definedName function="false" hidden="false" localSheetId="0" name="REGLEE_LE_02_06_2003" vbProcedure="false">#REF!</definedName>
    <definedName function="false" hidden="false" localSheetId="0" name="Regular_Movies" vbProcedure="false">#REF!</definedName>
    <definedName function="false" hidden="false" localSheetId="0" name="retraite2002" vbProcedure="false">#REF!</definedName>
    <definedName function="false" hidden="false" localSheetId="0" name="Retraite2003" vbProcedure="false">#REF!</definedName>
    <definedName function="false" hidden="false" localSheetId="0" name="rev" vbProcedure="false">#REF!</definedName>
    <definedName function="false" hidden="false" localSheetId="0" name="revenus" vbProcedure="false">#REF!</definedName>
    <definedName function="false" hidden="false" localSheetId="0" name="revenus___0" vbProcedure="false">#REF!</definedName>
    <definedName function="false" hidden="false" localSheetId="0" name="revenus___12" vbProcedure="false">#REF!</definedName>
    <definedName function="false" hidden="false" localSheetId="0" name="rev___12" vbProcedure="false">#REF!</definedName>
    <definedName function="false" hidden="false" localSheetId="0" name="rezze" vbProcedure="false">#REF!</definedName>
    <definedName function="false" hidden="false" localSheetId="0" name="rgedrgvd" vbProcedure="false">#REF!</definedName>
    <definedName function="false" hidden="false" localSheetId="0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rngCellNotes" vbProcedure="false">#REF!</definedName>
    <definedName function="false" hidden="false" localSheetId="0" name="rngColor" vbProcedure="false">#REF!</definedName>
    <definedName function="false" hidden="false" localSheetId="0" name="rngDim1" vbProcedure="false">#REF!</definedName>
    <definedName function="false" hidden="false" localSheetId="0" name="rqerger" vbProcedure="false">rqerger</definedName>
    <definedName function="false" hidden="false" localSheetId="0" name="RR" vbProcedure="false">RR</definedName>
    <definedName function="false" hidden="false" localSheetId="0" name="rrrrr" vbProcedure="false">#REF!</definedName>
    <definedName function="false" hidden="false" localSheetId="0" name="rrthth" vbProcedure="false">#REF!</definedName>
    <definedName function="false" hidden="false" localSheetId="0" name="RSB_Markets" vbProcedure="false">#REF!</definedName>
    <definedName function="false" hidden="false" localSheetId="0" name="RT" vbProcedure="false">Nb_de_paiements_par_an*#REF!</definedName>
    <definedName function="false" hidden="false" localSheetId="0" name="rty" vbProcedure="false">{#N/A,#N/A,TRUE,"Pro Forma";#N/A,#N/A,TRUE,"PF_Bal";#N/A,#N/A,TRUE,"PF_INC";#N/A,#N/A,TRUE,"CBE";#N/A,#N/A,TRUE,"SWK"}</definedName>
    <definedName function="false" hidden="false" localSheetId="0" name="R___12" vbProcedure="false">#REF!</definedName>
    <definedName function="false" hidden="false" localSheetId="0" name="référence" vbProcedure="false">#REF!</definedName>
    <definedName function="false" hidden="false" localSheetId="0" name="S" vbProcedure="false">#REF!</definedName>
    <definedName function="false" hidden="false" localSheetId="0" name="S.G.M.B" vbProcedure="false">#REF!</definedName>
    <definedName function="false" hidden="false" localSheetId="0" name="S.G.M.B." vbProcedure="false">#REF!</definedName>
    <definedName function="false" hidden="false" localSheetId="0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SaveNewFile" vbProcedure="false">SaveNewFile</definedName>
    <definedName function="false" hidden="false" localSheetId="0" name="SaveNewFile___0" vbProcedure="false">TAmort___2</definedName>
    <definedName function="false" hidden="false" localSheetId="0" name="SaveNewFile___16" vbProcedure="false">sss___27</definedName>
    <definedName function="false" hidden="false" localSheetId="0" name="sss___27" vbProcedure="false">VolFactor___14/#REF!</definedName>
    <definedName function="false" hidden="false" localSheetId="0" name="SaveNewFile___2" vbProcedure="false">t.g</definedName>
    <definedName function="false" hidden="false" localSheetId="0" name="SaveNewFile___23" vbProcedure="false">sss___12</definedName>
    <definedName function="false" hidden="false" localSheetId="0" name="sss___12" vbProcedure="false">VolFactor___25/#REF!</definedName>
    <definedName function="false" hidden="false" localSheetId="0" name="SaveNewFile___25" vbProcedure="false">sss___26</definedName>
    <definedName function="false" hidden="false" localSheetId="0" name="sss___26" vbProcedure="false">VolFactor___12/#REF!</definedName>
    <definedName function="false" hidden="false" localSheetId="0" name="SaveNewFile___26" vbProcedure="false">TAmort___25</definedName>
    <definedName function="false" hidden="false" localSheetId="0" name="SaveNewFile___27" vbProcedure="false">TAmort___16</definedName>
    <definedName function="false" hidden="false" localSheetId="0" name="SaveNewFile___3" vbProcedure="false">sss___0</definedName>
    <definedName function="false" hidden="false" localSheetId="0" name="sss___0" vbProcedure="false">VolFactor___5/#REF!</definedName>
    <definedName function="false" hidden="false" localSheetId="0" name="SaveNewFile___4" vbProcedure="false">sss___5</definedName>
    <definedName function="false" hidden="false" localSheetId="0" name="sss___5" vbProcedure="false">VolFactor___2/#REF!</definedName>
    <definedName function="false" hidden="false" localSheetId="0" name="SaveNewFile___5" vbProcedure="false">TAmort___4</definedName>
    <definedName function="false" hidden="false" localSheetId="0" name="SaveNewFile___6" vbProcedure="false">sss___2</definedName>
    <definedName function="false" hidden="false" localSheetId="0" name="sss___2" vbProcedure="false">VolFactor___4/#REF!</definedName>
    <definedName function="false" hidden="false" localSheetId="0" name="SaveNewFile___7" vbProcedure="false">TAmort___14</definedName>
    <definedName function="false" hidden="false" localSheetId="0" name="SaveNewFile___9" vbProcedure="false">sss___7</definedName>
    <definedName function="false" hidden="false" localSheetId="0" name="sss___7" vbProcedure="false">VolFactor___27/#REF!</definedName>
    <definedName function="false" hidden="false" localSheetId="0" name="SC16___0" vbProcedure="false">#REF!</definedName>
    <definedName function="false" hidden="false" localSheetId="0" name="SC16___12" vbProcedure="false">#REF!</definedName>
    <definedName function="false" hidden="false" localSheetId="0" name="SC16___14" vbProcedure="false">#REF!</definedName>
    <definedName function="false" hidden="false" localSheetId="0" name="scdv" vbProcedure="false">scdv</definedName>
    <definedName function="false" hidden="false" localSheetId="0" name="SD" vbProcedure="false">#N/A</definedName>
    <definedName function="false" hidden="false" localSheetId="0" name="sdf" vbProcedure="false">{#N/A,#N/A,FALSE,"Calc";#N/A,#N/A,FALSE,"Sensitivity";#N/A,#N/A,FALSE,"LT Earn.Dil.";#N/A,#N/A,FALSE,"Dil. AVP"}</definedName>
    <definedName function="false" hidden="false" localSheetId="0" name="sdfsdf" vbProcedure="false">[0]!tx_intérêt_par_an/#REF!</definedName>
    <definedName function="false" hidden="false" localSheetId="0" name="SDFSDFD" vbProcedure="false">#REF!</definedName>
    <definedName function="false" hidden="false" localSheetId="0" name="SDHKSLTH" vbProcedure="false">Nb_de_paiements_par_an*#REF!</definedName>
    <definedName function="false" hidden="false" localSheetId="0" name="se" vbProcedure="false">{"consolidated",#N/A,FALSE,"Sheet1";"cms",#N/A,FALSE,"Sheet1";"fse",#N/A,FALSE,"Sheet1"}</definedName>
    <definedName function="false" hidden="false" localSheetId="0" name="select" vbProcedure="false">#REF!</definedName>
    <definedName function="false" hidden="false" localSheetId="0" name="Select_BIB" vbProcedure="false">#REF!</definedName>
    <definedName function="false" hidden="false" localSheetId="0" name="Select_Power27v" vbProcedure="false">#REF!</definedName>
    <definedName function="false" hidden="false" localSheetId="0" name="Services_Markup" vbProcedure="false">#REF!</definedName>
    <definedName function="false" hidden="false" localSheetId="0" name="set" vbProcedure="false">#REF!</definedName>
    <definedName function="false" hidden="false" localSheetId="0" name="sfdff" vbProcedure="false">sfdff</definedName>
    <definedName function="false" hidden="false" localSheetId="0" name="sfgjhsf" vbProcedure="false">sfgjhsf</definedName>
    <definedName function="false" hidden="false" localSheetId="0" name="sfgjsf" vbProcedure="false">sfgjsf</definedName>
    <definedName function="false" hidden="false" localSheetId="0" name="sfhjkj" vbProcedure="false">#REF!</definedName>
    <definedName function="false" hidden="false" localSheetId="0" name="sfsdfsf" vbProcedure="false">{"First Page",#N/A,FALSE,"Surfactants LBO";"Second Page",#N/A,FALSE,"Surfactants LBO"}</definedName>
    <definedName function="false" hidden="false" localSheetId="0" name="sfsfc" vbProcedure="false">sfsfc</definedName>
    <definedName function="false" hidden="false" localSheetId="0" name="sfsfd" vbProcedure="false">#REF!</definedName>
    <definedName function="false" hidden="false" localSheetId="0" name="sfze" vbProcedure="false">{#N/A,#N/A,FALSE,"Contribution Analysis"}</definedName>
    <definedName function="false" hidden="false" localSheetId="0" name="SGUNADJ" vbProcedure="false">#REF!</definedName>
    <definedName function="false" hidden="false" localSheetId="0" name="sh" vbProcedure="false">sh</definedName>
    <definedName function="false" hidden="false" localSheetId="0" name="shdrhjrt" vbProcedure="false">shdrhjrt</definedName>
    <definedName function="false" hidden="false" localSheetId="0" name="shst" vbProcedure="false">shst</definedName>
    <definedName function="false" hidden="false" localSheetId="0" name="si" vbProcedure="false">#REF!</definedName>
    <definedName function="false" hidden="false" localSheetId="0" name="sjg" vbProcedure="false">sjg</definedName>
    <definedName function="false" hidden="false" localSheetId="0" name="sm" vbProcedure="false">#REF!</definedName>
    <definedName function="false" hidden="false" localSheetId="0" name="solver_opt" vbProcedure="false">#REF!</definedName>
    <definedName function="false" hidden="false" localSheetId="0" name="SPARES" vbProcedure="false">#REF!</definedName>
    <definedName function="false" hidden="false" localSheetId="0" name="Spares_Markup" vbProcedure="false">#REF!</definedName>
    <definedName function="false" hidden="false" localSheetId="0" name="SPI_Sch_Perf_Index" vbProcedure="false">#REF!</definedName>
    <definedName function="false" hidden="false" localSheetId="0" name="sqdsf" vbProcedure="false">[0]!tx_intérêt_par_an/#REF!</definedName>
    <definedName function="false" hidden="false" localSheetId="0" name="ss" vbProcedure="false">#REF!</definedName>
    <definedName function="false" hidden="false" localSheetId="0" name="ssdsds" vbProcedure="false">{#N/A,#N/A,TRUE,"Cover sheet";#N/A,#N/A,TRUE,"DCF analysis";#N/A,#N/A,TRUE,"WACC calculation"}</definedName>
    <definedName function="false" hidden="false" localSheetId="0" name="sss" vbProcedure="false">[0]!tx_intérêt_par_an/#REF!</definedName>
    <definedName function="false" hidden="false" localSheetId="0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sss___14" vbProcedure="false">VolFactor___16/#REF!</definedName>
    <definedName function="false" hidden="false" localSheetId="0" name="sss___16" vbProcedure="false">VLastRowToPrint___7/#REF!</definedName>
    <definedName function="false" hidden="false" localSheetId="0" name="sss___23" vbProcedure="false">VolFactor___5/#REF!</definedName>
    <definedName function="false" hidden="false" localSheetId="0" name="sss___3" vbProcedure="false">VolFactor___5/#REF!</definedName>
    <definedName function="false" hidden="false" localSheetId="0" name="sss___4" vbProcedure="false">VLastRowToPrint___0/#REF!</definedName>
    <definedName function="false" hidden="false" localSheetId="0" name="sss___6" vbProcedure="false">VLastRowToPrint___26/#REF!</definedName>
    <definedName function="false" hidden="false" localSheetId="0" name="sss___9" vbProcedure="false">VolFactor___5/#REF!</definedName>
    <definedName function="false" hidden="false" localSheetId="0" name="STDCOSTS" vbProcedure="false">#REF!</definedName>
    <definedName function="false" hidden="false" localSheetId="0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STPER" vbProcedure="false">#REF!</definedName>
    <definedName function="false" hidden="false" localSheetId="0" name="SUM" vbProcedure="false">#REF!</definedName>
    <definedName function="false" hidden="false" localSheetId="0" name="SV_Sch_Var" vbProcedure="false">#REF!</definedName>
    <definedName function="false" hidden="false" localSheetId="0" name="SV_Sch_Variance" vbProcedure="false">#REF!</definedName>
    <definedName function="false" hidden="false" localSheetId="0" name="SYNTHESE_BA__ETAT_PRIVE" vbProcedure="false">#REF!</definedName>
    <definedName function="false" hidden="false" localSheetId="0" name="synthèse" vbProcedure="false">#REF!</definedName>
    <definedName function="false" hidden="false" localSheetId="0" name="SystemImpedance" vbProcedure="false">#REF!</definedName>
    <definedName function="false" hidden="false" localSheetId="0" name="T.V.A__MAI__2003" vbProcedure="false">#REF!</definedName>
    <definedName function="false" hidden="false" localSheetId="0" name="TABLE" vbProcedure="false">#REF!</definedName>
    <definedName function="false" hidden="false" localSheetId="0" name="tableau" vbProcedure="false">#REF!</definedName>
    <definedName function="false" hidden="false" localSheetId="0" name="tableau10" vbProcedure="false">#REF!,#REF!</definedName>
    <definedName function="false" hidden="false" localSheetId="0" name="tableau14" vbProcedure="false">#REF!</definedName>
    <definedName function="false" hidden="false" localSheetId="0" name="tableau15" vbProcedure="false">#REF!</definedName>
    <definedName function="false" hidden="false" localSheetId="0" name="tableau3" vbProcedure="false">#REF!,#REF!,#REF!,#REF!</definedName>
    <definedName function="false" hidden="false" localSheetId="0" name="tableconv" vbProcedure="false">#REF!</definedName>
    <definedName function="false" hidden="false" localSheetId="0" name="tableconversion" vbProcedure="false">#REF!</definedName>
    <definedName function="false" hidden="false" localSheetId="0" name="tatat" vbProcedure="false">{"IS",#N/A,FALSE,"IS";"RPTIS",#N/A,FALSE,"RPTIS";"STATS",#N/A,FALSE,"STATS";"CELL",#N/A,FALSE,"CELL";"BS",#N/A,FALSE,"BS"}</definedName>
    <definedName function="false" hidden="false" localSheetId="0" name="TDepr" vbProcedure="false">#REF!</definedName>
    <definedName function="false" hidden="false" localSheetId="0" name="TDepr___0" vbProcedure="false">#REF!</definedName>
    <definedName function="false" hidden="false" localSheetId="0" name="TDepr___12" vbProcedure="false">#REF!</definedName>
    <definedName function="false" hidden="false" localSheetId="0" name="TD_CAPEX_ACTU2_PREVISION" vbProcedure="false">#REF!</definedName>
    <definedName function="false" hidden="false" localSheetId="0" name="TEBIAT" vbProcedure="false">#REF!</definedName>
    <definedName function="false" hidden="false" localSheetId="0" name="TEBIAT___0" vbProcedure="false">#REF!</definedName>
    <definedName function="false" hidden="false" localSheetId="0" name="TEBIAT___12" vbProcedure="false">#REF!</definedName>
    <definedName function="false" hidden="false" localSheetId="0" name="TermDiscperiods" vbProcedure="false">#REF!</definedName>
    <definedName function="false" hidden="false" localSheetId="0" name="TermDiscperiods___0" vbProcedure="false">#REF!</definedName>
    <definedName function="false" hidden="false" localSheetId="0" name="TermDiscperiods___12" vbProcedure="false">#REF!</definedName>
    <definedName function="false" hidden="false" localSheetId="0" name="test" vbProcedure="false">{#N/A,#N/A,FALSE,"F_Plan";#N/A,#N/A,FALSE,"Parameter"}</definedName>
    <definedName function="false" hidden="false" localSheetId="0" name="test1" vbProcedure="false">{#N/A,#N/A,FALSE,"Umsatz";#N/A,#N/A,FALSE,"Base V.02";#N/A,#N/A,FALSE,"Charts"}</definedName>
    <definedName function="false" hidden="false" localSheetId="0" name="test2" vbProcedure="false">{#N/A,#N/A,FALSE,"F_Plan";#N/A,#N/A,FALSE,"Parameter"}</definedName>
    <definedName function="false" hidden="false" localSheetId="0" name="TEST3" vbProcedure="false">#REF!</definedName>
    <definedName function="false" hidden="false" localSheetId="0" name="test4" vbProcedure="false">{#N/A,#N/A,FALSE,"F_Plan";#N/A,#N/A,FALSE,"Parameter"}</definedName>
    <definedName function="false" hidden="false" localSheetId="0" name="tests" vbProcedure="false">{#N/A,#N/A,FALSE,"F_Plan";#N/A,#N/A,FALSE,"Parameter"}</definedName>
    <definedName function="false" hidden="false" localSheetId="0" name="THB" vbProcedure="false">#REF!</definedName>
    <definedName function="false" hidden="false" localSheetId="0" name="Theme_Week_Mov" vbProcedure="false">#REF!</definedName>
    <definedName function="false" hidden="false" localSheetId="0" name="TIEEQ" vbProcedure="false">#REF!</definedName>
    <definedName function="false" hidden="false" localSheetId="0" name="titres" vbProcedure="false">#REF!</definedName>
    <definedName function="false" hidden="false" localSheetId="0" name="tkprtkt" vbProcedure="false">#REF!</definedName>
    <definedName function="false" hidden="false" localSheetId="0" name="totalvalue" vbProcedure="false">#REF!</definedName>
    <definedName function="false" hidden="false" localSheetId="0" name="TOTAL___12" vbProcedure="false">#REF!</definedName>
    <definedName function="false" hidden="false" localSheetId="0" name="TOther1" vbProcedure="false">#REF!</definedName>
    <definedName function="false" hidden="false" localSheetId="0" name="TOther1___0" vbProcedure="false">#REF!</definedName>
    <definedName function="false" hidden="false" localSheetId="0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TREAS" vbProcedure="false">#REF!</definedName>
    <definedName function="false" hidden="false" localSheetId="0" name="TRESORERIE_REGIONALE" vbProcedure="false">#REF!</definedName>
    <definedName function="false" hidden="false" localSheetId="0" name="TRESORERIE_REGIONALE___0" vbProcedure="false">#REF!</definedName>
    <definedName function="false" hidden="false" localSheetId="0" name="trf_des" vbProcedure="false">#REF!</definedName>
    <definedName function="false" hidden="false" localSheetId="0" name="trim" vbProcedure="false">#REF!</definedName>
    <definedName function="false" hidden="false" localSheetId="0" name="trim___0" vbProcedure="false">#REF!</definedName>
    <definedName function="false" hidden="false" localSheetId="0" name="trthhhnlmklm" vbProcedure="false">#REF!</definedName>
    <definedName function="false" hidden="false" localSheetId="0" name="tt" vbProcedure="false">Nb_de_paiements_par_an*#REF!</definedName>
    <definedName function="false" hidden="false" localSheetId="0" name="TTaxes" vbProcedure="false">#REF!</definedName>
    <definedName function="false" hidden="false" localSheetId="0" name="TTaxes___0" vbProcedure="false">#REF!</definedName>
    <definedName function="false" hidden="false" localSheetId="0" name="ty" vbProcedure="false">{"orixcsc",#N/A,FALSE,"ORIX CSC";"orixcsc2",#N/A,FALSE,"ORIX CSC"}</definedName>
    <definedName function="false" hidden="false" localSheetId="0" name="Type_1" vbProcedure="false">#REF!</definedName>
    <definedName function="false" hidden="false" localSheetId="0" name="Type_2" vbProcedure="false">#REF!</definedName>
    <definedName function="false" hidden="false" localSheetId="0" name="tyryt" vbProcedure="false">#REF!</definedName>
    <definedName function="false" hidden="false" localSheetId="0" name="ufykfk" vbProcedure="false">{"print 1",#N/A,FALSE,"PrimeCo PCS";"print 2",#N/A,FALSE,"PrimeCo PCS";"valuation",#N/A,FALSE,"PrimeCo PCS"}</definedName>
    <definedName function="false" hidden="false" localSheetId="0" name="uydk" vbProcedure="false">Nb_de_paiements_par_an*#REF!</definedName>
    <definedName function="false" hidden="false" localSheetId="0" name="uykfu" vbProcedure="false">uykfu</definedName>
    <definedName function="false" hidden="false" localSheetId="0" name="uyuyuyuyuyu" vbProcedure="false">{#N/A,#N/A,TRUE,"Cover sheet";#N/A,#N/A,TRUE,"DCF analysis";#N/A,#N/A,TRUE,"WACC calculation"}</definedName>
    <definedName function="false" hidden="false" localSheetId="0" name="V" vbProcedure="false">V</definedName>
    <definedName function="false" hidden="false" localSheetId="0" name="VA" vbProcedure="false">#REF!</definedName>
    <definedName function="false" hidden="false" localSheetId="0" name="ValuationDate" vbProcedure="false">#REF!</definedName>
    <definedName function="false" hidden="false" localSheetId="0" name="VERS_REC_CCP" vbProcedure="false">#REF!</definedName>
    <definedName function="false" hidden="false" localSheetId="0" name="VIGNETTES_TG" vbProcedure="false">#REF!</definedName>
    <definedName function="false" hidden="false" localSheetId="0" name="vince" vbProcedure="false">{#N/A,#N/A,TRUE,"Cover sheet";#N/A,#N/A,TRUE,"DCF analysis";#N/A,#N/A,TRUE,"WACC calculation"}</definedName>
    <definedName function="false" hidden="false" localSheetId="0" name="VLastRow" vbProcedure="false">#REF!</definedName>
    <definedName function="false" hidden="false" localSheetId="0" name="VLastRow___0" vbProcedure="false">#REF!</definedName>
    <definedName function="false" hidden="false" localSheetId="0" name="VLastRow___12" vbProcedure="false">#REF!</definedName>
    <definedName function="false" hidden="false" localSheetId="0" name="VPLastRow" vbProcedure="false">#REF!</definedName>
    <definedName function="false" hidden="false" localSheetId="0" name="VPLastRow___0" vbProcedure="false">#REF!</definedName>
    <definedName function="false" hidden="false" localSheetId="0" name="VPLastRow___12" vbProcedure="false">#REF!</definedName>
    <definedName function="false" hidden="false" localSheetId="0" name="vvv" vbProcedure="false">{#N/A,#N/A,TRUE,"Cover sheet";#N/A,#N/A,TRUE,"DCF analysis";#N/A,#N/A,TRUE,"WACC calculation"}</definedName>
    <definedName function="false" hidden="false" localSheetId="0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0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wrn.1." vbProcedure="false">{#N/A,#N/A,FALSE,"Calc";#N/A,#N/A,FALSE,"Sensitivity";#N/A,#N/A,FALSE,"LT Earn.Dil.";#N/A,#N/A,FALSE,"Dil. AVP"}</definedName>
    <definedName function="false" hidden="false" localSheetId="0" name="WRN.2." vbProcedure="false">{#N/A,#N/A,FALSE,"Calc";#N/A,#N/A,FALSE,"Sensitivity";#N/A,#N/A,FALSE,"LT Earn.Dil.";#N/A,#N/A,FALSE,"Dil. AVP"}</definedName>
    <definedName function="false" hidden="false" localSheetId="0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0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localSheetId="0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localSheetId="0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wrn.assumptions." vbProcedure="false">{"casespecific",#N/A,FALSE,"Assumptions"}</definedName>
    <definedName function="false" hidden="false" localSheetId="0" name="wrn.away." vbProcedure="false">{"away stand alones",#N/A,FALSE,"Target"}</definedName>
    <definedName function="false" hidden="false" localSheetId="0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0" name="wrn.BEL." vbProcedure="false">{"IS",#N/A,FALSE,"IS";"RPTIS",#N/A,FALSE,"RPTIS";"STATS",#N/A,FALSE,"STATS";"CELL",#N/A,FALSE,"CELL";"BS",#N/A,FALSE,"BS"}</definedName>
    <definedName function="false" hidden="false" localSheetId="0" name="wrn.Both." vbProcedure="false">{#N/A,#N/A,FALSE,"1998";#N/A,#N/A,FALSE,"1997"}</definedName>
    <definedName function="false" hidden="false" localSheetId="0" name="wrn.BPlan." vbProcedure="false">{#N/A,#N/A,FALSE,"F_Plan";#N/A,#N/A,FALSE,"Parameter"}</definedName>
    <definedName function="false" hidden="false" localSheetId="0" name="wrn.brian." vbProcedure="false">{#N/A,#N/A,FALSE,"output";#N/A,#N/A,FALSE,"contrib";#N/A,#N/A,FALSE,"profile";#N/A,#N/A,FALSE,"comps"}</definedName>
    <definedName function="false" hidden="false" localSheetId="0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localSheetId="0" name="wrn.comps." vbProcedure="false">{"comps",#N/A,FALSE,"comps";"notes",#N/A,FALSE,"comps"}</definedName>
    <definedName function="false" hidden="false" localSheetId="0" name="wrn.contribution." vbProcedure="false">{#N/A,#N/A,FALSE,"Contribution Analysis"}</definedName>
    <definedName function="false" hidden="false" localSheetId="0" name="wrn.cooper." vbProcedure="false">{#N/A,#N/A,TRUE,"Pro Forma";#N/A,#N/A,TRUE,"PF_Bal";#N/A,#N/A,TRUE,"PF_INC";#N/A,#N/A,TRUE,"CBE";#N/A,#N/A,TRUE,"SWK"}</definedName>
    <definedName function="false" hidden="false" localSheetId="0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wrn.csc." vbProcedure="false">{"orixcsc",#N/A,FALSE,"ORIX CSC";"orixcsc2",#N/A,FALSE,"ORIX CSC"}</definedName>
    <definedName function="false" hidden="false" localSheetId="0" name="wrn.csc2." vbProcedure="false">{#N/A,#N/A,FALSE,"ORIX CSC"}</definedName>
    <definedName function="false" hidden="false" localSheetId="0" name="wrn.database." vbProcedure="false">{"subs",#N/A,FALSE,"database ";"proportional",#N/A,FALSE,"database "}</definedName>
    <definedName function="false" hidden="false" localSheetId="0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wrn.dil_anal." vbProcedure="false">{"hiden",#N/A,FALSE,"14";"hidden",#N/A,FALSE,"16";"hidden",#N/A,FALSE,"18";"hidden",#N/A,FALSE,"20"}</definedName>
    <definedName function="false" hidden="false" localSheetId="0" name="wrn.document." vbProcedure="false">{"consolidated",#N/A,FALSE,"Sheet1";"cms",#N/A,FALSE,"Sheet1";"fse",#N/A,FALSE,"Sheet1"}</definedName>
    <definedName function="false" hidden="false" localSheetId="0" name="wrn.documentaero." vbProcedure="false">{"comps2",#N/A,FALSE,"AERO";"footnotes",#N/A,FALSE,"AERO"}</definedName>
    <definedName function="false" hidden="false" localSheetId="0" name="wrn.documenthand." vbProcedure="false">{"comps",#N/A,FALSE,"HANDPACK";"footnotes",#N/A,FALSE,"HANDPACK"}</definedName>
    <definedName function="false" hidden="false" localSheetId="0" name="wrn.equity._.comps." vbProcedure="false">{"equity comps",#N/A,FALSE,"CS Comps";"equity comps",#N/A,FALSE,"PS Comps";"equity comps",#N/A,FALSE,"GIC_Comps";"equity comps",#N/A,FALSE,"GIC2_Comps"}</definedName>
    <definedName function="false" hidden="false" localSheetId="0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wrn.Flash._.Report." vbProcedure="false">{#N/A,#N/A,FALSE,"1999 Fiscal Current Week";#N/A,#N/A,FALSE,"1999 Flash Report Variance "}</definedName>
    <definedName function="false" hidden="false" localSheetId="0" name="wrn.fleck." vbProcedure="false">{"first",#N/A,FALSE,"FLEXPAC2";"second",#N/A,FALSE,"FLEXPAC2"}</definedName>
    <definedName function="false" hidden="false" localSheetId="0" name="wrn.fleckcompac." vbProcedure="false">{"one",#N/A,FALSE,"FLEXPAC2";"two",#N/A,FALSE,"FLEXPAC2";"three",#N/A,FALSE,"FLEXPAC2"}</definedName>
    <definedName function="false" hidden="false" localSheetId="0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0" name="wrn.Full." vbProcedure="false">{#N/A,#N/A,FALSE,"Cover";"outputs total",#N/A,FALSE,"Outputs"}</definedName>
    <definedName function="false" hidden="false" localSheetId="0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wrn.imp." vbProcedure="false">{"vue1",#N/A,FALSE,"synthese";"vue2",#N/A,FALSE,"synthese"}</definedName>
    <definedName function="false" hidden="false" localSheetId="0" name="wrn.Inputsheet_ProjectInput." vbProcedure="false">{"ProjectInput",#N/A,FALSE,"INPUT-AREA"}</definedName>
    <definedName function="false" hidden="false" localSheetId="0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localSheetId="0" name="wrn.Mark._.P.._.Report." vbProcedure="false">{#N/A,#N/A,FALSE,"1999 Fiscal Current Week";#N/A,#N/A,FALSE,"1999 Fiscal Variance"}</definedName>
    <definedName function="false" hidden="false" localSheetId="0" name="wrn.memo." vbProcedure="false">{#N/A,#N/A,TRUE,"financial";#N/A,#N/A,TRUE,"plants"}</definedName>
    <definedName function="false" hidden="false" localSheetId="0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0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0" name="wrn.new." vbProcedure="false">{"new1",#N/A,FALSE,"FLEXPAC2";"new2",#N/A,FALSE,"FLEXPAC2"}</definedName>
    <definedName function="false" hidden="false" localSheetId="0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localSheetId="0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localSheetId="0" name="wrn.Outlook._.Report." vbProcedure="false">{#N/A,#N/A,FALSE,"Outlook for Month ";#N/A,#N/A,FALSE,"Risk for Month ";#N/A,#N/A,FALSE,"Upside for Month"}</definedName>
    <definedName function="false" hidden="false" localSheetId="0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wrn.PrimeCo." vbProcedure="false">{"print 1",#N/A,FALSE,"PrimeCo PCS";"print 2",#N/A,FALSE,"PrimeCo PCS";"valuation",#N/A,FALSE,"PrimeCo PCS"}</definedName>
    <definedName function="false" hidden="false" localSheetId="0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localSheetId="0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localSheetId="0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localSheetId="0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localSheetId="0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0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localSheetId="0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localSheetId="0" name="wrn.Print._.the._.lot." vbProcedure="false">{"First Page",#N/A,FALSE,"Surfactants LBO";"Second Page",#N/A,FALSE,"Surfactants LBO"}</definedName>
    <definedName function="false" hidden="false" localSheetId="0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0" name="wrn.Printing._.the._.transactions._.sheets." vbProcedure="false">{#N/A,#N/A,FALSE,"Eastern";#N/A,#N/A,FALSE,"Western"}</definedName>
    <definedName function="false" hidden="false" localSheetId="0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localSheetId="0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localSheetId="0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0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wrn.Report1." vbProcedure="false">{#N/A,#N/A,FALSE,"Operations";#N/A,#N/A,FALSE,"Financials"}</definedName>
    <definedName function="false" hidden="false" localSheetId="0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wrn.sens." vbProcedure="false">{#N/A,#N/A,FALSE,"Sensitivities";#N/A,#N/A,FALSE,"Sensitivities2"}</definedName>
    <definedName function="false" hidden="false" localSheetId="0" name="wrn.sensitivity._.analyses." vbProcedure="false">{"general",#N/A,FALSE,"Assumptions"}</definedName>
    <definedName function="false" hidden="false" localSheetId="0" name="wrn.stand_alone." vbProcedure="false">{#N/A,#N/A,FALSE,"CBE";#N/A,#N/A,FALSE,"SWK"}</definedName>
    <definedName function="false" hidden="false" localSheetId="0" name="wrn.Summary." vbProcedure="false">{#N/A,#N/A,FALSE,"Summary3";#N/A,#N/A,FALSE,"Summary1";#N/A,#N/A,FALSE,"Summary2";#N/A,#N/A,FALSE,"Sensitivities1";#N/A,#N/A,FALSE,"Sensitivities2"}</definedName>
    <definedName function="false" hidden="false" localSheetId="0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0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localSheetId="0" name="wrn.test." vbProcedure="false">{"test2",#N/A,TRUE,"Prices"}</definedName>
    <definedName function="false" hidden="false" localSheetId="0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localSheetId="0" name="wrn.totalcomp." vbProcedure="false">{"comp1",#N/A,FALSE,"COMPS";"footnotes",#N/A,FALSE,"COMPS"}</definedName>
    <definedName function="false" hidden="false" localSheetId="0" name="wrn.trans._.sum." vbProcedure="false">{"trans assumptions",#N/A,FALSE,"Merger";"trans accretion",#N/A,FALSE,"Merger"}</definedName>
    <definedName function="false" hidden="false" localSheetId="0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localSheetId="0" name="wrn.Umsatz." vbProcedure="false">{#N/A,#N/A,FALSE,"Umsatz";#N/A,#N/A,FALSE,"Base V.02";#N/A,#N/A,FALSE,"Charts"}</definedName>
    <definedName function="false" hidden="false" localSheetId="0" name="wrn.up." vbProcedure="false">{"up stand alones",#N/A,FALSE,"Acquiror"}</definedName>
    <definedName function="false" hidden="false" localSheetId="0" name="wrn.upfront." vbProcedure="false">{#N/A,#N/A,FALSE,"SUMMARY";#N/A,#N/A,FALSE,"COACH";#N/A,#N/A,FALSE,"ACTIONPK";#N/A,#N/A,FALSE,"LASTCALL";#N/A,#N/A,FALSE,"SUZANNE";#N/A,#N/A,FALSE,"NEXPO"}</definedName>
    <definedName function="false" hidden="false" localSheetId="0" name="wrn.USW." vbProcedure="false">{"IS",#N/A,FALSE,"IS";"RPTIS",#N/A,FALSE,"RPTIS";"STATS",#N/A,FALSE,"STATS";"BS",#N/A,FALSE,"BS"}</definedName>
    <definedName function="false" hidden="false" localSheetId="0" name="wrn.édition." vbProcedure="false">{"résultats",#N/A,FALSE,"résultats SFS";"indicateurs",#N/A,FALSE,"résultats SFS";"commentaires",#N/A,FALSE,"commentaires SFS";"graphiques",#N/A,FALSE,"graphiques SFS"}</definedName>
    <definedName function="false" hidden="false" localSheetId="0" name="wrn1.flash._.Report." vbProcedure="false">{#N/A,#N/A,FALSE,"1999 Fiscal Current Week";#N/A,#N/A,FALSE,"1999 Flash Report Variance "}</definedName>
    <definedName function="false" hidden="false" localSheetId="0" name="wrn2.Bplan." vbProcedure="false">{#N/A,#N/A,FALSE,"F_Plan";#N/A,#N/A,FALSE,"Parameter"}</definedName>
    <definedName function="false" hidden="false" localSheetId="0" name="WRN2.Document" vbProcedure="false">{"consolidated",#N/A,FALSE,"Sheet1";"cms",#N/A,FALSE,"Sheet1";"fse",#N/A,FALSE,"Sheet1"}</definedName>
    <definedName function="false" hidden="false" localSheetId="0" name="X" vbProcedure="false">#REF!</definedName>
    <definedName function="false" hidden="false" localSheetId="0" name="xcdq" vbProcedure="false">{#N/A,#N/A,FALSE,"Outlook for Month ";#N/A,#N/A,FALSE,"Risk for Month ";#N/A,#N/A,FALSE,"Upside for Month"}</definedName>
    <definedName function="false" hidden="false" localSheetId="0" name="xcvxcvx" vbProcedure="false">#REF!</definedName>
    <definedName function="false" hidden="false" localSheetId="0" name="xf" vbProcedure="false">#REF!</definedName>
    <definedName function="false" hidden="false" localSheetId="0" name="XRefActiveRow" vbProcedure="false">#REF!</definedName>
    <definedName function="false" hidden="false" localSheetId="0" name="XRefCopy2Row" vbProcedure="false">#REF!</definedName>
    <definedName function="false" hidden="false" localSheetId="0" name="XRefPaste2Row" vbProcedure="false">#REF!</definedName>
    <definedName function="false" hidden="false" localSheetId="0" name="XRefPaste3Row" vbProcedure="false">#REF!</definedName>
    <definedName function="false" hidden="false" localSheetId="0" name="XRefPaste4Row" vbProcedure="false">#REF!</definedName>
    <definedName function="false" hidden="false" localSheetId="0" name="XRefPaste5Row" vbProcedure="false">#REF!</definedName>
    <definedName function="false" hidden="false" localSheetId="0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0" name="xxxxx" vbProcedure="false">{#N/A,#N/A,FALSE,"CBE";#N/A,#N/A,FALSE,"SWK"}</definedName>
    <definedName function="false" hidden="false" localSheetId="0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X___12" vbProcedure="false">#REF!</definedName>
    <definedName function="false" hidden="false" localSheetId="0" name="X___2" vbProcedure="false">#REF!</definedName>
    <definedName function="false" hidden="false" localSheetId="0" name="X___25" vbProcedure="false">#REF!</definedName>
    <definedName function="false" hidden="false" localSheetId="0" name="X___26" vbProcedure="false">#REF!</definedName>
    <definedName function="false" hidden="false" localSheetId="0" name="X___4" vbProcedure="false">#REF!</definedName>
    <definedName function="false" hidden="false" localSheetId="0" name="X___6" vbProcedure="false">#REF!</definedName>
    <definedName function="false" hidden="false" localSheetId="0" name="X___7" vbProcedure="false">#REF!</definedName>
    <definedName function="false" hidden="false" localSheetId="0" name="yfj" vbProcedure="false">{#N/A,#N/A,TRUE,"Cover sheet";#N/A,#N/A,TRUE,"INPUTS";#N/A,#N/A,TRUE,"OUTPUTS";#N/A,#N/A,TRUE,"VALUATION"}</definedName>
    <definedName function="false" hidden="false" localSheetId="0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yre" vbProcedure="false">{#N/A,#N/A,FALSE,"ORIX CSC"}</definedName>
    <definedName function="false" hidden="false" localSheetId="0" name="yuyuuyuyuyuyu" vbProcedure="false">{#N/A,#N/A,TRUE,"Cover sheet";#N/A,#N/A,TRUE,"DCF analysis";#N/A,#N/A,TRUE,"WACC calculation"}</definedName>
    <definedName function="false" hidden="false" localSheetId="0" name="yyyy" vbProcedure="false">yyyy</definedName>
    <definedName function="false" hidden="false" localSheetId="0" name="Z" vbProcedure="false">#REF!</definedName>
    <definedName function="false" hidden="false" localSheetId="0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zc" vbProcedure="false">{#N/A,#N/A,FALSE,"ORIX CSC"}</definedName>
    <definedName function="false" hidden="false" localSheetId="0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ZE" vbProcedure="false">Nb_de_paiements_par_an*#REF!</definedName>
    <definedName function="false" hidden="false" localSheetId="0" name="zedaqzd" vbProcedure="false">{#N/A,#N/A,FALSE,"Operations";#N/A,#N/A,FALSE,"Financials"}</definedName>
    <definedName function="false" hidden="false" localSheetId="0" name="zefz" vbProcedure="false">{"First Page",#N/A,FALSE,"Surfactants LBO";"Second Page",#N/A,FALSE,"Surfactants LBO"}</definedName>
    <definedName function="false" hidden="false" localSheetId="0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zg" vbProcedure="false">{#N/A,#N/A,FALSE,"Contribution Analysis"}</definedName>
    <definedName function="false" hidden="false" localSheetId="0" name="zh" vbProcedure="false">{"IS",#N/A,FALSE,"IS";"RPTIS",#N/A,FALSE,"RPTIS";"STATS",#N/A,FALSE,"STATS";"CELL",#N/A,FALSE,"CELL";"BS",#N/A,FALSE,"BS"}</definedName>
    <definedName function="false" hidden="false" localSheetId="0" name="zi" vbProcedure="false">{#N/A,#N/A,FALSE,"ORIX CSC"}</definedName>
    <definedName function="false" hidden="false" localSheetId="0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zl" vbProcedure="false">{"IS",#N/A,FALSE,"IS";"RPTIS",#N/A,FALSE,"RPTIS";"STATS",#N/A,FALSE,"STATS";"CELL",#N/A,FALSE,"CELL";"BS",#N/A,FALSE,"BS"}</definedName>
    <definedName function="false" hidden="false" localSheetId="0" name="zm" vbProcedure="false">{#N/A,#N/A,FALSE,"Contribution Analysis"}</definedName>
    <definedName function="false" hidden="false" localSheetId="0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zo" vbProcedure="false">{"orixcsc",#N/A,FALSE,"ORIX CSC";"orixcsc2",#N/A,FALSE,"ORIX CSC"}</definedName>
    <definedName function="false" hidden="false" localSheetId="0" name="Zone_impres_MI" vbProcedure="false">#REF!</definedName>
    <definedName function="false" hidden="false" localSheetId="0" name="Zone_impres_MI___12" vbProcedure="false">#REF!</definedName>
    <definedName function="false" hidden="false" localSheetId="0" name="Zone_impres_MI___2" vbProcedure="false">#REF!</definedName>
    <definedName function="false" hidden="false" localSheetId="0" name="Zone_impres_MI___25" vbProcedure="false">#REF!</definedName>
    <definedName function="false" hidden="false" localSheetId="0" name="zp" vbProcedure="false">{"IS",#N/A,FALSE,"IS";"RPTIS",#N/A,FALSE,"RPTIS";"STATS",#N/A,FALSE,"STATS";"CELL",#N/A,FALSE,"CELL";"BS",#N/A,FALSE,"BS"}</definedName>
    <definedName function="false" hidden="false" localSheetId="0" name="zq" vbProcedure="false">{"IS",#N/A,FALSE,"IS";"RPTIS",#N/A,FALSE,"RPTIS";"STATS",#N/A,FALSE,"STATS";"CELL",#N/A,FALSE,"CELL";"BS",#N/A,FALSE,"BS"}</definedName>
    <definedName function="false" hidden="false" localSheetId="0" name="ZQRG" vbProcedure="false">Nb_de_paiements_par_an*#REF!</definedName>
    <definedName function="false" hidden="false" localSheetId="0" name="zr" vbProcedure="false">{"IS",#N/A,FALSE,"IS";"RPTIS",#N/A,FALSE,"RPTIS";"STATS",#N/A,FALSE,"STATS";"BS",#N/A,FALSE,"BS"}</definedName>
    <definedName function="false" hidden="false" localSheetId="0" name="zs" vbProcedure="false">{"subs",#N/A,FALSE,"database ";"proportional",#N/A,FALSE,"database "}</definedName>
    <definedName function="false" hidden="false" localSheetId="0" name="zt" vbProcedure="false">{"test2",#N/A,TRUE,"Prices"}</definedName>
    <definedName function="false" hidden="false" localSheetId="0" name="zu" vbProcedure="false">{"IS",#N/A,FALSE,"IS";"RPTIS",#N/A,FALSE,"RPTIS";"STATS",#N/A,FALSE,"STATS";"CELL",#N/A,FALSE,"CELL";"BS",#N/A,FALSE,"BS"}</definedName>
    <definedName function="false" hidden="false" localSheetId="0" name="zv" vbProcedure="false">{"subs",#N/A,FALSE,"database ";"proportional",#N/A,FALSE,"database "}</definedName>
    <definedName function="false" hidden="false" localSheetId="0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zx" vbProcedure="false">{"orixcsc",#N/A,FALSE,"ORIX CSC";"orixcsc2",#N/A,FALSE,"ORIX CSC"}</definedName>
    <definedName function="false" hidden="false" localSheetId="0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zzzz" vbProcedure="false">#N/A</definedName>
    <definedName function="false" hidden="false" localSheetId="0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zzzzzzzz" vbProcedure="false">#N/A</definedName>
    <definedName function="false" hidden="false" localSheetId="0" name="zzzz___0" vbProcedure="false">[0]!tx_intérêt_par_an___0/#REF!</definedName>
    <definedName function="false" hidden="false" localSheetId="0" name="zzzz___12" vbProcedure="false">[0]!tx_intérêt_par_an___12/#REF!</definedName>
    <definedName function="false" hidden="false" localSheetId="0" name="zzzz___14" vbProcedure="false">[0]!tx_intérêt_par_an___14/#REF!</definedName>
    <definedName function="false" hidden="false" localSheetId="0" name="zzzz___16" vbProcedure="false">[0]!tx_intérêt_par_an___16/#REF!</definedName>
    <definedName function="false" hidden="false" localSheetId="0" name="zzzz___2" vbProcedure="false">[0]!tx_intérêt_par_an___2/#REF!</definedName>
    <definedName function="false" hidden="false" localSheetId="0" name="zzzz___23" vbProcedure="false">[0]!tx_intérêt_par_an___0/#REF!</definedName>
    <definedName function="false" hidden="false" localSheetId="0" name="zzzz___25" vbProcedure="false">[0]!tx_intérêt_par_an___25/#REF!</definedName>
    <definedName function="false" hidden="false" localSheetId="0" name="zzzz___26" vbProcedure="false">[0]!tx_intérêt_par_an___26/#REF!</definedName>
    <definedName function="false" hidden="false" localSheetId="0" name="zzzz___27" vbProcedure="false">[0]!tx_intérêt_par_an___27/#REF!</definedName>
    <definedName function="false" hidden="false" localSheetId="0" name="zzzz___3" vbProcedure="false">[0]!tx_intérêt_par_an___0/#REF!</definedName>
    <definedName function="false" hidden="false" localSheetId="0" name="zzzz___4" vbProcedure="false">[0]!tx_intérêt_par_an___4/#REF!</definedName>
    <definedName function="false" hidden="false" localSheetId="0" name="zzzz___5" vbProcedure="false">[0]!tx_intérêt_par_an___5/#REF!</definedName>
    <definedName function="false" hidden="false" localSheetId="0" name="zzzz___7" vbProcedure="false">[0]!tx_intérêt_par_an___7/#REF!</definedName>
    <definedName function="false" hidden="false" localSheetId="0" name="zzzz___9" vbProcedure="false">[0]!tx_intérêt_par_an___0/#REF!</definedName>
    <definedName function="false" hidden="false" localSheetId="0" name="zzz___0" vbProcedure="false">Nb_de_paiements_par_an___0*#REF!</definedName>
    <definedName function="false" hidden="false" localSheetId="0" name="zzz___14" vbProcedure="false">Nb_de_paiements_par_an___14*#REF!</definedName>
    <definedName function="false" hidden="false" localSheetId="0" name="zzz___16" vbProcedure="false">Nb_de_paiements_par_an___16*#REF!</definedName>
    <definedName function="false" hidden="false" localSheetId="0" name="zzz___23" vbProcedure="false">Nb_de_paiements_par_an___0*#REF!</definedName>
    <definedName function="false" hidden="false" localSheetId="0" name="zzz___25" vbProcedure="false">Nb_de_paiements_par_an___0*#REF!</definedName>
    <definedName function="false" hidden="false" localSheetId="0" name="zzz___26" vbProcedure="false">Nb_de_paiements_par_an___0*#REF!</definedName>
    <definedName function="false" hidden="false" localSheetId="0" name="zzz___7" vbProcedure="false">Nb_de_paiements_par_an___0*#REF!</definedName>
    <definedName function="false" hidden="false" localSheetId="0" name="zzz___9" vbProcedure="false">Nb_de_paiements_par_an___0*#REF!</definedName>
    <definedName function="false" hidden="false" localSheetId="0" name="\M" vbProcedure="false">#REF!</definedName>
    <definedName function="false" hidden="false" localSheetId="0" name="\p" vbProcedure="false">'[1]cur q v plan'!#ref!</definedName>
    <definedName function="false" hidden="false" localSheetId="0" name="_" vbProcedure="false">#REF!</definedName>
    <definedName function="false" hidden="false" localSheetId="0" name="_0" vbProcedure="false">#REF!</definedName>
    <definedName function="false" hidden="false" localSheetId="0" name="_0___0" vbProcedure="false">#REF!</definedName>
    <definedName function="false" hidden="false" localSheetId="0" name="_0___12" vbProcedure="false">#REF!</definedName>
    <definedName function="false" hidden="false" localSheetId="0" name="_10_0__123Grap" vbProcedure="false">#REF!</definedName>
    <definedName function="false" hidden="false" localSheetId="0" name="_111__123Graph_LBL_ACHART_3" vbProcedure="false">#REF!</definedName>
    <definedName function="false" hidden="false" localSheetId="0" name="_13_0__123Grap" vbProcedure="false">#REF!</definedName>
    <definedName function="false" hidden="false" localSheetId="0" name="_13__123Graph_BCHART_3" vbProcedure="false">#REF!</definedName>
    <definedName function="false" hidden="false" localSheetId="0" name="_18_0__123Grap" vbProcedure="false">#REF!</definedName>
    <definedName function="false" hidden="false" localSheetId="0" name="_19_0__123Grap" vbProcedure="false">#REF!</definedName>
    <definedName function="false" hidden="false" localSheetId="0" name="_200" vbProcedure="false">#REF!</definedName>
    <definedName function="false" hidden="false" localSheetId="0" name="_200___0" vbProcedure="false">#REF!</definedName>
    <definedName function="false" hidden="false" localSheetId="0" name="_200___12" vbProcedure="false">#REF!</definedName>
    <definedName function="false" hidden="false" localSheetId="0" name="_211_I_1_6" vbProcedure="false">#REF!</definedName>
    <definedName function="false" hidden="false" localSheetId="0" name="_212" vbProcedure="false">#REF!</definedName>
    <definedName function="false" hidden="false" localSheetId="0" name="_212___0" vbProcedure="false">#REF!</definedName>
    <definedName function="false" hidden="false" localSheetId="0" name="_22_0__123Grap" vbProcedure="false">#REF!</definedName>
    <definedName function="false" hidden="false" localSheetId="0" name="_27_0" vbProcedure="false">#REF!</definedName>
    <definedName function="false" hidden="false" localSheetId="0" name="_2C" vbProcedure="false">#REF!</definedName>
    <definedName function="false" hidden="false" localSheetId="0" name="_2C___0" vbProcedure="false">#REF!</definedName>
    <definedName function="false" hidden="false" localSheetId="0" name="_30__123Graph_ACHART_1" vbProcedure="false">[12]synthgraph!#ref!</definedName>
    <definedName function="false" hidden="false" localSheetId="0" name="_32__123Graph_ACHART_3" vbProcedure="false">#REF!</definedName>
    <definedName function="false" hidden="false" localSheetId="0" name="_34__123Graph_ACHART_3" vbProcedure="false">#REF!</definedName>
    <definedName function="false" hidden="false" localSheetId="0" name="_34__123Graph_BCHART_1" vbProcedure="false">[12]synthgraph!#ref!</definedName>
    <definedName function="false" hidden="false" localSheetId="0" name="_36__123Graph_BCHART_3" vbProcedure="false">#REF!</definedName>
    <definedName function="false" hidden="false" localSheetId="0" name="_37_0__123Grap" vbProcedure="false">#REF!</definedName>
    <definedName function="false" hidden="false" localSheetId="0" name="_39_0__123Grap" vbProcedure="false">#REF!</definedName>
    <definedName function="false" hidden="false" localSheetId="0" name="_3_123Grap" vbProcedure="false">#REF!</definedName>
    <definedName function="false" hidden="false" localSheetId="0" name="_3___12" vbProcedure="false">#REF!</definedName>
    <definedName function="false" hidden="false" localSheetId="0" name="_40__123Graph_DCHART_1" vbProcedure="false">[12]synthgraph!#ref!</definedName>
    <definedName function="false" hidden="false" localSheetId="0" name="_43__123Graph_LBL_ACHART_1" vbProcedure="false">[12]synthgraph!#ref!</definedName>
    <definedName function="false" hidden="false" localSheetId="0" name="_45__123Graph_LBL_ACHART_3" vbProcedure="false">#REF!</definedName>
    <definedName function="false" hidden="false" localSheetId="0" name="_47_1BudgetPôleFixe03" vbProcedure="false">#REF!</definedName>
    <definedName function="false" hidden="false" localSheetId="0" name="_47__123Graph_LBL_DCHART_1" vbProcedure="false">[12]synthgraph!#ref!</definedName>
    <definedName function="false" hidden="false" localSheetId="0" name="_4C" vbProcedure="false">#REF!</definedName>
    <definedName function="false" hidden="false" localSheetId="0" name="_4C___0" vbProcedure="false">#REF!</definedName>
    <definedName function="false" hidden="false" localSheetId="0" name="_4C___12" vbProcedure="false">#REF!</definedName>
    <definedName function="false" hidden="false" localSheetId="0" name="_53___0__123Grap" vbProcedure="false">#REF!</definedName>
    <definedName function="false" hidden="false" localSheetId="0" name="_54__123Graph_BCHART_3" vbProcedure="false">#REF!</definedName>
    <definedName function="false" hidden="false" localSheetId="0" name="_5_0__123Grap" vbProcedure="false">#REF!</definedName>
    <definedName function="false" hidden="false" localSheetId="0" name="_5_123Grap" vbProcedure="false">#REF!</definedName>
    <definedName function="false" hidden="false" localSheetId="0" name="_6133_1_3" vbProcedure="false">#REF!</definedName>
    <definedName function="false" hidden="false" localSheetId="0" name="_63" vbProcedure="false">#REF!</definedName>
    <definedName function="false" hidden="false" localSheetId="0" name="_63___12" vbProcedure="false">#REF!</definedName>
    <definedName function="false" hidden="false" localSheetId="0" name="_657_0__123Grap" vbProcedure="false">#REF!</definedName>
    <definedName function="false" hidden="false" localSheetId="0" name="_658_0__123Grap" vbProcedure="false">#REF!</definedName>
    <definedName function="false" hidden="false" localSheetId="0" name="_6C" vbProcedure="false">#REF!</definedName>
    <definedName function="false" hidden="false" localSheetId="0" name="_6C___0" vbProcedure="false">#REF!</definedName>
    <definedName function="false" hidden="false" localSheetId="0" name="_6C___12" vbProcedure="false">#REF!</definedName>
    <definedName function="false" hidden="false" localSheetId="0" name="_6_0__123Grap" vbProcedure="false">#REF!</definedName>
    <definedName function="false" hidden="false" localSheetId="0" name="_75_0__123Grap" vbProcedure="false">#REF!</definedName>
    <definedName function="false" hidden="false" localSheetId="0" name="_76_0__123Grap" vbProcedure="false">#REF!</definedName>
    <definedName function="false" hidden="false" localSheetId="0" name="_7_0__123Grap" vbProcedure="false">#REF!</definedName>
    <definedName function="false" hidden="false" localSheetId="0" name="_90__123Graph_DCHART_1" vbProcedure="false">[12]synthgraph!#ref!</definedName>
    <definedName function="false" hidden="false" localSheetId="0" name="_94" vbProcedure="false">#REF!</definedName>
    <definedName function="false" hidden="false" localSheetId="0" name="_94___0" vbProcedure="false">#REF!</definedName>
    <definedName function="false" hidden="false" localSheetId="0" name="_94___12" vbProcedure="false">#REF!</definedName>
    <definedName function="false" hidden="false" localSheetId="0" name="_9__123Graph_ACHART_3" vbProcedure="false">#REF!</definedName>
    <definedName function="false" hidden="false" localSheetId="0" name="_aaa1" vbProcedure="false">#REF!</definedName>
    <definedName function="false" hidden="false" localSheetId="0" name="_aaa2" vbProcedure="false">#REF!</definedName>
    <definedName function="false" hidden="false" localSheetId="0" name="_aaa3" vbProcedure="false">#REF!</definedName>
    <definedName function="false" hidden="false" localSheetId="0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bdm.00C0D9EF8BE14012A7E563CDFAAFF67A.edm" vbProcedure="false">#REF!</definedName>
    <definedName function="false" hidden="false" localSheetId="0" name="_bdm.02AA2180B0084723AFFC9E4E6DA538AC.edm" vbProcedure="false">#REF!</definedName>
    <definedName function="false" hidden="false" localSheetId="0" name="_bdm.02EFED87DA6B440DAF356A06EA8CCE6D.edm" vbProcedure="false">#REF!</definedName>
    <definedName function="false" hidden="false" localSheetId="0" name="_bdm.053252EB6ED04855BFE51C3EB0837A6B.edm" vbProcedure="false">#REF!</definedName>
    <definedName function="false" hidden="false" localSheetId="0" name="_bdm.0883F6F83E204B74B7DD1E975DA13ADD.edm" vbProcedure="false">#REF!</definedName>
    <definedName function="false" hidden="false" localSheetId="0" name="_bdm.08E492A671284214AD982BEB208B8F93.edm" vbProcedure="false">#REF!</definedName>
    <definedName function="false" hidden="false" localSheetId="0" name="_bdm.09187C12D1CE45F193AE198DD6AE884F.edm" vbProcedure="false">#REF!</definedName>
    <definedName function="false" hidden="false" localSheetId="0" name="_bdm.0A4C5DE597874549B190FD467C6A1CC4.edm" vbProcedure="false">#REF!</definedName>
    <definedName function="false" hidden="false" localSheetId="0" name="_bdm.0EBC0B70D2854C038F08EFF978C7C67A.edm" vbProcedure="false">#REF!</definedName>
    <definedName function="false" hidden="false" localSheetId="0" name="_bdm.15890F25A4484043AF3AE51860B59A14.edm" vbProcedure="false">#REF!</definedName>
    <definedName function="false" hidden="false" localSheetId="0" name="_bdm.170C77E1E37E4B33A5A3F1CF661EAD22.edm" vbProcedure="false">#REF!</definedName>
    <definedName function="false" hidden="false" localSheetId="0" name="_bdm.18396CE513024A30AA8A76234D5FEFD0.edm" vbProcedure="false">#REF!</definedName>
    <definedName function="false" hidden="false" localSheetId="0" name="_bdm.2362C0156C8048FAA2961453BD7C4BCE.edm" vbProcedure="false">#REF!</definedName>
    <definedName function="false" hidden="false" localSheetId="0" name="_bdm.29102105AB86426CAAC299DD444B5E4D.edm" vbProcedure="false">#REF!</definedName>
    <definedName function="false" hidden="false" localSheetId="0" name="_bdm.2A38C861995B46C8991A97EA5A948A78.edm" vbProcedure="false">#REF!</definedName>
    <definedName function="false" hidden="false" localSheetId="0" name="_bdm.2CBA471E682C48A3A10CD1024A462351.edm" vbProcedure="false">#REF!</definedName>
    <definedName function="false" hidden="false" localSheetId="0" name="_bdm.2D161A2B7C76497F9F6D027C12375384.edm" vbProcedure="false">#REF!</definedName>
    <definedName function="false" hidden="false" localSheetId="0" name="_bdm.2F477F25EFBE4C9BB3E9EC617CD64545.edm" vbProcedure="false">#REF!</definedName>
    <definedName function="false" hidden="false" localSheetId="0" name="_bdm.304F174C8384432A9C14069F554DBEC0.edm" vbProcedure="false">#REF!</definedName>
    <definedName function="false" hidden="false" localSheetId="0" name="_bdm.31B8759EFE3D47B3BC99BC433F195FBF.edm" vbProcedure="false">#REF!</definedName>
    <definedName function="false" hidden="false" localSheetId="0" name="_bdm.3BBFE8DA33C7499691935804E68E6B0C.edm" vbProcedure="false">#REF!</definedName>
    <definedName function="false" hidden="false" localSheetId="0" name="_bdm.49565BF5FF794C539DBC82076000DC4B.edm" vbProcedure="false">#REF!</definedName>
    <definedName function="false" hidden="false" localSheetId="0" name="_bdm.4A2A91CF59154905B89117F8831531D4.edm" vbProcedure="false">#REF!</definedName>
    <definedName function="false" hidden="false" localSheetId="0" name="_bdm.4B0774CF4D7546338C029DACD0AC04AF.edm" vbProcedure="false">#REF!</definedName>
    <definedName function="false" hidden="false" localSheetId="0" name="_bdm.560CC529085E43E4B75093E97034EB37.edm" vbProcedure="false">#REF!</definedName>
    <definedName function="false" hidden="false" localSheetId="0" name="_bdm.56F75FC2606341CFA60722E4964A61ED.edm" vbProcedure="false">#REF!</definedName>
    <definedName function="false" hidden="false" localSheetId="0" name="_bdm.5B9FA6AD16274AF0A7F1EA71741F6425.edm" vbProcedure="false">#REF!</definedName>
    <definedName function="false" hidden="false" localSheetId="0" name="_bdm.60AC218AF8CD42C485087DD4F01F6F68.edm" vbProcedure="false">#REF!</definedName>
    <definedName function="false" hidden="false" localSheetId="0" name="_bdm.66391AB36C3E40E8A357D2E91544AB4E.edm" vbProcedure="false">#REF!</definedName>
    <definedName function="false" hidden="false" localSheetId="0" name="_bdm.6E930F29C2E446FCB48CC686615AEB29.edm" vbProcedure="false">#REF!</definedName>
    <definedName function="false" hidden="false" localSheetId="0" name="_bdm.72BD0D0733C3441895C8CE1A7032FD8C.edm" vbProcedure="false">#REF!</definedName>
    <definedName function="false" hidden="false" localSheetId="0" name="_bdm.798B66F4737D405D8E166AD903AD9133.edm" vbProcedure="false">#REF!</definedName>
    <definedName function="false" hidden="false" localSheetId="0" name="_bdm.7AAACA4672FE4AABB120B35F1F6BF722.edm" vbProcedure="false">#REF!</definedName>
    <definedName function="false" hidden="false" localSheetId="0" name="_bdm.7B7617E2CF8F4F46B33C5D7AD69D1EB7.edm" vbProcedure="false">#REF!</definedName>
    <definedName function="false" hidden="false" localSheetId="0" name="_bdm.978AA887B7A0409D9BEB94DDCF92946A.edm" vbProcedure="false">#REF!</definedName>
    <definedName function="false" hidden="false" localSheetId="0" name="_bdm.9ACBBA07335647B59AADC13E50D1989D.edm" vbProcedure="false">#REF!</definedName>
    <definedName function="false" hidden="false" localSheetId="0" name="_bdm.9E068CDE91E2433BBDF7C764830C46CA.edm" vbProcedure="false">#REF!</definedName>
    <definedName function="false" hidden="false" localSheetId="0" name="_bdm.A28A9FABA82C4BC0ABDC9477F55B7009.edm" vbProcedure="false">#REF!</definedName>
    <definedName function="false" hidden="false" localSheetId="0" name="_bdm.A34D1CF0DB9D498B8FD69EF70C6190B9.edm" vbProcedure="false">#REF!</definedName>
    <definedName function="false" hidden="false" localSheetId="0" name="_bdm.A3ACD61AA97041CDB0D389B5A3B28566.edm" vbProcedure="false">#REF!</definedName>
    <definedName function="false" hidden="false" localSheetId="0" name="_bdm.BB237A5F4F0D4DD1B8979E5B117F89E3.edm" vbProcedure="false">#REF!</definedName>
    <definedName function="false" hidden="false" localSheetId="0" name="_bdm.BCBEAFDCF30E4D8FA746679BF86222DE.edm" vbProcedure="false">#REF!</definedName>
    <definedName function="false" hidden="false" localSheetId="0" name="_bdm.BCDC6A4BFB8F4261AAF69A1910BBFFAB.edm" vbProcedure="false">#REF!</definedName>
    <definedName function="false" hidden="false" localSheetId="0" name="_bdm.BF193DFCE64E4F0D81685B0562859DB2.edm" vbProcedure="false">#REF!</definedName>
    <definedName function="false" hidden="false" localSheetId="0" name="_bdm.C372A35933EB401BA3A6EC0685403139.edm" vbProcedure="false">#REF!</definedName>
    <definedName function="false" hidden="false" localSheetId="0" name="_bdm.C7A1F3F634A74A0F9EC4B07D8DBC668B.edm" vbProcedure="false">#REF!</definedName>
    <definedName function="false" hidden="false" localSheetId="0" name="_bdm.C86D533D5E914EB487C2080BF18E83E4.edm" vbProcedure="false">#REF!</definedName>
    <definedName function="false" hidden="false" localSheetId="0" name="_bdm.C935CBCFCC734F7AB9CA5D1103224C93.edm" vbProcedure="false">#REF!</definedName>
    <definedName function="false" hidden="false" localSheetId="0" name="_bdm.CDA74E3D7FAC4579B204406FAE55AE99.edm" vbProcedure="false">#REF!</definedName>
    <definedName function="false" hidden="false" localSheetId="0" name="_bdm.D68F0F579E0F4D9F8EDE01C05C8CBDCB.edm" vbProcedure="false">#REF!</definedName>
    <definedName function="false" hidden="false" localSheetId="0" name="_bdm.DB7A4686E71E4C1FA433BF1FC8CD0FF0.edm" vbProcedure="false">#REF!</definedName>
    <definedName function="false" hidden="false" localSheetId="0" name="_bdm.DCF303DB6FEF4A7D95C8B1A06C3EDA7D.edm" vbProcedure="false">#REF!</definedName>
    <definedName function="false" hidden="false" localSheetId="0" name="_bdm.E11B1C5716184E2EAE2F8DCD87BD458E.edm" vbProcedure="false">#REF!</definedName>
    <definedName function="false" hidden="false" localSheetId="0" name="_bdm.EBAC93D9B4434258968CD782605A4122.edm" vbProcedure="false">#REF!</definedName>
    <definedName function="false" hidden="false" localSheetId="0" name="_bdm.ECF6D3394DBF44B7ABC5637DE6403FE6.edm" vbProcedure="false">#REF!</definedName>
    <definedName function="false" hidden="false" localSheetId="0" name="_bdm.F18B3776FEAF4F7AA1587EB080776343.edm" vbProcedure="false">#REF!</definedName>
    <definedName function="false" hidden="false" localSheetId="0" name="_bdm.F44AE91BFA0E46E8889BCA3BF81CDCFF.edm" vbProcedure="false">#REF!</definedName>
    <definedName function="false" hidden="false" localSheetId="0" name="_Co50" vbProcedure="false">{#N/A,"DR",FALSE,"increm pf";#N/A,"MAMSI",FALSE,"increm pf";#N/A,"MAXI",FALSE,"increm pf";#N/A,"PCAM",FALSE,"increm pf";#N/A,"PHSV",FALSE,"increm pf";#N/A,"SIE",FALSE,"increm pf"}</definedName>
    <definedName function="false" hidden="false" localSheetId="0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0" name="_DAT11" vbProcedure="false">#REF!</definedName>
    <definedName function="false" hidden="false" localSheetId="0" name="_DAT12" vbProcedure="false">#REF!</definedName>
    <definedName function="false" hidden="false" localSheetId="0" name="_DAT13" vbProcedure="false">#REF!</definedName>
    <definedName function="false" hidden="false" localSheetId="0" name="_DAT14" vbProcedure="false">#REF!</definedName>
    <definedName function="false" hidden="false" localSheetId="0" name="_DAT15" vbProcedure="false">#REF!</definedName>
    <definedName function="false" hidden="false" localSheetId="0" name="_DAT21" vbProcedure="false">#REF!</definedName>
    <definedName function="false" hidden="false" localSheetId="0" name="_DAT22" vbProcedure="false">#REF!</definedName>
    <definedName function="false" hidden="false" localSheetId="0" name="_DAT23" vbProcedure="false">#REF!</definedName>
    <definedName function="false" hidden="false" localSheetId="0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_eng3" vbProcedure="false">_eng3</definedName>
    <definedName function="false" hidden="false" localSheetId="0" name="_ess1" vbProcedure="false">#REF!</definedName>
    <definedName function="false" hidden="false" localSheetId="0" name="_Fill" vbProcedure="false">#REF!</definedName>
    <definedName function="false" hidden="false" localSheetId="0" name="_FRF4" vbProcedure="false">'[4]FX Rates'!$G$10</definedName>
    <definedName function="false" hidden="false" localSheetId="0" name="_FRU2003" vbProcedure="false">#REF!</definedName>
    <definedName function="false" hidden="false" localSheetId="0" name="_GBP4" vbProcedure="false">'[4]FX Rates'!$G$9</definedName>
    <definedName function="false" hidden="false" localSheetId="0" name="_Key1" vbProcedure="false">#REF!</definedName>
    <definedName function="false" hidden="false" localSheetId="0" name="_Key2" vbProcedure="false">#REF!</definedName>
    <definedName function="false" hidden="false" localSheetId="0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0" name="_R2000ssta___12" vbProcedure="false">#REF!</definedName>
    <definedName function="false" hidden="false" localSheetId="0" name="_RCV1" vbProcedure="false">#REF!,#REF!</definedName>
    <definedName function="false" hidden="false" localSheetId="0" name="_Regression_Out" vbProcedure="false">#REF!</definedName>
    <definedName function="false" hidden="false" localSheetId="0" name="_Regression_X" vbProcedure="false">#REF!</definedName>
    <definedName function="false" hidden="false" localSheetId="0" name="_Regression_Y" vbProcedure="false">#REF!</definedName>
    <definedName function="false" hidden="false" localSheetId="0" name="_Sort" vbProcedure="false">#REF!</definedName>
    <definedName function="false" hidden="false" localSheetId="0" name="_Table2_In1" vbProcedure="false">#REF!</definedName>
    <definedName function="false" hidden="false" localSheetId="0" name="_Table2_In2" vbProcedure="false">#REF!</definedName>
    <definedName function="false" hidden="false" localSheetId="0" name="_Table2_Out" vbProcedure="false">#REF!</definedName>
    <definedName function="false" hidden="false" localSheetId="0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xlnm.Database" vbProcedure="false">#REF!</definedName>
    <definedName function="false" hidden="false" localSheetId="0" name="_xlnm.Recorder" vbProcedure="false">#REF!</definedName>
    <definedName function="false" hidden="false" localSheetId="0" name="__0" vbProcedure="false">#REF!</definedName>
    <definedName function="false" hidden="false" localSheetId="0" name="__0S___14" vbProcedure="false">#REF!</definedName>
    <definedName function="false" hidden="false" localSheetId="0" name="__0___0" vbProcedure="false">#REF!</definedName>
    <definedName function="false" hidden="false" localSheetId="0" name="__0___12" vbProcedure="false">#REF!</definedName>
    <definedName function="false" hidden="false" localSheetId="0" name="__123Graph_A" vbProcedure="false">#REF!</definedName>
    <definedName function="false" hidden="false" localSheetId="0" name="__123Graph_B" vbProcedure="false">#REF!</definedName>
    <definedName function="false" hidden="false" localSheetId="0" name="__123Graph_D" vbProcedure="false">#REF!</definedName>
    <definedName function="false" hidden="false" localSheetId="0" name="__123Graph_X" vbProcedure="false">#REF!</definedName>
    <definedName function="false" hidden="false" localSheetId="0" name="__5_0__123Grap" vbProcedure="false">#REF!</definedName>
    <definedName function="false" hidden="false" localSheetId="0" name="____0" vbProcedure="false">#REF!</definedName>
    <definedName function="false" hidden="false" localSheetId="0" name="____12" vbProcedure="false">#REF!</definedName>
    <definedName function="false" hidden="false" localSheetId="0" name="____14" vbProcedure="false">#REF!</definedName>
    <definedName function="false" hidden="false" localSheetId="0" name="_____0" vbProcedure="false">#REF!</definedName>
    <definedName function="false" hidden="false" localSheetId="0" name="_____12" vbProcedure="false">#REF!</definedName>
    <definedName function="false" hidden="false" localSheetId="0" name="_____14" vbProcedure="false">#REF!</definedName>
    <definedName function="false" hidden="false" localSheetId="7" name="A" vbProcedure="false">#REF!</definedName>
    <definedName function="false" hidden="false" localSheetId="7" name="aa" vbProcedure="false">#REF!</definedName>
    <definedName function="false" hidden="false" localSheetId="7" name="aaa2___0" vbProcedure="false">#REF!</definedName>
    <definedName function="false" hidden="false" localSheetId="7" name="aaa2___12" vbProcedure="false">#REF!</definedName>
    <definedName function="false" hidden="false" localSheetId="7" name="aaa2___14" vbProcedure="false">#REF!</definedName>
    <definedName function="false" hidden="false" localSheetId="7" name="aaa5___0" vbProcedure="false">#REF!</definedName>
    <definedName function="false" hidden="false" localSheetId="7" name="aaa5___12" vbProcedure="false">#REF!</definedName>
    <definedName function="false" hidden="false" localSheetId="7" name="aaa5___14" vbProcedure="false">#REF!</definedName>
    <definedName function="false" hidden="false" localSheetId="7" name="aaaa" vbProcedure="false">'Data Mobile'!Tx_intérêt_par_an/#REF!</definedName>
    <definedName function="false" hidden="false" localSheetId="7" name="Tx_intérêt_par_an" vbProcedure="false">#REF!</definedName>
    <definedName function="false" hidden="false" localSheetId="7" name="aaaaaa" vbProcedure="false">{"IS",#N/A,FALSE,"IS";"RPTIS",#N/A,FALSE,"RPTIS";"STATS",#N/A,FALSE,"STATS";"CELL",#N/A,FALSE,"CELL";"BS",#N/A,FALSE,"BS"}</definedName>
    <definedName function="false" hidden="false" localSheetId="7" name="aaaaaaaaa" vbProcedure="false">{"subs",#N/A,FALSE,"database ";"proportional",#N/A,FALSE,"database "}</definedName>
    <definedName function="false" hidden="false" localSheetId="7" name="aaaa___0" vbProcedure="false">'Data Mobile'!VolFactor___5/#REF!</definedName>
    <definedName function="false" hidden="false" localSheetId="7" name="VolFactor___5" vbProcedure="false">#REF!</definedName>
    <definedName function="false" hidden="false" localSheetId="7" name="aaaa___12" vbProcedure="false">'Data Mobile'!VolFactor___25/#REF!</definedName>
    <definedName function="false" hidden="false" localSheetId="7" name="VolFactor___25" vbProcedure="false">#REF!</definedName>
    <definedName function="false" hidden="false" localSheetId="7" name="aaaa___14" vbProcedure="false">'Data Mobile'!VolFactor___16/#REF!</definedName>
    <definedName function="false" hidden="false" localSheetId="7" name="VolFactor___16" vbProcedure="false">#REF!</definedName>
    <definedName function="false" hidden="false" localSheetId="7" name="aaaa___16" vbProcedure="false">'Data Mobile'!VLastRowToPrint___7/#REF!</definedName>
    <definedName function="false" hidden="false" localSheetId="7" name="VLastRowToPrint___7" vbProcedure="false">#REF!</definedName>
    <definedName function="false" hidden="false" localSheetId="7" name="aaaa___2" vbProcedure="false">'Data Mobile'!VolFactor___4/#REF!</definedName>
    <definedName function="false" hidden="false" localSheetId="7" name="VolFactor___4" vbProcedure="false">#REF!</definedName>
    <definedName function="false" hidden="false" localSheetId="7" name="aaaa___23" vbProcedure="false">'Data Mobile'!VolFactor___5/#REF!</definedName>
    <definedName function="false" hidden="false" localSheetId="7" name="aaaa___26" vbProcedure="false">'Data Mobile'!VolFactor___12/#REF!</definedName>
    <definedName function="false" hidden="false" localSheetId="7" name="VolFactor___12" vbProcedure="false">#REF!</definedName>
    <definedName function="false" hidden="false" localSheetId="7" name="aaaa___27" vbProcedure="false">'Data Mobile'!VolFactor___14/#REF!</definedName>
    <definedName function="false" hidden="false" localSheetId="7" name="VolFactor___14" vbProcedure="false">#REF!</definedName>
    <definedName function="false" hidden="false" localSheetId="7" name="aaaa___3" vbProcedure="false">'Data Mobile'!VolFactor___5/#REF!</definedName>
    <definedName function="false" hidden="false" localSheetId="7" name="aaaa___4" vbProcedure="false">'Data Mobile'!VLastRowToPrint___0/#REF!</definedName>
    <definedName function="false" hidden="false" localSheetId="7" name="VLastRowToPrint___0" vbProcedure="false">#REF!</definedName>
    <definedName function="false" hidden="false" localSheetId="7" name="aaaa___5" vbProcedure="false">'Data Mobile'!VolFactor___2/#REF!</definedName>
    <definedName function="false" hidden="false" localSheetId="7" name="VolFactor___2" vbProcedure="false">#REF!</definedName>
    <definedName function="false" hidden="false" localSheetId="7" name="aaaa___6" vbProcedure="false">'Data Mobile'!VLastRowToPrint___26/#REF!</definedName>
    <definedName function="false" hidden="false" localSheetId="7" name="VLastRowToPrint___26" vbProcedure="false">#REF!</definedName>
    <definedName function="false" hidden="false" localSheetId="7" name="aaaa___7" vbProcedure="false">'Data Mobile'!VolFactor___27/#REF!</definedName>
    <definedName function="false" hidden="false" localSheetId="7" name="VolFactor___27" vbProcedure="false">#REF!</definedName>
    <definedName function="false" hidden="false" localSheetId="7" name="aaaa___9" vbProcedure="false">'Data Mobile'!VolFactor___5/#REF!</definedName>
    <definedName function="false" hidden="false" localSheetId="7" name="aaa___0" vbProcedure="false">'Data Mobile'!VolFactor___5/#REF!</definedName>
    <definedName function="false" hidden="false" localSheetId="7" name="aaa___14" vbProcedure="false">'Data Mobile'!VolFactor___16/#REF!</definedName>
    <definedName function="false" hidden="false" localSheetId="7" name="aaa___16" vbProcedure="false">'Data Mobile'!VLastRowToPrint___7/#REF!</definedName>
    <definedName function="false" hidden="false" localSheetId="7" name="aaa___23" vbProcedure="false">'Data Mobile'!VolFactor___5/#REF!</definedName>
    <definedName function="false" hidden="false" localSheetId="7" name="aaa___27" vbProcedure="false">'Data Mobile'!VolFactor___14/#REF!</definedName>
    <definedName function="false" hidden="false" localSheetId="7" name="aaa___3" vbProcedure="false">'Data Mobile'!VolFactor___5/#REF!</definedName>
    <definedName function="false" hidden="false" localSheetId="7" name="aaa___4" vbProcedure="false">'Data Mobile'!VLastRowToPrint___0/#REF!</definedName>
    <definedName function="false" hidden="false" localSheetId="7" name="aaa___5" vbProcedure="false">'Data Mobile'!VolFactor___2/#REF!</definedName>
    <definedName function="false" hidden="false" localSheetId="7" name="aaa___9" vbProcedure="false">'Data Mobile'!VolFactor___5/#REF!</definedName>
    <definedName function="false" hidden="false" localSheetId="7" name="aaba" vbProcedure="false">#N/A</definedName>
    <definedName function="false" hidden="false" localSheetId="7" name="AAZ" vbProcedure="false">#REF!</definedName>
    <definedName function="false" hidden="false" localSheetId="7" name="ab" vbProcedure="false">#REF!</definedName>
    <definedName function="false" hidden="false" localSheetId="7" name="abas" vbProcedure="false">#REF!</definedName>
    <definedName function="false" hidden="false" localSheetId="7" name="ABRACADABRA" vbProcedure="false">#REF!</definedName>
    <definedName function="false" hidden="false" localSheetId="7" name="ac" vbProcedure="false">{#N/A,#N/A,TRUE,"Pro Forma";#N/A,#N/A,TRUE,"PF_Bal";#N/A,#N/A,TRUE,"PF_INC";#N/A,#N/A,TRUE,"CBE";#N/A,#N/A,TRUE,"SWK"}</definedName>
    <definedName function="false" hidden="false" localSheetId="7" name="actu32000" vbProcedure="false">#REF!</definedName>
    <definedName function="false" hidden="false" localSheetId="7" name="actu32000___12" vbProcedure="false">#REF!</definedName>
    <definedName function="false" hidden="false" localSheetId="7" name="actu3ssta" vbProcedure="false">#REF!</definedName>
    <definedName function="false" hidden="false" localSheetId="7" name="actu3ssta___12" vbProcedure="false">#REF!</definedName>
    <definedName function="false" hidden="false" localSheetId="7" name="ACTUALS" vbProcedure="false">#REF!</definedName>
    <definedName function="false" hidden="false" localSheetId="7" name="AC_Actual_cost_to_date" vbProcedure="false">#REF!</definedName>
    <definedName function="false" hidden="false" localSheetId="7" name="ad" vbProcedure="false">{"IS",#N/A,FALSE,"IS";"RPTIS",#N/A,FALSE,"RPTIS";"STATS",#N/A,FALSE,"STATS";"CELL",#N/A,FALSE,"CELL";"BS",#N/A,FALSE,"BS"}</definedName>
    <definedName function="false" hidden="false" localSheetId="7" name="addg" vbProcedure="false">{#N/A,#N/A,FALSE,"CBE";#N/A,#N/A,FALSE,"SWK"}</definedName>
    <definedName function="false" hidden="false" localSheetId="7" name="AdjustFactor" vbProcedure="false">#REF!</definedName>
    <definedName function="false" hidden="false" localSheetId="7" name="AdjustFactor___0" vbProcedure="false">#REF!</definedName>
    <definedName function="false" hidden="false" localSheetId="7" name="AdjustFactor___12" vbProcedure="false">#REF!</definedName>
    <definedName function="false" hidden="false" localSheetId="7" name="AdjustFactor___14" vbProcedure="false">#REF!</definedName>
    <definedName function="false" hidden="false" localSheetId="7" name="AdjustFactor___16" vbProcedure="false">#REF!</definedName>
    <definedName function="false" hidden="false" localSheetId="7" name="AdjustFactor___2" vbProcedure="false">#REF!</definedName>
    <definedName function="false" hidden="false" localSheetId="7" name="AdjustFactor___25" vbProcedure="false">#REF!</definedName>
    <definedName function="false" hidden="false" localSheetId="7" name="AdjustFactor___26" vbProcedure="false">#REF!</definedName>
    <definedName function="false" hidden="false" localSheetId="7" name="AdjustFactor___27" vbProcedure="false">#REF!</definedName>
    <definedName function="false" hidden="false" localSheetId="7" name="AdjustFactor___4" vbProcedure="false">#REF!</definedName>
    <definedName function="false" hidden="false" localSheetId="7" name="AdjustFactor___5" vbProcedure="false">#REF!</definedName>
    <definedName function="false" hidden="false" localSheetId="7" name="AdjustFactor___7" vbProcedure="false">#REF!</definedName>
    <definedName function="false" hidden="false" localSheetId="7" name="Adjustments" vbProcedure="false">#REF!</definedName>
    <definedName function="false" hidden="false" localSheetId="7" name="Adjustments___0" vbProcedure="false">#REF!</definedName>
    <definedName function="false" hidden="false" localSheetId="7" name="Adjustments___12" vbProcedure="false">#REF!</definedName>
    <definedName function="false" hidden="false" localSheetId="7" name="Adjustments___14" vbProcedure="false">#REF!</definedName>
    <definedName function="false" hidden="false" localSheetId="7" name="Adjustments___16" vbProcedure="false">#REF!</definedName>
    <definedName function="false" hidden="false" localSheetId="7" name="Adjustments___2" vbProcedure="false">#REF!</definedName>
    <definedName function="false" hidden="false" localSheetId="7" name="Adjustments___25" vbProcedure="false">#REF!</definedName>
    <definedName function="false" hidden="false" localSheetId="7" name="Adjustments___26" vbProcedure="false">#REF!</definedName>
    <definedName function="false" hidden="false" localSheetId="7" name="Adjustments___27" vbProcedure="false">#REF!</definedName>
    <definedName function="false" hidden="false" localSheetId="7" name="Adjustments___4" vbProcedure="false">#REF!</definedName>
    <definedName function="false" hidden="false" localSheetId="7" name="Adjustments___5" vbProcedure="false">#REF!</definedName>
    <definedName function="false" hidden="false" localSheetId="7" name="Adjustments___7" vbProcedure="false">#REF!</definedName>
    <definedName function="false" hidden="false" localSheetId="7" name="ae" vbProcedure="false">#REF!</definedName>
    <definedName function="false" hidden="false" localSheetId="7" name="aeaze" vbProcedure="false">#N/A</definedName>
    <definedName function="false" hidden="false" localSheetId="7" name="AECG" vbProcedure="false">#REF!</definedName>
    <definedName function="false" hidden="false" localSheetId="7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AG" vbProcedure="false">#REF!</definedName>
    <definedName function="false" hidden="false" localSheetId="7" name="Agadir" vbProcedure="false">#REF!</definedName>
    <definedName function="false" hidden="false" localSheetId="7" name="AG___0" vbProcedure="false">#REF!</definedName>
    <definedName function="false" hidden="false" localSheetId="7" name="AG___12" vbProcedure="false">#REF!</definedName>
    <definedName function="false" hidden="false" localSheetId="7" name="AG___14" vbProcedure="false">#REF!</definedName>
    <definedName function="false" hidden="false" localSheetId="7" name="AG___16" vbProcedure="false">#REF!</definedName>
    <definedName function="false" hidden="false" localSheetId="7" name="AG___2" vbProcedure="false">#REF!</definedName>
    <definedName function="false" hidden="false" localSheetId="7" name="AG___25" vbProcedure="false">#REF!</definedName>
    <definedName function="false" hidden="false" localSheetId="7" name="AG___26" vbProcedure="false">#REF!</definedName>
    <definedName function="false" hidden="false" localSheetId="7" name="AG___27" vbProcedure="false">#REF!</definedName>
    <definedName function="false" hidden="false" localSheetId="7" name="AG___4" vbProcedure="false">#REF!</definedName>
    <definedName function="false" hidden="false" localSheetId="7" name="AG___5" vbProcedure="false">#REF!</definedName>
    <definedName function="false" hidden="false" localSheetId="7" name="AG___7" vbProcedure="false">#REF!</definedName>
    <definedName function="false" hidden="false" localSheetId="7" name="ah" vbProcedure="false">{"test2",#N/A,TRUE,"Prices"}</definedName>
    <definedName function="false" hidden="false" localSheetId="7" name="ai" vbProcedure="false">{"subs",#N/A,FALSE,"database ";"proportional",#N/A,FALSE,"database "}</definedName>
    <definedName function="false" hidden="false" localSheetId="7" name="ait" vbProcedure="false">#REF!</definedName>
    <definedName function="false" hidden="false" localSheetId="7" name="aity" vbProcedure="false">#REF!</definedName>
    <definedName function="false" hidden="false" localSheetId="7" name="aj" vbProcedure="false">{"IS",#N/A,FALSE,"IS";"RPTIS",#N/A,FALSE,"RPTIS";"STATS",#N/A,FALSE,"STATS";"BS",#N/A,FALSE,"BS"}</definedName>
    <definedName function="false" hidden="false" localSheetId="7" name="AjustAttritV2" vbProcedure="false">#REF!</definedName>
    <definedName function="false" hidden="false" localSheetId="7" name="AjustAttritV2___0" vbProcedure="false">#REF!</definedName>
    <definedName function="false" hidden="false" localSheetId="7" name="AjustAttritV2___12" vbProcedure="false">#REF!</definedName>
    <definedName function="false" hidden="false" localSheetId="7" name="AjustAttritV2___2" vbProcedure="false">#REF!</definedName>
    <definedName function="false" hidden="false" localSheetId="7" name="AjustAttritV2___27" vbProcedure="false">#REF!</definedName>
    <definedName function="false" hidden="false" localSheetId="7" name="AjustAttritV2___5" vbProcedure="false">#REF!</definedName>
    <definedName function="false" hidden="false" localSheetId="7" name="AjustPdMClassique" vbProcedure="false">#REF!</definedName>
    <definedName function="false" hidden="false" localSheetId="7" name="AjustPdMClassique___0" vbProcedure="false">#REF!</definedName>
    <definedName function="false" hidden="false" localSheetId="7" name="AjustPdMClassique___12" vbProcedure="false">#REF!</definedName>
    <definedName function="false" hidden="false" localSheetId="7" name="AjustPdMClassique___2" vbProcedure="false">#REF!</definedName>
    <definedName function="false" hidden="false" localSheetId="7" name="AjustPdMClassique___27" vbProcedure="false">#REF!</definedName>
    <definedName function="false" hidden="false" localSheetId="7" name="AjustPdMClassique___5" vbProcedure="false">#REF!</definedName>
    <definedName function="false" hidden="false" localSheetId="7" name="ALIM4215_TG" vbProcedure="false">#REF!</definedName>
    <definedName function="false" hidden="false" localSheetId="7" name="ALIMENT_TG" vbProcedure="false">#REF!</definedName>
    <definedName function="false" hidden="false" localSheetId="7" name="ALIM_BANQ_COURS" vbProcedure="false">#REF!</definedName>
    <definedName function="false" hidden="false" localSheetId="7" name="ALIM_BANQ_TG" vbProcedure="false">#REF!</definedName>
    <definedName function="false" hidden="false" localSheetId="7" name="ALIM_DRT_CCP" vbProcedure="false">#REF!</definedName>
    <definedName function="false" hidden="false" localSheetId="7" name="ALIM_TG_BANQUE" vbProcedure="false">#REF!</definedName>
    <definedName function="false" hidden="false" localSheetId="7" name="ALIM_TG_CCP" vbProcedure="false">#REF!</definedName>
    <definedName function="false" hidden="false" localSheetId="7" name="ALI_BANQUE" vbProcedure="false">#REF!</definedName>
    <definedName function="false" hidden="false" localSheetId="7" name="ALI_INT_BANQ" vbProcedure="false">#REF!</definedName>
    <definedName function="false" hidden="false" localSheetId="7" name="AM" vbProcedure="false">#REF!</definedName>
    <definedName function="false" hidden="false" localSheetId="7" name="AMRT" vbProcedure="false">#REF!</definedName>
    <definedName function="false" hidden="false" localSheetId="7" name="Annuité" vbProcedure="false">'Data Mobile'!Tx_intérêt_par_an/#REF!</definedName>
    <definedName function="false" hidden="false" localSheetId="7" name="Annuité___0" vbProcedure="false">'Data Mobile'!VolFactor___5/#REF!</definedName>
    <definedName function="false" hidden="false" localSheetId="7" name="Annuité___12" vbProcedure="false">'Data Mobile'!VolFactor___25/#REF!</definedName>
    <definedName function="false" hidden="false" localSheetId="7" name="Annuité___14" vbProcedure="false">'Data Mobile'!VolFactor___16/#REF!</definedName>
    <definedName function="false" hidden="false" localSheetId="7" name="Annuité___16" vbProcedure="false">'Data Mobile'!VLastRowToPrint___7/#REF!</definedName>
    <definedName function="false" hidden="false" localSheetId="7" name="Annuité___2" vbProcedure="false">'Data Mobile'!VolFactor___4/#REF!</definedName>
    <definedName function="false" hidden="false" localSheetId="7" name="Annuité___23" vbProcedure="false">'Data Mobile'!VolFactor___5/#REF!</definedName>
    <definedName function="false" hidden="false" localSheetId="7" name="Annuité___26" vbProcedure="false">'Data Mobile'!VolFactor___12/#REF!</definedName>
    <definedName function="false" hidden="false" localSheetId="7" name="Annuité___27" vbProcedure="false">'Data Mobile'!VolFactor___14/#REF!</definedName>
    <definedName function="false" hidden="false" localSheetId="7" name="Annuité___3" vbProcedure="false">'Data Mobile'!VolFactor___5/#REF!</definedName>
    <definedName function="false" hidden="false" localSheetId="7" name="Annuité___4" vbProcedure="false">'Data Mobile'!VLastRowToPrint___0/#REF!</definedName>
    <definedName function="false" hidden="false" localSheetId="7" name="Annuité___5" vbProcedure="false">'Data Mobile'!VolFactor___2/#REF!</definedName>
    <definedName function="false" hidden="false" localSheetId="7" name="Annuité___6" vbProcedure="false">'Data Mobile'!VLastRowToPrint___26/#REF!</definedName>
    <definedName function="false" hidden="false" localSheetId="7" name="Annuité___7" vbProcedure="false">'Data Mobile'!VolFactor___27/#REF!</definedName>
    <definedName function="false" hidden="false" localSheetId="7" name="Annuité___9" vbProcedure="false">'Data Mobile'!VolFactor___5/#REF!</definedName>
    <definedName function="false" hidden="false" localSheetId="7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APC_List" vbProcedure="false">#REF!</definedName>
    <definedName function="false" hidden="false" localSheetId="7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April" vbProcedure="false">#REF!</definedName>
    <definedName function="false" hidden="false" localSheetId="7" name="AprRtgMFR" vbProcedure="false">{#N/A,#N/A,FALSE,"1999 Fiscal Current Week";#N/A,#N/A,FALSE,"1999 Fiscal Variance"}</definedName>
    <definedName function="false" hidden="false" localSheetId="7" name="aq" vbProcedure="false">{"IS",#N/A,FALSE,"IS";"RPTIS",#N/A,FALSE,"RPTIS";"STATS",#N/A,FALSE,"STATS";"CELL",#N/A,FALSE,"CELL";"BS",#N/A,FALSE,"BS"}</definedName>
    <definedName function="false" hidden="false" localSheetId="7" name="art" vbProcedure="false">{"First Page",#N/A,FALSE,"Surfactants LBO";"Second Page",#N/A,FALSE,"Surfactants LBO"}</definedName>
    <definedName function="false" hidden="false" localSheetId="7" name="Artems" vbProcedure="false">{"First Page",#N/A,FALSE,"Surfactants LBO";"Second Page",#N/A,FALSE,"Surfactants LBO"}</definedName>
    <definedName function="false" hidden="false" localSheetId="7" name="Artic" vbProcedure="false">{"First Page",#N/A,FALSE,"Surfactants LBO";"Second Page",#N/A,FALSE,"Surfactants LBO"}</definedName>
    <definedName function="false" hidden="false" localSheetId="7" name="as" vbProcedure="false">{"comp1",#N/A,FALSE,"COMPS";"footnotes",#N/A,FALSE,"COMPS"}</definedName>
    <definedName function="false" hidden="false" localSheetId="7" name="AS2TickmarkLS" vbProcedure="false">#REF!</definedName>
    <definedName function="false" hidden="false" localSheetId="7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asdf" vbProcedure="false">{#N/A,#N/A,FALSE,"Calc";#N/A,#N/A,FALSE,"Sensitivity";#N/A,#N/A,FALSE,"LT Earn.Dil.";#N/A,#N/A,FALSE,"Dil. AVP"}</definedName>
    <definedName function="false" hidden="false" localSheetId="7" name="at" vbProcedure="false">{"IS",#N/A,FALSE,"IS";"RPTIS",#N/A,FALSE,"RPTIS";"STATS",#N/A,FALSE,"STATS";"CELL",#N/A,FALSE,"CELL";"BS",#N/A,FALSE,"BS"}</definedName>
    <definedName function="false" hidden="false" localSheetId="7" name="ATDebtCost" vbProcedure="false">#REF!</definedName>
    <definedName function="false" hidden="false" localSheetId="7" name="ATDebtCost___0" vbProcedure="false">#REF!</definedName>
    <definedName function="false" hidden="false" localSheetId="7" name="ATDebtCost___12" vbProcedure="false">#REF!</definedName>
    <definedName function="false" hidden="false" localSheetId="7" name="ATDebtCost___14" vbProcedure="false">#REF!</definedName>
    <definedName function="false" hidden="false" localSheetId="7" name="ATDebtCost___16" vbProcedure="false">#REF!</definedName>
    <definedName function="false" hidden="false" localSheetId="7" name="ATDebtCost___2" vbProcedure="false">#REF!</definedName>
    <definedName function="false" hidden="false" localSheetId="7" name="ATDebtCost___25" vbProcedure="false">#REF!</definedName>
    <definedName function="false" hidden="false" localSheetId="7" name="ATDebtCost___26" vbProcedure="false">#REF!</definedName>
    <definedName function="false" hidden="false" localSheetId="7" name="ATDebtCost___27" vbProcedure="false">#REF!</definedName>
    <definedName function="false" hidden="false" localSheetId="7" name="ATDebtCost___4" vbProcedure="false">#REF!</definedName>
    <definedName function="false" hidden="false" localSheetId="7" name="ATDebtCost___5" vbProcedure="false">#REF!</definedName>
    <definedName function="false" hidden="false" localSheetId="7" name="ATDebtCost___7" vbProcedure="false">#REF!</definedName>
    <definedName function="false" hidden="false" localSheetId="7" name="au" vbProcedure="false">{#N/A,#N/A,FALSE,"ORIX CSC"}</definedName>
    <definedName function="false" hidden="false" localSheetId="7" name="Auditor" vbProcedure="false">OFFSET('Data Mobile'!CompRange3Main,9,0,COUNTA('Data Mobile'!CompRange3Main)-COUNTA(#REF!),1)</definedName>
    <definedName function="false" hidden="false" localSheetId="7" name="CompRange3Main" vbProcedure="false">#REF!</definedName>
    <definedName function="false" hidden="false" localSheetId="7" name="August" vbProcedure="false">#REF!</definedName>
    <definedName function="false" hidden="false" localSheetId="7" name="AUT_REC_CCP" vbProcedure="false">#REF!</definedName>
    <definedName function="false" hidden="false" localSheetId="7" name="AUT_REC_TG" vbProcedure="false">#REF!</definedName>
    <definedName function="false" hidden="false" localSheetId="7" name="axedoc_9" vbProcedure="false">#REF!</definedName>
    <definedName function="false" hidden="false" localSheetId="7" name="axe_doc" vbProcedure="false">#REF!</definedName>
    <definedName function="false" hidden="false" localSheetId="7" name="axe_doc1" vbProcedure="false">#REF!</definedName>
    <definedName function="false" hidden="false" localSheetId="7" name="axe_doc10" vbProcedure="false">#REF!</definedName>
    <definedName function="false" hidden="false" localSheetId="7" name="axe_doc11" vbProcedure="false">#REF!</definedName>
    <definedName function="false" hidden="false" localSheetId="7" name="axe_doc12" vbProcedure="false">#REF!</definedName>
    <definedName function="false" hidden="false" localSheetId="7" name="axe_doc13" vbProcedure="false">#REF!</definedName>
    <definedName function="false" hidden="false" localSheetId="7" name="axe_doc2" vbProcedure="false">#REF!</definedName>
    <definedName function="false" hidden="false" localSheetId="7" name="axe_doc3" vbProcedure="false">#REF!</definedName>
    <definedName function="false" hidden="false" localSheetId="7" name="axe_doc4" vbProcedure="false">#REF!</definedName>
    <definedName function="false" hidden="false" localSheetId="7" name="axe_doc5" vbProcedure="false">#REF!</definedName>
    <definedName function="false" hidden="false" localSheetId="7" name="axe_doc6" vbProcedure="false">#REF!</definedName>
    <definedName function="false" hidden="false" localSheetId="7" name="axe_doc7" vbProcedure="false">#REF!</definedName>
    <definedName function="false" hidden="false" localSheetId="7" name="axe_doc8" vbProcedure="false">#REF!</definedName>
    <definedName function="false" hidden="false" localSheetId="7" name="axe_doc9" vbProcedure="false">#REF!</definedName>
    <definedName function="false" hidden="false" localSheetId="7" name="ay" vbProcedure="false">{"print 1",#N/A,FALSE,"PrimeCo PCS";"print 2",#N/A,FALSE,"PrimeCo PCS";"valuation",#N/A,FALSE,"PrimeCo PCS"}</definedName>
    <definedName function="false" hidden="false" localSheetId="7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aze" vbProcedure="false">'Data Mobile'!Nb_de_paiements_par_an*#REF!</definedName>
    <definedName function="false" hidden="false" localSheetId="7" name="Nb_de_paiements_par_an" vbProcedure="false">#REF!</definedName>
    <definedName function="false" hidden="false" localSheetId="7" name="azeazedazedazeed" vbProcedure="false">'Data Mobile'!Nb_de_paiements_par_an*#REF!</definedName>
    <definedName function="false" hidden="false" localSheetId="7" name="azerty" vbProcedure="false">'Data Mobile'!Tx_intérêt_par_an/#REF!</definedName>
    <definedName function="false" hidden="false" localSheetId="7" name="azertyu" vbProcedure="false">#N/A</definedName>
    <definedName function="false" hidden="false" localSheetId="7" name="azertyu___0" vbProcedure="false">'Data Mobile'!bbb___3</definedName>
    <definedName function="false" hidden="false" localSheetId="7" name="bbb___3" vbProcedure="false">'Data Mobile'!VolFactor___5/#REF!</definedName>
    <definedName function="false" hidden="false" localSheetId="7" name="azertyu___12" vbProcedure="false">'Data Mobile'!bbb___23</definedName>
    <definedName function="false" hidden="false" localSheetId="7" name="bbb___23" vbProcedure="false">'Data Mobile'!VolFactor___5/#REF!</definedName>
    <definedName function="false" hidden="false" localSheetId="7" name="azertyu___16" vbProcedure="false">'Data Mobile'!Excel_BuiltIn_Database_0</definedName>
    <definedName function="false" hidden="false" localSheetId="7" name="Excel_BuiltIn_Database_0" vbProcedure="false">#REF!</definedName>
    <definedName function="false" hidden="false" localSheetId="7" name="azertyu___2" vbProcedure="false">bbb___6</definedName>
    <definedName function="false" hidden="false" localSheetId="7" name="azertyu___25" vbProcedure="false">'Data Mobile'!BAZ___6</definedName>
    <definedName function="false" hidden="false" localSheetId="7" name="BAZ___6" vbProcedure="false">#REF!</definedName>
    <definedName function="false" hidden="false" localSheetId="7" name="azertyu___26" vbProcedure="false">'data mobile'!bbb___25</definedName>
    <definedName function="false" hidden="false" localSheetId="7" name="azertyu___27" vbProcedure="false">'Data Mobile'!bbb___16</definedName>
    <definedName function="false" hidden="false" localSheetId="7" name="bbb___16" vbProcedure="false">'Data Mobile'!VLastRowToPrint___7/#REF!</definedName>
    <definedName function="false" hidden="false" localSheetId="7" name="azertyu___3" vbProcedure="false">baz___0</definedName>
    <definedName function="false" hidden="false" localSheetId="7" name="azertyu___5" vbProcedure="false">'Data Mobile'!bbb___4</definedName>
    <definedName function="false" hidden="false" localSheetId="7" name="bbb___4" vbProcedure="false">'Data Mobile'!VLastRowToPrint___0/#REF!</definedName>
    <definedName function="false" hidden="false" localSheetId="7" name="azertyu___6" vbProcedure="false">'data mobile'!b2000ssta___0</definedName>
    <definedName function="false" hidden="false" localSheetId="7" name="azertyu___7" vbProcedure="false">'Data Mobile'!bbb___9</definedName>
    <definedName function="false" hidden="false" localSheetId="7" name="bbb___9" vbProcedure="false">'Data Mobile'!VolFactor___5/#REF!</definedName>
    <definedName function="false" hidden="false" localSheetId="7" name="azertyu___9" vbProcedure="false">'Data Mobile'!BAZ___12</definedName>
    <definedName function="false" hidden="false" localSheetId="7" name="BAZ___12" vbProcedure="false">#REF!</definedName>
    <definedName function="false" hidden="false" localSheetId="7" name="azerty___0" vbProcedure="false">'Data Mobile'!VolFactor___5/#REF!</definedName>
    <definedName function="false" hidden="false" localSheetId="7" name="azerty___12" vbProcedure="false">'Data Mobile'!VolFactor___25/#REF!</definedName>
    <definedName function="false" hidden="false" localSheetId="7" name="azerty___14" vbProcedure="false">'Data Mobile'!VolFactor___16/#REF!</definedName>
    <definedName function="false" hidden="false" localSheetId="7" name="azerty___16" vbProcedure="false">'Data Mobile'!VLastRowToPrint___7/#REF!</definedName>
    <definedName function="false" hidden="false" localSheetId="7" name="azerty___2" vbProcedure="false">'Data Mobile'!VolFactor___4/#REF!</definedName>
    <definedName function="false" hidden="false" localSheetId="7" name="azerty___23" vbProcedure="false">'Data Mobile'!VolFactor___5/#REF!</definedName>
    <definedName function="false" hidden="false" localSheetId="7" name="azerty___26" vbProcedure="false">'Data Mobile'!VolFactor___12/#REF!</definedName>
    <definedName function="false" hidden="false" localSheetId="7" name="azerty___27" vbProcedure="false">'Data Mobile'!VolFactor___14/#REF!</definedName>
    <definedName function="false" hidden="false" localSheetId="7" name="azerty___3" vbProcedure="false">'Data Mobile'!VolFactor___5/#REF!</definedName>
    <definedName function="false" hidden="false" localSheetId="7" name="azerty___4" vbProcedure="false">'Data Mobile'!VLastRowToPrint___0/#REF!</definedName>
    <definedName function="false" hidden="false" localSheetId="7" name="azerty___5" vbProcedure="false">'Data Mobile'!VolFactor___2/#REF!</definedName>
    <definedName function="false" hidden="false" localSheetId="7" name="azerty___6" vbProcedure="false">'Data Mobile'!VLastRowToPrint___26/#REF!</definedName>
    <definedName function="false" hidden="false" localSheetId="7" name="azerty___7" vbProcedure="false">'Data Mobile'!VolFactor___27/#REF!</definedName>
    <definedName function="false" hidden="false" localSheetId="7" name="azerty___9" vbProcedure="false">'Data Mobile'!VolFactor___5/#REF!</definedName>
    <definedName function="false" hidden="false" localSheetId="7" name="azraze" vbProcedure="false">{"orixcsc",#N/A,FALSE,"ORIX CSC";"orixcsc2",#N/A,FALSE,"ORIX CSC"}</definedName>
    <definedName function="false" hidden="false" localSheetId="7" name="A_Tarifs_SFR" vbProcedure="false">#REF!</definedName>
    <definedName function="false" hidden="false" localSheetId="7" name="A_Tarifs_SFR___0" vbProcedure="false">#REF!</definedName>
    <definedName function="false" hidden="false" localSheetId="7" name="A_Tarifs_SFR___12" vbProcedure="false">#REF!</definedName>
    <definedName function="false" hidden="false" localSheetId="7" name="A_Tarifs_SFR___14" vbProcedure="false">#REF!</definedName>
    <definedName function="false" hidden="false" localSheetId="7" name="A_Tarifs_SFR___16" vbProcedure="false">#REF!</definedName>
    <definedName function="false" hidden="false" localSheetId="7" name="A_Tarifs_SFR___2" vbProcedure="false">#REF!</definedName>
    <definedName function="false" hidden="false" localSheetId="7" name="A_Tarifs_SFR___26" vbProcedure="false">#REF!</definedName>
    <definedName function="false" hidden="false" localSheetId="7" name="A_Tarifs_SFR___27" vbProcedure="false">#REF!</definedName>
    <definedName function="false" hidden="false" localSheetId="7" name="A_Tarifs_SFR___5" vbProcedure="false">#REF!</definedName>
    <definedName function="false" hidden="false" localSheetId="7" name="A_Tarifs_SFR___7" vbProcedure="false">#REF!</definedName>
    <definedName function="false" hidden="false" localSheetId="7" name="A___12" vbProcedure="false">#REF!</definedName>
    <definedName function="false" hidden="false" localSheetId="7" name="A___2" vbProcedure="false">#REF!</definedName>
    <definedName function="false" hidden="false" localSheetId="7" name="A___25" vbProcedure="false">#REF!</definedName>
    <definedName function="false" hidden="false" localSheetId="7" name="A___26" vbProcedure="false">#REF!</definedName>
    <definedName function="false" hidden="false" localSheetId="7" name="A___4" vbProcedure="false">#REF!</definedName>
    <definedName function="false" hidden="false" localSheetId="7" name="A___6" vbProcedure="false">#REF!</definedName>
    <definedName function="false" hidden="false" localSheetId="7" name="A___7" vbProcedure="false">#REF!</definedName>
    <definedName function="false" hidden="false" localSheetId="7" name="B.C.M" vbProcedure="false">#REF!</definedName>
    <definedName function="false" hidden="false" localSheetId="7" name="B.C.M." vbProcedure="false">#REF!</definedName>
    <definedName function="false" hidden="false" localSheetId="7" name="B.M.C.E_PRINCIP" vbProcedure="false">#REF!</definedName>
    <definedName function="false" hidden="false" localSheetId="7" name="B.M.C.I" vbProcedure="false">#REF!</definedName>
    <definedName function="false" hidden="false" localSheetId="7" name="B.M.C.I." vbProcedure="false">#REF!</definedName>
    <definedName function="false" hidden="false" localSheetId="7" name="B.P" vbProcedure="false">#REF!</definedName>
    <definedName function="false" hidden="false" localSheetId="7" name="B.P." vbProcedure="false">#REF!</definedName>
    <definedName function="false" hidden="false" localSheetId="7" name="B2000ssta" vbProcedure="false">#REF!</definedName>
    <definedName function="false" hidden="false" localSheetId="7" name="B2000ssta___0" vbProcedure="false">#REF!</definedName>
    <definedName function="false" hidden="false" localSheetId="7" name="B2000ssta___12" vbProcedure="false">#REF!</definedName>
    <definedName function="false" hidden="false" localSheetId="7" name="B2000ssta___14" vbProcedure="false">#REF!</definedName>
    <definedName function="false" hidden="false" localSheetId="7" name="B2000ssta___16" vbProcedure="false">#REF!</definedName>
    <definedName function="false" hidden="false" localSheetId="7" name="B2000ssta___27" vbProcedure="false">#REF!</definedName>
    <definedName function="false" hidden="false" localSheetId="7" name="B2000ssta___5" vbProcedure="false">#REF!</definedName>
    <definedName function="false" hidden="false" localSheetId="7" name="BAC" vbProcedure="false">#REF!</definedName>
    <definedName function="false" hidden="false" localSheetId="7" name="BAC_Budget_at_Completion" vbProcedure="false">#REF!</definedName>
    <definedName function="false" hidden="false" localSheetId="7" name="BANQUE" vbProcedure="false">#REF!</definedName>
    <definedName function="false" hidden="false" localSheetId="7" name="Base2" vbProcedure="false">#REF!</definedName>
    <definedName function="false" hidden="false" localSheetId="7" name="BASE_COSTES" vbProcedure="false">#REF!</definedName>
    <definedName function="false" hidden="false" localSheetId="7" name="BAZ" vbProcedure="false">#REF!</definedName>
    <definedName function="false" hidden="false" localSheetId="7" name="bb" vbProcedure="false">#REF!</definedName>
    <definedName function="false" hidden="false" localSheetId="7" name="bbbb" vbProcedure="false">'Data Mobile'!Tx_intérêt_par_an/#REF!</definedName>
    <definedName function="false" hidden="false" localSheetId="7" name="BBBBBBBB" vbProcedure="false">#N/A</definedName>
    <definedName function="false" hidden="false" localSheetId="7" name="bbbb___0" vbProcedure="false">'Data Mobile'!VolFactor___5/#REF!</definedName>
    <definedName function="false" hidden="false" localSheetId="7" name="bbbb___12" vbProcedure="false">'Data Mobile'!VolFactor___25/#REF!</definedName>
    <definedName function="false" hidden="false" localSheetId="7" name="bbbb___14" vbProcedure="false">'Data Mobile'!VolFactor___16/#REF!</definedName>
    <definedName function="false" hidden="false" localSheetId="7" name="bbbb___16" vbProcedure="false">'Data Mobile'!VLastRowToPrint___7/#REF!</definedName>
    <definedName function="false" hidden="false" localSheetId="7" name="bbbb___2" vbProcedure="false">'Data Mobile'!VolFactor___4/#REF!</definedName>
    <definedName function="false" hidden="false" localSheetId="7" name="bbbb___23" vbProcedure="false">'Data Mobile'!VolFactor___5/#REF!</definedName>
    <definedName function="false" hidden="false" localSheetId="7" name="bbbb___26" vbProcedure="false">'Data Mobile'!VolFactor___12/#REF!</definedName>
    <definedName function="false" hidden="false" localSheetId="7" name="bbbb___27" vbProcedure="false">'Data Mobile'!VolFactor___14/#REF!</definedName>
    <definedName function="false" hidden="false" localSheetId="7" name="bbbb___3" vbProcedure="false">'Data Mobile'!VolFactor___5/#REF!</definedName>
    <definedName function="false" hidden="false" localSheetId="7" name="bbbb___4" vbProcedure="false">'Data Mobile'!VLastRowToPrint___0/#REF!</definedName>
    <definedName function="false" hidden="false" localSheetId="7" name="bbbb___5" vbProcedure="false">'Data Mobile'!VolFactor___2/#REF!</definedName>
    <definedName function="false" hidden="false" localSheetId="7" name="bbbb___6" vbProcedure="false">'Data Mobile'!VLastRowToPrint___26/#REF!</definedName>
    <definedName function="false" hidden="false" localSheetId="7" name="bbbb___7" vbProcedure="false">'Data Mobile'!VolFactor___27/#REF!</definedName>
    <definedName function="false" hidden="false" localSheetId="7" name="bbbb___9" vbProcedure="false">'Data Mobile'!VolFactor___5/#REF!</definedName>
    <definedName function="false" hidden="false" localSheetId="7" name="bbb___0" vbProcedure="false">'Data Mobile'!VolFactor___5/#REF!</definedName>
    <definedName function="false" hidden="false" localSheetId="7" name="bbb___14" vbProcedure="false">'Data Mobile'!VolFactor___16/#REF!</definedName>
    <definedName function="false" hidden="false" localSheetId="7" name="bbb___27" vbProcedure="false">'Data Mobile'!VolFactor___14/#REF!</definedName>
    <definedName function="false" hidden="false" localSheetId="7" name="bbb___5" vbProcedure="false">'Data Mobile'!VolFactor___2/#REF!</definedName>
    <definedName function="false" hidden="false" localSheetId="7" name="bc" vbProcedure="false">{"IS",#N/A,FALSE,"IS";"RPTIS",#N/A,FALSE,"RPTIS";"STATS",#N/A,FALSE,"STATS";"CELL",#N/A,FALSE,"CELL";"BS",#N/A,FALSE,"BS"}</definedName>
    <definedName function="false" hidden="false" localSheetId="7" name="bcvgdhjdfhhjfev" vbProcedure="false">#N/A</definedName>
    <definedName function="false" hidden="false" localSheetId="7" name="BEGINNING" vbProcedure="false">#REF!</definedName>
    <definedName function="false" hidden="false" localSheetId="7" name="belnew" vbProcedure="false">{"IS",#N/A,FALSE,"IS";"RPTIS",#N/A,FALSE,"RPTIS";"STATS",#N/A,FALSE,"STATS";"CELL",#N/A,FALSE,"CELL";"BS",#N/A,FALSE,"BS"}</definedName>
    <definedName function="false" hidden="false" localSheetId="7" name="belnew1" vbProcedure="false">{"IS",#N/A,FALSE,"IS";"RPTIS",#N/A,FALSE,"RPTIS";"STATS",#N/A,FALSE,"STATS";"CELL",#N/A,FALSE,"CELL";"BS",#N/A,FALSE,"BS"}</definedName>
    <definedName function="false" hidden="false" localSheetId="7" name="belnew10" vbProcedure="false">{"IS",#N/A,FALSE,"IS";"RPTIS",#N/A,FALSE,"RPTIS";"STATS",#N/A,FALSE,"STATS";"CELL",#N/A,FALSE,"CELL";"BS",#N/A,FALSE,"BS"}</definedName>
    <definedName function="false" hidden="false" localSheetId="7" name="BG" vbProcedure="false">{#N/A,#N/A,TRUE,"Cover sheet";#N/A,#N/A,TRUE,"DCF analysis";#N/A,#N/A,TRUE,"WACC calculation"}</definedName>
    <definedName function="false" hidden="false" localSheetId="7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7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Blank3" vbProcedure="false">#REF!</definedName>
    <definedName function="false" hidden="false" localSheetId="7" name="Blank4" vbProcedure="false">#REF!</definedName>
    <definedName function="false" hidden="false" localSheetId="7" name="Blank5" vbProcedure="false">#REF!</definedName>
    <definedName function="false" hidden="false" localSheetId="7" name="Blank6" vbProcedure="false">#REF!</definedName>
    <definedName function="false" hidden="false" localSheetId="7" name="Blank7" vbProcedure="false">#REF!</definedName>
    <definedName function="false" hidden="false" localSheetId="7" name="Blank8" vbProcedure="false">#REF!</definedName>
    <definedName function="false" hidden="false" localSheetId="7" name="BMCE" vbProcedure="false">#REF!</definedName>
    <definedName function="false" hidden="false" localSheetId="7" name="BMCE.P" vbProcedure="false">#REF!</definedName>
    <definedName function="false" hidden="false" localSheetId="7" name="bnbbb" vbProcedure="false">#N/A</definedName>
    <definedName function="false" hidden="false" localSheetId="7" name="bnkj" vbProcedure="false">{#N/A,#N/A,FALSE,"output";#N/A,#N/A,FALSE,"contrib";#N/A,#N/A,FALSE,"profile";#N/A,#N/A,FALSE,"comps"}</definedName>
    <definedName function="false" hidden="false" localSheetId="7" name="bouhali" vbProcedure="false">#REF!</definedName>
    <definedName function="false" hidden="false" localSheetId="7" name="BO_OPEX4R" vbProcedure="false">#REF!</definedName>
    <definedName function="false" hidden="false" localSheetId="7" name="BSCVolt" vbProcedure="false">#REF!</definedName>
    <definedName function="false" hidden="false" localSheetId="7" name="BTSVolt" vbProcedure="false">#REF!</definedName>
    <definedName function="false" hidden="false" localSheetId="7" name="budget2000" vbProcedure="false">#REF!</definedName>
    <definedName function="false" hidden="false" localSheetId="7" name="budget2000___0" vbProcedure="false">#REF!</definedName>
    <definedName function="false" hidden="false" localSheetId="7" name="budget2000___12" vbProcedure="false">#REF!</definedName>
    <definedName function="false" hidden="false" localSheetId="7" name="budget2000___14" vbProcedure="false">#REF!</definedName>
    <definedName function="false" hidden="false" localSheetId="7" name="budget2000___16" vbProcedure="false">#REF!</definedName>
    <definedName function="false" hidden="false" localSheetId="7" name="budget2000___27" vbProcedure="false">#REF!</definedName>
    <definedName function="false" hidden="false" localSheetId="7" name="budget2000___5" vbProcedure="false">#REF!</definedName>
    <definedName function="false" hidden="false" localSheetId="7" name="Budget_2003_Conso" vbProcedure="false">#REF!</definedName>
    <definedName function="false" hidden="false" localSheetId="7" name="Budget_2003_Conso___0" vbProcedure="false">#REF!</definedName>
    <definedName function="false" hidden="false" localSheetId="7" name="Budget_2003_Conso___12" vbProcedure="false">#REF!</definedName>
    <definedName function="false" hidden="false" localSheetId="7" name="Budget_2003_Conso___14" vbProcedure="false">#REF!</definedName>
    <definedName function="false" hidden="false" localSheetId="7" name="Budget_2003_Conso___16" vbProcedure="false">#REF!</definedName>
    <definedName function="false" hidden="false" localSheetId="7" name="Budget_2003_Conso___27" vbProcedure="false">#REF!</definedName>
    <definedName function="false" hidden="false" localSheetId="7" name="Budget_2003_Conso___5" vbProcedure="false">#REF!</definedName>
    <definedName function="false" hidden="false" localSheetId="7" name="Budget_DR_Rabat06" vbProcedure="false">#REF!</definedName>
    <definedName function="false" hidden="false" localSheetId="7" name="B_Tarifs_Le7" vbProcedure="false">#REF!</definedName>
    <definedName function="false" hidden="false" localSheetId="7" name="B_Tarifs_Le7___0" vbProcedure="false">#REF!</definedName>
    <definedName function="false" hidden="false" localSheetId="7" name="B_Tarifs_Le7___12" vbProcedure="false">#REF!</definedName>
    <definedName function="false" hidden="false" localSheetId="7" name="B_Tarifs_Le7___14" vbProcedure="false">#REF!</definedName>
    <definedName function="false" hidden="false" localSheetId="7" name="B_Tarifs_Le7___16" vbProcedure="false">#REF!</definedName>
    <definedName function="false" hidden="false" localSheetId="7" name="B_Tarifs_Le7___2" vbProcedure="false">#REF!</definedName>
    <definedName function="false" hidden="false" localSheetId="7" name="B_Tarifs_Le7___26" vbProcedure="false">#REF!</definedName>
    <definedName function="false" hidden="false" localSheetId="7" name="B_Tarifs_Le7___27" vbProcedure="false">#REF!</definedName>
    <definedName function="false" hidden="false" localSheetId="7" name="B_Tarifs_Le7___5" vbProcedure="false">#REF!</definedName>
    <definedName function="false" hidden="false" localSheetId="7" name="B_Tarifs_Le7___7" vbProcedure="false">#REF!</definedName>
    <definedName function="false" hidden="false" localSheetId="7" name="C.D.M" vbProcedure="false">#REF!</definedName>
    <definedName function="false" hidden="false" localSheetId="7" name="CA" vbProcedure="false">#REF!</definedName>
    <definedName function="false" hidden="false" localSheetId="7" name="Cable" vbProcedure="false">{#N/A,#N/A,FALSE,"Operations";#N/A,#N/A,FALSE,"Financials"}</definedName>
    <definedName function="false" hidden="false" localSheetId="7" name="Cable2" vbProcedure="false">{#N/A,#N/A,FALSE,"Operations";#N/A,#N/A,FALSE,"Financials"}</definedName>
    <definedName function="false" hidden="false" localSheetId="7" name="Cabs" vbProcedure="false">#REF!</definedName>
    <definedName function="false" hidden="false" localSheetId="7" name="cad" vbProcedure="false">'Data Mobile'!Tx_intérêt_par_an/#REF!</definedName>
    <definedName function="false" hidden="false" localSheetId="7" name="cad___0" vbProcedure="false">'Data Mobile'!VolFactor___5/#REF!</definedName>
    <definedName function="false" hidden="false" localSheetId="7" name="cad___12" vbProcedure="false">'Data Mobile'!VolFactor___25/#REF!</definedName>
    <definedName function="false" hidden="false" localSheetId="7" name="cad___14" vbProcedure="false">'Data Mobile'!VolFactor___16/#REF!</definedName>
    <definedName function="false" hidden="false" localSheetId="7" name="cad___16" vbProcedure="false">'Data Mobile'!VLastRowToPrint___7/#REF!</definedName>
    <definedName function="false" hidden="false" localSheetId="7" name="cad___2" vbProcedure="false">'Data Mobile'!VolFactor___5/#REF!</definedName>
    <definedName function="false" hidden="false" localSheetId="7" name="cad___23" vbProcedure="false">'Data Mobile'!VolFactor___5/#REF!</definedName>
    <definedName function="false" hidden="false" localSheetId="7" name="cad___25" vbProcedure="false">'Data Mobile'!VolFactor___5/#REF!</definedName>
    <definedName function="false" hidden="false" localSheetId="7" name="cad___26" vbProcedure="false">'Data Mobile'!VolFactor___5/#REF!</definedName>
    <definedName function="false" hidden="false" localSheetId="7" name="cad___27" vbProcedure="false">'Data Mobile'!VolFactor___14/#REF!</definedName>
    <definedName function="false" hidden="false" localSheetId="7" name="cad___3" vbProcedure="false">'Data Mobile'!VolFactor___5/#REF!</definedName>
    <definedName function="false" hidden="false" localSheetId="7" name="cad___4" vbProcedure="false">'Data Mobile'!VolFactor___5/#REF!</definedName>
    <definedName function="false" hidden="false" localSheetId="7" name="cad___5" vbProcedure="false">'Data Mobile'!VolFactor___2/#REF!</definedName>
    <definedName function="false" hidden="false" localSheetId="7" name="cad___6" vbProcedure="false">'Data Mobile'!VLastRowToPrint___26/#REF!</definedName>
    <definedName function="false" hidden="false" localSheetId="7" name="cad___7" vbProcedure="false">'Data Mobile'!VolFactor___5/#REF!</definedName>
    <definedName function="false" hidden="false" localSheetId="7" name="cad___9" vbProcedure="false">'Data Mobile'!VolFactor___5/#REF!</definedName>
    <definedName function="false" hidden="false" localSheetId="7" name="Calibration" vbProcedure="false">#N/A</definedName>
    <definedName function="false" hidden="false" localSheetId="7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CAP2003àComptabiliser" vbProcedure="false">#REF!</definedName>
    <definedName function="false" hidden="false" localSheetId="7" name="CAPEX4RQ" vbProcedure="false">#REF!</definedName>
    <definedName function="false" hidden="false" localSheetId="7" name="CAPEX4RQDG" vbProcedure="false">#REF!</definedName>
    <definedName function="false" hidden="false" localSheetId="7" name="CAPEX4RQPROJET" vbProcedure="false">#REF!</definedName>
    <definedName function="false" hidden="false" localSheetId="7" name="CAPEX4SYNTHESE" vbProcedure="false">#REF!</definedName>
    <definedName function="false" hidden="false" localSheetId="7" name="CAPEX_ACTU2_PREVISION" vbProcedure="false">#REF!</definedName>
    <definedName function="false" hidden="false" localSheetId="7" name="CAPEX_ACTU_DETAIL_DIV" vbProcedure="false">#REF!</definedName>
    <definedName function="false" hidden="false" localSheetId="7" name="CAPEX_PREVISIONS" vbProcedure="false">#REF!</definedName>
    <definedName function="false" hidden="false" localSheetId="7" name="CAPEX_PREVISIONS_DG" vbProcedure="false">#REF!</definedName>
    <definedName function="false" hidden="false" localSheetId="7" name="CAPEX_PREVISIONS_DG___0" vbProcedure="false">#REF!</definedName>
    <definedName function="false" hidden="false" localSheetId="7" name="CAPEX_PREVISIONS_DG___12" vbProcedure="false">#REF!</definedName>
    <definedName function="false" hidden="false" localSheetId="7" name="CAPEX_PREVISIONS_DG___14" vbProcedure="false">#REF!</definedName>
    <definedName function="false" hidden="false" localSheetId="7" name="CAPEX_PREVISIONS_DG___16" vbProcedure="false">#REF!</definedName>
    <definedName function="false" hidden="false" localSheetId="7" name="CAPEX_PREVISIONS_DG___2" vbProcedure="false">#REF!</definedName>
    <definedName function="false" hidden="false" localSheetId="7" name="CAPEX_PREVISIONS_DG___25" vbProcedure="false">#REF!</definedName>
    <definedName function="false" hidden="false" localSheetId="7" name="CAPEX_PREVISIONS_DG___26" vbProcedure="false">#REF!</definedName>
    <definedName function="false" hidden="false" localSheetId="7" name="CAPEX_PREVISIONS_DG___27" vbProcedure="false">#REF!</definedName>
    <definedName function="false" hidden="false" localSheetId="7" name="CAPEX_PREVISIONS_DG___4" vbProcedure="false">#REF!</definedName>
    <definedName function="false" hidden="false" localSheetId="7" name="CAPEX_PREVISIONS_DG___5" vbProcedure="false">#REF!</definedName>
    <definedName function="false" hidden="false" localSheetId="7" name="CAPEX_PREVISIONS_DG___7" vbProcedure="false">#REF!</definedName>
    <definedName function="false" hidden="false" localSheetId="7" name="CAPEX_PROVISION_2003" vbProcedure="false">#REF!</definedName>
    <definedName function="false" hidden="false" localSheetId="7" name="carte" vbProcedure="false">#N/A</definedName>
    <definedName function="false" hidden="false" localSheetId="7" name="Casa2" vbProcedure="false">#REF!</definedName>
    <definedName function="false" hidden="false" localSheetId="7" name="Casa3" vbProcedure="false">#REF!</definedName>
    <definedName function="false" hidden="false" localSheetId="7" name="cash" vbProcedure="false">#REF!</definedName>
    <definedName function="false" hidden="false" localSheetId="7" name="CataRécSynt" vbProcedure="false">#REF!</definedName>
    <definedName function="false" hidden="false" localSheetId="7" name="ca_pm_dest" vbProcedure="false">#REF!</definedName>
    <definedName function="false" hidden="false" localSheetId="7" name="CA___0" vbProcedure="false">#REF!</definedName>
    <definedName function="false" hidden="false" localSheetId="7" name="CA___12" vbProcedure="false">#REF!</definedName>
    <definedName function="false" hidden="false" localSheetId="7" name="CA___14" vbProcedure="false">#REF!</definedName>
    <definedName function="false" hidden="false" localSheetId="7" name="CA___16" vbProcedure="false">#REF!</definedName>
    <definedName function="false" hidden="false" localSheetId="7" name="CA___2" vbProcedure="false">#REF!</definedName>
    <definedName function="false" hidden="false" localSheetId="7" name="CA___25" vbProcedure="false">#REF!</definedName>
    <definedName function="false" hidden="false" localSheetId="7" name="CA___26" vbProcedure="false">#REF!</definedName>
    <definedName function="false" hidden="false" localSheetId="7" name="CA___27" vbProcedure="false">#REF!</definedName>
    <definedName function="false" hidden="false" localSheetId="7" name="CA___4" vbProcedure="false">#REF!</definedName>
    <definedName function="false" hidden="false" localSheetId="7" name="CA___5" vbProcedure="false">#REF!</definedName>
    <definedName function="false" hidden="false" localSheetId="7" name="CA___7" vbProcedure="false">#REF!</definedName>
    <definedName function="false" hidden="false" localSheetId="7" name="cc" vbProcedure="false">{#N/A,#N/A,FALSE,"CBE";#N/A,#N/A,FALSE,"SWK"}</definedName>
    <definedName function="false" hidden="false" localSheetId="7" name="ccc" vbProcedure="false">'Data Mobile'!Tx_intérêt_par_an/#REF!</definedName>
    <definedName function="false" hidden="false" localSheetId="7" name="cccc" vbProcedure="false">'Data Mobile'!Tx_intérêt_par_an/#REF!</definedName>
    <definedName function="false" hidden="false" localSheetId="7" name="cccc___0" vbProcedure="false">'Data Mobile'!VolFactor___5/#REF!</definedName>
    <definedName function="false" hidden="false" localSheetId="7" name="cccc___12" vbProcedure="false">'Data Mobile'!VolFactor___25/#REF!</definedName>
    <definedName function="false" hidden="false" localSheetId="7" name="cccc___14" vbProcedure="false">'Data Mobile'!VolFactor___16/#REF!</definedName>
    <definedName function="false" hidden="false" localSheetId="7" name="cccc___16" vbProcedure="false">'Data Mobile'!VLastRowToPrint___7/#REF!</definedName>
    <definedName function="false" hidden="false" localSheetId="7" name="cccc___2" vbProcedure="false">'Data Mobile'!VolFactor___5/#REF!</definedName>
    <definedName function="false" hidden="false" localSheetId="7" name="cccc___23" vbProcedure="false">'Data Mobile'!VolFactor___5/#REF!</definedName>
    <definedName function="false" hidden="false" localSheetId="7" name="cccc___25" vbProcedure="false">'Data Mobile'!VolFactor___5/#REF!</definedName>
    <definedName function="false" hidden="false" localSheetId="7" name="cccc___26" vbProcedure="false">'Data Mobile'!VolFactor___5/#REF!</definedName>
    <definedName function="false" hidden="false" localSheetId="7" name="cccc___27" vbProcedure="false">'Data Mobile'!VolFactor___14/#REF!</definedName>
    <definedName function="false" hidden="false" localSheetId="7" name="cccc___3" vbProcedure="false">'Data Mobile'!VolFactor___5/#REF!</definedName>
    <definedName function="false" hidden="false" localSheetId="7" name="cccc___4" vbProcedure="false">'Data Mobile'!VolFactor___5/#REF!</definedName>
    <definedName function="false" hidden="false" localSheetId="7" name="cccc___5" vbProcedure="false">'Data Mobile'!VolFactor___2/#REF!</definedName>
    <definedName function="false" hidden="false" localSheetId="7" name="cccc___6" vbProcedure="false">'Data Mobile'!VLastRowToPrint___26/#REF!</definedName>
    <definedName function="false" hidden="false" localSheetId="7" name="cccc___7" vbProcedure="false">'Data Mobile'!VolFactor___5/#REF!</definedName>
    <definedName function="false" hidden="false" localSheetId="7" name="cccc___9" vbProcedure="false">'Data Mobile'!VolFactor___5/#REF!</definedName>
    <definedName function="false" hidden="false" localSheetId="7" name="CCP_AGADIR" vbProcedure="false">#REF!</definedName>
    <definedName function="false" hidden="false" localSheetId="7" name="CCP_CASABLANCA" vbProcedure="false">#REF!</definedName>
    <definedName function="false" hidden="false" localSheetId="7" name="CCP_FES" vbProcedure="false">#REF!</definedName>
    <definedName function="false" hidden="false" localSheetId="7" name="CCP_iam" vbProcedure="false">#REF!</definedName>
    <definedName function="false" hidden="false" localSheetId="7" name="CCP_iam___0" vbProcedure="false">#REF!</definedName>
    <definedName function="false" hidden="false" localSheetId="7" name="CCP_iam___12" vbProcedure="false">#REF!</definedName>
    <definedName function="false" hidden="false" localSheetId="7" name="CCP_MARRAKECH" vbProcedure="false">#REF!</definedName>
    <definedName function="false" hidden="false" localSheetId="7" name="CCP_ONPT" vbProcedure="false">#REF!</definedName>
    <definedName function="false" hidden="false" localSheetId="7" name="CCP_OUJDA" vbProcedure="false">#REF!</definedName>
    <definedName function="false" hidden="false" localSheetId="7" name="CCP_RABAT" vbProcedure="false">#REF!</definedName>
    <definedName function="false" hidden="false" localSheetId="7" name="CCP_SETTAT" vbProcedure="false">#REF!</definedName>
    <definedName function="false" hidden="false" localSheetId="7" name="CdesPortefeuille" vbProcedure="false">#REF!</definedName>
    <definedName function="false" hidden="false" localSheetId="7" name="CDMA" vbProcedure="false">#REF!</definedName>
    <definedName function="false" hidden="false" localSheetId="7" name="CFCheck" vbProcedure="false">#REF!</definedName>
    <definedName function="false" hidden="false" localSheetId="7" name="CFCheck___0" vbProcedure="false">#REF!</definedName>
    <definedName function="false" hidden="false" localSheetId="7" name="CFCheck___12" vbProcedure="false">#REF!</definedName>
    <definedName function="false" hidden="false" localSheetId="7" name="CFCheck___14" vbProcedure="false">#REF!</definedName>
    <definedName function="false" hidden="false" localSheetId="7" name="CFCheck___16" vbProcedure="false">#REF!</definedName>
    <definedName function="false" hidden="false" localSheetId="7" name="CFCheck___2" vbProcedure="false">#REF!</definedName>
    <definedName function="false" hidden="false" localSheetId="7" name="CFCheck___25" vbProcedure="false">#REF!</definedName>
    <definedName function="false" hidden="false" localSheetId="7" name="CFCheck___26" vbProcedure="false">#REF!</definedName>
    <definedName function="false" hidden="false" localSheetId="7" name="CFCheck___27" vbProcedure="false">#REF!</definedName>
    <definedName function="false" hidden="false" localSheetId="7" name="CFCheck___4" vbProcedure="false">#REF!</definedName>
    <definedName function="false" hidden="false" localSheetId="7" name="CFCheck___5" vbProcedure="false">#REF!</definedName>
    <definedName function="false" hidden="false" localSheetId="7" name="CFCheck___7" vbProcedure="false">#REF!</definedName>
    <definedName function="false" hidden="false" localSheetId="7" name="chargaddit" vbProcedure="false">#REF!</definedName>
    <definedName function="false" hidden="false" localSheetId="7" name="CHEQUES_BANQUE" vbProcedure="false">#REF!</definedName>
    <definedName function="false" hidden="false" localSheetId="7" name="CHEQUES_CCP" vbProcedure="false">#REF!</definedName>
    <definedName function="false" hidden="false" localSheetId="7" name="CHEQUES_TG" vbProcedure="false">#REF!</definedName>
    <definedName function="false" hidden="false" localSheetId="7" name="chf" vbProcedure="false">#REF!</definedName>
    <definedName function="false" hidden="false" localSheetId="7" name="CHQ.BQ" vbProcedure="false">#REF!</definedName>
    <definedName function="false" hidden="false" localSheetId="7" name="Cible6" vbProcedure="false">#REF!</definedName>
    <definedName function="false" hidden="false" localSheetId="7" name="Cible6___0" vbProcedure="false">#REF!</definedName>
    <definedName function="false" hidden="false" localSheetId="7" name="Cible6___12" vbProcedure="false">#REF!</definedName>
    <definedName function="false" hidden="false" localSheetId="7" name="Cible6___14" vbProcedure="false">#REF!</definedName>
    <definedName function="false" hidden="false" localSheetId="7" name="Cible6___16" vbProcedure="false">#REF!</definedName>
    <definedName function="false" hidden="false" localSheetId="7" name="Cible6___2" vbProcedure="false">#REF!</definedName>
    <definedName function="false" hidden="false" localSheetId="7" name="Cible6___27" vbProcedure="false">#REF!</definedName>
    <definedName function="false" hidden="false" localSheetId="7" name="Cible6___5" vbProcedure="false">#REF!</definedName>
    <definedName function="false" hidden="false" localSheetId="7" name="CibleV2_1" vbProcedure="false">#REF!</definedName>
    <definedName function="false" hidden="false" localSheetId="7" name="CibleV2_1___0" vbProcedure="false">#REF!</definedName>
    <definedName function="false" hidden="false" localSheetId="7" name="CibleV2_1___12" vbProcedure="false">#REF!</definedName>
    <definedName function="false" hidden="false" localSheetId="7" name="CibleV2_1___14" vbProcedure="false">#REF!</definedName>
    <definedName function="false" hidden="false" localSheetId="7" name="CibleV2_1___16" vbProcedure="false">#REF!</definedName>
    <definedName function="false" hidden="false" localSheetId="7" name="CibleV2_1___2" vbProcedure="false">#REF!</definedName>
    <definedName function="false" hidden="false" localSheetId="7" name="CibleV2_1___27" vbProcedure="false">#REF!</definedName>
    <definedName function="false" hidden="false" localSheetId="7" name="CibleV2_1___5" vbProcedure="false">#REF!</definedName>
    <definedName function="false" hidden="false" localSheetId="7" name="CibleV2_2" vbProcedure="false">#REF!</definedName>
    <definedName function="false" hidden="false" localSheetId="7" name="CibleV2_2___0" vbProcedure="false">#REF!</definedName>
    <definedName function="false" hidden="false" localSheetId="7" name="CibleV2_2___12" vbProcedure="false">#REF!</definedName>
    <definedName function="false" hidden="false" localSheetId="7" name="CibleV2_2___14" vbProcedure="false">#REF!</definedName>
    <definedName function="false" hidden="false" localSheetId="7" name="CibleV2_2___16" vbProcedure="false">#REF!</definedName>
    <definedName function="false" hidden="false" localSheetId="7" name="CibleV2_2___2" vbProcedure="false">#REF!</definedName>
    <definedName function="false" hidden="false" localSheetId="7" name="CibleV2_2___27" vbProcedure="false">#REF!</definedName>
    <definedName function="false" hidden="false" localSheetId="7" name="CibleV2_2___5" vbProcedure="false">#REF!</definedName>
    <definedName function="false" hidden="false" localSheetId="7" name="CibleV2_3" vbProcedure="false">#REF!</definedName>
    <definedName function="false" hidden="false" localSheetId="7" name="CibleV2_3___0" vbProcedure="false">#REF!</definedName>
    <definedName function="false" hidden="false" localSheetId="7" name="CibleV2_3___12" vbProcedure="false">#REF!</definedName>
    <definedName function="false" hidden="false" localSheetId="7" name="CibleV2_3___14" vbProcedure="false">#REF!</definedName>
    <definedName function="false" hidden="false" localSheetId="7" name="CibleV2_3___16" vbProcedure="false">#REF!</definedName>
    <definedName function="false" hidden="false" localSheetId="7" name="CibleV2_3___2" vbProcedure="false">#REF!</definedName>
    <definedName function="false" hidden="false" localSheetId="7" name="CibleV2_3___27" vbProcedure="false">#REF!</definedName>
    <definedName function="false" hidden="false" localSheetId="7" name="CibleV2_3___5" vbProcedure="false">#REF!</definedName>
    <definedName function="false" hidden="false" localSheetId="7" name="CibleV2_4" vbProcedure="false">#REF!</definedName>
    <definedName function="false" hidden="false" localSheetId="7" name="CibleV2_4___0" vbProcedure="false">#REF!</definedName>
    <definedName function="false" hidden="false" localSheetId="7" name="CibleV2_4___12" vbProcedure="false">#REF!</definedName>
    <definedName function="false" hidden="false" localSheetId="7" name="CibleV2_4___14" vbProcedure="false">#REF!</definedName>
    <definedName function="false" hidden="false" localSheetId="7" name="CibleV2_4___16" vbProcedure="false">#REF!</definedName>
    <definedName function="false" hidden="false" localSheetId="7" name="CibleV2_4___2" vbProcedure="false">#REF!</definedName>
    <definedName function="false" hidden="false" localSheetId="7" name="CibleV2_4___27" vbProcedure="false">#REF!</definedName>
    <definedName function="false" hidden="false" localSheetId="7" name="CibleV2_4___5" vbProcedure="false">#REF!</definedName>
    <definedName function="false" hidden="false" localSheetId="7" name="code" vbProcedure="false">#REF!</definedName>
    <definedName function="false" hidden="false" localSheetId="7" name="code_RSF" vbProcedure="false">#REF!</definedName>
    <definedName function="false" hidden="false" localSheetId="7" name="code_RSM" vbProcedure="false">#REF!</definedName>
    <definedName function="false" hidden="false" localSheetId="7" name="Coef" vbProcedure="false">#REF!</definedName>
    <definedName function="false" hidden="false" localSheetId="7" name="Combining" vbProcedure="false">#REF!,#REF!,#REF!,#REF!,#REF!,#REF!,#REF!,#REF!,#REF!</definedName>
    <definedName function="false" hidden="false" localSheetId="7" name="Commandes" vbProcedure="false">#REF!</definedName>
    <definedName function="false" hidden="false" localSheetId="7" name="CommandesMois" vbProcedure="false">#REF!</definedName>
    <definedName function="false" hidden="false" localSheetId="7" name="CommonBTS" vbProcedure="false">#REF!</definedName>
    <definedName function="false" hidden="false" localSheetId="7" name="COMMUNES" vbProcedure="false">#REF!</definedName>
    <definedName function="false" hidden="false" localSheetId="7" name="Comp" vbProcedure="false">{"First Page",#N/A,FALSE,"Surfactants LBO";"Second Page",#N/A,FALSE,"Surfactants LBO"}</definedName>
    <definedName function="false" hidden="false" localSheetId="7" name="CompanyName1" vbProcedure="false">#REF!</definedName>
    <definedName function="false" hidden="false" localSheetId="7" name="CompanyName2" vbProcedure="false">#REF!</definedName>
    <definedName function="false" hidden="false" localSheetId="7" name="CompanyName3" vbProcedure="false">#REF!</definedName>
    <definedName function="false" hidden="false" localSheetId="7" name="Comparable" vbProcedure="false">{"First Page",#N/A,FALSE,"Surfactants LBO";"Second Page",#N/A,FALSE,"Surfactants LBO"}</definedName>
    <definedName function="false" hidden="false" localSheetId="7" name="CompRange1" vbProcedure="false">OFFSET('Data Mobile'!CompRange1Main,9,0,COUNTA('Data Mobile'!CompRange1Main)-COUNTA(#REF!),1)</definedName>
    <definedName function="false" hidden="false" localSheetId="7" name="CompRange1Main" vbProcedure="false">#REF!</definedName>
    <definedName function="false" hidden="false" localSheetId="7" name="CompRange2" vbProcedure="false">OFFSET('Data Mobile'!CompRange2Main,9,0,COUNTA('Data Mobile'!CompRange2Main)-COUNTA(#REF!),1)</definedName>
    <definedName function="false" hidden="false" localSheetId="7" name="CompRange2Main" vbProcedure="false">#REF!</definedName>
    <definedName function="false" hidden="false" localSheetId="7" name="CompRange3" vbProcedure="false">OFFSET('Data Mobile'!CompRange3Main,9,0,COUNTA('Data Mobile'!CompRange3Main)-COUNTA(#REF!),1)</definedName>
    <definedName function="false" hidden="false" localSheetId="7" name="compta" vbProcedure="false">#REF!</definedName>
    <definedName function="false" hidden="false" localSheetId="7" name="conso" vbProcedure="false">#REF!</definedName>
    <definedName function="false" hidden="false" localSheetId="7" name="CONSOLID" vbProcedure="false">#REF!</definedName>
    <definedName function="false" hidden="false" localSheetId="7" name="CONTRATS_INSTANCE" vbProcedure="false">#REF!</definedName>
    <definedName function="false" hidden="false" localSheetId="7" name="cooper2" vbProcedure="false">{#N/A,#N/A,TRUE,"Pro Forma";#N/A,#N/A,TRUE,"PF_Bal";#N/A,#N/A,TRUE,"PF_INC";#N/A,#N/A,TRUE,"CBE";#N/A,#N/A,TRUE,"SWK"}</definedName>
    <definedName function="false" hidden="false" localSheetId="7" name="cop_h1" vbProcedure="false">#REF!</definedName>
    <definedName function="false" hidden="false" localSheetId="7" name="CORP" vbProcedure="false">#REF!</definedName>
    <definedName function="false" hidden="false" localSheetId="7" name="CorrectSaisonEnt" vbProcedure="false">#REF!</definedName>
    <definedName function="false" hidden="false" localSheetId="7" name="CorrectSaisonEnt___0" vbProcedure="false">#REF!</definedName>
    <definedName function="false" hidden="false" localSheetId="7" name="CorrectSaisonEnt___12" vbProcedure="false">#REF!</definedName>
    <definedName function="false" hidden="false" localSheetId="7" name="CorrectSaisonEnt___2" vbProcedure="false">#REF!</definedName>
    <definedName function="false" hidden="false" localSheetId="7" name="CorrectSaisonEnt___27" vbProcedure="false">#REF!</definedName>
    <definedName function="false" hidden="false" localSheetId="7" name="CorrectSaisonEnt___5" vbProcedure="false">#REF!</definedName>
    <definedName function="false" hidden="false" localSheetId="7" name="CorrectSaisonPGP" vbProcedure="false">#REF!</definedName>
    <definedName function="false" hidden="false" localSheetId="7" name="CorrectSaisonPGP___0" vbProcedure="false">#REF!</definedName>
    <definedName function="false" hidden="false" localSheetId="7" name="CorrectSaisonPGP___12" vbProcedure="false">#REF!</definedName>
    <definedName function="false" hidden="false" localSheetId="7" name="CorrectSaisonPGP___2" vbProcedure="false">#REF!</definedName>
    <definedName function="false" hidden="false" localSheetId="7" name="CorrectSaisonPGP___27" vbProcedure="false">#REF!</definedName>
    <definedName function="false" hidden="false" localSheetId="7" name="CorrectSaisonPGP___5" vbProcedure="false">#REF!</definedName>
    <definedName function="false" hidden="false" localSheetId="7" name="cose" vbProcedure="false">#REF!</definedName>
    <definedName function="false" hidden="false" localSheetId="7" name="coucou" vbProcedure="false">{#N/A,#N/A,TRUE,"Cover sheet";#N/A,#N/A,TRUE,"INPUTS";#N/A,#N/A,TRUE,"OUTPUTS";#N/A,#N/A,TRUE,"VALUATION"}</definedName>
    <definedName function="false" hidden="false" localSheetId="7" name="CountryRiskPremium" vbProcedure="false">#REF!</definedName>
    <definedName function="false" hidden="false" localSheetId="7" name="CountryRiskPremium___0" vbProcedure="false">#REF!</definedName>
    <definedName function="false" hidden="false" localSheetId="7" name="CountryRiskPremium___12" vbProcedure="false">#REF!</definedName>
    <definedName function="false" hidden="false" localSheetId="7" name="CountryRiskPremium___14" vbProcedure="false">#REF!</definedName>
    <definedName function="false" hidden="false" localSheetId="7" name="CountryRiskPremium___16" vbProcedure="false">#REF!</definedName>
    <definedName function="false" hidden="false" localSheetId="7" name="CountryRiskPremium___2" vbProcedure="false">#REF!</definedName>
    <definedName function="false" hidden="false" localSheetId="7" name="CountryRiskPremium___25" vbProcedure="false">#REF!</definedName>
    <definedName function="false" hidden="false" localSheetId="7" name="CountryRiskPremium___26" vbProcedure="false">#REF!</definedName>
    <definedName function="false" hidden="false" localSheetId="7" name="CountryRiskPremium___27" vbProcedure="false">#REF!</definedName>
    <definedName function="false" hidden="false" localSheetId="7" name="CountryRiskPremium___4" vbProcedure="false">#REF!</definedName>
    <definedName function="false" hidden="false" localSheetId="7" name="CountryRiskPremium___5" vbProcedure="false">#REF!</definedName>
    <definedName function="false" hidden="false" localSheetId="7" name="CountryRiskPremium___7" vbProcedure="false">#REF!</definedName>
    <definedName function="false" hidden="false" localSheetId="7" name="cours" vbProcedure="false">#REF!</definedName>
    <definedName function="false" hidden="false" localSheetId="7" name="cours___0" vbProcedure="false">#REF!</definedName>
    <definedName function="false" hidden="false" localSheetId="7" name="cours___12" vbProcedure="false">#REF!</definedName>
    <definedName function="false" hidden="false" localSheetId="7" name="CPI_Cost_Perf_Index" vbProcedure="false">#REF!</definedName>
    <definedName function="false" hidden="false" localSheetId="7" name="CREDIT_DU_MAROC" vbProcedure="false">#REF!</definedName>
    <definedName function="false" hidden="false" localSheetId="7" name="CREDOC_BO" vbProcedure="false">#REF!</definedName>
    <definedName function="false" hidden="false" localSheetId="7" name="CumBasePeriod" vbProcedure="false">#REF!</definedName>
    <definedName function="false" hidden="false" localSheetId="7" name="CumBasePeriod___0" vbProcedure="false">#REF!</definedName>
    <definedName function="false" hidden="false" localSheetId="7" name="CumBasePeriod___12" vbProcedure="false">#REF!</definedName>
    <definedName function="false" hidden="false" localSheetId="7" name="CumBasePeriod___14" vbProcedure="false">#REF!</definedName>
    <definedName function="false" hidden="false" localSheetId="7" name="CumBasePeriod___16" vbProcedure="false">#REF!</definedName>
    <definedName function="false" hidden="false" localSheetId="7" name="CumBasePeriod___2" vbProcedure="false">#REF!</definedName>
    <definedName function="false" hidden="false" localSheetId="7" name="CumBasePeriod___25" vbProcedure="false">#REF!</definedName>
    <definedName function="false" hidden="false" localSheetId="7" name="CumBasePeriod___26" vbProcedure="false">#REF!</definedName>
    <definedName function="false" hidden="false" localSheetId="7" name="CumBasePeriod___27" vbProcedure="false">#REF!</definedName>
    <definedName function="false" hidden="false" localSheetId="7" name="CumBasePeriod___4" vbProcedure="false">#REF!</definedName>
    <definedName function="false" hidden="false" localSheetId="7" name="CumBasePeriod___5" vbProcedure="false">#REF!</definedName>
    <definedName function="false" hidden="false" localSheetId="7" name="CumBasePeriod___7" vbProcedure="false">#REF!</definedName>
    <definedName function="false" hidden="false" localSheetId="7" name="CumDate" vbProcedure="false">#REF!</definedName>
    <definedName function="false" hidden="false" localSheetId="7" name="CumDate___0" vbProcedure="false">#REF!</definedName>
    <definedName function="false" hidden="false" localSheetId="7" name="CumDate___12" vbProcedure="false">#REF!</definedName>
    <definedName function="false" hidden="false" localSheetId="7" name="CumDate___14" vbProcedure="false">#REF!</definedName>
    <definedName function="false" hidden="false" localSheetId="7" name="CumDate___16" vbProcedure="false">#REF!</definedName>
    <definedName function="false" hidden="false" localSheetId="7" name="CumDate___2" vbProcedure="false">#REF!</definedName>
    <definedName function="false" hidden="false" localSheetId="7" name="CumDate___25" vbProcedure="false">#REF!</definedName>
    <definedName function="false" hidden="false" localSheetId="7" name="CumDate___26" vbProcedure="false">#REF!</definedName>
    <definedName function="false" hidden="false" localSheetId="7" name="CumDate___27" vbProcedure="false">#REF!</definedName>
    <definedName function="false" hidden="false" localSheetId="7" name="CumDate___4" vbProcedure="false">#REF!</definedName>
    <definedName function="false" hidden="false" localSheetId="7" name="CumDate___5" vbProcedure="false">#REF!</definedName>
    <definedName function="false" hidden="false" localSheetId="7" name="CumDate___7" vbProcedure="false">#REF!</definedName>
    <definedName function="false" hidden="false" localSheetId="7" name="CURRENT_MONTH_ADDS" vbProcedure="false">#REF!</definedName>
    <definedName function="false" hidden="false" localSheetId="7" name="Customer" vbProcedure="false">#REF!</definedName>
    <definedName function="false" hidden="false" localSheetId="7" name="cvxxc" vbProcedure="false">#REF!</definedName>
    <definedName function="false" hidden="false" localSheetId="7" name="CV_Cost_Var" vbProcedure="false">#REF!</definedName>
    <definedName function="false" hidden="false" localSheetId="7" name="C_" vbProcedure="false">#REF!</definedName>
    <definedName function="false" hidden="false" localSheetId="7" name="C_Prépaiement" vbProcedure="false">#REF!</definedName>
    <definedName function="false" hidden="false" localSheetId="7" name="C_Prépaiement___0" vbProcedure="false">#REF!</definedName>
    <definedName function="false" hidden="false" localSheetId="7" name="C_Prépaiement___12" vbProcedure="false">#REF!</definedName>
    <definedName function="false" hidden="false" localSheetId="7" name="C_Prépaiement___14" vbProcedure="false">#REF!</definedName>
    <definedName function="false" hidden="false" localSheetId="7" name="C_Prépaiement___16" vbProcedure="false">#REF!</definedName>
    <definedName function="false" hidden="false" localSheetId="7" name="C_Prépaiement___2" vbProcedure="false">#REF!</definedName>
    <definedName function="false" hidden="false" localSheetId="7" name="C_Prépaiement___26" vbProcedure="false">#REF!</definedName>
    <definedName function="false" hidden="false" localSheetId="7" name="C_Prépaiement___27" vbProcedure="false">#REF!</definedName>
    <definedName function="false" hidden="false" localSheetId="7" name="C_Prépaiement___5" vbProcedure="false">#REF!</definedName>
    <definedName function="false" hidden="false" localSheetId="7" name="C_Prépaiement___7" vbProcedure="false">#REF!</definedName>
    <definedName function="false" hidden="false" localSheetId="7" name="C____12" vbProcedure="false">#REF!</definedName>
    <definedName function="false" hidden="false" localSheetId="7" name="C____2" vbProcedure="false">#REF!</definedName>
    <definedName function="false" hidden="false" localSheetId="7" name="C____25" vbProcedure="false">#REF!</definedName>
    <definedName function="false" hidden="false" localSheetId="7" name="C____26" vbProcedure="false">#REF!</definedName>
    <definedName function="false" hidden="false" localSheetId="7" name="C____4" vbProcedure="false">#REF!</definedName>
    <definedName function="false" hidden="false" localSheetId="7" name="C____6" vbProcedure="false">#REF!</definedName>
    <definedName function="false" hidden="false" localSheetId="7" name="C____7" vbProcedure="false">#REF!</definedName>
    <definedName function="false" hidden="false" localSheetId="7" name="D" vbProcedure="false">#REF!</definedName>
    <definedName function="false" hidden="false" localSheetId="7" name="da" vbProcedure="false">#REF!</definedName>
    <definedName function="false" hidden="false" localSheetId="7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7" name="DATE" vbProcedure="false">#REF!</definedName>
    <definedName function="false" hidden="false" localSheetId="7" name="DateRangeComp" vbProcedure="false">OFFSET('Data Mobile'!DateRangeCompMain,9,0,COUNTA('Data Mobile'!DateRangeCompMain)-COUNTA(#REF!),1)</definedName>
    <definedName function="false" hidden="false" localSheetId="7" name="DateRangeCompMain" vbProcedure="false">#REF!</definedName>
    <definedName function="false" hidden="false" localSheetId="7" name="DATES" vbProcedure="false">#REF!</definedName>
    <definedName function="false" hidden="false" localSheetId="7" name="DateSynthèse" vbProcedure="false">#REF!</definedName>
    <definedName function="false" hidden="false" localSheetId="7" name="Dbase_FTK" vbProcedure="false">#REF!</definedName>
    <definedName function="false" hidden="false" localSheetId="7" name="Dbase_PTK" vbProcedure="false">#REF!</definedName>
    <definedName function="false" hidden="false" localSheetId="7" name="dc" vbProcedure="false">#REF!</definedName>
    <definedName function="false" hidden="false" localSheetId="7" name="DCRF_CAPEX_PROJET" vbProcedure="false">#REF!</definedName>
    <definedName function="false" hidden="false" localSheetId="7" name="dd" vbProcedure="false">'Data Mobile'!Tx_intérêt_par_an/#REF!</definedName>
    <definedName function="false" hidden="false" localSheetId="7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ddd" vbProcedure="false">'Data Mobile'!Tx_intérêt_par_an/#REF!</definedName>
    <definedName function="false" hidden="false" localSheetId="7" name="dddddd" vbProcedure="false">'Data Mobile'!Tx_intérêt_par_an/#REF!</definedName>
    <definedName function="false" hidden="false" localSheetId="7" name="DDDDDDDD" vbProcedure="false">#N/A</definedName>
    <definedName function="false" hidden="false" localSheetId="7" name="DDDDDDDDDD" vbProcedure="false">#N/A</definedName>
    <definedName function="false" hidden="false" localSheetId="7" name="dddddd___0" vbProcedure="false">'Data Mobile'!VolFactor___5/#REF!</definedName>
    <definedName function="false" hidden="false" localSheetId="7" name="dddddd___12" vbProcedure="false">'Data Mobile'!VolFactor___25/#REF!</definedName>
    <definedName function="false" hidden="false" localSheetId="7" name="dddddd___14" vbProcedure="false">'Data Mobile'!VolFactor___16/#REF!</definedName>
    <definedName function="false" hidden="false" localSheetId="7" name="dddddd___16" vbProcedure="false">'Data Mobile'!VLastRowToPrint___7/#REF!</definedName>
    <definedName function="false" hidden="false" localSheetId="7" name="dddddd___2" vbProcedure="false">'Data Mobile'!VolFactor___4/#REF!</definedName>
    <definedName function="false" hidden="false" localSheetId="7" name="dddddd___23" vbProcedure="false">'Data Mobile'!VolFactor___5/#REF!</definedName>
    <definedName function="false" hidden="false" localSheetId="7" name="dddddd___26" vbProcedure="false">'Data Mobile'!VolFactor___12/#REF!</definedName>
    <definedName function="false" hidden="false" localSheetId="7" name="dddddd___27" vbProcedure="false">'Data Mobile'!VolFactor___14/#REF!</definedName>
    <definedName function="false" hidden="false" localSheetId="7" name="dddddd___3" vbProcedure="false">'Data Mobile'!VolFactor___5/#REF!</definedName>
    <definedName function="false" hidden="false" localSheetId="7" name="dddddd___4" vbProcedure="false">'Data Mobile'!VLastRowToPrint___0/#REF!</definedName>
    <definedName function="false" hidden="false" localSheetId="7" name="dddddd___5" vbProcedure="false">'Data Mobile'!VolFactor___2/#REF!</definedName>
    <definedName function="false" hidden="false" localSheetId="7" name="dddddd___6" vbProcedure="false">'Data Mobile'!VLastRowToPrint___26/#REF!</definedName>
    <definedName function="false" hidden="false" localSheetId="7" name="dddddd___7" vbProcedure="false">'Data Mobile'!VolFactor___27/#REF!</definedName>
    <definedName function="false" hidden="false" localSheetId="7" name="dddddd___9" vbProcedure="false">'Data Mobile'!VolFactor___5/#REF!</definedName>
    <definedName function="false" hidden="false" localSheetId="7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December" vbProcedure="false">#REF!</definedName>
    <definedName function="false" hidden="false" localSheetId="7" name="decembre" vbProcedure="false">{#N/A,#N/A,FALSE,"Umsatz";#N/A,#N/A,FALSE,"Base V.02";#N/A,#N/A,FALSE,"Charts"}</definedName>
    <definedName function="false" hidden="false" localSheetId="7" name="deciembre" vbProcedure="false">{#N/A,#N/A,FALSE,"Umsatz";#N/A,#N/A,FALSE,"Base V.02";#N/A,#N/A,FALSE,"Charts"}</definedName>
    <definedName function="false" hidden="false" localSheetId="7" name="deg" vbProcedure="false">{"First Page",#N/A,FALSE,"Surfactants LBO";"Second Page",#N/A,FALSE,"Surfactants LBO"}</definedName>
    <definedName function="false" hidden="false" localSheetId="7" name="dejf" vbProcedure="false">#REF!</definedName>
    <definedName function="false" hidden="false" localSheetId="7" name="dejf___0" vbProcedure="false">#REF!</definedName>
    <definedName function="false" hidden="false" localSheetId="7" name="dejf___12" vbProcedure="false">#REF!</definedName>
    <definedName function="false" hidden="false" localSheetId="7" name="dejf___14" vbProcedure="false">#REF!</definedName>
    <definedName function="false" hidden="false" localSheetId="7" name="DESIGNATION" vbProcedure="false">#REF!</definedName>
    <definedName function="false" hidden="false" localSheetId="7" name="desz" vbProcedure="false">#REF!</definedName>
    <definedName function="false" hidden="false" localSheetId="7" name="DetailDeficit" vbProcedure="false">#REF!</definedName>
    <definedName function="false" hidden="false" localSheetId="7" name="DetailDeficit___0" vbProcedure="false">#REF!</definedName>
    <definedName function="false" hidden="false" localSheetId="7" name="DetailDeficit___12" vbProcedure="false">#REF!</definedName>
    <definedName function="false" hidden="false" localSheetId="7" name="DetailDeficit___14" vbProcedure="false">#REF!</definedName>
    <definedName function="false" hidden="false" localSheetId="7" name="DetailDeficit___16" vbProcedure="false">#REF!</definedName>
    <definedName function="false" hidden="false" localSheetId="7" name="DetailDeficit___2" vbProcedure="false">#REF!</definedName>
    <definedName function="false" hidden="false" localSheetId="7" name="DetailDeficit___25" vbProcedure="false">#REF!</definedName>
    <definedName function="false" hidden="false" localSheetId="7" name="DetailDeficit___26" vbProcedure="false">#REF!</definedName>
    <definedName function="false" hidden="false" localSheetId="7" name="DetailDeficit___27" vbProcedure="false">#REF!</definedName>
    <definedName function="false" hidden="false" localSheetId="7" name="DetailDeficit___4" vbProcedure="false">#REF!</definedName>
    <definedName function="false" hidden="false" localSheetId="7" name="DetailDeficit___5" vbProcedure="false">#REF!</definedName>
    <definedName function="false" hidden="false" localSheetId="7" name="DetailDeficit___7" vbProcedure="false">#REF!</definedName>
    <definedName function="false" hidden="false" localSheetId="7" name="DETAIL_DES_IMPÔTS_ET_TAXES" vbProcedure="false">#REF!</definedName>
    <definedName function="false" hidden="false" localSheetId="7" name="detail_pricing" vbProcedure="false">#REF!,#REF!,#REF!,#REF!,#REF!,#REF!,#REF!,#REF!,#REF!,#REF!,#REF!</definedName>
    <definedName function="false" hidden="false" localSheetId="7" name="dfd" vbProcedure="false">{"comp1",#N/A,FALSE,"COMPS";"footnotes",#N/A,FALSE,"COMPS"}</definedName>
    <definedName function="false" hidden="false" localSheetId="7" name="dg" vbProcedure="false">#REF!</definedName>
    <definedName function="false" hidden="false" localSheetId="7" name="dgjhgjhgjghhg" vbProcedure="false">#N/A</definedName>
    <definedName function="false" hidden="false" localSheetId="7" name="dgjhgjhgjghhg___0" vbProcedure="false">'Data Mobile'!DRA___9</definedName>
    <definedName function="false" hidden="false" localSheetId="7" name="DRA___9" vbProcedure="false">'Data Mobile'!VolFactor___5/#REF!</definedName>
    <definedName function="false" hidden="false" localSheetId="7" name="dgjhgjhgjghhg___12" vbProcedure="false">'Data Mobile'!DRA___6</definedName>
    <definedName function="false" hidden="false" localSheetId="7" name="DRA___6" vbProcedure="false">'Data Mobile'!VLastRowToPrint___26/#REF!</definedName>
    <definedName function="false" hidden="false" localSheetId="7" name="dgjhgjhgjghhg___14" vbProcedure="false">'Data Mobile'!DiscretFCFOn1Off2___0</definedName>
    <definedName function="false" hidden="false" localSheetId="7" name="DiscretFCFOn1Off2___0" vbProcedure="false">#REF!</definedName>
    <definedName function="false" hidden="false" localSheetId="7" name="dgjhgjhgjghhg___16" vbProcedure="false">'Data Mobile'!DiscretFCFOn1Off2___12</definedName>
    <definedName function="false" hidden="false" localSheetId="7" name="DiscretFCFOn1Off2___12" vbProcedure="false">#REF!</definedName>
    <definedName function="false" hidden="false" localSheetId="7" name="dgjhgjhgjghhg___23" vbProcedure="false">'Data Mobile'!DiscretFCFOn1Off2___2</definedName>
    <definedName function="false" hidden="false" localSheetId="7" name="DiscretFCFOn1Off2___2" vbProcedure="false">#REF!</definedName>
    <definedName function="false" hidden="false" localSheetId="7" name="dgjhgjhgjghhg___25" vbProcedure="false">'Data Mobile'!DiscretFCFOn1Off2___5</definedName>
    <definedName function="false" hidden="false" localSheetId="7" name="DiscretFCFOn1Off2___5" vbProcedure="false">#REF!</definedName>
    <definedName function="false" hidden="false" localSheetId="7" name="dgjhgjhgjghhg___26" vbProcedure="false">'Data Mobile'!DRA___4</definedName>
    <definedName function="false" hidden="false" localSheetId="7" name="DRA___4" vbProcedure="false">'Data Mobile'!VLastRowToPrint___0/#REF!</definedName>
    <definedName function="false" hidden="false" localSheetId="7" name="dgjhgjhgjghhg___27" vbProcedure="false">'Data Mobile'!DRA___23</definedName>
    <definedName function="false" hidden="false" localSheetId="7" name="DRA___23" vbProcedure="false">'Data Mobile'!VolFactor___5/#REF!</definedName>
    <definedName function="false" hidden="false" localSheetId="7" name="dgjhgjhgjghhg___3" vbProcedure="false">'Data Mobile'!DiscretFCFOn1Off2___7</definedName>
    <definedName function="false" hidden="false" localSheetId="7" name="DiscretFCFOn1Off2___7" vbProcedure="false">#REF!</definedName>
    <definedName function="false" hidden="false" localSheetId="7" name="dgjhgjhgjghhg___4" vbProcedure="false">'Data Mobile'!DiscretFCFOn1Off2___27</definedName>
    <definedName function="false" hidden="false" localSheetId="7" name="DiscretFCFOn1Off2___27" vbProcedure="false">#REF!</definedName>
    <definedName function="false" hidden="false" localSheetId="7" name="dgjhgjhgjghhg___5" vbProcedure="false">'Data Mobile'!DRA___16</definedName>
    <definedName function="false" hidden="false" localSheetId="7" name="DRA___16" vbProcedure="false">'Data Mobile'!VLastRowToPrint___7/#REF!</definedName>
    <definedName function="false" hidden="false" localSheetId="7" name="dgjhgjhgjghhg___6" vbProcedure="false">'Data Mobile'!DiscretFCFOn1Off2___14</definedName>
    <definedName function="false" hidden="false" localSheetId="7" name="DiscretFCFOn1Off2___14" vbProcedure="false">#REF!</definedName>
    <definedName function="false" hidden="false" localSheetId="7" name="dgjhgjhgjghhg___7" vbProcedure="false">'data mobile'!dra___25</definedName>
    <definedName function="false" hidden="false" localSheetId="7" name="dgjhgjhgjghhg___9" vbProcedure="false">'Data Mobile'!DiscretFCFOn1Off2___26</definedName>
    <definedName function="false" hidden="false" localSheetId="7" name="DiscretFCFOn1Off2___26" vbProcedure="false">#REF!</definedName>
    <definedName function="false" hidden="false" localSheetId="7" name="DHSCHF" vbProcedure="false">#REF!</definedName>
    <definedName function="false" hidden="false" localSheetId="7" name="DHSEUROS" vbProcedure="false">#REF!</definedName>
    <definedName function="false" hidden="false" localSheetId="7" name="DHSFF" vbProcedure="false">#REF!</definedName>
    <definedName function="false" hidden="false" localSheetId="7" name="Diable" vbProcedure="false">{#N/A,#N/A,FALSE,"Operations";#N/A,#N/A,FALSE,"Financials"}</definedName>
    <definedName function="false" hidden="false" localSheetId="7" name="DigRed" vbProcedure="false">#REF!</definedName>
    <definedName function="false" hidden="false" localSheetId="7" name="DiscountEnd1Middle2" vbProcedure="false">#REF!</definedName>
    <definedName function="false" hidden="false" localSheetId="7" name="DiscountEnd1Middle2___0" vbProcedure="false">#REF!</definedName>
    <definedName function="false" hidden="false" localSheetId="7" name="DiscountEnd1Middle2___12" vbProcedure="false">#REF!</definedName>
    <definedName function="false" hidden="false" localSheetId="7" name="DiscountEnd1Middle2___14" vbProcedure="false">#REF!</definedName>
    <definedName function="false" hidden="false" localSheetId="7" name="DiscountEnd1Middle2___16" vbProcedure="false">#REF!</definedName>
    <definedName function="false" hidden="false" localSheetId="7" name="DiscountEnd1Middle2___2" vbProcedure="false">#REF!</definedName>
    <definedName function="false" hidden="false" localSheetId="7" name="DiscountEnd1Middle2___25" vbProcedure="false">#REF!</definedName>
    <definedName function="false" hidden="false" localSheetId="7" name="DiscountEnd1Middle2___26" vbProcedure="false">#REF!</definedName>
    <definedName function="false" hidden="false" localSheetId="7" name="DiscountEnd1Middle2___27" vbProcedure="false">#REF!</definedName>
    <definedName function="false" hidden="false" localSheetId="7" name="DiscountEnd1Middle2___4" vbProcedure="false">#REF!</definedName>
    <definedName function="false" hidden="false" localSheetId="7" name="DiscountEnd1Middle2___5" vbProcedure="false">#REF!</definedName>
    <definedName function="false" hidden="false" localSheetId="7" name="DiscountEnd1Middle2___7" vbProcedure="false">#REF!</definedName>
    <definedName function="false" hidden="false" localSheetId="7" name="DiscountPeriods" vbProcedure="false">#REF!</definedName>
    <definedName function="false" hidden="false" localSheetId="7" name="DiscountPeriods___0" vbProcedure="false">#REF!</definedName>
    <definedName function="false" hidden="false" localSheetId="7" name="DiscountPeriods___12" vbProcedure="false">#REF!</definedName>
    <definedName function="false" hidden="false" localSheetId="7" name="DiscountPeriods___14" vbProcedure="false">#REF!</definedName>
    <definedName function="false" hidden="false" localSheetId="7" name="DiscountPeriods___16" vbProcedure="false">#REF!</definedName>
    <definedName function="false" hidden="false" localSheetId="7" name="DiscountPeriods___2" vbProcedure="false">#REF!</definedName>
    <definedName function="false" hidden="false" localSheetId="7" name="DiscountPeriods___25" vbProcedure="false">#REF!</definedName>
    <definedName function="false" hidden="false" localSheetId="7" name="DiscountPeriods___26" vbProcedure="false">#REF!</definedName>
    <definedName function="false" hidden="false" localSheetId="7" name="DiscountPeriods___27" vbProcedure="false">#REF!</definedName>
    <definedName function="false" hidden="false" localSheetId="7" name="DiscountPeriods___4" vbProcedure="false">#REF!</definedName>
    <definedName function="false" hidden="false" localSheetId="7" name="DiscountPeriods___5" vbProcedure="false">#REF!</definedName>
    <definedName function="false" hidden="false" localSheetId="7" name="DiscountPeriods___7" vbProcedure="false">#REF!</definedName>
    <definedName function="false" hidden="false" localSheetId="7" name="DiscretFCFOn1Off2" vbProcedure="false">#REF!</definedName>
    <definedName function="false" hidden="false" localSheetId="7" name="DiscretFCFOn1Off2___16" vbProcedure="false">#REF!</definedName>
    <definedName function="false" hidden="false" localSheetId="7" name="DiscretFCFOn1Off2___25" vbProcedure="false">#REF!</definedName>
    <definedName function="false" hidden="false" localSheetId="7" name="DiscretFCFOn1Off2___4" vbProcedure="false">#REF!</definedName>
    <definedName function="false" hidden="false" localSheetId="7" name="DIST" vbProcedure="false">#REF!</definedName>
    <definedName function="false" hidden="false" localSheetId="7" name="divdiv" vbProcedure="false">#REF!</definedName>
    <definedName function="false" hidden="false" localSheetId="7" name="Dividend" vbProcedure="false">#REF!</definedName>
    <definedName function="false" hidden="false" localSheetId="7" name="divimmo" vbProcedure="false">#REF!</definedName>
    <definedName function="false" hidden="false" localSheetId="7" name="divpart" vbProcedure="false">#REF!</definedName>
    <definedName function="false" hidden="false" localSheetId="7" name="divtiap" vbProcedure="false">#REF!</definedName>
    <definedName function="false" hidden="false" localSheetId="7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DJFGNSKLDH" vbProcedure="false">#N/A</definedName>
    <definedName function="false" hidden="false" localSheetId="7" name="dkyuk" vbProcedure="false">#N/A</definedName>
    <definedName function="false" hidden="false" localSheetId="7" name="Dload2" vbProcedure="false">#REF!</definedName>
    <definedName function="false" hidden="false" localSheetId="7" name="DPD" vbProcedure="false">#REF!</definedName>
    <definedName function="false" hidden="false" localSheetId="7" name="dr" vbProcedure="false">{"IS",#N/A,FALSE,"IS";"RPTIS",#N/A,FALSE,"RPTIS";"STATS",#N/A,FALSE,"STATS";"BS",#N/A,FALSE,"BS"}</definedName>
    <definedName function="false" hidden="false" localSheetId="7" name="DRA" vbProcedure="false">'Data Mobile'!Tx_intérêt_par_an/#REF!</definedName>
    <definedName function="false" hidden="false" localSheetId="7" name="DRA___0" vbProcedure="false">'Data Mobile'!VolFactor___5/#REF!</definedName>
    <definedName function="false" hidden="false" localSheetId="7" name="DRA___12" vbProcedure="false">'Data Mobile'!VolFactor___25/#REF!</definedName>
    <definedName function="false" hidden="false" localSheetId="7" name="DRA___14" vbProcedure="false">'Data Mobile'!VolFactor___16/#REF!</definedName>
    <definedName function="false" hidden="false" localSheetId="7" name="DRA___2" vbProcedure="false">'Data Mobile'!VolFactor___4/#REF!</definedName>
    <definedName function="false" hidden="false" localSheetId="7" name="DRA___26" vbProcedure="false">'Data Mobile'!VolFactor___12/#REF!</definedName>
    <definedName function="false" hidden="false" localSheetId="7" name="DRA___27" vbProcedure="false">'Data Mobile'!VolFactor___14/#REF!</definedName>
    <definedName function="false" hidden="false" localSheetId="7" name="DRA___3" vbProcedure="false">'Data Mobile'!VolFactor___5/#REF!</definedName>
    <definedName function="false" hidden="false" localSheetId="7" name="DRA___5" vbProcedure="false">'Data Mobile'!VolFactor___2/#REF!</definedName>
    <definedName function="false" hidden="false" localSheetId="7" name="DRA___7" vbProcedure="false">'Data Mobile'!VolFactor___27/#REF!</definedName>
    <definedName function="false" hidden="false" localSheetId="7" name="DRC" vbProcedure="false">'Data Mobile'!Nb_de_paiements_par_an*#REF!</definedName>
    <definedName function="false" hidden="false" localSheetId="7" name="DRC___0" vbProcedure="false">O___0*#REF!</definedName>
    <definedName function="false" hidden="false" localSheetId="7" name="DRC___12" vbProcedure="false">'Data Mobile'!O___12*#REF!</definedName>
    <definedName function="false" hidden="false" localSheetId="7" name="O___12" vbProcedure="false">#REF!</definedName>
    <definedName function="false" hidden="false" localSheetId="7" name="DRC___14" vbProcedure="false">'Data Mobile'!O___25*#REF!</definedName>
    <definedName function="false" hidden="false" localSheetId="7" name="O___25" vbProcedure="false">#REF!</definedName>
    <definedName function="false" hidden="false" localSheetId="7" name="DRC___2" vbProcedure="false">'Data Mobile'!O___2*#REF!</definedName>
    <definedName function="false" hidden="false" localSheetId="7" name="O___2" vbProcedure="false">#REF!</definedName>
    <definedName function="false" hidden="false" localSheetId="7" name="DRC___23" vbProcedure="false">O___0*#REF!</definedName>
    <definedName function="false" hidden="false" localSheetId="7" name="DRC___25" vbProcedure="false">'Data Mobile'!O___4*#REF!</definedName>
    <definedName function="false" hidden="false" localSheetId="7" name="O___4" vbProcedure="false">#REF!</definedName>
    <definedName function="false" hidden="false" localSheetId="7" name="DRC___26" vbProcedure="false">'Data Mobile'!O___26*#REF!</definedName>
    <definedName function="false" hidden="false" localSheetId="7" name="O___26" vbProcedure="false">#REF!</definedName>
    <definedName function="false" hidden="false" localSheetId="7" name="DRC___27" vbProcedure="false">O___27*#REF!</definedName>
    <definedName function="false" hidden="false" localSheetId="7" name="DRC___3" vbProcedure="false">O___0*#REF!</definedName>
    <definedName function="false" hidden="false" localSheetId="7" name="DRC___4" vbProcedure="false">'Data Mobile'!O___6*#REF!</definedName>
    <definedName function="false" hidden="false" localSheetId="7" name="O___6" vbProcedure="false">#REF!</definedName>
    <definedName function="false" hidden="false" localSheetId="7" name="DRC___5" vbProcedure="false">O___5*#REF!</definedName>
    <definedName function="false" hidden="false" localSheetId="7" name="DRC___6" vbProcedure="false">'Data Mobile'!Num_premier_paiement___0*#REF!</definedName>
    <definedName function="false" hidden="false" localSheetId="7" name="Num_premier_paiement___0" vbProcedure="false">#REF!</definedName>
    <definedName function="false" hidden="false" localSheetId="7" name="DRC___7" vbProcedure="false">'Data Mobile'!O___7*#REF!</definedName>
    <definedName function="false" hidden="false" localSheetId="7" name="O___7" vbProcedure="false">#REF!</definedName>
    <definedName function="false" hidden="false" localSheetId="7" name="DRC___9" vbProcedure="false">O___0*#REF!</definedName>
    <definedName function="false" hidden="false" localSheetId="7" name="drg" vbProcedure="false">'Data Mobile'!Nb_de_paiements_par_an*#REF!</definedName>
    <definedName function="false" hidden="false" localSheetId="7" name="drg___0" vbProcedure="false">O___0*#REF!</definedName>
    <definedName function="false" hidden="false" localSheetId="7" name="drg___12" vbProcedure="false">'Data Mobile'!O___12*#REF!</definedName>
    <definedName function="false" hidden="false" localSheetId="7" name="drg___14" vbProcedure="false">'Data Mobile'!O___25*#REF!</definedName>
    <definedName function="false" hidden="false" localSheetId="7" name="drg___2" vbProcedure="false">O___0*#REF!</definedName>
    <definedName function="false" hidden="false" localSheetId="7" name="drg___23" vbProcedure="false">O___0*#REF!</definedName>
    <definedName function="false" hidden="false" localSheetId="7" name="drg___25" vbProcedure="false">O___0*#REF!</definedName>
    <definedName function="false" hidden="false" localSheetId="7" name="drg___26" vbProcedure="false">O___0*#REF!</definedName>
    <definedName function="false" hidden="false" localSheetId="7" name="drg___27" vbProcedure="false">O___27*#REF!</definedName>
    <definedName function="false" hidden="false" localSheetId="7" name="drg___3" vbProcedure="false">O___0*#REF!</definedName>
    <definedName function="false" hidden="false" localSheetId="7" name="drg___4" vbProcedure="false">O___0*#REF!</definedName>
    <definedName function="false" hidden="false" localSheetId="7" name="drg___5" vbProcedure="false">O___5*#REF!</definedName>
    <definedName function="false" hidden="false" localSheetId="7" name="drg___6" vbProcedure="false">'Data Mobile'!Num_premier_paiement___0*#REF!</definedName>
    <definedName function="false" hidden="false" localSheetId="7" name="drg___7" vbProcedure="false">O___0*#REF!</definedName>
    <definedName function="false" hidden="false" localSheetId="7" name="drg___9" vbProcedure="false">O___0*#REF!</definedName>
    <definedName function="false" hidden="false" localSheetId="7" name="dsfgsb" vbProcedure="false">#N/A</definedName>
    <definedName function="false" hidden="false" localSheetId="7" name="dsfsg" vbProcedure="false">#N/A</definedName>
    <definedName function="false" hidden="false" localSheetId="7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7" name="dtyiuèi" vbProcedure="false">#N/A</definedName>
    <definedName function="false" hidden="false" localSheetId="7" name="dtyjdtk" vbProcedure="false">#N/A</definedName>
    <definedName function="false" hidden="false" localSheetId="7" name="dukdtu" vbProcedure="false">#N/A</definedName>
    <definedName function="false" hidden="false" localSheetId="7" name="dukdu" vbProcedure="false">#N/A</definedName>
    <definedName function="false" hidden="false" localSheetId="7" name="Durée_prêt" vbProcedure="false">#REF!</definedName>
    <definedName function="false" hidden="false" localSheetId="7" name="Durée_prêt___0" vbProcedure="false">#REF!</definedName>
    <definedName function="false" hidden="false" localSheetId="7" name="Durée_prêt___12" vbProcedure="false">#REF!</definedName>
    <definedName function="false" hidden="false" localSheetId="7" name="Durée_prêt___14" vbProcedure="false">#REF!</definedName>
    <definedName function="false" hidden="false" localSheetId="7" name="Durée_prêt___16" vbProcedure="false">#REF!</definedName>
    <definedName function="false" hidden="false" localSheetId="7" name="Durée_prêt___2" vbProcedure="false">#REF!</definedName>
    <definedName function="false" hidden="false" localSheetId="7" name="Durée_prêt___25" vbProcedure="false">#REF!</definedName>
    <definedName function="false" hidden="false" localSheetId="7" name="Durée_prêt___26" vbProcedure="false">#REF!</definedName>
    <definedName function="false" hidden="false" localSheetId="7" name="Durée_prêt___27" vbProcedure="false">#REF!</definedName>
    <definedName function="false" hidden="false" localSheetId="7" name="Durée_prêt___4" vbProcedure="false">#REF!</definedName>
    <definedName function="false" hidden="false" localSheetId="7" name="Durée_prêt___5" vbProcedure="false">#REF!</definedName>
    <definedName function="false" hidden="false" localSheetId="7" name="Durée_prêt___7" vbProcedure="false">#REF!</definedName>
    <definedName function="false" hidden="false" localSheetId="7" name="dyhj" vbProcedure="false">#N/A</definedName>
    <definedName function="false" hidden="false" localSheetId="7" name="dz" vbProcedure="false">{"test2",#N/A,TRUE,"Prices"}</definedName>
    <definedName function="false" hidden="false" localSheetId="7" name="D_Gestion_Perso" vbProcedure="false">#REF!</definedName>
    <definedName function="false" hidden="false" localSheetId="7" name="D_Gestion_Perso___0" vbProcedure="false">#REF!</definedName>
    <definedName function="false" hidden="false" localSheetId="7" name="D_Gestion_Perso___12" vbProcedure="false">#REF!</definedName>
    <definedName function="false" hidden="false" localSheetId="7" name="D_Gestion_Perso___14" vbProcedure="false">#REF!</definedName>
    <definedName function="false" hidden="false" localSheetId="7" name="D_Gestion_Perso___16" vbProcedure="false">#REF!</definedName>
    <definedName function="false" hidden="false" localSheetId="7" name="D_Gestion_Perso___2" vbProcedure="false">#REF!</definedName>
    <definedName function="false" hidden="false" localSheetId="7" name="D_Gestion_Perso___26" vbProcedure="false">#REF!</definedName>
    <definedName function="false" hidden="false" localSheetId="7" name="D_Gestion_Perso___27" vbProcedure="false">#REF!</definedName>
    <definedName function="false" hidden="false" localSheetId="7" name="D_Gestion_Perso___5" vbProcedure="false">#REF!</definedName>
    <definedName function="false" hidden="false" localSheetId="7" name="D_Gestion_Perso___7" vbProcedure="false">#REF!</definedName>
    <definedName function="false" hidden="false" localSheetId="7" name="D___12" vbProcedure="false">#REF!</definedName>
    <definedName function="false" hidden="false" localSheetId="7" name="détail_CA" vbProcedure="false">#REF!</definedName>
    <definedName function="false" hidden="false" localSheetId="7" name="détail_CA___12" vbProcedure="false">#REF!</definedName>
    <definedName function="false" hidden="false" localSheetId="7" name="détail_CA___6" vbProcedure="false">#REF!</definedName>
    <definedName function="false" hidden="false" localSheetId="7" name="E" vbProcedure="false">#REF!</definedName>
    <definedName function="false" hidden="false" localSheetId="7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EAC_Estimate_at_Completion" vbProcedure="false">#REF!</definedName>
    <definedName function="false" hidden="false" localSheetId="7" name="EarliestDateForValuation" vbProcedure="false">#REF!</definedName>
    <definedName function="false" hidden="false" localSheetId="7" name="EarliestDateForValuation___0" vbProcedure="false">#REF!</definedName>
    <definedName function="false" hidden="false" localSheetId="7" name="EarliestDateForValuation___12" vbProcedure="false">#REF!</definedName>
    <definedName function="false" hidden="false" localSheetId="7" name="EarliestDateForValuation___14" vbProcedure="false">#REF!</definedName>
    <definedName function="false" hidden="false" localSheetId="7" name="EarliestDateForValuation___16" vbProcedure="false">#REF!</definedName>
    <definedName function="false" hidden="false" localSheetId="7" name="EarliestDateForValuation___2" vbProcedure="false">#REF!</definedName>
    <definedName function="false" hidden="false" localSheetId="7" name="EarliestDateForValuation___25" vbProcedure="false">#REF!</definedName>
    <definedName function="false" hidden="false" localSheetId="7" name="EarliestDateForValuation___26" vbProcedure="false">#REF!</definedName>
    <definedName function="false" hidden="false" localSheetId="7" name="EarliestDateForValuation___27" vbProcedure="false">#REF!</definedName>
    <definedName function="false" hidden="false" localSheetId="7" name="EarliestDateForValuation___4" vbProcedure="false">#REF!</definedName>
    <definedName function="false" hidden="false" localSheetId="7" name="EarliestDateForValuation___5" vbProcedure="false">#REF!</definedName>
    <definedName function="false" hidden="false" localSheetId="7" name="EarliestDateForValuation___7" vbProcedure="false">#REF!</definedName>
    <definedName function="false" hidden="false" localSheetId="7" name="ededed" vbProcedure="false">#N/A</definedName>
    <definedName function="false" hidden="false" localSheetId="7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eeee" vbProcedure="false">'Data Mobile'!Nb_de_paiements_par_an*#REF!</definedName>
    <definedName function="false" hidden="false" localSheetId="7" name="EEEEEEEEE" vbProcedure="false">#N/A</definedName>
    <definedName function="false" hidden="false" localSheetId="7" name="eeee___0" vbProcedure="false">O___0*#REF!</definedName>
    <definedName function="false" hidden="false" localSheetId="7" name="eeee___12" vbProcedure="false">'Data Mobile'!O___12*#REF!</definedName>
    <definedName function="false" hidden="false" localSheetId="7" name="eeee___14" vbProcedure="false">'Data Mobile'!O___25*#REF!</definedName>
    <definedName function="false" hidden="false" localSheetId="7" name="eeee___2" vbProcedure="false">'Data Mobile'!O___2*#REF!</definedName>
    <definedName function="false" hidden="false" localSheetId="7" name="eeee___23" vbProcedure="false">O___0*#REF!</definedName>
    <definedName function="false" hidden="false" localSheetId="7" name="eeee___25" vbProcedure="false">'Data Mobile'!O___4*#REF!</definedName>
    <definedName function="false" hidden="false" localSheetId="7" name="eeee___26" vbProcedure="false">'Data Mobile'!O___26*#REF!</definedName>
    <definedName function="false" hidden="false" localSheetId="7" name="eeee___27" vbProcedure="false">O___27*#REF!</definedName>
    <definedName function="false" hidden="false" localSheetId="7" name="eeee___3" vbProcedure="false">O___0*#REF!</definedName>
    <definedName function="false" hidden="false" localSheetId="7" name="eeee___4" vbProcedure="false">'Data Mobile'!O___6*#REF!</definedName>
    <definedName function="false" hidden="false" localSheetId="7" name="eeee___5" vbProcedure="false">O___5*#REF!</definedName>
    <definedName function="false" hidden="false" localSheetId="7" name="eeee___6" vbProcedure="false">'Data Mobile'!Num_premier_paiement___0*#REF!</definedName>
    <definedName function="false" hidden="false" localSheetId="7" name="eeee___7" vbProcedure="false">'Data Mobile'!O___7*#REF!</definedName>
    <definedName function="false" hidden="false" localSheetId="7" name="eeee___9" vbProcedure="false">O___0*#REF!</definedName>
    <definedName function="false" hidden="false" localSheetId="7" name="Effort_Expended" vbProcedure="false">#REF!</definedName>
    <definedName function="false" hidden="false" localSheetId="7" name="Effort_Req" vbProcedure="false">#REF!</definedName>
    <definedName function="false" hidden="false" localSheetId="7" name="Effort_to_Complete" vbProcedure="false">#REF!</definedName>
    <definedName function="false" hidden="false" localSheetId="7" name="Effort_Variance" vbProcedure="false">#REF!</definedName>
    <definedName function="false" hidden="false" localSheetId="7" name="efgtyhjkoi" vbProcedure="false">#N/A</definedName>
    <definedName function="false" hidden="false" localSheetId="7" name="efgtyhjkoi___0" vbProcedure="false">'Data Mobile'!ExpandOutputs___5</definedName>
    <definedName function="false" hidden="false" localSheetId="7" name="ExpandOutputs___5" vbProcedure="false">'Data Mobile'!F___27</definedName>
    <definedName function="false" hidden="false" localSheetId="7" name="F___27" vbProcedure="false">#REF!</definedName>
    <definedName function="false" hidden="false" localSheetId="7" name="efgtyhjkoi___12" vbProcedure="false">'Data Mobile'!ExpandOutputs___3</definedName>
    <definedName function="false" hidden="false" localSheetId="7" name="ExpandOutputs___3" vbProcedure="false">'Data Mobile'!F___4</definedName>
    <definedName function="false" hidden="false" localSheetId="7" name="F___4" vbProcedure="false">#REF!</definedName>
    <definedName function="false" hidden="false" localSheetId="7" name="efgtyhjkoi___14" vbProcedure="false">'data mobile'!expandoutputs___25</definedName>
    <definedName function="false" hidden="false" localSheetId="7" name="efgtyhjkoi___2" vbProcedure="false">'Data Mobile'!ExpandOutputs___9</definedName>
    <definedName function="false" hidden="false" localSheetId="7" name="ExpandOutputs___9" vbProcedure="false">'Data Mobile'!F___16</definedName>
    <definedName function="false" hidden="false" localSheetId="7" name="F___16" vbProcedure="false">#REF!</definedName>
    <definedName function="false" hidden="false" localSheetId="7" name="efgtyhjkoi___23" vbProcedure="false">'Data Mobile'!ess1___0</definedName>
    <definedName function="false" hidden="false" localSheetId="7" name="ess1___0" vbProcedure="false">#REF!</definedName>
    <definedName function="false" hidden="false" localSheetId="7" name="efgtyhjkoi___25" vbProcedure="false">'Data Mobile'!ExpandOutputs___23</definedName>
    <definedName function="false" hidden="false" localSheetId="7" name="ExpandOutputs___23" vbProcedure="false">'Data Mobile'!ExportFile___7</definedName>
    <definedName function="false" hidden="false" localSheetId="7" name="ExportFile___7" vbProcedure="false">'Data Mobile'!fffffffff___4</definedName>
    <definedName function="false" hidden="false" localSheetId="7" name="fffffffff___4" vbProcedure="false">'Data Mobile'!VolFactor___5/#REF!</definedName>
    <definedName function="false" hidden="false" localSheetId="7" name="efgtyhjkoi___26" vbProcedure="false">'Data Mobile'!ExpandOutputs___12</definedName>
    <definedName function="false" hidden="false" localSheetId="7" name="ExpandOutputs___12" vbProcedure="false">'Data Mobile'!F___2</definedName>
    <definedName function="false" hidden="false" localSheetId="7" name="F___2" vbProcedure="false">#REF!</definedName>
    <definedName function="false" hidden="false" localSheetId="7" name="efgtyhjkoi___27" vbProcedure="false">'Data Mobile'!ExpandOutputs___14</definedName>
    <definedName function="false" hidden="false" localSheetId="7" name="ExpandOutputs___14" vbProcedure="false">'Data Mobile'!F___25</definedName>
    <definedName function="false" hidden="false" localSheetId="7" name="F___25" vbProcedure="false">#REF!</definedName>
    <definedName function="false" hidden="false" localSheetId="7" name="efgtyhjkoi___3" vbProcedure="false">'Data Mobile'!ExpandOutputs___4</definedName>
    <definedName function="false" hidden="false" localSheetId="7" name="ExpandOutputs___4" vbProcedure="false">'data mobile'!excel_builtin_extract_0</definedName>
    <definedName function="false" hidden="false" localSheetId="7" name="efgtyhjkoi___4" vbProcedure="false">'Data Mobile'!ExpandOutputs___6</definedName>
    <definedName function="false" hidden="false" localSheetId="7" name="ExpandOutputs___6" vbProcedure="false">'Data Mobile'!ExportFile___26</definedName>
    <definedName function="false" hidden="false" localSheetId="7" name="ExportFile___26" vbProcedure="false">'Data Mobile'!fffffffff___16</definedName>
    <definedName function="false" hidden="false" localSheetId="7" name="fffffffff___16" vbProcedure="false">'Data Mobile'!VLastRowToPrint___7/#REF!</definedName>
    <definedName function="false" hidden="false" localSheetId="7" name="efgtyhjkoi___5" vbProcedure="false">'Data Mobile'!ExpandOutputs___2</definedName>
    <definedName function="false" hidden="false" localSheetId="7" name="ExpandOutputs___2" vbProcedure="false">'Data Mobile'!F___14</definedName>
    <definedName function="false" hidden="false" localSheetId="7" name="F___14" vbProcedure="false">#REF!</definedName>
    <definedName function="false" hidden="false" localSheetId="7" name="efgtyhjkoi___6" vbProcedure="false">'Data Mobile'!ess1___5</definedName>
    <definedName function="false" hidden="false" localSheetId="7" name="ess1___5" vbProcedure="false">#REF!</definedName>
    <definedName function="false" hidden="false" localSheetId="7" name="efgtyhjkoi___7" vbProcedure="false">'Data Mobile'!ExpandOutputs___27</definedName>
    <definedName function="false" hidden="false" localSheetId="7" name="ExpandOutputs___27" vbProcedure="false">'Data Mobile'!F___12</definedName>
    <definedName function="false" hidden="false" localSheetId="7" name="F___12" vbProcedure="false">#REF!</definedName>
    <definedName function="false" hidden="false" localSheetId="7" name="efgtyhjkoi___9" vbProcedure="false">'Data Mobile'!ExpandOutputs___16</definedName>
    <definedName function="false" hidden="false" localSheetId="7" name="ExpandOutputs___16" vbProcedure="false">'Data Mobile'!ExportFile___0</definedName>
    <definedName function="false" hidden="false" localSheetId="7" name="ExportFile___0" vbProcedure="false">'Data Mobile'!fffffffff___25</definedName>
    <definedName function="false" hidden="false" localSheetId="7" name="fffffffff___25" vbProcedure="false">'Data Mobile'!VolFactor___5/#REF!</definedName>
    <definedName function="false" hidden="false" localSheetId="7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Eighteen" vbProcedure="false">#REF!</definedName>
    <definedName function="false" hidden="false" localSheetId="7" name="ekrpzekpzork" vbProcedure="false">#REF!</definedName>
    <definedName function="false" hidden="false" localSheetId="7" name="ELIM1" vbProcedure="false">#REF!</definedName>
    <definedName function="false" hidden="false" localSheetId="7" name="emily" vbProcedure="false">{#N/A,#N/A,FALSE,"Calc";#N/A,#N/A,FALSE,"Sensitivity";#N/A,#N/A,FALSE,"LT Earn.Dil.";#N/A,#N/A,FALSE,"Dil. AVP"}</definedName>
    <definedName function="false" hidden="false" localSheetId="7" name="Emploi" vbProcedure="false">{"IS",#N/A,FALSE,"IS";"RPTIS",#N/A,FALSE,"RPTIS";"STATS",#N/A,FALSE,"STATS";"CELL",#N/A,FALSE,"CELL";"BS",#N/A,FALSE,"BS"}</definedName>
    <definedName function="false" hidden="false" localSheetId="7" name="enddate" vbProcedure="false">#REF!</definedName>
    <definedName function="false" hidden="false" localSheetId="7" name="ENT" vbProcedure="false">#REF!</definedName>
    <definedName function="false" hidden="false" localSheetId="7" name="ENT___0" vbProcedure="false">#REF!</definedName>
    <definedName function="false" hidden="false" localSheetId="7" name="ENT___12" vbProcedure="false">#REF!</definedName>
    <definedName function="false" hidden="false" localSheetId="7" name="ENT___14" vbProcedure="false">#REF!</definedName>
    <definedName function="false" hidden="false" localSheetId="7" name="ENT___16" vbProcedure="false">#REF!</definedName>
    <definedName function="false" hidden="false" localSheetId="7" name="ENT___2" vbProcedure="false">#REF!</definedName>
    <definedName function="false" hidden="false" localSheetId="7" name="ENT___25" vbProcedure="false">#REF!</definedName>
    <definedName function="false" hidden="false" localSheetId="7" name="ENT___26" vbProcedure="false">#REF!</definedName>
    <definedName function="false" hidden="false" localSheetId="7" name="ENT___27" vbProcedure="false">#REF!</definedName>
    <definedName function="false" hidden="false" localSheetId="7" name="ENT___4" vbProcedure="false">#REF!</definedName>
    <definedName function="false" hidden="false" localSheetId="7" name="ENT___5" vbProcedure="false">#REF!</definedName>
    <definedName function="false" hidden="false" localSheetId="7" name="ENT___7" vbProcedure="false">#REF!</definedName>
    <definedName function="false" hidden="false" localSheetId="7" name="EN__DH" vbProcedure="false">#REF!</definedName>
    <definedName function="false" hidden="false" localSheetId="7" name="EPart" vbProcedure="false">#REF!</definedName>
    <definedName function="false" hidden="false" localSheetId="7" name="EquityCost" vbProcedure="false">#REF!</definedName>
    <definedName function="false" hidden="false" localSheetId="7" name="EquityCost___0" vbProcedure="false">#REF!</definedName>
    <definedName function="false" hidden="false" localSheetId="7" name="EquityCost___12" vbProcedure="false">#REF!</definedName>
    <definedName function="false" hidden="false" localSheetId="7" name="EquityCost___14" vbProcedure="false">#REF!</definedName>
    <definedName function="false" hidden="false" localSheetId="7" name="EquityCost___16" vbProcedure="false">#REF!</definedName>
    <definedName function="false" hidden="false" localSheetId="7" name="EquityCost___2" vbProcedure="false">#REF!</definedName>
    <definedName function="false" hidden="false" localSheetId="7" name="EquityCost___25" vbProcedure="false">#REF!</definedName>
    <definedName function="false" hidden="false" localSheetId="7" name="EquityCost___26" vbProcedure="false">#REF!</definedName>
    <definedName function="false" hidden="false" localSheetId="7" name="EquityCost___27" vbProcedure="false">#REF!</definedName>
    <definedName function="false" hidden="false" localSheetId="7" name="EquityCost___4" vbProcedure="false">#REF!</definedName>
    <definedName function="false" hidden="false" localSheetId="7" name="EquityCost___5" vbProcedure="false">#REF!</definedName>
    <definedName function="false" hidden="false" localSheetId="7" name="EquityCost___7" vbProcedure="false">#REF!</definedName>
    <definedName function="false" hidden="false" localSheetId="7" name="ER" vbProcedure="false">#REF!</definedName>
    <definedName function="false" hidden="false" localSheetId="7" name="erer" vbProcedure="false">#N/A</definedName>
    <definedName function="false" hidden="false" localSheetId="7" name="ererer" vbProcedure="false">#REF!</definedName>
    <definedName function="false" hidden="false" localSheetId="7" name="erqt" vbProcedure="false">#N/A</definedName>
    <definedName function="false" hidden="false" localSheetId="7" name="erzerpzj" vbProcedure="false">#REF!</definedName>
    <definedName function="false" hidden="false" localSheetId="7" name="ess1___12" vbProcedure="false">#REF!</definedName>
    <definedName function="false" hidden="false" localSheetId="7" name="ess1___2" vbProcedure="false">#REF!</definedName>
    <definedName function="false" hidden="false" localSheetId="7" name="ess1___27" vbProcedure="false">#REF!</definedName>
    <definedName function="false" hidden="false" localSheetId="7" name="essais" vbProcedure="false">{#N/A,#N/A,FALSE,"F_Plan";#N/A,#N/A,FALSE,"Parameter"}</definedName>
    <definedName function="false" hidden="false" localSheetId="7" name="ESTIMATION" vbProcedure="false">#REF!</definedName>
    <definedName function="false" hidden="false" localSheetId="7" name="et" vbProcedure="false">{"IS",#N/A,FALSE,"IS";"RPTIS",#N/A,FALSE,"RPTIS";"STATS",#N/A,FALSE,"STATS";"BS",#N/A,FALSE,"BS"}</definedName>
    <definedName function="false" hidden="false" localSheetId="7" name="ETC_Estimate_to_Completion" vbProcedure="false">#REF!</definedName>
    <definedName function="false" hidden="false" localSheetId="7" name="euro" vbProcedure="false">#REF!</definedName>
    <definedName function="false" hidden="false" localSheetId="7" name="EValue" vbProcedure="false">#REF!</definedName>
    <definedName function="false" hidden="false" localSheetId="7" name="EV_Earned_Value" vbProcedure="false">#REF!</definedName>
    <definedName function="false" hidden="false" localSheetId="7" name="EX" vbProcedure="false">#N/A</definedName>
    <definedName function="false" hidden="false" localSheetId="7" name="Excel_BuiltIn_Recorder_0" vbProcedure="false">#REF!</definedName>
    <definedName function="false" hidden="false" localSheetId="7" name="Excel_BuiltIn_Recorder_12" vbProcedure="false">#REF!</definedName>
    <definedName function="false" hidden="false" localSheetId="7" name="Excel_BuiltIn_Recorder_14" vbProcedure="false">#REF!</definedName>
    <definedName function="false" hidden="false" localSheetId="7" name="Excel_BuiltIn_Recorder_16" vbProcedure="false">#REF!</definedName>
    <definedName function="false" hidden="false" localSheetId="7" name="Excel_BuiltIn_Recorder_2" vbProcedure="false">#REF!</definedName>
    <definedName function="false" hidden="false" localSheetId="7" name="Excel_BuiltIn_Recorder_27" vbProcedure="false">#REF!</definedName>
    <definedName function="false" hidden="false" localSheetId="7" name="Excel_BuiltIn_Recorder_5" vbProcedure="false">#REF!</definedName>
    <definedName function="false" hidden="false" localSheetId="7" name="Excel_BuiltIn_Recorder_6" vbProcedure="false">#REF!</definedName>
    <definedName function="false" hidden="false" localSheetId="7" name="ExpandOutputs" vbProcedure="false">#N/A</definedName>
    <definedName function="false" hidden="false" localSheetId="7" name="ExpandOutputs___0" vbProcedure="false">'Data Mobile'!F___7</definedName>
    <definedName function="false" hidden="false" localSheetId="7" name="F___7" vbProcedure="false">#REF!</definedName>
    <definedName function="false" hidden="false" localSheetId="7" name="ExpandOutputs___26" vbProcedure="false">'Data Mobile'!F___5</definedName>
    <definedName function="false" hidden="false" localSheetId="7" name="F___5" vbProcedure="false">#REF!</definedName>
    <definedName function="false" hidden="false" localSheetId="7" name="ExpandOutputs___7" vbProcedure="false">'Data Mobile'!F___26</definedName>
    <definedName function="false" hidden="false" localSheetId="7" name="F___26" vbProcedure="false">#REF!</definedName>
    <definedName function="false" hidden="false" localSheetId="7" name="ExpandVPeriods" vbProcedure="false">#N/A</definedName>
    <definedName function="false" hidden="false" localSheetId="7" name="ExpandVPeriods___0" vbProcedure="false">'Data Mobile'!ffff___4</definedName>
    <definedName function="false" hidden="false" localSheetId="7" name="ffff___4" vbProcedure="false">O___0*#REF!</definedName>
    <definedName function="false" hidden="false" localSheetId="7" name="ExpandVPeriods___12" vbProcedure="false">'Data Mobile'!F_SMS_Data___0</definedName>
    <definedName function="false" hidden="false" localSheetId="7" name="F_SMS_Data___0" vbProcedure="false">#REF!</definedName>
    <definedName function="false" hidden="false" localSheetId="7" name="ExpandVPeriods___14" vbProcedure="false">'Data Mobile'!F_SMS_Data___26</definedName>
    <definedName function="false" hidden="false" localSheetId="7" name="F_SMS_Data___26" vbProcedure="false">#REF!</definedName>
    <definedName function="false" hidden="false" localSheetId="7" name="ExpandVPeriods___16" vbProcedure="false">'Data Mobile'!F_SMS_Data___14</definedName>
    <definedName function="false" hidden="false" localSheetId="7" name="F_SMS_Data___14" vbProcedure="false">#REF!</definedName>
    <definedName function="false" hidden="false" localSheetId="7" name="ExpandVPeriods___2" vbProcedure="false">'Data Mobile'!F_SMS_Data___7</definedName>
    <definedName function="false" hidden="false" localSheetId="7" name="F_SMS_Data___7" vbProcedure="false">#REF!</definedName>
    <definedName function="false" hidden="false" localSheetId="7" name="ExpandVPeriods___23" vbProcedure="false">'Data Mobile'!F_SMS_Data___16</definedName>
    <definedName function="false" hidden="false" localSheetId="7" name="F_SMS_Data___16" vbProcedure="false">#REF!</definedName>
    <definedName function="false" hidden="false" localSheetId="7" name="ExpandVPeriods___25" vbProcedure="false">'Data Mobile'!F_SMS_Data___12</definedName>
    <definedName function="false" hidden="false" localSheetId="7" name="F_SMS_Data___12" vbProcedure="false">#REF!</definedName>
    <definedName function="false" hidden="false" localSheetId="7" name="ExpandVPeriods___26" vbProcedure="false">'Data Mobile'!ffff___23</definedName>
    <definedName function="false" hidden="false" localSheetId="7" name="ffff___23" vbProcedure="false">O___0*#REF!</definedName>
    <definedName function="false" hidden="false" localSheetId="7" name="ExpandVPeriods___3" vbProcedure="false">'Data Mobile'!F_SMS_Data___5</definedName>
    <definedName function="false" hidden="false" localSheetId="7" name="F_SMS_Data___5" vbProcedure="false">#REF!</definedName>
    <definedName function="false" hidden="false" localSheetId="7" name="ExpandVPeriods___4" vbProcedure="false">'Data Mobile'!F_SMS_Data___2</definedName>
    <definedName function="false" hidden="false" localSheetId="7" name="F_SMS_Data___2" vbProcedure="false">#REF!</definedName>
    <definedName function="false" hidden="false" localSheetId="7" name="ExpandVPeriods___5" vbProcedure="false">'Data Mobile'!ffff___6</definedName>
    <definedName function="false" hidden="false" localSheetId="7" name="ffff___6" vbProcedure="false">'Data Mobile'!Num_premier_paiement___0*#REF!</definedName>
    <definedName function="false" hidden="false" localSheetId="7" name="ExpandVPeriods___7" vbProcedure="false">'data mobile'!ffff___16</definedName>
    <definedName function="false" hidden="false" localSheetId="7" name="ExpandVPeriods___9" vbProcedure="false">'Data Mobile'!F_SMS_Data___27</definedName>
    <definedName function="false" hidden="false" localSheetId="7" name="F_SMS_Data___27" vbProcedure="false">#REF!</definedName>
    <definedName function="false" hidden="false" localSheetId="7" name="ExportFile" vbProcedure="false">#N/A</definedName>
    <definedName function="false" hidden="false" localSheetId="7" name="ExportFile___14" vbProcedure="false">'Data Mobile'!ffff___7</definedName>
    <definedName function="false" hidden="false" localSheetId="7" name="ffff___7" vbProcedure="false">O___0*#REF!</definedName>
    <definedName function="false" hidden="false" localSheetId="7" name="ExportFile___16" vbProcedure="false">'Data Mobile'!ffff___2</definedName>
    <definedName function="false" hidden="false" localSheetId="7" name="ffff___2" vbProcedure="false">O___0*#REF!</definedName>
    <definedName function="false" hidden="false" localSheetId="7" name="ExportFile___2" vbProcedure="false">'Data Mobile'!ffff___0</definedName>
    <definedName function="false" hidden="false" localSheetId="7" name="ffff___0" vbProcedure="false">O___0*#REF!</definedName>
    <definedName function="false" hidden="false" localSheetId="7" name="ExportFile___23" vbProcedure="false">'Data Mobile'!ffff___14</definedName>
    <definedName function="false" hidden="false" localSheetId="7" name="ffff___14" vbProcedure="false">'Data Mobile'!O___25*#REF!</definedName>
    <definedName function="false" hidden="false" localSheetId="7" name="ExportFile___25" vbProcedure="false">'Data Mobile'!ffff___27</definedName>
    <definedName function="false" hidden="false" localSheetId="7" name="ffff___27" vbProcedure="false">O___27*#REF!</definedName>
    <definedName function="false" hidden="false" localSheetId="7" name="ExportFile___27" vbProcedure="false">'Data Mobile'!fffffffff___6</definedName>
    <definedName function="false" hidden="false" localSheetId="7" name="fffffffff___6" vbProcedure="false">'Data Mobile'!VLastRowToPrint___26/#REF!</definedName>
    <definedName function="false" hidden="false" localSheetId="7" name="ExportFile___3" vbProcedure="false">'Data Mobile'!ffff___26</definedName>
    <definedName function="false" hidden="false" localSheetId="7" name="ffff___26" vbProcedure="false">O___0*#REF!</definedName>
    <definedName function="false" hidden="false" localSheetId="7" name="ExportFile___4" vbProcedure="false">'Data Mobile'!ffff___12</definedName>
    <definedName function="false" hidden="false" localSheetId="7" name="ffff___12" vbProcedure="false">'Data Mobile'!O___12*#REF!</definedName>
    <definedName function="false" hidden="false" localSheetId="7" name="ExportFile___5" vbProcedure="false">'Data Mobile'!fffffffff___23</definedName>
    <definedName function="false" hidden="false" localSheetId="7" name="fffffffff___23" vbProcedure="false">'Data Mobile'!VolFactor___5/#REF!</definedName>
    <definedName function="false" hidden="false" localSheetId="7" name="ExportFile___6" vbProcedure="false">'Data Mobile'!ffff___3</definedName>
    <definedName function="false" hidden="false" localSheetId="7" name="ffff___3" vbProcedure="false">O___0*#REF!</definedName>
    <definedName function="false" hidden="false" localSheetId="7" name="ExportFile___9" vbProcedure="false">'Data Mobile'!ffff___5</definedName>
    <definedName function="false" hidden="false" localSheetId="7" name="ffff___5" vbProcedure="false">O___5*#REF!</definedName>
    <definedName function="false" hidden="false" localSheetId="7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eyr" vbProcedure="false">{"hiden",#N/A,FALSE,"14";"hidden",#N/A,FALSE,"16";"hidden",#N/A,FALSE,"18";"hidden",#N/A,FALSE,"20"}</definedName>
    <definedName function="false" hidden="false" localSheetId="7" name="EZ" vbProcedure="false">#REF!</definedName>
    <definedName function="false" hidden="false" localSheetId="7" name="E_Comm_Perso" vbProcedure="false">#REF!</definedName>
    <definedName function="false" hidden="false" localSheetId="7" name="E_Comm_Perso___0" vbProcedure="false">#REF!</definedName>
    <definedName function="false" hidden="false" localSheetId="7" name="E_Comm_Perso___12" vbProcedure="false">#REF!</definedName>
    <definedName function="false" hidden="false" localSheetId="7" name="E_Comm_Perso___14" vbProcedure="false">#REF!</definedName>
    <definedName function="false" hidden="false" localSheetId="7" name="E_Comm_Perso___16" vbProcedure="false">#REF!</definedName>
    <definedName function="false" hidden="false" localSheetId="7" name="E_Comm_Perso___2" vbProcedure="false">#REF!</definedName>
    <definedName function="false" hidden="false" localSheetId="7" name="E_Comm_Perso___26" vbProcedure="false">#REF!</definedName>
    <definedName function="false" hidden="false" localSheetId="7" name="E_Comm_Perso___27" vbProcedure="false">#REF!</definedName>
    <definedName function="false" hidden="false" localSheetId="7" name="E_Comm_Perso___5" vbProcedure="false">#REF!</definedName>
    <definedName function="false" hidden="false" localSheetId="7" name="E_Comm_Perso___7" vbProcedure="false">#REF!</definedName>
    <definedName function="false" hidden="false" localSheetId="7" name="E_ThirtyFiveHundred" vbProcedure="false">#REF!</definedName>
    <definedName function="false" hidden="false" localSheetId="7" name="E___12" vbProcedure="false">#REF!</definedName>
    <definedName function="false" hidden="false" localSheetId="7" name="E___2" vbProcedure="false">#REF!</definedName>
    <definedName function="false" hidden="false" localSheetId="7" name="E___25" vbProcedure="false">#REF!</definedName>
    <definedName function="false" hidden="false" localSheetId="7" name="E___26" vbProcedure="false">#REF!</definedName>
    <definedName function="false" hidden="false" localSheetId="7" name="E___4" vbProcedure="false">#REF!</definedName>
    <definedName function="false" hidden="false" localSheetId="7" name="E___6" vbProcedure="false">#REF!</definedName>
    <definedName function="false" hidden="false" localSheetId="7" name="E___7" vbProcedure="false">#REF!</definedName>
    <definedName function="false" hidden="false" localSheetId="7" name="F" vbProcedure="false">#REF!</definedName>
    <definedName function="false" hidden="false" localSheetId="7" name="face" vbProcedure="false">#REF!</definedName>
    <definedName function="false" hidden="false" localSheetId="7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fdd" vbProcedure="false">#N/A</definedName>
    <definedName function="false" hidden="false" localSheetId="7" name="fddr" vbProcedure="false">#N/A</definedName>
    <definedName function="false" hidden="false" localSheetId="7" name="fdggh" vbProcedure="false">#N/A</definedName>
    <definedName function="false" hidden="false" localSheetId="7" name="FDGHS" vbProcedure="false">#N/A</definedName>
    <definedName function="false" hidden="false" localSheetId="7" name="fdgqsjsbc" vbProcedure="false">#N/A</definedName>
    <definedName function="false" hidden="false" localSheetId="7" name="fdhedtbfc" vbProcedure="false">#N/A</definedName>
    <definedName function="false" hidden="false" localSheetId="7" name="fdhfdh" vbProcedure="false">{"First Page",#N/A,FALSE,"Surfactants LBO";"Second Page",#N/A,FALSE,"Surfactants LBO"}</definedName>
    <definedName function="false" hidden="false" localSheetId="7" name="fdhfghfdh" vbProcedure="false">{"First Page",#N/A,FALSE,"Surfactants LBO";"Second Page",#N/A,FALSE,"Surfactants LBO"}</definedName>
    <definedName function="false" hidden="false" localSheetId="7" name="February" vbProcedure="false">#REF!</definedName>
    <definedName function="false" hidden="false" localSheetId="7" name="fegc" vbProcedure="false">#N/A</definedName>
    <definedName function="false" hidden="false" localSheetId="7" name="fev" vbProcedure="false">#REF!</definedName>
    <definedName function="false" hidden="false" localSheetId="7" name="Fevrier" vbProcedure="false">#REF!</definedName>
    <definedName function="false" hidden="false" localSheetId="7" name="fevruer" vbProcedure="false">#N/A</definedName>
    <definedName function="false" hidden="false" localSheetId="7" name="fff" vbProcedure="false">'Data Mobile'!Tx_intérêt_par_an/#REF!</definedName>
    <definedName function="false" hidden="false" localSheetId="7" name="ffff" vbProcedure="false">'Data Mobile'!Nb_de_paiements_par_an*#REF!</definedName>
    <definedName function="false" hidden="false" localSheetId="7" name="fffffffff" vbProcedure="false">'Data Mobile'!Tx_intérêt_par_an/#REF!</definedName>
    <definedName function="false" hidden="false" localSheetId="7" name="fffffffff___0" vbProcedure="false">'Data Mobile'!VolFactor___5/#REF!</definedName>
    <definedName function="false" hidden="false" localSheetId="7" name="fffffffff___12" vbProcedure="false">'Data Mobile'!VolFactor___25/#REF!</definedName>
    <definedName function="false" hidden="false" localSheetId="7" name="fffffffff___14" vbProcedure="false">'Data Mobile'!VolFactor___16/#REF!</definedName>
    <definedName function="false" hidden="false" localSheetId="7" name="fffffffff___2" vbProcedure="false">'Data Mobile'!VolFactor___5/#REF!</definedName>
    <definedName function="false" hidden="false" localSheetId="7" name="fffffffff___26" vbProcedure="false">'Data Mobile'!VolFactor___5/#REF!</definedName>
    <definedName function="false" hidden="false" localSheetId="7" name="fffffffff___27" vbProcedure="false">'Data Mobile'!VolFactor___14/#REF!</definedName>
    <definedName function="false" hidden="false" localSheetId="7" name="fffffffff___3" vbProcedure="false">'Data Mobile'!VolFactor___5/#REF!</definedName>
    <definedName function="false" hidden="false" localSheetId="7" name="fffffffff___5" vbProcedure="false">'Data Mobile'!VolFactor___2/#REF!</definedName>
    <definedName function="false" hidden="false" localSheetId="7" name="fffffffff___7" vbProcedure="false">'Data Mobile'!VolFactor___5/#REF!</definedName>
    <definedName function="false" hidden="false" localSheetId="7" name="fffffffff___9" vbProcedure="false">'Data Mobile'!VolFactor___5/#REF!</definedName>
    <definedName function="false" hidden="false" localSheetId="7" name="ffff___25" vbProcedure="false">O___0*#REF!</definedName>
    <definedName function="false" hidden="false" localSheetId="7" name="ffff___9" vbProcedure="false">O___0*#REF!</definedName>
    <definedName function="false" hidden="false" localSheetId="7" name="fffs" vbProcedure="false">{"IS",#N/A,FALSE,"IS";"RPTIS",#N/A,FALSE,"RPTIS";"STATS",#N/A,FALSE,"STATS";"CELL",#N/A,FALSE,"CELL";"BS",#N/A,FALSE,"BS"}</definedName>
    <definedName function="false" hidden="false" localSheetId="7" name="FG" vbProcedure="false">#N/A</definedName>
    <definedName function="false" hidden="false" localSheetId="7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7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fghdgfhdf" vbProcedure="false">{#N/A,#N/A,TRUE,"Cover sheet";#N/A,#N/A,TRUE,"DCF analysis";#N/A,#N/A,TRUE,"WACC calculation"}</definedName>
    <definedName function="false" hidden="false" localSheetId="7" name="FG___0" vbProcedure="false">'Data Mobile'!G___7</definedName>
    <definedName function="false" hidden="false" localSheetId="7" name="G___7" vbProcedure="false">#REF!</definedName>
    <definedName function="false" hidden="false" localSheetId="7" name="FG___12" vbProcedure="false">'Data Mobile'!G___2</definedName>
    <definedName function="false" hidden="false" localSheetId="7" name="G___2" vbProcedure="false">#REF!</definedName>
    <definedName function="false" hidden="false" localSheetId="7" name="FG___14" vbProcedure="false">'Data Mobile'!G___14</definedName>
    <definedName function="false" hidden="false" localSheetId="7" name="G___14" vbProcedure="false">#REF!</definedName>
    <definedName function="false" hidden="false" localSheetId="7" name="FG___16" vbProcedure="false">'Data Mobile'!G___16</definedName>
    <definedName function="false" hidden="false" localSheetId="7" name="G___16" vbProcedure="false">#REF!</definedName>
    <definedName function="false" hidden="false" localSheetId="7" name="FG___25" vbProcedure="false">'Data Mobile'!G___4</definedName>
    <definedName function="false" hidden="false" localSheetId="7" name="G___4" vbProcedure="false">#REF!</definedName>
    <definedName function="false" hidden="false" localSheetId="7" name="FG___26" vbProcedure="false">'Data Mobile'!G___5</definedName>
    <definedName function="false" hidden="false" localSheetId="7" name="G___5" vbProcedure="false">#REF!</definedName>
    <definedName function="false" hidden="false" localSheetId="7" name="FG___27" vbProcedure="false">'Data Mobile'!G___12</definedName>
    <definedName function="false" hidden="false" localSheetId="7" name="G___12" vbProcedure="false">#REF!</definedName>
    <definedName function="false" hidden="false" localSheetId="7" name="FG___5" vbProcedure="false">'Data Mobile'!G___27</definedName>
    <definedName function="false" hidden="false" localSheetId="7" name="G___27" vbProcedure="false">#REF!</definedName>
    <definedName function="false" hidden="false" localSheetId="7" name="FG___7" vbProcedure="false">'Data Mobile'!G___26</definedName>
    <definedName function="false" hidden="false" localSheetId="7" name="G___26" vbProcedure="false">#REF!</definedName>
    <definedName function="false" hidden="false" localSheetId="7" name="FG___9" vbProcedure="false">'Data Mobile'!G___25</definedName>
    <definedName function="false" hidden="false" localSheetId="7" name="G___25" vbProcedure="false">#REF!</definedName>
    <definedName function="false" hidden="false" localSheetId="7" name="fiche" vbProcedure="false">#REF!</definedName>
    <definedName function="false" hidden="false" localSheetId="7" name="fichexpliq_EVOSB" vbProcedure="false">#REF!</definedName>
    <definedName function="false" hidden="false" localSheetId="7" name="FirstProjYr" vbProcedure="false">#REF!</definedName>
    <definedName function="false" hidden="false" localSheetId="7" name="FirstProjYr___0" vbProcedure="false">#REF!</definedName>
    <definedName function="false" hidden="false" localSheetId="7" name="FirstProjYr___12" vbProcedure="false">#REF!</definedName>
    <definedName function="false" hidden="false" localSheetId="7" name="FirstProjYr___14" vbProcedure="false">#REF!</definedName>
    <definedName function="false" hidden="false" localSheetId="7" name="FirstProjYr___16" vbProcedure="false">#REF!</definedName>
    <definedName function="false" hidden="false" localSheetId="7" name="FirstProjYr___2" vbProcedure="false">#REF!</definedName>
    <definedName function="false" hidden="false" localSheetId="7" name="FirstProjYr___25" vbProcedure="false">#REF!</definedName>
    <definedName function="false" hidden="false" localSheetId="7" name="FirstProjYr___26" vbProcedure="false">#REF!</definedName>
    <definedName function="false" hidden="false" localSheetId="7" name="FirstProjYr___27" vbProcedure="false">#REF!</definedName>
    <definedName function="false" hidden="false" localSheetId="7" name="FirstProjYr___4" vbProcedure="false">#REF!</definedName>
    <definedName function="false" hidden="false" localSheetId="7" name="FirstProjYr___5" vbProcedure="false">#REF!</definedName>
    <definedName function="false" hidden="false" localSheetId="7" name="FirstProjYr___7" vbProcedure="false">#REF!</definedName>
    <definedName function="false" hidden="false" localSheetId="7" name="forecast" vbProcedure="false">OFFSET('Data Mobile'!CompRange1Main,9,0,COUNTA('Data Mobile'!CompRange1Main)-COUNTA(#REF!),1)</definedName>
    <definedName function="false" hidden="false" localSheetId="7" name="FP" vbProcedure="false">#REF!</definedName>
    <definedName function="false" hidden="false" localSheetId="7" name="fpaout" vbProcedure="false">#N/A</definedName>
    <definedName function="false" hidden="false" localSheetId="7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FraisRaccAbon" vbProcedure="false">#REF!</definedName>
    <definedName function="false" hidden="false" localSheetId="7" name="FraisRaccAbon___0" vbProcedure="false">#REF!</definedName>
    <definedName function="false" hidden="false" localSheetId="7" name="FraisRaccAbon___12" vbProcedure="false">#REF!</definedName>
    <definedName function="false" hidden="false" localSheetId="7" name="FraisRaccAbon___14" vbProcedure="false">#REF!</definedName>
    <definedName function="false" hidden="false" localSheetId="7" name="FraisRaccAbon___16" vbProcedure="false">#REF!</definedName>
    <definedName function="false" hidden="false" localSheetId="7" name="FraisRaccAbon___2" vbProcedure="false">#REF!</definedName>
    <definedName function="false" hidden="false" localSheetId="7" name="FraisRaccAbon___25" vbProcedure="false">#REF!</definedName>
    <definedName function="false" hidden="false" localSheetId="7" name="FraisRaccAbon___26" vbProcedure="false">#REF!</definedName>
    <definedName function="false" hidden="false" localSheetId="7" name="FraisRaccAbon___27" vbProcedure="false">#REF!</definedName>
    <definedName function="false" hidden="false" localSheetId="7" name="FraisRaccAbon___4" vbProcedure="false">#REF!</definedName>
    <definedName function="false" hidden="false" localSheetId="7" name="FraisRaccAbon___5" vbProcedure="false">#REF!</definedName>
    <definedName function="false" hidden="false" localSheetId="7" name="FraisRaccAbon___7" vbProcedure="false">#REF!</definedName>
    <definedName function="false" hidden="false" localSheetId="7" name="Frank" vbProcedure="false">{#N/A,#N/A,TRUE,"Cover sheet";#N/A,#N/A,TRUE,"DCF analysis";#N/A,#N/A,TRUE,"WACC calculation"}</definedName>
    <definedName function="false" hidden="false" localSheetId="7" name="frde" vbProcedure="false">#REF!</definedName>
    <definedName function="false" hidden="false" localSheetId="7" name="FTK" vbProcedure="false">#REF!</definedName>
    <definedName function="false" hidden="false" localSheetId="7" name="fuffuy" vbProcedure="false">{#N/A,#N/A,FALSE,"Cover";"outputs total",#N/A,FALSE,"Outputs"}</definedName>
    <definedName function="false" hidden="false" localSheetId="7" name="fzrs" vbProcedure="false">#N/A</definedName>
    <definedName function="false" hidden="false" localSheetId="7" name="F_SMS_Data" vbProcedure="false">#REF!</definedName>
    <definedName function="false" hidden="false" localSheetId="7" name="F___0" vbProcedure="false">#REF!</definedName>
    <definedName function="false" hidden="false" localSheetId="7" name="G" vbProcedure="false">#REF!</definedName>
    <definedName function="false" hidden="false" localSheetId="7" name="gaga" vbProcedure="false">{#N/A,#N/A,TRUE,"Cover sheet";#N/A,#N/A,TRUE,"INPUTS";#N/A,#N/A,TRUE,"OUTPUTS";#N/A,#N/A,TRUE,"VALUATION"}</definedName>
    <definedName function="false" hidden="false" localSheetId="7" name="GBP" vbProcedure="false">#REF!</definedName>
    <definedName function="false" hidden="false" localSheetId="7" name="GDFH" vbProcedure="false">#N/A</definedName>
    <definedName function="false" hidden="false" localSheetId="7" name="gdfjfg" vbProcedure="false">#N/A</definedName>
    <definedName function="false" hidden="false" localSheetId="7" name="gdhdj" vbProcedure="false">#N/A</definedName>
    <definedName function="false" hidden="false" localSheetId="7" name="gdsfg" vbProcedure="false">{#N/A,#N/A,TRUE,"Cover sheet";#N/A,#N/A,TRUE,"INPUTS";#N/A,#N/A,TRUE,"OUTPUTS";#N/A,#N/A,TRUE,"VALUATION"}</definedName>
    <definedName function="false" hidden="false" localSheetId="7" name="gdsh" vbProcedure="false">#N/A</definedName>
    <definedName function="false" hidden="false" localSheetId="7" name="gf" vbProcedure="false">{"IS",#N/A,FALSE,"IS";"RPTIS",#N/A,FALSE,"RPTIS";"STATS",#N/A,FALSE,"STATS";"CELL",#N/A,FALSE,"CELL";"BS",#N/A,FALSE,"BS"}</definedName>
    <definedName function="false" hidden="false" localSheetId="7" name="gfdgfdfhfgh" vbProcedure="false">#N/A</definedName>
    <definedName function="false" hidden="false" localSheetId="7" name="gfdgfdfhfgh___0" vbProcedure="false">'Data Mobile'!HardCodedEquityCost___12</definedName>
    <definedName function="false" hidden="false" localSheetId="7" name="HardCodedEquityCost___12" vbProcedure="false">#REF!</definedName>
    <definedName function="false" hidden="false" localSheetId="7" name="gfdgfdfhfgh___12" vbProcedure="false">'Data Mobile'!HardCodedEquityCost___16</definedName>
    <definedName function="false" hidden="false" localSheetId="7" name="HardCodedEquityCost___16" vbProcedure="false">#REF!</definedName>
    <definedName function="false" hidden="false" localSheetId="7" name="gfdgfdfhfgh___14" vbProcedure="false">'Data Mobile'!HardCodedATDebtCost___0</definedName>
    <definedName function="false" hidden="false" localSheetId="7" name="HardCodedATDebtCost___0" vbProcedure="false">#REF!</definedName>
    <definedName function="false" hidden="false" localSheetId="7" name="gfdgfdfhfgh___16" vbProcedure="false">'Data Mobile'!HardCodedATDebtCost___12</definedName>
    <definedName function="false" hidden="false" localSheetId="7" name="HardCodedATDebtCost___12" vbProcedure="false">#REF!</definedName>
    <definedName function="false" hidden="false" localSheetId="7" name="gfdgfdfhfgh___23" vbProcedure="false">'Data Mobile'!HardCodedATDebtCost___2</definedName>
    <definedName function="false" hidden="false" localSheetId="7" name="HardCodedATDebtCost___2" vbProcedure="false">#REF!</definedName>
    <definedName function="false" hidden="false" localSheetId="7" name="gfdgfdfhfgh___25" vbProcedure="false">'Data Mobile'!HardCodedATDebtCost___5</definedName>
    <definedName function="false" hidden="false" localSheetId="7" name="HardCodedATDebtCost___5" vbProcedure="false">#REF!</definedName>
    <definedName function="false" hidden="false" localSheetId="7" name="gfdgfdfhfgh___26" vbProcedure="false">'Data Mobile'!HardCodedEquityCost___14</definedName>
    <definedName function="false" hidden="false" localSheetId="7" name="HardCodedEquityCost___14" vbProcedure="false">#REF!</definedName>
    <definedName function="false" hidden="false" localSheetId="7" name="gfdgfdfhfgh___27" vbProcedure="false">'Data Mobile'!HardCodedEquityCost___4</definedName>
    <definedName function="false" hidden="false" localSheetId="7" name="HardCodedEquityCost___4" vbProcedure="false">#REF!</definedName>
    <definedName function="false" hidden="false" localSheetId="7" name="gfdgfdfhfgh___3" vbProcedure="false">'Data Mobile'!HardCodedATDebtCost___7</definedName>
    <definedName function="false" hidden="false" localSheetId="7" name="HardCodedATDebtCost___7" vbProcedure="false">#REF!</definedName>
    <definedName function="false" hidden="false" localSheetId="7" name="gfdgfdfhfgh___4" vbProcedure="false">'Data Mobile'!HardCodedATDebtCost___27</definedName>
    <definedName function="false" hidden="false" localSheetId="7" name="HardCodedATDebtCost___27" vbProcedure="false">#REF!</definedName>
    <definedName function="false" hidden="false" localSheetId="7" name="gfdgfdfhfgh___5" vbProcedure="false">'Data Mobile'!HardCodedEquityCost___25</definedName>
    <definedName function="false" hidden="false" localSheetId="7" name="HardCodedEquityCost___25" vbProcedure="false">#REF!</definedName>
    <definedName function="false" hidden="false" localSheetId="7" name="gfdgfdfhfgh___6" vbProcedure="false">'Data Mobile'!HardCodedATDebtCost___14</definedName>
    <definedName function="false" hidden="false" localSheetId="7" name="HardCodedATDebtCost___14" vbProcedure="false">#REF!</definedName>
    <definedName function="false" hidden="false" localSheetId="7" name="gfdgfdfhfgh___7" vbProcedure="false">'Data Mobile'!HardCodedEquityCost___2</definedName>
    <definedName function="false" hidden="false" localSheetId="7" name="HardCodedEquityCost___2" vbProcedure="false">#REF!</definedName>
    <definedName function="false" hidden="false" localSheetId="7" name="gfdgfdfhfgh___9" vbProcedure="false">'Data Mobile'!HardCodedATDebtCost___26</definedName>
    <definedName function="false" hidden="false" localSheetId="7" name="HardCodedATDebtCost___26" vbProcedure="false">#REF!</definedName>
    <definedName function="false" hidden="false" localSheetId="7" name="gfhfdl" vbProcedure="false">#N/A</definedName>
    <definedName function="false" hidden="false" localSheetId="7" name="gfhfj" vbProcedure="false">#N/A</definedName>
    <definedName function="false" hidden="false" localSheetId="7" name="GFHGFHFGH" vbProcedure="false">#REF!</definedName>
    <definedName function="false" hidden="false" localSheetId="7" name="GFYT" vbProcedure="false">#REF!</definedName>
    <definedName function="false" hidden="false" localSheetId="7" name="GFYT___0" vbProcedure="false">#REF!</definedName>
    <definedName function="false" hidden="false" localSheetId="7" name="GFYT___12" vbProcedure="false">#REF!</definedName>
    <definedName function="false" hidden="false" localSheetId="7" name="GFYT___6" vbProcedure="false">#REF!</definedName>
    <definedName function="false" hidden="false" localSheetId="7" name="gg" vbProcedure="false">#N/A</definedName>
    <definedName function="false" hidden="false" localSheetId="7" name="GGDHK" vbProcedure="false">#N/A</definedName>
    <definedName function="false" hidden="false" localSheetId="7" name="ggf" vbProcedure="false">{"comps",#N/A,FALSE,"comps";"notes",#N/A,FALSE,"comps"}</definedName>
    <definedName function="false" hidden="false" localSheetId="7" name="GH" vbProcedure="false">#N/A</definedName>
    <definedName function="false" hidden="false" localSheetId="7" name="ghb" vbProcedure="false">#REF!</definedName>
    <definedName function="false" hidden="false" localSheetId="7" name="GHFBD" vbProcedure="false">#N/A</definedName>
    <definedName function="false" hidden="false" localSheetId="7" name="GHFHGFHTYU" vbProcedure="false">#REF!</definedName>
    <definedName function="false" hidden="false" localSheetId="7" name="ghfjd" vbProcedure="false">#N/A</definedName>
    <definedName function="false" hidden="false" localSheetId="7" name="ghghgh" vbProcedure="false">{#N/A,#N/A,TRUE,"Cover sheet";#N/A,#N/A,TRUE,"DCF analysis";#N/A,#N/A,TRUE,"WACC calculation"}</definedName>
    <definedName function="false" hidden="false" localSheetId="7" name="ghghghghg" vbProcedure="false">{#N/A,#N/A,TRUE,"Cover sheet";#N/A,#N/A,TRUE,"DCF analysis";#N/A,#N/A,TRUE,"WACC calculation"}</definedName>
    <definedName function="false" hidden="false" localSheetId="7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7" name="gogo" vbProcedure="false">{#N/A,#N/A,TRUE,"Cover sheet";#N/A,#N/A,TRUE,"INPUTS";#N/A,#N/A,TRUE,"OUTPUTS";#N/A,#N/A,TRUE,"VALUATION"}</definedName>
    <definedName function="false" hidden="false" localSheetId="7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7" name="GPRS" vbProcedure="false">#REF!</definedName>
    <definedName function="false" hidden="false" localSheetId="7" name="gs" vbProcedure="false">{"IS",#N/A,FALSE,"IS";"RPTIS",#N/A,FALSE,"RPTIS";"STATS",#N/A,FALSE,"STATS";"CELL",#N/A,FALSE,"CELL";"BS",#N/A,FALSE,"BS"}</definedName>
    <definedName function="false" hidden="false" localSheetId="7" name="GSM" vbProcedure="false">#REF!</definedName>
    <definedName function="false" hidden="false" localSheetId="7" name="GSN_HARDWARE" vbProcedure="false">#REF!</definedName>
    <definedName function="false" hidden="false" localSheetId="7" name="GSN_SOFTWARE" vbProcedure="false">#REF!</definedName>
    <definedName function="false" hidden="false" localSheetId="7" name="GSS" vbProcedure="false">#REF!</definedName>
    <definedName function="false" hidden="false" localSheetId="7" name="GSTG" vbProcedure="false">#REF!</definedName>
    <definedName function="false" hidden="false" localSheetId="7" name="gtf" vbProcedure="false">#REF!</definedName>
    <definedName function="false" hidden="false" localSheetId="7" name="gtfr" vbProcedure="false">#REF!</definedName>
    <definedName function="false" hidden="false" localSheetId="7" name="gtr" vbProcedure="false">{"print 1",#N/A,FALSE,"PrimeCo PCS";"print 2",#N/A,FALSE,"PrimeCo PCS";"valuation",#N/A,FALSE,"PrimeCo PCS"}</definedName>
    <definedName function="false" hidden="false" localSheetId="7" name="G_Terminaux_SIM" vbProcedure="false">#REF!</definedName>
    <definedName function="false" hidden="false" localSheetId="7" name="G_Terminaux_SIM___0" vbProcedure="false">#REF!</definedName>
    <definedName function="false" hidden="false" localSheetId="7" name="G_Terminaux_SIM___12" vbProcedure="false">#REF!</definedName>
    <definedName function="false" hidden="false" localSheetId="7" name="G_Terminaux_SIM___14" vbProcedure="false">#REF!</definedName>
    <definedName function="false" hidden="false" localSheetId="7" name="G_Terminaux_SIM___16" vbProcedure="false">#REF!</definedName>
    <definedName function="false" hidden="false" localSheetId="7" name="G_Terminaux_SIM___2" vbProcedure="false">#REF!</definedName>
    <definedName function="false" hidden="false" localSheetId="7" name="G_Terminaux_SIM___26" vbProcedure="false">#REF!</definedName>
    <definedName function="false" hidden="false" localSheetId="7" name="G_Terminaux_SIM___27" vbProcedure="false">#REF!</definedName>
    <definedName function="false" hidden="false" localSheetId="7" name="G_Terminaux_SIM___5" vbProcedure="false">#REF!</definedName>
    <definedName function="false" hidden="false" localSheetId="7" name="G_Terminaux_SIM___7" vbProcedure="false">#REF!</definedName>
    <definedName function="false" hidden="false" localSheetId="7" name="G___0" vbProcedure="false">#REF!</definedName>
    <definedName function="false" hidden="false" localSheetId="7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7" name="HANNA1" vbProcedure="false">#REF!</definedName>
    <definedName function="false" hidden="false" localSheetId="7" name="HANNA2" vbProcedure="false">#REF!</definedName>
    <definedName function="false" hidden="false" localSheetId="7" name="HardCodeBaseTBF" vbProcedure="false">#REF!</definedName>
    <definedName function="false" hidden="false" localSheetId="7" name="HardCodeBaseTBF___0" vbProcedure="false">#REF!</definedName>
    <definedName function="false" hidden="false" localSheetId="7" name="HardCodeBaseTBF___12" vbProcedure="false">#REF!</definedName>
    <definedName function="false" hidden="false" localSheetId="7" name="HardCodeBaseTBF___14" vbProcedure="false">#REF!</definedName>
    <definedName function="false" hidden="false" localSheetId="7" name="HardCodeBaseTBF___16" vbProcedure="false">#REF!</definedName>
    <definedName function="false" hidden="false" localSheetId="7" name="HardCodeBaseTBF___2" vbProcedure="false">#REF!</definedName>
    <definedName function="false" hidden="false" localSheetId="7" name="HardCodeBaseTBF___25" vbProcedure="false">#REF!</definedName>
    <definedName function="false" hidden="false" localSheetId="7" name="HardCodeBaseTBF___26" vbProcedure="false">#REF!</definedName>
    <definedName function="false" hidden="false" localSheetId="7" name="HardCodeBaseTBF___27" vbProcedure="false">#REF!</definedName>
    <definedName function="false" hidden="false" localSheetId="7" name="HardCodeBaseTBF___4" vbProcedure="false">#REF!</definedName>
    <definedName function="false" hidden="false" localSheetId="7" name="HardCodeBaseTBF___5" vbProcedure="false">#REF!</definedName>
    <definedName function="false" hidden="false" localSheetId="7" name="HardCodeBaseTBF___7" vbProcedure="false">#REF!</definedName>
    <definedName function="false" hidden="false" localSheetId="7" name="HardCodedATDebtCost" vbProcedure="false">#REF!</definedName>
    <definedName function="false" hidden="false" localSheetId="7" name="HardCodedATDebtCost___16" vbProcedure="false">#REF!</definedName>
    <definedName function="false" hidden="false" localSheetId="7" name="HardCodedATDebtCost___25" vbProcedure="false">#REF!</definedName>
    <definedName function="false" hidden="false" localSheetId="7" name="HardCodedATDebtCost___4" vbProcedure="false">#REF!</definedName>
    <definedName function="false" hidden="false" localSheetId="7" name="HardCodedEquityCost" vbProcedure="false">#REF!</definedName>
    <definedName function="false" hidden="false" localSheetId="7" name="HardCodedEquityCost___0" vbProcedure="false">#REF!</definedName>
    <definedName function="false" hidden="false" localSheetId="7" name="HardCodedEquityCost___26" vbProcedure="false">#REF!</definedName>
    <definedName function="false" hidden="false" localSheetId="7" name="HardCodedEquityCost___27" vbProcedure="false">#REF!</definedName>
    <definedName function="false" hidden="false" localSheetId="7" name="HardCodedEquityCost___5" vbProcedure="false">#REF!</definedName>
    <definedName function="false" hidden="false" localSheetId="7" name="HardCodedEquityCost___7" vbProcedure="false">#REF!</definedName>
    <definedName function="false" hidden="false" localSheetId="7" name="HardCodedWACC" vbProcedure="false">#REF!</definedName>
    <definedName function="false" hidden="false" localSheetId="7" name="HardCodedWACC___0" vbProcedure="false">#REF!</definedName>
    <definedName function="false" hidden="false" localSheetId="7" name="HardCodedWACC___12" vbProcedure="false">#REF!</definedName>
    <definedName function="false" hidden="false" localSheetId="7" name="HardCodedWACC___14" vbProcedure="false">#REF!</definedName>
    <definedName function="false" hidden="false" localSheetId="7" name="HardCodedWACC___16" vbProcedure="false">#REF!</definedName>
    <definedName function="false" hidden="false" localSheetId="7" name="HardCodedWACC___2" vbProcedure="false">#REF!</definedName>
    <definedName function="false" hidden="false" localSheetId="7" name="HardCodedWACC___25" vbProcedure="false">#REF!</definedName>
    <definedName function="false" hidden="false" localSheetId="7" name="HardCodedWACC___26" vbProcedure="false">#REF!</definedName>
    <definedName function="false" hidden="false" localSheetId="7" name="HardCodedWACC___27" vbProcedure="false">#REF!</definedName>
    <definedName function="false" hidden="false" localSheetId="7" name="HardCodedWACC___4" vbProcedure="false">#REF!</definedName>
    <definedName function="false" hidden="false" localSheetId="7" name="HardCodedWACC___5" vbProcedure="false">#REF!</definedName>
    <definedName function="false" hidden="false" localSheetId="7" name="HardCodedWACC___7" vbProcedure="false">#REF!</definedName>
    <definedName function="false" hidden="false" localSheetId="7" name="hassan" vbProcedure="false">#REF!</definedName>
    <definedName function="false" hidden="false" localSheetId="7" name="HC" vbProcedure="false">#REF!</definedName>
    <definedName function="false" hidden="false" localSheetId="7" name="header" vbProcedure="false">#REF!</definedName>
    <definedName function="false" hidden="false" localSheetId="7" name="hegch" vbProcedure="false">#N/A</definedName>
    <definedName function="false" hidden="false" localSheetId="7" name="hello" vbProcedure="false">{#N/A,#N/A,FALSE,"Cover";"outputs total",#N/A,FALSE,"Outputs"}</definedName>
    <definedName function="false" hidden="false" localSheetId="7" name="hfdgdt" vbProcedure="false">#N/A</definedName>
    <definedName function="false" hidden="false" localSheetId="7" name="hfgjd" vbProcedure="false">#N/A</definedName>
    <definedName function="false" hidden="false" localSheetId="7" name="hfgjdhb" vbProcedure="false">#N/A</definedName>
    <definedName function="false" hidden="false" localSheetId="7" name="hfgjdk" vbProcedure="false">#N/A</definedName>
    <definedName function="false" hidden="false" localSheetId="7" name="HFJDKHBF" vbProcedure="false">#REF!</definedName>
    <definedName function="false" hidden="false" localSheetId="7" name="hfjhfk" vbProcedure="false">#N/A</definedName>
    <definedName function="false" hidden="false" localSheetId="7" name="HFJHGN" vbProcedure="false">#N/A</definedName>
    <definedName function="false" hidden="false" localSheetId="7" name="hfsgfx" vbProcedure="false">{#N/A,#N/A,FALSE,"Outlook for Month ";#N/A,#N/A,FALSE,"Risk for Month ";#N/A,#N/A,FALSE,"Upside for Month"}</definedName>
    <definedName function="false" hidden="false" localSheetId="7" name="hgchdb" vbProcedure="false">#N/A</definedName>
    <definedName function="false" hidden="false" localSheetId="7" name="HGDF?" vbProcedure="false">#N/A</definedName>
    <definedName function="false" hidden="false" localSheetId="7" name="hgdsj" vbProcedure="false">#N/A</definedName>
    <definedName function="false" hidden="false" localSheetId="7" name="hgfjfjfv" vbProcedure="false">#N/A</definedName>
    <definedName function="false" hidden="false" localSheetId="7" name="HGFJNB" vbProcedure="false">#N/A</definedName>
    <definedName function="false" hidden="false" localSheetId="7" name="hhhsdf" vbProcedure="false">{"up stand alones",#N/A,FALSE,"Acquiror"}</definedName>
    <definedName function="false" hidden="false" localSheetId="7" name="hjkdhfgj" vbProcedure="false">#N/A</definedName>
    <definedName function="false" hidden="false" localSheetId="7" name="HK" vbProcedure="false">#REF!</definedName>
    <definedName function="false" hidden="false" localSheetId="7" name="hoi" vbProcedure="false">#N/A</definedName>
    <definedName function="false" hidden="false" localSheetId="7" name="honor" vbProcedure="false">#REF!</definedName>
    <definedName function="false" hidden="false" localSheetId="7" name="HSFRZ" vbProcedure="false">#N/A</definedName>
    <definedName function="false" hidden="false" localSheetId="7" name="ht" vbProcedure="false">#REF!</definedName>
    <definedName function="false" hidden="false" localSheetId="7" name="HTML_Control" vbProcedure="false">{"' calendrier 2000'!$A$1:$Q$38"}</definedName>
    <definedName function="false" hidden="false" localSheetId="7" name="HTML_Control2" vbProcedure="false">{"' calendrier 2000'!$A$1:$Q$38"}</definedName>
    <definedName function="false" hidden="false" localSheetId="7" name="HUF" vbProcedure="false">#REF!</definedName>
    <definedName function="false" hidden="false" localSheetId="7" name="H_Roaming_Internat" vbProcedure="false">#REF!</definedName>
    <definedName function="false" hidden="false" localSheetId="7" name="H_Roaming_Internat___0" vbProcedure="false">#REF!</definedName>
    <definedName function="false" hidden="false" localSheetId="7" name="H_Roaming_Internat___12" vbProcedure="false">#REF!</definedName>
    <definedName function="false" hidden="false" localSheetId="7" name="H_Roaming_Internat___14" vbProcedure="false">#REF!</definedName>
    <definedName function="false" hidden="false" localSheetId="7" name="H_Roaming_Internat___16" vbProcedure="false">#REF!</definedName>
    <definedName function="false" hidden="false" localSheetId="7" name="H_Roaming_Internat___2" vbProcedure="false">#REF!</definedName>
    <definedName function="false" hidden="false" localSheetId="7" name="H_Roaming_Internat___26" vbProcedure="false">#REF!</definedName>
    <definedName function="false" hidden="false" localSheetId="7" name="H_Roaming_Internat___27" vbProcedure="false">#REF!</definedName>
    <definedName function="false" hidden="false" localSheetId="7" name="H_Roaming_Internat___5" vbProcedure="false">#REF!</definedName>
    <definedName function="false" hidden="false" localSheetId="7" name="H_Roaming_Internat___7" vbProcedure="false">#REF!</definedName>
    <definedName function="false" hidden="false" localSheetId="7" name="héhé___0" vbProcedure="false">'Data Mobile'!VolFactor___5/#REF!</definedName>
    <definedName function="false" hidden="false" localSheetId="7" name="héhé___14" vbProcedure="false">'Data Mobile'!VolFactor___16/#REF!</definedName>
    <definedName function="false" hidden="false" localSheetId="7" name="héhé___16" vbProcedure="false">'Data Mobile'!VLastRowToPrint___7/#REF!</definedName>
    <definedName function="false" hidden="false" localSheetId="7" name="héhé___23" vbProcedure="false">'Data Mobile'!VolFactor___5/#REF!</definedName>
    <definedName function="false" hidden="false" localSheetId="7" name="héhé___26" vbProcedure="false">'Data Mobile'!VolFactor___5/#REF!</definedName>
    <definedName function="false" hidden="false" localSheetId="7" name="héhé___27" vbProcedure="false">'Data Mobile'!VolFactor___14/#REF!</definedName>
    <definedName function="false" hidden="false" localSheetId="7" name="héhé___4" vbProcedure="false">'Data Mobile'!VLastRowToPrint___0/#REF!</definedName>
    <definedName function="false" hidden="false" localSheetId="7" name="héhé___5" vbProcedure="false">'Data Mobile'!VolFactor___2/#REF!</definedName>
    <definedName function="false" hidden="false" localSheetId="7" name="héhé___7" vbProcedure="false">'Data Mobile'!VolFactor___5/#REF!</definedName>
    <definedName function="false" hidden="false" localSheetId="7" name="héhé___9" vbProcedure="false">'Data Mobile'!VolFactor___5/#REF!</definedName>
    <definedName function="false" hidden="false" localSheetId="7" name="I" vbProcedure="false">#REF!</definedName>
    <definedName function="false" hidden="false" localSheetId="7" name="ik" vbProcedure="false">{"casespecific",#N/A,FALSE,"Assumptions"}</definedName>
    <definedName function="false" hidden="false" localSheetId="7" name="IM" vbProcedure="false">#N/A</definedName>
    <definedName function="false" hidden="false" localSheetId="7" name="immo" vbProcedure="false">#REF!</definedName>
    <definedName function="false" hidden="false" localSheetId="7" name="immodiv" vbProcedure="false">#REF!</definedName>
    <definedName function="false" hidden="false" localSheetId="7" name="ImportFile" vbProcedure="false">#N/A</definedName>
    <definedName function="false" hidden="false" localSheetId="7" name="ImportFile___0" vbProcedure="false">'Data Mobile'!ISPctList___2</definedName>
    <definedName function="false" hidden="false" localSheetId="7" name="ISPctList___2" vbProcedure="false">#REF!</definedName>
    <definedName function="false" hidden="false" localSheetId="7" name="ImportFile___14" vbProcedure="false">'Data Mobile'!ISPctChoice___7</definedName>
    <definedName function="false" hidden="false" localSheetId="7" name="ISPctChoice___7" vbProcedure="false">#REF!</definedName>
    <definedName function="false" hidden="false" localSheetId="7" name="ImportFile___16" vbProcedure="false">'Data Mobile'!ISPctChoice___2</definedName>
    <definedName function="false" hidden="false" localSheetId="7" name="ISPctChoice___2" vbProcedure="false">#REF!</definedName>
    <definedName function="false" hidden="false" localSheetId="7" name="ImportFile___2" vbProcedure="false">'Data Mobile'!ISPctChoice___0</definedName>
    <definedName function="false" hidden="false" localSheetId="7" name="ISPctChoice___0" vbProcedure="false">#REF!</definedName>
    <definedName function="false" hidden="false" localSheetId="7" name="ImportFile___23" vbProcedure="false">'Data Mobile'!ISPctChoice___14</definedName>
    <definedName function="false" hidden="false" localSheetId="7" name="ISPctChoice___14" vbProcedure="false">#REF!</definedName>
    <definedName function="false" hidden="false" localSheetId="7" name="ImportFile___25" vbProcedure="false">'Data Mobile'!ISPctChoice___27</definedName>
    <definedName function="false" hidden="false" localSheetId="7" name="ISPctChoice___27" vbProcedure="false">#REF!</definedName>
    <definedName function="false" hidden="false" localSheetId="7" name="ImportFile___26" vbProcedure="false">'Data Mobile'!ISPctList___25</definedName>
    <definedName function="false" hidden="false" localSheetId="7" name="ISPctList___25" vbProcedure="false">#REF!</definedName>
    <definedName function="false" hidden="false" localSheetId="7" name="ImportFile___27" vbProcedure="false">'Data Mobile'!ISPctList___16</definedName>
    <definedName function="false" hidden="false" localSheetId="7" name="ISPctList___16" vbProcedure="false">#REF!</definedName>
    <definedName function="false" hidden="false" localSheetId="7" name="ImportFile___3" vbProcedure="false">'Data Mobile'!ISPctChoice___26</definedName>
    <definedName function="false" hidden="false" localSheetId="7" name="ISPctChoice___26" vbProcedure="false">#REF!</definedName>
    <definedName function="false" hidden="false" localSheetId="7" name="ImportFile___4" vbProcedure="false">'Data Mobile'!ISPctChoice___12</definedName>
    <definedName function="false" hidden="false" localSheetId="7" name="ISPctChoice___12" vbProcedure="false">#REF!</definedName>
    <definedName function="false" hidden="false" localSheetId="7" name="ImportFile___5" vbProcedure="false">'Data Mobile'!ISPctList___4</definedName>
    <definedName function="false" hidden="false" localSheetId="7" name="ISPctList___4" vbProcedure="false">#REF!</definedName>
    <definedName function="false" hidden="false" localSheetId="7" name="ImportFile___6" vbProcedure="false">'Data Mobile'!ISPctChoice___25</definedName>
    <definedName function="false" hidden="false" localSheetId="7" name="ISPctChoice___25" vbProcedure="false">#REF!</definedName>
    <definedName function="false" hidden="false" localSheetId="7" name="ImportFile___7" vbProcedure="false">'Data Mobile'!ISPctList___14</definedName>
    <definedName function="false" hidden="false" localSheetId="7" name="ISPctList___14" vbProcedure="false">#REF!</definedName>
    <definedName function="false" hidden="false" localSheetId="7" name="ImportFile___9" vbProcedure="false">'Data Mobile'!ISPctChoice___5</definedName>
    <definedName function="false" hidden="false" localSheetId="7" name="ISPctChoice___5" vbProcedure="false">#REF!</definedName>
    <definedName function="false" hidden="false" localSheetId="7" name="Impres_titres_MI" vbProcedure="false">#REF!</definedName>
    <definedName function="false" hidden="false" localSheetId="7" name="Impres_titres_MI___12" vbProcedure="false">#REF!</definedName>
    <definedName function="false" hidden="false" localSheetId="7" name="Impres_titres_MI___2" vbProcedure="false">#REF!</definedName>
    <definedName function="false" hidden="false" localSheetId="7" name="Impres_titres_MI___25" vbProcedure="false">#REF!</definedName>
    <definedName function="false" hidden="false" localSheetId="7" name="Impres_titres_MI___26" vbProcedure="false">#REF!</definedName>
    <definedName function="false" hidden="false" localSheetId="7" name="Impres_titres_MI___4" vbProcedure="false">#REF!</definedName>
    <definedName function="false" hidden="false" localSheetId="7" name="Impres_titres_MI___6" vbProcedure="false">#REF!</definedName>
    <definedName function="false" hidden="false" localSheetId="7" name="Impres_titres_MI___7" vbProcedure="false">#REF!</definedName>
    <definedName function="false" hidden="false" localSheetId="7" name="inddd" vbProcedure="false">#REF!</definedName>
    <definedName function="false" hidden="false" localSheetId="7" name="INSUR" vbProcedure="false">#REF!</definedName>
    <definedName function="false" hidden="false" localSheetId="7" name="INTEREST" vbProcedure="false">#REF!</definedName>
    <definedName function="false" hidden="false" localSheetId="7" name="inv" vbProcedure="false">'Data Mobile'!Tx_intérêt_par_an/#REF!</definedName>
    <definedName function="false" hidden="false" localSheetId="7" name="INVENTORY_PRIOR_MONTH" vbProcedure="false">#REF!</definedName>
    <definedName function="false" hidden="false" localSheetId="7" name="inv___0" vbProcedure="false">'Data Mobile'!VolFactor___5/#REF!</definedName>
    <definedName function="false" hidden="false" localSheetId="7" name="inv___12" vbProcedure="false">'Data Mobile'!VolFactor___25/#REF!</definedName>
    <definedName function="false" hidden="false" localSheetId="7" name="inv___14" vbProcedure="false">'Data Mobile'!VolFactor___16/#REF!</definedName>
    <definedName function="false" hidden="false" localSheetId="7" name="inv___16" vbProcedure="false">'Data Mobile'!VLastRowToPrint___7/#REF!</definedName>
    <definedName function="false" hidden="false" localSheetId="7" name="inv___2" vbProcedure="false">'Data Mobile'!VolFactor___4/#REF!</definedName>
    <definedName function="false" hidden="false" localSheetId="7" name="inv___23" vbProcedure="false">'Data Mobile'!VolFactor___5/#REF!</definedName>
    <definedName function="false" hidden="false" localSheetId="7" name="inv___26" vbProcedure="false">'Data Mobile'!VolFactor___12/#REF!</definedName>
    <definedName function="false" hidden="false" localSheetId="7" name="inv___27" vbProcedure="false">'Data Mobile'!VolFactor___14/#REF!</definedName>
    <definedName function="false" hidden="false" localSheetId="7" name="inv___3" vbProcedure="false">'Data Mobile'!VolFactor___5/#REF!</definedName>
    <definedName function="false" hidden="false" localSheetId="7" name="inv___4" vbProcedure="false">'Data Mobile'!VLastRowToPrint___0/#REF!</definedName>
    <definedName function="false" hidden="false" localSheetId="7" name="inv___5" vbProcedure="false">'Data Mobile'!VolFactor___2/#REF!</definedName>
    <definedName function="false" hidden="false" localSheetId="7" name="inv___6" vbProcedure="false">'Data Mobile'!VLastRowToPrint___26/#REF!</definedName>
    <definedName function="false" hidden="false" localSheetId="7" name="inv___7" vbProcedure="false">'Data Mobile'!VolFactor___27/#REF!</definedName>
    <definedName function="false" hidden="false" localSheetId="7" name="inv___9" vbProcedure="false">'Data Mobile'!VolFactor___5/#REF!</definedName>
    <definedName function="false" hidden="false" localSheetId="7" name="io" vbProcedure="false">{#N/A,#N/A,FALSE,"Contribution Analysis"}</definedName>
    <definedName function="false" hidden="false" localSheetId="7" name="iouirtrt" vbProcedure="false">#REF!</definedName>
    <definedName function="false" hidden="false" localSheetId="7" name="ISPctChoice" vbProcedure="false">#REF!</definedName>
    <definedName function="false" hidden="false" localSheetId="7" name="ISPctChoice___16" vbProcedure="false">#REF!</definedName>
    <definedName function="false" hidden="false" localSheetId="7" name="ISPctChoice___4" vbProcedure="false">#REF!</definedName>
    <definedName function="false" hidden="false" localSheetId="7" name="ISPctList" vbProcedure="false">#REF!</definedName>
    <definedName function="false" hidden="false" localSheetId="7" name="ISPctList___0" vbProcedure="false">#REF!</definedName>
    <definedName function="false" hidden="false" localSheetId="7" name="ISPctList___12" vbProcedure="false">#REF!</definedName>
    <definedName function="false" hidden="false" localSheetId="7" name="ISPctList___26" vbProcedure="false">#REF!</definedName>
    <definedName function="false" hidden="false" localSheetId="7" name="ISPctList___27" vbProcedure="false">#REF!</definedName>
    <definedName function="false" hidden="false" localSheetId="7" name="ISPctList___5" vbProcedure="false">#REF!</definedName>
    <definedName function="false" hidden="false" localSheetId="7" name="ISPctList___7" vbProcedure="false">#REF!</definedName>
    <definedName function="false" hidden="false" localSheetId="7" name="itl" vbProcedure="false">#REF!</definedName>
    <definedName function="false" hidden="false" localSheetId="7" name="iu" vbProcedure="false">{"orixcsc",#N/A,FALSE,"ORIX CSC";"orixcsc2",#N/A,FALSE,"ORIX CSC"}</definedName>
    <definedName function="false" hidden="false" localSheetId="7" name="I___12" vbProcedure="false">#REF!</definedName>
    <definedName function="false" hidden="false" localSheetId="7" name="I___2" vbProcedure="false">#REF!</definedName>
    <definedName function="false" hidden="false" localSheetId="7" name="I___25" vbProcedure="false">#REF!</definedName>
    <definedName function="false" hidden="false" localSheetId="7" name="I___26" vbProcedure="false">#REF!</definedName>
    <definedName function="false" hidden="false" localSheetId="7" name="I___4" vbProcedure="false">#REF!</definedName>
    <definedName function="false" hidden="false" localSheetId="7" name="I___6" vbProcedure="false">#REF!</definedName>
    <definedName function="false" hidden="false" localSheetId="7" name="I___7" vbProcedure="false">#REF!</definedName>
    <definedName function="false" hidden="false" localSheetId="7" name="j" vbProcedure="false">{"résultats",#N/A,FALSE,"résultats SFS";"indicateurs",#N/A,FALSE,"résultats SFS";"commentaires",#N/A,FALSE,"commentaires SFS";"graphiques",#N/A,FALSE,"graphiques SFS"}</definedName>
    <definedName function="false" hidden="false" localSheetId="7" name="Jadida" vbProcedure="false">#REF!</definedName>
    <definedName function="false" hidden="false" localSheetId="7" name="January" vbProcedure="false">#REF!</definedName>
    <definedName function="false" hidden="false" localSheetId="7" name="Janvier" vbProcedure="false">#REF!</definedName>
    <definedName function="false" hidden="false" localSheetId="7" name="JB" vbProcedure="false">#REF!</definedName>
    <definedName function="false" hidden="false" localSheetId="7" name="JDJY" vbProcedure="false">#N/A</definedName>
    <definedName function="false" hidden="false" localSheetId="7" name="jfhbvc" vbProcedure="false">#REF!</definedName>
    <definedName function="false" hidden="false" localSheetId="7" name="jfhjkfv" vbProcedure="false">#N/A</definedName>
    <definedName function="false" hidden="false" localSheetId="7" name="jfhkfn" vbProcedure="false">#N/A</definedName>
    <definedName function="false" hidden="false" localSheetId="7" name="JFHKG" vbProcedure="false">#N/A</definedName>
    <definedName function="false" hidden="false" localSheetId="7" name="jfjfj" vbProcedure="false">{#N/A,#N/A,TRUE,"Cover sheet";#N/A,#N/A,TRUE,"DCF analysis";#N/A,#N/A,TRUE,"WACC calculation"}</definedName>
    <definedName function="false" hidden="false" localSheetId="7" name="jgkhjk" vbProcedure="false">#REF!</definedName>
    <definedName function="false" hidden="false" localSheetId="7" name="jhgjhgjhh" vbProcedure="false">#N/A</definedName>
    <definedName function="false" hidden="false" localSheetId="7" name="jhgjhgjhh___0" vbProcedure="false">'Data Mobile'!LastAmort___0</definedName>
    <definedName function="false" hidden="false" localSheetId="7" name="LastAmort___0" vbProcedure="false">#REF!</definedName>
    <definedName function="false" hidden="false" localSheetId="7" name="jhgjhgjhh___12" vbProcedure="false">'Data Mobile'!LastAmort___12</definedName>
    <definedName function="false" hidden="false" localSheetId="7" name="LastAmort___12" vbProcedure="false">#REF!</definedName>
    <definedName function="false" hidden="false" localSheetId="7" name="jhgjhgjhh___14" vbProcedure="false">'Data Mobile'!LastAmort___14</definedName>
    <definedName function="false" hidden="false" localSheetId="7" name="LastAmort___14" vbProcedure="false">#REF!</definedName>
    <definedName function="false" hidden="false" localSheetId="7" name="jhgjhgjhh___16" vbProcedure="false">'Data Mobile'!LAssets___0</definedName>
    <definedName function="false" hidden="false" localSheetId="7" name="LAssets___0" vbProcedure="false">#REF!</definedName>
    <definedName function="false" hidden="false" localSheetId="7" name="jhgjhgjhh___2" vbProcedure="false">'Data Mobile'!LastAmort___2</definedName>
    <definedName function="false" hidden="false" localSheetId="7" name="LastAmort___2" vbProcedure="false">#REF!</definedName>
    <definedName function="false" hidden="false" localSheetId="7" name="jhgjhgjhh___23" vbProcedure="false">'Data Mobile'!LAssets___7</definedName>
    <definedName function="false" hidden="false" localSheetId="7" name="LAssets___7" vbProcedure="false">#REF!</definedName>
    <definedName function="false" hidden="false" localSheetId="7" name="jhgjhgjhh___25" vbProcedure="false">'Data Mobile'!LastAmort___16</definedName>
    <definedName function="false" hidden="false" localSheetId="7" name="LastAmort___16" vbProcedure="false">#REF!</definedName>
    <definedName function="false" hidden="false" localSheetId="7" name="jhgjhgjhh___26" vbProcedure="false">'Data Mobile'!LastAmort___26</definedName>
    <definedName function="false" hidden="false" localSheetId="7" name="LastAmort___26" vbProcedure="false">#REF!</definedName>
    <definedName function="false" hidden="false" localSheetId="7" name="jhgjhgjhh___27" vbProcedure="false">'Data Mobile'!LastAmort___27</definedName>
    <definedName function="false" hidden="false" localSheetId="7" name="LastAmort___27" vbProcedure="false">#REF!</definedName>
    <definedName function="false" hidden="false" localSheetId="7" name="jhgjhgjhh___3" vbProcedure="false">'Data Mobile'!LastAmort___25</definedName>
    <definedName function="false" hidden="false" localSheetId="7" name="LastAmort___25" vbProcedure="false">#REF!</definedName>
    <definedName function="false" hidden="false" localSheetId="7" name="jhgjhgjhh___5" vbProcedure="false">'Data Mobile'!LastAmort___5</definedName>
    <definedName function="false" hidden="false" localSheetId="7" name="LastAmort___5" vbProcedure="false">#REF!</definedName>
    <definedName function="false" hidden="false" localSheetId="7" name="jhgjhgjhh___6" vbProcedure="false">'Data Mobile'!LAssets___26</definedName>
    <definedName function="false" hidden="false" localSheetId="7" name="LAssets___26" vbProcedure="false">#REF!</definedName>
    <definedName function="false" hidden="false" localSheetId="7" name="jhgjhgjhh___7" vbProcedure="false">'Data Mobile'!LastAmort___7</definedName>
    <definedName function="false" hidden="false" localSheetId="7" name="LastAmort___7" vbProcedure="false">#REF!</definedName>
    <definedName function="false" hidden="false" localSheetId="7" name="jhgjhgjhh___9" vbProcedure="false">'Data Mobile'!LastAmort___4</definedName>
    <definedName function="false" hidden="false" localSheetId="7" name="LastAmort___4" vbProcedure="false">#REF!</definedName>
    <definedName function="false" hidden="false" localSheetId="7" name="jhgjuy" vbProcedure="false">#N/A</definedName>
    <definedName function="false" hidden="false" localSheetId="7" name="JHYGB" vbProcedure="false">#N/A</definedName>
    <definedName function="false" hidden="false" localSheetId="7" name="jj" vbProcedure="false">#N/A</definedName>
    <definedName function="false" hidden="false" localSheetId="7" name="JJJJJJ" vbProcedure="false">#N/A</definedName>
    <definedName function="false" hidden="false" localSheetId="7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7" name="JNBGHVC" vbProcedure="false">#N/A</definedName>
    <definedName function="false" hidden="false" localSheetId="7" name="jnijk" vbProcedure="false">#N/A</definedName>
    <definedName function="false" hidden="false" localSheetId="7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JTYJKYTK" vbProcedure="false">#N/A</definedName>
    <definedName function="false" hidden="false" localSheetId="7" name="juin" vbProcedure="false">#REF!</definedName>
    <definedName function="false" hidden="false" localSheetId="7" name="July" vbProcedure="false">#REF!</definedName>
    <definedName function="false" hidden="false" localSheetId="7" name="June" vbProcedure="false">#REF!</definedName>
    <definedName function="false" hidden="false" localSheetId="7" name="JYDTJKTK" vbProcedure="false">#N/A</definedName>
    <definedName function="false" hidden="false" localSheetId="7" name="jzrdsf" vbProcedure="false">#N/A</definedName>
    <definedName function="false" hidden="false" localSheetId="7" name="K" vbProcedure="false">#REF!</definedName>
    <definedName function="false" hidden="false" localSheetId="7" name="ka" vbProcedure="false">{"IS",#N/A,FALSE,"IS";"RPTIS",#N/A,FALSE,"RPTIS";"STATS",#N/A,FALSE,"STATS";"CELL",#N/A,FALSE,"CELL";"BS",#N/A,FALSE,"BS"}</definedName>
    <definedName function="false" hidden="false" localSheetId="7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kdnhfg" vbProcedure="false">#N/A</definedName>
    <definedName function="false" hidden="false" localSheetId="7" name="ke" vbProcedure="false">{"orixcsc",#N/A,FALSE,"ORIX CSC";"orixcsc2",#N/A,FALSE,"ORIX CSC"}</definedName>
    <definedName function="false" hidden="false" localSheetId="7" name="Kenitra" vbProcedure="false">#REF!</definedName>
    <definedName function="false" hidden="false" localSheetId="7" name="Keyboards" vbProcedure="false">#REF!</definedName>
    <definedName function="false" hidden="false" localSheetId="7" name="KeyPt" vbProcedure="false">#REF!</definedName>
    <definedName function="false" hidden="false" localSheetId="7" name="KeyValues" vbProcedure="false">#REF!</definedName>
    <definedName function="false" hidden="false" localSheetId="7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KFG" vbProcedure="false">#REF!</definedName>
    <definedName function="false" hidden="false" localSheetId="7" name="kfhgdj" vbProcedure="false">#N/A</definedName>
    <definedName function="false" hidden="false" localSheetId="7" name="kg" vbProcedure="false">{"print 1",#N/A,FALSE,"PrimeCo PCS";"print 2",#N/A,FALSE,"PrimeCo PCS";"valuation",#N/A,FALSE,"PrimeCo PCS"}</definedName>
    <definedName function="false" hidden="false" localSheetId="7" name="kgkgk" vbProcedure="false">{#N/A,#N/A,TRUE,"Cover sheet";#N/A,#N/A,TRUE,"DCF analysis";#N/A,#N/A,TRUE,"WACC calculation"}</definedName>
    <definedName function="false" hidden="false" localSheetId="7" name="kh" vbProcedure="false">{"test2",#N/A,TRUE,"Prices"}</definedName>
    <definedName function="false" hidden="false" localSheetId="7" name="ki" vbProcedure="false">{"orixcsc",#N/A,FALSE,"ORIX CSC";"orixcsc2",#N/A,FALSE,"ORIX CSC"}</definedName>
    <definedName function="false" hidden="false" localSheetId="7" name="KitEL_RM_SCS" vbProcedure="false">#REF!</definedName>
    <definedName function="false" hidden="false" localSheetId="7" name="KitPart" vbProcedure="false">#REF!</definedName>
    <definedName function="false" hidden="false" localSheetId="7" name="Kits" vbProcedure="false">#REF!</definedName>
    <definedName function="false" hidden="false" localSheetId="7" name="Kit_RMD_VPC" vbProcedure="false">#REF!</definedName>
    <definedName function="false" hidden="false" localSheetId="7" name="kj" vbProcedure="false">{"IS",#N/A,FALSE,"IS";"RPTIS",#N/A,FALSE,"RPTIS";"STATS",#N/A,FALSE,"STATS";"BS",#N/A,FALSE,"BS"}</definedName>
    <definedName function="false" hidden="false" localSheetId="7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kkkkkk" vbProcedure="false">{#N/A,#N/A,FALSE,"ORIX CSC"}</definedName>
    <definedName function="false" hidden="false" localSheetId="7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kkkkkkkkkkk" vbProcedure="false">{#N/A,#N/A,FALSE,"Contribution Analysis"}</definedName>
    <definedName function="false" hidden="false" localSheetId="7" name="kkkkkkkkkkkk" vbProcedure="false">{"IS",#N/A,FALSE,"IS";"RPTIS",#N/A,FALSE,"RPTIS";"STATS",#N/A,FALSE,"STATS";"CELL",#N/A,FALSE,"CELL";"BS",#N/A,FALSE,"BS"}</definedName>
    <definedName function="false" hidden="false" localSheetId="7" name="kkkkkkkkkkkkk" vbProcedure="false">{#N/A,#N/A,FALSE,"ORIX CSC"}</definedName>
    <definedName function="false" hidden="false" localSheetId="7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kkkkkkkkkkkkkkkkkk" vbProcedure="false">{"IS",#N/A,FALSE,"IS";"RPTIS",#N/A,FALSE,"RPTIS";"STATS",#N/A,FALSE,"STATS";"CELL",#N/A,FALSE,"CELL";"BS",#N/A,FALSE,"BS"}</definedName>
    <definedName function="false" hidden="false" localSheetId="7" name="kma" vbProcedure="false">{#N/A,#N/A,TRUE,"Cover sheet";#N/A,#N/A,TRUE,"DCF analysis";#N/A,#N/A,TRUE,"WACC calculation"}</definedName>
    <definedName function="false" hidden="false" localSheetId="7" name="kmh" vbProcedure="false">{#N/A,#N/A,TRUE,"Cover sheet";#N/A,#N/A,TRUE,"DCF analysis";#N/A,#N/A,TRUE,"WACC calculation"}</definedName>
    <definedName function="false" hidden="false" localSheetId="7" name="KMP" vbProcedure="false">#REF!</definedName>
    <definedName function="false" hidden="false" localSheetId="7" name="knl" vbProcedure="false">#N/A</definedName>
    <definedName function="false" hidden="false" localSheetId="7" name="ko" vbProcedure="false">{#N/A,#N/A,FALSE,"ORIX CSC"}</definedName>
    <definedName function="false" hidden="false" localSheetId="7" name="kol" vbProcedure="false">{"away stand alones",#N/A,FALSE,"Target"}</definedName>
    <definedName function="false" hidden="false" localSheetId="7" name="kp" vbProcedure="false">{"subs",#N/A,FALSE,"database ";"proportional",#N/A,FALSE,"database "}</definedName>
    <definedName function="false" hidden="false" localSheetId="7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Kqty" vbProcedure="false">#REF!</definedName>
    <definedName function="false" hidden="false" localSheetId="7" name="Kqty2" vbProcedure="false">#REF!</definedName>
    <definedName function="false" hidden="false" localSheetId="7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KRates" vbProcedure="false">#REF!</definedName>
    <definedName function="false" hidden="false" localSheetId="7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kt" vbProcedure="false">{"IS",#N/A,FALSE,"IS";"RPTIS",#N/A,FALSE,"RPTIS";"STATS",#N/A,FALSE,"STATS";"CELL",#N/A,FALSE,"CELL";"BS",#N/A,FALSE,"BS"}</definedName>
    <definedName function="false" hidden="false" localSheetId="7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ky" vbProcedure="false">{#N/A,#N/A,FALSE,"Contribution Analysis"}</definedName>
    <definedName function="false" hidden="false" localSheetId="7" name="K___0" vbProcedure="false">#REF!</definedName>
    <definedName function="false" hidden="false" localSheetId="7" name="K___12" vbProcedure="false">#REF!</definedName>
    <definedName function="false" hidden="false" localSheetId="7" name="K___14" vbProcedure="false">#REF!</definedName>
    <definedName function="false" hidden="false" localSheetId="7" name="K___16" vbProcedure="false">#REF!</definedName>
    <definedName function="false" hidden="false" localSheetId="7" name="K___2" vbProcedure="false">#REF!</definedName>
    <definedName function="false" hidden="false" localSheetId="7" name="K___25" vbProcedure="false">#REF!</definedName>
    <definedName function="false" hidden="false" localSheetId="7" name="K___26" vbProcedure="false">#REF!</definedName>
    <definedName function="false" hidden="false" localSheetId="7" name="K___27" vbProcedure="false">#REF!</definedName>
    <definedName function="false" hidden="false" localSheetId="7" name="K___4" vbProcedure="false">#REF!</definedName>
    <definedName function="false" hidden="false" localSheetId="7" name="K___5" vbProcedure="false">#REF!</definedName>
    <definedName function="false" hidden="false" localSheetId="7" name="K___7" vbProcedure="false">#REF!</definedName>
    <definedName function="false" hidden="false" localSheetId="7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lala" vbProcedure="false">{#N/A,#N/A,TRUE,"Cover sheet";#N/A,#N/A,TRUE,"DCF analysis";#N/A,#N/A,TRUE,"WACC calculation"}</definedName>
    <definedName function="false" hidden="false" localSheetId="7" name="LAssets" vbProcedure="false">#REF!</definedName>
    <definedName function="false" hidden="false" localSheetId="7" name="LAssets___12" vbProcedure="false">#REF!</definedName>
    <definedName function="false" hidden="false" localSheetId="7" name="LAssets___14" vbProcedure="false">#REF!</definedName>
    <definedName function="false" hidden="false" localSheetId="7" name="LAssets___16" vbProcedure="false">#REF!</definedName>
    <definedName function="false" hidden="false" localSheetId="7" name="LAssets___2" vbProcedure="false">#REF!</definedName>
    <definedName function="false" hidden="false" localSheetId="7" name="LAssets___25" vbProcedure="false">#REF!</definedName>
    <definedName function="false" hidden="false" localSheetId="7" name="LAssets___27" vbProcedure="false">#REF!</definedName>
    <definedName function="false" hidden="false" localSheetId="7" name="LAssets___4" vbProcedure="false">#REF!</definedName>
    <definedName function="false" hidden="false" localSheetId="7" name="LAssets___5" vbProcedure="false">#REF!</definedName>
    <definedName function="false" hidden="false" localSheetId="7" name="LastAmort" vbProcedure="false">#REF!</definedName>
    <definedName function="false" hidden="false" localSheetId="7" name="LastChgDefTax" vbProcedure="false">#REF!</definedName>
    <definedName function="false" hidden="false" localSheetId="7" name="LastChgDefTax___0" vbProcedure="false">#REF!</definedName>
    <definedName function="false" hidden="false" localSheetId="7" name="LastChgDefTax___12" vbProcedure="false">#REF!</definedName>
    <definedName function="false" hidden="false" localSheetId="7" name="LastChgDefTax___14" vbProcedure="false">#REF!</definedName>
    <definedName function="false" hidden="false" localSheetId="7" name="LastChgDefTax___16" vbProcedure="false">#REF!</definedName>
    <definedName function="false" hidden="false" localSheetId="7" name="LastChgDefTax___2" vbProcedure="false">#REF!</definedName>
    <definedName function="false" hidden="false" localSheetId="7" name="LastChgDefTax___25" vbProcedure="false">#REF!</definedName>
    <definedName function="false" hidden="false" localSheetId="7" name="LastChgDefTax___26" vbProcedure="false">#REF!</definedName>
    <definedName function="false" hidden="false" localSheetId="7" name="LastChgDefTax___27" vbProcedure="false">#REF!</definedName>
    <definedName function="false" hidden="false" localSheetId="7" name="LastChgDefTax___4" vbProcedure="false">#REF!</definedName>
    <definedName function="false" hidden="false" localSheetId="7" name="LastChgDefTax___5" vbProcedure="false">#REF!</definedName>
    <definedName function="false" hidden="false" localSheetId="7" name="LastChgDefTax___7" vbProcedure="false">#REF!</definedName>
    <definedName function="false" hidden="false" localSheetId="7" name="LastDepr" vbProcedure="false">#REF!</definedName>
    <definedName function="false" hidden="false" localSheetId="7" name="LastDepr___0" vbProcedure="false">#REF!</definedName>
    <definedName function="false" hidden="false" localSheetId="7" name="LastDepr___12" vbProcedure="false">#REF!</definedName>
    <definedName function="false" hidden="false" localSheetId="7" name="LastDepr___14" vbProcedure="false">#REF!</definedName>
    <definedName function="false" hidden="false" localSheetId="7" name="LastDepr___16" vbProcedure="false">#REF!</definedName>
    <definedName function="false" hidden="false" localSheetId="7" name="LastDepr___2" vbProcedure="false">#REF!</definedName>
    <definedName function="false" hidden="false" localSheetId="7" name="LastDepr___25" vbProcedure="false">#REF!</definedName>
    <definedName function="false" hidden="false" localSheetId="7" name="LastDepr___26" vbProcedure="false">#REF!</definedName>
    <definedName function="false" hidden="false" localSheetId="7" name="LastDepr___27" vbProcedure="false">#REF!</definedName>
    <definedName function="false" hidden="false" localSheetId="7" name="LastDepr___4" vbProcedure="false">#REF!</definedName>
    <definedName function="false" hidden="false" localSheetId="7" name="LastDepr___5" vbProcedure="false">#REF!</definedName>
    <definedName function="false" hidden="false" localSheetId="7" name="LastDepr___7" vbProcedure="false">#REF!</definedName>
    <definedName function="false" hidden="false" localSheetId="7" name="LastHistYr" vbProcedure="false">#REF!</definedName>
    <definedName function="false" hidden="false" localSheetId="7" name="LastHistYr___0" vbProcedure="false">#REF!</definedName>
    <definedName function="false" hidden="false" localSheetId="7" name="LastHistYr___12" vbProcedure="false">#REF!</definedName>
    <definedName function="false" hidden="false" localSheetId="7" name="LastHistYr___14" vbProcedure="false">#REF!</definedName>
    <definedName function="false" hidden="false" localSheetId="7" name="LastHistYr___16" vbProcedure="false">#REF!</definedName>
    <definedName function="false" hidden="false" localSheetId="7" name="LastHistYr___2" vbProcedure="false">#REF!</definedName>
    <definedName function="false" hidden="false" localSheetId="7" name="LastHistYr___25" vbProcedure="false">#REF!</definedName>
    <definedName function="false" hidden="false" localSheetId="7" name="LastHistYr___26" vbProcedure="false">#REF!</definedName>
    <definedName function="false" hidden="false" localSheetId="7" name="LastHistYr___27" vbProcedure="false">#REF!</definedName>
    <definedName function="false" hidden="false" localSheetId="7" name="LastHistYr___4" vbProcedure="false">#REF!</definedName>
    <definedName function="false" hidden="false" localSheetId="7" name="LastHistYr___5" vbProcedure="false">#REF!</definedName>
    <definedName function="false" hidden="false" localSheetId="7" name="LastHistYr___7" vbProcedure="false">#REF!</definedName>
    <definedName function="false" hidden="false" localSheetId="7" name="LastNetPPE" vbProcedure="false">#REF!</definedName>
    <definedName function="false" hidden="false" localSheetId="7" name="LastNetPPE___0" vbProcedure="false">#REF!</definedName>
    <definedName function="false" hidden="false" localSheetId="7" name="LastNetPPE___12" vbProcedure="false">#REF!</definedName>
    <definedName function="false" hidden="false" localSheetId="7" name="LastNetPPE___14" vbProcedure="false">#REF!</definedName>
    <definedName function="false" hidden="false" localSheetId="7" name="LastNetPPE___16" vbProcedure="false">#REF!</definedName>
    <definedName function="false" hidden="false" localSheetId="7" name="LastNetPPE___2" vbProcedure="false">#REF!</definedName>
    <definedName function="false" hidden="false" localSheetId="7" name="LastNetPPE___25" vbProcedure="false">#REF!</definedName>
    <definedName function="false" hidden="false" localSheetId="7" name="LastNetPPE___26" vbProcedure="false">#REF!</definedName>
    <definedName function="false" hidden="false" localSheetId="7" name="LastNetPPE___27" vbProcedure="false">#REF!</definedName>
    <definedName function="false" hidden="false" localSheetId="7" name="LastNetPPE___4" vbProcedure="false">#REF!</definedName>
    <definedName function="false" hidden="false" localSheetId="7" name="LastNetPPE___5" vbProcedure="false">#REF!</definedName>
    <definedName function="false" hidden="false" localSheetId="7" name="LastNetPPE___7" vbProcedure="false">#REF!</definedName>
    <definedName function="false" hidden="false" localSheetId="7" name="LastNWIPct" vbProcedure="false">#REF!</definedName>
    <definedName function="false" hidden="false" localSheetId="7" name="LastNWIPct___0" vbProcedure="false">#REF!</definedName>
    <definedName function="false" hidden="false" localSheetId="7" name="LastNWIPct___12" vbProcedure="false">#REF!</definedName>
    <definedName function="false" hidden="false" localSheetId="7" name="LastNWIPct___14" vbProcedure="false">#REF!</definedName>
    <definedName function="false" hidden="false" localSheetId="7" name="LastNWIPct___16" vbProcedure="false">#REF!</definedName>
    <definedName function="false" hidden="false" localSheetId="7" name="LastNWIPct___2" vbProcedure="false">#REF!</definedName>
    <definedName function="false" hidden="false" localSheetId="7" name="LastNWIPct___25" vbProcedure="false">#REF!</definedName>
    <definedName function="false" hidden="false" localSheetId="7" name="LastNWIPct___26" vbProcedure="false">#REF!</definedName>
    <definedName function="false" hidden="false" localSheetId="7" name="LastNWIPct___27" vbProcedure="false">#REF!</definedName>
    <definedName function="false" hidden="false" localSheetId="7" name="LastNWIPct___4" vbProcedure="false">#REF!</definedName>
    <definedName function="false" hidden="false" localSheetId="7" name="LastNWIPct___5" vbProcedure="false">#REF!</definedName>
    <definedName function="false" hidden="false" localSheetId="7" name="LastNWIPct___7" vbProcedure="false">#REF!</definedName>
    <definedName function="false" hidden="false" localSheetId="7" name="LastPPESalesPct" vbProcedure="false">#REF!</definedName>
    <definedName function="false" hidden="false" localSheetId="7" name="LastPPESalesPct___0" vbProcedure="false">#REF!</definedName>
    <definedName function="false" hidden="false" localSheetId="7" name="LastPPESalesPct___12" vbProcedure="false">#REF!</definedName>
    <definedName function="false" hidden="false" localSheetId="7" name="LastPPESalesPct___14" vbProcedure="false">#REF!</definedName>
    <definedName function="false" hidden="false" localSheetId="7" name="LastPPESalesPct___16" vbProcedure="false">#REF!</definedName>
    <definedName function="false" hidden="false" localSheetId="7" name="LastPPESalesPct___2" vbProcedure="false">#REF!</definedName>
    <definedName function="false" hidden="false" localSheetId="7" name="LastPPESalesPct___25" vbProcedure="false">#REF!</definedName>
    <definedName function="false" hidden="false" localSheetId="7" name="LastPPESalesPct___26" vbProcedure="false">#REF!</definedName>
    <definedName function="false" hidden="false" localSheetId="7" name="LastPPESalesPct___27" vbProcedure="false">#REF!</definedName>
    <definedName function="false" hidden="false" localSheetId="7" name="LastPPESalesPct___4" vbProcedure="false">#REF!</definedName>
    <definedName function="false" hidden="false" localSheetId="7" name="LastPPESalesPct___5" vbProcedure="false">#REF!</definedName>
    <definedName function="false" hidden="false" localSheetId="7" name="LastPPESalesPct___7" vbProcedure="false">#REF!</definedName>
    <definedName function="false" hidden="false" localSheetId="7" name="LastProjYr" vbProcedure="false">#REF!</definedName>
    <definedName function="false" hidden="false" localSheetId="7" name="LastProjYr___0" vbProcedure="false">#REF!</definedName>
    <definedName function="false" hidden="false" localSheetId="7" name="LastProjYr___12" vbProcedure="false">#REF!</definedName>
    <definedName function="false" hidden="false" localSheetId="7" name="LastProjYr___14" vbProcedure="false">#REF!</definedName>
    <definedName function="false" hidden="false" localSheetId="7" name="LastProjYr___16" vbProcedure="false">#REF!</definedName>
    <definedName function="false" hidden="false" localSheetId="7" name="LastProjYr___2" vbProcedure="false">#REF!</definedName>
    <definedName function="false" hidden="false" localSheetId="7" name="LastProjYr___25" vbProcedure="false">#REF!</definedName>
    <definedName function="false" hidden="false" localSheetId="7" name="LastProjYr___26" vbProcedure="false">#REF!</definedName>
    <definedName function="false" hidden="false" localSheetId="7" name="LastProjYr___27" vbProcedure="false">#REF!</definedName>
    <definedName function="false" hidden="false" localSheetId="7" name="LastProjYr___4" vbProcedure="false">#REF!</definedName>
    <definedName function="false" hidden="false" localSheetId="7" name="LastProjYr___5" vbProcedure="false">#REF!</definedName>
    <definedName function="false" hidden="false" localSheetId="7" name="LastProjYr___7" vbProcedure="false">#REF!</definedName>
    <definedName function="false" hidden="false" localSheetId="7" name="LastProvisions" vbProcedure="false">#REF!</definedName>
    <definedName function="false" hidden="false" localSheetId="7" name="LastProvisions___0" vbProcedure="false">#REF!</definedName>
    <definedName function="false" hidden="false" localSheetId="7" name="LastProvisions___12" vbProcedure="false">#REF!</definedName>
    <definedName function="false" hidden="false" localSheetId="7" name="LastProvisions___14" vbProcedure="false">#REF!</definedName>
    <definedName function="false" hidden="false" localSheetId="7" name="LastProvisions___16" vbProcedure="false">#REF!</definedName>
    <definedName function="false" hidden="false" localSheetId="7" name="LastProvisions___2" vbProcedure="false">#REF!</definedName>
    <definedName function="false" hidden="false" localSheetId="7" name="LastProvisions___25" vbProcedure="false">#REF!</definedName>
    <definedName function="false" hidden="false" localSheetId="7" name="LastProvisions___26" vbProcedure="false">#REF!</definedName>
    <definedName function="false" hidden="false" localSheetId="7" name="LastProvisions___27" vbProcedure="false">#REF!</definedName>
    <definedName function="false" hidden="false" localSheetId="7" name="LastProvisions___4" vbProcedure="false">#REF!</definedName>
    <definedName function="false" hidden="false" localSheetId="7" name="LastProvisions___5" vbProcedure="false">#REF!</definedName>
    <definedName function="false" hidden="false" localSheetId="7" name="LastProvisions___7" vbProcedure="false">#REF!</definedName>
    <definedName function="false" hidden="false" localSheetId="7" name="LastSales" vbProcedure="false">#REF!</definedName>
    <definedName function="false" hidden="false" localSheetId="7" name="LastSales___0" vbProcedure="false">#REF!</definedName>
    <definedName function="false" hidden="false" localSheetId="7" name="LastSales___12" vbProcedure="false">#REF!</definedName>
    <definedName function="false" hidden="false" localSheetId="7" name="LastSales___14" vbProcedure="false">#REF!</definedName>
    <definedName function="false" hidden="false" localSheetId="7" name="LastSales___16" vbProcedure="false">#REF!</definedName>
    <definedName function="false" hidden="false" localSheetId="7" name="LastSales___2" vbProcedure="false">#REF!</definedName>
    <definedName function="false" hidden="false" localSheetId="7" name="LastSales___25" vbProcedure="false">#REF!</definedName>
    <definedName function="false" hidden="false" localSheetId="7" name="LastSales___26" vbProcedure="false">#REF!</definedName>
    <definedName function="false" hidden="false" localSheetId="7" name="LastSales___27" vbProcedure="false">#REF!</definedName>
    <definedName function="false" hidden="false" localSheetId="7" name="LastSales___4" vbProcedure="false">#REF!</definedName>
    <definedName function="false" hidden="false" localSheetId="7" name="LastSales___5" vbProcedure="false">#REF!</definedName>
    <definedName function="false" hidden="false" localSheetId="7" name="LastSales___7" vbProcedure="false">#REF!</definedName>
    <definedName function="false" hidden="false" localSheetId="7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LCapexPct" vbProcedure="false">#REF!</definedName>
    <definedName function="false" hidden="false" localSheetId="7" name="LCapexPct___0" vbProcedure="false">#REF!</definedName>
    <definedName function="false" hidden="false" localSheetId="7" name="LCapexPct___12" vbProcedure="false">#REF!</definedName>
    <definedName function="false" hidden="false" localSheetId="7" name="LCapexPct___14" vbProcedure="false">#REF!</definedName>
    <definedName function="false" hidden="false" localSheetId="7" name="LCapexPct___16" vbProcedure="false">#REF!</definedName>
    <definedName function="false" hidden="false" localSheetId="7" name="LCapexPct___2" vbProcedure="false">#REF!</definedName>
    <definedName function="false" hidden="false" localSheetId="7" name="LCapexPct___25" vbProcedure="false">#REF!</definedName>
    <definedName function="false" hidden="false" localSheetId="7" name="LCapexPct___26" vbProcedure="false">#REF!</definedName>
    <definedName function="false" hidden="false" localSheetId="7" name="LCapexPct___27" vbProcedure="false">#REF!</definedName>
    <definedName function="false" hidden="false" localSheetId="7" name="LCapexPct___4" vbProcedure="false">#REF!</definedName>
    <definedName function="false" hidden="false" localSheetId="7" name="LCapexPct___5" vbProcedure="false">#REF!</definedName>
    <definedName function="false" hidden="false" localSheetId="7" name="LCapexPct___7" vbProcedure="false">#REF!</definedName>
    <definedName function="false" hidden="false" localSheetId="7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ldgy" vbProcedure="false">#N/A</definedName>
    <definedName function="false" hidden="false" localSheetId="7" name="le" vbProcedure="false">{"IS",#N/A,FALSE,"IS";"RPTIS",#N/A,FALSE,"RPTIS";"STATS",#N/A,FALSE,"STATS";"CELL",#N/A,FALSE,"CELL";"BS",#N/A,FALSE,"BS"}</definedName>
    <definedName function="false" hidden="false" localSheetId="7" name="LEBITMargin" vbProcedure="false">#REF!</definedName>
    <definedName function="false" hidden="false" localSheetId="7" name="LEBITMargin___0" vbProcedure="false">#REF!</definedName>
    <definedName function="false" hidden="false" localSheetId="7" name="LEBITMargin___12" vbProcedure="false">#REF!</definedName>
    <definedName function="false" hidden="false" localSheetId="7" name="LEBITMargin___14" vbProcedure="false">#REF!</definedName>
    <definedName function="false" hidden="false" localSheetId="7" name="LEBITMargin___16" vbProcedure="false">#REF!</definedName>
    <definedName function="false" hidden="false" localSheetId="7" name="LEBITMargin___2" vbProcedure="false">#REF!</definedName>
    <definedName function="false" hidden="false" localSheetId="7" name="LEBITMargin___25" vbProcedure="false">#REF!</definedName>
    <definedName function="false" hidden="false" localSheetId="7" name="LEBITMargin___26" vbProcedure="false">#REF!</definedName>
    <definedName function="false" hidden="false" localSheetId="7" name="LEBITMargin___27" vbProcedure="false">#REF!</definedName>
    <definedName function="false" hidden="false" localSheetId="7" name="LEBITMargin___4" vbProcedure="false">#REF!</definedName>
    <definedName function="false" hidden="false" localSheetId="7" name="LEBITMargin___5" vbProcedure="false">#REF!</definedName>
    <definedName function="false" hidden="false" localSheetId="7" name="LEBITMargin___7" vbProcedure="false">#REF!</definedName>
    <definedName function="false" hidden="false" localSheetId="7" name="LeveredBeta" vbProcedure="false">#REF!</definedName>
    <definedName function="false" hidden="false" localSheetId="7" name="LeveredBeta___0" vbProcedure="false">#REF!</definedName>
    <definedName function="false" hidden="false" localSheetId="7" name="LeveredBeta___12" vbProcedure="false">#REF!</definedName>
    <definedName function="false" hidden="false" localSheetId="7" name="LeveredBeta___14" vbProcedure="false">#REF!</definedName>
    <definedName function="false" hidden="false" localSheetId="7" name="LeveredBeta___16" vbProcedure="false">#REF!</definedName>
    <definedName function="false" hidden="false" localSheetId="7" name="LeveredBeta___2" vbProcedure="false">#REF!</definedName>
    <definedName function="false" hidden="false" localSheetId="7" name="LeveredBeta___25" vbProcedure="false">#REF!</definedName>
    <definedName function="false" hidden="false" localSheetId="7" name="LeveredBeta___26" vbProcedure="false">#REF!</definedName>
    <definedName function="false" hidden="false" localSheetId="7" name="LeveredBeta___27" vbProcedure="false">#REF!</definedName>
    <definedName function="false" hidden="false" localSheetId="7" name="LeveredBeta___4" vbProcedure="false">#REF!</definedName>
    <definedName function="false" hidden="false" localSheetId="7" name="LeveredBeta___5" vbProcedure="false">#REF!</definedName>
    <definedName function="false" hidden="false" localSheetId="7" name="LeveredBeta___7" vbProcedure="false">#REF!</definedName>
    <definedName function="false" hidden="false" localSheetId="7" name="li" vbProcedure="false">{"IS",#N/A,FALSE,"IS";"RPTIS",#N/A,FALSE,"RPTIS";"STATS",#N/A,FALSE,"STATS";"CELL",#N/A,FALSE,"CELL";"BS",#N/A,FALSE,"BS"}</definedName>
    <definedName function="false" hidden="false" localSheetId="7" name="liasse" vbProcedure="false">#REF!</definedName>
    <definedName function="false" hidden="false" localSheetId="7" name="liasse30" vbProcedure="false">#REF!</definedName>
    <definedName function="false" hidden="false" localSheetId="7" name="Lissasfa" vbProcedure="false">#REF!</definedName>
    <definedName function="false" hidden="false" localSheetId="7" name="LISTA_100" vbProcedure="false">#REF!</definedName>
    <definedName function="false" hidden="false" localSheetId="7" name="ListPrice" vbProcedure="false">#REF!</definedName>
    <definedName function="false" hidden="false" localSheetId="7" name="LJ" vbProcedure="false">#REF!</definedName>
    <definedName function="false" hidden="false" localSheetId="7" name="lkglotr" vbProcedure="false">#REF!</definedName>
    <definedName function="false" hidden="false" localSheetId="7" name="LKJLML" vbProcedure="false">#REF!</definedName>
    <definedName function="false" hidden="false" localSheetId="7" name="lkkgopr" vbProcedure="false">#REF!</definedName>
    <definedName function="false" hidden="false" localSheetId="7" name="LLiabs" vbProcedure="false">#REF!</definedName>
    <definedName function="false" hidden="false" localSheetId="7" name="LLiabs___0" vbProcedure="false">#REF!</definedName>
    <definedName function="false" hidden="false" localSheetId="7" name="LLiabs___12" vbProcedure="false">#REF!</definedName>
    <definedName function="false" hidden="false" localSheetId="7" name="LLiabs___14" vbProcedure="false">#REF!</definedName>
    <definedName function="false" hidden="false" localSheetId="7" name="LLiabs___16" vbProcedure="false">#REF!</definedName>
    <definedName function="false" hidden="false" localSheetId="7" name="LLiabs___2" vbProcedure="false">#REF!</definedName>
    <definedName function="false" hidden="false" localSheetId="7" name="LLiabs___25" vbProcedure="false">#REF!</definedName>
    <definedName function="false" hidden="false" localSheetId="7" name="LLiabs___26" vbProcedure="false">#REF!</definedName>
    <definedName function="false" hidden="false" localSheetId="7" name="LLiabs___27" vbProcedure="false">#REF!</definedName>
    <definedName function="false" hidden="false" localSheetId="7" name="LLiabs___4" vbProcedure="false">#REF!</definedName>
    <definedName function="false" hidden="false" localSheetId="7" name="LLiabs___5" vbProcedure="false">#REF!</definedName>
    <definedName function="false" hidden="false" localSheetId="7" name="LLiabs___7" vbProcedure="false">#REF!</definedName>
    <definedName function="false" hidden="false" localSheetId="7" name="LMPS" vbProcedure="false">#REF!</definedName>
    <definedName function="false" hidden="false" localSheetId="7" name="ln" vbProcedure="false">{#N/A,#N/A,FALSE,"Contribution Analysis"}</definedName>
    <definedName function="false" hidden="false" localSheetId="7" name="LNPPESales" vbProcedure="false">#REF!</definedName>
    <definedName function="false" hidden="false" localSheetId="7" name="LNPPESales___0" vbProcedure="false">#REF!</definedName>
    <definedName function="false" hidden="false" localSheetId="7" name="LNPPESales___12" vbProcedure="false">#REF!</definedName>
    <definedName function="false" hidden="false" localSheetId="7" name="LNPPESales___14" vbProcedure="false">#REF!</definedName>
    <definedName function="false" hidden="false" localSheetId="7" name="LNPPESales___16" vbProcedure="false">#REF!</definedName>
    <definedName function="false" hidden="false" localSheetId="7" name="LNPPESales___2" vbProcedure="false">#REF!</definedName>
    <definedName function="false" hidden="false" localSheetId="7" name="LNPPESales___25" vbProcedure="false">#REF!</definedName>
    <definedName function="false" hidden="false" localSheetId="7" name="LNPPESales___26" vbProcedure="false">#REF!</definedName>
    <definedName function="false" hidden="false" localSheetId="7" name="LNPPESales___27" vbProcedure="false">#REF!</definedName>
    <definedName function="false" hidden="false" localSheetId="7" name="LNPPESales___4" vbProcedure="false">#REF!</definedName>
    <definedName function="false" hidden="false" localSheetId="7" name="LNPPESales___5" vbProcedure="false">#REF!</definedName>
    <definedName function="false" hidden="false" localSheetId="7" name="LNPPESales___7" vbProcedure="false">#REF!</definedName>
    <definedName function="false" hidden="false" localSheetId="7" name="lo" vbProcedure="false">{"IS",#N/A,FALSE,"IS";"RPTIS",#N/A,FALSE,"RPTIS";"STATS",#N/A,FALSE,"STATS";"CELL",#N/A,FALSE,"CELL";"BS",#N/A,FALSE,"BS"}</definedName>
    <definedName function="false" hidden="false" localSheetId="7" name="loki" vbProcedure="false">#REF!</definedName>
    <definedName function="false" hidden="false" localSheetId="7" name="LongBond" vbProcedure="false">#REF!</definedName>
    <definedName function="false" hidden="false" localSheetId="7" name="LongBond___0" vbProcedure="false">#REF!</definedName>
    <definedName function="false" hidden="false" localSheetId="7" name="LongBond___12" vbProcedure="false">#REF!</definedName>
    <definedName function="false" hidden="false" localSheetId="7" name="LongBond___14" vbProcedure="false">#REF!</definedName>
    <definedName function="false" hidden="false" localSheetId="7" name="LongBond___16" vbProcedure="false">#REF!</definedName>
    <definedName function="false" hidden="false" localSheetId="7" name="LongBond___2" vbProcedure="false">#REF!</definedName>
    <definedName function="false" hidden="false" localSheetId="7" name="LongBond___25" vbProcedure="false">#REF!</definedName>
    <definedName function="false" hidden="false" localSheetId="7" name="LongBond___26" vbProcedure="false">#REF!</definedName>
    <definedName function="false" hidden="false" localSheetId="7" name="LongBond___27" vbProcedure="false">#REF!</definedName>
    <definedName function="false" hidden="false" localSheetId="7" name="LongBond___4" vbProcedure="false">#REF!</definedName>
    <definedName function="false" hidden="false" localSheetId="7" name="LongBond___5" vbProcedure="false">#REF!</definedName>
    <definedName function="false" hidden="false" localSheetId="7" name="LongBond___7" vbProcedure="false">#REF!</definedName>
    <definedName function="false" hidden="false" localSheetId="7" name="LPEBIT" vbProcedure="false">#REF!</definedName>
    <definedName function="false" hidden="false" localSheetId="7" name="LPEBITDA" vbProcedure="false">#REF!</definedName>
    <definedName function="false" hidden="false" localSheetId="7" name="LPEBITDA___0" vbProcedure="false">#REF!</definedName>
    <definedName function="false" hidden="false" localSheetId="7" name="LPEBITDA___12" vbProcedure="false">#REF!</definedName>
    <definedName function="false" hidden="false" localSheetId="7" name="LPEBITDA___14" vbProcedure="false">#REF!</definedName>
    <definedName function="false" hidden="false" localSheetId="7" name="LPEBITDA___16" vbProcedure="false">#REF!</definedName>
    <definedName function="false" hidden="false" localSheetId="7" name="LPEBITDA___2" vbProcedure="false">#REF!</definedName>
    <definedName function="false" hidden="false" localSheetId="7" name="LPEBITDA___25" vbProcedure="false">#REF!</definedName>
    <definedName function="false" hidden="false" localSheetId="7" name="LPEBITDA___26" vbProcedure="false">#REF!</definedName>
    <definedName function="false" hidden="false" localSheetId="7" name="LPEBITDA___27" vbProcedure="false">#REF!</definedName>
    <definedName function="false" hidden="false" localSheetId="7" name="LPEBITDA___4" vbProcedure="false">#REF!</definedName>
    <definedName function="false" hidden="false" localSheetId="7" name="LPEBITDA___5" vbProcedure="false">#REF!</definedName>
    <definedName function="false" hidden="false" localSheetId="7" name="LPEBITDA___7" vbProcedure="false">#REF!</definedName>
    <definedName function="false" hidden="false" localSheetId="7" name="LPEBIT___0" vbProcedure="false">#REF!</definedName>
    <definedName function="false" hidden="false" localSheetId="7" name="LPEBIT___12" vbProcedure="false">#REF!</definedName>
    <definedName function="false" hidden="false" localSheetId="7" name="LPEBIT___14" vbProcedure="false">#REF!</definedName>
    <definedName function="false" hidden="false" localSheetId="7" name="LPEBIT___16" vbProcedure="false">#REF!</definedName>
    <definedName function="false" hidden="false" localSheetId="7" name="LPEBIT___2" vbProcedure="false">#REF!</definedName>
    <definedName function="false" hidden="false" localSheetId="7" name="LPEBIT___25" vbProcedure="false">#REF!</definedName>
    <definedName function="false" hidden="false" localSheetId="7" name="LPEBIT___26" vbProcedure="false">#REF!</definedName>
    <definedName function="false" hidden="false" localSheetId="7" name="LPEBIT___27" vbProcedure="false">#REF!</definedName>
    <definedName function="false" hidden="false" localSheetId="7" name="LPEBIT___4" vbProcedure="false">#REF!</definedName>
    <definedName function="false" hidden="false" localSheetId="7" name="LPEBIT___5" vbProcedure="false">#REF!</definedName>
    <definedName function="false" hidden="false" localSheetId="7" name="LPEBIT___7" vbProcedure="false">#REF!</definedName>
    <definedName function="false" hidden="false" localSheetId="7" name="LPOperProfit" vbProcedure="false">#REF!</definedName>
    <definedName function="false" hidden="false" localSheetId="7" name="LPOperProfit___0" vbProcedure="false">#REF!</definedName>
    <definedName function="false" hidden="false" localSheetId="7" name="LPOperProfit___12" vbProcedure="false">#REF!</definedName>
    <definedName function="false" hidden="false" localSheetId="7" name="LPOperProfit___14" vbProcedure="false">#REF!</definedName>
    <definedName function="false" hidden="false" localSheetId="7" name="LPOperProfit___16" vbProcedure="false">#REF!</definedName>
    <definedName function="false" hidden="false" localSheetId="7" name="LPOperProfit___2" vbProcedure="false">#REF!</definedName>
    <definedName function="false" hidden="false" localSheetId="7" name="LPOperProfit___25" vbProcedure="false">#REF!</definedName>
    <definedName function="false" hidden="false" localSheetId="7" name="LPOperProfit___26" vbProcedure="false">#REF!</definedName>
    <definedName function="false" hidden="false" localSheetId="7" name="LPOperProfit___27" vbProcedure="false">#REF!</definedName>
    <definedName function="false" hidden="false" localSheetId="7" name="LPOperProfit___4" vbProcedure="false">#REF!</definedName>
    <definedName function="false" hidden="false" localSheetId="7" name="LPOperProfit___5" vbProcedure="false">#REF!</definedName>
    <definedName function="false" hidden="false" localSheetId="7" name="LPOperProfit___7" vbProcedure="false">#REF!</definedName>
    <definedName function="false" hidden="false" localSheetId="7" name="LPOther1" vbProcedure="false">#REF!</definedName>
    <definedName function="false" hidden="false" localSheetId="7" name="LPOther1___0" vbProcedure="false">#REF!</definedName>
    <definedName function="false" hidden="false" localSheetId="7" name="LPOther1___12" vbProcedure="false">#REF!</definedName>
    <definedName function="false" hidden="false" localSheetId="7" name="LPOther1___14" vbProcedure="false">#REF!</definedName>
    <definedName function="false" hidden="false" localSheetId="7" name="LPOther1___16" vbProcedure="false">#REF!</definedName>
    <definedName function="false" hidden="false" localSheetId="7" name="LPOther1___2" vbProcedure="false">#REF!</definedName>
    <definedName function="false" hidden="false" localSheetId="7" name="LPOther1___25" vbProcedure="false">#REF!</definedName>
    <definedName function="false" hidden="false" localSheetId="7" name="LPOther1___26" vbProcedure="false">#REF!</definedName>
    <definedName function="false" hidden="false" localSheetId="7" name="LPOther1___27" vbProcedure="false">#REF!</definedName>
    <definedName function="false" hidden="false" localSheetId="7" name="LPOther1___4" vbProcedure="false">#REF!</definedName>
    <definedName function="false" hidden="false" localSheetId="7" name="LPOther1___5" vbProcedure="false">#REF!</definedName>
    <definedName function="false" hidden="false" localSheetId="7" name="LPOther1___7" vbProcedure="false">#REF!</definedName>
    <definedName function="false" hidden="false" localSheetId="7" name="LPOther2" vbProcedure="false">#REF!</definedName>
    <definedName function="false" hidden="false" localSheetId="7" name="LPOther2___0" vbProcedure="false">#REF!</definedName>
    <definedName function="false" hidden="false" localSheetId="7" name="LPOther2___12" vbProcedure="false">#REF!</definedName>
    <definedName function="false" hidden="false" localSheetId="7" name="LPOther2___14" vbProcedure="false">#REF!</definedName>
    <definedName function="false" hidden="false" localSheetId="7" name="LPOther2___16" vbProcedure="false">#REF!</definedName>
    <definedName function="false" hidden="false" localSheetId="7" name="LPOther2___2" vbProcedure="false">#REF!</definedName>
    <definedName function="false" hidden="false" localSheetId="7" name="LPOther2___25" vbProcedure="false">#REF!</definedName>
    <definedName function="false" hidden="false" localSheetId="7" name="LPOther2___26" vbProcedure="false">#REF!</definedName>
    <definedName function="false" hidden="false" localSheetId="7" name="LPOther2___27" vbProcedure="false">#REF!</definedName>
    <definedName function="false" hidden="false" localSheetId="7" name="LPOther2___4" vbProcedure="false">#REF!</definedName>
    <definedName function="false" hidden="false" localSheetId="7" name="LPOther2___5" vbProcedure="false">#REF!</definedName>
    <definedName function="false" hidden="false" localSheetId="7" name="LPOther2___7" vbProcedure="false">#REF!</definedName>
    <definedName function="false" hidden="false" localSheetId="7" name="LPOther3" vbProcedure="false">#REF!</definedName>
    <definedName function="false" hidden="false" localSheetId="7" name="LPOther3___0" vbProcedure="false">#REF!</definedName>
    <definedName function="false" hidden="false" localSheetId="7" name="LPOther3___12" vbProcedure="false">#REF!</definedName>
    <definedName function="false" hidden="false" localSheetId="7" name="LPOther3___14" vbProcedure="false">#REF!</definedName>
    <definedName function="false" hidden="false" localSheetId="7" name="LPOther3___16" vbProcedure="false">#REF!</definedName>
    <definedName function="false" hidden="false" localSheetId="7" name="LPOther3___2" vbProcedure="false">#REF!</definedName>
    <definedName function="false" hidden="false" localSheetId="7" name="LPOther3___25" vbProcedure="false">#REF!</definedName>
    <definedName function="false" hidden="false" localSheetId="7" name="LPOther3___26" vbProcedure="false">#REF!</definedName>
    <definedName function="false" hidden="false" localSheetId="7" name="LPOther3___27" vbProcedure="false">#REF!</definedName>
    <definedName function="false" hidden="false" localSheetId="7" name="LPOther3___4" vbProcedure="false">#REF!</definedName>
    <definedName function="false" hidden="false" localSheetId="7" name="LPOther3___5" vbProcedure="false">#REF!</definedName>
    <definedName function="false" hidden="false" localSheetId="7" name="LPOther3___7" vbProcedure="false">#REF!</definedName>
    <definedName function="false" hidden="false" localSheetId="7" name="LPSales" vbProcedure="false">#REF!</definedName>
    <definedName function="false" hidden="false" localSheetId="7" name="LPSales___0" vbProcedure="false">#REF!</definedName>
    <definedName function="false" hidden="false" localSheetId="7" name="LPSales___12" vbProcedure="false">#REF!</definedName>
    <definedName function="false" hidden="false" localSheetId="7" name="LPSales___14" vbProcedure="false">#REF!</definedName>
    <definedName function="false" hidden="false" localSheetId="7" name="LPSales___16" vbProcedure="false">#REF!</definedName>
    <definedName function="false" hidden="false" localSheetId="7" name="LPSales___2" vbProcedure="false">#REF!</definedName>
    <definedName function="false" hidden="false" localSheetId="7" name="LPSales___25" vbProcedure="false">#REF!</definedName>
    <definedName function="false" hidden="false" localSheetId="7" name="LPSales___26" vbProcedure="false">#REF!</definedName>
    <definedName function="false" hidden="false" localSheetId="7" name="LPSales___27" vbProcedure="false">#REF!</definedName>
    <definedName function="false" hidden="false" localSheetId="7" name="LPSales___4" vbProcedure="false">#REF!</definedName>
    <definedName function="false" hidden="false" localSheetId="7" name="LPSales___5" vbProcedure="false">#REF!</definedName>
    <definedName function="false" hidden="false" localSheetId="7" name="LPSales___7" vbProcedure="false">#REF!</definedName>
    <definedName function="false" hidden="false" localSheetId="7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lr" vbProcedure="false">{"IS",#N/A,FALSE,"IS";"RPTIS",#N/A,FALSE,"RPTIS";"STATS",#N/A,FALSE,"STATS";"CELL",#N/A,FALSE,"CELL";"BS",#N/A,FALSE,"BS"}</definedName>
    <definedName function="false" hidden="false" localSheetId="7" name="lrty" vbProcedure="false">#REF!</definedName>
    <definedName function="false" hidden="false" localSheetId="7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LSalesGrowth" vbProcedure="false">#REF!</definedName>
    <definedName function="false" hidden="false" localSheetId="7" name="LSalesGrowth___0" vbProcedure="false">#REF!</definedName>
    <definedName function="false" hidden="false" localSheetId="7" name="LSalesGrowth___12" vbProcedure="false">#REF!</definedName>
    <definedName function="false" hidden="false" localSheetId="7" name="LSalesGrowth___14" vbProcedure="false">#REF!</definedName>
    <definedName function="false" hidden="false" localSheetId="7" name="LSalesGrowth___16" vbProcedure="false">#REF!</definedName>
    <definedName function="false" hidden="false" localSheetId="7" name="LSalesGrowth___2" vbProcedure="false">#REF!</definedName>
    <definedName function="false" hidden="false" localSheetId="7" name="LSalesGrowth___25" vbProcedure="false">#REF!</definedName>
    <definedName function="false" hidden="false" localSheetId="7" name="LSalesGrowth___26" vbProcedure="false">#REF!</definedName>
    <definedName function="false" hidden="false" localSheetId="7" name="LSalesGrowth___27" vbProcedure="false">#REF!</definedName>
    <definedName function="false" hidden="false" localSheetId="7" name="LSalesGrowth___4" vbProcedure="false">#REF!</definedName>
    <definedName function="false" hidden="false" localSheetId="7" name="LSalesGrowth___5" vbProcedure="false">#REF!</definedName>
    <definedName function="false" hidden="false" localSheetId="7" name="LSalesGrowth___7" vbProcedure="false">#REF!</definedName>
    <definedName function="false" hidden="false" localSheetId="7" name="LTaxRate" vbProcedure="false">#REF!</definedName>
    <definedName function="false" hidden="false" localSheetId="7" name="LTaxRate___0" vbProcedure="false">#REF!</definedName>
    <definedName function="false" hidden="false" localSheetId="7" name="LTaxRate___12" vbProcedure="false">#REF!</definedName>
    <definedName function="false" hidden="false" localSheetId="7" name="LTaxRate___14" vbProcedure="false">#REF!</definedName>
    <definedName function="false" hidden="false" localSheetId="7" name="LTaxRate___16" vbProcedure="false">#REF!</definedName>
    <definedName function="false" hidden="false" localSheetId="7" name="LTaxRate___2" vbProcedure="false">#REF!</definedName>
    <definedName function="false" hidden="false" localSheetId="7" name="LTaxRate___25" vbProcedure="false">#REF!</definedName>
    <definedName function="false" hidden="false" localSheetId="7" name="LTaxRate___26" vbProcedure="false">#REF!</definedName>
    <definedName function="false" hidden="false" localSheetId="7" name="LTaxRate___27" vbProcedure="false">#REF!</definedName>
    <definedName function="false" hidden="false" localSheetId="7" name="LTaxRate___4" vbProcedure="false">#REF!</definedName>
    <definedName function="false" hidden="false" localSheetId="7" name="LTaxRate___5" vbProcedure="false">#REF!</definedName>
    <definedName function="false" hidden="false" localSheetId="7" name="LTaxRate___7" vbProcedure="false">#REF!</definedName>
    <definedName function="false" hidden="false" localSheetId="7" name="lu" vbProcedure="false">{"orixcsc",#N/A,FALSE,"ORIX CSC";"orixcsc2",#N/A,FALSE,"ORIX CSC"}</definedName>
    <definedName function="false" hidden="false" localSheetId="7" name="lumpjiùo" vbProcedure="false">{"IS",#N/A,FALSE,"IS";"RPTIS",#N/A,FALSE,"RPTIS";"STATS",#N/A,FALSE,"STATS";"BS",#N/A,FALSE,"BS"}</definedName>
    <definedName function="false" hidden="false" localSheetId="7" name="lv" vbProcedure="false">{"IS",#N/A,FALSE,"IS";"RPTIS",#N/A,FALSE,"RPTIS";"STATS",#N/A,FALSE,"STATS";"BS",#N/A,FALSE,"BS"}</definedName>
    <definedName function="false" hidden="false" localSheetId="7" name="ly" vbProcedure="false">{#N/A,#N/A,FALSE,"Contribution Analysis"}</definedName>
    <definedName function="false" hidden="false" localSheetId="7" name="lz" vbProcedure="false">{"IS",#N/A,FALSE,"IS";"RPTIS",#N/A,FALSE,"RPTIS";"STATS",#N/A,FALSE,"STATS";"CELL",#N/A,FALSE,"CELL";"BS",#N/A,FALSE,"BS"}</definedName>
    <definedName function="false" hidden="false" localSheetId="7" name="L_" vbProcedure="false">#REF!</definedName>
    <definedName function="false" hidden="false" localSheetId="7" name="L____0" vbProcedure="false">#REF!</definedName>
    <definedName function="false" hidden="false" localSheetId="7" name="L____12" vbProcedure="false">#REF!</definedName>
    <definedName function="false" hidden="false" localSheetId="7" name="L____14" vbProcedure="false">#REF!</definedName>
    <definedName function="false" hidden="false" localSheetId="7" name="L____16" vbProcedure="false">#REF!</definedName>
    <definedName function="false" hidden="false" localSheetId="7" name="L____2" vbProcedure="false">#REF!</definedName>
    <definedName function="false" hidden="false" localSheetId="7" name="L____25" vbProcedure="false">#REF!</definedName>
    <definedName function="false" hidden="false" localSheetId="7" name="L____26" vbProcedure="false">#REF!</definedName>
    <definedName function="false" hidden="false" localSheetId="7" name="L____27" vbProcedure="false">#REF!</definedName>
    <definedName function="false" hidden="false" localSheetId="7" name="L____4" vbProcedure="false">#REF!</definedName>
    <definedName function="false" hidden="false" localSheetId="7" name="L____5" vbProcedure="false">#REF!</definedName>
    <definedName function="false" hidden="false" localSheetId="7" name="L____7" vbProcedure="false">#REF!</definedName>
    <definedName function="false" hidden="false" localSheetId="7" name="M" vbProcedure="false">#REF!</definedName>
    <definedName function="false" hidden="false" localSheetId="7" name="M.E.SFES" vbProcedure="false">#REF!</definedName>
    <definedName function="false" hidden="false" localSheetId="7" name="ma" vbProcedure="false">{#N/A,#N/A,FALSE,"ORIX CSC"}</definedName>
    <definedName function="false" hidden="false" localSheetId="7" name="Macro3" vbProcedure="false">#REF!</definedName>
    <definedName function="false" hidden="false" localSheetId="7" name="Macro3___0" vbProcedure="false">#REF!</definedName>
    <definedName function="false" hidden="false" localSheetId="7" name="Macro3___12" vbProcedure="false">#REF!</definedName>
    <definedName function="false" hidden="false" localSheetId="7" name="Macro3___2" vbProcedure="false">#REF!</definedName>
    <definedName function="false" hidden="false" localSheetId="7" name="Macro3___27" vbProcedure="false">#REF!</definedName>
    <definedName function="false" hidden="false" localSheetId="7" name="Macro3___5" vbProcedure="false">#REF!</definedName>
    <definedName function="false" hidden="false" localSheetId="7" name="MAIN" vbProcedure="false">#REF!</definedName>
    <definedName function="false" hidden="false" localSheetId="7" name="Maintenance_Markup" vbProcedure="false">#REF!</definedName>
    <definedName function="false" hidden="false" localSheetId="7" name="March" vbProcedure="false">#REF!</definedName>
    <definedName function="false" hidden="false" localSheetId="7" name="Markets" vbProcedure="false">#REF!</definedName>
    <definedName function="false" hidden="false" localSheetId="7" name="Marrakech" vbProcedure="false">#REF!</definedName>
    <definedName function="false" hidden="false" localSheetId="7" name="Mars" vbProcedure="false">#REF!</definedName>
    <definedName function="false" hidden="false" localSheetId="7" name="marsabon" vbProcedure="false">#REF!</definedName>
    <definedName function="false" hidden="false" localSheetId="7" name="marsabon___0" vbProcedure="false">#REF!</definedName>
    <definedName function="false" hidden="false" localSheetId="7" name="marsabon___14" vbProcedure="false">#REF!</definedName>
    <definedName function="false" hidden="false" localSheetId="7" name="marsinterur" vbProcedure="false">#REF!</definedName>
    <definedName function="false" hidden="false" localSheetId="7" name="marsinterur___0" vbProcedure="false">#REF!</definedName>
    <definedName function="false" hidden="false" localSheetId="7" name="marsinterur___14" vbProcedure="false">#REF!</definedName>
    <definedName function="false" hidden="false" localSheetId="7" name="marsloc" vbProcedure="false">#REF!</definedName>
    <definedName function="false" hidden="false" localSheetId="7" name="marsloc___0" vbProcedure="false">#REF!</definedName>
    <definedName function="false" hidden="false" localSheetId="7" name="marsloc___14" vbProcedure="false">#REF!</definedName>
    <definedName function="false" hidden="false" localSheetId="7" name="MaSalar" vbProcedure="false">#REF!</definedName>
    <definedName function="false" hidden="false" localSheetId="7" name="May" vbProcedure="false">#REF!</definedName>
    <definedName function="false" hidden="false" localSheetId="7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mc" vbProcedure="false">{"IS",#N/A,FALSE,"IS";"RPTIS",#N/A,FALSE,"RPTIS";"STATS",#N/A,FALSE,"STATS";"BS",#N/A,FALSE,"BS"}</definedName>
    <definedName function="false" hidden="false" localSheetId="7" name="md" vbProcedure="false">{"IS",#N/A,FALSE,"IS";"RPTIS",#N/A,FALSE,"RPTIS";"STATS",#N/A,FALSE,"STATS";"CELL",#N/A,FALSE,"CELL";"BS",#N/A,FALSE,"BS"}</definedName>
    <definedName function="false" hidden="false" localSheetId="7" name="MDB_SAQ" vbProcedure="false">#REF!</definedName>
    <definedName function="false" hidden="false" localSheetId="7" name="mdlm" vbProcedure="false">{#N/A,#N/A,TRUE,"financial";#N/A,#N/A,TRUE,"plants"}</definedName>
    <definedName function="false" hidden="false" localSheetId="7" name="Meknes" vbProcedure="false">#REF!</definedName>
    <definedName function="false" hidden="false" localSheetId="7" name="mf" vbProcedure="false">{"print 1",#N/A,FALSE,"PrimeCo PCS";"print 2",#N/A,FALSE,"PrimeCo PCS";"valuation",#N/A,FALSE,"PrimeCo PCS"}</definedName>
    <definedName function="false" hidden="false" localSheetId="7" name="mh" vbProcedure="false">{"IS",#N/A,FALSE,"IS";"RPTIS",#N/A,FALSE,"RPTIS";"STATS",#N/A,FALSE,"STATS";"BS",#N/A,FALSE,"BS"}</definedName>
    <definedName function="false" hidden="false" localSheetId="7" name="mi" vbProcedure="false">{"subs",#N/A,FALSE,"database ";"proportional",#N/A,FALSE,"database "}</definedName>
    <definedName function="false" hidden="false" localSheetId="7" name="MIDR" vbProcedure="false">#REF!</definedName>
    <definedName function="false" hidden="false" localSheetId="7" name="MIMS" vbProcedure="false">#REF!</definedName>
    <definedName function="false" hidden="false" localSheetId="7" name="mj" vbProcedure="false">{"test2",#N/A,TRUE,"Prices"}</definedName>
    <definedName function="false" hidden="false" localSheetId="7" name="MktRiskAdj" vbProcedure="false">#REF!</definedName>
    <definedName function="false" hidden="false" localSheetId="7" name="MktRiskAdj___0" vbProcedure="false">#REF!</definedName>
    <definedName function="false" hidden="false" localSheetId="7" name="MktRiskAdj___12" vbProcedure="false">#REF!</definedName>
    <definedName function="false" hidden="false" localSheetId="7" name="MktRiskAdj___14" vbProcedure="false">#REF!</definedName>
    <definedName function="false" hidden="false" localSheetId="7" name="MktRiskAdj___16" vbProcedure="false">#REF!</definedName>
    <definedName function="false" hidden="false" localSheetId="7" name="MktRiskAdj___2" vbProcedure="false">#REF!</definedName>
    <definedName function="false" hidden="false" localSheetId="7" name="MktRiskAdj___25" vbProcedure="false">#REF!</definedName>
    <definedName function="false" hidden="false" localSheetId="7" name="MktRiskAdj___26" vbProcedure="false">#REF!</definedName>
    <definedName function="false" hidden="false" localSheetId="7" name="MktRiskAdj___27" vbProcedure="false">#REF!</definedName>
    <definedName function="false" hidden="false" localSheetId="7" name="MktRiskAdj___4" vbProcedure="false">#REF!</definedName>
    <definedName function="false" hidden="false" localSheetId="7" name="MktRiskAdj___5" vbProcedure="false">#REF!</definedName>
    <definedName function="false" hidden="false" localSheetId="7" name="MktRiskAdj___7" vbProcedure="false">#REF!</definedName>
    <definedName function="false" hidden="false" localSheetId="7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MMMMM" vbProcedure="false">#N/A</definedName>
    <definedName function="false" hidden="false" localSheetId="7" name="mn" vbProcedure="false">{"print 1",#N/A,FALSE,"PrimeCo PCS";"print 2",#N/A,FALSE,"PrimeCo PCS";"valuation",#N/A,FALSE,"PrimeCo PCS"}</definedName>
    <definedName function="false" hidden="false" localSheetId="7" name="mo" vbProcedure="false">{"test2",#N/A,TRUE,"Prices"}</definedName>
    <definedName function="false" hidden="false" localSheetId="7" name="Mohammedia" vbProcedure="false">#REF!</definedName>
    <definedName function="false" hidden="false" localSheetId="7" name="mois" vbProcedure="false">#REF!</definedName>
    <definedName function="false" hidden="false" localSheetId="7" name="mois___0" vbProcedure="false">#REF!</definedName>
    <definedName function="false" hidden="false" localSheetId="7" name="mois___14" vbProcedure="false">#REF!</definedName>
    <definedName function="false" hidden="false" localSheetId="7" name="mois___26" vbProcedure="false">#REF!</definedName>
    <definedName function="false" hidden="false" localSheetId="7" name="mois___27" vbProcedure="false">#REF!</definedName>
    <definedName function="false" hidden="false" localSheetId="7" name="mois___5" vbProcedure="false">#REF!</definedName>
    <definedName function="false" hidden="false" localSheetId="7" name="mois___7" vbProcedure="false">#REF!</definedName>
    <definedName function="false" hidden="false" localSheetId="7" name="Montant_prêt" vbProcedure="false">#REF!</definedName>
    <definedName function="false" hidden="false" localSheetId="7" name="Montant_prêt___0" vbProcedure="false">#REF!</definedName>
    <definedName function="false" hidden="false" localSheetId="7" name="Montant_prêt___12" vbProcedure="false">#REF!</definedName>
    <definedName function="false" hidden="false" localSheetId="7" name="Montant_prêt___14" vbProcedure="false">#REF!</definedName>
    <definedName function="false" hidden="false" localSheetId="7" name="Montant_prêt___16" vbProcedure="false">#REF!</definedName>
    <definedName function="false" hidden="false" localSheetId="7" name="Montant_prêt___2" vbProcedure="false">#REF!</definedName>
    <definedName function="false" hidden="false" localSheetId="7" name="Montant_prêt___25" vbProcedure="false">#REF!</definedName>
    <definedName function="false" hidden="false" localSheetId="7" name="Montant_prêt___26" vbProcedure="false">#REF!</definedName>
    <definedName function="false" hidden="false" localSheetId="7" name="Montant_prêt___27" vbProcedure="false">#REF!</definedName>
    <definedName function="false" hidden="false" localSheetId="7" name="Montant_prêt___4" vbProcedure="false">#REF!</definedName>
    <definedName function="false" hidden="false" localSheetId="7" name="Montant_prêt___5" vbProcedure="false">#REF!</definedName>
    <definedName function="false" hidden="false" localSheetId="7" name="Montant_prêt___7" vbProcedure="false">#REF!</definedName>
    <definedName function="false" hidden="false" localSheetId="7" name="month" vbProcedure="false">#REF!</definedName>
    <definedName function="false" hidden="false" localSheetId="7" name="MonthlyLigne1" vbProcedure="false">#REF!</definedName>
    <definedName function="false" hidden="false" localSheetId="7" name="MonthlyLigne2" vbProcedure="false">#REF!</definedName>
    <definedName function="false" hidden="false" localSheetId="7" name="Movies_Shared_w_USA" vbProcedure="false">#REF!</definedName>
    <definedName function="false" hidden="false" localSheetId="7" name="Movie_Grid" vbProcedure="false">#REF!</definedName>
    <definedName function="false" hidden="false" localSheetId="7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mpol" vbProcedure="false">#REF!</definedName>
    <definedName function="false" hidden="false" localSheetId="7" name="mq" vbProcedure="false">{"IS",#N/A,FALSE,"IS";"RPTIS",#N/A,FALSE,"RPTIS";"STATS",#N/A,FALSE,"STATS";"CELL",#N/A,FALSE,"CELL";"BS",#N/A,FALSE,"BS"}</definedName>
    <definedName function="false" hidden="false" localSheetId="7" name="mr" vbProcedure="false">{"IS",#N/A,FALSE,"IS";"RPTIS",#N/A,FALSE,"RPTIS";"STATS",#N/A,FALSE,"STATS";"CELL",#N/A,FALSE,"CELL";"BS",#N/A,FALSE,"BS"}</definedName>
    <definedName function="false" hidden="false" localSheetId="7" name="ms" vbProcedure="false">{"IS",#N/A,FALSE,"IS";"RPTIS",#N/A,FALSE,"RPTIS";"STATS",#N/A,FALSE,"STATS";"CELL",#N/A,FALSE,"CELL";"BS",#N/A,FALSE,"BS"}</definedName>
    <definedName function="false" hidden="false" localSheetId="7" name="MST_3K" vbProcedure="false">#REF!</definedName>
    <definedName function="false" hidden="false" localSheetId="7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mu" vbProcedure="false">{"IS",#N/A,FALSE,"IS";"RPTIS",#N/A,FALSE,"RPTIS";"STATS",#N/A,FALSE,"STATS";"BS",#N/A,FALSE,"BS"}</definedName>
    <definedName function="false" hidden="false" localSheetId="7" name="Multiples" vbProcedure="false">#REF!</definedName>
    <definedName function="false" hidden="false" localSheetId="7" name="Multiples___0" vbProcedure="false">#REF!</definedName>
    <definedName function="false" hidden="false" localSheetId="7" name="Multiples___12" vbProcedure="false">#REF!</definedName>
    <definedName function="false" hidden="false" localSheetId="7" name="Multiples___14" vbProcedure="false">#REF!</definedName>
    <definedName function="false" hidden="false" localSheetId="7" name="Multiples___16" vbProcedure="false">#REF!</definedName>
    <definedName function="false" hidden="false" localSheetId="7" name="Multiples___2" vbProcedure="false">#REF!</definedName>
    <definedName function="false" hidden="false" localSheetId="7" name="Multiples___25" vbProcedure="false">#REF!</definedName>
    <definedName function="false" hidden="false" localSheetId="7" name="Multiples___26" vbProcedure="false">#REF!</definedName>
    <definedName function="false" hidden="false" localSheetId="7" name="Multiples___27" vbProcedure="false">#REF!</definedName>
    <definedName function="false" hidden="false" localSheetId="7" name="Multiples___4" vbProcedure="false">#REF!</definedName>
    <definedName function="false" hidden="false" localSheetId="7" name="Multiples___5" vbProcedure="false">#REF!</definedName>
    <definedName function="false" hidden="false" localSheetId="7" name="Multiples___7" vbProcedure="false">#REF!</definedName>
    <definedName function="false" hidden="false" localSheetId="7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mvctco" vbProcedure="false">#REF!</definedName>
    <definedName function="false" hidden="false" localSheetId="7" name="mvctim" vbProcedure="false">#REF!</definedName>
    <definedName function="false" hidden="false" localSheetId="7" name="mvctpa" vbProcedure="false">#REF!</definedName>
    <definedName function="false" hidden="false" localSheetId="7" name="mvcttiap" vbProcedure="false">#REF!</definedName>
    <definedName function="false" hidden="false" localSheetId="7" name="mvctvmp" vbProcedure="false">#REF!</definedName>
    <definedName function="false" hidden="false" localSheetId="7" name="mvltco" vbProcedure="false">#REF!</definedName>
    <definedName function="false" hidden="false" localSheetId="7" name="mvltim" vbProcedure="false">#REF!</definedName>
    <definedName function="false" hidden="false" localSheetId="7" name="mvltnc" vbProcedure="false">#REF!</definedName>
    <definedName function="false" hidden="false" localSheetId="7" name="mvltpa" vbProcedure="false">#REF!</definedName>
    <definedName function="false" hidden="false" localSheetId="7" name="mvlttiap" vbProcedure="false">#REF!</definedName>
    <definedName function="false" hidden="false" localSheetId="7" name="mw" vbProcedure="false">{"test2",#N/A,TRUE,"Prices"}</definedName>
    <definedName function="false" hidden="false" localSheetId="7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mz" vbProcedure="false">{"IS",#N/A,FALSE,"IS";"RPTIS",#N/A,FALSE,"RPTIS";"STATS",#N/A,FALSE,"STATS";"CELL",#N/A,FALSE,"CELL";"BS",#N/A,FALSE,"BS"}</definedName>
    <definedName function="false" hidden="false" localSheetId="7" name="M___0" vbProcedure="false">#REF!</definedName>
    <definedName function="false" hidden="false" localSheetId="7" name="M___12" vbProcedure="false">#REF!</definedName>
    <definedName function="false" hidden="false" localSheetId="7" name="M___14" vbProcedure="false">#REF!</definedName>
    <definedName function="false" hidden="false" localSheetId="7" name="M___16" vbProcedure="false">#REF!</definedName>
    <definedName function="false" hidden="false" localSheetId="7" name="M___2" vbProcedure="false">#REF!</definedName>
    <definedName function="false" hidden="false" localSheetId="7" name="M___25" vbProcedure="false">#REF!</definedName>
    <definedName function="false" hidden="false" localSheetId="7" name="M___26" vbProcedure="false">#REF!</definedName>
    <definedName function="false" hidden="false" localSheetId="7" name="M___27" vbProcedure="false">#REF!</definedName>
    <definedName function="false" hidden="false" localSheetId="7" name="M___4" vbProcedure="false">#REF!</definedName>
    <definedName function="false" hidden="false" localSheetId="7" name="M___5" vbProcedure="false">#REF!</definedName>
    <definedName function="false" hidden="false" localSheetId="7" name="M___7" vbProcedure="false">#REF!</definedName>
    <definedName function="false" hidden="false" localSheetId="7" name="nalo" vbProcedure="false">#REF!</definedName>
    <definedName function="false" hidden="false" localSheetId="7" name="NameVersion" vbProcedure="false">#REF!</definedName>
    <definedName function="false" hidden="false" localSheetId="7" name="NameVersion___12" vbProcedure="false">#REF!</definedName>
    <definedName function="false" hidden="false" localSheetId="7" name="Nbe_total_de_paiements" vbProcedure="false">'Data Mobile'!Nb_de_paiements_par_an*#REF!</definedName>
    <definedName function="false" hidden="false" localSheetId="7" name="Nbe_total_de_paiements___0" vbProcedure="false">'Data Mobile'!Nb_de_paiements_par_an___0*#REF!</definedName>
    <definedName function="false" hidden="false" localSheetId="7" name="Nb_de_paiements_par_an___0" vbProcedure="false">#REF!</definedName>
    <definedName function="false" hidden="false" localSheetId="7" name="Nbe_total_de_paiements___12" vbProcedure="false">'Data Mobile'!Nb_de_paiements_par_an___12*#REF!</definedName>
    <definedName function="false" hidden="false" localSheetId="7" name="Nb_de_paiements_par_an___12" vbProcedure="false">#REF!</definedName>
    <definedName function="false" hidden="false" localSheetId="7" name="Nbe_total_de_paiements___14" vbProcedure="false">'Data Mobile'!Nb_de_paiements_par_an___14*#REF!</definedName>
    <definedName function="false" hidden="false" localSheetId="7" name="Nb_de_paiements_par_an___14" vbProcedure="false">#REF!</definedName>
    <definedName function="false" hidden="false" localSheetId="7" name="Nbe_total_de_paiements___16" vbProcedure="false">'Data Mobile'!Nb_de_paiements_par_an___16*#REF!</definedName>
    <definedName function="false" hidden="false" localSheetId="7" name="Nb_de_paiements_par_an___16" vbProcedure="false">#REF!</definedName>
    <definedName function="false" hidden="false" localSheetId="7" name="Nbe_total_de_paiements___2" vbProcedure="false">'Data Mobile'!Nb_de_paiements_par_an___2*#REF!</definedName>
    <definedName function="false" hidden="false" localSheetId="7" name="Nb_de_paiements_par_an___2" vbProcedure="false">#REF!</definedName>
    <definedName function="false" hidden="false" localSheetId="7" name="Nbe_total_de_paiements___23" vbProcedure="false">'Data Mobile'!Nb_de_paiements_par_an___0*#REF!</definedName>
    <definedName function="false" hidden="false" localSheetId="7" name="Nbe_total_de_paiements___25" vbProcedure="false">'Data Mobile'!Nb_de_paiements_par_an___25*#REF!</definedName>
    <definedName function="false" hidden="false" localSheetId="7" name="Nb_de_paiements_par_an___25" vbProcedure="false">#REF!</definedName>
    <definedName function="false" hidden="false" localSheetId="7" name="Nbe_total_de_paiements___26" vbProcedure="false">'Data Mobile'!Nb_de_paiements_par_an___26*#REF!</definedName>
    <definedName function="false" hidden="false" localSheetId="7" name="Nb_de_paiements_par_an___26" vbProcedure="false">#REF!</definedName>
    <definedName function="false" hidden="false" localSheetId="7" name="Nbe_total_de_paiements___27" vbProcedure="false">'Data Mobile'!Nb_de_paiements_par_an___27*#REF!</definedName>
    <definedName function="false" hidden="false" localSheetId="7" name="Nb_de_paiements_par_an___27" vbProcedure="false">#REF!</definedName>
    <definedName function="false" hidden="false" localSheetId="7" name="Nbe_total_de_paiements___3" vbProcedure="false">'Data Mobile'!Nb_de_paiements_par_an___0*#REF!</definedName>
    <definedName function="false" hidden="false" localSheetId="7" name="Nbe_total_de_paiements___4" vbProcedure="false">'Data Mobile'!Nb_de_paiements_par_an___4*#REF!</definedName>
    <definedName function="false" hidden="false" localSheetId="7" name="Nb_de_paiements_par_an___4" vbProcedure="false">#REF!</definedName>
    <definedName function="false" hidden="false" localSheetId="7" name="Nbe_total_de_paiements___5" vbProcedure="false">'Data Mobile'!Nb_de_paiements_par_an___5*#REF!</definedName>
    <definedName function="false" hidden="false" localSheetId="7" name="Nb_de_paiements_par_an___5" vbProcedure="false">#REF!</definedName>
    <definedName function="false" hidden="false" localSheetId="7" name="Nbe_total_de_paiements___7" vbProcedure="false">'Data Mobile'!Nb_de_paiements_par_an___7*#REF!</definedName>
    <definedName function="false" hidden="false" localSheetId="7" name="Nb_de_paiements_par_an___7" vbProcedure="false">#REF!</definedName>
    <definedName function="false" hidden="false" localSheetId="7" name="Nbe_total_de_paiements___9" vbProcedure="false">'Data Mobile'!Nb_de_paiements_par_an___0*#REF!</definedName>
    <definedName function="false" hidden="false" localSheetId="7" name="NETGAAP12M97" vbProcedure="false">#REF!</definedName>
    <definedName function="false" hidden="false" localSheetId="7" name="new" vbProcedure="false">#REF!</definedName>
    <definedName function="false" hidden="false" localSheetId="7" name="newbel" vbProcedure="false">{"IS",#N/A,FALSE,"IS";"RPTIS",#N/A,FALSE,"RPTIS";"STATS",#N/A,FALSE,"STATS";"CELL",#N/A,FALSE,"CELL";"BS",#N/A,FALSE,"BS"}</definedName>
    <definedName function="false" hidden="false" localSheetId="7" name="newbel1" vbProcedure="false">{"IS",#N/A,FALSE,"IS";"RPTIS",#N/A,FALSE,"RPTIS";"STATS",#N/A,FALSE,"STATS";"CELL",#N/A,FALSE,"CELL";"BS",#N/A,FALSE,"BS"}</definedName>
    <definedName function="false" hidden="false" localSheetId="7" name="newDC" vbProcedure="false">{#N/A,#N/A,TRUE,"Cover sheet";#N/A,#N/A,TRUE,"DCF analysis";#N/A,#N/A,TRUE,"WACC calculation"}</definedName>
    <definedName function="false" hidden="false" localSheetId="7" name="new_FTK" vbProcedure="false">{#N/A,#N/A,FALSE,"Outlook for Month ";#N/A,#N/A,FALSE,"Risk for Month ";#N/A,#N/A,FALSE,"Upside for Month"}</definedName>
    <definedName function="false" hidden="false" localSheetId="7" name="NHFGJ" vbProcedure="false">#N/A</definedName>
    <definedName function="false" hidden="false" localSheetId="7" name="Nine" vbProcedure="false">#REF!</definedName>
    <definedName function="false" hidden="false" localSheetId="7" name="nka" vbProcedure="false">#REF!</definedName>
    <definedName function="false" hidden="false" localSheetId="7" name="nki" vbProcedure="false">#REF!</definedName>
    <definedName function="false" hidden="false" localSheetId="7" name="nnflklkfrji" vbProcedure="false">#REF!</definedName>
    <definedName function="false" hidden="false" localSheetId="7" name="nnn" vbProcedure="false">OFFSET('Data Mobile'!DateRangeCompMain,9,0,COUNTA('Data Mobile'!DateRangeCompMain)-COUNTA(#REF!),1)</definedName>
    <definedName function="false" hidden="false" localSheetId="7" name="noidea" vbProcedure="false">{#N/A,#N/A,FALSE,"Calc";#N/A,#N/A,FALSE,"Sensitivity";#N/A,#N/A,FALSE,"LT Earn.Dil.";#N/A,#N/A,FALSE,"Dil. AVP"}</definedName>
    <definedName function="false" hidden="false" localSheetId="7" name="NOIDEA2" vbProcedure="false">{#N/A,#N/A,FALSE,"Calc";#N/A,#N/A,FALSE,"Sensitivity";#N/A,#N/A,FALSE,"LT Earn.Dil.";#N/A,#N/A,FALSE,"Dil. AVP"}</definedName>
    <definedName function="false" hidden="false" localSheetId="7" name="NonRGCols" vbProcedure="false">#REF!</definedName>
    <definedName function="false" hidden="false" localSheetId="7" name="NonRGCols___0" vbProcedure="false">#REF!</definedName>
    <definedName function="false" hidden="false" localSheetId="7" name="NonRGCols___12" vbProcedure="false">#REF!</definedName>
    <definedName function="false" hidden="false" localSheetId="7" name="NonRGCols___14" vbProcedure="false">#REF!</definedName>
    <definedName function="false" hidden="false" localSheetId="7" name="NonRGCols___16" vbProcedure="false">#REF!</definedName>
    <definedName function="false" hidden="false" localSheetId="7" name="NonRGCols___2" vbProcedure="false">#REF!</definedName>
    <definedName function="false" hidden="false" localSheetId="7" name="NonRGCols___25" vbProcedure="false">#REF!</definedName>
    <definedName function="false" hidden="false" localSheetId="7" name="NonRGCols___26" vbProcedure="false">#REF!</definedName>
    <definedName function="false" hidden="false" localSheetId="7" name="NonRGCols___27" vbProcedure="false">#REF!</definedName>
    <definedName function="false" hidden="false" localSheetId="7" name="NonRGCols___4" vbProcedure="false">#REF!</definedName>
    <definedName function="false" hidden="false" localSheetId="7" name="NonRGCols___5" vbProcedure="false">#REF!</definedName>
    <definedName function="false" hidden="false" localSheetId="7" name="NonRGCols___7" vbProcedure="false">#REF!</definedName>
    <definedName function="false" hidden="false" localSheetId="7" name="nouvelle_identification" vbProcedure="false">#REF!</definedName>
    <definedName function="false" hidden="false" localSheetId="7" name="Novacom" vbProcedure="false">OFFSET('Data Mobile'!CompRange1Main,9,0,COUNTA('Data Mobile'!CompRange1Main)-COUNTA(#REF!),1)</definedName>
    <definedName function="false" hidden="false" localSheetId="7" name="November" vbProcedure="false">#REF!</definedName>
    <definedName function="false" hidden="false" localSheetId="7" name="Num_premier_paiement" vbProcedure="false">#REF!</definedName>
    <definedName function="false" hidden="false" localSheetId="7" name="Num_premier_paiement___12" vbProcedure="false">#REF!</definedName>
    <definedName function="false" hidden="false" localSheetId="7" name="Num_premier_paiement___14" vbProcedure="false">#REF!</definedName>
    <definedName function="false" hidden="false" localSheetId="7" name="Num_premier_paiement___16" vbProcedure="false">#REF!</definedName>
    <definedName function="false" hidden="false" localSheetId="7" name="Num_premier_paiement___2" vbProcedure="false">#REF!</definedName>
    <definedName function="false" hidden="false" localSheetId="7" name="Num_premier_paiement___25" vbProcedure="false">#REF!</definedName>
    <definedName function="false" hidden="false" localSheetId="7" name="Num_premier_paiement___26" vbProcedure="false">#REF!</definedName>
    <definedName function="false" hidden="false" localSheetId="7" name="Num_premier_paiement___27" vbProcedure="false">#REF!</definedName>
    <definedName function="false" hidden="false" localSheetId="7" name="Num_premier_paiement___4" vbProcedure="false">#REF!</definedName>
    <definedName function="false" hidden="false" localSheetId="7" name="Num_premier_paiement___5" vbProcedure="false">#REF!</definedName>
    <definedName function="false" hidden="false" localSheetId="7" name="Num_premier_paiement___7" vbProcedure="false">#REF!</definedName>
    <definedName function="false" hidden="false" localSheetId="7" name="nvbidf" vbProcedure="false">#N/A</definedName>
    <definedName function="false" hidden="false" localSheetId="7" name="O" vbProcedure="false">#REF!</definedName>
    <definedName function="false" hidden="false" localSheetId="7" name="ObjectifCommutation" vbProcedure="false">#REF!,#REF!,#REF!</definedName>
    <definedName function="false" hidden="false" localSheetId="7" name="OBSERVATIONS" vbProcedure="false">#REF!</definedName>
    <definedName function="false" hidden="false" localSheetId="7" name="October" vbProcedure="false">#REF!</definedName>
    <definedName function="false" hidden="false" localSheetId="7" name="OH" vbProcedure="false">#REF!</definedName>
    <definedName function="false" hidden="false" localSheetId="7" name="oiuoiuouiyuiui" vbProcedure="false">#REF!</definedName>
    <definedName function="false" hidden="false" localSheetId="7" name="ok" vbProcedure="false">{#N/A,#N/A,FALSE,"Calc";#N/A,#N/A,FALSE,"Sensitivity";#N/A,#N/A,FALSE,"LT Earn.Dil.";#N/A,#N/A,FALSE,"Dil. AVP"}</definedName>
    <definedName function="false" hidden="false" localSheetId="7" name="okj" vbProcedure="false">#N/A</definedName>
    <definedName function="false" hidden="false" localSheetId="7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7" name="omar" vbProcedure="false">#REF!</definedName>
    <definedName function="false" hidden="false" localSheetId="7" name="OMC_HARDWARE" vbProcedure="false">#REF!</definedName>
    <definedName function="false" hidden="false" localSheetId="7" name="OMC_SOFTWARE" vbProcedure="false">#REF!</definedName>
    <definedName function="false" hidden="false" localSheetId="7" name="OP" vbProcedure="false">{#N/A,#N/A,FALSE,"Operations";#N/A,#N/A,FALSE,"Financials"}</definedName>
    <definedName function="false" hidden="false" localSheetId="7" name="opex3" vbProcedure="false">#N/A</definedName>
    <definedName function="false" hidden="false" localSheetId="7" name="OPEX4RCG" vbProcedure="false">#REF!</definedName>
    <definedName function="false" hidden="false" localSheetId="7" name="OPEX4Rcumul_general" vbProcedure="false">#REF!</definedName>
    <definedName function="false" hidden="false" localSheetId="7" name="OPEX_ACTU_DETAIL_DIV" vbProcedure="false">#REF!</definedName>
    <definedName function="false" hidden="false" localSheetId="7" name="OPEX_CG_03" vbProcedure="false">#REF!</definedName>
    <definedName function="false" hidden="false" localSheetId="7" name="OPEX_CR" vbProcedure="false">#REF!</definedName>
    <definedName function="false" hidden="false" localSheetId="7" name="OPEX_MC" vbProcedure="false">#REF!</definedName>
    <definedName function="false" hidden="false" localSheetId="7" name="OPEX_PREVISION" vbProcedure="false">#REF!</definedName>
    <definedName function="false" hidden="false" localSheetId="7" name="OTHER" vbProcedure="false">#REF!</definedName>
    <definedName function="false" hidden="false" localSheetId="7" name="OUJ" vbProcedure="false">#REF!</definedName>
    <definedName function="false" hidden="false" localSheetId="7" name="p" vbProcedure="false">#REF!</definedName>
    <definedName function="false" hidden="false" localSheetId="7" name="page1" vbProcedure="false">#REF!</definedName>
    <definedName function="false" hidden="false" localSheetId="7" name="page2" vbProcedure="false">#REF!</definedName>
    <definedName function="false" hidden="false" localSheetId="7" name="page3" vbProcedure="false">#REF!</definedName>
    <definedName function="false" hidden="false" localSheetId="7" name="PAIE" vbProcedure="false">#REF!</definedName>
    <definedName function="false" hidden="false" localSheetId="7" name="Paiement_calculé" vbProcedure="false">#REF!</definedName>
    <definedName function="false" hidden="false" localSheetId="7" name="Paiement_calculé___0" vbProcedure="false">#REF!</definedName>
    <definedName function="false" hidden="false" localSheetId="7" name="Paiement_calculé___12" vbProcedure="false">#REF!</definedName>
    <definedName function="false" hidden="false" localSheetId="7" name="Paiement_calculé___14" vbProcedure="false">#REF!</definedName>
    <definedName function="false" hidden="false" localSheetId="7" name="Paiement_calculé___16" vbProcedure="false">#REF!</definedName>
    <definedName function="false" hidden="false" localSheetId="7" name="Paiement_calculé___2" vbProcedure="false">#REF!</definedName>
    <definedName function="false" hidden="false" localSheetId="7" name="Paiement_calculé___25" vbProcedure="false">#REF!</definedName>
    <definedName function="false" hidden="false" localSheetId="7" name="Paiement_calculé___26" vbProcedure="false">#REF!</definedName>
    <definedName function="false" hidden="false" localSheetId="7" name="Paiement_calculé___27" vbProcedure="false">#REF!</definedName>
    <definedName function="false" hidden="false" localSheetId="7" name="Paiement_calculé___4" vbProcedure="false">#REF!</definedName>
    <definedName function="false" hidden="false" localSheetId="7" name="Paiement_calculé___5" vbProcedure="false">#REF!</definedName>
    <definedName function="false" hidden="false" localSheetId="7" name="Paiement_calculé___7" vbProcedure="false">#REF!</definedName>
    <definedName function="false" hidden="false" localSheetId="7" name="PAM" vbProcedure="false">#N/A</definedName>
    <definedName function="false" hidden="false" localSheetId="7" name="PAM___0" vbProcedure="false">'Data Mobile'!Premier_paiement___16</definedName>
    <definedName function="false" hidden="false" localSheetId="7" name="Premier_paiement___16" vbProcedure="false">#REF!</definedName>
    <definedName function="false" hidden="false" localSheetId="7" name="PAM___12" vbProcedure="false">'Data Mobile'!PreDealReduction___5</definedName>
    <definedName function="false" hidden="false" localSheetId="7" name="PreDealReduction___5" vbProcedure="false">#REF!</definedName>
    <definedName function="false" hidden="false" localSheetId="7" name="PAM___14" vbProcedure="false">'Data Mobile'!PreDealReduction___27</definedName>
    <definedName function="false" hidden="false" localSheetId="7" name="PreDealReduction___27" vbProcedure="false">#REF!</definedName>
    <definedName function="false" hidden="false" localSheetId="7" name="PAM___16" vbProcedure="false">'Data Mobile'!PreDealReduction___14</definedName>
    <definedName function="false" hidden="false" localSheetId="7" name="PreDealReduction___14" vbProcedure="false">#REF!</definedName>
    <definedName function="false" hidden="false" localSheetId="7" name="PAM___23" vbProcedure="false">'Data Mobile'!PreDealReduction___25</definedName>
    <definedName function="false" hidden="false" localSheetId="7" name="PreDealReduction___25" vbProcedure="false">#REF!</definedName>
    <definedName function="false" hidden="false" localSheetId="7" name="PAM___25" vbProcedure="false">'Data Mobile'!PreDealReduction___2</definedName>
    <definedName function="false" hidden="false" localSheetId="7" name="PreDealReduction___2" vbProcedure="false">#REF!</definedName>
    <definedName function="false" hidden="false" localSheetId="7" name="PAM___26" vbProcedure="false">'Data Mobile'!PreDealReduction___0</definedName>
    <definedName function="false" hidden="false" localSheetId="7" name="PreDealReduction___0" vbProcedure="false">#REF!</definedName>
    <definedName function="false" hidden="false" localSheetId="7" name="PAM___27" vbProcedure="false">'Data Mobile'!PreDealReduction___26</definedName>
    <definedName function="false" hidden="false" localSheetId="7" name="PreDealReduction___26" vbProcedure="false">#REF!</definedName>
    <definedName function="false" hidden="false" localSheetId="7" name="PAM___5" vbProcedure="false">'Data Mobile'!PreDealReduction___7</definedName>
    <definedName function="false" hidden="false" localSheetId="7" name="PreDealReduction___7" vbProcedure="false">#REF!</definedName>
    <definedName function="false" hidden="false" localSheetId="7" name="PAM___6" vbProcedure="false">'Data Mobile'!PreDealReduction___4</definedName>
    <definedName function="false" hidden="false" localSheetId="7" name="PreDealReduction___4" vbProcedure="false">#REF!</definedName>
    <definedName function="false" hidden="false" localSheetId="7" name="PAM___9" vbProcedure="false">'Data Mobile'!PreDealReduction___12</definedName>
    <definedName function="false" hidden="false" localSheetId="7" name="PreDealReduction___12" vbProcedure="false">#REF!</definedName>
    <definedName function="false" hidden="false" localSheetId="7" name="part" vbProcedure="false">#REF!</definedName>
    <definedName function="false" hidden="false" localSheetId="7" name="partdiv" vbProcedure="false">#REF!</definedName>
    <definedName function="false" hidden="false" localSheetId="7" name="PARTICIP" vbProcedure="false">#REF!</definedName>
    <definedName function="false" hidden="false" localSheetId="7" name="par_article" vbProcedure="false">#REF!</definedName>
    <definedName function="false" hidden="false" localSheetId="7" name="PATENTE_2003" vbProcedure="false">#REF!</definedName>
    <definedName function="false" hidden="false" localSheetId="7" name="PCU_HARDWARE" vbProcedure="false">#REF!</definedName>
    <definedName function="false" hidden="false" localSheetId="7" name="PCU_SOFTWARE" vbProcedure="false">#REF!</definedName>
    <definedName function="false" hidden="false" localSheetId="7" name="PD" vbProcedure="false">#REF!</definedName>
    <definedName function="false" hidden="false" localSheetId="7" name="Percent_Effort_Expend" vbProcedure="false">#REF!</definedName>
    <definedName function="false" hidden="false" localSheetId="7" name="PeriodsToRun" vbProcedure="false">#REF!</definedName>
    <definedName function="false" hidden="false" localSheetId="7" name="PeriodsToRun___12" vbProcedure="false">#REF!</definedName>
    <definedName function="false" hidden="false" localSheetId="7" name="Phase1" vbProcedure="false">#REF!</definedName>
    <definedName function="false" hidden="false" localSheetId="7" name="Phase2" vbProcedure="false">#REF!</definedName>
    <definedName function="false" hidden="false" localSheetId="7" name="Phase3" vbProcedure="false">#REF!</definedName>
    <definedName function="false" hidden="false" localSheetId="7" name="Phase4" vbProcedure="false">#REF!</definedName>
    <definedName function="false" hidden="false" localSheetId="7" name="Phase5" vbProcedure="false">#REF!</definedName>
    <definedName function="false" hidden="false" localSheetId="7" name="PI" vbProcedure="false">#REF!</definedName>
    <definedName function="false" hidden="false" localSheetId="7" name="PI___0" vbProcedure="false">#REF!</definedName>
    <definedName function="false" hidden="false" localSheetId="7" name="PI___12" vbProcedure="false">#REF!</definedName>
    <definedName function="false" hidden="false" localSheetId="7" name="PI___14" vbProcedure="false">#REF!</definedName>
    <definedName function="false" hidden="false" localSheetId="7" name="PI___16" vbProcedure="false">#REF!</definedName>
    <definedName function="false" hidden="false" localSheetId="7" name="PI___2" vbProcedure="false">#REF!</definedName>
    <definedName function="false" hidden="false" localSheetId="7" name="PI___25" vbProcedure="false">#REF!</definedName>
    <definedName function="false" hidden="false" localSheetId="7" name="PI___26" vbProcedure="false">#REF!</definedName>
    <definedName function="false" hidden="false" localSheetId="7" name="PI___27" vbProcedure="false">#REF!</definedName>
    <definedName function="false" hidden="false" localSheetId="7" name="PI___4" vbProcedure="false">#REF!</definedName>
    <definedName function="false" hidden="false" localSheetId="7" name="PI___5" vbProcedure="false">#REF!</definedName>
    <definedName function="false" hidden="false" localSheetId="7" name="PI___7" vbProcedure="false">#REF!</definedName>
    <definedName function="false" hidden="false" localSheetId="7" name="PLAYS_TO_DATE" vbProcedure="false">#REF!</definedName>
    <definedName function="false" hidden="false" localSheetId="7" name="PMENU" vbProcedure="false">#REF!</definedName>
    <definedName function="false" hidden="false" localSheetId="7" name="PMENU1" vbProcedure="false">#REF!</definedName>
    <definedName function="false" hidden="false" localSheetId="7" name="po" vbProcedure="false">{#N/A,#N/A,FALSE,"Calc";#N/A,#N/A,FALSE,"Sensitivity";#N/A,#N/A,FALSE,"LT Earn.Dil.";#N/A,#N/A,FALSE,"Dil. AVP"}</definedName>
    <definedName function="false" hidden="false" localSheetId="7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POLY2000" vbProcedure="false">#REF!</definedName>
    <definedName function="false" hidden="false" localSheetId="7" name="PortionInDeal" vbProcedure="false">#REF!</definedName>
    <definedName function="false" hidden="false" localSheetId="7" name="PortionInDeal___0" vbProcedure="false">#REF!</definedName>
    <definedName function="false" hidden="false" localSheetId="7" name="PortionInDeal___12" vbProcedure="false">#REF!</definedName>
    <definedName function="false" hidden="false" localSheetId="7" name="PortionInDeal___14" vbProcedure="false">#REF!</definedName>
    <definedName function="false" hidden="false" localSheetId="7" name="PortionInDeal___16" vbProcedure="false">#REF!</definedName>
    <definedName function="false" hidden="false" localSheetId="7" name="PortionInDeal___2" vbProcedure="false">#REF!</definedName>
    <definedName function="false" hidden="false" localSheetId="7" name="PortionInDeal___25" vbProcedure="false">#REF!</definedName>
    <definedName function="false" hidden="false" localSheetId="7" name="PortionInDeal___26" vbProcedure="false">#REF!</definedName>
    <definedName function="false" hidden="false" localSheetId="7" name="PortionInDeal___27" vbProcedure="false">#REF!</definedName>
    <definedName function="false" hidden="false" localSheetId="7" name="PortionInDeal___4" vbProcedure="false">#REF!</definedName>
    <definedName function="false" hidden="false" localSheetId="7" name="PortionInDeal___5" vbProcedure="false">#REF!</definedName>
    <definedName function="false" hidden="false" localSheetId="7" name="PortionInDeal___7" vbProcedure="false">#REF!</definedName>
    <definedName function="false" hidden="false" localSheetId="7" name="PP" vbProcedure="false">#REF!</definedName>
    <definedName function="false" hidden="false" localSheetId="7" name="PreDealReduction" vbProcedure="false">#REF!</definedName>
    <definedName function="false" hidden="false" localSheetId="7" name="PreDealReduction___16" vbProcedure="false">#REF!</definedName>
    <definedName function="false" hidden="false" localSheetId="7" name="Premier_paiement" vbProcedure="false">#REF!</definedName>
    <definedName function="false" hidden="false" localSheetId="7" name="Premier_paiement___0" vbProcedure="false">#REF!</definedName>
    <definedName function="false" hidden="false" localSheetId="7" name="Premier_paiement___12" vbProcedure="false">#REF!</definedName>
    <definedName function="false" hidden="false" localSheetId="7" name="Premier_paiement___14" vbProcedure="false">#REF!</definedName>
    <definedName function="false" hidden="false" localSheetId="7" name="Premier_paiement___2" vbProcedure="false">#REF!</definedName>
    <definedName function="false" hidden="false" localSheetId="7" name="Premier_paiement___25" vbProcedure="false">#REF!</definedName>
    <definedName function="false" hidden="false" localSheetId="7" name="Premier_paiement___26" vbProcedure="false">#REF!</definedName>
    <definedName function="false" hidden="false" localSheetId="7" name="Premier_paiement___27" vbProcedure="false">#REF!</definedName>
    <definedName function="false" hidden="false" localSheetId="7" name="Premier_paiement___4" vbProcedure="false">#REF!</definedName>
    <definedName function="false" hidden="false" localSheetId="7" name="Premier_paiement___5" vbProcedure="false">#REF!</definedName>
    <definedName function="false" hidden="false" localSheetId="7" name="Premier_paiement___7" vbProcedure="false">#REF!</definedName>
    <definedName function="false" hidden="false" localSheetId="7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PresentationNormalA4" vbProcedure="false">#REF!</definedName>
    <definedName function="false" hidden="false" localSheetId="7" name="prets" vbProcedure="false">#REF!</definedName>
    <definedName function="false" hidden="false" localSheetId="7" name="print4" vbProcedure="false">{#N/A,#N/A,FALSE,"Operations";#N/A,#N/A,FALSE,"Financials"}</definedName>
    <definedName function="false" hidden="false" localSheetId="7" name="Print_fullyear" vbProcedure="false">#REF!</definedName>
    <definedName function="false" hidden="false" localSheetId="7" name="Print_totalproj" vbProcedure="false">#REF!</definedName>
    <definedName function="false" hidden="false" localSheetId="7" name="PRIOR_MONTH_PLAYS" vbProcedure="false">#REF!</definedName>
    <definedName function="false" hidden="false" localSheetId="7" name="PROD" vbProcedure="false">#REF!</definedName>
    <definedName function="false" hidden="false" localSheetId="7" name="ProdCorresp" vbProcedure="false">#REF!</definedName>
    <definedName function="false" hidden="false" localSheetId="7" name="ProdCorresp___0" vbProcedure="false">#REF!</definedName>
    <definedName function="false" hidden="false" localSheetId="7" name="ProdCorresp___12" vbProcedure="false">#REF!</definedName>
    <definedName function="false" hidden="false" localSheetId="7" name="ProdCorresp___14" vbProcedure="false">#REF!</definedName>
    <definedName function="false" hidden="false" localSheetId="7" name="ProdCorresp___16" vbProcedure="false">#REF!</definedName>
    <definedName function="false" hidden="false" localSheetId="7" name="ProdCorresp___2" vbProcedure="false">#REF!</definedName>
    <definedName function="false" hidden="false" localSheetId="7" name="ProdCorresp___25" vbProcedure="false">#REF!</definedName>
    <definedName function="false" hidden="false" localSheetId="7" name="ProdCorresp___26" vbProcedure="false">#REF!</definedName>
    <definedName function="false" hidden="false" localSheetId="7" name="ProdCorresp___27" vbProcedure="false">#REF!</definedName>
    <definedName function="false" hidden="false" localSheetId="7" name="ProdCorresp___4" vbProcedure="false">#REF!</definedName>
    <definedName function="false" hidden="false" localSheetId="7" name="ProdCorresp___5" vbProcedure="false">#REF!</definedName>
    <definedName function="false" hidden="false" localSheetId="7" name="ProdCorresp___7" vbProcedure="false">#REF!</definedName>
    <definedName function="false" hidden="false" localSheetId="7" name="PROGRAM_LU" vbProcedure="false">#REF!</definedName>
    <definedName function="false" hidden="false" localSheetId="7" name="ProImportExport.ImportFile" vbProcedure="false">#N/A</definedName>
    <definedName function="false" hidden="false" localSheetId="7" name="ProImportExport.ImportFile___0" vbProcedure="false">'Data Mobile'!qa___26</definedName>
    <definedName function="false" hidden="false" localSheetId="7" name="qa___26" vbProcedure="false">'Data Mobile'!Nb_de_paiements_par_an___26*#REF!</definedName>
    <definedName function="false" hidden="false" localSheetId="7" name="ProImportExport.ImportFile___12" vbProcedure="false">'Data Mobile'!qa___14</definedName>
    <definedName function="false" hidden="false" localSheetId="7" name="qa___14" vbProcedure="false">'Data Mobile'!Nb_de_paiements_par_an___14*#REF!</definedName>
    <definedName function="false" hidden="false" localSheetId="7" name="ProImportExport.ImportFile___14" vbProcedure="false">'Data Mobile'!qa___9</definedName>
    <definedName function="false" hidden="false" localSheetId="7" name="qa___9" vbProcedure="false">'Data Mobile'!Nb_de_paiements_par_an___0*#REF!</definedName>
    <definedName function="false" hidden="false" localSheetId="7" name="ProImportExport.ImportFile___16" vbProcedure="false">'data mobile'!qa___6</definedName>
    <definedName function="false" hidden="false" localSheetId="7" name="ProImportExport.ImportFile___2" vbProcedure="false">'Data Mobile'!qa___3</definedName>
    <definedName function="false" hidden="false" localSheetId="7" name="qa___3" vbProcedure="false">'Data Mobile'!Nb_de_paiements_par_an___0*#REF!</definedName>
    <definedName function="false" hidden="false" localSheetId="7" name="ProImportExport.ImportFile___25" vbProcedure="false">'Data Mobile'!qa___16</definedName>
    <definedName function="false" hidden="false" localSheetId="7" name="qa___16" vbProcedure="false">'Data Mobile'!Nb_de_paiements_par_an___16*#REF!</definedName>
    <definedName function="false" hidden="false" localSheetId="7" name="ProImportExport.ImportFile___26" vbProcedure="false">'Data Mobile'!qa___27</definedName>
    <definedName function="false" hidden="false" localSheetId="7" name="qa___27" vbProcedure="false">'Data Mobile'!Nb_de_paiements_par_an___27*#REF!</definedName>
    <definedName function="false" hidden="false" localSheetId="7" name="ProImportExport.ImportFile___27" vbProcedure="false">'Data Mobile'!qa___2</definedName>
    <definedName function="false" hidden="false" localSheetId="7" name="qa___2" vbProcedure="false">'Data Mobile'!Nb_de_paiements_par_an___2*#REF!</definedName>
    <definedName function="false" hidden="false" localSheetId="7" name="ProImportExport.ImportFile___3" vbProcedure="false">'Data Mobile'!qa___25</definedName>
    <definedName function="false" hidden="false" localSheetId="7" name="qa___25" vbProcedure="false">'Data Mobile'!Nb_de_paiements_par_an___25*#REF!</definedName>
    <definedName function="false" hidden="false" localSheetId="7" name="ProImportExport.ImportFile___4" vbProcedure="false">'Data Mobile'!qa___23</definedName>
    <definedName function="false" hidden="false" localSheetId="7" name="qa___23" vbProcedure="false">'Data Mobile'!Nb_de_paiements_par_an___0*#REF!</definedName>
    <definedName function="false" hidden="false" localSheetId="7" name="ProImportExport.ImportFile___5" vbProcedure="false">'Data Mobile'!qa___12</definedName>
    <definedName function="false" hidden="false" localSheetId="7" name="qa___12" vbProcedure="false">'Data Mobile'!Nb_de_paiements_par_an___12*#REF!</definedName>
    <definedName function="false" hidden="false" localSheetId="7" name="ProImportExport.ImportFile___6" vbProcedure="false">'Data Mobile'!Q___0</definedName>
    <definedName function="false" hidden="false" localSheetId="7" name="Q___0" vbProcedure="false">#REF!</definedName>
    <definedName function="false" hidden="false" localSheetId="7" name="ProImportExport.ImportFile___7" vbProcedure="false">'Data Mobile'!qa___5</definedName>
    <definedName function="false" hidden="false" localSheetId="7" name="qa___5" vbProcedure="false">'Data Mobile'!Nb_de_paiements_par_an___5*#REF!</definedName>
    <definedName function="false" hidden="false" localSheetId="7" name="ProImportExport.ImportFile___9" vbProcedure="false">'Data Mobile'!qa___4</definedName>
    <definedName function="false" hidden="false" localSheetId="7" name="qa___4" vbProcedure="false">'Data Mobile'!Nb_de_paiements_par_an___4*#REF!</definedName>
    <definedName function="false" hidden="false" localSheetId="7" name="ProImportExport.SaveNewFile" vbProcedure="false">#N/A</definedName>
    <definedName function="false" hidden="false" localSheetId="7" name="ProImportExport.SaveNewFile___0" vbProcedure="false">qq___26</definedName>
    <definedName function="false" hidden="false" localSheetId="7" name="ProImportExport.SaveNewFile___12" vbProcedure="false">'Data Mobile'!qq___14</definedName>
    <definedName function="false" hidden="false" localSheetId="7" name="qq___14" vbProcedure="false">'Data Mobile'!VolFactor___16/#REF!</definedName>
    <definedName function="false" hidden="false" localSheetId="7" name="ProImportExport.SaveNewFile___14" vbProcedure="false">'Data Mobile'!qq___9</definedName>
    <definedName function="false" hidden="false" localSheetId="7" name="qq___9" vbProcedure="false">'Data Mobile'!VolFactor___5/#REF!</definedName>
    <definedName function="false" hidden="false" localSheetId="7" name="ProImportExport.SaveNewFile___16" vbProcedure="false">qq___6</definedName>
    <definedName function="false" hidden="false" localSheetId="7" name="ProImportExport.SaveNewFile___2" vbProcedure="false">'Data Mobile'!qq___3</definedName>
    <definedName function="false" hidden="false" localSheetId="7" name="qq___3" vbProcedure="false">'Data Mobile'!VolFactor___5/#REF!</definedName>
    <definedName function="false" hidden="false" localSheetId="7" name="ProImportExport.SaveNewFile___25" vbProcedure="false">'Data Mobile'!qq___16</definedName>
    <definedName function="false" hidden="false" localSheetId="7" name="qq___16" vbProcedure="false">'Data Mobile'!VLastRowToPrint___7/#REF!</definedName>
    <definedName function="false" hidden="false" localSheetId="7" name="ProImportExport.SaveNewFile___26" vbProcedure="false">'Data Mobile'!qq___27</definedName>
    <definedName function="false" hidden="false" localSheetId="7" name="qq___27" vbProcedure="false">'Data Mobile'!VolFactor___14/#REF!</definedName>
    <definedName function="false" hidden="false" localSheetId="7" name="ProImportExport.SaveNewFile___27" vbProcedure="false">qq___2</definedName>
    <definedName function="false" hidden="false" localSheetId="7" name="ProImportExport.SaveNewFile___3" vbProcedure="false">'data mobile'!qq___25</definedName>
    <definedName function="false" hidden="false" localSheetId="7" name="ProImportExport.SaveNewFile___4" vbProcedure="false">'Data Mobile'!qq___23</definedName>
    <definedName function="false" hidden="false" localSheetId="7" name="qq___23" vbProcedure="false">'Data Mobile'!VolFactor___5/#REF!</definedName>
    <definedName function="false" hidden="false" localSheetId="7" name="ProImportExport.SaveNewFile___5" vbProcedure="false">qq___12</definedName>
    <definedName function="false" hidden="false" localSheetId="7" name="ProImportExport.SaveNewFile___6" vbProcedure="false">'Data Mobile'!qa___0</definedName>
    <definedName function="false" hidden="false" localSheetId="7" name="qa___0" vbProcedure="false">'Data Mobile'!Nb_de_paiements_par_an___0*#REF!</definedName>
    <definedName function="false" hidden="false" localSheetId="7" name="ProImportExport.SaveNewFile___7" vbProcedure="false">'Data Mobile'!qq___5</definedName>
    <definedName function="false" hidden="false" localSheetId="7" name="qq___5" vbProcedure="false">'Data Mobile'!VolFactor___2/#REF!</definedName>
    <definedName function="false" hidden="false" localSheetId="7" name="ProImportExport.SaveNewFile___9" vbProcedure="false">'Data Mobile'!qq___4</definedName>
    <definedName function="false" hidden="false" localSheetId="7" name="qq___4" vbProcedure="false">'Data Mobile'!VLastRowToPrint___0/#REF!</definedName>
    <definedName function="false" hidden="false" localSheetId="7" name="projectname" vbProcedure="false">#REF!</definedName>
    <definedName function="false" hidden="false" localSheetId="7" name="projets" vbProcedure="false">#REF!</definedName>
    <definedName function="false" hidden="false" localSheetId="7" name="projets___0" vbProcedure="false">#REF!</definedName>
    <definedName function="false" hidden="false" localSheetId="7" name="projets___12" vbProcedure="false">#REF!</definedName>
    <definedName function="false" hidden="false" localSheetId="7" name="projets___14" vbProcedure="false">#REF!</definedName>
    <definedName function="false" hidden="false" localSheetId="7" name="projets___16" vbProcedure="false">#REF!</definedName>
    <definedName function="false" hidden="false" localSheetId="7" name="projets___2" vbProcedure="false">#REF!</definedName>
    <definedName function="false" hidden="false" localSheetId="7" name="projets___26" vbProcedure="false">#REF!</definedName>
    <definedName function="false" hidden="false" localSheetId="7" name="projets___27" vbProcedure="false">#REF!</definedName>
    <definedName function="false" hidden="false" localSheetId="7" name="projets___5" vbProcedure="false">#REF!</definedName>
    <definedName function="false" hidden="false" localSheetId="7" name="projets___7" vbProcedure="false">#REF!</definedName>
    <definedName function="false" hidden="false" localSheetId="7" name="prout" vbProcedure="false">{"comp1",#N/A,FALSE,"COMPS";"footnotes",#N/A,FALSE,"COMPS"}</definedName>
    <definedName function="false" hidden="false" localSheetId="7" name="PTK" vbProcedure="false">#REF!</definedName>
    <definedName function="false" hidden="false" localSheetId="7" name="PTRt" vbProcedure="false">OFFSET('Data Mobile'!CompRange3Main,9,0,COUNTA('Data Mobile'!CompRange3Main)-COUNTA(#REF!),1)</definedName>
    <definedName function="false" hidden="false" localSheetId="7" name="pvctco" vbProcedure="false">#REF!</definedName>
    <definedName function="false" hidden="false" localSheetId="7" name="pvctim" vbProcedure="false">#REF!</definedName>
    <definedName function="false" hidden="false" localSheetId="7" name="pvctnc" vbProcedure="false">#REF!</definedName>
    <definedName function="false" hidden="false" localSheetId="7" name="pvctpa" vbProcedure="false">#REF!</definedName>
    <definedName function="false" hidden="false" localSheetId="7" name="pvctpl" vbProcedure="false">#REF!</definedName>
    <definedName function="false" hidden="false" localSheetId="7" name="pvcttiap" vbProcedure="false">#REF!</definedName>
    <definedName function="false" hidden="false" localSheetId="7" name="pvctvmp" vbProcedure="false">#REF!</definedName>
    <definedName function="false" hidden="false" localSheetId="7" name="pvltim" vbProcedure="false">#REF!</definedName>
    <definedName function="false" hidden="false" localSheetId="7" name="pvltnc" vbProcedure="false">#REF!</definedName>
    <definedName function="false" hidden="false" localSheetId="7" name="pvltpa" vbProcedure="false">#REF!</definedName>
    <definedName function="false" hidden="false" localSheetId="7" name="pvltpl" vbProcedure="false">#REF!</definedName>
    <definedName function="false" hidden="false" localSheetId="7" name="pvlttiap" vbProcedure="false">#REF!</definedName>
    <definedName function="false" hidden="false" localSheetId="7" name="pvlttp" vbProcedure="false">#REF!</definedName>
    <definedName function="false" hidden="false" localSheetId="7" name="pvltvmp" vbProcedure="false">#REF!</definedName>
    <definedName function="false" hidden="false" localSheetId="7" name="pvtiap" vbProcedure="false">#REF!</definedName>
    <definedName function="false" hidden="false" localSheetId="7" name="PV_Planned_Value" vbProcedure="false">#REF!</definedName>
    <definedName function="false" hidden="false" localSheetId="7" name="PwrRed" vbProcedure="false">#REF!</definedName>
    <definedName function="false" hidden="false" localSheetId="7" name="PY" vbProcedure="false">#N/A</definedName>
    <definedName function="false" hidden="false" localSheetId="7" name="Q" vbProcedure="false">#REF!</definedName>
    <definedName function="false" hidden="false" localSheetId="7" name="qa" vbProcedure="false">'Data Mobile'!Nb_de_paiements_par_an*#REF!</definedName>
    <definedName function="false" hidden="false" localSheetId="7" name="qaecdaze" vbProcedure="false">{"First Page",#N/A,FALSE,"Surfactants LBO";"Second Page",#N/A,FALSE,"Surfactants LBO"}</definedName>
    <definedName function="false" hidden="false" localSheetId="7" name="qa___7" vbProcedure="false">'Data Mobile'!Nb_de_paiements_par_an___7*#REF!</definedName>
    <definedName function="false" hidden="false" localSheetId="7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qdffd" vbProcedure="false">#REF!</definedName>
    <definedName function="false" hidden="false" localSheetId="7" name="qergh" vbProcedure="false">#N/A</definedName>
    <definedName function="false" hidden="false" localSheetId="7" name="qethte" vbProcedure="false">#N/A</definedName>
    <definedName function="false" hidden="false" localSheetId="7" name="qf" vbProcedure="false">{#N/A,#N/A,TRUE,"Cover sheet";#N/A,#N/A,TRUE,"INPUTS";#N/A,#N/A,TRUE,"OUTPUTS";#N/A,#N/A,TRUE,"VALUATION"}</definedName>
    <definedName function="false" hidden="false" localSheetId="7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qger" vbProcedure="false">#N/A</definedName>
    <definedName function="false" hidden="false" localSheetId="7" name="qgg" vbProcedure="false">{#N/A,#N/A,FALSE,"Cover";"outputs total",#N/A,FALSE,"Outputs"}</definedName>
    <definedName function="false" hidden="false" localSheetId="7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qheh" vbProcedure="false">#N/A</definedName>
    <definedName function="false" hidden="false" localSheetId="7" name="ql" vbProcedure="false">{"test2",#N/A,TRUE,"Prices"}</definedName>
    <definedName function="false" hidden="false" localSheetId="7" name="qm" vbProcedure="false">{"IS",#N/A,FALSE,"IS";"RPTIS",#N/A,FALSE,"RPTIS";"STATS",#N/A,FALSE,"STATS";"BS",#N/A,FALSE,"BS"}</definedName>
    <definedName function="false" hidden="false" localSheetId="7" name="qqqq" vbProcedure="false">#N/A</definedName>
    <definedName function="false" hidden="false" localSheetId="7" name="qqtrrt" vbProcedure="false">#N/A</definedName>
    <definedName function="false" hidden="false" localSheetId="7" name="qq___0" vbProcedure="false">'Data Mobile'!VolFactor___5/#REF!</definedName>
    <definedName function="false" hidden="false" localSheetId="7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qscfaq" vbProcedure="false">{"First Page",#N/A,FALSE,"Surfactants LBO";"Second Page",#N/A,FALSE,"Surfactants LBO"}</definedName>
    <definedName function="false" hidden="false" localSheetId="7" name="qsd" vbProcedure="false">{#N/A,#N/A,TRUE,"Cover sheet";#N/A,#N/A,TRUE,"DCF analysis";#N/A,#N/A,TRUE,"WACC calculation"}</definedName>
    <definedName function="false" hidden="false" localSheetId="7" name="qsdf" vbProcedure="false">{#N/A,#N/A,FALSE,"Contribution Analysis"}</definedName>
    <definedName function="false" hidden="false" localSheetId="7" name="qsdfqsdf" vbProcedure="false">'Data Mobile'!Tx_intérêt_par_an/#REF!</definedName>
    <definedName function="false" hidden="false" localSheetId="7" name="qsdjlgzerg" vbProcedure="false">{#N/A,#N/A,TRUE,"Cover sheet";#N/A,#N/A,TRUE,"DCF analysis";#N/A,#N/A,TRUE,"WACC calculation"}</definedName>
    <definedName function="false" hidden="false" localSheetId="7" name="qsfd" vbProcedure="false">{#N/A,#N/A,TRUE,"Cover sheet";#N/A,#N/A,TRUE,"INPUTS";#N/A,#N/A,TRUE,"OUTPUTS";#N/A,#N/A,TRUE,"VALUATION"}</definedName>
    <definedName function="false" hidden="false" localSheetId="7" name="qth" vbProcedure="false">#N/A</definedName>
    <definedName function="false" hidden="false" localSheetId="7" name="QTHRSJ" vbProcedure="false">#N/A</definedName>
    <definedName function="false" hidden="false" localSheetId="7" name="qtqy" vbProcedure="false">#N/A</definedName>
    <definedName function="false" hidden="false" localSheetId="7" name="qyqyqery" vbProcedure="false">#N/A</definedName>
    <definedName function="false" hidden="false" localSheetId="7" name="QZ" vbProcedure="false">#REF!</definedName>
    <definedName function="false" hidden="false" localSheetId="7" name="qzetqt" vbProcedure="false">#N/A</definedName>
    <definedName function="false" hidden="false" localSheetId="7" name="qzezezare" vbProcedure="false">#REF!</definedName>
    <definedName function="false" hidden="false" localSheetId="7" name="qztze" vbProcedure="false">#N/A</definedName>
    <definedName function="false" hidden="false" localSheetId="7" name="QZ___0" vbProcedure="false">#REF!</definedName>
    <definedName function="false" hidden="false" localSheetId="7" name="QZ___12" vbProcedure="false">#REF!</definedName>
    <definedName function="false" hidden="false" localSheetId="7" name="QZ___14" vbProcedure="false">#REF!</definedName>
    <definedName function="false" hidden="false" localSheetId="7" name="QZ___16" vbProcedure="false">#REF!</definedName>
    <definedName function="false" hidden="false" localSheetId="7" name="QZ___2" vbProcedure="false">#REF!</definedName>
    <definedName function="false" hidden="false" localSheetId="7" name="QZ___25" vbProcedure="false">#REF!</definedName>
    <definedName function="false" hidden="false" localSheetId="7" name="QZ___26" vbProcedure="false">#REF!</definedName>
    <definedName function="false" hidden="false" localSheetId="7" name="QZ___27" vbProcedure="false">#REF!</definedName>
    <definedName function="false" hidden="false" localSheetId="7" name="QZ___4" vbProcedure="false">#REF!</definedName>
    <definedName function="false" hidden="false" localSheetId="7" name="QZ___5" vbProcedure="false">#REF!</definedName>
    <definedName function="false" hidden="false" localSheetId="7" name="QZ___7" vbProcedure="false">#REF!</definedName>
    <definedName function="false" hidden="false" localSheetId="7" name="Q___12" vbProcedure="false">#REF!</definedName>
    <definedName function="false" hidden="false" localSheetId="7" name="Q___14" vbProcedure="false">#REF!</definedName>
    <definedName function="false" hidden="false" localSheetId="7" name="Q___16" vbProcedure="false">#REF!</definedName>
    <definedName function="false" hidden="false" localSheetId="7" name="Q___2" vbProcedure="false">#REF!</definedName>
    <definedName function="false" hidden="false" localSheetId="7" name="Q___25" vbProcedure="false">#REF!</definedName>
    <definedName function="false" hidden="false" localSheetId="7" name="Q___26" vbProcedure="false">#REF!</definedName>
    <definedName function="false" hidden="false" localSheetId="7" name="Q___27" vbProcedure="false">#REF!</definedName>
    <definedName function="false" hidden="false" localSheetId="7" name="Q___4" vbProcedure="false">#REF!</definedName>
    <definedName function="false" hidden="false" localSheetId="7" name="Q___5" vbProcedure="false">#REF!</definedName>
    <definedName function="false" hidden="false" localSheetId="7" name="Q___7" vbProcedure="false">#REF!</definedName>
    <definedName function="false" hidden="false" localSheetId="7" name="Rabat2" vbProcedure="false">#REF!</definedName>
    <definedName function="false" hidden="false" localSheetId="7" name="RE" vbProcedure="false">#REF!</definedName>
    <definedName function="false" hidden="false" localSheetId="7" name="REC" vbProcedure="false">#REF!</definedName>
    <definedName function="false" hidden="false" localSheetId="7" name="RECAP" vbProcedure="false">#REF!</definedName>
    <definedName function="false" hidden="false" localSheetId="7" name="recappv" vbProcedure="false">#REF!</definedName>
    <definedName function="false" hidden="false" localSheetId="7" name="RECAP___12" vbProcedure="false">#REF!</definedName>
    <definedName function="false" hidden="false" localSheetId="7" name="RECAP___2" vbProcedure="false">#REF!</definedName>
    <definedName function="false" hidden="false" localSheetId="7" name="RECAP___25" vbProcedure="false">#REF!</definedName>
    <definedName function="false" hidden="false" localSheetId="7" name="RECAP___26" vbProcedure="false">#REF!</definedName>
    <definedName function="false" hidden="false" localSheetId="7" name="RECAP___4" vbProcedure="false">#REF!</definedName>
    <definedName function="false" hidden="false" localSheetId="7" name="RECAP___6" vbProcedure="false">#REF!</definedName>
    <definedName function="false" hidden="false" localSheetId="7" name="RECAP___7" vbProcedure="false">#REF!</definedName>
    <definedName function="false" hidden="false" localSheetId="7" name="recglob" vbProcedure="false">#REF!</definedName>
    <definedName function="false" hidden="false" localSheetId="7" name="recglob___12" vbProcedure="false">#REF!</definedName>
    <definedName function="false" hidden="false" localSheetId="7" name="recglob___6" vbProcedure="false">#REF!</definedName>
    <definedName function="false" hidden="false" localSheetId="7" name="RECON" vbProcedure="false">#REF!</definedName>
    <definedName function="false" hidden="false" localSheetId="7" name="Recrutement2002" vbProcedure="false">#REF!</definedName>
    <definedName function="false" hidden="false" localSheetId="7" name="Recrutement2003" vbProcedure="false">#REF!</definedName>
    <definedName function="false" hidden="false" localSheetId="7" name="REC___0" vbProcedure="false">#REF!</definedName>
    <definedName function="false" hidden="false" localSheetId="7" name="REC___12" vbProcedure="false">#REF!</definedName>
    <definedName function="false" hidden="false" localSheetId="7" name="REC___14" vbProcedure="false">#REF!</definedName>
    <definedName function="false" hidden="false" localSheetId="7" name="REC___16" vbProcedure="false">#REF!</definedName>
    <definedName function="false" hidden="false" localSheetId="7" name="REC___2" vbProcedure="false">#REF!</definedName>
    <definedName function="false" hidden="false" localSheetId="7" name="REC___25" vbProcedure="false">#REF!</definedName>
    <definedName function="false" hidden="false" localSheetId="7" name="REC___26" vbProcedure="false">#REF!</definedName>
    <definedName function="false" hidden="false" localSheetId="7" name="REC___27" vbProcedure="false">#REF!</definedName>
    <definedName function="false" hidden="false" localSheetId="7" name="REC___4" vbProcedure="false">#REF!</definedName>
    <definedName function="false" hidden="false" localSheetId="7" name="REC___5" vbProcedure="false">#REF!</definedName>
    <definedName function="false" hidden="false" localSheetId="7" name="REC___7" vbProcedure="false">#REF!</definedName>
    <definedName function="false" hidden="false" localSheetId="7" name="REDEVANCE_OCCUPATION_DOMAINE_PUBLIC" vbProcedure="false">#REF!</definedName>
    <definedName function="false" hidden="false" localSheetId="7" name="reel2000" vbProcedure="false">#REF!</definedName>
    <definedName function="false" hidden="false" localSheetId="7" name="reel2000___0" vbProcedure="false">#REF!</definedName>
    <definedName function="false" hidden="false" localSheetId="7" name="reel2000___14" vbProcedure="false">#REF!</definedName>
    <definedName function="false" hidden="false" localSheetId="7" name="reel2000___27" vbProcedure="false">#REF!</definedName>
    <definedName function="false" hidden="false" localSheetId="7" name="reel2000___5" vbProcedure="false">#REF!</definedName>
    <definedName function="false" hidden="false" localSheetId="7" name="REGLEE_LE_02_06_2003" vbProcedure="false">#REF!</definedName>
    <definedName function="false" hidden="false" localSheetId="7" name="Regular_Movies" vbProcedure="false">#REF!</definedName>
    <definedName function="false" hidden="false" localSheetId="7" name="rert" vbProcedure="false">#REF!</definedName>
    <definedName function="false" hidden="false" localSheetId="7" name="retraite2002" vbProcedure="false">#REF!</definedName>
    <definedName function="false" hidden="false" localSheetId="7" name="Retraite2003" vbProcedure="false">#REF!</definedName>
    <definedName function="false" hidden="false" localSheetId="7" name="rev" vbProcedure="false">#REF!</definedName>
    <definedName function="false" hidden="false" localSheetId="7" name="revenus" vbProcedure="false">#REF!</definedName>
    <definedName function="false" hidden="false" localSheetId="7" name="revenus___0" vbProcedure="false">#REF!</definedName>
    <definedName function="false" hidden="false" localSheetId="7" name="revenus___12" vbProcedure="false">#REF!</definedName>
    <definedName function="false" hidden="false" localSheetId="7" name="revenus___14" vbProcedure="false">#REF!</definedName>
    <definedName function="false" hidden="false" localSheetId="7" name="revenus___16" vbProcedure="false">#REF!</definedName>
    <definedName function="false" hidden="false" localSheetId="7" name="revenus___2" vbProcedure="false">#REF!</definedName>
    <definedName function="false" hidden="false" localSheetId="7" name="revenus___25" vbProcedure="false">#REF!</definedName>
    <definedName function="false" hidden="false" localSheetId="7" name="revenus___26" vbProcedure="false">#REF!</definedName>
    <definedName function="false" hidden="false" localSheetId="7" name="revenus___27" vbProcedure="false">#REF!</definedName>
    <definedName function="false" hidden="false" localSheetId="7" name="revenus___4" vbProcedure="false">#REF!</definedName>
    <definedName function="false" hidden="false" localSheetId="7" name="revenus___5" vbProcedure="false">#REF!</definedName>
    <definedName function="false" hidden="false" localSheetId="7" name="revenus___7" vbProcedure="false">#REF!</definedName>
    <definedName function="false" hidden="false" localSheetId="7" name="REVISIONS" vbProcedure="false">#REF!</definedName>
    <definedName function="false" hidden="false" localSheetId="7" name="rev___12" vbProcedure="false">#REF!</definedName>
    <definedName function="false" hidden="false" localSheetId="7" name="rezze" vbProcedure="false">#REF!</definedName>
    <definedName function="false" hidden="false" localSheetId="7" name="rgedrgvd" vbProcedure="false">#REF!</definedName>
    <definedName function="false" hidden="false" localSheetId="7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rhrr" vbProcedure="false">#REF!</definedName>
    <definedName function="false" hidden="false" localSheetId="7" name="Riad" vbProcedure="false">#REF!</definedName>
    <definedName function="false" hidden="false" localSheetId="7" name="RiskPremium" vbProcedure="false">#REF!</definedName>
    <definedName function="false" hidden="false" localSheetId="7" name="RiskPremium___0" vbProcedure="false">#REF!</definedName>
    <definedName function="false" hidden="false" localSheetId="7" name="RiskPremium___12" vbProcedure="false">#REF!</definedName>
    <definedName function="false" hidden="false" localSheetId="7" name="RiskPremium___14" vbProcedure="false">#REF!</definedName>
    <definedName function="false" hidden="false" localSheetId="7" name="RiskPremium___16" vbProcedure="false">#REF!</definedName>
    <definedName function="false" hidden="false" localSheetId="7" name="RiskPremium___2" vbProcedure="false">#REF!</definedName>
    <definedName function="false" hidden="false" localSheetId="7" name="RiskPremium___25" vbProcedure="false">#REF!</definedName>
    <definedName function="false" hidden="false" localSheetId="7" name="RiskPremium___26" vbProcedure="false">#REF!</definedName>
    <definedName function="false" hidden="false" localSheetId="7" name="RiskPremium___27" vbProcedure="false">#REF!</definedName>
    <definedName function="false" hidden="false" localSheetId="7" name="RiskPremium___4" vbProcedure="false">#REF!</definedName>
    <definedName function="false" hidden="false" localSheetId="7" name="RiskPremium___5" vbProcedure="false">#REF!</definedName>
    <definedName function="false" hidden="false" localSheetId="7" name="RiskPremium___7" vbProcedure="false">#REF!</definedName>
    <definedName function="false" hidden="false" localSheetId="7" name="RMD_VPC" vbProcedure="false">#REF!</definedName>
    <definedName function="false" hidden="false" localSheetId="7" name="RM_Distri" vbProcedure="false">#REF!</definedName>
    <definedName function="false" hidden="false" localSheetId="7" name="RM_SCS" vbProcedure="false">#REF!</definedName>
    <definedName function="false" hidden="false" localSheetId="7" name="rngCellNotes" vbProcedure="false">#REF!</definedName>
    <definedName function="false" hidden="false" localSheetId="7" name="rngColor" vbProcedure="false">#REF!</definedName>
    <definedName function="false" hidden="false" localSheetId="7" name="rngDim1" vbProcedure="false">#REF!</definedName>
    <definedName function="false" hidden="false" localSheetId="7" name="rngDim2" vbProcedure="false">#REF!</definedName>
    <definedName function="false" hidden="false" localSheetId="7" name="rngDim3" vbProcedure="false">#REF!</definedName>
    <definedName function="false" hidden="false" localSheetId="7" name="rngDim4" vbProcedure="false">#REF!</definedName>
    <definedName function="false" hidden="false" localSheetId="7" name="rngRetrieve" vbProcedure="false">#REF!</definedName>
    <definedName function="false" hidden="false" localSheetId="7" name="rngRetrieveFlags" vbProcedure="false">#REF!</definedName>
    <definedName function="false" hidden="false" localSheetId="7" name="Rochd" vbProcedure="false">#REF!</definedName>
    <definedName function="false" hidden="false" localSheetId="7" name="rqerger" vbProcedure="false">#N/A</definedName>
    <definedName function="false" hidden="false" localSheetId="7" name="RR" vbProcedure="false">#N/A</definedName>
    <definedName function="false" hidden="false" localSheetId="7" name="rrrrr" vbProcedure="false">#REF!</definedName>
    <definedName function="false" hidden="false" localSheetId="7" name="rrthth" vbProcedure="false">#REF!</definedName>
    <definedName function="false" hidden="false" localSheetId="7" name="rsb_cig" vbProcedure="false">#REF!</definedName>
    <definedName function="false" hidden="false" localSheetId="7" name="RSB_Markets" vbProcedure="false">#REF!</definedName>
    <definedName function="false" hidden="false" localSheetId="7" name="rty" vbProcedure="false">{#N/A,#N/A,TRUE,"Pro Forma";#N/A,#N/A,TRUE,"PF_Bal";#N/A,#N/A,TRUE,"PF_INC";#N/A,#N/A,TRUE,"CBE";#N/A,#N/A,TRUE,"SWK"}</definedName>
    <definedName function="false" hidden="false" localSheetId="7" name="R___12" vbProcedure="false">#REF!</definedName>
    <definedName function="false" hidden="false" localSheetId="7" name="R___2" vbProcedure="false">#REF!</definedName>
    <definedName function="false" hidden="false" localSheetId="7" name="R___25" vbProcedure="false">#REF!</definedName>
    <definedName function="false" hidden="false" localSheetId="7" name="R___26" vbProcedure="false">#REF!</definedName>
    <definedName function="false" hidden="false" localSheetId="7" name="R___4" vbProcedure="false">#REF!</definedName>
    <definedName function="false" hidden="false" localSheetId="7" name="R___6" vbProcedure="false">#REF!</definedName>
    <definedName function="false" hidden="false" localSheetId="7" name="R___7" vbProcedure="false">#REF!</definedName>
    <definedName function="false" hidden="false" localSheetId="7" name="référence" vbProcedure="false">#REF!</definedName>
    <definedName function="false" hidden="false" localSheetId="7" name="S" vbProcedure="false">#REF!</definedName>
    <definedName function="false" hidden="false" localSheetId="7" name="S.G.M.B" vbProcedure="false">#REF!</definedName>
    <definedName function="false" hidden="false" localSheetId="7" name="S.G.M.B." vbProcedure="false">#REF!</definedName>
    <definedName function="false" hidden="false" localSheetId="7" name="S.M.D.C" vbProcedure="false">#REF!</definedName>
    <definedName function="false" hidden="false" localSheetId="7" name="S.M.D.C." vbProcedure="false">#REF!</definedName>
    <definedName function="false" hidden="false" localSheetId="7" name="SAChoice" vbProcedure="false">#REF!</definedName>
    <definedName function="false" hidden="false" localSheetId="7" name="SAChoice___0" vbProcedure="false">#REF!</definedName>
    <definedName function="false" hidden="false" localSheetId="7" name="SAChoice___12" vbProcedure="false">#REF!</definedName>
    <definedName function="false" hidden="false" localSheetId="7" name="SAChoice___14" vbProcedure="false">#REF!</definedName>
    <definedName function="false" hidden="false" localSheetId="7" name="SAChoice___16" vbProcedure="false">#REF!</definedName>
    <definedName function="false" hidden="false" localSheetId="7" name="SAChoice___2" vbProcedure="false">#REF!</definedName>
    <definedName function="false" hidden="false" localSheetId="7" name="SAChoice___25" vbProcedure="false">#REF!</definedName>
    <definedName function="false" hidden="false" localSheetId="7" name="SAChoice___26" vbProcedure="false">#REF!</definedName>
    <definedName function="false" hidden="false" localSheetId="7" name="SAChoice___27" vbProcedure="false">#REF!</definedName>
    <definedName function="false" hidden="false" localSheetId="7" name="SAChoice___4" vbProcedure="false">#REF!</definedName>
    <definedName function="false" hidden="false" localSheetId="7" name="SAChoice___5" vbProcedure="false">#REF!</definedName>
    <definedName function="false" hidden="false" localSheetId="7" name="SAChoice___7" vbProcedure="false">#REF!</definedName>
    <definedName function="false" hidden="false" localSheetId="7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Sale" vbProcedure="false">#REF!</definedName>
    <definedName function="false" hidden="false" localSheetId="7" name="SAList" vbProcedure="false">#REF!</definedName>
    <definedName function="false" hidden="false" localSheetId="7" name="SAList___0" vbProcedure="false">#REF!</definedName>
    <definedName function="false" hidden="false" localSheetId="7" name="SAList___12" vbProcedure="false">#REF!</definedName>
    <definedName function="false" hidden="false" localSheetId="7" name="SAList___14" vbProcedure="false">#REF!</definedName>
    <definedName function="false" hidden="false" localSheetId="7" name="SAList___16" vbProcedure="false">#REF!</definedName>
    <definedName function="false" hidden="false" localSheetId="7" name="SAList___2" vbProcedure="false">#REF!</definedName>
    <definedName function="false" hidden="false" localSheetId="7" name="SAList___25" vbProcedure="false">#REF!</definedName>
    <definedName function="false" hidden="false" localSheetId="7" name="SAList___26" vbProcedure="false">#REF!</definedName>
    <definedName function="false" hidden="false" localSheetId="7" name="SAList___27" vbProcedure="false">#REF!</definedName>
    <definedName function="false" hidden="false" localSheetId="7" name="SAList___4" vbProcedure="false">#REF!</definedName>
    <definedName function="false" hidden="false" localSheetId="7" name="SAList___5" vbProcedure="false">#REF!</definedName>
    <definedName function="false" hidden="false" localSheetId="7" name="SAList___7" vbProcedure="false">#REF!</definedName>
    <definedName function="false" hidden="false" localSheetId="7" name="Saturday_Animated" vbProcedure="false">#REF!</definedName>
    <definedName function="false" hidden="false" localSheetId="7" name="SaveNewFile" vbProcedure="false">#N/A</definedName>
    <definedName function="false" hidden="false" localSheetId="7" name="SaveNewFile___0" vbProcedure="false">'Data Mobile'!TAmort___2</definedName>
    <definedName function="false" hidden="false" localSheetId="7" name="TAmort___2" vbProcedure="false">#REF!</definedName>
    <definedName function="false" hidden="false" localSheetId="7" name="SaveNewFile___16" vbProcedure="false">'Data Mobile'!sss___27</definedName>
    <definedName function="false" hidden="false" localSheetId="7" name="sss___27" vbProcedure="false">'Data Mobile'!VolFactor___14/#REF!</definedName>
    <definedName function="false" hidden="false" localSheetId="7" name="SaveNewFile___2" vbProcedure="false">t.g</definedName>
    <definedName function="false" hidden="false" localSheetId="7" name="SaveNewFile___23" vbProcedure="false">'Data Mobile'!sss___12</definedName>
    <definedName function="false" hidden="false" localSheetId="7" name="sss___12" vbProcedure="false">'Data Mobile'!VolFactor___25/#REF!</definedName>
    <definedName function="false" hidden="false" localSheetId="7" name="SaveNewFile___25" vbProcedure="false">'Data Mobile'!sss___26</definedName>
    <definedName function="false" hidden="false" localSheetId="7" name="sss___26" vbProcedure="false">'Data Mobile'!VolFactor___12/#REF!</definedName>
    <definedName function="false" hidden="false" localSheetId="7" name="SaveNewFile___26" vbProcedure="false">'Data Mobile'!TAmort___25</definedName>
    <definedName function="false" hidden="false" localSheetId="7" name="TAmort___25" vbProcedure="false">#REF!</definedName>
    <definedName function="false" hidden="false" localSheetId="7" name="SaveNewFile___27" vbProcedure="false">'Data Mobile'!TAmort___16</definedName>
    <definedName function="false" hidden="false" localSheetId="7" name="TAmort___16" vbProcedure="false">#REF!</definedName>
    <definedName function="false" hidden="false" localSheetId="7" name="SaveNewFile___3" vbProcedure="false">'Data Mobile'!sss___0</definedName>
    <definedName function="false" hidden="false" localSheetId="7" name="sss___0" vbProcedure="false">'Data Mobile'!VolFactor___5/#REF!</definedName>
    <definedName function="false" hidden="false" localSheetId="7" name="SaveNewFile___4" vbProcedure="false">'Data Mobile'!sss___5</definedName>
    <definedName function="false" hidden="false" localSheetId="7" name="sss___5" vbProcedure="false">'Data Mobile'!VolFactor___2/#REF!</definedName>
    <definedName function="false" hidden="false" localSheetId="7" name="SaveNewFile___5" vbProcedure="false">'Data Mobile'!TAmort___4</definedName>
    <definedName function="false" hidden="false" localSheetId="7" name="TAmort___4" vbProcedure="false">#REF!</definedName>
    <definedName function="false" hidden="false" localSheetId="7" name="SaveNewFile___6" vbProcedure="false">'Data Mobile'!sss___2</definedName>
    <definedName function="false" hidden="false" localSheetId="7" name="sss___2" vbProcedure="false">'Data Mobile'!VolFactor___4/#REF!</definedName>
    <definedName function="false" hidden="false" localSheetId="7" name="SaveNewFile___7" vbProcedure="false">'Data Mobile'!TAmort___14</definedName>
    <definedName function="false" hidden="false" localSheetId="7" name="TAmort___14" vbProcedure="false">#REF!</definedName>
    <definedName function="false" hidden="false" localSheetId="7" name="SaveNewFile___9" vbProcedure="false">'Data Mobile'!sss___7</definedName>
    <definedName function="false" hidden="false" localSheetId="7" name="sss___7" vbProcedure="false">'Data Mobile'!VolFactor___27/#REF!</definedName>
    <definedName function="false" hidden="false" localSheetId="7" name="SC16___0" vbProcedure="false">#REF!</definedName>
    <definedName function="false" hidden="false" localSheetId="7" name="SC16___12" vbProcedure="false">#REF!</definedName>
    <definedName function="false" hidden="false" localSheetId="7" name="SC16___14" vbProcedure="false">#REF!</definedName>
    <definedName function="false" hidden="false" localSheetId="7" name="SC16___16" vbProcedure="false">#REF!</definedName>
    <definedName function="false" hidden="false" localSheetId="7" name="SC16___2" vbProcedure="false">#REF!</definedName>
    <definedName function="false" hidden="false" localSheetId="7" name="SC16___25" vbProcedure="false">#REF!</definedName>
    <definedName function="false" hidden="false" localSheetId="7" name="SC16___26" vbProcedure="false">#REF!</definedName>
    <definedName function="false" hidden="false" localSheetId="7" name="SC16___27" vbProcedure="false">#REF!</definedName>
    <definedName function="false" hidden="false" localSheetId="7" name="SC16___4" vbProcedure="false">#REF!</definedName>
    <definedName function="false" hidden="false" localSheetId="7" name="SC16___5" vbProcedure="false">#REF!</definedName>
    <definedName function="false" hidden="false" localSheetId="7" name="SC16___7" vbProcedure="false">#REF!</definedName>
    <definedName function="false" hidden="false" localSheetId="7" name="scdv" vbProcedure="false">#N/A</definedName>
    <definedName function="false" hidden="false" localSheetId="7" name="SD" vbProcedure="false">#N/A</definedName>
    <definedName function="false" hidden="false" localSheetId="7" name="sdf" vbProcedure="false">{#N/A,#N/A,FALSE,"Calc";#N/A,#N/A,FALSE,"Sensitivity";#N/A,#N/A,FALSE,"LT Earn.Dil.";#N/A,#N/A,FALSE,"Dil. AVP"}</definedName>
    <definedName function="false" hidden="false" localSheetId="7" name="sdfsdf" vbProcedure="false">'Data Mobile'!Tx_intérêt_par_an/#REF!</definedName>
    <definedName function="false" hidden="false" localSheetId="7" name="SDFSDFD" vbProcedure="false">#REF!</definedName>
    <definedName function="false" hidden="false" localSheetId="7" name="se" vbProcedure="false">{"consolidated",#N/A,FALSE,"Sheet1";"cms",#N/A,FALSE,"Sheet1";"fse",#N/A,FALSE,"Sheet1"}</definedName>
    <definedName function="false" hidden="false" localSheetId="7" name="sel" vbProcedure="false">#REF!</definedName>
    <definedName function="false" hidden="false" localSheetId="7" name="select" vbProcedure="false">#REF!</definedName>
    <definedName function="false" hidden="false" localSheetId="7" name="selectALI" vbProcedure="false">#REF!</definedName>
    <definedName function="false" hidden="false" localSheetId="7" name="selection" vbProcedure="false">#REF!</definedName>
    <definedName function="false" hidden="false" localSheetId="7" name="Select_BIB" vbProcedure="false">#REF!</definedName>
    <definedName function="false" hidden="false" localSheetId="7" name="Select_Power27v" vbProcedure="false">#REF!</definedName>
    <definedName function="false" hidden="false" localSheetId="7" name="Select_PowerSelect" vbProcedure="false">#REF!</definedName>
    <definedName function="false" hidden="false" localSheetId="7" name="seltzer" vbProcedure="false">#REF!</definedName>
    <definedName function="false" hidden="false" localSheetId="7" name="September" vbProcedure="false">#REF!</definedName>
    <definedName function="false" hidden="false" localSheetId="7" name="Services_Markup" vbProcedure="false">#REF!</definedName>
    <definedName function="false" hidden="false" localSheetId="7" name="set" vbProcedure="false">#REF!</definedName>
    <definedName function="false" hidden="false" localSheetId="7" name="sfdff" vbProcedure="false">#N/A</definedName>
    <definedName function="false" hidden="false" localSheetId="7" name="sfdvxcvx" vbProcedure="false">#REF!</definedName>
    <definedName function="false" hidden="false" localSheetId="7" name="sfgjhsf" vbProcedure="false">#N/A</definedName>
    <definedName function="false" hidden="false" localSheetId="7" name="sfgjsf" vbProcedure="false">#N/A</definedName>
    <definedName function="false" hidden="false" localSheetId="7" name="sfhjkj" vbProcedure="false">#REF!</definedName>
    <definedName function="false" hidden="false" localSheetId="7" name="sfsdfsf" vbProcedure="false">{"First Page",#N/A,FALSE,"Surfactants LBO";"Second Page",#N/A,FALSE,"Surfactants LBO"}</definedName>
    <definedName function="false" hidden="false" localSheetId="7" name="sfsfc" vbProcedure="false">#N/A</definedName>
    <definedName function="false" hidden="false" localSheetId="7" name="sfsfd" vbProcedure="false">#REF!</definedName>
    <definedName function="false" hidden="false" localSheetId="7" name="sfze" vbProcedure="false">{#N/A,#N/A,FALSE,"Contribution Analysis"}</definedName>
    <definedName function="false" hidden="false" localSheetId="7" name="SF_Original" vbProcedure="false">#REF!</definedName>
    <definedName function="false" hidden="false" localSheetId="7" name="SGADJ" vbProcedure="false">#REF!</definedName>
    <definedName function="false" hidden="false" localSheetId="7" name="SGUNADJ" vbProcedure="false">#REF!</definedName>
    <definedName function="false" hidden="false" localSheetId="7" name="sh" vbProcedure="false">#N/A</definedName>
    <definedName function="false" hidden="false" localSheetId="7" name="shdrhjrt" vbProcedure="false">#N/A</definedName>
    <definedName function="false" hidden="false" localSheetId="7" name="shst" vbProcedure="false">#N/A</definedName>
    <definedName function="false" hidden="false" localSheetId="7" name="si" vbProcedure="false">#REF!</definedName>
    <definedName function="false" hidden="false" localSheetId="7" name="sjg" vbProcedure="false">#N/A</definedName>
    <definedName function="false" hidden="false" localSheetId="7" name="sm" vbProcedure="false">#REF!</definedName>
    <definedName function="false" hidden="false" localSheetId="7" name="solver_opt" vbProcedure="false">#REF!</definedName>
    <definedName function="false" hidden="false" localSheetId="7" name="SPARES" vbProcedure="false">#REF!</definedName>
    <definedName function="false" hidden="false" localSheetId="7" name="Spares_Markup" vbProcedure="false">#REF!</definedName>
    <definedName function="false" hidden="false" localSheetId="7" name="SPI_Sch_Perf_Index" vbProcedure="false">#REF!</definedName>
    <definedName function="false" hidden="false" localSheetId="7" name="SPS" vbProcedure="false">#REF!</definedName>
    <definedName function="false" hidden="false" localSheetId="7" name="sqdqs" vbProcedure="false">#REF!</definedName>
    <definedName function="false" hidden="false" localSheetId="7" name="sqdsf" vbProcedure="false">'Data Mobile'!Tx_intérêt_par_an/#REF!</definedName>
    <definedName function="false" hidden="false" localSheetId="7" name="ss" vbProcedure="false">#REF!</definedName>
    <definedName function="false" hidden="false" localSheetId="7" name="SSCurrInput" vbProcedure="false">#REF!</definedName>
    <definedName function="false" hidden="false" localSheetId="7" name="SSCurrInput___0" vbProcedure="false">#REF!</definedName>
    <definedName function="false" hidden="false" localSheetId="7" name="SSCurrInput___12" vbProcedure="false">#REF!</definedName>
    <definedName function="false" hidden="false" localSheetId="7" name="SSCurrInput___14" vbProcedure="false">#REF!</definedName>
    <definedName function="false" hidden="false" localSheetId="7" name="SSCurrInput___16" vbProcedure="false">#REF!</definedName>
    <definedName function="false" hidden="false" localSheetId="7" name="SSCurrInput___2" vbProcedure="false">#REF!</definedName>
    <definedName function="false" hidden="false" localSheetId="7" name="SSCurrInput___25" vbProcedure="false">#REF!</definedName>
    <definedName function="false" hidden="false" localSheetId="7" name="SSCurrInput___26" vbProcedure="false">#REF!</definedName>
    <definedName function="false" hidden="false" localSheetId="7" name="SSCurrInput___27" vbProcedure="false">#REF!</definedName>
    <definedName function="false" hidden="false" localSheetId="7" name="SSCurrInput___4" vbProcedure="false">#REF!</definedName>
    <definedName function="false" hidden="false" localSheetId="7" name="SSCurrInput___5" vbProcedure="false">#REF!</definedName>
    <definedName function="false" hidden="false" localSheetId="7" name="SSCurrInput___7" vbProcedure="false">#REF!</definedName>
    <definedName function="false" hidden="false" localSheetId="7" name="ssdsds" vbProcedure="false">{#N/A,#N/A,TRUE,"Cover sheet";#N/A,#N/A,TRUE,"DCF analysis";#N/A,#N/A,TRUE,"WACC calculation"}</definedName>
    <definedName function="false" hidden="false" localSheetId="7" name="SSQ" vbProcedure="false">#REF!</definedName>
    <definedName function="false" hidden="false" localSheetId="7" name="sss" vbProcedure="false">'Data Mobile'!Tx_intérêt_par_an/#REF!</definedName>
    <definedName function="false" hidden="false" localSheetId="7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ssssssssssss" vbProcedure="false">#REF!</definedName>
    <definedName function="false" hidden="false" localSheetId="7" name="sss___14" vbProcedure="false">'Data Mobile'!VolFactor___16/#REF!</definedName>
    <definedName function="false" hidden="false" localSheetId="7" name="sss___16" vbProcedure="false">'Data Mobile'!VLastRowToPrint___7/#REF!</definedName>
    <definedName function="false" hidden="false" localSheetId="7" name="sss___23" vbProcedure="false">'Data Mobile'!VolFactor___5/#REF!</definedName>
    <definedName function="false" hidden="false" localSheetId="7" name="sss___3" vbProcedure="false">'Data Mobile'!VolFactor___5/#REF!</definedName>
    <definedName function="false" hidden="false" localSheetId="7" name="sss___4" vbProcedure="false">'Data Mobile'!VLastRowToPrint___0/#REF!</definedName>
    <definedName function="false" hidden="false" localSheetId="7" name="sss___6" vbProcedure="false">'Data Mobile'!VLastRowToPrint___26/#REF!</definedName>
    <definedName function="false" hidden="false" localSheetId="7" name="sss___9" vbProcedure="false">'Data Mobile'!VolFactor___5/#REF!</definedName>
    <definedName function="false" hidden="false" localSheetId="7" name="startdate" vbProcedure="false">#REF!</definedName>
    <definedName function="false" hidden="false" localSheetId="7" name="STDCOSTS" vbProcedure="false">#REF!</definedName>
    <definedName function="false" hidden="false" localSheetId="7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STPER" vbProcedure="false">#REF!</definedName>
    <definedName function="false" hidden="false" localSheetId="7" name="SUM" vbProcedure="false">#REF!</definedName>
    <definedName function="false" hidden="false" localSheetId="7" name="SV_Sch_Var" vbProcedure="false">#REF!</definedName>
    <definedName function="false" hidden="false" localSheetId="7" name="SV_Sch_Variance" vbProcedure="false">#REF!</definedName>
    <definedName function="false" hidden="false" localSheetId="7" name="SYNTHESE_BA__ETAT_PRIVE" vbProcedure="false">#REF!</definedName>
    <definedName function="false" hidden="false" localSheetId="7" name="synthèse" vbProcedure="false">#REF!</definedName>
    <definedName function="false" hidden="false" localSheetId="7" name="SystemImpedance" vbProcedure="false">#REF!</definedName>
    <definedName function="false" hidden="false" localSheetId="7" name="S___0" vbProcedure="false">#REF!</definedName>
    <definedName function="false" hidden="false" localSheetId="7" name="S___12" vbProcedure="false">#REF!</definedName>
    <definedName function="false" hidden="false" localSheetId="7" name="S___14" vbProcedure="false">#REF!</definedName>
    <definedName function="false" hidden="false" localSheetId="7" name="S___16" vbProcedure="false">#REF!</definedName>
    <definedName function="false" hidden="false" localSheetId="7" name="S___2" vbProcedure="false">#REF!</definedName>
    <definedName function="false" hidden="false" localSheetId="7" name="S___25" vbProcedure="false">#REF!</definedName>
    <definedName function="false" hidden="false" localSheetId="7" name="S___26" vbProcedure="false">#REF!</definedName>
    <definedName function="false" hidden="false" localSheetId="7" name="S___27" vbProcedure="false">#REF!</definedName>
    <definedName function="false" hidden="false" localSheetId="7" name="S___4" vbProcedure="false">#REF!</definedName>
    <definedName function="false" hidden="false" localSheetId="7" name="S___5" vbProcedure="false">#REF!</definedName>
    <definedName function="false" hidden="false" localSheetId="7" name="S___7" vbProcedure="false">#REF!</definedName>
    <definedName function="false" hidden="false" localSheetId="7" name="T.V.A__MAI__2003" vbProcedure="false">#REF!</definedName>
    <definedName function="false" hidden="false" localSheetId="7" name="TABLE" vbProcedure="false">#REF!</definedName>
    <definedName function="false" hidden="false" localSheetId="7" name="tableau" vbProcedure="false">#REF!</definedName>
    <definedName function="false" hidden="false" localSheetId="7" name="tableau10" vbProcedure="false">#REF!,#REF!</definedName>
    <definedName function="false" hidden="false" localSheetId="7" name="tableau14" vbProcedure="false">#REF!</definedName>
    <definedName function="false" hidden="false" localSheetId="7" name="tableau15" vbProcedure="false">#REF!</definedName>
    <definedName function="false" hidden="false" localSheetId="7" name="tableau16" vbProcedure="false">#REF!,#REF!</definedName>
    <definedName function="false" hidden="false" localSheetId="7" name="tableau17" vbProcedure="false">#REF!</definedName>
    <definedName function="false" hidden="false" localSheetId="7" name="tableau18" vbProcedure="false">#REF!,#REF!,#REF!</definedName>
    <definedName function="false" hidden="false" localSheetId="7" name="tableau2" vbProcedure="false">#REF!,#REF!</definedName>
    <definedName function="false" hidden="false" localSheetId="7" name="tableau3" vbProcedure="false">#REF!,#REF!,#REF!,#REF!</definedName>
    <definedName function="false" hidden="false" localSheetId="7" name="tableau4" vbProcedure="false">#REF!,#REF!,#REF!</definedName>
    <definedName function="false" hidden="false" localSheetId="7" name="tableau5" vbProcedure="false">#REF!</definedName>
    <definedName function="false" hidden="false" localSheetId="7" name="tableau6" vbProcedure="false">#REF!</definedName>
    <definedName function="false" hidden="false" localSheetId="7" name="tableau7" vbProcedure="false">#REF!</definedName>
    <definedName function="false" hidden="false" localSheetId="7" name="tableau8" vbProcedure="false">#REF!,#REF!</definedName>
    <definedName function="false" hidden="false" localSheetId="7" name="tableconv" vbProcedure="false">#REF!</definedName>
    <definedName function="false" hidden="false" localSheetId="7" name="tableconversion" vbProcedure="false">#REF!</definedName>
    <definedName function="false" hidden="false" localSheetId="7" name="TAmort" vbProcedure="false">#REF!</definedName>
    <definedName function="false" hidden="false" localSheetId="7" name="TAmort___0" vbProcedure="false">#REF!</definedName>
    <definedName function="false" hidden="false" localSheetId="7" name="TAmort___12" vbProcedure="false">#REF!</definedName>
    <definedName function="false" hidden="false" localSheetId="7" name="TAmort___26" vbProcedure="false">#REF!</definedName>
    <definedName function="false" hidden="false" localSheetId="7" name="TAmort___27" vbProcedure="false">#REF!</definedName>
    <definedName function="false" hidden="false" localSheetId="7" name="TAmort___5" vbProcedure="false">#REF!</definedName>
    <definedName function="false" hidden="false" localSheetId="7" name="TAmort___7" vbProcedure="false">#REF!</definedName>
    <definedName function="false" hidden="false" localSheetId="7" name="Tanger" vbProcedure="false">#REF!</definedName>
    <definedName function="false" hidden="false" localSheetId="7" name="TargetDebtToCapital" vbProcedure="false">#REF!</definedName>
    <definedName function="false" hidden="false" localSheetId="7" name="TargetDebtToCapital___0" vbProcedure="false">#REF!</definedName>
    <definedName function="false" hidden="false" localSheetId="7" name="TargetDebtToCapital___12" vbProcedure="false">#REF!</definedName>
    <definedName function="false" hidden="false" localSheetId="7" name="TargetDebtToCapital___14" vbProcedure="false">#REF!</definedName>
    <definedName function="false" hidden="false" localSheetId="7" name="TargetDebtToCapital___16" vbProcedure="false">#REF!</definedName>
    <definedName function="false" hidden="false" localSheetId="7" name="TargetDebtToCapital___2" vbProcedure="false">#REF!</definedName>
    <definedName function="false" hidden="false" localSheetId="7" name="TargetDebtToCapital___25" vbProcedure="false">#REF!</definedName>
    <definedName function="false" hidden="false" localSheetId="7" name="TargetDebtToCapital___26" vbProcedure="false">#REF!</definedName>
    <definedName function="false" hidden="false" localSheetId="7" name="TargetDebtToCapital___27" vbProcedure="false">#REF!</definedName>
    <definedName function="false" hidden="false" localSheetId="7" name="TargetDebtToCapital___4" vbProcedure="false">#REF!</definedName>
    <definedName function="false" hidden="false" localSheetId="7" name="TargetDebtToCapital___5" vbProcedure="false">#REF!</definedName>
    <definedName function="false" hidden="false" localSheetId="7" name="TargetDebtToCapital___7" vbProcedure="false">#REF!</definedName>
    <definedName function="false" hidden="false" localSheetId="7" name="TAssetPct" vbProcedure="false">#REF!</definedName>
    <definedName function="false" hidden="false" localSheetId="7" name="TAssetPct___0" vbProcedure="false">#REF!</definedName>
    <definedName function="false" hidden="false" localSheetId="7" name="TAssetPct___12" vbProcedure="false">#REF!</definedName>
    <definedName function="false" hidden="false" localSheetId="7" name="TAssetPct___14" vbProcedure="false">#REF!</definedName>
    <definedName function="false" hidden="false" localSheetId="7" name="TAssetPct___16" vbProcedure="false">#REF!</definedName>
    <definedName function="false" hidden="false" localSheetId="7" name="TAssetPct___2" vbProcedure="false">#REF!</definedName>
    <definedName function="false" hidden="false" localSheetId="7" name="TAssetPct___25" vbProcedure="false">#REF!</definedName>
    <definedName function="false" hidden="false" localSheetId="7" name="TAssetPct___26" vbProcedure="false">#REF!</definedName>
    <definedName function="false" hidden="false" localSheetId="7" name="TAssetPct___27" vbProcedure="false">#REF!</definedName>
    <definedName function="false" hidden="false" localSheetId="7" name="TAssetPct___4" vbProcedure="false">#REF!</definedName>
    <definedName function="false" hidden="false" localSheetId="7" name="TAssetPct___5" vbProcedure="false">#REF!</definedName>
    <definedName function="false" hidden="false" localSheetId="7" name="TAssetPct___7" vbProcedure="false">#REF!</definedName>
    <definedName function="false" hidden="false" localSheetId="7" name="TAssets" vbProcedure="false">#REF!</definedName>
    <definedName function="false" hidden="false" localSheetId="7" name="TAssets___0" vbProcedure="false">#REF!</definedName>
    <definedName function="false" hidden="false" localSheetId="7" name="TAssets___12" vbProcedure="false">#REF!</definedName>
    <definedName function="false" hidden="false" localSheetId="7" name="TAssets___14" vbProcedure="false">#REF!</definedName>
    <definedName function="false" hidden="false" localSheetId="7" name="TAssets___16" vbProcedure="false">#REF!</definedName>
    <definedName function="false" hidden="false" localSheetId="7" name="TAssets___2" vbProcedure="false">#REF!</definedName>
    <definedName function="false" hidden="false" localSheetId="7" name="TAssets___25" vbProcedure="false">#REF!</definedName>
    <definedName function="false" hidden="false" localSheetId="7" name="TAssets___26" vbProcedure="false">#REF!</definedName>
    <definedName function="false" hidden="false" localSheetId="7" name="TAssets___27" vbProcedure="false">#REF!</definedName>
    <definedName function="false" hidden="false" localSheetId="7" name="TAssets___4" vbProcedure="false">#REF!</definedName>
    <definedName function="false" hidden="false" localSheetId="7" name="TAssets___5" vbProcedure="false">#REF!</definedName>
    <definedName function="false" hidden="false" localSheetId="7" name="TAssets___7" vbProcedure="false">#REF!</definedName>
    <definedName function="false" hidden="false" localSheetId="7" name="tata" vbProcedure="false">#REF!</definedName>
    <definedName function="false" hidden="false" localSheetId="7" name="tatat" vbProcedure="false">{"IS",#N/A,FALSE,"IS";"RPTIS",#N/A,FALSE,"RPTIS";"STATS",#N/A,FALSE,"STATS";"CELL",#N/A,FALSE,"CELL";"BS",#N/A,FALSE,"BS"}</definedName>
    <definedName function="false" hidden="false" localSheetId="7" name="Taux_intérêt_par_an" vbProcedure="false">#REF!</definedName>
    <definedName function="false" hidden="false" localSheetId="7" name="Taux_intérêt_par_an___0" vbProcedure="false">#REF!</definedName>
    <definedName function="false" hidden="false" localSheetId="7" name="Taux_intérêt_par_an___12" vbProcedure="false">#REF!</definedName>
    <definedName function="false" hidden="false" localSheetId="7" name="Taux_intérêt_par_an___14" vbProcedure="false">#REF!</definedName>
    <definedName function="false" hidden="false" localSheetId="7" name="Taux_intérêt_par_an___16" vbProcedure="false">#REF!</definedName>
    <definedName function="false" hidden="false" localSheetId="7" name="Taux_intérêt_par_an___2" vbProcedure="false">#REF!</definedName>
    <definedName function="false" hidden="false" localSheetId="7" name="Taux_intérêt_par_an___25" vbProcedure="false">#REF!</definedName>
    <definedName function="false" hidden="false" localSheetId="7" name="Taux_intérêt_par_an___26" vbProcedure="false">#REF!</definedName>
    <definedName function="false" hidden="false" localSheetId="7" name="Taux_intérêt_par_an___27" vbProcedure="false">#REF!</definedName>
    <definedName function="false" hidden="false" localSheetId="7" name="Taux_intérêt_par_an___4" vbProcedure="false">#REF!</definedName>
    <definedName function="false" hidden="false" localSheetId="7" name="Taux_intérêt_par_an___5" vbProcedure="false">#REF!</definedName>
    <definedName function="false" hidden="false" localSheetId="7" name="Taux_intérêt_par_an___7" vbProcedure="false">#REF!</definedName>
    <definedName function="false" hidden="false" localSheetId="7" name="TCapex" vbProcedure="false">#REF!</definedName>
    <definedName function="false" hidden="false" localSheetId="7" name="TCapexPct" vbProcedure="false">#REF!</definedName>
    <definedName function="false" hidden="false" localSheetId="7" name="TCapexPct___0" vbProcedure="false">#REF!</definedName>
    <definedName function="false" hidden="false" localSheetId="7" name="TCapexPct___12" vbProcedure="false">#REF!</definedName>
    <definedName function="false" hidden="false" localSheetId="7" name="TCapexPct___14" vbProcedure="false">#REF!</definedName>
    <definedName function="false" hidden="false" localSheetId="7" name="TCapexPct___16" vbProcedure="false">#REF!</definedName>
    <definedName function="false" hidden="false" localSheetId="7" name="TCapexPct___2" vbProcedure="false">#REF!</definedName>
    <definedName function="false" hidden="false" localSheetId="7" name="TCapexPct___25" vbProcedure="false">#REF!</definedName>
    <definedName function="false" hidden="false" localSheetId="7" name="TCapexPct___26" vbProcedure="false">#REF!</definedName>
    <definedName function="false" hidden="false" localSheetId="7" name="TCapexPct___27" vbProcedure="false">#REF!</definedName>
    <definedName function="false" hidden="false" localSheetId="7" name="TCapexPct___4" vbProcedure="false">#REF!</definedName>
    <definedName function="false" hidden="false" localSheetId="7" name="TCapexPct___5" vbProcedure="false">#REF!</definedName>
    <definedName function="false" hidden="false" localSheetId="7" name="TCapexPct___7" vbProcedure="false">#REF!</definedName>
    <definedName function="false" hidden="false" localSheetId="7" name="TCapex___0" vbProcedure="false">#REF!</definedName>
    <definedName function="false" hidden="false" localSheetId="7" name="TCapex___12" vbProcedure="false">#REF!</definedName>
    <definedName function="false" hidden="false" localSheetId="7" name="TCapex___14" vbProcedure="false">#REF!</definedName>
    <definedName function="false" hidden="false" localSheetId="7" name="TCapex___16" vbProcedure="false">#REF!</definedName>
    <definedName function="false" hidden="false" localSheetId="7" name="TCapex___2" vbProcedure="false">#REF!</definedName>
    <definedName function="false" hidden="false" localSheetId="7" name="TCapex___25" vbProcedure="false">#REF!</definedName>
    <definedName function="false" hidden="false" localSheetId="7" name="TCapex___26" vbProcedure="false">#REF!</definedName>
    <definedName function="false" hidden="false" localSheetId="7" name="TCapex___27" vbProcedure="false">#REF!</definedName>
    <definedName function="false" hidden="false" localSheetId="7" name="TCapex___4" vbProcedure="false">#REF!</definedName>
    <definedName function="false" hidden="false" localSheetId="7" name="TCapex___5" vbProcedure="false">#REF!</definedName>
    <definedName function="false" hidden="false" localSheetId="7" name="TCapex___7" vbProcedure="false">#REF!</definedName>
    <definedName function="false" hidden="false" localSheetId="7" name="Tcasa" vbProcedure="false">#REF!</definedName>
    <definedName function="false" hidden="false" localSheetId="7" name="TChgDefTax" vbProcedure="false">#REF!</definedName>
    <definedName function="false" hidden="false" localSheetId="7" name="TChgDefTax___0" vbProcedure="false">#REF!</definedName>
    <definedName function="false" hidden="false" localSheetId="7" name="TChgDefTax___12" vbProcedure="false">#REF!</definedName>
    <definedName function="false" hidden="false" localSheetId="7" name="TChgDefTax___14" vbProcedure="false">#REF!</definedName>
    <definedName function="false" hidden="false" localSheetId="7" name="TChgDefTax___16" vbProcedure="false">#REF!</definedName>
    <definedName function="false" hidden="false" localSheetId="7" name="TChgDefTax___2" vbProcedure="false">#REF!</definedName>
    <definedName function="false" hidden="false" localSheetId="7" name="TChgDefTax___25" vbProcedure="false">#REF!</definedName>
    <definedName function="false" hidden="false" localSheetId="7" name="TChgDefTax___26" vbProcedure="false">#REF!</definedName>
    <definedName function="false" hidden="false" localSheetId="7" name="TChgDefTax___27" vbProcedure="false">#REF!</definedName>
    <definedName function="false" hidden="false" localSheetId="7" name="TChgDefTax___4" vbProcedure="false">#REF!</definedName>
    <definedName function="false" hidden="false" localSheetId="7" name="TChgDefTax___5" vbProcedure="false">#REF!</definedName>
    <definedName function="false" hidden="false" localSheetId="7" name="TChgDefTax___7" vbProcedure="false">#REF!</definedName>
    <definedName function="false" hidden="false" localSheetId="7" name="TChgNWI" vbProcedure="false">#REF!</definedName>
    <definedName function="false" hidden="false" localSheetId="7" name="TChgNWI___0" vbProcedure="false">#REF!</definedName>
    <definedName function="false" hidden="false" localSheetId="7" name="TChgNWI___12" vbProcedure="false">#REF!</definedName>
    <definedName function="false" hidden="false" localSheetId="7" name="TChgNWI___14" vbProcedure="false">#REF!</definedName>
    <definedName function="false" hidden="false" localSheetId="7" name="TChgNWI___16" vbProcedure="false">#REF!</definedName>
    <definedName function="false" hidden="false" localSheetId="7" name="TChgNWI___2" vbProcedure="false">#REF!</definedName>
    <definedName function="false" hidden="false" localSheetId="7" name="TChgNWI___25" vbProcedure="false">#REF!</definedName>
    <definedName function="false" hidden="false" localSheetId="7" name="TChgNWI___26" vbProcedure="false">#REF!</definedName>
    <definedName function="false" hidden="false" localSheetId="7" name="TChgNWI___27" vbProcedure="false">#REF!</definedName>
    <definedName function="false" hidden="false" localSheetId="7" name="TChgNWI___4" vbProcedure="false">#REF!</definedName>
    <definedName function="false" hidden="false" localSheetId="7" name="TChgNWI___5" vbProcedure="false">#REF!</definedName>
    <definedName function="false" hidden="false" localSheetId="7" name="TChgNWI___7" vbProcedure="false">#REF!</definedName>
    <definedName function="false" hidden="false" localSheetId="7" name="TDepr" vbProcedure="false">#REF!</definedName>
    <definedName function="false" hidden="false" localSheetId="7" name="TDeprOutput" vbProcedure="false">#REF!</definedName>
    <definedName function="false" hidden="false" localSheetId="7" name="TDeprOutput___0" vbProcedure="false">#REF!</definedName>
    <definedName function="false" hidden="false" localSheetId="7" name="TDeprOutput___12" vbProcedure="false">#REF!</definedName>
    <definedName function="false" hidden="false" localSheetId="7" name="TDeprOutput___14" vbProcedure="false">#REF!</definedName>
    <definedName function="false" hidden="false" localSheetId="7" name="TDeprOutput___16" vbProcedure="false">#REF!</definedName>
    <definedName function="false" hidden="false" localSheetId="7" name="TDeprOutput___2" vbProcedure="false">#REF!</definedName>
    <definedName function="false" hidden="false" localSheetId="7" name="TDeprOutput___25" vbProcedure="false">#REF!</definedName>
    <definedName function="false" hidden="false" localSheetId="7" name="TDeprOutput___26" vbProcedure="false">#REF!</definedName>
    <definedName function="false" hidden="false" localSheetId="7" name="TDeprOutput___27" vbProcedure="false">#REF!</definedName>
    <definedName function="false" hidden="false" localSheetId="7" name="TDeprOutput___4" vbProcedure="false">#REF!</definedName>
    <definedName function="false" hidden="false" localSheetId="7" name="TDeprOutput___5" vbProcedure="false">#REF!</definedName>
    <definedName function="false" hidden="false" localSheetId="7" name="TDeprOutput___7" vbProcedure="false">#REF!</definedName>
    <definedName function="false" hidden="false" localSheetId="7" name="TDepr___0" vbProcedure="false">#REF!</definedName>
    <definedName function="false" hidden="false" localSheetId="7" name="TDepr___12" vbProcedure="false">#REF!</definedName>
    <definedName function="false" hidden="false" localSheetId="7" name="TDepr___14" vbProcedure="false">#REF!</definedName>
    <definedName function="false" hidden="false" localSheetId="7" name="TDepr___16" vbProcedure="false">#REF!</definedName>
    <definedName function="false" hidden="false" localSheetId="7" name="TDepr___2" vbProcedure="false">#REF!</definedName>
    <definedName function="false" hidden="false" localSheetId="7" name="TDepr___25" vbProcedure="false">#REF!</definedName>
    <definedName function="false" hidden="false" localSheetId="7" name="TDepr___26" vbProcedure="false">#REF!</definedName>
    <definedName function="false" hidden="false" localSheetId="7" name="TDepr___27" vbProcedure="false">#REF!</definedName>
    <definedName function="false" hidden="false" localSheetId="7" name="TDepr___4" vbProcedure="false">#REF!</definedName>
    <definedName function="false" hidden="false" localSheetId="7" name="TDepr___5" vbProcedure="false">#REF!</definedName>
    <definedName function="false" hidden="false" localSheetId="7" name="TDepr___7" vbProcedure="false">#REF!</definedName>
    <definedName function="false" hidden="false" localSheetId="7" name="TD_CAPEX_ACTU2_PREVISION" vbProcedure="false">#REF!</definedName>
    <definedName function="false" hidden="false" localSheetId="7" name="TEBIAT" vbProcedure="false">#REF!</definedName>
    <definedName function="false" hidden="false" localSheetId="7" name="TEBIAT___0" vbProcedure="false">#REF!</definedName>
    <definedName function="false" hidden="false" localSheetId="7" name="TEBIAT___12" vbProcedure="false">#REF!</definedName>
    <definedName function="false" hidden="false" localSheetId="7" name="TEBIAT___14" vbProcedure="false">#REF!</definedName>
    <definedName function="false" hidden="false" localSheetId="7" name="TEBIAT___16" vbProcedure="false">#REF!</definedName>
    <definedName function="false" hidden="false" localSheetId="7" name="TEBIAT___2" vbProcedure="false">#REF!</definedName>
    <definedName function="false" hidden="false" localSheetId="7" name="TEBIAT___25" vbProcedure="false">#REF!</definedName>
    <definedName function="false" hidden="false" localSheetId="7" name="TEBIAT___26" vbProcedure="false">#REF!</definedName>
    <definedName function="false" hidden="false" localSheetId="7" name="TEBIAT___27" vbProcedure="false">#REF!</definedName>
    <definedName function="false" hidden="false" localSheetId="7" name="TEBIAT___4" vbProcedure="false">#REF!</definedName>
    <definedName function="false" hidden="false" localSheetId="7" name="TEBIAT___5" vbProcedure="false">#REF!</definedName>
    <definedName function="false" hidden="false" localSheetId="7" name="TEBIAT___7" vbProcedure="false">#REF!</definedName>
    <definedName function="false" hidden="false" localSheetId="7" name="TEBIT" vbProcedure="false">#REF!</definedName>
    <definedName function="false" hidden="false" localSheetId="7" name="TEBITAdj" vbProcedure="false">#REF!</definedName>
    <definedName function="false" hidden="false" localSheetId="7" name="TEBITAdj___0" vbProcedure="false">#REF!</definedName>
    <definedName function="false" hidden="false" localSheetId="7" name="TEBITAdj___12" vbProcedure="false">#REF!</definedName>
    <definedName function="false" hidden="false" localSheetId="7" name="TEBITAdj___14" vbProcedure="false">#REF!</definedName>
    <definedName function="false" hidden="false" localSheetId="7" name="TEBITAdj___16" vbProcedure="false">#REF!</definedName>
    <definedName function="false" hidden="false" localSheetId="7" name="TEBITAdj___2" vbProcedure="false">#REF!</definedName>
    <definedName function="false" hidden="false" localSheetId="7" name="TEBITAdj___25" vbProcedure="false">#REF!</definedName>
    <definedName function="false" hidden="false" localSheetId="7" name="TEBITAdj___26" vbProcedure="false">#REF!</definedName>
    <definedName function="false" hidden="false" localSheetId="7" name="TEBITAdj___27" vbProcedure="false">#REF!</definedName>
    <definedName function="false" hidden="false" localSheetId="7" name="TEBITAdj___4" vbProcedure="false">#REF!</definedName>
    <definedName function="false" hidden="false" localSheetId="7" name="TEBITAdj___5" vbProcedure="false">#REF!</definedName>
    <definedName function="false" hidden="false" localSheetId="7" name="TEBITAdj___7" vbProcedure="false">#REF!</definedName>
    <definedName function="false" hidden="false" localSheetId="7" name="TEBITDAAdj" vbProcedure="false">#REF!</definedName>
    <definedName function="false" hidden="false" localSheetId="7" name="TEBITDAAdj___0" vbProcedure="false">#REF!</definedName>
    <definedName function="false" hidden="false" localSheetId="7" name="TEBITDAAdj___12" vbProcedure="false">#REF!</definedName>
    <definedName function="false" hidden="false" localSheetId="7" name="TEBITDAAdj___14" vbProcedure="false">#REF!</definedName>
    <definedName function="false" hidden="false" localSheetId="7" name="TEBITDAAdj___16" vbProcedure="false">#REF!</definedName>
    <definedName function="false" hidden="false" localSheetId="7" name="TEBITDAAdj___2" vbProcedure="false">#REF!</definedName>
    <definedName function="false" hidden="false" localSheetId="7" name="TEBITDAAdj___25" vbProcedure="false">#REF!</definedName>
    <definedName function="false" hidden="false" localSheetId="7" name="TEBITDAAdj___26" vbProcedure="false">#REF!</definedName>
    <definedName function="false" hidden="false" localSheetId="7" name="TEBITDAAdj___27" vbProcedure="false">#REF!</definedName>
    <definedName function="false" hidden="false" localSheetId="7" name="TEBITDAAdj___4" vbProcedure="false">#REF!</definedName>
    <definedName function="false" hidden="false" localSheetId="7" name="TEBITDAAdj___5" vbProcedure="false">#REF!</definedName>
    <definedName function="false" hidden="false" localSheetId="7" name="TEBITDAAdj___7" vbProcedure="false">#REF!</definedName>
    <definedName function="false" hidden="false" localSheetId="7" name="TEBITDAMult" vbProcedure="false">#REF!</definedName>
    <definedName function="false" hidden="false" localSheetId="7" name="TEBITDAMult___0" vbProcedure="false">#REF!</definedName>
    <definedName function="false" hidden="false" localSheetId="7" name="TEBITDAMult___12" vbProcedure="false">#REF!</definedName>
    <definedName function="false" hidden="false" localSheetId="7" name="TEBITDAMult___14" vbProcedure="false">#REF!</definedName>
    <definedName function="false" hidden="false" localSheetId="7" name="TEBITDAMult___16" vbProcedure="false">#REF!</definedName>
    <definedName function="false" hidden="false" localSheetId="7" name="TEBITDAMult___2" vbProcedure="false">#REF!</definedName>
    <definedName function="false" hidden="false" localSheetId="7" name="TEBITDAMult___25" vbProcedure="false">#REF!</definedName>
    <definedName function="false" hidden="false" localSheetId="7" name="TEBITDAMult___26" vbProcedure="false">#REF!</definedName>
    <definedName function="false" hidden="false" localSheetId="7" name="TEBITDAMult___27" vbProcedure="false">#REF!</definedName>
    <definedName function="false" hidden="false" localSheetId="7" name="TEBITDAMult___4" vbProcedure="false">#REF!</definedName>
    <definedName function="false" hidden="false" localSheetId="7" name="TEBITDAMult___5" vbProcedure="false">#REF!</definedName>
    <definedName function="false" hidden="false" localSheetId="7" name="TEBITDAMult___7" vbProcedure="false">#REF!</definedName>
    <definedName function="false" hidden="false" localSheetId="7" name="TEBITMargin" vbProcedure="false">#REF!</definedName>
    <definedName function="false" hidden="false" localSheetId="7" name="TEBITMargin___0" vbProcedure="false">#REF!</definedName>
    <definedName function="false" hidden="false" localSheetId="7" name="TEBITMargin___12" vbProcedure="false">#REF!</definedName>
    <definedName function="false" hidden="false" localSheetId="7" name="TEBITMargin___14" vbProcedure="false">#REF!</definedName>
    <definedName function="false" hidden="false" localSheetId="7" name="TEBITMargin___16" vbProcedure="false">#REF!</definedName>
    <definedName function="false" hidden="false" localSheetId="7" name="TEBITMargin___2" vbProcedure="false">#REF!</definedName>
    <definedName function="false" hidden="false" localSheetId="7" name="TEBITMargin___25" vbProcedure="false">#REF!</definedName>
    <definedName function="false" hidden="false" localSheetId="7" name="TEBITMargin___26" vbProcedure="false">#REF!</definedName>
    <definedName function="false" hidden="false" localSheetId="7" name="TEBITMargin___27" vbProcedure="false">#REF!</definedName>
    <definedName function="false" hidden="false" localSheetId="7" name="TEBITMargin___4" vbProcedure="false">#REF!</definedName>
    <definedName function="false" hidden="false" localSheetId="7" name="TEBITMargin___5" vbProcedure="false">#REF!</definedName>
    <definedName function="false" hidden="false" localSheetId="7" name="TEBITMargin___7" vbProcedure="false">#REF!</definedName>
    <definedName function="false" hidden="false" localSheetId="7" name="TEBITMult" vbProcedure="false">#REF!</definedName>
    <definedName function="false" hidden="false" localSheetId="7" name="TEBITMult___0" vbProcedure="false">#REF!</definedName>
    <definedName function="false" hidden="false" localSheetId="7" name="TEBITMult___12" vbProcedure="false">#REF!</definedName>
    <definedName function="false" hidden="false" localSheetId="7" name="TEBITMult___14" vbProcedure="false">#REF!</definedName>
    <definedName function="false" hidden="false" localSheetId="7" name="TEBITMult___16" vbProcedure="false">#REF!</definedName>
    <definedName function="false" hidden="false" localSheetId="7" name="TEBITMult___2" vbProcedure="false">#REF!</definedName>
    <definedName function="false" hidden="false" localSheetId="7" name="TEBITMult___25" vbProcedure="false">#REF!</definedName>
    <definedName function="false" hidden="false" localSheetId="7" name="TEBITMult___26" vbProcedure="false">#REF!</definedName>
    <definedName function="false" hidden="false" localSheetId="7" name="TEBITMult___27" vbProcedure="false">#REF!</definedName>
    <definedName function="false" hidden="false" localSheetId="7" name="TEBITMult___4" vbProcedure="false">#REF!</definedName>
    <definedName function="false" hidden="false" localSheetId="7" name="TEBITMult___5" vbProcedure="false">#REF!</definedName>
    <definedName function="false" hidden="false" localSheetId="7" name="TEBITMult___7" vbProcedure="false">#REF!</definedName>
    <definedName function="false" hidden="false" localSheetId="7" name="TEBIT___0" vbProcedure="false">#REF!</definedName>
    <definedName function="false" hidden="false" localSheetId="7" name="TEBIT___12" vbProcedure="false">#REF!</definedName>
    <definedName function="false" hidden="false" localSheetId="7" name="TEBIT___14" vbProcedure="false">#REF!</definedName>
    <definedName function="false" hidden="false" localSheetId="7" name="TEBIT___16" vbProcedure="false">#REF!</definedName>
    <definedName function="false" hidden="false" localSheetId="7" name="TEBIT___2" vbProcedure="false">#REF!</definedName>
    <definedName function="false" hidden="false" localSheetId="7" name="TEBIT___25" vbProcedure="false">#REF!</definedName>
    <definedName function="false" hidden="false" localSheetId="7" name="TEBIT___26" vbProcedure="false">#REF!</definedName>
    <definedName function="false" hidden="false" localSheetId="7" name="TEBIT___27" vbProcedure="false">#REF!</definedName>
    <definedName function="false" hidden="false" localSheetId="7" name="TEBIT___4" vbProcedure="false">#REF!</definedName>
    <definedName function="false" hidden="false" localSheetId="7" name="TEBIT___5" vbProcedure="false">#REF!</definedName>
    <definedName function="false" hidden="false" localSheetId="7" name="TEBIT___7" vbProcedure="false">#REF!</definedName>
    <definedName function="false" hidden="false" localSheetId="7" name="Telco_GDP" vbProcedure="false">#REF!</definedName>
    <definedName function="false" hidden="false" localSheetId="7" name="Telco_GDP___0" vbProcedure="false">#REF!</definedName>
    <definedName function="false" hidden="false" localSheetId="7" name="Telco_GDP___12" vbProcedure="false">#REF!</definedName>
    <definedName function="false" hidden="false" localSheetId="7" name="Telco_GDP___14" vbProcedure="false">#REF!</definedName>
    <definedName function="false" hidden="false" localSheetId="7" name="Telco_GDP___16" vbProcedure="false">#REF!</definedName>
    <definedName function="false" hidden="false" localSheetId="7" name="Telco_GDP___2" vbProcedure="false">#REF!</definedName>
    <definedName function="false" hidden="false" localSheetId="7" name="Telco_GDP___25" vbProcedure="false">#REF!</definedName>
    <definedName function="false" hidden="false" localSheetId="7" name="Telco_GDP___26" vbProcedure="false">#REF!</definedName>
    <definedName function="false" hidden="false" localSheetId="7" name="Telco_GDP___27" vbProcedure="false">#REF!</definedName>
    <definedName function="false" hidden="false" localSheetId="7" name="Telco_GDP___4" vbProcedure="false">#REF!</definedName>
    <definedName function="false" hidden="false" localSheetId="7" name="Telco_GDP___5" vbProcedure="false">#REF!</definedName>
    <definedName function="false" hidden="false" localSheetId="7" name="Telco_GDP___7" vbProcedure="false">#REF!</definedName>
    <definedName function="false" hidden="false" localSheetId="7" name="TermDiscperiods" vbProcedure="false">#REF!</definedName>
    <definedName function="false" hidden="false" localSheetId="7" name="TermDiscperiods___0" vbProcedure="false">#REF!</definedName>
    <definedName function="false" hidden="false" localSheetId="7" name="TermDiscperiods___12" vbProcedure="false">#REF!</definedName>
    <definedName function="false" hidden="false" localSheetId="7" name="TermDiscperiods___14" vbProcedure="false">#REF!</definedName>
    <definedName function="false" hidden="false" localSheetId="7" name="TermDiscperiods___16" vbProcedure="false">#REF!</definedName>
    <definedName function="false" hidden="false" localSheetId="7" name="TermDiscperiods___2" vbProcedure="false">#REF!</definedName>
    <definedName function="false" hidden="false" localSheetId="7" name="TermDiscperiods___25" vbProcedure="false">#REF!</definedName>
    <definedName function="false" hidden="false" localSheetId="7" name="TermDiscperiods___26" vbProcedure="false">#REF!</definedName>
    <definedName function="false" hidden="false" localSheetId="7" name="TermDiscperiods___27" vbProcedure="false">#REF!</definedName>
    <definedName function="false" hidden="false" localSheetId="7" name="TermDiscperiods___4" vbProcedure="false">#REF!</definedName>
    <definedName function="false" hidden="false" localSheetId="7" name="TermDiscperiods___5" vbProcedure="false">#REF!</definedName>
    <definedName function="false" hidden="false" localSheetId="7" name="TermDiscperiods___7" vbProcedure="false">#REF!</definedName>
    <definedName function="false" hidden="false" localSheetId="7" name="TerminalWACC" vbProcedure="false">#REF!</definedName>
    <definedName function="false" hidden="false" localSheetId="7" name="TerminalWACC___0" vbProcedure="false">#REF!</definedName>
    <definedName function="false" hidden="false" localSheetId="7" name="TerminalWACC___12" vbProcedure="false">#REF!</definedName>
    <definedName function="false" hidden="false" localSheetId="7" name="TerminalWACC___14" vbProcedure="false">#REF!</definedName>
    <definedName function="false" hidden="false" localSheetId="7" name="TerminalWACC___16" vbProcedure="false">#REF!</definedName>
    <definedName function="false" hidden="false" localSheetId="7" name="TerminalWACC___2" vbProcedure="false">#REF!</definedName>
    <definedName function="false" hidden="false" localSheetId="7" name="TerminalWACC___25" vbProcedure="false">#REF!</definedName>
    <definedName function="false" hidden="false" localSheetId="7" name="TerminalWACC___26" vbProcedure="false">#REF!</definedName>
    <definedName function="false" hidden="false" localSheetId="7" name="TerminalWACC___27" vbProcedure="false">#REF!</definedName>
    <definedName function="false" hidden="false" localSheetId="7" name="TerminalWACC___4" vbProcedure="false">#REF!</definedName>
    <definedName function="false" hidden="false" localSheetId="7" name="TerminalWACC___5" vbProcedure="false">#REF!</definedName>
    <definedName function="false" hidden="false" localSheetId="7" name="TerminalWACC___7" vbProcedure="false">#REF!</definedName>
    <definedName function="false" hidden="false" localSheetId="7" name="test" vbProcedure="false">{#N/A,#N/A,FALSE,"F_Plan";#N/A,#N/A,FALSE,"Parameter"}</definedName>
    <definedName function="false" hidden="false" localSheetId="7" name="TEST0" vbProcedure="false">#REF!</definedName>
    <definedName function="false" hidden="false" localSheetId="7" name="test1" vbProcedure="false">{#N/A,#N/A,FALSE,"Umsatz";#N/A,#N/A,FALSE,"Base V.02";#N/A,#N/A,FALSE,"Charts"}</definedName>
    <definedName function="false" hidden="false" localSheetId="7" name="test2" vbProcedure="false">{#N/A,#N/A,FALSE,"F_Plan";#N/A,#N/A,FALSE,"Parameter"}</definedName>
    <definedName function="false" hidden="false" localSheetId="7" name="TEST3" vbProcedure="false">#REF!</definedName>
    <definedName function="false" hidden="false" localSheetId="7" name="test4" vbProcedure="false">{#N/A,#N/A,FALSE,"F_Plan";#N/A,#N/A,FALSE,"Parameter"}</definedName>
    <definedName function="false" hidden="false" localSheetId="7" name="teste" vbProcedure="false">#REF!</definedName>
    <definedName function="false" hidden="false" localSheetId="7" name="TESTHKEY" vbProcedure="false">#REF!</definedName>
    <definedName function="false" hidden="false" localSheetId="7" name="TESTKEYS" vbProcedure="false">#REF!</definedName>
    <definedName function="false" hidden="false" localSheetId="7" name="tests" vbProcedure="false">{#N/A,#N/A,FALSE,"F_Plan";#N/A,#N/A,FALSE,"Parameter"}</definedName>
    <definedName function="false" hidden="false" localSheetId="7" name="TESTVKEY" vbProcedure="false">#REF!</definedName>
    <definedName function="false" hidden="false" localSheetId="7" name="Test_Equipment_Markup" vbProcedure="false">#REF!</definedName>
    <definedName function="false" hidden="false" localSheetId="7" name="tete" vbProcedure="false">#REF!</definedName>
    <definedName function="false" hidden="false" localSheetId="7" name="TFCF" vbProcedure="false">#REF!</definedName>
    <definedName function="false" hidden="false" localSheetId="7" name="TFCFColumn" vbProcedure="false">#REF!</definedName>
    <definedName function="false" hidden="false" localSheetId="7" name="TFCFColumn___0" vbProcedure="false">#REF!</definedName>
    <definedName function="false" hidden="false" localSheetId="7" name="TFCFColumn___12" vbProcedure="false">#REF!</definedName>
    <definedName function="false" hidden="false" localSheetId="7" name="TFCFColumn___14" vbProcedure="false">#REF!</definedName>
    <definedName function="false" hidden="false" localSheetId="7" name="TFCFColumn___16" vbProcedure="false">#REF!</definedName>
    <definedName function="false" hidden="false" localSheetId="7" name="TFCFColumn___2" vbProcedure="false">#REF!</definedName>
    <definedName function="false" hidden="false" localSheetId="7" name="TFCFColumn___25" vbProcedure="false">#REF!</definedName>
    <definedName function="false" hidden="false" localSheetId="7" name="TFCFColumn___26" vbProcedure="false">#REF!</definedName>
    <definedName function="false" hidden="false" localSheetId="7" name="TFCFColumn___27" vbProcedure="false">#REF!</definedName>
    <definedName function="false" hidden="false" localSheetId="7" name="TFCFColumn___4" vbProcedure="false">#REF!</definedName>
    <definedName function="false" hidden="false" localSheetId="7" name="TFCFColumn___5" vbProcedure="false">#REF!</definedName>
    <definedName function="false" hidden="false" localSheetId="7" name="TFCFColumn___7" vbProcedure="false">#REF!</definedName>
    <definedName function="false" hidden="false" localSheetId="7" name="TFCF___0" vbProcedure="false">#REF!</definedName>
    <definedName function="false" hidden="false" localSheetId="7" name="TFCF___12" vbProcedure="false">#REF!</definedName>
    <definedName function="false" hidden="false" localSheetId="7" name="TFCF___14" vbProcedure="false">#REF!</definedName>
    <definedName function="false" hidden="false" localSheetId="7" name="TFCF___16" vbProcedure="false">#REF!</definedName>
    <definedName function="false" hidden="false" localSheetId="7" name="TFCF___2" vbProcedure="false">#REF!</definedName>
    <definedName function="false" hidden="false" localSheetId="7" name="TFCF___25" vbProcedure="false">#REF!</definedName>
    <definedName function="false" hidden="false" localSheetId="7" name="TFCF___26" vbProcedure="false">#REF!</definedName>
    <definedName function="false" hidden="false" localSheetId="7" name="TFCF___27" vbProcedure="false">#REF!</definedName>
    <definedName function="false" hidden="false" localSheetId="7" name="TFCF___4" vbProcedure="false">#REF!</definedName>
    <definedName function="false" hidden="false" localSheetId="7" name="TFCF___5" vbProcedure="false">#REF!</definedName>
    <definedName function="false" hidden="false" localSheetId="7" name="TFCF___7" vbProcedure="false">#REF!</definedName>
    <definedName function="false" hidden="false" localSheetId="7" name="TFirstProjDate" vbProcedure="false">#REF!</definedName>
    <definedName function="false" hidden="false" localSheetId="7" name="TFirstProjDateDays" vbProcedure="false">#REF!</definedName>
    <definedName function="false" hidden="false" localSheetId="7" name="TFirstProjDateDays___0" vbProcedure="false">#REF!</definedName>
    <definedName function="false" hidden="false" localSheetId="7" name="TFirstProjDateDays___12" vbProcedure="false">#REF!</definedName>
    <definedName function="false" hidden="false" localSheetId="7" name="TFirstProjDateDays___14" vbProcedure="false">#REF!</definedName>
    <definedName function="false" hidden="false" localSheetId="7" name="TFirstProjDateDays___16" vbProcedure="false">#REF!</definedName>
    <definedName function="false" hidden="false" localSheetId="7" name="TFirstProjDateDays___2" vbProcedure="false">#REF!</definedName>
    <definedName function="false" hidden="false" localSheetId="7" name="TFirstProjDateDays___25" vbProcedure="false">#REF!</definedName>
    <definedName function="false" hidden="false" localSheetId="7" name="TFirstProjDateDays___26" vbProcedure="false">#REF!</definedName>
    <definedName function="false" hidden="false" localSheetId="7" name="TFirstProjDateDays___27" vbProcedure="false">#REF!</definedName>
    <definedName function="false" hidden="false" localSheetId="7" name="TFirstProjDateDays___4" vbProcedure="false">#REF!</definedName>
    <definedName function="false" hidden="false" localSheetId="7" name="TFirstProjDateDays___5" vbProcedure="false">#REF!</definedName>
    <definedName function="false" hidden="false" localSheetId="7" name="TFirstProjDateDays___7" vbProcedure="false">#REF!</definedName>
    <definedName function="false" hidden="false" localSheetId="7" name="TFirstProjDate___0" vbProcedure="false">#REF!</definedName>
    <definedName function="false" hidden="false" localSheetId="7" name="TFirstProjDate___12" vbProcedure="false">#REF!</definedName>
    <definedName function="false" hidden="false" localSheetId="7" name="TFirstProjDate___14" vbProcedure="false">#REF!</definedName>
    <definedName function="false" hidden="false" localSheetId="7" name="TFirstProjDate___16" vbProcedure="false">#REF!</definedName>
    <definedName function="false" hidden="false" localSheetId="7" name="TFirstProjDate___2" vbProcedure="false">#REF!</definedName>
    <definedName function="false" hidden="false" localSheetId="7" name="TFirstProjDate___25" vbProcedure="false">#REF!</definedName>
    <definedName function="false" hidden="false" localSheetId="7" name="TFirstProjDate___26" vbProcedure="false">#REF!</definedName>
    <definedName function="false" hidden="false" localSheetId="7" name="TFirstProjDate___27" vbProcedure="false">#REF!</definedName>
    <definedName function="false" hidden="false" localSheetId="7" name="TFirstProjDate___4" vbProcedure="false">#REF!</definedName>
    <definedName function="false" hidden="false" localSheetId="7" name="TFirstProjDate___5" vbProcedure="false">#REF!</definedName>
    <definedName function="false" hidden="false" localSheetId="7" name="TFirstProjDate___7" vbProcedure="false">#REF!</definedName>
    <definedName function="false" hidden="false" localSheetId="7" name="TG" vbProcedure="false">#REF!</definedName>
    <definedName function="false" hidden="false" localSheetId="7" name="THB" vbProcedure="false">#REF!</definedName>
    <definedName function="false" hidden="false" localSheetId="7" name="Theme_Week_Mov" vbProcedure="false">#REF!</definedName>
    <definedName function="false" hidden="false" localSheetId="7" name="TIEEQ" vbProcedure="false">#REF!</definedName>
    <definedName function="false" hidden="false" localSheetId="7" name="titres" vbProcedure="false">#REF!</definedName>
    <definedName function="false" hidden="false" localSheetId="7" name="tkprtkt" vbProcedure="false">#REF!</definedName>
    <definedName function="false" hidden="false" localSheetId="7" name="TLiabPct" vbProcedure="false">#REF!</definedName>
    <definedName function="false" hidden="false" localSheetId="7" name="TLiabPct___0" vbProcedure="false">#REF!</definedName>
    <definedName function="false" hidden="false" localSheetId="7" name="TLiabPct___12" vbProcedure="false">#REF!</definedName>
    <definedName function="false" hidden="false" localSheetId="7" name="TLiabPct___14" vbProcedure="false">#REF!</definedName>
    <definedName function="false" hidden="false" localSheetId="7" name="TLiabPct___16" vbProcedure="false">#REF!</definedName>
    <definedName function="false" hidden="false" localSheetId="7" name="TLiabPct___2" vbProcedure="false">#REF!</definedName>
    <definedName function="false" hidden="false" localSheetId="7" name="TLiabPct___25" vbProcedure="false">#REF!</definedName>
    <definedName function="false" hidden="false" localSheetId="7" name="TLiabPct___26" vbProcedure="false">#REF!</definedName>
    <definedName function="false" hidden="false" localSheetId="7" name="TLiabPct___27" vbProcedure="false">#REF!</definedName>
    <definedName function="false" hidden="false" localSheetId="7" name="TLiabPct___4" vbProcedure="false">#REF!</definedName>
    <definedName function="false" hidden="false" localSheetId="7" name="TLiabPct___5" vbProcedure="false">#REF!</definedName>
    <definedName function="false" hidden="false" localSheetId="7" name="TLiabPct___7" vbProcedure="false">#REF!</definedName>
    <definedName function="false" hidden="false" localSheetId="7" name="TLiabs" vbProcedure="false">#REF!</definedName>
    <definedName function="false" hidden="false" localSheetId="7" name="TLiabs___0" vbProcedure="false">#REF!</definedName>
    <definedName function="false" hidden="false" localSheetId="7" name="TLiabs___12" vbProcedure="false">#REF!</definedName>
    <definedName function="false" hidden="false" localSheetId="7" name="TLiabs___14" vbProcedure="false">#REF!</definedName>
    <definedName function="false" hidden="false" localSheetId="7" name="TLiabs___16" vbProcedure="false">#REF!</definedName>
    <definedName function="false" hidden="false" localSheetId="7" name="TLiabs___2" vbProcedure="false">#REF!</definedName>
    <definedName function="false" hidden="false" localSheetId="7" name="TLiabs___25" vbProcedure="false">#REF!</definedName>
    <definedName function="false" hidden="false" localSheetId="7" name="TLiabs___26" vbProcedure="false">#REF!</definedName>
    <definedName function="false" hidden="false" localSheetId="7" name="TLiabs___27" vbProcedure="false">#REF!</definedName>
    <definedName function="false" hidden="false" localSheetId="7" name="TLiabs___4" vbProcedure="false">#REF!</definedName>
    <definedName function="false" hidden="false" localSheetId="7" name="TLiabs___5" vbProcedure="false">#REF!</definedName>
    <definedName function="false" hidden="false" localSheetId="7" name="TLiabs___7" vbProcedure="false">#REF!</definedName>
    <definedName function="false" hidden="false" localSheetId="7" name="Tmarrakech" vbProcedure="false">#REF!</definedName>
    <definedName function="false" hidden="false" localSheetId="7" name="Tmeknes" vbProcedure="false">#REF!</definedName>
    <definedName function="false" hidden="false" localSheetId="7" name="TNPPESales" vbProcedure="false">#REF!</definedName>
    <definedName function="false" hidden="false" localSheetId="7" name="TNPPESales___0" vbProcedure="false">#REF!</definedName>
    <definedName function="false" hidden="false" localSheetId="7" name="TNPPESales___12" vbProcedure="false">#REF!</definedName>
    <definedName function="false" hidden="false" localSheetId="7" name="TNPPESales___14" vbProcedure="false">#REF!</definedName>
    <definedName function="false" hidden="false" localSheetId="7" name="TNPPESales___16" vbProcedure="false">#REF!</definedName>
    <definedName function="false" hidden="false" localSheetId="7" name="TNPPESales___2" vbProcedure="false">#REF!</definedName>
    <definedName function="false" hidden="false" localSheetId="7" name="TNPPESales___25" vbProcedure="false">#REF!</definedName>
    <definedName function="false" hidden="false" localSheetId="7" name="TNPPESales___26" vbProcedure="false">#REF!</definedName>
    <definedName function="false" hidden="false" localSheetId="7" name="TNPPESales___27" vbProcedure="false">#REF!</definedName>
    <definedName function="false" hidden="false" localSheetId="7" name="TNPPESales___4" vbProcedure="false">#REF!</definedName>
    <definedName function="false" hidden="false" localSheetId="7" name="TNPPESales___5" vbProcedure="false">#REF!</definedName>
    <definedName function="false" hidden="false" localSheetId="7" name="TNPPESales___7" vbProcedure="false">#REF!</definedName>
    <definedName function="false" hidden="false" localSheetId="7" name="TNWIPct" vbProcedure="false">#REF!</definedName>
    <definedName function="false" hidden="false" localSheetId="7" name="TNWIPct___0" vbProcedure="false">#REF!</definedName>
    <definedName function="false" hidden="false" localSheetId="7" name="TNWIPct___12" vbProcedure="false">#REF!</definedName>
    <definedName function="false" hidden="false" localSheetId="7" name="TNWIPct___14" vbProcedure="false">#REF!</definedName>
    <definedName function="false" hidden="false" localSheetId="7" name="TNWIPct___16" vbProcedure="false">#REF!</definedName>
    <definedName function="false" hidden="false" localSheetId="7" name="TNWIPct___2" vbProcedure="false">#REF!</definedName>
    <definedName function="false" hidden="false" localSheetId="7" name="TNWIPct___25" vbProcedure="false">#REF!</definedName>
    <definedName function="false" hidden="false" localSheetId="7" name="TNWIPct___26" vbProcedure="false">#REF!</definedName>
    <definedName function="false" hidden="false" localSheetId="7" name="TNWIPct___27" vbProcedure="false">#REF!</definedName>
    <definedName function="false" hidden="false" localSheetId="7" name="TNWIPct___4" vbProcedure="false">#REF!</definedName>
    <definedName function="false" hidden="false" localSheetId="7" name="TNWIPct___5" vbProcedure="false">#REF!</definedName>
    <definedName function="false" hidden="false" localSheetId="7" name="TNWIPct___7" vbProcedure="false">#REF!</definedName>
    <definedName function="false" hidden="false" localSheetId="7" name="TokyoIndFactor" vbProcedure="false">#REF!</definedName>
    <definedName function="false" hidden="false" localSheetId="7" name="TokyoIndFactor___0" vbProcedure="false">#REF!</definedName>
    <definedName function="false" hidden="false" localSheetId="7" name="TokyoIndFactor___12" vbProcedure="false">#REF!</definedName>
    <definedName function="false" hidden="false" localSheetId="7" name="TokyoIndFactor___14" vbProcedure="false">#REF!</definedName>
    <definedName function="false" hidden="false" localSheetId="7" name="TokyoIndFactor___16" vbProcedure="false">#REF!</definedName>
    <definedName function="false" hidden="false" localSheetId="7" name="TokyoIndFactor___2" vbProcedure="false">#REF!</definedName>
    <definedName function="false" hidden="false" localSheetId="7" name="TokyoIndFactor___25" vbProcedure="false">#REF!</definedName>
    <definedName function="false" hidden="false" localSheetId="7" name="TokyoIndFactor___26" vbProcedure="false">#REF!</definedName>
    <definedName function="false" hidden="false" localSheetId="7" name="TokyoIndFactor___27" vbProcedure="false">#REF!</definedName>
    <definedName function="false" hidden="false" localSheetId="7" name="TokyoIndFactor___4" vbProcedure="false">#REF!</definedName>
    <definedName function="false" hidden="false" localSheetId="7" name="TokyoIndFactor___5" vbProcedure="false">#REF!</definedName>
    <definedName function="false" hidden="false" localSheetId="7" name="TokyoIndFactor___7" vbProcedure="false">#REF!</definedName>
    <definedName function="false" hidden="false" localSheetId="7" name="TOperProfitAdj" vbProcedure="false">#REF!</definedName>
    <definedName function="false" hidden="false" localSheetId="7" name="TOperProfitAdj___0" vbProcedure="false">#REF!</definedName>
    <definedName function="false" hidden="false" localSheetId="7" name="TOperProfitAdj___12" vbProcedure="false">#REF!</definedName>
    <definedName function="false" hidden="false" localSheetId="7" name="TOperProfitAdj___14" vbProcedure="false">#REF!</definedName>
    <definedName function="false" hidden="false" localSheetId="7" name="TOperProfitAdj___16" vbProcedure="false">#REF!</definedName>
    <definedName function="false" hidden="false" localSheetId="7" name="TOperProfitAdj___2" vbProcedure="false">#REF!</definedName>
    <definedName function="false" hidden="false" localSheetId="7" name="TOperProfitAdj___25" vbProcedure="false">#REF!</definedName>
    <definedName function="false" hidden="false" localSheetId="7" name="TOperProfitAdj___26" vbProcedure="false">#REF!</definedName>
    <definedName function="false" hidden="false" localSheetId="7" name="TOperProfitAdj___27" vbProcedure="false">#REF!</definedName>
    <definedName function="false" hidden="false" localSheetId="7" name="TOperProfitAdj___4" vbProcedure="false">#REF!</definedName>
    <definedName function="false" hidden="false" localSheetId="7" name="TOperProfitAdj___5" vbProcedure="false">#REF!</definedName>
    <definedName function="false" hidden="false" localSheetId="7" name="TOperProfitAdj___7" vbProcedure="false">#REF!</definedName>
    <definedName function="false" hidden="false" localSheetId="7" name="TOPMult" vbProcedure="false">#REF!</definedName>
    <definedName function="false" hidden="false" localSheetId="7" name="TOPMult___0" vbProcedure="false">#REF!</definedName>
    <definedName function="false" hidden="false" localSheetId="7" name="TOPMult___12" vbProcedure="false">#REF!</definedName>
    <definedName function="false" hidden="false" localSheetId="7" name="TOPMult___14" vbProcedure="false">#REF!</definedName>
    <definedName function="false" hidden="false" localSheetId="7" name="TOPMult___16" vbProcedure="false">#REF!</definedName>
    <definedName function="false" hidden="false" localSheetId="7" name="TOPMult___2" vbProcedure="false">#REF!</definedName>
    <definedName function="false" hidden="false" localSheetId="7" name="TOPMult___25" vbProcedure="false">#REF!</definedName>
    <definedName function="false" hidden="false" localSheetId="7" name="TOPMult___26" vbProcedure="false">#REF!</definedName>
    <definedName function="false" hidden="false" localSheetId="7" name="TOPMult___27" vbProcedure="false">#REF!</definedName>
    <definedName function="false" hidden="false" localSheetId="7" name="TOPMult___4" vbProcedure="false">#REF!</definedName>
    <definedName function="false" hidden="false" localSheetId="7" name="TOPMult___5" vbProcedure="false">#REF!</definedName>
    <definedName function="false" hidden="false" localSheetId="7" name="TOPMult___7" vbProcedure="false">#REF!</definedName>
    <definedName function="false" hidden="false" localSheetId="7" name="TOTAL" vbProcedure="false">#REF!</definedName>
    <definedName function="false" hidden="false" localSheetId="7" name="totalvalue" vbProcedure="false">#REF!</definedName>
    <definedName function="false" hidden="false" localSheetId="7" name="TOTAL___12" vbProcedure="false">#REF!</definedName>
    <definedName function="false" hidden="false" localSheetId="7" name="TOther1" vbProcedure="false">#REF!</definedName>
    <definedName function="false" hidden="false" localSheetId="7" name="TOther1Adj" vbProcedure="false">#REF!</definedName>
    <definedName function="false" hidden="false" localSheetId="7" name="TOther1Adj___0" vbProcedure="false">#REF!</definedName>
    <definedName function="false" hidden="false" localSheetId="7" name="TOther1Adj___12" vbProcedure="false">#REF!</definedName>
    <definedName function="false" hidden="false" localSheetId="7" name="TOther1Adj___14" vbProcedure="false">#REF!</definedName>
    <definedName function="false" hidden="false" localSheetId="7" name="TOther1Adj___16" vbProcedure="false">#REF!</definedName>
    <definedName function="false" hidden="false" localSheetId="7" name="TOther1Adj___2" vbProcedure="false">#REF!</definedName>
    <definedName function="false" hidden="false" localSheetId="7" name="TOther1Adj___25" vbProcedure="false">#REF!</definedName>
    <definedName function="false" hidden="false" localSheetId="7" name="TOther1Adj___26" vbProcedure="false">#REF!</definedName>
    <definedName function="false" hidden="false" localSheetId="7" name="TOther1Adj___27" vbProcedure="false">#REF!</definedName>
    <definedName function="false" hidden="false" localSheetId="7" name="TOther1Adj___4" vbProcedure="false">#REF!</definedName>
    <definedName function="false" hidden="false" localSheetId="7" name="TOther1Adj___5" vbProcedure="false">#REF!</definedName>
    <definedName function="false" hidden="false" localSheetId="7" name="TOther1Adj___7" vbProcedure="false">#REF!</definedName>
    <definedName function="false" hidden="false" localSheetId="7" name="TOther1Mult" vbProcedure="false">#REF!</definedName>
    <definedName function="false" hidden="false" localSheetId="7" name="TOther1Mult___0" vbProcedure="false">#REF!</definedName>
    <definedName function="false" hidden="false" localSheetId="7" name="TOther1Mult___12" vbProcedure="false">#REF!</definedName>
    <definedName function="false" hidden="false" localSheetId="7" name="TOther1Mult___14" vbProcedure="false">#REF!</definedName>
    <definedName function="false" hidden="false" localSheetId="7" name="TOther1Mult___16" vbProcedure="false">#REF!</definedName>
    <definedName function="false" hidden="false" localSheetId="7" name="TOther1Mult___2" vbProcedure="false">#REF!</definedName>
    <definedName function="false" hidden="false" localSheetId="7" name="TOther1Mult___25" vbProcedure="false">#REF!</definedName>
    <definedName function="false" hidden="false" localSheetId="7" name="TOther1Mult___26" vbProcedure="false">#REF!</definedName>
    <definedName function="false" hidden="false" localSheetId="7" name="TOther1Mult___27" vbProcedure="false">#REF!</definedName>
    <definedName function="false" hidden="false" localSheetId="7" name="TOther1Mult___4" vbProcedure="false">#REF!</definedName>
    <definedName function="false" hidden="false" localSheetId="7" name="TOther1Mult___5" vbProcedure="false">#REF!</definedName>
    <definedName function="false" hidden="false" localSheetId="7" name="TOther1Mult___7" vbProcedure="false">#REF!</definedName>
    <definedName function="false" hidden="false" localSheetId="7" name="TOther1Pct" vbProcedure="false">#REF!</definedName>
    <definedName function="false" hidden="false" localSheetId="7" name="TOther1Pct___0" vbProcedure="false">#REF!</definedName>
    <definedName function="false" hidden="false" localSheetId="7" name="TOther1Pct___12" vbProcedure="false">#REF!</definedName>
    <definedName function="false" hidden="false" localSheetId="7" name="TOther1Pct___14" vbProcedure="false">#REF!</definedName>
    <definedName function="false" hidden="false" localSheetId="7" name="TOther1Pct___16" vbProcedure="false">#REF!</definedName>
    <definedName function="false" hidden="false" localSheetId="7" name="TOther1Pct___2" vbProcedure="false">#REF!</definedName>
    <definedName function="false" hidden="false" localSheetId="7" name="TOther1Pct___25" vbProcedure="false">#REF!</definedName>
    <definedName function="false" hidden="false" localSheetId="7" name="TOther1Pct___26" vbProcedure="false">#REF!</definedName>
    <definedName function="false" hidden="false" localSheetId="7" name="TOther1Pct___27" vbProcedure="false">#REF!</definedName>
    <definedName function="false" hidden="false" localSheetId="7" name="TOther1Pct___4" vbProcedure="false">#REF!</definedName>
    <definedName function="false" hidden="false" localSheetId="7" name="TOther1Pct___5" vbProcedure="false">#REF!</definedName>
    <definedName function="false" hidden="false" localSheetId="7" name="TOther1Pct___7" vbProcedure="false">#REF!</definedName>
    <definedName function="false" hidden="false" localSheetId="7" name="TOther1___0" vbProcedure="false">#REF!</definedName>
    <definedName function="false" hidden="false" localSheetId="7" name="TOther1___12" vbProcedure="false">#REF!</definedName>
    <definedName function="false" hidden="false" localSheetId="7" name="TOther1___14" vbProcedure="false">#REF!</definedName>
    <definedName function="false" hidden="false" localSheetId="7" name="TOther1___16" vbProcedure="false">#REF!</definedName>
    <definedName function="false" hidden="false" localSheetId="7" name="TOther1___2" vbProcedure="false">#REF!</definedName>
    <definedName function="false" hidden="false" localSheetId="7" name="TOther1___25" vbProcedure="false">#REF!</definedName>
    <definedName function="false" hidden="false" localSheetId="7" name="TOther1___26" vbProcedure="false">#REF!</definedName>
    <definedName function="false" hidden="false" localSheetId="7" name="TOther1___27" vbProcedure="false">#REF!</definedName>
    <definedName function="false" hidden="false" localSheetId="7" name="TOther1___4" vbProcedure="false">#REF!</definedName>
    <definedName function="false" hidden="false" localSheetId="7" name="TOther1___5" vbProcedure="false">#REF!</definedName>
    <definedName function="false" hidden="false" localSheetId="7" name="TOther1___7" vbProcedure="false">#REF!</definedName>
    <definedName function="false" hidden="false" localSheetId="7" name="TOther2" vbProcedure="false">#REF!</definedName>
    <definedName function="false" hidden="false" localSheetId="7" name="TOther2Adj" vbProcedure="false">#REF!</definedName>
    <definedName function="false" hidden="false" localSheetId="7" name="TOther2Adj___0" vbProcedure="false">#REF!</definedName>
    <definedName function="false" hidden="false" localSheetId="7" name="TOther2Adj___12" vbProcedure="false">#REF!</definedName>
    <definedName function="false" hidden="false" localSheetId="7" name="TOther2Adj___14" vbProcedure="false">#REF!</definedName>
    <definedName function="false" hidden="false" localSheetId="7" name="TOther2Adj___16" vbProcedure="false">#REF!</definedName>
    <definedName function="false" hidden="false" localSheetId="7" name="TOther2Adj___2" vbProcedure="false">#REF!</definedName>
    <definedName function="false" hidden="false" localSheetId="7" name="TOther2Adj___25" vbProcedure="false">#REF!</definedName>
    <definedName function="false" hidden="false" localSheetId="7" name="TOther2Adj___26" vbProcedure="false">#REF!</definedName>
    <definedName function="false" hidden="false" localSheetId="7" name="TOther2Adj___27" vbProcedure="false">#REF!</definedName>
    <definedName function="false" hidden="false" localSheetId="7" name="TOther2Adj___4" vbProcedure="false">#REF!</definedName>
    <definedName function="false" hidden="false" localSheetId="7" name="TOther2Adj___5" vbProcedure="false">#REF!</definedName>
    <definedName function="false" hidden="false" localSheetId="7" name="TOther2Adj___7" vbProcedure="false">#REF!</definedName>
    <definedName function="false" hidden="false" localSheetId="7" name="TOther2Mult" vbProcedure="false">#REF!</definedName>
    <definedName function="false" hidden="false" localSheetId="7" name="TOther2Mult___0" vbProcedure="false">#REF!</definedName>
    <definedName function="false" hidden="false" localSheetId="7" name="TOther2Mult___12" vbProcedure="false">#REF!</definedName>
    <definedName function="false" hidden="false" localSheetId="7" name="TOther2Mult___14" vbProcedure="false">#REF!</definedName>
    <definedName function="false" hidden="false" localSheetId="7" name="TOther2Mult___16" vbProcedure="false">#REF!</definedName>
    <definedName function="false" hidden="false" localSheetId="7" name="TOther2Mult___2" vbProcedure="false">#REF!</definedName>
    <definedName function="false" hidden="false" localSheetId="7" name="TOther2Mult___25" vbProcedure="false">#REF!</definedName>
    <definedName function="false" hidden="false" localSheetId="7" name="TOther2Mult___26" vbProcedure="false">#REF!</definedName>
    <definedName function="false" hidden="false" localSheetId="7" name="TOther2Mult___27" vbProcedure="false">#REF!</definedName>
    <definedName function="false" hidden="false" localSheetId="7" name="TOther2Mult___4" vbProcedure="false">#REF!</definedName>
    <definedName function="false" hidden="false" localSheetId="7" name="TOther2Mult___5" vbProcedure="false">#REF!</definedName>
    <definedName function="false" hidden="false" localSheetId="7" name="TOther2Mult___7" vbProcedure="false">#REF!</definedName>
    <definedName function="false" hidden="false" localSheetId="7" name="TOther2Pct" vbProcedure="false">#REF!</definedName>
    <definedName function="false" hidden="false" localSheetId="7" name="TOther2Pct___0" vbProcedure="false">#REF!</definedName>
    <definedName function="false" hidden="false" localSheetId="7" name="TOther2Pct___12" vbProcedure="false">#REF!</definedName>
    <definedName function="false" hidden="false" localSheetId="7" name="TOther2Pct___14" vbProcedure="false">#REF!</definedName>
    <definedName function="false" hidden="false" localSheetId="7" name="TOther2Pct___16" vbProcedure="false">#REF!</definedName>
    <definedName function="false" hidden="false" localSheetId="7" name="TOther2Pct___2" vbProcedure="false">#REF!</definedName>
    <definedName function="false" hidden="false" localSheetId="7" name="TOther2Pct___25" vbProcedure="false">#REF!</definedName>
    <definedName function="false" hidden="false" localSheetId="7" name="TOther2Pct___26" vbProcedure="false">#REF!</definedName>
    <definedName function="false" hidden="false" localSheetId="7" name="TOther2Pct___27" vbProcedure="false">#REF!</definedName>
    <definedName function="false" hidden="false" localSheetId="7" name="TOther2Pct___4" vbProcedure="false">#REF!</definedName>
    <definedName function="false" hidden="false" localSheetId="7" name="TOther2Pct___5" vbProcedure="false">#REF!</definedName>
    <definedName function="false" hidden="false" localSheetId="7" name="TOther2Pct___7" vbProcedure="false">#REF!</definedName>
    <definedName function="false" hidden="false" localSheetId="7" name="TOther2___0" vbProcedure="false">#REF!</definedName>
    <definedName function="false" hidden="false" localSheetId="7" name="TOther2___12" vbProcedure="false">#REF!</definedName>
    <definedName function="false" hidden="false" localSheetId="7" name="TOther2___14" vbProcedure="false">#REF!</definedName>
    <definedName function="false" hidden="false" localSheetId="7" name="TOther2___16" vbProcedure="false">#REF!</definedName>
    <definedName function="false" hidden="false" localSheetId="7" name="TOther2___2" vbProcedure="false">#REF!</definedName>
    <definedName function="false" hidden="false" localSheetId="7" name="TOther2___25" vbProcedure="false">#REF!</definedName>
    <definedName function="false" hidden="false" localSheetId="7" name="TOther2___26" vbProcedure="false">#REF!</definedName>
    <definedName function="false" hidden="false" localSheetId="7" name="TOther2___27" vbProcedure="false">#REF!</definedName>
    <definedName function="false" hidden="false" localSheetId="7" name="TOther2___4" vbProcedure="false">#REF!</definedName>
    <definedName function="false" hidden="false" localSheetId="7" name="TOther2___5" vbProcedure="false">#REF!</definedName>
    <definedName function="false" hidden="false" localSheetId="7" name="TOther2___7" vbProcedure="false">#REF!</definedName>
    <definedName function="false" hidden="false" localSheetId="7" name="TOther3Adj" vbProcedure="false">#REF!</definedName>
    <definedName function="false" hidden="false" localSheetId="7" name="TOther3Adj___0" vbProcedure="false">#REF!</definedName>
    <definedName function="false" hidden="false" localSheetId="7" name="TOther3Adj___12" vbProcedure="false">#REF!</definedName>
    <definedName function="false" hidden="false" localSheetId="7" name="TOther3Adj___14" vbProcedure="false">#REF!</definedName>
    <definedName function="false" hidden="false" localSheetId="7" name="TOther3Adj___16" vbProcedure="false">#REF!</definedName>
    <definedName function="false" hidden="false" localSheetId="7" name="TOther3Adj___2" vbProcedure="false">#REF!</definedName>
    <definedName function="false" hidden="false" localSheetId="7" name="TOther3Adj___25" vbProcedure="false">#REF!</definedName>
    <definedName function="false" hidden="false" localSheetId="7" name="TOther3Adj___26" vbProcedure="false">#REF!</definedName>
    <definedName function="false" hidden="false" localSheetId="7" name="TOther3Adj___27" vbProcedure="false">#REF!</definedName>
    <definedName function="false" hidden="false" localSheetId="7" name="TOther3Adj___4" vbProcedure="false">#REF!</definedName>
    <definedName function="false" hidden="false" localSheetId="7" name="TOther3Adj___5" vbProcedure="false">#REF!</definedName>
    <definedName function="false" hidden="false" localSheetId="7" name="TOther3Adj___7" vbProcedure="false">#REF!</definedName>
    <definedName function="false" hidden="false" localSheetId="7" name="TOther3Mult" vbProcedure="false">#REF!</definedName>
    <definedName function="false" hidden="false" localSheetId="7" name="TOther3Mult___0" vbProcedure="false">#REF!</definedName>
    <definedName function="false" hidden="false" localSheetId="7" name="TOther3Mult___12" vbProcedure="false">#REF!</definedName>
    <definedName function="false" hidden="false" localSheetId="7" name="TOther3Mult___14" vbProcedure="false">#REF!</definedName>
    <definedName function="false" hidden="false" localSheetId="7" name="TOther3Mult___16" vbProcedure="false">#REF!</definedName>
    <definedName function="false" hidden="false" localSheetId="7" name="TOther3Mult___2" vbProcedure="false">#REF!</definedName>
    <definedName function="false" hidden="false" localSheetId="7" name="TOther3Mult___25" vbProcedure="false">#REF!</definedName>
    <definedName function="false" hidden="false" localSheetId="7" name="TOther3Mult___26" vbProcedure="false">#REF!</definedName>
    <definedName function="false" hidden="false" localSheetId="7" name="TOther3Mult___27" vbProcedure="false">#REF!</definedName>
    <definedName function="false" hidden="false" localSheetId="7" name="TOther3Mult___4" vbProcedure="false">#REF!</definedName>
    <definedName function="false" hidden="false" localSheetId="7" name="TOther3Mult___5" vbProcedure="false">#REF!</definedName>
    <definedName function="false" hidden="false" localSheetId="7" name="TOther3Mult___7" vbProcedure="false">#REF!</definedName>
    <definedName function="false" hidden="false" localSheetId="7" name="TOTMOT" vbProcedure="false">#REF!</definedName>
    <definedName function="false" hidden="false" localSheetId="7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TPPESalesPct" vbProcedure="false">#REF!</definedName>
    <definedName function="false" hidden="false" localSheetId="7" name="TPPESalesPct___0" vbProcedure="false">#REF!</definedName>
    <definedName function="false" hidden="false" localSheetId="7" name="TPPESalesPct___12" vbProcedure="false">#REF!</definedName>
    <definedName function="false" hidden="false" localSheetId="7" name="TPPESalesPct___14" vbProcedure="false">#REF!</definedName>
    <definedName function="false" hidden="false" localSheetId="7" name="TPPESalesPct___16" vbProcedure="false">#REF!</definedName>
    <definedName function="false" hidden="false" localSheetId="7" name="TPPESalesPct___2" vbProcedure="false">#REF!</definedName>
    <definedName function="false" hidden="false" localSheetId="7" name="TPPESalesPct___25" vbProcedure="false">#REF!</definedName>
    <definedName function="false" hidden="false" localSheetId="7" name="TPPESalesPct___26" vbProcedure="false">#REF!</definedName>
    <definedName function="false" hidden="false" localSheetId="7" name="TPPESalesPct___27" vbProcedure="false">#REF!</definedName>
    <definedName function="false" hidden="false" localSheetId="7" name="TPPESalesPct___4" vbProcedure="false">#REF!</definedName>
    <definedName function="false" hidden="false" localSheetId="7" name="TPPESalesPct___5" vbProcedure="false">#REF!</definedName>
    <definedName function="false" hidden="false" localSheetId="7" name="TPPESalesPct___7" vbProcedure="false">#REF!</definedName>
    <definedName function="false" hidden="false" localSheetId="7" name="TProvisions" vbProcedure="false">#REF!</definedName>
    <definedName function="false" hidden="false" localSheetId="7" name="TProvisions___0" vbProcedure="false">#REF!</definedName>
    <definedName function="false" hidden="false" localSheetId="7" name="TProvisions___12" vbProcedure="false">#REF!</definedName>
    <definedName function="false" hidden="false" localSheetId="7" name="TProvisions___14" vbProcedure="false">#REF!</definedName>
    <definedName function="false" hidden="false" localSheetId="7" name="TProvisions___16" vbProcedure="false">#REF!</definedName>
    <definedName function="false" hidden="false" localSheetId="7" name="TProvisions___2" vbProcedure="false">#REF!</definedName>
    <definedName function="false" hidden="false" localSheetId="7" name="TProvisions___25" vbProcedure="false">#REF!</definedName>
    <definedName function="false" hidden="false" localSheetId="7" name="TProvisions___26" vbProcedure="false">#REF!</definedName>
    <definedName function="false" hidden="false" localSheetId="7" name="TProvisions___27" vbProcedure="false">#REF!</definedName>
    <definedName function="false" hidden="false" localSheetId="7" name="TProvisions___4" vbProcedure="false">#REF!</definedName>
    <definedName function="false" hidden="false" localSheetId="7" name="TProvisions___5" vbProcedure="false">#REF!</definedName>
    <definedName function="false" hidden="false" localSheetId="7" name="TProvisions___7" vbProcedure="false">#REF!</definedName>
    <definedName function="false" hidden="false" localSheetId="7" name="TP_CAPEX_ACTU2_PREVISION" vbProcedure="false">#REF!</definedName>
    <definedName function="false" hidden="false" localSheetId="7" name="Trabat" vbProcedure="false">#REF!</definedName>
    <definedName function="false" hidden="false" localSheetId="7" name="traficinterur" vbProcedure="false">#REF!</definedName>
    <definedName function="false" hidden="false" localSheetId="7" name="traficinterur___0" vbProcedure="false">#REF!</definedName>
    <definedName function="false" hidden="false" localSheetId="7" name="traficinterur___14" vbProcedure="false">#REF!</definedName>
    <definedName function="false" hidden="false" localSheetId="7" name="tralocintur" vbProcedure="false">#REF!</definedName>
    <definedName function="false" hidden="false" localSheetId="7" name="tralocintur___0" vbProcedure="false">#REF!</definedName>
    <definedName function="false" hidden="false" localSheetId="7" name="tralocintur___12" vbProcedure="false">#REF!</definedName>
    <definedName function="false" hidden="false" localSheetId="7" name="TREAS" vbProcedure="false">#REF!</definedName>
    <definedName function="false" hidden="false" localSheetId="7" name="TRESORERIE_REGIONALE" vbProcedure="false">#REF!</definedName>
    <definedName function="false" hidden="false" localSheetId="7" name="TRESORERIE_REGIONALE___0" vbProcedure="false">#REF!</definedName>
    <definedName function="false" hidden="false" localSheetId="7" name="TRESORERIE_REGIONALE___12" vbProcedure="false">#REF!</definedName>
    <definedName function="false" hidden="false" localSheetId="7" name="trf_des" vbProcedure="false">#REF!</definedName>
    <definedName function="false" hidden="false" localSheetId="7" name="trim" vbProcedure="false">#REF!</definedName>
    <definedName function="false" hidden="false" localSheetId="7" name="trim2" vbProcedure="false">#REF!</definedName>
    <definedName function="false" hidden="false" localSheetId="7" name="trim2___0" vbProcedure="false">#REF!</definedName>
    <definedName function="false" hidden="false" localSheetId="7" name="trim2___12" vbProcedure="false">#REF!</definedName>
    <definedName function="false" hidden="false" localSheetId="7" name="trim___0" vbProcedure="false">#REF!</definedName>
    <definedName function="false" hidden="false" localSheetId="7" name="trim___14" vbProcedure="false">#REF!</definedName>
    <definedName function="false" hidden="false" localSheetId="7" name="trim___26" vbProcedure="false">#REF!</definedName>
    <definedName function="false" hidden="false" localSheetId="7" name="trim___27" vbProcedure="false">#REF!</definedName>
    <definedName function="false" hidden="false" localSheetId="7" name="trim___5" vbProcedure="false">#REF!</definedName>
    <definedName function="false" hidden="false" localSheetId="7" name="trim___7" vbProcedure="false">#REF!</definedName>
    <definedName function="false" hidden="false" localSheetId="7" name="trthhhnlmklm" vbProcedure="false">#REF!</definedName>
    <definedName function="false" hidden="false" localSheetId="7" name="TSales" vbProcedure="false">#REF!</definedName>
    <definedName function="false" hidden="false" localSheetId="7" name="TSalesAdj" vbProcedure="false">#REF!</definedName>
    <definedName function="false" hidden="false" localSheetId="7" name="TSalesAdj___0" vbProcedure="false">#REF!</definedName>
    <definedName function="false" hidden="false" localSheetId="7" name="TSalesAdj___12" vbProcedure="false">#REF!</definedName>
    <definedName function="false" hidden="false" localSheetId="7" name="TSalesAdj___14" vbProcedure="false">#REF!</definedName>
    <definedName function="false" hidden="false" localSheetId="7" name="TSalesAdj___16" vbProcedure="false">#REF!</definedName>
    <definedName function="false" hidden="false" localSheetId="7" name="TSalesAdj___2" vbProcedure="false">#REF!</definedName>
    <definedName function="false" hidden="false" localSheetId="7" name="TSalesAdj___25" vbProcedure="false">#REF!</definedName>
    <definedName function="false" hidden="false" localSheetId="7" name="TSalesAdj___26" vbProcedure="false">#REF!</definedName>
    <definedName function="false" hidden="false" localSheetId="7" name="TSalesAdj___27" vbProcedure="false">#REF!</definedName>
    <definedName function="false" hidden="false" localSheetId="7" name="TSalesAdj___4" vbProcedure="false">#REF!</definedName>
    <definedName function="false" hidden="false" localSheetId="7" name="TSalesAdj___5" vbProcedure="false">#REF!</definedName>
    <definedName function="false" hidden="false" localSheetId="7" name="TSalesAdj___7" vbProcedure="false">#REF!</definedName>
    <definedName function="false" hidden="false" localSheetId="7" name="TSalesG" vbProcedure="false">#REF!</definedName>
    <definedName function="false" hidden="false" localSheetId="7" name="TSalesGIncrement" vbProcedure="false">#REF!</definedName>
    <definedName function="false" hidden="false" localSheetId="7" name="TSalesGIncrement___0" vbProcedure="false">#REF!</definedName>
    <definedName function="false" hidden="false" localSheetId="7" name="TSalesGIncrement___12" vbProcedure="false">#REF!</definedName>
    <definedName function="false" hidden="false" localSheetId="7" name="TSalesGIncrement___14" vbProcedure="false">#REF!</definedName>
    <definedName function="false" hidden="false" localSheetId="7" name="TSalesGIncrement___16" vbProcedure="false">#REF!</definedName>
    <definedName function="false" hidden="false" localSheetId="7" name="TSalesGIncrement___2" vbProcedure="false">#REF!</definedName>
    <definedName function="false" hidden="false" localSheetId="7" name="TSalesGIncrement___25" vbProcedure="false">#REF!</definedName>
    <definedName function="false" hidden="false" localSheetId="7" name="TSalesGIncrement___26" vbProcedure="false">#REF!</definedName>
    <definedName function="false" hidden="false" localSheetId="7" name="TSalesGIncrement___27" vbProcedure="false">#REF!</definedName>
    <definedName function="false" hidden="false" localSheetId="7" name="TSalesGIncrement___4" vbProcedure="false">#REF!</definedName>
    <definedName function="false" hidden="false" localSheetId="7" name="TSalesGIncrement___5" vbProcedure="false">#REF!</definedName>
    <definedName function="false" hidden="false" localSheetId="7" name="TSalesGIncrement___7" vbProcedure="false">#REF!</definedName>
    <definedName function="false" hidden="false" localSheetId="7" name="TSalesGrowth" vbProcedure="false">#REF!</definedName>
    <definedName function="false" hidden="false" localSheetId="7" name="TSalesGrowth___0" vbProcedure="false">#REF!</definedName>
    <definedName function="false" hidden="false" localSheetId="7" name="TSalesGrowth___12" vbProcedure="false">#REF!</definedName>
    <definedName function="false" hidden="false" localSheetId="7" name="TSalesGrowth___14" vbProcedure="false">#REF!</definedName>
    <definedName function="false" hidden="false" localSheetId="7" name="TSalesGrowth___16" vbProcedure="false">#REF!</definedName>
    <definedName function="false" hidden="false" localSheetId="7" name="TSalesGrowth___2" vbProcedure="false">#REF!</definedName>
    <definedName function="false" hidden="false" localSheetId="7" name="TSalesGrowth___25" vbProcedure="false">#REF!</definedName>
    <definedName function="false" hidden="false" localSheetId="7" name="TSalesGrowth___26" vbProcedure="false">#REF!</definedName>
    <definedName function="false" hidden="false" localSheetId="7" name="TSalesGrowth___27" vbProcedure="false">#REF!</definedName>
    <definedName function="false" hidden="false" localSheetId="7" name="TSalesGrowth___4" vbProcedure="false">#REF!</definedName>
    <definedName function="false" hidden="false" localSheetId="7" name="TSalesGrowth___5" vbProcedure="false">#REF!</definedName>
    <definedName function="false" hidden="false" localSheetId="7" name="TSalesGrowth___7" vbProcedure="false">#REF!</definedName>
    <definedName function="false" hidden="false" localSheetId="7" name="TSalesG___0" vbProcedure="false">#REF!</definedName>
    <definedName function="false" hidden="false" localSheetId="7" name="TSalesG___12" vbProcedure="false">#REF!</definedName>
    <definedName function="false" hidden="false" localSheetId="7" name="TSalesG___14" vbProcedure="false">#REF!</definedName>
    <definedName function="false" hidden="false" localSheetId="7" name="TSalesG___16" vbProcedure="false">#REF!</definedName>
    <definedName function="false" hidden="false" localSheetId="7" name="TSalesG___2" vbProcedure="false">#REF!</definedName>
    <definedName function="false" hidden="false" localSheetId="7" name="TSalesG___25" vbProcedure="false">#REF!</definedName>
    <definedName function="false" hidden="false" localSheetId="7" name="TSalesG___26" vbProcedure="false">#REF!</definedName>
    <definedName function="false" hidden="false" localSheetId="7" name="TSalesG___27" vbProcedure="false">#REF!</definedName>
    <definedName function="false" hidden="false" localSheetId="7" name="TSalesG___4" vbProcedure="false">#REF!</definedName>
    <definedName function="false" hidden="false" localSheetId="7" name="TSalesG___5" vbProcedure="false">#REF!</definedName>
    <definedName function="false" hidden="false" localSheetId="7" name="TSalesG___7" vbProcedure="false">#REF!</definedName>
    <definedName function="false" hidden="false" localSheetId="7" name="TSalesOutput" vbProcedure="false">#REF!</definedName>
    <definedName function="false" hidden="false" localSheetId="7" name="TSalesOutput___0" vbProcedure="false">#REF!</definedName>
    <definedName function="false" hidden="false" localSheetId="7" name="TSalesOutput___12" vbProcedure="false">#REF!</definedName>
    <definedName function="false" hidden="false" localSheetId="7" name="TSalesOutput___14" vbProcedure="false">#REF!</definedName>
    <definedName function="false" hidden="false" localSheetId="7" name="TSalesOutput___16" vbProcedure="false">#REF!</definedName>
    <definedName function="false" hidden="false" localSheetId="7" name="TSalesOutput___2" vbProcedure="false">#REF!</definedName>
    <definedName function="false" hidden="false" localSheetId="7" name="TSalesOutput___25" vbProcedure="false">#REF!</definedName>
    <definedName function="false" hidden="false" localSheetId="7" name="TSalesOutput___26" vbProcedure="false">#REF!</definedName>
    <definedName function="false" hidden="false" localSheetId="7" name="TSalesOutput___27" vbProcedure="false">#REF!</definedName>
    <definedName function="false" hidden="false" localSheetId="7" name="TSalesOutput___4" vbProcedure="false">#REF!</definedName>
    <definedName function="false" hidden="false" localSheetId="7" name="TSalesOutput___5" vbProcedure="false">#REF!</definedName>
    <definedName function="false" hidden="false" localSheetId="7" name="TSalesOutput___7" vbProcedure="false">#REF!</definedName>
    <definedName function="false" hidden="false" localSheetId="7" name="TSales___0" vbProcedure="false">#REF!</definedName>
    <definedName function="false" hidden="false" localSheetId="7" name="TSales___12" vbProcedure="false">#REF!</definedName>
    <definedName function="false" hidden="false" localSheetId="7" name="TSales___14" vbProcedure="false">#REF!</definedName>
    <definedName function="false" hidden="false" localSheetId="7" name="TSales___16" vbProcedure="false">#REF!</definedName>
    <definedName function="false" hidden="false" localSheetId="7" name="TSales___2" vbProcedure="false">#REF!</definedName>
    <definedName function="false" hidden="false" localSheetId="7" name="TSales___25" vbProcedure="false">#REF!</definedName>
    <definedName function="false" hidden="false" localSheetId="7" name="TSales___26" vbProcedure="false">#REF!</definedName>
    <definedName function="false" hidden="false" localSheetId="7" name="TSales___27" vbProcedure="false">#REF!</definedName>
    <definedName function="false" hidden="false" localSheetId="7" name="TSales___4" vbProcedure="false">#REF!</definedName>
    <definedName function="false" hidden="false" localSheetId="7" name="TSales___5" vbProcedure="false">#REF!</definedName>
    <definedName function="false" hidden="false" localSheetId="7" name="TSales___7" vbProcedure="false">#REF!</definedName>
    <definedName function="false" hidden="false" localSheetId="7" name="TSMult" vbProcedure="false">#REF!</definedName>
    <definedName function="false" hidden="false" localSheetId="7" name="TSMult___0" vbProcedure="false">#REF!</definedName>
    <definedName function="false" hidden="false" localSheetId="7" name="TSMult___12" vbProcedure="false">#REF!</definedName>
    <definedName function="false" hidden="false" localSheetId="7" name="TSMult___14" vbProcedure="false">#REF!</definedName>
    <definedName function="false" hidden="false" localSheetId="7" name="TSMult___16" vbProcedure="false">#REF!</definedName>
    <definedName function="false" hidden="false" localSheetId="7" name="TSMult___2" vbProcedure="false">#REF!</definedName>
    <definedName function="false" hidden="false" localSheetId="7" name="TSMult___25" vbProcedure="false">#REF!</definedName>
    <definedName function="false" hidden="false" localSheetId="7" name="TSMult___26" vbProcedure="false">#REF!</definedName>
    <definedName function="false" hidden="false" localSheetId="7" name="TSMult___27" vbProcedure="false">#REF!</definedName>
    <definedName function="false" hidden="false" localSheetId="7" name="TSMult___4" vbProcedure="false">#REF!</definedName>
    <definedName function="false" hidden="false" localSheetId="7" name="TSMult___5" vbProcedure="false">#REF!</definedName>
    <definedName function="false" hidden="false" localSheetId="7" name="TSMult___7" vbProcedure="false">#REF!</definedName>
    <definedName function="false" hidden="false" localSheetId="7" name="TTaxes" vbProcedure="false">#REF!</definedName>
    <definedName function="false" hidden="false" localSheetId="7" name="TTaxes___0" vbProcedure="false">#REF!</definedName>
    <definedName function="false" hidden="false" localSheetId="7" name="TTaxes___12" vbProcedure="false">#REF!</definedName>
    <definedName function="false" hidden="false" localSheetId="7" name="TTaxes___14" vbProcedure="false">#REF!</definedName>
    <definedName function="false" hidden="false" localSheetId="7" name="TTaxes___16" vbProcedure="false">#REF!</definedName>
    <definedName function="false" hidden="false" localSheetId="7" name="TTaxes___2" vbProcedure="false">#REF!</definedName>
    <definedName function="false" hidden="false" localSheetId="7" name="TTaxes___25" vbProcedure="false">#REF!</definedName>
    <definedName function="false" hidden="false" localSheetId="7" name="TTaxes___26" vbProcedure="false">#REF!</definedName>
    <definedName function="false" hidden="false" localSheetId="7" name="TTaxes___27" vbProcedure="false">#REF!</definedName>
    <definedName function="false" hidden="false" localSheetId="7" name="TTaxes___4" vbProcedure="false">#REF!</definedName>
    <definedName function="false" hidden="false" localSheetId="7" name="TTaxes___5" vbProcedure="false">#REF!</definedName>
    <definedName function="false" hidden="false" localSheetId="7" name="TTaxes___7" vbProcedure="false">#REF!</definedName>
    <definedName function="false" hidden="false" localSheetId="7" name="TTaxRate" vbProcedure="false">#REF!</definedName>
    <definedName function="false" hidden="false" localSheetId="7" name="TTaxRate___0" vbProcedure="false">#REF!</definedName>
    <definedName function="false" hidden="false" localSheetId="7" name="TTaxRate___12" vbProcedure="false">#REF!</definedName>
    <definedName function="false" hidden="false" localSheetId="7" name="TTaxRate___14" vbProcedure="false">#REF!</definedName>
    <definedName function="false" hidden="false" localSheetId="7" name="TTaxRate___16" vbProcedure="false">#REF!</definedName>
    <definedName function="false" hidden="false" localSheetId="7" name="TTaxRate___2" vbProcedure="false">#REF!</definedName>
    <definedName function="false" hidden="false" localSheetId="7" name="TTaxRate___25" vbProcedure="false">#REF!</definedName>
    <definedName function="false" hidden="false" localSheetId="7" name="TTaxRate___26" vbProcedure="false">#REF!</definedName>
    <definedName function="false" hidden="false" localSheetId="7" name="TTaxRate___27" vbProcedure="false">#REF!</definedName>
    <definedName function="false" hidden="false" localSheetId="7" name="TTaxRate___4" vbProcedure="false">#REF!</definedName>
    <definedName function="false" hidden="false" localSheetId="7" name="TTaxRate___5" vbProcedure="false">#REF!</definedName>
    <definedName function="false" hidden="false" localSheetId="7" name="TTaxRate___7" vbProcedure="false">#REF!</definedName>
    <definedName function="false" hidden="false" localSheetId="7" name="tttt" vbProcedure="false">#REF!</definedName>
    <definedName function="false" hidden="false" localSheetId="7" name="TVAsChosen" vbProcedure="false">#REF!</definedName>
    <definedName function="false" hidden="false" localSheetId="7" name="TVAsChosen___0" vbProcedure="false">#REF!</definedName>
    <definedName function="false" hidden="false" localSheetId="7" name="TVAsChosen___12" vbProcedure="false">#REF!</definedName>
    <definedName function="false" hidden="false" localSheetId="7" name="TVAsChosen___14" vbProcedure="false">#REF!</definedName>
    <definedName function="false" hidden="false" localSheetId="7" name="TVAsChosen___16" vbProcedure="false">#REF!</definedName>
    <definedName function="false" hidden="false" localSheetId="7" name="TVAsChosen___2" vbProcedure="false">#REF!</definedName>
    <definedName function="false" hidden="false" localSheetId="7" name="TVAsChosen___25" vbProcedure="false">#REF!</definedName>
    <definedName function="false" hidden="false" localSheetId="7" name="TVAsChosen___26" vbProcedure="false">#REF!</definedName>
    <definedName function="false" hidden="false" localSheetId="7" name="TVAsChosen___27" vbProcedure="false">#REF!</definedName>
    <definedName function="false" hidden="false" localSheetId="7" name="TVAsChosen___4" vbProcedure="false">#REF!</definedName>
    <definedName function="false" hidden="false" localSheetId="7" name="TVAsChosen___5" vbProcedure="false">#REF!</definedName>
    <definedName function="false" hidden="false" localSheetId="7" name="TVAsChosen___7" vbProcedure="false">#REF!</definedName>
    <definedName function="false" hidden="false" localSheetId="7" name="TVButton" vbProcedure="false">#REF!</definedName>
    <definedName function="false" hidden="false" localSheetId="7" name="TVButton___0" vbProcedure="false">#REF!</definedName>
    <definedName function="false" hidden="false" localSheetId="7" name="TVButton___12" vbProcedure="false">#REF!</definedName>
    <definedName function="false" hidden="false" localSheetId="7" name="TVButton___14" vbProcedure="false">#REF!</definedName>
    <definedName function="false" hidden="false" localSheetId="7" name="TVButton___16" vbProcedure="false">#REF!</definedName>
    <definedName function="false" hidden="false" localSheetId="7" name="TVButton___2" vbProcedure="false">#REF!</definedName>
    <definedName function="false" hidden="false" localSheetId="7" name="TVButton___25" vbProcedure="false">#REF!</definedName>
    <definedName function="false" hidden="false" localSheetId="7" name="TVButton___26" vbProcedure="false">#REF!</definedName>
    <definedName function="false" hidden="false" localSheetId="7" name="TVButton___27" vbProcedure="false">#REF!</definedName>
    <definedName function="false" hidden="false" localSheetId="7" name="TVButton___4" vbProcedure="false">#REF!</definedName>
    <definedName function="false" hidden="false" localSheetId="7" name="TVButton___5" vbProcedure="false">#REF!</definedName>
    <definedName function="false" hidden="false" localSheetId="7" name="TVButton___7" vbProcedure="false">#REF!</definedName>
    <definedName function="false" hidden="false" localSheetId="7" name="TVbyTFCF" vbProcedure="false">#REF!</definedName>
    <definedName function="false" hidden="false" localSheetId="7" name="TVbyTFCF___0" vbProcedure="false">#REF!</definedName>
    <definedName function="false" hidden="false" localSheetId="7" name="TVbyTFCF___12" vbProcedure="false">#REF!</definedName>
    <definedName function="false" hidden="false" localSheetId="7" name="TVbyTFCF___14" vbProcedure="false">#REF!</definedName>
    <definedName function="false" hidden="false" localSheetId="7" name="TVbyTFCF___16" vbProcedure="false">#REF!</definedName>
    <definedName function="false" hidden="false" localSheetId="7" name="TVbyTFCF___2" vbProcedure="false">#REF!</definedName>
    <definedName function="false" hidden="false" localSheetId="7" name="TVbyTFCF___25" vbProcedure="false">#REF!</definedName>
    <definedName function="false" hidden="false" localSheetId="7" name="TVbyTFCF___26" vbProcedure="false">#REF!</definedName>
    <definedName function="false" hidden="false" localSheetId="7" name="TVbyTFCF___27" vbProcedure="false">#REF!</definedName>
    <definedName function="false" hidden="false" localSheetId="7" name="TVbyTFCF___4" vbProcedure="false">#REF!</definedName>
    <definedName function="false" hidden="false" localSheetId="7" name="TVbyTFCF___5" vbProcedure="false">#REF!</definedName>
    <definedName function="false" hidden="false" localSheetId="7" name="TVbyTFCF___7" vbProcedure="false">#REF!</definedName>
    <definedName function="false" hidden="false" localSheetId="7" name="TVMult" vbProcedure="false">#REF!</definedName>
    <definedName function="false" hidden="false" localSheetId="7" name="TVMultIncrement" vbProcedure="false">#REF!</definedName>
    <definedName function="false" hidden="false" localSheetId="7" name="TVMultIncrement___0" vbProcedure="false">#REF!</definedName>
    <definedName function="false" hidden="false" localSheetId="7" name="TVMultIncrement___12" vbProcedure="false">#REF!</definedName>
    <definedName function="false" hidden="false" localSheetId="7" name="TVMultIncrement___14" vbProcedure="false">#REF!</definedName>
    <definedName function="false" hidden="false" localSheetId="7" name="TVMultIncrement___16" vbProcedure="false">#REF!</definedName>
    <definedName function="false" hidden="false" localSheetId="7" name="TVMultIncrement___2" vbProcedure="false">#REF!</definedName>
    <definedName function="false" hidden="false" localSheetId="7" name="TVMultIncrement___25" vbProcedure="false">#REF!</definedName>
    <definedName function="false" hidden="false" localSheetId="7" name="TVMultIncrement___26" vbProcedure="false">#REF!</definedName>
    <definedName function="false" hidden="false" localSheetId="7" name="TVMultIncrement___27" vbProcedure="false">#REF!</definedName>
    <definedName function="false" hidden="false" localSheetId="7" name="TVMultIncrement___4" vbProcedure="false">#REF!</definedName>
    <definedName function="false" hidden="false" localSheetId="7" name="TVMultIncrement___5" vbProcedure="false">#REF!</definedName>
    <definedName function="false" hidden="false" localSheetId="7" name="TVMultIncrement___7" vbProcedure="false">#REF!</definedName>
    <definedName function="false" hidden="false" localSheetId="7" name="TVMultInputs" vbProcedure="false">#REF!</definedName>
    <definedName function="false" hidden="false" localSheetId="7" name="TVMultInputs___0" vbProcedure="false">#REF!</definedName>
    <definedName function="false" hidden="false" localSheetId="7" name="TVMultInputs___12" vbProcedure="false">#REF!</definedName>
    <definedName function="false" hidden="false" localSheetId="7" name="TVMultInputs___14" vbProcedure="false">#REF!</definedName>
    <definedName function="false" hidden="false" localSheetId="7" name="TVMultInputs___16" vbProcedure="false">#REF!</definedName>
    <definedName function="false" hidden="false" localSheetId="7" name="TVMultInputs___2" vbProcedure="false">#REF!</definedName>
    <definedName function="false" hidden="false" localSheetId="7" name="TVMultInputs___25" vbProcedure="false">#REF!</definedName>
    <definedName function="false" hidden="false" localSheetId="7" name="TVMultInputs___26" vbProcedure="false">#REF!</definedName>
    <definedName function="false" hidden="false" localSheetId="7" name="TVMultInputs___27" vbProcedure="false">#REF!</definedName>
    <definedName function="false" hidden="false" localSheetId="7" name="TVMultInputs___4" vbProcedure="false">#REF!</definedName>
    <definedName function="false" hidden="false" localSheetId="7" name="TVMultInputs___5" vbProcedure="false">#REF!</definedName>
    <definedName function="false" hidden="false" localSheetId="7" name="TVMultInputs___7" vbProcedure="false">#REF!</definedName>
    <definedName function="false" hidden="false" localSheetId="7" name="TVMult___0" vbProcedure="false">#REF!</definedName>
    <definedName function="false" hidden="false" localSheetId="7" name="TVMult___12" vbProcedure="false">#REF!</definedName>
    <definedName function="false" hidden="false" localSheetId="7" name="TVMult___14" vbProcedure="false">#REF!</definedName>
    <definedName function="false" hidden="false" localSheetId="7" name="TVMult___16" vbProcedure="false">#REF!</definedName>
    <definedName function="false" hidden="false" localSheetId="7" name="TVMult___2" vbProcedure="false">#REF!</definedName>
    <definedName function="false" hidden="false" localSheetId="7" name="TVMult___25" vbProcedure="false">#REF!</definedName>
    <definedName function="false" hidden="false" localSheetId="7" name="TVMult___26" vbProcedure="false">#REF!</definedName>
    <definedName function="false" hidden="false" localSheetId="7" name="TVMult___27" vbProcedure="false">#REF!</definedName>
    <definedName function="false" hidden="false" localSheetId="7" name="TVMult___4" vbProcedure="false">#REF!</definedName>
    <definedName function="false" hidden="false" localSheetId="7" name="TVMult___5" vbProcedure="false">#REF!</definedName>
    <definedName function="false" hidden="false" localSheetId="7" name="TVMult___7" vbProcedure="false">#REF!</definedName>
    <definedName function="false" hidden="false" localSheetId="7" name="TVREV" vbProcedure="false">#REF!</definedName>
    <definedName function="false" hidden="false" localSheetId="7" name="TVTitles" vbProcedure="false">#REF!</definedName>
    <definedName function="false" hidden="false" localSheetId="7" name="TVTitles___0" vbProcedure="false">#REF!</definedName>
    <definedName function="false" hidden="false" localSheetId="7" name="TVTitles___12" vbProcedure="false">#REF!</definedName>
    <definedName function="false" hidden="false" localSheetId="7" name="TVTitles___14" vbProcedure="false">#REF!</definedName>
    <definedName function="false" hidden="false" localSheetId="7" name="TVTitles___16" vbProcedure="false">#REF!</definedName>
    <definedName function="false" hidden="false" localSheetId="7" name="TVTitles___2" vbProcedure="false">#REF!</definedName>
    <definedName function="false" hidden="false" localSheetId="7" name="TVTitles___25" vbProcedure="false">#REF!</definedName>
    <definedName function="false" hidden="false" localSheetId="7" name="TVTitles___26" vbProcedure="false">#REF!</definedName>
    <definedName function="false" hidden="false" localSheetId="7" name="TVTitles___27" vbProcedure="false">#REF!</definedName>
    <definedName function="false" hidden="false" localSheetId="7" name="TVTitles___4" vbProcedure="false">#REF!</definedName>
    <definedName function="false" hidden="false" localSheetId="7" name="TVTitles___5" vbProcedure="false">#REF!</definedName>
    <definedName function="false" hidden="false" localSheetId="7" name="TVTitles___7" vbProcedure="false">#REF!</definedName>
    <definedName function="false" hidden="false" localSheetId="7" name="TWACCAdjustment" vbProcedure="false">#REF!</definedName>
    <definedName function="false" hidden="false" localSheetId="7" name="TWACCAdjustment___0" vbProcedure="false">#REF!</definedName>
    <definedName function="false" hidden="false" localSheetId="7" name="TWACCAdjustment___12" vbProcedure="false">#REF!</definedName>
    <definedName function="false" hidden="false" localSheetId="7" name="TWACCAdjustment___14" vbProcedure="false">#REF!</definedName>
    <definedName function="false" hidden="false" localSheetId="7" name="TWACCAdjustment___16" vbProcedure="false">#REF!</definedName>
    <definedName function="false" hidden="false" localSheetId="7" name="TWACCAdjustment___2" vbProcedure="false">#REF!</definedName>
    <definedName function="false" hidden="false" localSheetId="7" name="TWACCAdjustment___25" vbProcedure="false">#REF!</definedName>
    <definedName function="false" hidden="false" localSheetId="7" name="TWACCAdjustment___26" vbProcedure="false">#REF!</definedName>
    <definedName function="false" hidden="false" localSheetId="7" name="TWACCAdjustment___27" vbProcedure="false">#REF!</definedName>
    <definedName function="false" hidden="false" localSheetId="7" name="TWACCAdjustment___4" vbProcedure="false">#REF!</definedName>
    <definedName function="false" hidden="false" localSheetId="7" name="TWACCAdjustment___5" vbProcedure="false">#REF!</definedName>
    <definedName function="false" hidden="false" localSheetId="7" name="TWACCAdjustment___7" vbProcedure="false">#REF!</definedName>
    <definedName function="false" hidden="false" localSheetId="7" name="twd" vbProcedure="false">#REF!</definedName>
    <definedName function="false" hidden="false" localSheetId="7" name="Tx_intérêt_par_an___0" vbProcedure="false">#REF!</definedName>
    <definedName function="false" hidden="false" localSheetId="7" name="Tx_intérêt_par_an___12" vbProcedure="false">#REF!</definedName>
    <definedName function="false" hidden="false" localSheetId="7" name="Tx_intérêt_par_an___14" vbProcedure="false">#REF!</definedName>
    <definedName function="false" hidden="false" localSheetId="7" name="Tx_intérêt_par_an___16" vbProcedure="false">#REF!</definedName>
    <definedName function="false" hidden="false" localSheetId="7" name="Tx_intérêt_par_an___2" vbProcedure="false">#REF!</definedName>
    <definedName function="false" hidden="false" localSheetId="7" name="Tx_intérêt_par_an___25" vbProcedure="false">#REF!</definedName>
    <definedName function="false" hidden="false" localSheetId="7" name="Tx_intérêt_par_an___26" vbProcedure="false">#REF!</definedName>
    <definedName function="false" hidden="false" localSheetId="7" name="Tx_intérêt_par_an___27" vbProcedure="false">#REF!</definedName>
    <definedName function="false" hidden="false" localSheetId="7" name="Tx_intérêt_par_an___4" vbProcedure="false">#REF!</definedName>
    <definedName function="false" hidden="false" localSheetId="7" name="Tx_intérêt_par_an___5" vbProcedure="false">#REF!</definedName>
    <definedName function="false" hidden="false" localSheetId="7" name="Tx_intérêt_par_an___7" vbProcedure="false">#REF!</definedName>
    <definedName function="false" hidden="false" localSheetId="7" name="ty" vbProcedure="false">{"orixcsc",#N/A,FALSE,"ORIX CSC";"orixcsc2",#N/A,FALSE,"ORIX CSC"}</definedName>
    <definedName function="false" hidden="false" localSheetId="7" name="TYFTRYRTYRTYUR" vbProcedure="false">#REF!</definedName>
    <definedName function="false" hidden="false" localSheetId="7" name="tyhtf" vbProcedure="false">#REF!</definedName>
    <definedName function="false" hidden="false" localSheetId="7" name="Type_1" vbProcedure="false">#REF!</definedName>
    <definedName function="false" hidden="false" localSheetId="7" name="Type_2" vbProcedure="false">#REF!</definedName>
    <definedName function="false" hidden="false" localSheetId="7" name="tyryt" vbProcedure="false">#REF!</definedName>
    <definedName function="false" hidden="false" localSheetId="7" name="télphabontralocal" vbProcedure="false">#REF!</definedName>
    <definedName function="false" hidden="false" localSheetId="7" name="télphabontralocal___0" vbProcedure="false">#REF!</definedName>
    <definedName function="false" hidden="false" localSheetId="7" name="télphabontralocal___14" vbProcedure="false">#REF!</definedName>
    <definedName function="false" hidden="false" localSheetId="7" name="ufykfk" vbProcedure="false">{"print 1",#N/A,FALSE,"PrimeCo PCS";"print 2",#N/A,FALSE,"PrimeCo PCS";"valuation",#N/A,FALSE,"PrimeCo PCS"}</definedName>
    <definedName function="false" hidden="false" localSheetId="7" name="ULTSUMM97" vbProcedure="false">#REF!</definedName>
    <definedName function="false" hidden="false" localSheetId="7" name="uykfu" vbProcedure="false">#N/A</definedName>
    <definedName function="false" hidden="false" localSheetId="7" name="uyuyuyuyuyu" vbProcedure="false">{#N/A,#N/A,TRUE,"Cover sheet";#N/A,#N/A,TRUE,"DCF analysis";#N/A,#N/A,TRUE,"WACC calculation"}</definedName>
    <definedName function="false" hidden="false" localSheetId="7" name="V" vbProcedure="false">#N/A</definedName>
    <definedName function="false" hidden="false" localSheetId="7" name="VA" vbProcedure="false">#REF!</definedName>
    <definedName function="false" hidden="false" localSheetId="7" name="ValuationDate" vbProcedure="false">#REF!</definedName>
    <definedName function="false" hidden="false" localSheetId="7" name="ValuationDate___0" vbProcedure="false">#REF!</definedName>
    <definedName function="false" hidden="false" localSheetId="7" name="ValuationDate___12" vbProcedure="false">#REF!</definedName>
    <definedName function="false" hidden="false" localSheetId="7" name="ValuationDate___14" vbProcedure="false">#REF!</definedName>
    <definedName function="false" hidden="false" localSheetId="7" name="ValuationDate___16" vbProcedure="false">#REF!</definedName>
    <definedName function="false" hidden="false" localSheetId="7" name="ValuationDate___2" vbProcedure="false">#REF!</definedName>
    <definedName function="false" hidden="false" localSheetId="7" name="ValuationDate___25" vbProcedure="false">#REF!</definedName>
    <definedName function="false" hidden="false" localSheetId="7" name="ValuationDate___26" vbProcedure="false">#REF!</definedName>
    <definedName function="false" hidden="false" localSheetId="7" name="ValuationDate___27" vbProcedure="false">#REF!</definedName>
    <definedName function="false" hidden="false" localSheetId="7" name="ValuationDate___4" vbProcedure="false">#REF!</definedName>
    <definedName function="false" hidden="false" localSheetId="7" name="ValuationDate___5" vbProcedure="false">#REF!</definedName>
    <definedName function="false" hidden="false" localSheetId="7" name="ValuationDate___7" vbProcedure="false">#REF!</definedName>
    <definedName function="false" hidden="false" localSheetId="7" name="variance" vbProcedure="false">#REF!</definedName>
    <definedName function="false" hidden="false" localSheetId="7" name="VColsToPrint" vbProcedure="false">#REF!</definedName>
    <definedName function="false" hidden="false" localSheetId="7" name="VColsToPrint___0" vbProcedure="false">#REF!</definedName>
    <definedName function="false" hidden="false" localSheetId="7" name="VColsToPrint___12" vbProcedure="false">#REF!</definedName>
    <definedName function="false" hidden="false" localSheetId="7" name="VColsToPrint___14" vbProcedure="false">#REF!</definedName>
    <definedName function="false" hidden="false" localSheetId="7" name="VColsToPrint___16" vbProcedure="false">#REF!</definedName>
    <definedName function="false" hidden="false" localSheetId="7" name="VColsToPrint___2" vbProcedure="false">#REF!</definedName>
    <definedName function="false" hidden="false" localSheetId="7" name="VColsToPrint___25" vbProcedure="false">#REF!</definedName>
    <definedName function="false" hidden="false" localSheetId="7" name="VColsToPrint___26" vbProcedure="false">#REF!</definedName>
    <definedName function="false" hidden="false" localSheetId="7" name="VColsToPrint___27" vbProcedure="false">#REF!</definedName>
    <definedName function="false" hidden="false" localSheetId="7" name="VColsToPrint___4" vbProcedure="false">#REF!</definedName>
    <definedName function="false" hidden="false" localSheetId="7" name="VColsToPrint___5" vbProcedure="false">#REF!</definedName>
    <definedName function="false" hidden="false" localSheetId="7" name="VColsToPrint___7" vbProcedure="false">#REF!</definedName>
    <definedName function="false" hidden="false" localSheetId="7" name="VERS_REC_CCP" vbProcedure="false">#REF!</definedName>
    <definedName function="false" hidden="false" localSheetId="7" name="VIGNETTES_TG" vbProcedure="false">#REF!</definedName>
    <definedName function="false" hidden="false" localSheetId="7" name="vince" vbProcedure="false">{#N/A,#N/A,TRUE,"Cover sheet";#N/A,#N/A,TRUE,"DCF analysis";#N/A,#N/A,TRUE,"WACC calculation"}</definedName>
    <definedName function="false" hidden="false" localSheetId="7" name="VIR_BANQUE" vbProcedure="false">#REF!</definedName>
    <definedName function="false" hidden="false" localSheetId="7" name="VLastRow" vbProcedure="false">#REF!</definedName>
    <definedName function="false" hidden="false" localSheetId="7" name="VLastRowToPrint" vbProcedure="false">#REF!</definedName>
    <definedName function="false" hidden="false" localSheetId="7" name="VLastRowToPrint___12" vbProcedure="false">#REF!</definedName>
    <definedName function="false" hidden="false" localSheetId="7" name="VLastRowToPrint___14" vbProcedure="false">#REF!</definedName>
    <definedName function="false" hidden="false" localSheetId="7" name="VLastRowToPrint___16" vbProcedure="false">#REF!</definedName>
    <definedName function="false" hidden="false" localSheetId="7" name="VLastRowToPrint___2" vbProcedure="false">#REF!</definedName>
    <definedName function="false" hidden="false" localSheetId="7" name="VLastRowToPrint___25" vbProcedure="false">#REF!</definedName>
    <definedName function="false" hidden="false" localSheetId="7" name="VLastRowToPrint___27" vbProcedure="false">#REF!</definedName>
    <definedName function="false" hidden="false" localSheetId="7" name="VLastRowToPrint___4" vbProcedure="false">#REF!</definedName>
    <definedName function="false" hidden="false" localSheetId="7" name="VLastRowToPrint___5" vbProcedure="false">#REF!</definedName>
    <definedName function="false" hidden="false" localSheetId="7" name="VLastRow___0" vbProcedure="false">#REF!</definedName>
    <definedName function="false" hidden="false" localSheetId="7" name="VLastRow___12" vbProcedure="false">#REF!</definedName>
    <definedName function="false" hidden="false" localSheetId="7" name="VLastRow___14" vbProcedure="false">#REF!</definedName>
    <definedName function="false" hidden="false" localSheetId="7" name="VLastRow___16" vbProcedure="false">#REF!</definedName>
    <definedName function="false" hidden="false" localSheetId="7" name="VLastRow___2" vbProcedure="false">#REF!</definedName>
    <definedName function="false" hidden="false" localSheetId="7" name="VLastRow___25" vbProcedure="false">#REF!</definedName>
    <definedName function="false" hidden="false" localSheetId="7" name="VLastRow___26" vbProcedure="false">#REF!</definedName>
    <definedName function="false" hidden="false" localSheetId="7" name="VLastRow___27" vbProcedure="false">#REF!</definedName>
    <definedName function="false" hidden="false" localSheetId="7" name="VLastRow___4" vbProcedure="false">#REF!</definedName>
    <definedName function="false" hidden="false" localSheetId="7" name="VLastRow___5" vbProcedure="false">#REF!</definedName>
    <definedName function="false" hidden="false" localSheetId="7" name="VLastRow___7" vbProcedure="false">#REF!</definedName>
    <definedName function="false" hidden="false" localSheetId="7" name="VLR" vbProcedure="false">#REF!,#REF!</definedName>
    <definedName function="false" hidden="false" localSheetId="7" name="VolFactor" vbProcedure="false">#REF!</definedName>
    <definedName function="false" hidden="false" localSheetId="7" name="VolFactor___0" vbProcedure="false">#REF!</definedName>
    <definedName function="false" hidden="false" localSheetId="7" name="VolFactor___26" vbProcedure="false">#REF!</definedName>
    <definedName function="false" hidden="false" localSheetId="7" name="VolFactor___7" vbProcedure="false">#REF!</definedName>
    <definedName function="false" hidden="false" localSheetId="7" name="VPLastRow" vbProcedure="false">#REF!</definedName>
    <definedName function="false" hidden="false" localSheetId="7" name="VPLastRow___0" vbProcedure="false">#REF!</definedName>
    <definedName function="false" hidden="false" localSheetId="7" name="VPLastRow___12" vbProcedure="false">#REF!</definedName>
    <definedName function="false" hidden="false" localSheetId="7" name="VPLastRow___14" vbProcedure="false">#REF!</definedName>
    <definedName function="false" hidden="false" localSheetId="7" name="VPLastRow___16" vbProcedure="false">#REF!</definedName>
    <definedName function="false" hidden="false" localSheetId="7" name="VPLastRow___2" vbProcedure="false">#REF!</definedName>
    <definedName function="false" hidden="false" localSheetId="7" name="VPLastRow___25" vbProcedure="false">#REF!</definedName>
    <definedName function="false" hidden="false" localSheetId="7" name="VPLastRow___26" vbProcedure="false">#REF!</definedName>
    <definedName function="false" hidden="false" localSheetId="7" name="VPLastRow___27" vbProcedure="false">#REF!</definedName>
    <definedName function="false" hidden="false" localSheetId="7" name="VPLastRow___4" vbProcedure="false">#REF!</definedName>
    <definedName function="false" hidden="false" localSheetId="7" name="VPLastRow___5" vbProcedure="false">#REF!</definedName>
    <definedName function="false" hidden="false" localSheetId="7" name="VPLastRow___7" vbProcedure="false">#REF!</definedName>
    <definedName function="false" hidden="false" localSheetId="7" name="VTitle" vbProcedure="false">#REF!</definedName>
    <definedName function="false" hidden="false" localSheetId="7" name="VTitle___0" vbProcedure="false">#REF!</definedName>
    <definedName function="false" hidden="false" localSheetId="7" name="VTitle___12" vbProcedure="false">#REF!</definedName>
    <definedName function="false" hidden="false" localSheetId="7" name="VTitle___14" vbProcedure="false">#REF!</definedName>
    <definedName function="false" hidden="false" localSheetId="7" name="VTitle___16" vbProcedure="false">#REF!</definedName>
    <definedName function="false" hidden="false" localSheetId="7" name="VTitle___2" vbProcedure="false">#REF!</definedName>
    <definedName function="false" hidden="false" localSheetId="7" name="VTitle___25" vbProcedure="false">#REF!</definedName>
    <definedName function="false" hidden="false" localSheetId="7" name="VTitle___26" vbProcedure="false">#REF!</definedName>
    <definedName function="false" hidden="false" localSheetId="7" name="VTitle___27" vbProcedure="false">#REF!</definedName>
    <definedName function="false" hidden="false" localSheetId="7" name="VTitle___4" vbProcedure="false">#REF!</definedName>
    <definedName function="false" hidden="false" localSheetId="7" name="VTitle___5" vbProcedure="false">#REF!</definedName>
    <definedName function="false" hidden="false" localSheetId="7" name="VTitle___7" vbProcedure="false">#REF!</definedName>
    <definedName function="false" hidden="false" localSheetId="7" name="vvv" vbProcedure="false">{#N/A,#N/A,TRUE,"Cover sheet";#N/A,#N/A,TRUE,"DCF analysis";#N/A,#N/A,TRUE,"WACC calculation"}</definedName>
    <definedName function="false" hidden="false" localSheetId="7" name="W" vbProcedure="false">#REF!</definedName>
    <definedName function="false" hidden="false" localSheetId="7" name="W.B" vbProcedure="false">#REF!</definedName>
    <definedName function="false" hidden="false" localSheetId="7" name="WACC" vbProcedure="false">#REF!</definedName>
    <definedName function="false" hidden="false" localSheetId="7" name="WACCIncrement" vbProcedure="false">#REF!</definedName>
    <definedName function="false" hidden="false" localSheetId="7" name="WACCIncrement___0" vbProcedure="false">#REF!</definedName>
    <definedName function="false" hidden="false" localSheetId="7" name="WACCIncrement___12" vbProcedure="false">#REF!</definedName>
    <definedName function="false" hidden="false" localSheetId="7" name="WACCIncrement___14" vbProcedure="false">#REF!</definedName>
    <definedName function="false" hidden="false" localSheetId="7" name="WACCIncrement___16" vbProcedure="false">#REF!</definedName>
    <definedName function="false" hidden="false" localSheetId="7" name="WACCIncrement___2" vbProcedure="false">#REF!</definedName>
    <definedName function="false" hidden="false" localSheetId="7" name="WACCIncrement___25" vbProcedure="false">#REF!</definedName>
    <definedName function="false" hidden="false" localSheetId="7" name="WACCIncrement___26" vbProcedure="false">#REF!</definedName>
    <definedName function="false" hidden="false" localSheetId="7" name="WACCIncrement___27" vbProcedure="false">#REF!</definedName>
    <definedName function="false" hidden="false" localSheetId="7" name="WACCIncrement___4" vbProcedure="false">#REF!</definedName>
    <definedName function="false" hidden="false" localSheetId="7" name="WACCIncrement___5" vbProcedure="false">#REF!</definedName>
    <definedName function="false" hidden="false" localSheetId="7" name="WACCIncrement___7" vbProcedure="false">#REF!</definedName>
    <definedName function="false" hidden="false" localSheetId="7" name="WACC___0" vbProcedure="false">#REF!</definedName>
    <definedName function="false" hidden="false" localSheetId="7" name="WACC___12" vbProcedure="false">#REF!</definedName>
    <definedName function="false" hidden="false" localSheetId="7" name="WACC___14" vbProcedure="false">#REF!</definedName>
    <definedName function="false" hidden="false" localSheetId="7" name="WACC___16" vbProcedure="false">#REF!</definedName>
    <definedName function="false" hidden="false" localSheetId="7" name="WACC___2" vbProcedure="false">#REF!</definedName>
    <definedName function="false" hidden="false" localSheetId="7" name="WACC___25" vbProcedure="false">#REF!</definedName>
    <definedName function="false" hidden="false" localSheetId="7" name="WACC___26" vbProcedure="false">#REF!</definedName>
    <definedName function="false" hidden="false" localSheetId="7" name="WACC___27" vbProcedure="false">#REF!</definedName>
    <definedName function="false" hidden="false" localSheetId="7" name="WACC___4" vbProcedure="false">#REF!</definedName>
    <definedName function="false" hidden="false" localSheetId="7" name="WACC___5" vbProcedure="false">#REF!</definedName>
    <definedName function="false" hidden="false" localSheetId="7" name="WACC___7" vbProcedure="false">#REF!</definedName>
    <definedName function="false" hidden="false" localSheetId="7" name="WAFA_BANK" vbProcedure="false">#REF!</definedName>
    <definedName function="false" hidden="false" localSheetId="7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7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wrn.1." vbProcedure="false">{#N/A,#N/A,FALSE,"Calc";#N/A,#N/A,FALSE,"Sensitivity";#N/A,#N/A,FALSE,"LT Earn.Dil.";#N/A,#N/A,FALSE,"Dil. AVP"}</definedName>
    <definedName function="false" hidden="false" localSheetId="7" name="WRN.2." vbProcedure="false">{#N/A,#N/A,FALSE,"Calc";#N/A,#N/A,FALSE,"Sensitivity";#N/A,#N/A,FALSE,"LT Earn.Dil.";#N/A,#N/A,FALSE,"Dil. AVP"}</definedName>
    <definedName function="false" hidden="false" localSheetId="7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7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localSheetId="7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localSheetId="7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wrn.assumptions." vbProcedure="false">{"casespecific",#N/A,FALSE,"Assumptions"}</definedName>
    <definedName function="false" hidden="false" localSheetId="7" name="wrn.away." vbProcedure="false">{"away stand alones",#N/A,FALSE,"Target"}</definedName>
    <definedName function="false" hidden="false" localSheetId="7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7" name="wrn.BEL." vbProcedure="false">{"IS",#N/A,FALSE,"IS";"RPTIS",#N/A,FALSE,"RPTIS";"STATS",#N/A,FALSE,"STATS";"CELL",#N/A,FALSE,"CELL";"BS",#N/A,FALSE,"BS"}</definedName>
    <definedName function="false" hidden="false" localSheetId="7" name="wrn.Both." vbProcedure="false">{#N/A,#N/A,FALSE,"1998";#N/A,#N/A,FALSE,"1997"}</definedName>
    <definedName function="false" hidden="false" localSheetId="7" name="wrn.BPlan." vbProcedure="false">{#N/A,#N/A,FALSE,"F_Plan";#N/A,#N/A,FALSE,"Parameter"}</definedName>
    <definedName function="false" hidden="false" localSheetId="7" name="wrn.brian." vbProcedure="false">{#N/A,#N/A,FALSE,"output";#N/A,#N/A,FALSE,"contrib";#N/A,#N/A,FALSE,"profile";#N/A,#N/A,FALSE,"comps"}</definedName>
    <definedName function="false" hidden="false" localSheetId="7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localSheetId="7" name="wrn.comps." vbProcedure="false">{"comps",#N/A,FALSE,"comps";"notes",#N/A,FALSE,"comps"}</definedName>
    <definedName function="false" hidden="false" localSheetId="7" name="wrn.contribution." vbProcedure="false">{#N/A,#N/A,FALSE,"Contribution Analysis"}</definedName>
    <definedName function="false" hidden="false" localSheetId="7" name="wrn.cooper." vbProcedure="false">{#N/A,#N/A,TRUE,"Pro Forma";#N/A,#N/A,TRUE,"PF_Bal";#N/A,#N/A,TRUE,"PF_INC";#N/A,#N/A,TRUE,"CBE";#N/A,#N/A,TRUE,"SWK"}</definedName>
    <definedName function="false" hidden="false" localSheetId="7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wrn.csc." vbProcedure="false">{"orixcsc",#N/A,FALSE,"ORIX CSC";"orixcsc2",#N/A,FALSE,"ORIX CSC"}</definedName>
    <definedName function="false" hidden="false" localSheetId="7" name="wrn.csc2." vbProcedure="false">{#N/A,#N/A,FALSE,"ORIX CSC"}</definedName>
    <definedName function="false" hidden="false" localSheetId="7" name="wrn.database." vbProcedure="false">{"subs",#N/A,FALSE,"database ";"proportional",#N/A,FALSE,"database "}</definedName>
    <definedName function="false" hidden="false" localSheetId="7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wrn.dil_anal." vbProcedure="false">{"hiden",#N/A,FALSE,"14";"hidden",#N/A,FALSE,"16";"hidden",#N/A,FALSE,"18";"hidden",#N/A,FALSE,"20"}</definedName>
    <definedName function="false" hidden="false" localSheetId="7" name="wrn.document." vbProcedure="false">{"consolidated",#N/A,FALSE,"Sheet1";"cms",#N/A,FALSE,"Sheet1";"fse",#N/A,FALSE,"Sheet1"}</definedName>
    <definedName function="false" hidden="false" localSheetId="7" name="wrn.documentaero." vbProcedure="false">{"comps2",#N/A,FALSE,"AERO";"footnotes",#N/A,FALSE,"AERO"}</definedName>
    <definedName function="false" hidden="false" localSheetId="7" name="wrn.documenthand." vbProcedure="false">{"comps",#N/A,FALSE,"HANDPACK";"footnotes",#N/A,FALSE,"HANDPACK"}</definedName>
    <definedName function="false" hidden="false" localSheetId="7" name="wrn.equity._.comps." vbProcedure="false">{"equity comps",#N/A,FALSE,"CS Comps";"equity comps",#N/A,FALSE,"PS Comps";"equity comps",#N/A,FALSE,"GIC_Comps";"equity comps",#N/A,FALSE,"GIC2_Comps"}</definedName>
    <definedName function="false" hidden="false" localSheetId="7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wrn.Flash._.Report." vbProcedure="false">{#N/A,#N/A,FALSE,"1999 Fiscal Current Week";#N/A,#N/A,FALSE,"1999 Flash Report Variance "}</definedName>
    <definedName function="false" hidden="false" localSheetId="7" name="wrn.fleck." vbProcedure="false">{"first",#N/A,FALSE,"FLEXPAC2";"second",#N/A,FALSE,"FLEXPAC2"}</definedName>
    <definedName function="false" hidden="false" localSheetId="7" name="wrn.fleckcompac." vbProcedure="false">{"one",#N/A,FALSE,"FLEXPAC2";"two",#N/A,FALSE,"FLEXPAC2";"three",#N/A,FALSE,"FLEXPAC2"}</definedName>
    <definedName function="false" hidden="false" localSheetId="7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7" name="wrn.Full." vbProcedure="false">{#N/A,#N/A,FALSE,"Cover";"outputs total",#N/A,FALSE,"Outputs"}</definedName>
    <definedName function="false" hidden="false" localSheetId="7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wrn.imp." vbProcedure="false">{"vue1",#N/A,FALSE,"synthese";"vue2",#N/A,FALSE,"synthese"}</definedName>
    <definedName function="false" hidden="false" localSheetId="7" name="wrn.Inputsheet_ProjectInput." vbProcedure="false">{"ProjectInput",#N/A,FALSE,"INPUT-AREA"}</definedName>
    <definedName function="false" hidden="false" localSheetId="7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localSheetId="7" name="wrn.Mark._.P.._.Report." vbProcedure="false">{#N/A,#N/A,FALSE,"1999 Fiscal Current Week";#N/A,#N/A,FALSE,"1999 Fiscal Variance"}</definedName>
    <definedName function="false" hidden="false" localSheetId="7" name="wrn.memo." vbProcedure="false">{#N/A,#N/A,TRUE,"financial";#N/A,#N/A,TRUE,"plants"}</definedName>
    <definedName function="false" hidden="false" localSheetId="7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7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7" name="wrn.new." vbProcedure="false">{"new1",#N/A,FALSE,"FLEXPAC2";"new2",#N/A,FALSE,"FLEXPAC2"}</definedName>
    <definedName function="false" hidden="false" localSheetId="7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localSheetId="7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localSheetId="7" name="wrn.Outlook._.Report." vbProcedure="false">{#N/A,#N/A,FALSE,"Outlook for Month ";#N/A,#N/A,FALSE,"Risk for Month ";#N/A,#N/A,FALSE,"Upside for Month"}</definedName>
    <definedName function="false" hidden="false" localSheetId="7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wrn.PrimeCo." vbProcedure="false">{"print 1",#N/A,FALSE,"PrimeCo PCS";"print 2",#N/A,FALSE,"PrimeCo PCS";"valuation",#N/A,FALSE,"PrimeCo PCS"}</definedName>
    <definedName function="false" hidden="false" localSheetId="7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localSheetId="7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localSheetId="7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localSheetId="7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localSheetId="7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7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localSheetId="7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localSheetId="7" name="wrn.Print._.the._.lot." vbProcedure="false">{"First Page",#N/A,FALSE,"Surfactants LBO";"Second Page",#N/A,FALSE,"Surfactants LBO"}</definedName>
    <definedName function="false" hidden="false" localSheetId="7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7" name="wrn.Printing._.the._.transactions._.sheets." vbProcedure="false">{#N/A,#N/A,FALSE,"Eastern";#N/A,#N/A,FALSE,"Western"}</definedName>
    <definedName function="false" hidden="false" localSheetId="7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localSheetId="7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localSheetId="7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7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wrn.Report1." vbProcedure="false">{#N/A,#N/A,FALSE,"Operations";#N/A,#N/A,FALSE,"Financials"}</definedName>
    <definedName function="false" hidden="false" localSheetId="7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wrn.sens." vbProcedure="false">{#N/A,#N/A,FALSE,"Sensitivities";#N/A,#N/A,FALSE,"Sensitivities2"}</definedName>
    <definedName function="false" hidden="false" localSheetId="7" name="wrn.sensitivity._.analyses." vbProcedure="false">{"general",#N/A,FALSE,"Assumptions"}</definedName>
    <definedName function="false" hidden="false" localSheetId="7" name="wrn.stand_alone." vbProcedure="false">{#N/A,#N/A,FALSE,"CBE";#N/A,#N/A,FALSE,"SWK"}</definedName>
    <definedName function="false" hidden="false" localSheetId="7" name="wrn.Summary." vbProcedure="false">{#N/A,#N/A,FALSE,"Summary3";#N/A,#N/A,FALSE,"Summary1";#N/A,#N/A,FALSE,"Summary2";#N/A,#N/A,FALSE,"Sensitivities1";#N/A,#N/A,FALSE,"Sensitivities2"}</definedName>
    <definedName function="false" hidden="false" localSheetId="7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7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localSheetId="7" name="wrn.test." vbProcedure="false">{"test2",#N/A,TRUE,"Prices"}</definedName>
    <definedName function="false" hidden="false" localSheetId="7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localSheetId="7" name="wrn.totalcomp." vbProcedure="false">{"comp1",#N/A,FALSE,"COMPS";"footnotes",#N/A,FALSE,"COMPS"}</definedName>
    <definedName function="false" hidden="false" localSheetId="7" name="wrn.trans._.sum." vbProcedure="false">{"trans assumptions",#N/A,FALSE,"Merger";"trans accretion",#N/A,FALSE,"Merger"}</definedName>
    <definedName function="false" hidden="false" localSheetId="7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localSheetId="7" name="wrn.Umsatz." vbProcedure="false">{#N/A,#N/A,FALSE,"Umsatz";#N/A,#N/A,FALSE,"Base V.02";#N/A,#N/A,FALSE,"Charts"}</definedName>
    <definedName function="false" hidden="false" localSheetId="7" name="wrn.up." vbProcedure="false">{"up stand alones",#N/A,FALSE,"Acquiror"}</definedName>
    <definedName function="false" hidden="false" localSheetId="7" name="wrn.upfront." vbProcedure="false">{#N/A,#N/A,FALSE,"SUMMARY";#N/A,#N/A,FALSE,"COACH";#N/A,#N/A,FALSE,"ACTIONPK";#N/A,#N/A,FALSE,"LASTCALL";#N/A,#N/A,FALSE,"SUZANNE";#N/A,#N/A,FALSE,"NEXPO"}</definedName>
    <definedName function="false" hidden="false" localSheetId="7" name="wrn.USW." vbProcedure="false">{"IS",#N/A,FALSE,"IS";"RPTIS",#N/A,FALSE,"RPTIS";"STATS",#N/A,FALSE,"STATS";"BS",#N/A,FALSE,"BS"}</definedName>
    <definedName function="false" hidden="false" localSheetId="7" name="wrn.édition." vbProcedure="false">{"résultats",#N/A,FALSE,"résultats SFS";"indicateurs",#N/A,FALSE,"résultats SFS";"commentaires",#N/A,FALSE,"commentaires SFS";"graphiques",#N/A,FALSE,"graphiques SFS"}</definedName>
    <definedName function="false" hidden="false" localSheetId="7" name="wrn1.flash._.Report." vbProcedure="false">{#N/A,#N/A,FALSE,"1999 Fiscal Current Week";#N/A,#N/A,FALSE,"1999 Flash Report Variance "}</definedName>
    <definedName function="false" hidden="false" localSheetId="7" name="wrn2.Bplan." vbProcedure="false">{#N/A,#N/A,FALSE,"F_Plan";#N/A,#N/A,FALSE,"Parameter"}</definedName>
    <definedName function="false" hidden="false" localSheetId="7" name="WRN2.Document" vbProcedure="false">{"consolidated",#N/A,FALSE,"Sheet1";"cms",#N/A,FALSE,"Sheet1";"fse",#N/A,FALSE,"Sheet1"}</definedName>
    <definedName function="false" hidden="false" localSheetId="7" name="W___0" vbProcedure="false">#REF!</definedName>
    <definedName function="false" hidden="false" localSheetId="7" name="W___12" vbProcedure="false">#REF!</definedName>
    <definedName function="false" hidden="false" localSheetId="7" name="W___14" vbProcedure="false">#REF!</definedName>
    <definedName function="false" hidden="false" localSheetId="7" name="W___16" vbProcedure="false">#REF!</definedName>
    <definedName function="false" hidden="false" localSheetId="7" name="W___2" vbProcedure="false">#REF!</definedName>
    <definedName function="false" hidden="false" localSheetId="7" name="W___25" vbProcedure="false">#REF!</definedName>
    <definedName function="false" hidden="false" localSheetId="7" name="W___26" vbProcedure="false">#REF!</definedName>
    <definedName function="false" hidden="false" localSheetId="7" name="W___27" vbProcedure="false">#REF!</definedName>
    <definedName function="false" hidden="false" localSheetId="7" name="W___4" vbProcedure="false">#REF!</definedName>
    <definedName function="false" hidden="false" localSheetId="7" name="W___5" vbProcedure="false">#REF!</definedName>
    <definedName function="false" hidden="false" localSheetId="7" name="W___7" vbProcedure="false">#REF!</definedName>
    <definedName function="false" hidden="false" localSheetId="7" name="X" vbProcedure="false">#REF!</definedName>
    <definedName function="false" hidden="false" localSheetId="7" name="xcdq" vbProcedure="false">{#N/A,#N/A,FALSE,"Outlook for Month ";#N/A,#N/A,FALSE,"Risk for Month ";#N/A,#N/A,FALSE,"Upside for Month"}</definedName>
    <definedName function="false" hidden="false" localSheetId="7" name="xcvxcvx" vbProcedure="false">#REF!</definedName>
    <definedName function="false" hidden="false" localSheetId="7" name="xf" vbProcedure="false">#REF!</definedName>
    <definedName function="false" hidden="false" localSheetId="7" name="XRefActiveRow" vbProcedure="false">#REF!</definedName>
    <definedName function="false" hidden="false" localSheetId="7" name="XRefCopy2Row" vbProcedure="false">#REF!</definedName>
    <definedName function="false" hidden="false" localSheetId="7" name="XRefPaste2Row" vbProcedure="false">#REF!</definedName>
    <definedName function="false" hidden="false" localSheetId="7" name="XRefPaste3Row" vbProcedure="false">#REF!</definedName>
    <definedName function="false" hidden="false" localSheetId="7" name="XRefPaste4Row" vbProcedure="false">#REF!</definedName>
    <definedName function="false" hidden="false" localSheetId="7" name="XRefPaste5Row" vbProcedure="false">#REF!</definedName>
    <definedName function="false" hidden="false" localSheetId="7" name="xv" vbProcedure="false">#REF!</definedName>
    <definedName function="false" hidden="false" localSheetId="7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7" name="xxxxx" vbProcedure="false">{#N/A,#N/A,FALSE,"CBE";#N/A,#N/A,FALSE,"SWK"}</definedName>
    <definedName function="false" hidden="false" localSheetId="7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X___12" vbProcedure="false">#REF!</definedName>
    <definedName function="false" hidden="false" localSheetId="7" name="X___2" vbProcedure="false">#REF!</definedName>
    <definedName function="false" hidden="false" localSheetId="7" name="X___25" vbProcedure="false">#REF!</definedName>
    <definedName function="false" hidden="false" localSheetId="7" name="X___26" vbProcedure="false">#REF!</definedName>
    <definedName function="false" hidden="false" localSheetId="7" name="X___4" vbProcedure="false">#REF!</definedName>
    <definedName function="false" hidden="false" localSheetId="7" name="X___6" vbProcedure="false">#REF!</definedName>
    <definedName function="false" hidden="false" localSheetId="7" name="X___7" vbProcedure="false">#REF!</definedName>
    <definedName function="false" hidden="false" localSheetId="7" name="yak" vbProcedure="false">#REF!</definedName>
    <definedName function="false" hidden="false" localSheetId="7" name="year" vbProcedure="false">#REF!</definedName>
    <definedName function="false" hidden="false" localSheetId="7" name="yfj" vbProcedure="false">{#N/A,#N/A,TRUE,"Cover sheet";#N/A,#N/A,TRUE,"INPUTS";#N/A,#N/A,TRUE,"OUTPUTS";#N/A,#N/A,TRUE,"VALUATION"}</definedName>
    <definedName function="false" hidden="false" localSheetId="7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yre" vbProcedure="false">{#N/A,#N/A,FALSE,"ORIX CSC"}</definedName>
    <definedName function="false" hidden="false" localSheetId="7" name="yutut" vbProcedure="false">#REF!</definedName>
    <definedName function="false" hidden="false" localSheetId="7" name="yuyuuyuyuyuyu" vbProcedure="false">{#N/A,#N/A,TRUE,"Cover sheet";#N/A,#N/A,TRUE,"DCF analysis";#N/A,#N/A,TRUE,"WACC calculation"}</definedName>
    <definedName function="false" hidden="false" localSheetId="7" name="yyyy" vbProcedure="false">#N/A</definedName>
    <definedName function="false" hidden="false" localSheetId="7" name="Z" vbProcedure="false">#REF!</definedName>
    <definedName function="false" hidden="false" localSheetId="7" name="ZA" vbProcedure="false">#REF!</definedName>
    <definedName function="false" hidden="false" localSheetId="7" name="ZAA" vbProcedure="false">#REF!</definedName>
    <definedName function="false" hidden="false" localSheetId="7" name="ZAAZAZ" vbProcedure="false">#REF!</definedName>
    <definedName function="false" hidden="false" localSheetId="7" name="ZAGOR" vbProcedure="false">#REF!</definedName>
    <definedName function="false" hidden="false" localSheetId="7" name="ZAGOR___0" vbProcedure="false">#REF!</definedName>
    <definedName function="false" hidden="false" localSheetId="7" name="ZAGOR___12" vbProcedure="false">#REF!</definedName>
    <definedName function="false" hidden="false" localSheetId="7" name="ZAGOR___14" vbProcedure="false">#REF!</definedName>
    <definedName function="false" hidden="false" localSheetId="7" name="ZAGOR___16" vbProcedure="false">#REF!</definedName>
    <definedName function="false" hidden="false" localSheetId="7" name="ZAGOR___2" vbProcedure="false">#REF!</definedName>
    <definedName function="false" hidden="false" localSheetId="7" name="ZAGOR___25" vbProcedure="false">#REF!</definedName>
    <definedName function="false" hidden="false" localSheetId="7" name="ZAGOR___26" vbProcedure="false">#REF!</definedName>
    <definedName function="false" hidden="false" localSheetId="7" name="ZAGOR___27" vbProcedure="false">#REF!</definedName>
    <definedName function="false" hidden="false" localSheetId="7" name="ZAGOR___4" vbProcedure="false">#REF!</definedName>
    <definedName function="false" hidden="false" localSheetId="7" name="ZAGOR___5" vbProcedure="false">#REF!</definedName>
    <definedName function="false" hidden="false" localSheetId="7" name="ZAGOR___7" vbProcedure="false">#REF!</definedName>
    <definedName function="false" hidden="false" localSheetId="7" name="ZAZA" vbProcedure="false">#REF!</definedName>
    <definedName function="false" hidden="false" localSheetId="7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zc" vbProcedure="false">{#N/A,#N/A,FALSE,"ORIX CSC"}</definedName>
    <definedName function="false" hidden="false" localSheetId="7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zedaqzd" vbProcedure="false">{#N/A,#N/A,FALSE,"Operations";#N/A,#N/A,FALSE,"Financials"}</definedName>
    <definedName function="false" hidden="false" localSheetId="7" name="zefz" vbProcedure="false">{"First Page",#N/A,FALSE,"Surfactants LBO";"Second Page",#N/A,FALSE,"Surfactants LBO"}</definedName>
    <definedName function="false" hidden="false" localSheetId="7" name="ZEGTQZE" vbProcedure="false">#REF!</definedName>
    <definedName function="false" hidden="false" localSheetId="7" name="zez" vbProcedure="false">#REF!</definedName>
    <definedName function="false" hidden="false" localSheetId="7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zg" vbProcedure="false">{#N/A,#N/A,FALSE,"Contribution Analysis"}</definedName>
    <definedName function="false" hidden="false" localSheetId="7" name="zh" vbProcedure="false">{"IS",#N/A,FALSE,"IS";"RPTIS",#N/A,FALSE,"RPTIS";"STATS",#N/A,FALSE,"STATS";"CELL",#N/A,FALSE,"CELL";"BS",#N/A,FALSE,"BS"}</definedName>
    <definedName function="false" hidden="false" localSheetId="7" name="zi" vbProcedure="false">{#N/A,#N/A,FALSE,"ORIX CSC"}</definedName>
    <definedName function="false" hidden="false" localSheetId="7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zl" vbProcedure="false">{"IS",#N/A,FALSE,"IS";"RPTIS",#N/A,FALSE,"RPTIS";"STATS",#N/A,FALSE,"STATS";"CELL",#N/A,FALSE,"CELL";"BS",#N/A,FALSE,"BS"}</definedName>
    <definedName function="false" hidden="false" localSheetId="7" name="zm" vbProcedure="false">{#N/A,#N/A,FALSE,"Contribution Analysis"}</definedName>
    <definedName function="false" hidden="false" localSheetId="7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zo" vbProcedure="false">{"orixcsc",#N/A,FALSE,"ORIX CSC";"orixcsc2",#N/A,FALSE,"ORIX CSC"}</definedName>
    <definedName function="false" hidden="false" localSheetId="7" name="zoneT" vbProcedure="false">#REF!</definedName>
    <definedName function="false" hidden="false" localSheetId="7" name="zonetri" vbProcedure="false">#REF!</definedName>
    <definedName function="false" hidden="false" localSheetId="7" name="zonetri2" vbProcedure="false">#REF!</definedName>
    <definedName function="false" hidden="false" localSheetId="7" name="Zone_impres_MI" vbProcedure="false">#REF!</definedName>
    <definedName function="false" hidden="false" localSheetId="7" name="Zone_impres_MI___12" vbProcedure="false">#REF!</definedName>
    <definedName function="false" hidden="false" localSheetId="7" name="Zone_impres_MI___2" vbProcedure="false">#REF!</definedName>
    <definedName function="false" hidden="false" localSheetId="7" name="Zone_impres_MI___25" vbProcedure="false">#REF!</definedName>
    <definedName function="false" hidden="false" localSheetId="7" name="Zone_impres_MI___26" vbProcedure="false">#REF!</definedName>
    <definedName function="false" hidden="false" localSheetId="7" name="Zone_impres_MI___4" vbProcedure="false">#REF!</definedName>
    <definedName function="false" hidden="false" localSheetId="7" name="Zone_impres_MI___6" vbProcedure="false">#REF!</definedName>
    <definedName function="false" hidden="false" localSheetId="7" name="Zone_impres_MI___7" vbProcedure="false">#REF!</definedName>
    <definedName function="false" hidden="false" localSheetId="7" name="zp" vbProcedure="false">{"IS",#N/A,FALSE,"IS";"RPTIS",#N/A,FALSE,"RPTIS";"STATS",#N/A,FALSE,"STATS";"CELL",#N/A,FALSE,"CELL";"BS",#N/A,FALSE,"BS"}</definedName>
    <definedName function="false" hidden="false" localSheetId="7" name="zq" vbProcedure="false">{"IS",#N/A,FALSE,"IS";"RPTIS",#N/A,FALSE,"RPTIS";"STATS",#N/A,FALSE,"STATS";"CELL",#N/A,FALSE,"CELL";"BS",#N/A,FALSE,"BS"}</definedName>
    <definedName function="false" hidden="false" localSheetId="7" name="zr" vbProcedure="false">{"IS",#N/A,FALSE,"IS";"RPTIS",#N/A,FALSE,"RPTIS";"STATS",#N/A,FALSE,"STATS";"BS",#N/A,FALSE,"BS"}</definedName>
    <definedName function="false" hidden="false" localSheetId="7" name="zreffze" vbProcedure="false">#REF!</definedName>
    <definedName function="false" hidden="false" localSheetId="7" name="zs" vbProcedure="false">{"subs",#N/A,FALSE,"database ";"proportional",#N/A,FALSE,"database "}</definedName>
    <definedName function="false" hidden="false" localSheetId="7" name="zt" vbProcedure="false">{"test2",#N/A,TRUE,"Prices"}</definedName>
    <definedName function="false" hidden="false" localSheetId="7" name="zu" vbProcedure="false">{"IS",#N/A,FALSE,"IS";"RPTIS",#N/A,FALSE,"RPTIS";"STATS",#N/A,FALSE,"STATS";"CELL",#N/A,FALSE,"CELL";"BS",#N/A,FALSE,"BS"}</definedName>
    <definedName function="false" hidden="false" localSheetId="7" name="zv" vbProcedure="false">{"subs",#N/A,FALSE,"database ";"proportional",#N/A,FALSE,"database "}</definedName>
    <definedName function="false" hidden="false" localSheetId="7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zx" vbProcedure="false">{"orixcsc",#N/A,FALSE,"ORIX CSC";"orixcsc2",#N/A,FALSE,"ORIX CSC"}</definedName>
    <definedName function="false" hidden="false" localSheetId="7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zzzz" vbProcedure="false">'Data Mobile'!Tx_intérêt_par_an/#REF!</definedName>
    <definedName function="false" hidden="false" localSheetId="7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zzzzzzzz" vbProcedure="false">'Data Mobile'!Tx_intérêt_par_an/#REF!</definedName>
    <definedName function="false" hidden="false" localSheetId="7" name="zzzz___0" vbProcedure="false">'Data Mobile'!Tx_intérêt_par_an___0/#REF!</definedName>
    <definedName function="false" hidden="false" localSheetId="7" name="zzzz___12" vbProcedure="false">'Data Mobile'!Tx_intérêt_par_an___12/#REF!</definedName>
    <definedName function="false" hidden="false" localSheetId="7" name="zzzz___14" vbProcedure="false">'Data Mobile'!Tx_intérêt_par_an___14/#REF!</definedName>
    <definedName function="false" hidden="false" localSheetId="7" name="zzzz___16" vbProcedure="false">'Data Mobile'!Tx_intérêt_par_an___16/#REF!</definedName>
    <definedName function="false" hidden="false" localSheetId="7" name="zzzz___2" vbProcedure="false">'Data Mobile'!Tx_intérêt_par_an___2/#REF!</definedName>
    <definedName function="false" hidden="false" localSheetId="7" name="zzzz___23" vbProcedure="false">'Data Mobile'!Tx_intérêt_par_an___0/#REF!</definedName>
    <definedName function="false" hidden="false" localSheetId="7" name="zzzz___25" vbProcedure="false">'Data Mobile'!Tx_intérêt_par_an___25/#REF!</definedName>
    <definedName function="false" hidden="false" localSheetId="7" name="zzzz___26" vbProcedure="false">'Data Mobile'!Tx_intérêt_par_an___26/#REF!</definedName>
    <definedName function="false" hidden="false" localSheetId="7" name="zzzz___27" vbProcedure="false">'Data Mobile'!Tx_intérêt_par_an___27/#REF!</definedName>
    <definedName function="false" hidden="false" localSheetId="7" name="zzzz___3" vbProcedure="false">'Data Mobile'!Tx_intérêt_par_an___0/#REF!</definedName>
    <definedName function="false" hidden="false" localSheetId="7" name="zzzz___4" vbProcedure="false">'Data Mobile'!Tx_intérêt_par_an___4/#REF!</definedName>
    <definedName function="false" hidden="false" localSheetId="7" name="zzzz___5" vbProcedure="false">'Data Mobile'!Tx_intérêt_par_an___5/#REF!</definedName>
    <definedName function="false" hidden="false" localSheetId="7" name="zzzz___7" vbProcedure="false">'Data Mobile'!Tx_intérêt_par_an___7/#REF!</definedName>
    <definedName function="false" hidden="false" localSheetId="7" name="zzzz___9" vbProcedure="false">'Data Mobile'!Tx_intérêt_par_an___0/#REF!</definedName>
    <definedName function="false" hidden="false" localSheetId="7" name="zzz___0" vbProcedure="false">'Data Mobile'!Nb_de_paiements_par_an___0*#REF!</definedName>
    <definedName function="false" hidden="false" localSheetId="7" name="zzz___14" vbProcedure="false">'Data Mobile'!Nb_de_paiements_par_an___14*#REF!</definedName>
    <definedName function="false" hidden="false" localSheetId="7" name="zzz___16" vbProcedure="false">'Data Mobile'!Nb_de_paiements_par_an___16*#REF!</definedName>
    <definedName function="false" hidden="false" localSheetId="7" name="zzz___23" vbProcedure="false">'Data Mobile'!Nb_de_paiements_par_an___0*#REF!</definedName>
    <definedName function="false" hidden="false" localSheetId="7" name="zzz___25" vbProcedure="false">'Data Mobile'!Nb_de_paiements_par_an___0*#REF!</definedName>
    <definedName function="false" hidden="false" localSheetId="7" name="zzz___26" vbProcedure="false">'Data Mobile'!Nb_de_paiements_par_an___0*#REF!</definedName>
    <definedName function="false" hidden="false" localSheetId="7" name="zzz___7" vbProcedure="false">'Data Mobile'!Nb_de_paiements_par_an___0*#REF!</definedName>
    <definedName function="false" hidden="false" localSheetId="7" name="zzz___9" vbProcedure="false">'Data Mobile'!Nb_de_paiements_par_an___0*#REF!</definedName>
    <definedName function="false" hidden="false" localSheetId="7" name="Z___12" vbProcedure="false">#REF!</definedName>
    <definedName function="false" hidden="false" localSheetId="7" name="Z___2" vbProcedure="false">#REF!</definedName>
    <definedName function="false" hidden="false" localSheetId="7" name="Z___25" vbProcedure="false">#REF!</definedName>
    <definedName function="false" hidden="false" localSheetId="7" name="Z___26" vbProcedure="false">#REF!</definedName>
    <definedName function="false" hidden="false" localSheetId="7" name="Z___4" vbProcedure="false">#REF!</definedName>
    <definedName function="false" hidden="false" localSheetId="7" name="Z___6" vbProcedure="false">#REF!</definedName>
    <definedName function="false" hidden="false" localSheetId="7" name="Z___7" vbProcedure="false">#REF!</definedName>
    <definedName function="false" hidden="false" localSheetId="7" name="\M" vbProcedure="false">#REF!</definedName>
    <definedName function="false" hidden="false" localSheetId="7" name="\p" vbProcedure="false">'[1]cur q v plan'!#ref!</definedName>
    <definedName function="false" hidden="false" localSheetId="7" name="_" vbProcedure="false">#REF!</definedName>
    <definedName function="false" hidden="false" localSheetId="7" name="_0" vbProcedure="false">#REF!</definedName>
    <definedName function="false" hidden="false" localSheetId="7" name="_0C" vbProcedure="false">#REF!</definedName>
    <definedName function="false" hidden="false" localSheetId="7" name="_0C___0" vbProcedure="false">#REF!</definedName>
    <definedName function="false" hidden="false" localSheetId="7" name="_0C___12" vbProcedure="false">#REF!</definedName>
    <definedName function="false" hidden="false" localSheetId="7" name="_0C___14" vbProcedure="false">#REF!</definedName>
    <definedName function="false" hidden="false" localSheetId="7" name="_0C___16" vbProcedure="false">#REF!</definedName>
    <definedName function="false" hidden="false" localSheetId="7" name="_0C___2" vbProcedure="false">#REF!</definedName>
    <definedName function="false" hidden="false" localSheetId="7" name="_0C___25" vbProcedure="false">#REF!</definedName>
    <definedName function="false" hidden="false" localSheetId="7" name="_0C___26" vbProcedure="false">#REF!</definedName>
    <definedName function="false" hidden="false" localSheetId="7" name="_0C___27" vbProcedure="false">#REF!</definedName>
    <definedName function="false" hidden="false" localSheetId="7" name="_0C___4" vbProcedure="false">#REF!</definedName>
    <definedName function="false" hidden="false" localSheetId="7" name="_0C___5" vbProcedure="false">#REF!</definedName>
    <definedName function="false" hidden="false" localSheetId="7" name="_0C___7" vbProcedure="false">#REF!</definedName>
    <definedName function="false" hidden="false" localSheetId="7" name="_0___0" vbProcedure="false">#REF!</definedName>
    <definedName function="false" hidden="false" localSheetId="7" name="_0___12" vbProcedure="false">#REF!</definedName>
    <definedName function="false" hidden="false" localSheetId="7" name="_0___14" vbProcedure="false">#REF!</definedName>
    <definedName function="false" hidden="false" localSheetId="7" name="_0___16" vbProcedure="false">#REF!</definedName>
    <definedName function="false" hidden="false" localSheetId="7" name="_0___2" vbProcedure="false">#REF!</definedName>
    <definedName function="false" hidden="false" localSheetId="7" name="_0___25" vbProcedure="false">#REF!</definedName>
    <definedName function="false" hidden="false" localSheetId="7" name="_0___26" vbProcedure="false">#REF!</definedName>
    <definedName function="false" hidden="false" localSheetId="7" name="_0___27" vbProcedure="false">#REF!</definedName>
    <definedName function="false" hidden="false" localSheetId="7" name="_0___4" vbProcedure="false">#REF!</definedName>
    <definedName function="false" hidden="false" localSheetId="7" name="_0___5" vbProcedure="false">#REF!</definedName>
    <definedName function="false" hidden="false" localSheetId="7" name="_0___7" vbProcedure="false">#REF!</definedName>
    <definedName function="false" hidden="false" localSheetId="7" name="_109__123Graph_LBL_ACHART_1" vbProcedure="false">[12]synthgraph!#ref!</definedName>
    <definedName function="false" hidden="false" localSheetId="7" name="_10_0__123Grap" vbProcedure="false">#REF!</definedName>
    <definedName function="false" hidden="false" localSheetId="7" name="_111__123Graph_LBL_ACHART_3" vbProcedure="false">#REF!</definedName>
    <definedName function="false" hidden="false" localSheetId="7" name="_11__123Graph_BCHART_1" vbProcedure="false">[12]synthgraph!#ref!</definedName>
    <definedName function="false" hidden="false" localSheetId="7" name="_129__123Graph_LBL_DCHART_1" vbProcedure="false">[12]synthgraph!#ref!</definedName>
    <definedName function="false" hidden="false" localSheetId="7" name="_13_0__123Grap" vbProcedure="false">#REF!</definedName>
    <definedName function="false" hidden="false" localSheetId="7" name="_13__123Graph_BCHART_3" vbProcedure="false">#REF!</definedName>
    <definedName function="false" hidden="false" localSheetId="7" name="_17__123Graph_DCHART_1" vbProcedure="false">[12]synthgraph!#ref!</definedName>
    <definedName function="false" hidden="false" localSheetId="7" name="_18_0__123Grap" vbProcedure="false">#REF!</definedName>
    <definedName function="false" hidden="false" localSheetId="7" name="_1993" vbProcedure="false">'[1]cur q v plan'!#ref!</definedName>
    <definedName function="false" hidden="false" localSheetId="7" name="_19_0__123Grap" vbProcedure="false">#REF!</definedName>
    <definedName function="false" hidden="false" localSheetId="7" name="_1_" vbProcedure="false">#REF!</definedName>
    <definedName function="false" hidden="false" localSheetId="7" name="_1_1_97_Balance" vbProcedure="false">#REF!</definedName>
    <definedName function="false" hidden="false" localSheetId="7" name="_200" vbProcedure="false">#REF!</definedName>
    <definedName function="false" hidden="false" localSheetId="7" name="_200___0" vbProcedure="false">#REF!</definedName>
    <definedName function="false" hidden="false" localSheetId="7" name="_200___12" vbProcedure="false">#REF!</definedName>
    <definedName function="false" hidden="false" localSheetId="7" name="_200___14" vbProcedure="false">#REF!</definedName>
    <definedName function="false" hidden="false" localSheetId="7" name="_200___16" vbProcedure="false">#REF!</definedName>
    <definedName function="false" hidden="false" localSheetId="7" name="_200___2" vbProcedure="false">#REF!</definedName>
    <definedName function="false" hidden="false" localSheetId="7" name="_200___25" vbProcedure="false">#REF!</definedName>
    <definedName function="false" hidden="false" localSheetId="7" name="_200___26" vbProcedure="false">#REF!</definedName>
    <definedName function="false" hidden="false" localSheetId="7" name="_200___27" vbProcedure="false">#REF!</definedName>
    <definedName function="false" hidden="false" localSheetId="7" name="_200___4" vbProcedure="false">#REF!</definedName>
    <definedName function="false" hidden="false" localSheetId="7" name="_200___5" vbProcedure="false">#REF!</definedName>
    <definedName function="false" hidden="false" localSheetId="7" name="_200___7" vbProcedure="false">#REF!</definedName>
    <definedName function="false" hidden="false" localSheetId="7" name="_20__123Graph_LBL_ACHART_1" vbProcedure="false">[12]synthgraph!#ref!</definedName>
    <definedName function="false" hidden="false" localSheetId="7" name="_211_I_1_6" vbProcedure="false">#REF!</definedName>
    <definedName function="false" hidden="false" localSheetId="7" name="_212" vbProcedure="false">#REF!</definedName>
    <definedName function="false" hidden="false" localSheetId="7" name="_212___0" vbProcedure="false">#REF!</definedName>
    <definedName function="false" hidden="false" localSheetId="7" name="_212___12" vbProcedure="false">#REF!</definedName>
    <definedName function="false" hidden="false" localSheetId="7" name="_212___14" vbProcedure="false">#REF!</definedName>
    <definedName function="false" hidden="false" localSheetId="7" name="_212___16" vbProcedure="false">#REF!</definedName>
    <definedName function="false" hidden="false" localSheetId="7" name="_212___2" vbProcedure="false">#REF!</definedName>
    <definedName function="false" hidden="false" localSheetId="7" name="_212___25" vbProcedure="false">#REF!</definedName>
    <definedName function="false" hidden="false" localSheetId="7" name="_212___26" vbProcedure="false">#REF!</definedName>
    <definedName function="false" hidden="false" localSheetId="7" name="_212___27" vbProcedure="false">#REF!</definedName>
    <definedName function="false" hidden="false" localSheetId="7" name="_212___4" vbProcedure="false">#REF!</definedName>
    <definedName function="false" hidden="false" localSheetId="7" name="_212___5" vbProcedure="false">#REF!</definedName>
    <definedName function="false" hidden="false" localSheetId="7" name="_212___7" vbProcedure="false">#REF!</definedName>
    <definedName function="false" hidden="false" localSheetId="7" name="_214" vbProcedure="false">#REF!</definedName>
    <definedName function="false" hidden="false" localSheetId="7" name="_214___0" vbProcedure="false">#REF!</definedName>
    <definedName function="false" hidden="false" localSheetId="7" name="_214___12" vbProcedure="false">#REF!</definedName>
    <definedName function="false" hidden="false" localSheetId="7" name="_214___14" vbProcedure="false">#REF!</definedName>
    <definedName function="false" hidden="false" localSheetId="7" name="_214___16" vbProcedure="false">#REF!</definedName>
    <definedName function="false" hidden="false" localSheetId="7" name="_214___2" vbProcedure="false">#REF!</definedName>
    <definedName function="false" hidden="false" localSheetId="7" name="_214___25" vbProcedure="false">#REF!</definedName>
    <definedName function="false" hidden="false" localSheetId="7" name="_214___26" vbProcedure="false">#REF!</definedName>
    <definedName function="false" hidden="false" localSheetId="7" name="_214___27" vbProcedure="false">#REF!</definedName>
    <definedName function="false" hidden="false" localSheetId="7" name="_214___4" vbProcedure="false">#REF!</definedName>
    <definedName function="false" hidden="false" localSheetId="7" name="_214___5" vbProcedure="false">#REF!</definedName>
    <definedName function="false" hidden="false" localSheetId="7" name="_214___7" vbProcedure="false">#REF!</definedName>
    <definedName function="false" hidden="false" localSheetId="7" name="_216" vbProcedure="false">#REF!</definedName>
    <definedName function="false" hidden="false" localSheetId="7" name="_216___0" vbProcedure="false">#REF!</definedName>
    <definedName function="false" hidden="false" localSheetId="7" name="_216___12" vbProcedure="false">#REF!</definedName>
    <definedName function="false" hidden="false" localSheetId="7" name="_216___14" vbProcedure="false">#REF!</definedName>
    <definedName function="false" hidden="false" localSheetId="7" name="_216___16" vbProcedure="false">#REF!</definedName>
    <definedName function="false" hidden="false" localSheetId="7" name="_216___2" vbProcedure="false">#REF!</definedName>
    <definedName function="false" hidden="false" localSheetId="7" name="_216___25" vbProcedure="false">#REF!</definedName>
    <definedName function="false" hidden="false" localSheetId="7" name="_216___26" vbProcedure="false">#REF!</definedName>
    <definedName function="false" hidden="false" localSheetId="7" name="_216___27" vbProcedure="false">#REF!</definedName>
    <definedName function="false" hidden="false" localSheetId="7" name="_216___4" vbProcedure="false">#REF!</definedName>
    <definedName function="false" hidden="false" localSheetId="7" name="_216___5" vbProcedure="false">#REF!</definedName>
    <definedName function="false" hidden="false" localSheetId="7" name="_216___7" vbProcedure="false">#REF!</definedName>
    <definedName function="false" hidden="false" localSheetId="7" name="_22_0__123Grap" vbProcedure="false">#REF!</definedName>
    <definedName function="false" hidden="false" localSheetId="7" name="_22__123Graph_LBL_ACHART_3" vbProcedure="false">#REF!</definedName>
    <definedName function="false" hidden="false" localSheetId="7" name="_232_IV_3_1" vbProcedure="false">#REF!</definedName>
    <definedName function="false" hidden="false" localSheetId="7" name="_24__123Graph_LBL_DCHART_1" vbProcedure="false">[12]synthgraph!#ref!</definedName>
    <definedName function="false" hidden="false" localSheetId="7" name="_27_0" vbProcedure="false">#REF!</definedName>
    <definedName function="false" hidden="false" localSheetId="7" name="_2C" vbProcedure="false">#REF!</definedName>
    <definedName function="false" hidden="false" localSheetId="7" name="_2C___0" vbProcedure="false">#REF!</definedName>
    <definedName function="false" hidden="false" localSheetId="7" name="_2C___12" vbProcedure="false">#REF!</definedName>
    <definedName function="false" hidden="false" localSheetId="7" name="_2C___14" vbProcedure="false">#REF!</definedName>
    <definedName function="false" hidden="false" localSheetId="7" name="_2C___16" vbProcedure="false">#REF!</definedName>
    <definedName function="false" hidden="false" localSheetId="7" name="_2C___2" vbProcedure="false">#REF!</definedName>
    <definedName function="false" hidden="false" localSheetId="7" name="_2C___25" vbProcedure="false">#REF!</definedName>
    <definedName function="false" hidden="false" localSheetId="7" name="_2C___26" vbProcedure="false">#REF!</definedName>
    <definedName function="false" hidden="false" localSheetId="7" name="_2C___27" vbProcedure="false">#REF!</definedName>
    <definedName function="false" hidden="false" localSheetId="7" name="_2C___4" vbProcedure="false">#REF!</definedName>
    <definedName function="false" hidden="false" localSheetId="7" name="_2C___5" vbProcedure="false">#REF!</definedName>
    <definedName function="false" hidden="false" localSheetId="7" name="_2C___7" vbProcedure="false">#REF!</definedName>
    <definedName function="false" hidden="false" localSheetId="7" name="_2_" vbProcedure="false">#REF!</definedName>
    <definedName function="false" hidden="false" localSheetId="7" name="_3" vbProcedure="false">#REF!</definedName>
    <definedName function="false" hidden="false" localSheetId="7" name="_30__123Graph_ACHART_1" vbProcedure="false">[12]synthgraph!#ref!</definedName>
    <definedName function="false" hidden="false" localSheetId="7" name="_32__123Graph_ACHART_1" vbProcedure="false">[12]synthgraph!#ref!</definedName>
    <definedName function="false" hidden="false" localSheetId="7" name="_32__123Graph_ACHART_3" vbProcedure="false">#REF!</definedName>
    <definedName function="false" hidden="false" localSheetId="7" name="_34__123Graph_ACHART_3" vbProcedure="false">#REF!</definedName>
    <definedName function="false" hidden="false" localSheetId="7" name="_34__123Graph_BCHART_1" vbProcedure="false">[12]synthgraph!#ref!</definedName>
    <definedName function="false" hidden="false" localSheetId="7" name="_36__123Graph_BCHART_3" vbProcedure="false">#REF!</definedName>
    <definedName function="false" hidden="false" localSheetId="7" name="_37_0__123Grap" vbProcedure="false">#REF!</definedName>
    <definedName function="false" hidden="false" localSheetId="7" name="_39_0__123Grap" vbProcedure="false">#REF!</definedName>
    <definedName function="false" hidden="false" localSheetId="7" name="_3_" vbProcedure="false">#REF!</definedName>
    <definedName function="false" hidden="false" localSheetId="7" name="_3_123Grap" vbProcedure="false">#REF!</definedName>
    <definedName function="false" hidden="false" localSheetId="7" name="_3___12" vbProcedure="false">#REF!</definedName>
    <definedName function="false" hidden="false" localSheetId="7" name="_40__123Graph_DCHART_1" vbProcedure="false">[12]synthgraph!#ref!</definedName>
    <definedName function="false" hidden="false" localSheetId="7" name="_43__123Graph_LBL_ACHART_1" vbProcedure="false">[12]synthgraph!#ref!</definedName>
    <definedName function="false" hidden="false" localSheetId="7" name="_45__123Graph_LBL_ACHART_3" vbProcedure="false">#REF!</definedName>
    <definedName function="false" hidden="false" localSheetId="7" name="_47_1BudgetPôleFixe03" vbProcedure="false">#REF!</definedName>
    <definedName function="false" hidden="false" localSheetId="7" name="_47__123Graph_LBL_DCHART_1" vbProcedure="false">[12]synthgraph!#ref!</definedName>
    <definedName function="false" hidden="false" localSheetId="7" name="_4C" vbProcedure="false">#REF!</definedName>
    <definedName function="false" hidden="false" localSheetId="7" name="_4C___0" vbProcedure="false">#REF!</definedName>
    <definedName function="false" hidden="false" localSheetId="7" name="_4C___12" vbProcedure="false">#REF!</definedName>
    <definedName function="false" hidden="false" localSheetId="7" name="_4C___14" vbProcedure="false">#REF!</definedName>
    <definedName function="false" hidden="false" localSheetId="7" name="_4C___16" vbProcedure="false">#REF!</definedName>
    <definedName function="false" hidden="false" localSheetId="7" name="_4C___2" vbProcedure="false">#REF!</definedName>
    <definedName function="false" hidden="false" localSheetId="7" name="_4C___25" vbProcedure="false">#REF!</definedName>
    <definedName function="false" hidden="false" localSheetId="7" name="_4C___26" vbProcedure="false">#REF!</definedName>
    <definedName function="false" hidden="false" localSheetId="7" name="_4C___27" vbProcedure="false">#REF!</definedName>
    <definedName function="false" hidden="false" localSheetId="7" name="_4C___4" vbProcedure="false">#REF!</definedName>
    <definedName function="false" hidden="false" localSheetId="7" name="_4C___5" vbProcedure="false">#REF!</definedName>
    <definedName function="false" hidden="false" localSheetId="7" name="_4C___7" vbProcedure="false">#REF!</definedName>
    <definedName function="false" hidden="false" localSheetId="7" name="_50S" vbProcedure="false">#REF!</definedName>
    <definedName function="false" hidden="false" localSheetId="7" name="_52__123Graph_BCHART_1" vbProcedure="false">[12]synthgraph!#ref!</definedName>
    <definedName function="false" hidden="false" localSheetId="7" name="_53___0__123Grap" vbProcedure="false">#REF!</definedName>
    <definedName function="false" hidden="false" localSheetId="7" name="_54__123Graph_BCHART_3" vbProcedure="false">#REF!</definedName>
    <definedName function="false" hidden="false" localSheetId="7" name="_5_0__123Grap" vbProcedure="false">#REF!</definedName>
    <definedName function="false" hidden="false" localSheetId="7" name="_5_123Grap" vbProcedure="false">#REF!</definedName>
    <definedName function="false" hidden="false" localSheetId="7" name="_61220100" vbProcedure="false">#REF!</definedName>
    <definedName function="false" hidden="false" localSheetId="7" name="_61220200" vbProcedure="false">#REF!</definedName>
    <definedName function="false" hidden="false" localSheetId="7" name="_6133_1_3" vbProcedure="false">#REF!</definedName>
    <definedName function="false" hidden="false" localSheetId="7" name="_63" vbProcedure="false">#REF!</definedName>
    <definedName function="false" hidden="false" localSheetId="7" name="_63___12" vbProcedure="false">#REF!</definedName>
    <definedName function="false" hidden="false" localSheetId="7" name="_657_0__123Grap" vbProcedure="false">#REF!</definedName>
    <definedName function="false" hidden="false" localSheetId="7" name="_658_0__123Grap" vbProcedure="false">#REF!</definedName>
    <definedName function="false" hidden="false" localSheetId="7" name="_659_0__123Grap" vbProcedure="false">#REF!</definedName>
    <definedName function="false" hidden="false" localSheetId="7" name="_660_0__123Grap" vbProcedure="false">#REF!</definedName>
    <definedName function="false" hidden="false" localSheetId="7" name="_6C" vbProcedure="false">#REF!</definedName>
    <definedName function="false" hidden="false" localSheetId="7" name="_6C___0" vbProcedure="false">#REF!</definedName>
    <definedName function="false" hidden="false" localSheetId="7" name="_6C___12" vbProcedure="false">#REF!</definedName>
    <definedName function="false" hidden="false" localSheetId="7" name="_6C___14" vbProcedure="false">#REF!</definedName>
    <definedName function="false" hidden="false" localSheetId="7" name="_6C___16" vbProcedure="false">#REF!</definedName>
    <definedName function="false" hidden="false" localSheetId="7" name="_6C___2" vbProcedure="false">#REF!</definedName>
    <definedName function="false" hidden="false" localSheetId="7" name="_6C___25" vbProcedure="false">#REF!</definedName>
    <definedName function="false" hidden="false" localSheetId="7" name="_6C___26" vbProcedure="false">#REF!</definedName>
    <definedName function="false" hidden="false" localSheetId="7" name="_6C___27" vbProcedure="false">#REF!</definedName>
    <definedName function="false" hidden="false" localSheetId="7" name="_6C___4" vbProcedure="false">#REF!</definedName>
    <definedName function="false" hidden="false" localSheetId="7" name="_6C___5" vbProcedure="false">#REF!</definedName>
    <definedName function="false" hidden="false" localSheetId="7" name="_6C___7" vbProcedure="false">#REF!</definedName>
    <definedName function="false" hidden="false" localSheetId="7" name="_6_0__123Grap" vbProcedure="false">#REF!</definedName>
    <definedName function="false" hidden="false" localSheetId="7" name="_76_0__123Grap" vbProcedure="false">#REF!</definedName>
    <definedName function="false" hidden="false" localSheetId="7" name="_7_0__123Grap" vbProcedure="false">#REF!</definedName>
    <definedName function="false" hidden="false" localSheetId="7" name="_7__123Graph_ACHART_1" vbProcedure="false">[12]synthgraph!#ref!</definedName>
    <definedName function="false" hidden="false" localSheetId="7" name="_90__123Graph_DCHART_1" vbProcedure="false">[12]synthgraph!#ref!</definedName>
    <definedName function="false" hidden="false" localSheetId="7" name="_94" vbProcedure="false">#REF!</definedName>
    <definedName function="false" hidden="false" localSheetId="7" name="_94___0" vbProcedure="false">#REF!</definedName>
    <definedName function="false" hidden="false" localSheetId="7" name="_94___12" vbProcedure="false">#REF!</definedName>
    <definedName function="false" hidden="false" localSheetId="7" name="_94___14" vbProcedure="false">#REF!</definedName>
    <definedName function="false" hidden="false" localSheetId="7" name="_94___16" vbProcedure="false">#REF!</definedName>
    <definedName function="false" hidden="false" localSheetId="7" name="_94___2" vbProcedure="false">#REF!</definedName>
    <definedName function="false" hidden="false" localSheetId="7" name="_94___25" vbProcedure="false">#REF!</definedName>
    <definedName function="false" hidden="false" localSheetId="7" name="_94___26" vbProcedure="false">#REF!</definedName>
    <definedName function="false" hidden="false" localSheetId="7" name="_94___27" vbProcedure="false">#REF!</definedName>
    <definedName function="false" hidden="false" localSheetId="7" name="_94___4" vbProcedure="false">#REF!</definedName>
    <definedName function="false" hidden="false" localSheetId="7" name="_94___5" vbProcedure="false">#REF!</definedName>
    <definedName function="false" hidden="false" localSheetId="7" name="_94___7" vbProcedure="false">#REF!</definedName>
    <definedName function="false" hidden="false" localSheetId="7" name="_9__123Graph_ACHART_3" vbProcedure="false">#REF!</definedName>
    <definedName function="false" hidden="false" localSheetId="7" name="_aaa1" vbProcedure="false">#REF!</definedName>
    <definedName function="false" hidden="false" localSheetId="7" name="_aaa2" vbProcedure="false">#REF!</definedName>
    <definedName function="false" hidden="false" localSheetId="7" name="_aaa3" vbProcedure="false">#REF!</definedName>
    <definedName function="false" hidden="false" localSheetId="7" name="_aaa4" vbProcedure="false">#REF!</definedName>
    <definedName function="false" hidden="false" localSheetId="7" name="_aaa5" vbProcedure="false">#REF!</definedName>
    <definedName function="false" hidden="false" localSheetId="7" name="_aaa6" vbProcedure="false">#REF!</definedName>
    <definedName function="false" hidden="false" localSheetId="7" name="_aaa7" vbProcedure="false">#REF!</definedName>
    <definedName function="false" hidden="false" localSheetId="7" name="_aaa8" vbProcedure="false">#REF!</definedName>
    <definedName function="false" hidden="false" localSheetId="7" name="_ASP4" vbProcedure="false">#REF!</definedName>
    <definedName function="false" hidden="false" localSheetId="7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bdm.00C0D9EF8BE14012A7E563CDFAAFF67A.edm" vbProcedure="false">#REF!</definedName>
    <definedName function="false" hidden="false" localSheetId="7" name="_bdm.02AA2180B0084723AFFC9E4E6DA538AC.edm" vbProcedure="false">#REF!</definedName>
    <definedName function="false" hidden="false" localSheetId="7" name="_bdm.02EFED87DA6B440DAF356A06EA8CCE6D.edm" vbProcedure="false">#REF!</definedName>
    <definedName function="false" hidden="false" localSheetId="7" name="_bdm.053252EB6ED04855BFE51C3EB0837A6B.edm" vbProcedure="false">#REF!</definedName>
    <definedName function="false" hidden="false" localSheetId="7" name="_bdm.0883F6F83E204B74B7DD1E975DA13ADD.edm" vbProcedure="false">#REF!</definedName>
    <definedName function="false" hidden="false" localSheetId="7" name="_bdm.08E492A671284214AD982BEB208B8F93.edm" vbProcedure="false">#REF!</definedName>
    <definedName function="false" hidden="false" localSheetId="7" name="_bdm.09187C12D1CE45F193AE198DD6AE884F.edm" vbProcedure="false">#REF!</definedName>
    <definedName function="false" hidden="false" localSheetId="7" name="_bdm.0A4C5DE597874549B190FD467C6A1CC4.edm" vbProcedure="false">#REF!</definedName>
    <definedName function="false" hidden="false" localSheetId="7" name="_bdm.0EBC0B70D2854C038F08EFF978C7C67A.edm" vbProcedure="false">#REF!</definedName>
    <definedName function="false" hidden="false" localSheetId="7" name="_bdm.15890F25A4484043AF3AE51860B59A14.edm" vbProcedure="false">#REF!</definedName>
    <definedName function="false" hidden="false" localSheetId="7" name="_bdm.170C77E1E37E4B33A5A3F1CF661EAD22.edm" vbProcedure="false">#REF!</definedName>
    <definedName function="false" hidden="false" localSheetId="7" name="_bdm.18396CE513024A30AA8A76234D5FEFD0.edm" vbProcedure="false">#REF!</definedName>
    <definedName function="false" hidden="false" localSheetId="7" name="_bdm.2362C0156C8048FAA2961453BD7C4BCE.edm" vbProcedure="false">#REF!</definedName>
    <definedName function="false" hidden="false" localSheetId="7" name="_bdm.29102105AB86426CAAC299DD444B5E4D.edm" vbProcedure="false">#REF!</definedName>
    <definedName function="false" hidden="false" localSheetId="7" name="_bdm.2A38C861995B46C8991A97EA5A948A78.edm" vbProcedure="false">#REF!</definedName>
    <definedName function="false" hidden="false" localSheetId="7" name="_bdm.2CBA471E682C48A3A10CD1024A462351.edm" vbProcedure="false">#REF!</definedName>
    <definedName function="false" hidden="false" localSheetId="7" name="_bdm.2D161A2B7C76497F9F6D027C12375384.edm" vbProcedure="false">#REF!</definedName>
    <definedName function="false" hidden="false" localSheetId="7" name="_bdm.2F477F25EFBE4C9BB3E9EC617CD64545.edm" vbProcedure="false">#REF!</definedName>
    <definedName function="false" hidden="false" localSheetId="7" name="_bdm.304F174C8384432A9C14069F554DBEC0.edm" vbProcedure="false">#REF!</definedName>
    <definedName function="false" hidden="false" localSheetId="7" name="_bdm.31B8759EFE3D47B3BC99BC433F195FBF.edm" vbProcedure="false">#REF!</definedName>
    <definedName function="false" hidden="false" localSheetId="7" name="_bdm.3BBFE8DA33C7499691935804E68E6B0C.edm" vbProcedure="false">#REF!</definedName>
    <definedName function="false" hidden="false" localSheetId="7" name="_bdm.49565BF5FF794C539DBC82076000DC4B.edm" vbProcedure="false">#REF!</definedName>
    <definedName function="false" hidden="false" localSheetId="7" name="_bdm.4A2A91CF59154905B89117F8831531D4.edm" vbProcedure="false">#REF!</definedName>
    <definedName function="false" hidden="false" localSheetId="7" name="_bdm.4B0774CF4D7546338C029DACD0AC04AF.edm" vbProcedure="false">#REF!</definedName>
    <definedName function="false" hidden="false" localSheetId="7" name="_bdm.560CC529085E43E4B75093E97034EB37.edm" vbProcedure="false">#REF!</definedName>
    <definedName function="false" hidden="false" localSheetId="7" name="_bdm.56F75FC2606341CFA60722E4964A61ED.edm" vbProcedure="false">#REF!</definedName>
    <definedName function="false" hidden="false" localSheetId="7" name="_bdm.5B9FA6AD16274AF0A7F1EA71741F6425.edm" vbProcedure="false">#REF!</definedName>
    <definedName function="false" hidden="false" localSheetId="7" name="_bdm.60AC218AF8CD42C485087DD4F01F6F68.edm" vbProcedure="false">#REF!</definedName>
    <definedName function="false" hidden="false" localSheetId="7" name="_bdm.66391AB36C3E40E8A357D2E91544AB4E.edm" vbProcedure="false">#REF!</definedName>
    <definedName function="false" hidden="false" localSheetId="7" name="_bdm.6E930F29C2E446FCB48CC686615AEB29.edm" vbProcedure="false">#REF!</definedName>
    <definedName function="false" hidden="false" localSheetId="7" name="_bdm.72BD0D0733C3441895C8CE1A7032FD8C.edm" vbProcedure="false">#REF!</definedName>
    <definedName function="false" hidden="false" localSheetId="7" name="_bdm.798B66F4737D405D8E166AD903AD9133.edm" vbProcedure="false">#REF!</definedName>
    <definedName function="false" hidden="false" localSheetId="7" name="_bdm.7AAACA4672FE4AABB120B35F1F6BF722.edm" vbProcedure="false">#REF!</definedName>
    <definedName function="false" hidden="false" localSheetId="7" name="_bdm.7B7617E2CF8F4F46B33C5D7AD69D1EB7.edm" vbProcedure="false">#REF!</definedName>
    <definedName function="false" hidden="false" localSheetId="7" name="_bdm.978AA887B7A0409D9BEB94DDCF92946A.edm" vbProcedure="false">#REF!</definedName>
    <definedName function="false" hidden="false" localSheetId="7" name="_bdm.9ACBBA07335647B59AADC13E50D1989D.edm" vbProcedure="false">#REF!</definedName>
    <definedName function="false" hidden="false" localSheetId="7" name="_bdm.9E068CDE91E2433BBDF7C764830C46CA.edm" vbProcedure="false">#REF!</definedName>
    <definedName function="false" hidden="false" localSheetId="7" name="_bdm.A28A9FABA82C4BC0ABDC9477F55B7009.edm" vbProcedure="false">#REF!</definedName>
    <definedName function="false" hidden="false" localSheetId="7" name="_bdm.A34D1CF0DB9D498B8FD69EF70C6190B9.edm" vbProcedure="false">#REF!</definedName>
    <definedName function="false" hidden="false" localSheetId="7" name="_bdm.A3ACD61AA97041CDB0D389B5A3B28566.edm" vbProcedure="false">#REF!</definedName>
    <definedName function="false" hidden="false" localSheetId="7" name="_bdm.BB237A5F4F0D4DD1B8979E5B117F89E3.edm" vbProcedure="false">#REF!</definedName>
    <definedName function="false" hidden="false" localSheetId="7" name="_bdm.BCBEAFDCF30E4D8FA746679BF86222DE.edm" vbProcedure="false">#REF!</definedName>
    <definedName function="false" hidden="false" localSheetId="7" name="_bdm.BCDC6A4BFB8F4261AAF69A1910BBFFAB.edm" vbProcedure="false">#REF!</definedName>
    <definedName function="false" hidden="false" localSheetId="7" name="_bdm.BF193DFCE64E4F0D81685B0562859DB2.edm" vbProcedure="false">#REF!</definedName>
    <definedName function="false" hidden="false" localSheetId="7" name="_bdm.C372A35933EB401BA3A6EC0685403139.edm" vbProcedure="false">#REF!</definedName>
    <definedName function="false" hidden="false" localSheetId="7" name="_bdm.C7A1F3F634A74A0F9EC4B07D8DBC668B.edm" vbProcedure="false">#REF!</definedName>
    <definedName function="false" hidden="false" localSheetId="7" name="_bdm.C86D533D5E914EB487C2080BF18E83E4.edm" vbProcedure="false">#REF!</definedName>
    <definedName function="false" hidden="false" localSheetId="7" name="_bdm.C935CBCFCC734F7AB9CA5D1103224C93.edm" vbProcedure="false">#REF!</definedName>
    <definedName function="false" hidden="false" localSheetId="7" name="_bdm.CDA74E3D7FAC4579B204406FAE55AE99.edm" vbProcedure="false">#REF!</definedName>
    <definedName function="false" hidden="false" localSheetId="7" name="_bdm.D68F0F579E0F4D9F8EDE01C05C8CBDCB.edm" vbProcedure="false">#REF!</definedName>
    <definedName function="false" hidden="false" localSheetId="7" name="_bdm.DB7A4686E71E4C1FA433BF1FC8CD0FF0.edm" vbProcedure="false">#REF!</definedName>
    <definedName function="false" hidden="false" localSheetId="7" name="_bdm.DCF303DB6FEF4A7D95C8B1A06C3EDA7D.edm" vbProcedure="false">#REF!</definedName>
    <definedName function="false" hidden="false" localSheetId="7" name="_bdm.E11B1C5716184E2EAE2F8DCD87BD458E.edm" vbProcedure="false">#REF!</definedName>
    <definedName function="false" hidden="false" localSheetId="7" name="_bdm.EBAC93D9B4434258968CD782605A4122.edm" vbProcedure="false">#REF!</definedName>
    <definedName function="false" hidden="false" localSheetId="7" name="_bdm.ECF6D3394DBF44B7ABC5637DE6403FE6.edm" vbProcedure="false">#REF!</definedName>
    <definedName function="false" hidden="false" localSheetId="7" name="_bdm.F18B3776FEAF4F7AA1587EB080776343.edm" vbProcedure="false">#REF!</definedName>
    <definedName function="false" hidden="false" localSheetId="7" name="_bdm.F44AE91BFA0E46E8889BCA3BF81CDCFF.edm" vbProcedure="false">#REF!</definedName>
    <definedName function="false" hidden="false" localSheetId="7" name="_c20041" vbProcedure="false">#REF!</definedName>
    <definedName function="false" hidden="false" localSheetId="7" name="_CAT4" vbProcedure="false">#REF!</definedName>
    <definedName function="false" hidden="false" localSheetId="7" name="_Co50" vbProcedure="false">{#N/A,"DR",FALSE,"increm pf";#N/A,"MAMSI",FALSE,"increm pf";#N/A,"MAXI",FALSE,"increm pf";#N/A,"PCAM",FALSE,"increm pf";#N/A,"PHSV",FALSE,"increm pf";#N/A,"SIE",FALSE,"increm pf"}</definedName>
    <definedName function="false" hidden="false" localSheetId="7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7" name="_DAT1" vbProcedure="false">#REF!</definedName>
    <definedName function="false" hidden="false" localSheetId="7" name="_DAT10" vbProcedure="false">#REF!</definedName>
    <definedName function="false" hidden="false" localSheetId="7" name="_DAT11" vbProcedure="false">#REF!</definedName>
    <definedName function="false" hidden="false" localSheetId="7" name="_DAT12" vbProcedure="false">#REF!</definedName>
    <definedName function="false" hidden="false" localSheetId="7" name="_DAT13" vbProcedure="false">#REF!</definedName>
    <definedName function="false" hidden="false" localSheetId="7" name="_DAT14" vbProcedure="false">#REF!</definedName>
    <definedName function="false" hidden="false" localSheetId="7" name="_DAT15" vbProcedure="false">#REF!</definedName>
    <definedName function="false" hidden="false" localSheetId="7" name="_DAT16" vbProcedure="false">#REF!</definedName>
    <definedName function="false" hidden="false" localSheetId="7" name="_DAT17" vbProcedure="false">#REF!</definedName>
    <definedName function="false" hidden="false" localSheetId="7" name="_DAT18" vbProcedure="false">#REF!</definedName>
    <definedName function="false" hidden="false" localSheetId="7" name="_DAT19" vbProcedure="false">#REF!</definedName>
    <definedName function="false" hidden="false" localSheetId="7" name="_DAT2" vbProcedure="false">#REF!</definedName>
    <definedName function="false" hidden="false" localSheetId="7" name="_DAT21" vbProcedure="false">#REF!</definedName>
    <definedName function="false" hidden="false" localSheetId="7" name="_DAT22" vbProcedure="false">#REF!</definedName>
    <definedName function="false" hidden="false" localSheetId="7" name="_DAT23" vbProcedure="false">#REF!</definedName>
    <definedName function="false" hidden="false" localSheetId="7" name="_DAT24" vbProcedure="false">#REF!</definedName>
    <definedName function="false" hidden="false" localSheetId="7" name="_DAT25" vbProcedure="false">#REF!</definedName>
    <definedName function="false" hidden="false" localSheetId="7" name="_DAT26" vbProcedure="false">#REF!</definedName>
    <definedName function="false" hidden="false" localSheetId="7" name="_DAT27" vbProcedure="false">#REF!</definedName>
    <definedName function="false" hidden="false" localSheetId="7" name="_DAT3" vbProcedure="false">#REF!</definedName>
    <definedName function="false" hidden="false" localSheetId="7" name="_DAT4" vbProcedure="false">#REF!</definedName>
    <definedName function="false" hidden="false" localSheetId="7" name="_DAT5" vbProcedure="false">#REF!</definedName>
    <definedName function="false" hidden="false" localSheetId="7" name="_DAT6" vbProcedure="false">#REF!</definedName>
    <definedName function="false" hidden="false" localSheetId="7" name="_DAT7" vbProcedure="false">#REF!</definedName>
    <definedName function="false" hidden="false" localSheetId="7" name="_DAT8" vbProcedure="false">#REF!</definedName>
    <definedName function="false" hidden="false" localSheetId="7" name="_DAT9" vbProcedure="false">#REF!</definedName>
    <definedName function="false" hidden="false" localSheetId="7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_eng3" vbProcedure="false">#N/A</definedName>
    <definedName function="false" hidden="false" localSheetId="7" name="_ess1" vbProcedure="false">#REF!</definedName>
    <definedName function="false" hidden="false" localSheetId="7" name="_Fill" vbProcedure="false">#REF!</definedName>
    <definedName function="false" hidden="false" localSheetId="7" name="_FRU2003" vbProcedure="false">#REF!</definedName>
    <definedName function="false" hidden="false" localSheetId="7" name="_Key1" vbProcedure="false">#REF!</definedName>
    <definedName function="false" hidden="false" localSheetId="7" name="_Key2" vbProcedure="false">#REF!</definedName>
    <definedName function="false" hidden="false" localSheetId="7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7" name="_OUJ2" vbProcedure="false">#REF!</definedName>
    <definedName function="false" hidden="false" localSheetId="7" name="_pg1" vbProcedure="false">#REF!</definedName>
    <definedName function="false" hidden="false" localSheetId="7" name="_pg2" vbProcedure="false">#REF!</definedName>
    <definedName function="false" hidden="false" localSheetId="7" name="_R" vbProcedure="false">#REF!</definedName>
    <definedName function="false" hidden="false" localSheetId="7" name="_R2000ssta" vbProcedure="false">#REF!</definedName>
    <definedName function="false" hidden="false" localSheetId="7" name="_R2000ssta___12" vbProcedure="false">#REF!</definedName>
    <definedName function="false" hidden="false" localSheetId="7" name="_RCV1" vbProcedure="false">#REF!,#REF!</definedName>
    <definedName function="false" hidden="false" localSheetId="7" name="_Regression_Out" vbProcedure="false">#REF!</definedName>
    <definedName function="false" hidden="false" localSheetId="7" name="_Regression_X" vbProcedure="false">#REF!</definedName>
    <definedName function="false" hidden="false" localSheetId="7" name="_Regression_Y" vbProcedure="false">#REF!</definedName>
    <definedName function="false" hidden="false" localSheetId="7" name="_SC16" vbProcedure="false">#REF!</definedName>
    <definedName function="false" hidden="false" localSheetId="7" name="_SET2" vbProcedure="false">#REF!</definedName>
    <definedName function="false" hidden="false" localSheetId="7" name="_Sort" vbProcedure="false">#REF!</definedName>
    <definedName function="false" hidden="false" localSheetId="7" name="_SYN1" vbProcedure="false">#REF!</definedName>
    <definedName function="false" hidden="false" localSheetId="7" name="_SYN2" vbProcedure="false">#REF!</definedName>
    <definedName function="false" hidden="false" localSheetId="7" name="_Table2_In1" vbProcedure="false">#REF!</definedName>
    <definedName function="false" hidden="false" localSheetId="7" name="_Table2_In2" vbProcedure="false">#REF!</definedName>
    <definedName function="false" hidden="false" localSheetId="7" name="_Table2_Out" vbProcedure="false">#REF!</definedName>
    <definedName function="false" hidden="false" localSheetId="7" name="_TAE2001" vbProcedure="false">#REF!</definedName>
    <definedName function="false" hidden="false" localSheetId="7" name="_TAE2002" vbProcedure="false">#REF!</definedName>
    <definedName function="false" hidden="false" localSheetId="7" name="_UNI1999" vbProcedure="false">#REF!</definedName>
    <definedName function="false" hidden="false" localSheetId="7" name="_UNI2000" vbProcedure="false">#REF!</definedName>
    <definedName function="false" hidden="false" localSheetId="7" name="_UNI2001" vbProcedure="false">#REF!</definedName>
    <definedName function="false" hidden="false" localSheetId="7" name="_vb100" vbProcedure="false">#REF!</definedName>
    <definedName function="false" hidden="false" localSheetId="7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xlnm.Database" vbProcedure="false">#REF!</definedName>
    <definedName function="false" hidden="false" localSheetId="7" name="_xlnm.Recorder" vbProcedure="false">#REF!</definedName>
    <definedName function="false" hidden="false" localSheetId="7" name="__" vbProcedure="false">#REF!</definedName>
    <definedName function="false" hidden="false" localSheetId="7" name="__0" vbProcedure="false">#REF!</definedName>
    <definedName function="false" hidden="false" localSheetId="7" name="__0S" vbProcedure="false">#REF!</definedName>
    <definedName function="false" hidden="false" localSheetId="7" name="__0S___0" vbProcedure="false">[5]_ref!#ref!</definedName>
    <definedName function="false" hidden="false" localSheetId="7" name="__0S___12" vbProcedure="false">[6]_ref!#ref!</definedName>
    <definedName function="false" hidden="false" localSheetId="7" name="__0S___14" vbProcedure="false">#REF!</definedName>
    <definedName function="false" hidden="false" localSheetId="7" name="__0___0" vbProcedure="false">#REF!</definedName>
    <definedName function="false" hidden="false" localSheetId="7" name="__0___12" vbProcedure="false">#REF!</definedName>
    <definedName function="false" hidden="false" localSheetId="7" name="__0___14" vbProcedure="false">#REF!</definedName>
    <definedName function="false" hidden="false" localSheetId="7" name="__123Graph_A" vbProcedure="false">#REF!</definedName>
    <definedName function="false" hidden="false" localSheetId="7" name="__123Graph_B" vbProcedure="false">#REF!</definedName>
    <definedName function="false" hidden="false" localSheetId="7" name="__123Graph_D" vbProcedure="false">#REF!</definedName>
    <definedName function="false" hidden="false" localSheetId="7" name="__123Graph_X" vbProcedure="false">#REF!</definedName>
    <definedName function="false" hidden="false" localSheetId="7" name="__5_0__123Grap" vbProcedure="false">#REF!</definedName>
    <definedName function="false" hidden="false" localSheetId="7" name="____0" vbProcedure="false">#REF!</definedName>
    <definedName function="false" hidden="false" localSheetId="7" name="____12" vbProcedure="false">#REF!</definedName>
    <definedName function="false" hidden="false" localSheetId="7" name="____14" vbProcedure="false">#REF!</definedName>
    <definedName function="false" hidden="false" localSheetId="7" name="____16" vbProcedure="false">#REF!</definedName>
    <definedName function="false" hidden="false" localSheetId="7" name="____2" vbProcedure="false">#REF!</definedName>
    <definedName function="false" hidden="false" localSheetId="7" name="____25" vbProcedure="false">#REF!</definedName>
    <definedName function="false" hidden="false" localSheetId="7" name="____26" vbProcedure="false">#REF!</definedName>
    <definedName function="false" hidden="false" localSheetId="7" name="____27" vbProcedure="false">#REF!</definedName>
    <definedName function="false" hidden="false" localSheetId="7" name="____4" vbProcedure="false">#REF!</definedName>
    <definedName function="false" hidden="false" localSheetId="7" name="____5" vbProcedure="false">#REF!</definedName>
    <definedName function="false" hidden="false" localSheetId="7" name="____7" vbProcedure="false">#REF!</definedName>
    <definedName function="false" hidden="false" localSheetId="7" name="_____0" vbProcedure="false">#REF!</definedName>
    <definedName function="false" hidden="false" localSheetId="7" name="_____12" vbProcedure="false">#REF!</definedName>
    <definedName function="false" hidden="false" localSheetId="7" name="_____14" vbProcedure="false">#REF!</definedName>
    <definedName function="false" hidden="false" localSheetId="7" name="_____16" vbProcedure="false">#REF!</definedName>
    <definedName function="false" hidden="false" localSheetId="7" name="_____2" vbProcedure="false">#REF!</definedName>
    <definedName function="false" hidden="false" localSheetId="7" name="_____25" vbProcedure="false">#REF!</definedName>
    <definedName function="false" hidden="false" localSheetId="7" name="_____26" vbProcedure="false">#REF!</definedName>
    <definedName function="false" hidden="false" localSheetId="7" name="_____27" vbProcedure="false">#REF!</definedName>
    <definedName function="false" hidden="false" localSheetId="7" name="_____28" vbProcedure="false">#REF!</definedName>
    <definedName function="false" hidden="false" localSheetId="7" name="_____4" vbProcedure="false">#REF!</definedName>
    <definedName function="false" hidden="false" localSheetId="7" name="_____5" vbProcedure="false">#REF!</definedName>
    <definedName function="false" hidden="false" localSheetId="7" name="_____6" vbProcedure="false">#REF!</definedName>
    <definedName function="false" hidden="false" localSheetId="7" name="_____7" vbProcedure="false">#REF!</definedName>
    <definedName function="false" hidden="false" localSheetId="8" name="A" vbProcedure="false">#REF!</definedName>
    <definedName function="false" hidden="false" localSheetId="8" name="aa" vbProcedure="false">#REF!</definedName>
    <definedName function="false" hidden="false" localSheetId="8" name="aaa2___0" vbProcedure="false">#REF!</definedName>
    <definedName function="false" hidden="false" localSheetId="8" name="aaa2___12" vbProcedure="false">#REF!</definedName>
    <definedName function="false" hidden="false" localSheetId="8" name="aaa2___14" vbProcedure="false">#REF!</definedName>
    <definedName function="false" hidden="false" localSheetId="8" name="aaa5___0" vbProcedure="false">#REF!</definedName>
    <definedName function="false" hidden="false" localSheetId="8" name="aaa5___12" vbProcedure="false">#REF!</definedName>
    <definedName function="false" hidden="false" localSheetId="8" name="aaa5___14" vbProcedure="false">#REF!</definedName>
    <definedName function="false" hidden="false" localSheetId="8" name="aaaa" vbProcedure="false">'Parc Mobile '!Tx_intérêt_par_an/#REF!</definedName>
    <definedName function="false" hidden="false" localSheetId="8" name="Tx_intérêt_par_an" vbProcedure="false">#REF!</definedName>
    <definedName function="false" hidden="false" localSheetId="8" name="aaaaaa" vbProcedure="false">{"IS",#N/A,FALSE,"IS";"RPTIS",#N/A,FALSE,"RPTIS";"STATS",#N/A,FALSE,"STATS";"CELL",#N/A,FALSE,"CELL";"BS",#N/A,FALSE,"BS"}</definedName>
    <definedName function="false" hidden="false" localSheetId="8" name="aaaaaaaaa" vbProcedure="false">{"subs",#N/A,FALSE,"database ";"proportional",#N/A,FALSE,"database "}</definedName>
    <definedName function="false" hidden="false" localSheetId="8" name="aaaa___0" vbProcedure="false">'Parc Mobile '!VolFactor___5/#REF!</definedName>
    <definedName function="false" hidden="false" localSheetId="8" name="VolFactor___5" vbProcedure="false">#REF!</definedName>
    <definedName function="false" hidden="false" localSheetId="8" name="aaaa___12" vbProcedure="false">'Parc Mobile '!VolFactor___25/#REF!</definedName>
    <definedName function="false" hidden="false" localSheetId="8" name="VolFactor___25" vbProcedure="false">#REF!</definedName>
    <definedName function="false" hidden="false" localSheetId="8" name="aaaa___14" vbProcedure="false">'Parc Mobile '!VolFactor___16/#REF!</definedName>
    <definedName function="false" hidden="false" localSheetId="8" name="VolFactor___16" vbProcedure="false">#REF!</definedName>
    <definedName function="false" hidden="false" localSheetId="8" name="aaaa___16" vbProcedure="false">'Parc Mobile '!VLastRowToPrint___7/#REF!</definedName>
    <definedName function="false" hidden="false" localSheetId="8" name="VLastRowToPrint___7" vbProcedure="false">#REF!</definedName>
    <definedName function="false" hidden="false" localSheetId="8" name="aaaa___2" vbProcedure="false">'Parc Mobile '!VolFactor___4/#REF!</definedName>
    <definedName function="false" hidden="false" localSheetId="8" name="VolFactor___4" vbProcedure="false">#REF!</definedName>
    <definedName function="false" hidden="false" localSheetId="8" name="aaaa___23" vbProcedure="false">'Parc Mobile '!VolFactor___5/#REF!</definedName>
    <definedName function="false" hidden="false" localSheetId="8" name="aaaa___26" vbProcedure="false">'Parc Mobile '!VolFactor___12/#REF!</definedName>
    <definedName function="false" hidden="false" localSheetId="8" name="VolFactor___12" vbProcedure="false">#REF!</definedName>
    <definedName function="false" hidden="false" localSheetId="8" name="aaaa___27" vbProcedure="false">'Parc Mobile '!VolFactor___14/#REF!</definedName>
    <definedName function="false" hidden="false" localSheetId="8" name="VolFactor___14" vbProcedure="false">#REF!</definedName>
    <definedName function="false" hidden="false" localSheetId="8" name="aaaa___3" vbProcedure="false">'Parc Mobile '!VolFactor___5/#REF!</definedName>
    <definedName function="false" hidden="false" localSheetId="8" name="aaaa___4" vbProcedure="false">'Parc Mobile '!VLastRowToPrint___0/#REF!</definedName>
    <definedName function="false" hidden="false" localSheetId="8" name="VLastRowToPrint___0" vbProcedure="false">#REF!</definedName>
    <definedName function="false" hidden="false" localSheetId="8" name="aaaa___5" vbProcedure="false">'Parc Mobile '!VolFactor___2/#REF!</definedName>
    <definedName function="false" hidden="false" localSheetId="8" name="VolFactor___2" vbProcedure="false">#REF!</definedName>
    <definedName function="false" hidden="false" localSheetId="8" name="aaaa___6" vbProcedure="false">'Parc Mobile '!VLastRowToPrint___26/#REF!</definedName>
    <definedName function="false" hidden="false" localSheetId="8" name="VLastRowToPrint___26" vbProcedure="false">#REF!</definedName>
    <definedName function="false" hidden="false" localSheetId="8" name="aaaa___7" vbProcedure="false">'Parc Mobile '!VolFactor___27/#REF!</definedName>
    <definedName function="false" hidden="false" localSheetId="8" name="VolFactor___27" vbProcedure="false">#REF!</definedName>
    <definedName function="false" hidden="false" localSheetId="8" name="aaaa___9" vbProcedure="false">'Parc Mobile '!VolFactor___5/#REF!</definedName>
    <definedName function="false" hidden="false" localSheetId="8" name="aaa___0" vbProcedure="false">'Parc Mobile '!VolFactor___5/#REF!</definedName>
    <definedName function="false" hidden="false" localSheetId="8" name="aaa___14" vbProcedure="false">'Parc Mobile '!VolFactor___16/#REF!</definedName>
    <definedName function="false" hidden="false" localSheetId="8" name="aaa___16" vbProcedure="false">'Parc Mobile '!VLastRowToPrint___7/#REF!</definedName>
    <definedName function="false" hidden="false" localSheetId="8" name="aaa___23" vbProcedure="false">'Parc Mobile '!VolFactor___5/#REF!</definedName>
    <definedName function="false" hidden="false" localSheetId="8" name="aaa___27" vbProcedure="false">'Parc Mobile '!VolFactor___14/#REF!</definedName>
    <definedName function="false" hidden="false" localSheetId="8" name="aaa___3" vbProcedure="false">'Parc Mobile '!VolFactor___5/#REF!</definedName>
    <definedName function="false" hidden="false" localSheetId="8" name="aaa___4" vbProcedure="false">'Parc Mobile '!VLastRowToPrint___0/#REF!</definedName>
    <definedName function="false" hidden="false" localSheetId="8" name="aaa___5" vbProcedure="false">'Parc Mobile '!VolFactor___2/#REF!</definedName>
    <definedName function="false" hidden="false" localSheetId="8" name="aaa___9" vbProcedure="false">'Parc Mobile '!VolFactor___5/#REF!</definedName>
    <definedName function="false" hidden="false" localSheetId="8" name="aaba" vbProcedure="false">#N/A</definedName>
    <definedName function="false" hidden="false" localSheetId="8" name="AAZ" vbProcedure="false">#REF!</definedName>
    <definedName function="false" hidden="false" localSheetId="8" name="ab" vbProcedure="false">#REF!</definedName>
    <definedName function="false" hidden="false" localSheetId="8" name="abas" vbProcedure="false">#REF!</definedName>
    <definedName function="false" hidden="false" localSheetId="8" name="ABRACADABRA" vbProcedure="false">#REF!</definedName>
    <definedName function="false" hidden="false" localSheetId="8" name="ac" vbProcedure="false">{#N/A,#N/A,TRUE,"Pro Forma";#N/A,#N/A,TRUE,"PF_Bal";#N/A,#N/A,TRUE,"PF_INC";#N/A,#N/A,TRUE,"CBE";#N/A,#N/A,TRUE,"SWK"}</definedName>
    <definedName function="false" hidden="false" localSheetId="8" name="actu32000" vbProcedure="false">#REF!</definedName>
    <definedName function="false" hidden="false" localSheetId="8" name="actu32000___12" vbProcedure="false">#REF!</definedName>
    <definedName function="false" hidden="false" localSheetId="8" name="actu3ssta" vbProcedure="false">#REF!</definedName>
    <definedName function="false" hidden="false" localSheetId="8" name="actu3ssta___12" vbProcedure="false">#REF!</definedName>
    <definedName function="false" hidden="false" localSheetId="8" name="ACTUALS" vbProcedure="false">#REF!</definedName>
    <definedName function="false" hidden="false" localSheetId="8" name="AC_Actual_cost_to_date" vbProcedure="false">#REF!</definedName>
    <definedName function="false" hidden="false" localSheetId="8" name="ad" vbProcedure="false">{"IS",#N/A,FALSE,"IS";"RPTIS",#N/A,FALSE,"RPTIS";"STATS",#N/A,FALSE,"STATS";"CELL",#N/A,FALSE,"CELL";"BS",#N/A,FALSE,"BS"}</definedName>
    <definedName function="false" hidden="false" localSheetId="8" name="addg" vbProcedure="false">{#N/A,#N/A,FALSE,"CBE";#N/A,#N/A,FALSE,"SWK"}</definedName>
    <definedName function="false" hidden="false" localSheetId="8" name="AdjustFactor" vbProcedure="false">#REF!</definedName>
    <definedName function="false" hidden="false" localSheetId="8" name="AdjustFactor___0" vbProcedure="false">#REF!</definedName>
    <definedName function="false" hidden="false" localSheetId="8" name="AdjustFactor___12" vbProcedure="false">#REF!</definedName>
    <definedName function="false" hidden="false" localSheetId="8" name="AdjustFactor___14" vbProcedure="false">#REF!</definedName>
    <definedName function="false" hidden="false" localSheetId="8" name="AdjustFactor___16" vbProcedure="false">#REF!</definedName>
    <definedName function="false" hidden="false" localSheetId="8" name="AdjustFactor___2" vbProcedure="false">#REF!</definedName>
    <definedName function="false" hidden="false" localSheetId="8" name="AdjustFactor___25" vbProcedure="false">#REF!</definedName>
    <definedName function="false" hidden="false" localSheetId="8" name="AdjustFactor___26" vbProcedure="false">#REF!</definedName>
    <definedName function="false" hidden="false" localSheetId="8" name="AdjustFactor___27" vbProcedure="false">#REF!</definedName>
    <definedName function="false" hidden="false" localSheetId="8" name="AdjustFactor___4" vbProcedure="false">#REF!</definedName>
    <definedName function="false" hidden="false" localSheetId="8" name="AdjustFactor___5" vbProcedure="false">#REF!</definedName>
    <definedName function="false" hidden="false" localSheetId="8" name="AdjustFactor___7" vbProcedure="false">#REF!</definedName>
    <definedName function="false" hidden="false" localSheetId="8" name="Adjustments" vbProcedure="false">#REF!</definedName>
    <definedName function="false" hidden="false" localSheetId="8" name="Adjustments___0" vbProcedure="false">#REF!</definedName>
    <definedName function="false" hidden="false" localSheetId="8" name="Adjustments___12" vbProcedure="false">#REF!</definedName>
    <definedName function="false" hidden="false" localSheetId="8" name="Adjustments___14" vbProcedure="false">#REF!</definedName>
    <definedName function="false" hidden="false" localSheetId="8" name="Adjustments___16" vbProcedure="false">#REF!</definedName>
    <definedName function="false" hidden="false" localSheetId="8" name="Adjustments___2" vbProcedure="false">#REF!</definedName>
    <definedName function="false" hidden="false" localSheetId="8" name="Adjustments___25" vbProcedure="false">#REF!</definedName>
    <definedName function="false" hidden="false" localSheetId="8" name="Adjustments___26" vbProcedure="false">#REF!</definedName>
    <definedName function="false" hidden="false" localSheetId="8" name="Adjustments___27" vbProcedure="false">#REF!</definedName>
    <definedName function="false" hidden="false" localSheetId="8" name="Adjustments___4" vbProcedure="false">#REF!</definedName>
    <definedName function="false" hidden="false" localSheetId="8" name="Adjustments___5" vbProcedure="false">#REF!</definedName>
    <definedName function="false" hidden="false" localSheetId="8" name="Adjustments___7" vbProcedure="false">#REF!</definedName>
    <definedName function="false" hidden="false" localSheetId="8" name="ae" vbProcedure="false">#REF!</definedName>
    <definedName function="false" hidden="false" localSheetId="8" name="aeaze" vbProcedure="false">'Parc Mobile '!aeaze</definedName>
    <definedName function="false" hidden="false" localSheetId="8" name="AECG" vbProcedure="false">#REF!</definedName>
    <definedName function="false" hidden="false" localSheetId="8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AG" vbProcedure="false">#REF!</definedName>
    <definedName function="false" hidden="false" localSheetId="8" name="Agadir" vbProcedure="false">#REF!</definedName>
    <definedName function="false" hidden="false" localSheetId="8" name="AG___0" vbProcedure="false">#REF!</definedName>
    <definedName function="false" hidden="false" localSheetId="8" name="AG___12" vbProcedure="false">#REF!</definedName>
    <definedName function="false" hidden="false" localSheetId="8" name="AG___14" vbProcedure="false">#REF!</definedName>
    <definedName function="false" hidden="false" localSheetId="8" name="AG___16" vbProcedure="false">#REF!</definedName>
    <definedName function="false" hidden="false" localSheetId="8" name="AG___2" vbProcedure="false">#REF!</definedName>
    <definedName function="false" hidden="false" localSheetId="8" name="AG___25" vbProcedure="false">#REF!</definedName>
    <definedName function="false" hidden="false" localSheetId="8" name="AG___26" vbProcedure="false">#REF!</definedName>
    <definedName function="false" hidden="false" localSheetId="8" name="AG___27" vbProcedure="false">#REF!</definedName>
    <definedName function="false" hidden="false" localSheetId="8" name="AG___4" vbProcedure="false">#REF!</definedName>
    <definedName function="false" hidden="false" localSheetId="8" name="AG___5" vbProcedure="false">#REF!</definedName>
    <definedName function="false" hidden="false" localSheetId="8" name="AG___7" vbProcedure="false">#REF!</definedName>
    <definedName function="false" hidden="false" localSheetId="8" name="ah" vbProcedure="false">{"test2",#N/A,TRUE,"Prices"}</definedName>
    <definedName function="false" hidden="false" localSheetId="8" name="ai" vbProcedure="false">{"subs",#N/A,FALSE,"database ";"proportional",#N/A,FALSE,"database "}</definedName>
    <definedName function="false" hidden="false" localSheetId="8" name="ait" vbProcedure="false">#REF!</definedName>
    <definedName function="false" hidden="false" localSheetId="8" name="aity" vbProcedure="false">#REF!</definedName>
    <definedName function="false" hidden="false" localSheetId="8" name="aj" vbProcedure="false">{"IS",#N/A,FALSE,"IS";"RPTIS",#N/A,FALSE,"RPTIS";"STATS",#N/A,FALSE,"STATS";"BS",#N/A,FALSE,"BS"}</definedName>
    <definedName function="false" hidden="false" localSheetId="8" name="AjustAttritV2" vbProcedure="false">#REF!</definedName>
    <definedName function="false" hidden="false" localSheetId="8" name="AjustAttritV2___0" vbProcedure="false">#REF!</definedName>
    <definedName function="false" hidden="false" localSheetId="8" name="AjustAttritV2___12" vbProcedure="false">#REF!</definedName>
    <definedName function="false" hidden="false" localSheetId="8" name="AjustAttritV2___2" vbProcedure="false">#REF!</definedName>
    <definedName function="false" hidden="false" localSheetId="8" name="AjustAttritV2___27" vbProcedure="false">#REF!</definedName>
    <definedName function="false" hidden="false" localSheetId="8" name="AjustAttritV2___5" vbProcedure="false">#REF!</definedName>
    <definedName function="false" hidden="false" localSheetId="8" name="AjustPdMClassique" vbProcedure="false">#REF!</definedName>
    <definedName function="false" hidden="false" localSheetId="8" name="AjustPdMClassique___0" vbProcedure="false">#REF!</definedName>
    <definedName function="false" hidden="false" localSheetId="8" name="AjustPdMClassique___12" vbProcedure="false">#REF!</definedName>
    <definedName function="false" hidden="false" localSheetId="8" name="AjustPdMClassique___2" vbProcedure="false">#REF!</definedName>
    <definedName function="false" hidden="false" localSheetId="8" name="AjustPdMClassique___27" vbProcedure="false">#REF!</definedName>
    <definedName function="false" hidden="false" localSheetId="8" name="AjustPdMClassique___5" vbProcedure="false">#REF!</definedName>
    <definedName function="false" hidden="false" localSheetId="8" name="ALIM4215_TG" vbProcedure="false">#REF!</definedName>
    <definedName function="false" hidden="false" localSheetId="8" name="ALIMENT_TG" vbProcedure="false">#REF!</definedName>
    <definedName function="false" hidden="false" localSheetId="8" name="ALIM_BANQ_COURS" vbProcedure="false">#REF!</definedName>
    <definedName function="false" hidden="false" localSheetId="8" name="ALIM_BANQ_TG" vbProcedure="false">#REF!</definedName>
    <definedName function="false" hidden="false" localSheetId="8" name="ALIM_DRT_CCP" vbProcedure="false">#REF!</definedName>
    <definedName function="false" hidden="false" localSheetId="8" name="ALIM_TG_BANQUE" vbProcedure="false">#REF!</definedName>
    <definedName function="false" hidden="false" localSheetId="8" name="ALIM_TG_CCP" vbProcedure="false">#REF!</definedName>
    <definedName function="false" hidden="false" localSheetId="8" name="ALI_BANQUE" vbProcedure="false">#REF!</definedName>
    <definedName function="false" hidden="false" localSheetId="8" name="ALI_INT_BANQ" vbProcedure="false">#REF!</definedName>
    <definedName function="false" hidden="false" localSheetId="8" name="AM" vbProcedure="false">#REF!</definedName>
    <definedName function="false" hidden="false" localSheetId="8" name="AMRT" vbProcedure="false">#REF!</definedName>
    <definedName function="false" hidden="false" localSheetId="8" name="Annuité" vbProcedure="false">'Parc Mobile '!Tx_intérêt_par_an/#REF!</definedName>
    <definedName function="false" hidden="false" localSheetId="8" name="Annuité___0" vbProcedure="false">'Parc Mobile '!VolFactor___5/#REF!</definedName>
    <definedName function="false" hidden="false" localSheetId="8" name="Annuité___12" vbProcedure="false">'Parc Mobile '!VolFactor___25/#REF!</definedName>
    <definedName function="false" hidden="false" localSheetId="8" name="Annuité___14" vbProcedure="false">'Parc Mobile '!VolFactor___16/#REF!</definedName>
    <definedName function="false" hidden="false" localSheetId="8" name="Annuité___16" vbProcedure="false">'Parc Mobile '!VLastRowToPrint___7/#REF!</definedName>
    <definedName function="false" hidden="false" localSheetId="8" name="Annuité___2" vbProcedure="false">'Parc Mobile '!VolFactor___4/#REF!</definedName>
    <definedName function="false" hidden="false" localSheetId="8" name="Annuité___23" vbProcedure="false">'Parc Mobile '!VolFactor___5/#REF!</definedName>
    <definedName function="false" hidden="false" localSheetId="8" name="Annuité___26" vbProcedure="false">'Parc Mobile '!VolFactor___12/#REF!</definedName>
    <definedName function="false" hidden="false" localSheetId="8" name="Annuité___27" vbProcedure="false">'Parc Mobile '!VolFactor___14/#REF!</definedName>
    <definedName function="false" hidden="false" localSheetId="8" name="Annuité___3" vbProcedure="false">'Parc Mobile '!VolFactor___5/#REF!</definedName>
    <definedName function="false" hidden="false" localSheetId="8" name="Annuité___4" vbProcedure="false">'Parc Mobile '!VLastRowToPrint___0/#REF!</definedName>
    <definedName function="false" hidden="false" localSheetId="8" name="Annuité___5" vbProcedure="false">'Parc Mobile '!VolFactor___2/#REF!</definedName>
    <definedName function="false" hidden="false" localSheetId="8" name="Annuité___6" vbProcedure="false">'Parc Mobile '!VLastRowToPrint___26/#REF!</definedName>
    <definedName function="false" hidden="false" localSheetId="8" name="Annuité___7" vbProcedure="false">'Parc Mobile '!VolFactor___27/#REF!</definedName>
    <definedName function="false" hidden="false" localSheetId="8" name="Annuité___9" vbProcedure="false">'Parc Mobile '!VolFactor___5/#REF!</definedName>
    <definedName function="false" hidden="false" localSheetId="8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APC_List" vbProcedure="false">#REF!</definedName>
    <definedName function="false" hidden="false" localSheetId="8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April" vbProcedure="false">#REF!</definedName>
    <definedName function="false" hidden="false" localSheetId="8" name="AprRtgMFR" vbProcedure="false">{#N/A,#N/A,FALSE,"1999 Fiscal Current Week";#N/A,#N/A,FALSE,"1999 Fiscal Variance"}</definedName>
    <definedName function="false" hidden="false" localSheetId="8" name="aq" vbProcedure="false">{"IS",#N/A,FALSE,"IS";"RPTIS",#N/A,FALSE,"RPTIS";"STATS",#N/A,FALSE,"STATS";"CELL",#N/A,FALSE,"CELL";"BS",#N/A,FALSE,"BS"}</definedName>
    <definedName function="false" hidden="false" localSheetId="8" name="art" vbProcedure="false">{"First Page",#N/A,FALSE,"Surfactants LBO";"Second Page",#N/A,FALSE,"Surfactants LBO"}</definedName>
    <definedName function="false" hidden="false" localSheetId="8" name="Artems" vbProcedure="false">{"First Page",#N/A,FALSE,"Surfactants LBO";"Second Page",#N/A,FALSE,"Surfactants LBO"}</definedName>
    <definedName function="false" hidden="false" localSheetId="8" name="Artic" vbProcedure="false">{"First Page",#N/A,FALSE,"Surfactants LBO";"Second Page",#N/A,FALSE,"Surfactants LBO"}</definedName>
    <definedName function="false" hidden="false" localSheetId="8" name="as" vbProcedure="false">{"comp1",#N/A,FALSE,"COMPS";"footnotes",#N/A,FALSE,"COMPS"}</definedName>
    <definedName function="false" hidden="false" localSheetId="8" name="AS2TickmarkLS" vbProcedure="false">#REF!</definedName>
    <definedName function="false" hidden="false" localSheetId="8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asdf" vbProcedure="false">{#N/A,#N/A,FALSE,"Calc";#N/A,#N/A,FALSE,"Sensitivity";#N/A,#N/A,FALSE,"LT Earn.Dil.";#N/A,#N/A,FALSE,"Dil. AVP"}</definedName>
    <definedName function="false" hidden="false" localSheetId="8" name="at" vbProcedure="false">{"IS",#N/A,FALSE,"IS";"RPTIS",#N/A,FALSE,"RPTIS";"STATS",#N/A,FALSE,"STATS";"CELL",#N/A,FALSE,"CELL";"BS",#N/A,FALSE,"BS"}</definedName>
    <definedName function="false" hidden="false" localSheetId="8" name="ATDebtCost" vbProcedure="false">#REF!</definedName>
    <definedName function="false" hidden="false" localSheetId="8" name="ATDebtCost___0" vbProcedure="false">#REF!</definedName>
    <definedName function="false" hidden="false" localSheetId="8" name="ATDebtCost___12" vbProcedure="false">#REF!</definedName>
    <definedName function="false" hidden="false" localSheetId="8" name="ATDebtCost___14" vbProcedure="false">#REF!</definedName>
    <definedName function="false" hidden="false" localSheetId="8" name="ATDebtCost___16" vbProcedure="false">#REF!</definedName>
    <definedName function="false" hidden="false" localSheetId="8" name="ATDebtCost___2" vbProcedure="false">#REF!</definedName>
    <definedName function="false" hidden="false" localSheetId="8" name="ATDebtCost___25" vbProcedure="false">#REF!</definedName>
    <definedName function="false" hidden="false" localSheetId="8" name="ATDebtCost___26" vbProcedure="false">#REF!</definedName>
    <definedName function="false" hidden="false" localSheetId="8" name="ATDebtCost___27" vbProcedure="false">#REF!</definedName>
    <definedName function="false" hidden="false" localSheetId="8" name="ATDebtCost___4" vbProcedure="false">#REF!</definedName>
    <definedName function="false" hidden="false" localSheetId="8" name="ATDebtCost___5" vbProcedure="false">#REF!</definedName>
    <definedName function="false" hidden="false" localSheetId="8" name="ATDebtCost___7" vbProcedure="false">#REF!</definedName>
    <definedName function="false" hidden="false" localSheetId="8" name="au" vbProcedure="false">{#N/A,#N/A,FALSE,"ORIX CSC"}</definedName>
    <definedName function="false" hidden="false" localSheetId="8" name="Auditor" vbProcedure="false">OFFSET('Parc Mobile '!CompRange3Main,9,0,COUNTA('Parc Mobile '!CompRange3Main)-COUNTA(#REF!),1)</definedName>
    <definedName function="false" hidden="false" localSheetId="8" name="CompRange3Main" vbProcedure="false">#REF!</definedName>
    <definedName function="false" hidden="false" localSheetId="8" name="August" vbProcedure="false">#REF!</definedName>
    <definedName function="false" hidden="false" localSheetId="8" name="AUT_REC_CCP" vbProcedure="false">#REF!</definedName>
    <definedName function="false" hidden="false" localSheetId="8" name="AUT_REC_TG" vbProcedure="false">#REF!</definedName>
    <definedName function="false" hidden="false" localSheetId="8" name="axedoc_9" vbProcedure="false">#REF!</definedName>
    <definedName function="false" hidden="false" localSheetId="8" name="axe_doc" vbProcedure="false">#REF!</definedName>
    <definedName function="false" hidden="false" localSheetId="8" name="axe_doc1" vbProcedure="false">#REF!</definedName>
    <definedName function="false" hidden="false" localSheetId="8" name="axe_doc10" vbProcedure="false">#REF!</definedName>
    <definedName function="false" hidden="false" localSheetId="8" name="axe_doc11" vbProcedure="false">#REF!</definedName>
    <definedName function="false" hidden="false" localSheetId="8" name="axe_doc12" vbProcedure="false">#REF!</definedName>
    <definedName function="false" hidden="false" localSheetId="8" name="axe_doc13" vbProcedure="false">#REF!</definedName>
    <definedName function="false" hidden="false" localSheetId="8" name="axe_doc2" vbProcedure="false">#REF!</definedName>
    <definedName function="false" hidden="false" localSheetId="8" name="axe_doc3" vbProcedure="false">#REF!</definedName>
    <definedName function="false" hidden="false" localSheetId="8" name="axe_doc4" vbProcedure="false">#REF!</definedName>
    <definedName function="false" hidden="false" localSheetId="8" name="axe_doc5" vbProcedure="false">#REF!</definedName>
    <definedName function="false" hidden="false" localSheetId="8" name="axe_doc6" vbProcedure="false">#REF!</definedName>
    <definedName function="false" hidden="false" localSheetId="8" name="axe_doc7" vbProcedure="false">#REF!</definedName>
    <definedName function="false" hidden="false" localSheetId="8" name="axe_doc8" vbProcedure="false">#REF!</definedName>
    <definedName function="false" hidden="false" localSheetId="8" name="axe_doc9" vbProcedure="false">#REF!</definedName>
    <definedName function="false" hidden="false" localSheetId="8" name="ay" vbProcedure="false">{"print 1",#N/A,FALSE,"PrimeCo PCS";"print 2",#N/A,FALSE,"PrimeCo PCS";"valuation",#N/A,FALSE,"PrimeCo PCS"}</definedName>
    <definedName function="false" hidden="false" localSheetId="8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aze" vbProcedure="false">'Parc Mobile '!Nb_de_paiements_par_an*#REF!</definedName>
    <definedName function="false" hidden="false" localSheetId="8" name="Nb_de_paiements_par_an" vbProcedure="false">#REF!</definedName>
    <definedName function="false" hidden="false" localSheetId="8" name="azeazedazedazeed" vbProcedure="false">'Parc Mobile '!Nb_de_paiements_par_an*#REF!</definedName>
    <definedName function="false" hidden="false" localSheetId="8" name="azerty" vbProcedure="false">'Parc Mobile '!Tx_intérêt_par_an/#REF!</definedName>
    <definedName function="false" hidden="false" localSheetId="8" name="azertyu" vbProcedure="false">'Parc Mobile '!azertyu</definedName>
    <definedName function="false" hidden="false" localSheetId="8" name="azertyu___0" vbProcedure="false">'Parc Mobile '!bbb___3</definedName>
    <definedName function="false" hidden="false" localSheetId="8" name="bbb___3" vbProcedure="false">'Parc Mobile '!VolFactor___5/#REF!</definedName>
    <definedName function="false" hidden="false" localSheetId="8" name="azertyu___12" vbProcedure="false">'Parc Mobile '!bbb___23</definedName>
    <definedName function="false" hidden="false" localSheetId="8" name="bbb___23" vbProcedure="false">'Parc Mobile '!VolFactor___5/#REF!</definedName>
    <definedName function="false" hidden="false" localSheetId="8" name="azertyu___16" vbProcedure="false">'Parc Mobile '!Excel_BuiltIn_Database_0</definedName>
    <definedName function="false" hidden="false" localSheetId="8" name="Excel_BuiltIn_Database_0" vbProcedure="false">#REF!</definedName>
    <definedName function="false" hidden="false" localSheetId="8" name="azertyu___2" vbProcedure="false">bbb___6</definedName>
    <definedName function="false" hidden="false" localSheetId="8" name="azertyu___25" vbProcedure="false">'Parc Mobile '!BAZ___6</definedName>
    <definedName function="false" hidden="false" localSheetId="8" name="BAZ___6" vbProcedure="false">#REF!</definedName>
    <definedName function="false" hidden="false" localSheetId="8" name="azertyu___26" vbProcedure="false">'parc mobile '!bbb___25</definedName>
    <definedName function="false" hidden="false" localSheetId="8" name="azertyu___27" vbProcedure="false">'Parc Mobile '!bbb___16</definedName>
    <definedName function="false" hidden="false" localSheetId="8" name="bbb___16" vbProcedure="false">'Parc Mobile '!VLastRowToPrint___7/#REF!</definedName>
    <definedName function="false" hidden="false" localSheetId="8" name="azertyu___3" vbProcedure="false">baz___0</definedName>
    <definedName function="false" hidden="false" localSheetId="8" name="azertyu___5" vbProcedure="false">'Parc Mobile '!bbb___4</definedName>
    <definedName function="false" hidden="false" localSheetId="8" name="bbb___4" vbProcedure="false">'Parc Mobile '!VLastRowToPrint___0/#REF!</definedName>
    <definedName function="false" hidden="false" localSheetId="8" name="azertyu___6" vbProcedure="false">'parc mobile '!b2000ssta___0</definedName>
    <definedName function="false" hidden="false" localSheetId="8" name="azertyu___7" vbProcedure="false">'Parc Mobile '!bbb___9</definedName>
    <definedName function="false" hidden="false" localSheetId="8" name="bbb___9" vbProcedure="false">'Parc Mobile '!VolFactor___5/#REF!</definedName>
    <definedName function="false" hidden="false" localSheetId="8" name="azertyu___9" vbProcedure="false">'Parc Mobile '!BAZ___12</definedName>
    <definedName function="false" hidden="false" localSheetId="8" name="BAZ___12" vbProcedure="false">#REF!</definedName>
    <definedName function="false" hidden="false" localSheetId="8" name="azerty___0" vbProcedure="false">'Parc Mobile '!VolFactor___5/#REF!</definedName>
    <definedName function="false" hidden="false" localSheetId="8" name="azerty___12" vbProcedure="false">'Parc Mobile '!VolFactor___25/#REF!</definedName>
    <definedName function="false" hidden="false" localSheetId="8" name="azerty___14" vbProcedure="false">'Parc Mobile '!VolFactor___16/#REF!</definedName>
    <definedName function="false" hidden="false" localSheetId="8" name="azerty___16" vbProcedure="false">'Parc Mobile '!VLastRowToPrint___7/#REF!</definedName>
    <definedName function="false" hidden="false" localSheetId="8" name="azerty___2" vbProcedure="false">'Parc Mobile '!VolFactor___4/#REF!</definedName>
    <definedName function="false" hidden="false" localSheetId="8" name="azerty___23" vbProcedure="false">'Parc Mobile '!VolFactor___5/#REF!</definedName>
    <definedName function="false" hidden="false" localSheetId="8" name="azerty___26" vbProcedure="false">'Parc Mobile '!VolFactor___12/#REF!</definedName>
    <definedName function="false" hidden="false" localSheetId="8" name="azerty___27" vbProcedure="false">'Parc Mobile '!VolFactor___14/#REF!</definedName>
    <definedName function="false" hidden="false" localSheetId="8" name="azerty___3" vbProcedure="false">'Parc Mobile '!VolFactor___5/#REF!</definedName>
    <definedName function="false" hidden="false" localSheetId="8" name="azerty___4" vbProcedure="false">'Parc Mobile '!VLastRowToPrint___0/#REF!</definedName>
    <definedName function="false" hidden="false" localSheetId="8" name="azerty___5" vbProcedure="false">'Parc Mobile '!VolFactor___2/#REF!</definedName>
    <definedName function="false" hidden="false" localSheetId="8" name="azerty___6" vbProcedure="false">'Parc Mobile '!VLastRowToPrint___26/#REF!</definedName>
    <definedName function="false" hidden="false" localSheetId="8" name="azerty___7" vbProcedure="false">'Parc Mobile '!VolFactor___27/#REF!</definedName>
    <definedName function="false" hidden="false" localSheetId="8" name="azerty___9" vbProcedure="false">'Parc Mobile '!VolFactor___5/#REF!</definedName>
    <definedName function="false" hidden="false" localSheetId="8" name="azraze" vbProcedure="false">{"orixcsc",#N/A,FALSE,"ORIX CSC";"orixcsc2",#N/A,FALSE,"ORIX CSC"}</definedName>
    <definedName function="false" hidden="false" localSheetId="8" name="A_Tarifs_SFR" vbProcedure="false">#REF!</definedName>
    <definedName function="false" hidden="false" localSheetId="8" name="A_Tarifs_SFR___0" vbProcedure="false">#REF!</definedName>
    <definedName function="false" hidden="false" localSheetId="8" name="A_Tarifs_SFR___12" vbProcedure="false">#REF!</definedName>
    <definedName function="false" hidden="false" localSheetId="8" name="A_Tarifs_SFR___14" vbProcedure="false">#REF!</definedName>
    <definedName function="false" hidden="false" localSheetId="8" name="A_Tarifs_SFR___16" vbProcedure="false">#REF!</definedName>
    <definedName function="false" hidden="false" localSheetId="8" name="A_Tarifs_SFR___2" vbProcedure="false">#REF!</definedName>
    <definedName function="false" hidden="false" localSheetId="8" name="A_Tarifs_SFR___26" vbProcedure="false">#REF!</definedName>
    <definedName function="false" hidden="false" localSheetId="8" name="A_Tarifs_SFR___27" vbProcedure="false">#REF!</definedName>
    <definedName function="false" hidden="false" localSheetId="8" name="A_Tarifs_SFR___5" vbProcedure="false">#REF!</definedName>
    <definedName function="false" hidden="false" localSheetId="8" name="A_Tarifs_SFR___7" vbProcedure="false">#REF!</definedName>
    <definedName function="false" hidden="false" localSheetId="8" name="A___12" vbProcedure="false">#REF!</definedName>
    <definedName function="false" hidden="false" localSheetId="8" name="A___2" vbProcedure="false">#REF!</definedName>
    <definedName function="false" hidden="false" localSheetId="8" name="A___25" vbProcedure="false">#REF!</definedName>
    <definedName function="false" hidden="false" localSheetId="8" name="A___26" vbProcedure="false">#REF!</definedName>
    <definedName function="false" hidden="false" localSheetId="8" name="A___4" vbProcedure="false">#REF!</definedName>
    <definedName function="false" hidden="false" localSheetId="8" name="A___6" vbProcedure="false">#REF!</definedName>
    <definedName function="false" hidden="false" localSheetId="8" name="A___7" vbProcedure="false">#REF!</definedName>
    <definedName function="false" hidden="false" localSheetId="8" name="B.C.M" vbProcedure="false">#REF!</definedName>
    <definedName function="false" hidden="false" localSheetId="8" name="B.C.M." vbProcedure="false">#REF!</definedName>
    <definedName function="false" hidden="false" localSheetId="8" name="B.M.C.E_PRINCIP" vbProcedure="false">#REF!</definedName>
    <definedName function="false" hidden="false" localSheetId="8" name="B.M.C.I" vbProcedure="false">#REF!</definedName>
    <definedName function="false" hidden="false" localSheetId="8" name="B.M.C.I." vbProcedure="false">#REF!</definedName>
    <definedName function="false" hidden="false" localSheetId="8" name="B.P" vbProcedure="false">#REF!</definedName>
    <definedName function="false" hidden="false" localSheetId="8" name="B.P." vbProcedure="false">#REF!</definedName>
    <definedName function="false" hidden="false" localSheetId="8" name="B2000ssta" vbProcedure="false">#REF!</definedName>
    <definedName function="false" hidden="false" localSheetId="8" name="B2000ssta___0" vbProcedure="false">#REF!</definedName>
    <definedName function="false" hidden="false" localSheetId="8" name="B2000ssta___12" vbProcedure="false">#REF!</definedName>
    <definedName function="false" hidden="false" localSheetId="8" name="B2000ssta___14" vbProcedure="false">#REF!</definedName>
    <definedName function="false" hidden="false" localSheetId="8" name="B2000ssta___16" vbProcedure="false">#REF!</definedName>
    <definedName function="false" hidden="false" localSheetId="8" name="B2000ssta___27" vbProcedure="false">#REF!</definedName>
    <definedName function="false" hidden="false" localSheetId="8" name="B2000ssta___5" vbProcedure="false">#REF!</definedName>
    <definedName function="false" hidden="false" localSheetId="8" name="BAC" vbProcedure="false">#REF!</definedName>
    <definedName function="false" hidden="false" localSheetId="8" name="BAC_Budget_at_Completion" vbProcedure="false">#REF!</definedName>
    <definedName function="false" hidden="false" localSheetId="8" name="BANQUE" vbProcedure="false">#REF!</definedName>
    <definedName function="false" hidden="false" localSheetId="8" name="Base2" vbProcedure="false">#REF!</definedName>
    <definedName function="false" hidden="false" localSheetId="8" name="BASE_COSTES" vbProcedure="false">#REF!</definedName>
    <definedName function="false" hidden="false" localSheetId="8" name="BAZ" vbProcedure="false">#REF!</definedName>
    <definedName function="false" hidden="false" localSheetId="8" name="bb" vbProcedure="false">#REF!</definedName>
    <definedName function="false" hidden="false" localSheetId="8" name="bbbb" vbProcedure="false">'Parc Mobile '!Tx_intérêt_par_an/#REF!</definedName>
    <definedName function="false" hidden="false" localSheetId="8" name="BBBBBBBB" vbProcedure="false">#N/A</definedName>
    <definedName function="false" hidden="false" localSheetId="8" name="bbbb___0" vbProcedure="false">'Parc Mobile '!VolFactor___5/#REF!</definedName>
    <definedName function="false" hidden="false" localSheetId="8" name="bbbb___12" vbProcedure="false">'Parc Mobile '!VolFactor___25/#REF!</definedName>
    <definedName function="false" hidden="false" localSheetId="8" name="bbbb___14" vbProcedure="false">'Parc Mobile '!VolFactor___16/#REF!</definedName>
    <definedName function="false" hidden="false" localSheetId="8" name="bbbb___16" vbProcedure="false">'Parc Mobile '!VLastRowToPrint___7/#REF!</definedName>
    <definedName function="false" hidden="false" localSheetId="8" name="bbbb___2" vbProcedure="false">'Parc Mobile '!VolFactor___4/#REF!</definedName>
    <definedName function="false" hidden="false" localSheetId="8" name="bbbb___23" vbProcedure="false">'Parc Mobile '!VolFactor___5/#REF!</definedName>
    <definedName function="false" hidden="false" localSheetId="8" name="bbbb___26" vbProcedure="false">'Parc Mobile '!VolFactor___12/#REF!</definedName>
    <definedName function="false" hidden="false" localSheetId="8" name="bbbb___27" vbProcedure="false">'Parc Mobile '!VolFactor___14/#REF!</definedName>
    <definedName function="false" hidden="false" localSheetId="8" name="bbbb___3" vbProcedure="false">'Parc Mobile '!VolFactor___5/#REF!</definedName>
    <definedName function="false" hidden="false" localSheetId="8" name="bbbb___4" vbProcedure="false">'Parc Mobile '!VLastRowToPrint___0/#REF!</definedName>
    <definedName function="false" hidden="false" localSheetId="8" name="bbbb___5" vbProcedure="false">'Parc Mobile '!VolFactor___2/#REF!</definedName>
    <definedName function="false" hidden="false" localSheetId="8" name="bbbb___6" vbProcedure="false">'Parc Mobile '!VLastRowToPrint___26/#REF!</definedName>
    <definedName function="false" hidden="false" localSheetId="8" name="bbbb___7" vbProcedure="false">'Parc Mobile '!VolFactor___27/#REF!</definedName>
    <definedName function="false" hidden="false" localSheetId="8" name="bbbb___9" vbProcedure="false">'Parc Mobile '!VolFactor___5/#REF!</definedName>
    <definedName function="false" hidden="false" localSheetId="8" name="bbb___0" vbProcedure="false">'Parc Mobile '!VolFactor___5/#REF!</definedName>
    <definedName function="false" hidden="false" localSheetId="8" name="bbb___14" vbProcedure="false">'Parc Mobile '!VolFactor___16/#REF!</definedName>
    <definedName function="false" hidden="false" localSheetId="8" name="bbb___27" vbProcedure="false">'Parc Mobile '!VolFactor___14/#REF!</definedName>
    <definedName function="false" hidden="false" localSheetId="8" name="bbb___5" vbProcedure="false">'Parc Mobile '!VolFactor___2/#REF!</definedName>
    <definedName function="false" hidden="false" localSheetId="8" name="bc" vbProcedure="false">{"IS",#N/A,FALSE,"IS";"RPTIS",#N/A,FALSE,"RPTIS";"STATS",#N/A,FALSE,"STATS";"CELL",#N/A,FALSE,"CELL";"BS",#N/A,FALSE,"BS"}</definedName>
    <definedName function="false" hidden="false" localSheetId="8" name="bcvgdhjdfhhjfev" vbProcedure="false">'Parc Mobile '!bcvgdhjdfhhjfev</definedName>
    <definedName function="false" hidden="false" localSheetId="8" name="BEGINNING" vbProcedure="false">#REF!</definedName>
    <definedName function="false" hidden="false" localSheetId="8" name="belnew" vbProcedure="false">{"IS",#N/A,FALSE,"IS";"RPTIS",#N/A,FALSE,"RPTIS";"STATS",#N/A,FALSE,"STATS";"CELL",#N/A,FALSE,"CELL";"BS",#N/A,FALSE,"BS"}</definedName>
    <definedName function="false" hidden="false" localSheetId="8" name="belnew1" vbProcedure="false">{"IS",#N/A,FALSE,"IS";"RPTIS",#N/A,FALSE,"RPTIS";"STATS",#N/A,FALSE,"STATS";"CELL",#N/A,FALSE,"CELL";"BS",#N/A,FALSE,"BS"}</definedName>
    <definedName function="false" hidden="false" localSheetId="8" name="belnew10" vbProcedure="false">{"IS",#N/A,FALSE,"IS";"RPTIS",#N/A,FALSE,"RPTIS";"STATS",#N/A,FALSE,"STATS";"CELL",#N/A,FALSE,"CELL";"BS",#N/A,FALSE,"BS"}</definedName>
    <definedName function="false" hidden="false" localSheetId="8" name="BG" vbProcedure="false">{#N/A,#N/A,TRUE,"Cover sheet";#N/A,#N/A,TRUE,"DCF analysis";#N/A,#N/A,TRUE,"WACC calculation"}</definedName>
    <definedName function="false" hidden="false" localSheetId="8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8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Blank3" vbProcedure="false">#REF!</definedName>
    <definedName function="false" hidden="false" localSheetId="8" name="Blank4" vbProcedure="false">#REF!</definedName>
    <definedName function="false" hidden="false" localSheetId="8" name="Blank5" vbProcedure="false">#REF!</definedName>
    <definedName function="false" hidden="false" localSheetId="8" name="Blank6" vbProcedure="false">#REF!</definedName>
    <definedName function="false" hidden="false" localSheetId="8" name="Blank7" vbProcedure="false">#REF!</definedName>
    <definedName function="false" hidden="false" localSheetId="8" name="Blank8" vbProcedure="false">#REF!</definedName>
    <definedName function="false" hidden="false" localSheetId="8" name="BMCE" vbProcedure="false">#REF!</definedName>
    <definedName function="false" hidden="false" localSheetId="8" name="BMCE.P" vbProcedure="false">#REF!</definedName>
    <definedName function="false" hidden="false" localSheetId="8" name="bnbbb" vbProcedure="false">#N/A</definedName>
    <definedName function="false" hidden="false" localSheetId="8" name="bnkj" vbProcedure="false">{#N/A,#N/A,FALSE,"output";#N/A,#N/A,FALSE,"contrib";#N/A,#N/A,FALSE,"profile";#N/A,#N/A,FALSE,"comps"}</definedName>
    <definedName function="false" hidden="false" localSheetId="8" name="bouhali" vbProcedure="false">#REF!</definedName>
    <definedName function="false" hidden="false" localSheetId="8" name="BO_OPEX4R" vbProcedure="false">#REF!</definedName>
    <definedName function="false" hidden="false" localSheetId="8" name="BSCVolt" vbProcedure="false">#REF!</definedName>
    <definedName function="false" hidden="false" localSheetId="8" name="BTSVolt" vbProcedure="false">#REF!</definedName>
    <definedName function="false" hidden="false" localSheetId="8" name="budget2000" vbProcedure="false">#REF!</definedName>
    <definedName function="false" hidden="false" localSheetId="8" name="budget2000___0" vbProcedure="false">#REF!</definedName>
    <definedName function="false" hidden="false" localSheetId="8" name="budget2000___12" vbProcedure="false">#REF!</definedName>
    <definedName function="false" hidden="false" localSheetId="8" name="budget2000___14" vbProcedure="false">#REF!</definedName>
    <definedName function="false" hidden="false" localSheetId="8" name="budget2000___16" vbProcedure="false">#REF!</definedName>
    <definedName function="false" hidden="false" localSheetId="8" name="budget2000___27" vbProcedure="false">#REF!</definedName>
    <definedName function="false" hidden="false" localSheetId="8" name="budget2000___5" vbProcedure="false">#REF!</definedName>
    <definedName function="false" hidden="false" localSheetId="8" name="Budget_2003_Conso" vbProcedure="false">#REF!</definedName>
    <definedName function="false" hidden="false" localSheetId="8" name="Budget_2003_Conso___0" vbProcedure="false">#REF!</definedName>
    <definedName function="false" hidden="false" localSheetId="8" name="Budget_2003_Conso___12" vbProcedure="false">#REF!</definedName>
    <definedName function="false" hidden="false" localSheetId="8" name="Budget_2003_Conso___14" vbProcedure="false">#REF!</definedName>
    <definedName function="false" hidden="false" localSheetId="8" name="Budget_2003_Conso___16" vbProcedure="false">#REF!</definedName>
    <definedName function="false" hidden="false" localSheetId="8" name="Budget_2003_Conso___27" vbProcedure="false">#REF!</definedName>
    <definedName function="false" hidden="false" localSheetId="8" name="Budget_2003_Conso___5" vbProcedure="false">#REF!</definedName>
    <definedName function="false" hidden="false" localSheetId="8" name="Budget_DR_Rabat06" vbProcedure="false">#REF!</definedName>
    <definedName function="false" hidden="false" localSheetId="8" name="B_Tarifs_Le7" vbProcedure="false">#REF!</definedName>
    <definedName function="false" hidden="false" localSheetId="8" name="B_Tarifs_Le7___0" vbProcedure="false">#REF!</definedName>
    <definedName function="false" hidden="false" localSheetId="8" name="B_Tarifs_Le7___12" vbProcedure="false">#REF!</definedName>
    <definedName function="false" hidden="false" localSheetId="8" name="B_Tarifs_Le7___14" vbProcedure="false">#REF!</definedName>
    <definedName function="false" hidden="false" localSheetId="8" name="B_Tarifs_Le7___16" vbProcedure="false">#REF!</definedName>
    <definedName function="false" hidden="false" localSheetId="8" name="B_Tarifs_Le7___2" vbProcedure="false">#REF!</definedName>
    <definedName function="false" hidden="false" localSheetId="8" name="B_Tarifs_Le7___26" vbProcedure="false">#REF!</definedName>
    <definedName function="false" hidden="false" localSheetId="8" name="B_Tarifs_Le7___27" vbProcedure="false">#REF!</definedName>
    <definedName function="false" hidden="false" localSheetId="8" name="B_Tarifs_Le7___5" vbProcedure="false">#REF!</definedName>
    <definedName function="false" hidden="false" localSheetId="8" name="B_Tarifs_Le7___7" vbProcedure="false">#REF!</definedName>
    <definedName function="false" hidden="false" localSheetId="8" name="C.D.M" vbProcedure="false">#REF!</definedName>
    <definedName function="false" hidden="false" localSheetId="8" name="CA" vbProcedure="false">#REF!</definedName>
    <definedName function="false" hidden="false" localSheetId="8" name="Cable" vbProcedure="false">{#N/A,#N/A,FALSE,"Operations";#N/A,#N/A,FALSE,"Financials"}</definedName>
    <definedName function="false" hidden="false" localSheetId="8" name="Cable2" vbProcedure="false">{#N/A,#N/A,FALSE,"Operations";#N/A,#N/A,FALSE,"Financials"}</definedName>
    <definedName function="false" hidden="false" localSheetId="8" name="Cabs" vbProcedure="false">#REF!</definedName>
    <definedName function="false" hidden="false" localSheetId="8" name="cad" vbProcedure="false">'Parc Mobile '!Tx_intérêt_par_an/#REF!</definedName>
    <definedName function="false" hidden="false" localSheetId="8" name="cad___0" vbProcedure="false">'Parc Mobile '!VolFactor___5/#REF!</definedName>
    <definedName function="false" hidden="false" localSheetId="8" name="cad___12" vbProcedure="false">'Parc Mobile '!VolFactor___25/#REF!</definedName>
    <definedName function="false" hidden="false" localSheetId="8" name="cad___14" vbProcedure="false">'Parc Mobile '!VolFactor___16/#REF!</definedName>
    <definedName function="false" hidden="false" localSheetId="8" name="cad___16" vbProcedure="false">'Parc Mobile '!VLastRowToPrint___7/#REF!</definedName>
    <definedName function="false" hidden="false" localSheetId="8" name="cad___2" vbProcedure="false">'Parc Mobile '!VolFactor___5/#REF!</definedName>
    <definedName function="false" hidden="false" localSheetId="8" name="cad___23" vbProcedure="false">'Parc Mobile '!VolFactor___5/#REF!</definedName>
    <definedName function="false" hidden="false" localSheetId="8" name="cad___25" vbProcedure="false">'Parc Mobile '!VolFactor___5/#REF!</definedName>
    <definedName function="false" hidden="false" localSheetId="8" name="cad___26" vbProcedure="false">'Parc Mobile '!VolFactor___5/#REF!</definedName>
    <definedName function="false" hidden="false" localSheetId="8" name="cad___27" vbProcedure="false">'Parc Mobile '!VolFactor___14/#REF!</definedName>
    <definedName function="false" hidden="false" localSheetId="8" name="cad___3" vbProcedure="false">'Parc Mobile '!VolFactor___5/#REF!</definedName>
    <definedName function="false" hidden="false" localSheetId="8" name="cad___4" vbProcedure="false">'Parc Mobile '!VolFactor___5/#REF!</definedName>
    <definedName function="false" hidden="false" localSheetId="8" name="cad___5" vbProcedure="false">'Parc Mobile '!VolFactor___2/#REF!</definedName>
    <definedName function="false" hidden="false" localSheetId="8" name="cad___6" vbProcedure="false">'Parc Mobile '!VLastRowToPrint___26/#REF!</definedName>
    <definedName function="false" hidden="false" localSheetId="8" name="cad___7" vbProcedure="false">'Parc Mobile '!VolFactor___5/#REF!</definedName>
    <definedName function="false" hidden="false" localSheetId="8" name="cad___9" vbProcedure="false">'Parc Mobile '!VolFactor___5/#REF!</definedName>
    <definedName function="false" hidden="false" localSheetId="8" name="Calibration" vbProcedure="false">'Parc Mobile '!Calibration</definedName>
    <definedName function="false" hidden="false" localSheetId="8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CAP2003àComptabiliser" vbProcedure="false">#REF!</definedName>
    <definedName function="false" hidden="false" localSheetId="8" name="CAPEX4RQ" vbProcedure="false">#REF!</definedName>
    <definedName function="false" hidden="false" localSheetId="8" name="CAPEX4RQDG" vbProcedure="false">#REF!</definedName>
    <definedName function="false" hidden="false" localSheetId="8" name="CAPEX4RQPROJET" vbProcedure="false">#REF!</definedName>
    <definedName function="false" hidden="false" localSheetId="8" name="CAPEX4SYNTHESE" vbProcedure="false">#REF!</definedName>
    <definedName function="false" hidden="false" localSheetId="8" name="CAPEX_ACTU2_PREVISION" vbProcedure="false">#REF!</definedName>
    <definedName function="false" hidden="false" localSheetId="8" name="CAPEX_ACTU_DETAIL_DIV" vbProcedure="false">#REF!</definedName>
    <definedName function="false" hidden="false" localSheetId="8" name="CAPEX_PREVISIONS" vbProcedure="false">#REF!</definedName>
    <definedName function="false" hidden="false" localSheetId="8" name="CAPEX_PREVISIONS_DG" vbProcedure="false">#REF!</definedName>
    <definedName function="false" hidden="false" localSheetId="8" name="CAPEX_PREVISIONS_DG___0" vbProcedure="false">#REF!</definedName>
    <definedName function="false" hidden="false" localSheetId="8" name="CAPEX_PREVISIONS_DG___12" vbProcedure="false">#REF!</definedName>
    <definedName function="false" hidden="false" localSheetId="8" name="CAPEX_PREVISIONS_DG___14" vbProcedure="false">#REF!</definedName>
    <definedName function="false" hidden="false" localSheetId="8" name="CAPEX_PREVISIONS_DG___16" vbProcedure="false">#REF!</definedName>
    <definedName function="false" hidden="false" localSheetId="8" name="CAPEX_PREVISIONS_DG___2" vbProcedure="false">#REF!</definedName>
    <definedName function="false" hidden="false" localSheetId="8" name="CAPEX_PREVISIONS_DG___25" vbProcedure="false">#REF!</definedName>
    <definedName function="false" hidden="false" localSheetId="8" name="CAPEX_PREVISIONS_DG___26" vbProcedure="false">#REF!</definedName>
    <definedName function="false" hidden="false" localSheetId="8" name="CAPEX_PREVISIONS_DG___27" vbProcedure="false">#REF!</definedName>
    <definedName function="false" hidden="false" localSheetId="8" name="CAPEX_PREVISIONS_DG___4" vbProcedure="false">#REF!</definedName>
    <definedName function="false" hidden="false" localSheetId="8" name="CAPEX_PREVISIONS_DG___5" vbProcedure="false">#REF!</definedName>
    <definedName function="false" hidden="false" localSheetId="8" name="CAPEX_PREVISIONS_DG___7" vbProcedure="false">#REF!</definedName>
    <definedName function="false" hidden="false" localSheetId="8" name="CAPEX_PROVISION_2003" vbProcedure="false">#REF!</definedName>
    <definedName function="false" hidden="false" localSheetId="8" name="carte" vbProcedure="false">'Parc Mobile '!carte</definedName>
    <definedName function="false" hidden="false" localSheetId="8" name="Casa2" vbProcedure="false">#REF!</definedName>
    <definedName function="false" hidden="false" localSheetId="8" name="Casa3" vbProcedure="false">#REF!</definedName>
    <definedName function="false" hidden="false" localSheetId="8" name="cash" vbProcedure="false">#REF!</definedName>
    <definedName function="false" hidden="false" localSheetId="8" name="CataRécSynt" vbProcedure="false">#REF!</definedName>
    <definedName function="false" hidden="false" localSheetId="8" name="ca_pm_dest" vbProcedure="false">#REF!</definedName>
    <definedName function="false" hidden="false" localSheetId="8" name="CA___0" vbProcedure="false">#REF!</definedName>
    <definedName function="false" hidden="false" localSheetId="8" name="CA___12" vbProcedure="false">#REF!</definedName>
    <definedName function="false" hidden="false" localSheetId="8" name="CA___14" vbProcedure="false">#REF!</definedName>
    <definedName function="false" hidden="false" localSheetId="8" name="CA___16" vbProcedure="false">#REF!</definedName>
    <definedName function="false" hidden="false" localSheetId="8" name="CA___2" vbProcedure="false">#REF!</definedName>
    <definedName function="false" hidden="false" localSheetId="8" name="CA___25" vbProcedure="false">#REF!</definedName>
    <definedName function="false" hidden="false" localSheetId="8" name="CA___26" vbProcedure="false">#REF!</definedName>
    <definedName function="false" hidden="false" localSheetId="8" name="CA___27" vbProcedure="false">#REF!</definedName>
    <definedName function="false" hidden="false" localSheetId="8" name="CA___4" vbProcedure="false">#REF!</definedName>
    <definedName function="false" hidden="false" localSheetId="8" name="CA___5" vbProcedure="false">#REF!</definedName>
    <definedName function="false" hidden="false" localSheetId="8" name="CA___7" vbProcedure="false">#REF!</definedName>
    <definedName function="false" hidden="false" localSheetId="8" name="cc" vbProcedure="false">{#N/A,#N/A,FALSE,"CBE";#N/A,#N/A,FALSE,"SWK"}</definedName>
    <definedName function="false" hidden="false" localSheetId="8" name="ccc" vbProcedure="false">'Parc Mobile '!Tx_intérêt_par_an/#REF!</definedName>
    <definedName function="false" hidden="false" localSheetId="8" name="cccc" vbProcedure="false">'Parc Mobile '!Tx_intérêt_par_an/#REF!</definedName>
    <definedName function="false" hidden="false" localSheetId="8" name="cccc___0" vbProcedure="false">'Parc Mobile '!VolFactor___5/#REF!</definedName>
    <definedName function="false" hidden="false" localSheetId="8" name="cccc___12" vbProcedure="false">'Parc Mobile '!VolFactor___25/#REF!</definedName>
    <definedName function="false" hidden="false" localSheetId="8" name="cccc___14" vbProcedure="false">'Parc Mobile '!VolFactor___16/#REF!</definedName>
    <definedName function="false" hidden="false" localSheetId="8" name="cccc___16" vbProcedure="false">'Parc Mobile '!VLastRowToPrint___7/#REF!</definedName>
    <definedName function="false" hidden="false" localSheetId="8" name="cccc___2" vbProcedure="false">'Parc Mobile '!VolFactor___5/#REF!</definedName>
    <definedName function="false" hidden="false" localSheetId="8" name="cccc___23" vbProcedure="false">'Parc Mobile '!VolFactor___5/#REF!</definedName>
    <definedName function="false" hidden="false" localSheetId="8" name="cccc___25" vbProcedure="false">'Parc Mobile '!VolFactor___5/#REF!</definedName>
    <definedName function="false" hidden="false" localSheetId="8" name="cccc___26" vbProcedure="false">'Parc Mobile '!VolFactor___5/#REF!</definedName>
    <definedName function="false" hidden="false" localSheetId="8" name="cccc___27" vbProcedure="false">'Parc Mobile '!VolFactor___14/#REF!</definedName>
    <definedName function="false" hidden="false" localSheetId="8" name="cccc___3" vbProcedure="false">'Parc Mobile '!VolFactor___5/#REF!</definedName>
    <definedName function="false" hidden="false" localSheetId="8" name="cccc___4" vbProcedure="false">'Parc Mobile '!VolFactor___5/#REF!</definedName>
    <definedName function="false" hidden="false" localSheetId="8" name="cccc___5" vbProcedure="false">'Parc Mobile '!VolFactor___2/#REF!</definedName>
    <definedName function="false" hidden="false" localSheetId="8" name="cccc___6" vbProcedure="false">'Parc Mobile '!VLastRowToPrint___26/#REF!</definedName>
    <definedName function="false" hidden="false" localSheetId="8" name="cccc___7" vbProcedure="false">'Parc Mobile '!VolFactor___5/#REF!</definedName>
    <definedName function="false" hidden="false" localSheetId="8" name="cccc___9" vbProcedure="false">'Parc Mobile '!VolFactor___5/#REF!</definedName>
    <definedName function="false" hidden="false" localSheetId="8" name="CCP_AGADIR" vbProcedure="false">#REF!</definedName>
    <definedName function="false" hidden="false" localSheetId="8" name="CCP_CASABLANCA" vbProcedure="false">#REF!</definedName>
    <definedName function="false" hidden="false" localSheetId="8" name="CCP_FES" vbProcedure="false">#REF!</definedName>
    <definedName function="false" hidden="false" localSheetId="8" name="CCP_iam" vbProcedure="false">#REF!</definedName>
    <definedName function="false" hidden="false" localSheetId="8" name="CCP_iam___0" vbProcedure="false">#REF!</definedName>
    <definedName function="false" hidden="false" localSheetId="8" name="CCP_iam___12" vbProcedure="false">#REF!</definedName>
    <definedName function="false" hidden="false" localSheetId="8" name="CCP_MARRAKECH" vbProcedure="false">#REF!</definedName>
    <definedName function="false" hidden="false" localSheetId="8" name="CCP_ONPT" vbProcedure="false">#REF!</definedName>
    <definedName function="false" hidden="false" localSheetId="8" name="CCP_OUJDA" vbProcedure="false">#REF!</definedName>
    <definedName function="false" hidden="false" localSheetId="8" name="CCP_RABAT" vbProcedure="false">#REF!</definedName>
    <definedName function="false" hidden="false" localSheetId="8" name="CCP_SETTAT" vbProcedure="false">#REF!</definedName>
    <definedName function="false" hidden="false" localSheetId="8" name="CdesPortefeuille" vbProcedure="false">#REF!</definedName>
    <definedName function="false" hidden="false" localSheetId="8" name="CDMA" vbProcedure="false">#REF!</definedName>
    <definedName function="false" hidden="false" localSheetId="8" name="CFCheck" vbProcedure="false">#REF!</definedName>
    <definedName function="false" hidden="false" localSheetId="8" name="CFCheck___0" vbProcedure="false">#REF!</definedName>
    <definedName function="false" hidden="false" localSheetId="8" name="CFCheck___12" vbProcedure="false">#REF!</definedName>
    <definedName function="false" hidden="false" localSheetId="8" name="CFCheck___14" vbProcedure="false">#REF!</definedName>
    <definedName function="false" hidden="false" localSheetId="8" name="CFCheck___16" vbProcedure="false">#REF!</definedName>
    <definedName function="false" hidden="false" localSheetId="8" name="CFCheck___2" vbProcedure="false">#REF!</definedName>
    <definedName function="false" hidden="false" localSheetId="8" name="CFCheck___25" vbProcedure="false">#REF!</definedName>
    <definedName function="false" hidden="false" localSheetId="8" name="CFCheck___26" vbProcedure="false">#REF!</definedName>
    <definedName function="false" hidden="false" localSheetId="8" name="CFCheck___27" vbProcedure="false">#REF!</definedName>
    <definedName function="false" hidden="false" localSheetId="8" name="CFCheck___4" vbProcedure="false">#REF!</definedName>
    <definedName function="false" hidden="false" localSheetId="8" name="CFCheck___5" vbProcedure="false">#REF!</definedName>
    <definedName function="false" hidden="false" localSheetId="8" name="CFCheck___7" vbProcedure="false">#REF!</definedName>
    <definedName function="false" hidden="false" localSheetId="8" name="chargaddit" vbProcedure="false">#REF!</definedName>
    <definedName function="false" hidden="false" localSheetId="8" name="CHEQUES_BANQUE" vbProcedure="false">#REF!</definedName>
    <definedName function="false" hidden="false" localSheetId="8" name="CHEQUES_CCP" vbProcedure="false">#REF!</definedName>
    <definedName function="false" hidden="false" localSheetId="8" name="CHEQUES_TG" vbProcedure="false">#REF!</definedName>
    <definedName function="false" hidden="false" localSheetId="8" name="chf" vbProcedure="false">#REF!</definedName>
    <definedName function="false" hidden="false" localSheetId="8" name="CHQ.BQ" vbProcedure="false">#REF!</definedName>
    <definedName function="false" hidden="false" localSheetId="8" name="Cible6" vbProcedure="false">#REF!</definedName>
    <definedName function="false" hidden="false" localSheetId="8" name="Cible6___0" vbProcedure="false">#REF!</definedName>
    <definedName function="false" hidden="false" localSheetId="8" name="Cible6___12" vbProcedure="false">#REF!</definedName>
    <definedName function="false" hidden="false" localSheetId="8" name="Cible6___14" vbProcedure="false">#REF!</definedName>
    <definedName function="false" hidden="false" localSheetId="8" name="Cible6___16" vbProcedure="false">#REF!</definedName>
    <definedName function="false" hidden="false" localSheetId="8" name="Cible6___2" vbProcedure="false">#REF!</definedName>
    <definedName function="false" hidden="false" localSheetId="8" name="Cible6___27" vbProcedure="false">#REF!</definedName>
    <definedName function="false" hidden="false" localSheetId="8" name="Cible6___5" vbProcedure="false">#REF!</definedName>
    <definedName function="false" hidden="false" localSheetId="8" name="CibleV2_1" vbProcedure="false">#REF!</definedName>
    <definedName function="false" hidden="false" localSheetId="8" name="CibleV2_1___0" vbProcedure="false">#REF!</definedName>
    <definedName function="false" hidden="false" localSheetId="8" name="CibleV2_1___12" vbProcedure="false">#REF!</definedName>
    <definedName function="false" hidden="false" localSheetId="8" name="CibleV2_1___14" vbProcedure="false">#REF!</definedName>
    <definedName function="false" hidden="false" localSheetId="8" name="CibleV2_1___16" vbProcedure="false">#REF!</definedName>
    <definedName function="false" hidden="false" localSheetId="8" name="CibleV2_1___2" vbProcedure="false">#REF!</definedName>
    <definedName function="false" hidden="false" localSheetId="8" name="CibleV2_1___27" vbProcedure="false">#REF!</definedName>
    <definedName function="false" hidden="false" localSheetId="8" name="CibleV2_1___5" vbProcedure="false">#REF!</definedName>
    <definedName function="false" hidden="false" localSheetId="8" name="CibleV2_2" vbProcedure="false">#REF!</definedName>
    <definedName function="false" hidden="false" localSheetId="8" name="CibleV2_2___0" vbProcedure="false">#REF!</definedName>
    <definedName function="false" hidden="false" localSheetId="8" name="CibleV2_2___12" vbProcedure="false">#REF!</definedName>
    <definedName function="false" hidden="false" localSheetId="8" name="CibleV2_2___14" vbProcedure="false">#REF!</definedName>
    <definedName function="false" hidden="false" localSheetId="8" name="CibleV2_2___16" vbProcedure="false">#REF!</definedName>
    <definedName function="false" hidden="false" localSheetId="8" name="CibleV2_2___2" vbProcedure="false">#REF!</definedName>
    <definedName function="false" hidden="false" localSheetId="8" name="CibleV2_2___27" vbProcedure="false">#REF!</definedName>
    <definedName function="false" hidden="false" localSheetId="8" name="CibleV2_2___5" vbProcedure="false">#REF!</definedName>
    <definedName function="false" hidden="false" localSheetId="8" name="CibleV2_3" vbProcedure="false">#REF!</definedName>
    <definedName function="false" hidden="false" localSheetId="8" name="CibleV2_3___0" vbProcedure="false">#REF!</definedName>
    <definedName function="false" hidden="false" localSheetId="8" name="CibleV2_3___12" vbProcedure="false">#REF!</definedName>
    <definedName function="false" hidden="false" localSheetId="8" name="CibleV2_3___14" vbProcedure="false">#REF!</definedName>
    <definedName function="false" hidden="false" localSheetId="8" name="CibleV2_3___16" vbProcedure="false">#REF!</definedName>
    <definedName function="false" hidden="false" localSheetId="8" name="CibleV2_3___2" vbProcedure="false">#REF!</definedName>
    <definedName function="false" hidden="false" localSheetId="8" name="CibleV2_3___27" vbProcedure="false">#REF!</definedName>
    <definedName function="false" hidden="false" localSheetId="8" name="CibleV2_3___5" vbProcedure="false">#REF!</definedName>
    <definedName function="false" hidden="false" localSheetId="8" name="CibleV2_4" vbProcedure="false">#REF!</definedName>
    <definedName function="false" hidden="false" localSheetId="8" name="CibleV2_4___0" vbProcedure="false">#REF!</definedName>
    <definedName function="false" hidden="false" localSheetId="8" name="CibleV2_4___12" vbProcedure="false">#REF!</definedName>
    <definedName function="false" hidden="false" localSheetId="8" name="CibleV2_4___14" vbProcedure="false">#REF!</definedName>
    <definedName function="false" hidden="false" localSheetId="8" name="CibleV2_4___16" vbProcedure="false">#REF!</definedName>
    <definedName function="false" hidden="false" localSheetId="8" name="CibleV2_4___2" vbProcedure="false">#REF!</definedName>
    <definedName function="false" hidden="false" localSheetId="8" name="CibleV2_4___27" vbProcedure="false">#REF!</definedName>
    <definedName function="false" hidden="false" localSheetId="8" name="CibleV2_4___5" vbProcedure="false">#REF!</definedName>
    <definedName function="false" hidden="false" localSheetId="8" name="code" vbProcedure="false">#REF!</definedName>
    <definedName function="false" hidden="false" localSheetId="8" name="code_RSF" vbProcedure="false">#REF!</definedName>
    <definedName function="false" hidden="false" localSheetId="8" name="code_RSM" vbProcedure="false">#REF!</definedName>
    <definedName function="false" hidden="false" localSheetId="8" name="Coef" vbProcedure="false">#REF!</definedName>
    <definedName function="false" hidden="false" localSheetId="8" name="Combining" vbProcedure="false">#REF!,#REF!,#REF!,#REF!,#REF!,#REF!,#REF!,#REF!,#REF!</definedName>
    <definedName function="false" hidden="false" localSheetId="8" name="Commandes" vbProcedure="false">#REF!</definedName>
    <definedName function="false" hidden="false" localSheetId="8" name="CommandesMois" vbProcedure="false">#REF!</definedName>
    <definedName function="false" hidden="false" localSheetId="8" name="CommonBTS" vbProcedure="false">#REF!</definedName>
    <definedName function="false" hidden="false" localSheetId="8" name="COMMUNES" vbProcedure="false">#REF!</definedName>
    <definedName function="false" hidden="false" localSheetId="8" name="Comp" vbProcedure="false">{"First Page",#N/A,FALSE,"Surfactants LBO";"Second Page",#N/A,FALSE,"Surfactants LBO"}</definedName>
    <definedName function="false" hidden="false" localSheetId="8" name="CompanyName1" vbProcedure="false">#REF!</definedName>
    <definedName function="false" hidden="false" localSheetId="8" name="CompanyName2" vbProcedure="false">#REF!</definedName>
    <definedName function="false" hidden="false" localSheetId="8" name="CompanyName3" vbProcedure="false">#REF!</definedName>
    <definedName function="false" hidden="false" localSheetId="8" name="Comparable" vbProcedure="false">{"First Page",#N/A,FALSE,"Surfactants LBO";"Second Page",#N/A,FALSE,"Surfactants LBO"}</definedName>
    <definedName function="false" hidden="false" localSheetId="8" name="CompRange1" vbProcedure="false">OFFSET('Parc Mobile '!CompRange1Main,9,0,COUNTA('Parc Mobile '!CompRange1Main)-COUNTA(#REF!),1)</definedName>
    <definedName function="false" hidden="false" localSheetId="8" name="CompRange1Main" vbProcedure="false">#REF!</definedName>
    <definedName function="false" hidden="false" localSheetId="8" name="CompRange2" vbProcedure="false">OFFSET('Parc Mobile '!CompRange2Main,9,0,COUNTA('Parc Mobile '!CompRange2Main)-COUNTA(#REF!),1)</definedName>
    <definedName function="false" hidden="false" localSheetId="8" name="CompRange2Main" vbProcedure="false">#REF!</definedName>
    <definedName function="false" hidden="false" localSheetId="8" name="CompRange3" vbProcedure="false">OFFSET('Parc Mobile '!CompRange3Main,9,0,COUNTA('Parc Mobile '!CompRange3Main)-COUNTA(#REF!),1)</definedName>
    <definedName function="false" hidden="false" localSheetId="8" name="compta" vbProcedure="false">#REF!</definedName>
    <definedName function="false" hidden="false" localSheetId="8" name="conso" vbProcedure="false">#REF!</definedName>
    <definedName function="false" hidden="false" localSheetId="8" name="CONSOLID" vbProcedure="false">#REF!</definedName>
    <definedName function="false" hidden="false" localSheetId="8" name="CONTRATS_INSTANCE" vbProcedure="false">#REF!</definedName>
    <definedName function="false" hidden="false" localSheetId="8" name="cooper2" vbProcedure="false">{#N/A,#N/A,TRUE,"Pro Forma";#N/A,#N/A,TRUE,"PF_Bal";#N/A,#N/A,TRUE,"PF_INC";#N/A,#N/A,TRUE,"CBE";#N/A,#N/A,TRUE,"SWK"}</definedName>
    <definedName function="false" hidden="false" localSheetId="8" name="cop_h1" vbProcedure="false">#REF!</definedName>
    <definedName function="false" hidden="false" localSheetId="8" name="CORP" vbProcedure="false">#REF!</definedName>
    <definedName function="false" hidden="false" localSheetId="8" name="CorrectSaisonEnt" vbProcedure="false">#REF!</definedName>
    <definedName function="false" hidden="false" localSheetId="8" name="CorrectSaisonEnt___0" vbProcedure="false">#REF!</definedName>
    <definedName function="false" hidden="false" localSheetId="8" name="CorrectSaisonEnt___12" vbProcedure="false">#REF!</definedName>
    <definedName function="false" hidden="false" localSheetId="8" name="CorrectSaisonEnt___2" vbProcedure="false">#REF!</definedName>
    <definedName function="false" hidden="false" localSheetId="8" name="CorrectSaisonEnt___27" vbProcedure="false">#REF!</definedName>
    <definedName function="false" hidden="false" localSheetId="8" name="CorrectSaisonEnt___5" vbProcedure="false">#REF!</definedName>
    <definedName function="false" hidden="false" localSheetId="8" name="CorrectSaisonPGP" vbProcedure="false">#REF!</definedName>
    <definedName function="false" hidden="false" localSheetId="8" name="CorrectSaisonPGP___0" vbProcedure="false">#REF!</definedName>
    <definedName function="false" hidden="false" localSheetId="8" name="CorrectSaisonPGP___12" vbProcedure="false">#REF!</definedName>
    <definedName function="false" hidden="false" localSheetId="8" name="CorrectSaisonPGP___2" vbProcedure="false">#REF!</definedName>
    <definedName function="false" hidden="false" localSheetId="8" name="CorrectSaisonPGP___27" vbProcedure="false">#REF!</definedName>
    <definedName function="false" hidden="false" localSheetId="8" name="CorrectSaisonPGP___5" vbProcedure="false">#REF!</definedName>
    <definedName function="false" hidden="false" localSheetId="8" name="cose" vbProcedure="false">#REF!</definedName>
    <definedName function="false" hidden="false" localSheetId="8" name="coucou" vbProcedure="false">{#N/A,#N/A,TRUE,"Cover sheet";#N/A,#N/A,TRUE,"INPUTS";#N/A,#N/A,TRUE,"OUTPUTS";#N/A,#N/A,TRUE,"VALUATION"}</definedName>
    <definedName function="false" hidden="false" localSheetId="8" name="CountryRiskPremium" vbProcedure="false">#REF!</definedName>
    <definedName function="false" hidden="false" localSheetId="8" name="CountryRiskPremium___0" vbProcedure="false">#REF!</definedName>
    <definedName function="false" hidden="false" localSheetId="8" name="CountryRiskPremium___12" vbProcedure="false">#REF!</definedName>
    <definedName function="false" hidden="false" localSheetId="8" name="CountryRiskPremium___14" vbProcedure="false">#REF!</definedName>
    <definedName function="false" hidden="false" localSheetId="8" name="CountryRiskPremium___16" vbProcedure="false">#REF!</definedName>
    <definedName function="false" hidden="false" localSheetId="8" name="CountryRiskPremium___2" vbProcedure="false">#REF!</definedName>
    <definedName function="false" hidden="false" localSheetId="8" name="CountryRiskPremium___25" vbProcedure="false">#REF!</definedName>
    <definedName function="false" hidden="false" localSheetId="8" name="CountryRiskPremium___26" vbProcedure="false">#REF!</definedName>
    <definedName function="false" hidden="false" localSheetId="8" name="CountryRiskPremium___27" vbProcedure="false">#REF!</definedName>
    <definedName function="false" hidden="false" localSheetId="8" name="CountryRiskPremium___4" vbProcedure="false">#REF!</definedName>
    <definedName function="false" hidden="false" localSheetId="8" name="CountryRiskPremium___5" vbProcedure="false">#REF!</definedName>
    <definedName function="false" hidden="false" localSheetId="8" name="CountryRiskPremium___7" vbProcedure="false">#REF!</definedName>
    <definedName function="false" hidden="false" localSheetId="8" name="cours" vbProcedure="false">#REF!</definedName>
    <definedName function="false" hidden="false" localSheetId="8" name="cours___0" vbProcedure="false">#REF!</definedName>
    <definedName function="false" hidden="false" localSheetId="8" name="cours___12" vbProcedure="false">#REF!</definedName>
    <definedName function="false" hidden="false" localSheetId="8" name="CPI_Cost_Perf_Index" vbProcedure="false">#REF!</definedName>
    <definedName function="false" hidden="false" localSheetId="8" name="CREDIT_DU_MAROC" vbProcedure="false">#REF!</definedName>
    <definedName function="false" hidden="false" localSheetId="8" name="CREDOC_BO" vbProcedure="false">#REF!</definedName>
    <definedName function="false" hidden="false" localSheetId="8" name="CumBasePeriod" vbProcedure="false">#REF!</definedName>
    <definedName function="false" hidden="false" localSheetId="8" name="CumBasePeriod___0" vbProcedure="false">#REF!</definedName>
    <definedName function="false" hidden="false" localSheetId="8" name="CumBasePeriod___12" vbProcedure="false">#REF!</definedName>
    <definedName function="false" hidden="false" localSheetId="8" name="CumBasePeriod___14" vbProcedure="false">#REF!</definedName>
    <definedName function="false" hidden="false" localSheetId="8" name="CumBasePeriod___16" vbProcedure="false">#REF!</definedName>
    <definedName function="false" hidden="false" localSheetId="8" name="CumBasePeriod___2" vbProcedure="false">#REF!</definedName>
    <definedName function="false" hidden="false" localSheetId="8" name="CumBasePeriod___25" vbProcedure="false">#REF!</definedName>
    <definedName function="false" hidden="false" localSheetId="8" name="CumBasePeriod___26" vbProcedure="false">#REF!</definedName>
    <definedName function="false" hidden="false" localSheetId="8" name="CumBasePeriod___27" vbProcedure="false">#REF!</definedName>
    <definedName function="false" hidden="false" localSheetId="8" name="CumBasePeriod___4" vbProcedure="false">#REF!</definedName>
    <definedName function="false" hidden="false" localSheetId="8" name="CumBasePeriod___5" vbProcedure="false">#REF!</definedName>
    <definedName function="false" hidden="false" localSheetId="8" name="CumBasePeriod___7" vbProcedure="false">#REF!</definedName>
    <definedName function="false" hidden="false" localSheetId="8" name="CumDate" vbProcedure="false">#REF!</definedName>
    <definedName function="false" hidden="false" localSheetId="8" name="CumDate___0" vbProcedure="false">#REF!</definedName>
    <definedName function="false" hidden="false" localSheetId="8" name="CumDate___12" vbProcedure="false">#REF!</definedName>
    <definedName function="false" hidden="false" localSheetId="8" name="CumDate___14" vbProcedure="false">#REF!</definedName>
    <definedName function="false" hidden="false" localSheetId="8" name="CumDate___16" vbProcedure="false">#REF!</definedName>
    <definedName function="false" hidden="false" localSheetId="8" name="CumDate___2" vbProcedure="false">#REF!</definedName>
    <definedName function="false" hidden="false" localSheetId="8" name="CumDate___25" vbProcedure="false">#REF!</definedName>
    <definedName function="false" hidden="false" localSheetId="8" name="CumDate___26" vbProcedure="false">#REF!</definedName>
    <definedName function="false" hidden="false" localSheetId="8" name="CumDate___27" vbProcedure="false">#REF!</definedName>
    <definedName function="false" hidden="false" localSheetId="8" name="CumDate___4" vbProcedure="false">#REF!</definedName>
    <definedName function="false" hidden="false" localSheetId="8" name="CumDate___5" vbProcedure="false">#REF!</definedName>
    <definedName function="false" hidden="false" localSheetId="8" name="CumDate___7" vbProcedure="false">#REF!</definedName>
    <definedName function="false" hidden="false" localSheetId="8" name="CURRENT_MONTH_ADDS" vbProcedure="false">#REF!</definedName>
    <definedName function="false" hidden="false" localSheetId="8" name="Customer" vbProcedure="false">#REF!</definedName>
    <definedName function="false" hidden="false" localSheetId="8" name="cvxxc" vbProcedure="false">#REF!</definedName>
    <definedName function="false" hidden="false" localSheetId="8" name="CV_Cost_Var" vbProcedure="false">#REF!</definedName>
    <definedName function="false" hidden="false" localSheetId="8" name="C_" vbProcedure="false">#REF!</definedName>
    <definedName function="false" hidden="false" localSheetId="8" name="C_Prépaiement" vbProcedure="false">#REF!</definedName>
    <definedName function="false" hidden="false" localSheetId="8" name="C_Prépaiement___0" vbProcedure="false">#REF!</definedName>
    <definedName function="false" hidden="false" localSheetId="8" name="C_Prépaiement___12" vbProcedure="false">#REF!</definedName>
    <definedName function="false" hidden="false" localSheetId="8" name="C_Prépaiement___14" vbProcedure="false">#REF!</definedName>
    <definedName function="false" hidden="false" localSheetId="8" name="C_Prépaiement___16" vbProcedure="false">#REF!</definedName>
    <definedName function="false" hidden="false" localSheetId="8" name="C_Prépaiement___2" vbProcedure="false">#REF!</definedName>
    <definedName function="false" hidden="false" localSheetId="8" name="C_Prépaiement___26" vbProcedure="false">#REF!</definedName>
    <definedName function="false" hidden="false" localSheetId="8" name="C_Prépaiement___27" vbProcedure="false">#REF!</definedName>
    <definedName function="false" hidden="false" localSheetId="8" name="C_Prépaiement___5" vbProcedure="false">#REF!</definedName>
    <definedName function="false" hidden="false" localSheetId="8" name="C_Prépaiement___7" vbProcedure="false">#REF!</definedName>
    <definedName function="false" hidden="false" localSheetId="8" name="C____12" vbProcedure="false">#REF!</definedName>
    <definedName function="false" hidden="false" localSheetId="8" name="C____2" vbProcedure="false">#REF!</definedName>
    <definedName function="false" hidden="false" localSheetId="8" name="C____25" vbProcedure="false">#REF!</definedName>
    <definedName function="false" hidden="false" localSheetId="8" name="C____26" vbProcedure="false">#REF!</definedName>
    <definedName function="false" hidden="false" localSheetId="8" name="C____4" vbProcedure="false">#REF!</definedName>
    <definedName function="false" hidden="false" localSheetId="8" name="C____6" vbProcedure="false">#REF!</definedName>
    <definedName function="false" hidden="false" localSheetId="8" name="C____7" vbProcedure="false">#REF!</definedName>
    <definedName function="false" hidden="false" localSheetId="8" name="D" vbProcedure="false">#REF!</definedName>
    <definedName function="false" hidden="false" localSheetId="8" name="da" vbProcedure="false">#REF!</definedName>
    <definedName function="false" hidden="false" localSheetId="8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8" name="DATE" vbProcedure="false">#REF!</definedName>
    <definedName function="false" hidden="false" localSheetId="8" name="DateRangeComp" vbProcedure="false">OFFSET('Parc Mobile '!DateRangeCompMain,9,0,COUNTA('Parc Mobile '!DateRangeCompMain)-COUNTA(#REF!),1)</definedName>
    <definedName function="false" hidden="false" localSheetId="8" name="DateRangeCompMain" vbProcedure="false">#REF!</definedName>
    <definedName function="false" hidden="false" localSheetId="8" name="DATES" vbProcedure="false">#REF!</definedName>
    <definedName function="false" hidden="false" localSheetId="8" name="DateSynthèse" vbProcedure="false">#REF!</definedName>
    <definedName function="false" hidden="false" localSheetId="8" name="Dbase_FTK" vbProcedure="false">#REF!</definedName>
    <definedName function="false" hidden="false" localSheetId="8" name="Dbase_PTK" vbProcedure="false">#REF!</definedName>
    <definedName function="false" hidden="false" localSheetId="8" name="dc" vbProcedure="false">#REF!</definedName>
    <definedName function="false" hidden="false" localSheetId="8" name="DCRF_CAPEX_PROJET" vbProcedure="false">#REF!</definedName>
    <definedName function="false" hidden="false" localSheetId="8" name="dd" vbProcedure="false">'Parc Mobile '!Tx_intérêt_par_an/#REF!</definedName>
    <definedName function="false" hidden="false" localSheetId="8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ddd" vbProcedure="false">'Parc Mobile '!Tx_intérêt_par_an/#REF!</definedName>
    <definedName function="false" hidden="false" localSheetId="8" name="dddddd" vbProcedure="false">'Parc Mobile '!Tx_intérêt_par_an/#REF!</definedName>
    <definedName function="false" hidden="false" localSheetId="8" name="DDDDDDDD" vbProcedure="false">#N/A</definedName>
    <definedName function="false" hidden="false" localSheetId="8" name="DDDDDDDDDD" vbProcedure="false">#N/A</definedName>
    <definedName function="false" hidden="false" localSheetId="8" name="dddddd___0" vbProcedure="false">'Parc Mobile '!VolFactor___5/#REF!</definedName>
    <definedName function="false" hidden="false" localSheetId="8" name="dddddd___12" vbProcedure="false">'Parc Mobile '!VolFactor___25/#REF!</definedName>
    <definedName function="false" hidden="false" localSheetId="8" name="dddddd___14" vbProcedure="false">'Parc Mobile '!VolFactor___16/#REF!</definedName>
    <definedName function="false" hidden="false" localSheetId="8" name="dddddd___16" vbProcedure="false">'Parc Mobile '!VLastRowToPrint___7/#REF!</definedName>
    <definedName function="false" hidden="false" localSheetId="8" name="dddddd___2" vbProcedure="false">'Parc Mobile '!VolFactor___4/#REF!</definedName>
    <definedName function="false" hidden="false" localSheetId="8" name="dddddd___23" vbProcedure="false">'Parc Mobile '!VolFactor___5/#REF!</definedName>
    <definedName function="false" hidden="false" localSheetId="8" name="dddddd___26" vbProcedure="false">'Parc Mobile '!VolFactor___12/#REF!</definedName>
    <definedName function="false" hidden="false" localSheetId="8" name="dddddd___27" vbProcedure="false">'Parc Mobile '!VolFactor___14/#REF!</definedName>
    <definedName function="false" hidden="false" localSheetId="8" name="dddddd___3" vbProcedure="false">'Parc Mobile '!VolFactor___5/#REF!</definedName>
    <definedName function="false" hidden="false" localSheetId="8" name="dddddd___4" vbProcedure="false">'Parc Mobile '!VLastRowToPrint___0/#REF!</definedName>
    <definedName function="false" hidden="false" localSheetId="8" name="dddddd___5" vbProcedure="false">'Parc Mobile '!VolFactor___2/#REF!</definedName>
    <definedName function="false" hidden="false" localSheetId="8" name="dddddd___6" vbProcedure="false">'Parc Mobile '!VLastRowToPrint___26/#REF!</definedName>
    <definedName function="false" hidden="false" localSheetId="8" name="dddddd___7" vbProcedure="false">'Parc Mobile '!VolFactor___27/#REF!</definedName>
    <definedName function="false" hidden="false" localSheetId="8" name="dddddd___9" vbProcedure="false">'Parc Mobile '!VolFactor___5/#REF!</definedName>
    <definedName function="false" hidden="false" localSheetId="8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December" vbProcedure="false">#REF!</definedName>
    <definedName function="false" hidden="false" localSheetId="8" name="decembre" vbProcedure="false">{#N/A,#N/A,FALSE,"Umsatz";#N/A,#N/A,FALSE,"Base V.02";#N/A,#N/A,FALSE,"Charts"}</definedName>
    <definedName function="false" hidden="false" localSheetId="8" name="deciembre" vbProcedure="false">{#N/A,#N/A,FALSE,"Umsatz";#N/A,#N/A,FALSE,"Base V.02";#N/A,#N/A,FALSE,"Charts"}</definedName>
    <definedName function="false" hidden="false" localSheetId="8" name="deg" vbProcedure="false">{"First Page",#N/A,FALSE,"Surfactants LBO";"Second Page",#N/A,FALSE,"Surfactants LBO"}</definedName>
    <definedName function="false" hidden="false" localSheetId="8" name="dejf" vbProcedure="false">#REF!</definedName>
    <definedName function="false" hidden="false" localSheetId="8" name="dejf___0" vbProcedure="false">#REF!</definedName>
    <definedName function="false" hidden="false" localSheetId="8" name="dejf___12" vbProcedure="false">#REF!</definedName>
    <definedName function="false" hidden="false" localSheetId="8" name="dejf___14" vbProcedure="false">#REF!</definedName>
    <definedName function="false" hidden="false" localSheetId="8" name="DESIGNATION" vbProcedure="false">#REF!</definedName>
    <definedName function="false" hidden="false" localSheetId="8" name="desz" vbProcedure="false">#REF!</definedName>
    <definedName function="false" hidden="false" localSheetId="8" name="DetailDeficit" vbProcedure="false">#REF!</definedName>
    <definedName function="false" hidden="false" localSheetId="8" name="DetailDeficit___0" vbProcedure="false">#REF!</definedName>
    <definedName function="false" hidden="false" localSheetId="8" name="DetailDeficit___12" vbProcedure="false">#REF!</definedName>
    <definedName function="false" hidden="false" localSheetId="8" name="DetailDeficit___14" vbProcedure="false">#REF!</definedName>
    <definedName function="false" hidden="false" localSheetId="8" name="DetailDeficit___16" vbProcedure="false">#REF!</definedName>
    <definedName function="false" hidden="false" localSheetId="8" name="DetailDeficit___2" vbProcedure="false">#REF!</definedName>
    <definedName function="false" hidden="false" localSheetId="8" name="DetailDeficit___25" vbProcedure="false">#REF!</definedName>
    <definedName function="false" hidden="false" localSheetId="8" name="DetailDeficit___26" vbProcedure="false">#REF!</definedName>
    <definedName function="false" hidden="false" localSheetId="8" name="DetailDeficit___27" vbProcedure="false">#REF!</definedName>
    <definedName function="false" hidden="false" localSheetId="8" name="DetailDeficit___4" vbProcedure="false">#REF!</definedName>
    <definedName function="false" hidden="false" localSheetId="8" name="DetailDeficit___5" vbProcedure="false">#REF!</definedName>
    <definedName function="false" hidden="false" localSheetId="8" name="DetailDeficit___7" vbProcedure="false">#REF!</definedName>
    <definedName function="false" hidden="false" localSheetId="8" name="DETAIL_DES_IMPÔTS_ET_TAXES" vbProcedure="false">#REF!</definedName>
    <definedName function="false" hidden="false" localSheetId="8" name="detail_pricing" vbProcedure="false">#REF!,#REF!,#REF!,#REF!,#REF!,#REF!,#REF!,#REF!,#REF!,#REF!,#REF!</definedName>
    <definedName function="false" hidden="false" localSheetId="8" name="dfd" vbProcedure="false">{"comp1",#N/A,FALSE,"COMPS";"footnotes",#N/A,FALSE,"COMPS"}</definedName>
    <definedName function="false" hidden="false" localSheetId="8" name="dg" vbProcedure="false">#REF!</definedName>
    <definedName function="false" hidden="false" localSheetId="8" name="dgjhgjhgjghhg" vbProcedure="false">'Parc Mobile '!dgjhgjhgjghhg</definedName>
    <definedName function="false" hidden="false" localSheetId="8" name="dgjhgjhgjghhg___0" vbProcedure="false">'Parc Mobile '!DRA___9</definedName>
    <definedName function="false" hidden="false" localSheetId="8" name="DRA___9" vbProcedure="false">'Parc Mobile '!VolFactor___5/#REF!</definedName>
    <definedName function="false" hidden="false" localSheetId="8" name="dgjhgjhgjghhg___12" vbProcedure="false">'Parc Mobile '!DRA___6</definedName>
    <definedName function="false" hidden="false" localSheetId="8" name="DRA___6" vbProcedure="false">'Parc Mobile '!VLastRowToPrint___26/#REF!</definedName>
    <definedName function="false" hidden="false" localSheetId="8" name="dgjhgjhgjghhg___14" vbProcedure="false">'Parc Mobile '!DiscretFCFOn1Off2___0</definedName>
    <definedName function="false" hidden="false" localSheetId="8" name="DiscretFCFOn1Off2___0" vbProcedure="false">#REF!</definedName>
    <definedName function="false" hidden="false" localSheetId="8" name="dgjhgjhgjghhg___16" vbProcedure="false">'Parc Mobile '!DiscretFCFOn1Off2___12</definedName>
    <definedName function="false" hidden="false" localSheetId="8" name="DiscretFCFOn1Off2___12" vbProcedure="false">#REF!</definedName>
    <definedName function="false" hidden="false" localSheetId="8" name="dgjhgjhgjghhg___23" vbProcedure="false">'Parc Mobile '!DiscretFCFOn1Off2___2</definedName>
    <definedName function="false" hidden="false" localSheetId="8" name="DiscretFCFOn1Off2___2" vbProcedure="false">#REF!</definedName>
    <definedName function="false" hidden="false" localSheetId="8" name="dgjhgjhgjghhg___25" vbProcedure="false">'Parc Mobile '!DiscretFCFOn1Off2___5</definedName>
    <definedName function="false" hidden="false" localSheetId="8" name="DiscretFCFOn1Off2___5" vbProcedure="false">#REF!</definedName>
    <definedName function="false" hidden="false" localSheetId="8" name="dgjhgjhgjghhg___26" vbProcedure="false">'Parc Mobile '!DRA___4</definedName>
    <definedName function="false" hidden="false" localSheetId="8" name="DRA___4" vbProcedure="false">'Parc Mobile '!VLastRowToPrint___0/#REF!</definedName>
    <definedName function="false" hidden="false" localSheetId="8" name="dgjhgjhgjghhg___27" vbProcedure="false">'Parc Mobile '!DRA___23</definedName>
    <definedName function="false" hidden="false" localSheetId="8" name="DRA___23" vbProcedure="false">'Parc Mobile '!VolFactor___5/#REF!</definedName>
    <definedName function="false" hidden="false" localSheetId="8" name="dgjhgjhgjghhg___3" vbProcedure="false">'Parc Mobile '!DiscretFCFOn1Off2___7</definedName>
    <definedName function="false" hidden="false" localSheetId="8" name="DiscretFCFOn1Off2___7" vbProcedure="false">#REF!</definedName>
    <definedName function="false" hidden="false" localSheetId="8" name="dgjhgjhgjghhg___4" vbProcedure="false">'Parc Mobile '!DiscretFCFOn1Off2___27</definedName>
    <definedName function="false" hidden="false" localSheetId="8" name="DiscretFCFOn1Off2___27" vbProcedure="false">#REF!</definedName>
    <definedName function="false" hidden="false" localSheetId="8" name="dgjhgjhgjghhg___5" vbProcedure="false">'Parc Mobile '!DRA___16</definedName>
    <definedName function="false" hidden="false" localSheetId="8" name="DRA___16" vbProcedure="false">'Parc Mobile '!VLastRowToPrint___7/#REF!</definedName>
    <definedName function="false" hidden="false" localSheetId="8" name="dgjhgjhgjghhg___6" vbProcedure="false">'Parc Mobile '!DiscretFCFOn1Off2___14</definedName>
    <definedName function="false" hidden="false" localSheetId="8" name="DiscretFCFOn1Off2___14" vbProcedure="false">#REF!</definedName>
    <definedName function="false" hidden="false" localSheetId="8" name="dgjhgjhgjghhg___7" vbProcedure="false">'parc mobile '!dra___25</definedName>
    <definedName function="false" hidden="false" localSheetId="8" name="dgjhgjhgjghhg___9" vbProcedure="false">'Parc Mobile '!DiscretFCFOn1Off2___26</definedName>
    <definedName function="false" hidden="false" localSheetId="8" name="DiscretFCFOn1Off2___26" vbProcedure="false">#REF!</definedName>
    <definedName function="false" hidden="false" localSheetId="8" name="DHSCHF" vbProcedure="false">#REF!</definedName>
    <definedName function="false" hidden="false" localSheetId="8" name="DHSEUROS" vbProcedure="false">#REF!</definedName>
    <definedName function="false" hidden="false" localSheetId="8" name="DHSFF" vbProcedure="false">#REF!</definedName>
    <definedName function="false" hidden="false" localSheetId="8" name="Diable" vbProcedure="false">{#N/A,#N/A,FALSE,"Operations";#N/A,#N/A,FALSE,"Financials"}</definedName>
    <definedName function="false" hidden="false" localSheetId="8" name="DigRed" vbProcedure="false">#REF!</definedName>
    <definedName function="false" hidden="false" localSheetId="8" name="DiscountEnd1Middle2" vbProcedure="false">#REF!</definedName>
    <definedName function="false" hidden="false" localSheetId="8" name="DiscountEnd1Middle2___0" vbProcedure="false">#REF!</definedName>
    <definedName function="false" hidden="false" localSheetId="8" name="DiscountEnd1Middle2___12" vbProcedure="false">#REF!</definedName>
    <definedName function="false" hidden="false" localSheetId="8" name="DiscountEnd1Middle2___14" vbProcedure="false">#REF!</definedName>
    <definedName function="false" hidden="false" localSheetId="8" name="DiscountEnd1Middle2___16" vbProcedure="false">#REF!</definedName>
    <definedName function="false" hidden="false" localSheetId="8" name="DiscountEnd1Middle2___2" vbProcedure="false">#REF!</definedName>
    <definedName function="false" hidden="false" localSheetId="8" name="DiscountEnd1Middle2___25" vbProcedure="false">#REF!</definedName>
    <definedName function="false" hidden="false" localSheetId="8" name="DiscountEnd1Middle2___26" vbProcedure="false">#REF!</definedName>
    <definedName function="false" hidden="false" localSheetId="8" name="DiscountEnd1Middle2___27" vbProcedure="false">#REF!</definedName>
    <definedName function="false" hidden="false" localSheetId="8" name="DiscountEnd1Middle2___4" vbProcedure="false">#REF!</definedName>
    <definedName function="false" hidden="false" localSheetId="8" name="DiscountEnd1Middle2___5" vbProcedure="false">#REF!</definedName>
    <definedName function="false" hidden="false" localSheetId="8" name="DiscountEnd1Middle2___7" vbProcedure="false">#REF!</definedName>
    <definedName function="false" hidden="false" localSheetId="8" name="DiscountPeriods" vbProcedure="false">#REF!</definedName>
    <definedName function="false" hidden="false" localSheetId="8" name="DiscountPeriods___0" vbProcedure="false">#REF!</definedName>
    <definedName function="false" hidden="false" localSheetId="8" name="DiscountPeriods___12" vbProcedure="false">#REF!</definedName>
    <definedName function="false" hidden="false" localSheetId="8" name="DiscountPeriods___14" vbProcedure="false">#REF!</definedName>
    <definedName function="false" hidden="false" localSheetId="8" name="DiscountPeriods___16" vbProcedure="false">#REF!</definedName>
    <definedName function="false" hidden="false" localSheetId="8" name="DiscountPeriods___2" vbProcedure="false">#REF!</definedName>
    <definedName function="false" hidden="false" localSheetId="8" name="DiscountPeriods___25" vbProcedure="false">#REF!</definedName>
    <definedName function="false" hidden="false" localSheetId="8" name="DiscountPeriods___26" vbProcedure="false">#REF!</definedName>
    <definedName function="false" hidden="false" localSheetId="8" name="DiscountPeriods___27" vbProcedure="false">#REF!</definedName>
    <definedName function="false" hidden="false" localSheetId="8" name="DiscountPeriods___4" vbProcedure="false">#REF!</definedName>
    <definedName function="false" hidden="false" localSheetId="8" name="DiscountPeriods___5" vbProcedure="false">#REF!</definedName>
    <definedName function="false" hidden="false" localSheetId="8" name="DiscountPeriods___7" vbProcedure="false">#REF!</definedName>
    <definedName function="false" hidden="false" localSheetId="8" name="DiscretFCFOn1Off2" vbProcedure="false">#REF!</definedName>
    <definedName function="false" hidden="false" localSheetId="8" name="DiscretFCFOn1Off2___16" vbProcedure="false">#REF!</definedName>
    <definedName function="false" hidden="false" localSheetId="8" name="DiscretFCFOn1Off2___25" vbProcedure="false">#REF!</definedName>
    <definedName function="false" hidden="false" localSheetId="8" name="DiscretFCFOn1Off2___4" vbProcedure="false">#REF!</definedName>
    <definedName function="false" hidden="false" localSheetId="8" name="DIST" vbProcedure="false">#REF!</definedName>
    <definedName function="false" hidden="false" localSheetId="8" name="divdiv" vbProcedure="false">#REF!</definedName>
    <definedName function="false" hidden="false" localSheetId="8" name="Dividend" vbProcedure="false">#REF!</definedName>
    <definedName function="false" hidden="false" localSheetId="8" name="divimmo" vbProcedure="false">#REF!</definedName>
    <definedName function="false" hidden="false" localSheetId="8" name="divpart" vbProcedure="false">#REF!</definedName>
    <definedName function="false" hidden="false" localSheetId="8" name="divtiap" vbProcedure="false">#REF!</definedName>
    <definedName function="false" hidden="false" localSheetId="8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DJFGNSKLDH" vbProcedure="false">#N/A</definedName>
    <definedName function="false" hidden="false" localSheetId="8" name="dkyuk" vbProcedure="false">#N/A</definedName>
    <definedName function="false" hidden="false" localSheetId="8" name="Dload2" vbProcedure="false">#REF!</definedName>
    <definedName function="false" hidden="false" localSheetId="8" name="DPD" vbProcedure="false">#REF!</definedName>
    <definedName function="false" hidden="false" localSheetId="8" name="dr" vbProcedure="false">{"IS",#N/A,FALSE,"IS";"RPTIS",#N/A,FALSE,"RPTIS";"STATS",#N/A,FALSE,"STATS";"BS",#N/A,FALSE,"BS"}</definedName>
    <definedName function="false" hidden="false" localSheetId="8" name="DRA" vbProcedure="false">'Parc Mobile '!Tx_intérêt_par_an/#REF!</definedName>
    <definedName function="false" hidden="false" localSheetId="8" name="DRA___0" vbProcedure="false">'Parc Mobile '!VolFactor___5/#REF!</definedName>
    <definedName function="false" hidden="false" localSheetId="8" name="DRA___12" vbProcedure="false">'Parc Mobile '!VolFactor___25/#REF!</definedName>
    <definedName function="false" hidden="false" localSheetId="8" name="DRA___14" vbProcedure="false">'Parc Mobile '!VolFactor___16/#REF!</definedName>
    <definedName function="false" hidden="false" localSheetId="8" name="DRA___2" vbProcedure="false">'Parc Mobile '!VolFactor___4/#REF!</definedName>
    <definedName function="false" hidden="false" localSheetId="8" name="DRA___26" vbProcedure="false">'Parc Mobile '!VolFactor___12/#REF!</definedName>
    <definedName function="false" hidden="false" localSheetId="8" name="DRA___27" vbProcedure="false">'Parc Mobile '!VolFactor___14/#REF!</definedName>
    <definedName function="false" hidden="false" localSheetId="8" name="DRA___3" vbProcedure="false">'Parc Mobile '!VolFactor___5/#REF!</definedName>
    <definedName function="false" hidden="false" localSheetId="8" name="DRA___5" vbProcedure="false">'Parc Mobile '!VolFactor___2/#REF!</definedName>
    <definedName function="false" hidden="false" localSheetId="8" name="DRA___7" vbProcedure="false">'Parc Mobile '!VolFactor___27/#REF!</definedName>
    <definedName function="false" hidden="false" localSheetId="8" name="DRC" vbProcedure="false">'Parc Mobile '!Nb_de_paiements_par_an*#REF!</definedName>
    <definedName function="false" hidden="false" localSheetId="8" name="DRC___0" vbProcedure="false">O___0*#REF!</definedName>
    <definedName function="false" hidden="false" localSheetId="8" name="DRC___12" vbProcedure="false">'Parc Mobile '!O___12*#REF!</definedName>
    <definedName function="false" hidden="false" localSheetId="8" name="O___12" vbProcedure="false">#REF!</definedName>
    <definedName function="false" hidden="false" localSheetId="8" name="DRC___14" vbProcedure="false">'Parc Mobile '!O___25*#REF!</definedName>
    <definedName function="false" hidden="false" localSheetId="8" name="O___25" vbProcedure="false">#REF!</definedName>
    <definedName function="false" hidden="false" localSheetId="8" name="DRC___2" vbProcedure="false">'Parc Mobile '!O___2*#REF!</definedName>
    <definedName function="false" hidden="false" localSheetId="8" name="O___2" vbProcedure="false">#REF!</definedName>
    <definedName function="false" hidden="false" localSheetId="8" name="DRC___23" vbProcedure="false">O___0*#REF!</definedName>
    <definedName function="false" hidden="false" localSheetId="8" name="DRC___25" vbProcedure="false">'Parc Mobile '!O___4*#REF!</definedName>
    <definedName function="false" hidden="false" localSheetId="8" name="O___4" vbProcedure="false">#REF!</definedName>
    <definedName function="false" hidden="false" localSheetId="8" name="DRC___26" vbProcedure="false">'Parc Mobile '!O___26*#REF!</definedName>
    <definedName function="false" hidden="false" localSheetId="8" name="O___26" vbProcedure="false">#REF!</definedName>
    <definedName function="false" hidden="false" localSheetId="8" name="DRC___27" vbProcedure="false">O___27*#REF!</definedName>
    <definedName function="false" hidden="false" localSheetId="8" name="DRC___3" vbProcedure="false">O___0*#REF!</definedName>
    <definedName function="false" hidden="false" localSheetId="8" name="DRC___4" vbProcedure="false">'Parc Mobile '!O___6*#REF!</definedName>
    <definedName function="false" hidden="false" localSheetId="8" name="O___6" vbProcedure="false">#REF!</definedName>
    <definedName function="false" hidden="false" localSheetId="8" name="DRC___5" vbProcedure="false">O___5*#REF!</definedName>
    <definedName function="false" hidden="false" localSheetId="8" name="DRC___6" vbProcedure="false">'Parc Mobile '!Num_premier_paiement___0*#REF!</definedName>
    <definedName function="false" hidden="false" localSheetId="8" name="Num_premier_paiement___0" vbProcedure="false">#REF!</definedName>
    <definedName function="false" hidden="false" localSheetId="8" name="DRC___7" vbProcedure="false">'Parc Mobile '!O___7*#REF!</definedName>
    <definedName function="false" hidden="false" localSheetId="8" name="O___7" vbProcedure="false">#REF!</definedName>
    <definedName function="false" hidden="false" localSheetId="8" name="DRC___9" vbProcedure="false">O___0*#REF!</definedName>
    <definedName function="false" hidden="false" localSheetId="8" name="drg" vbProcedure="false">'Parc Mobile '!Nb_de_paiements_par_an*#REF!</definedName>
    <definedName function="false" hidden="false" localSheetId="8" name="drg___0" vbProcedure="false">O___0*#REF!</definedName>
    <definedName function="false" hidden="false" localSheetId="8" name="drg___12" vbProcedure="false">'Parc Mobile '!O___12*#REF!</definedName>
    <definedName function="false" hidden="false" localSheetId="8" name="drg___14" vbProcedure="false">'Parc Mobile '!O___25*#REF!</definedName>
    <definedName function="false" hidden="false" localSheetId="8" name="drg___2" vbProcedure="false">O___0*#REF!</definedName>
    <definedName function="false" hidden="false" localSheetId="8" name="drg___23" vbProcedure="false">O___0*#REF!</definedName>
    <definedName function="false" hidden="false" localSheetId="8" name="drg___25" vbProcedure="false">O___0*#REF!</definedName>
    <definedName function="false" hidden="false" localSheetId="8" name="drg___26" vbProcedure="false">O___0*#REF!</definedName>
    <definedName function="false" hidden="false" localSheetId="8" name="drg___27" vbProcedure="false">O___27*#REF!</definedName>
    <definedName function="false" hidden="false" localSheetId="8" name="drg___3" vbProcedure="false">O___0*#REF!</definedName>
    <definedName function="false" hidden="false" localSheetId="8" name="drg___4" vbProcedure="false">O___0*#REF!</definedName>
    <definedName function="false" hidden="false" localSheetId="8" name="drg___5" vbProcedure="false">O___5*#REF!</definedName>
    <definedName function="false" hidden="false" localSheetId="8" name="drg___6" vbProcedure="false">'Parc Mobile '!Num_premier_paiement___0*#REF!</definedName>
    <definedName function="false" hidden="false" localSheetId="8" name="drg___7" vbProcedure="false">O___0*#REF!</definedName>
    <definedName function="false" hidden="false" localSheetId="8" name="drg___9" vbProcedure="false">O___0*#REF!</definedName>
    <definedName function="false" hidden="false" localSheetId="8" name="dsfgsb" vbProcedure="false">'Parc Mobile '!dsfgsb</definedName>
    <definedName function="false" hidden="false" localSheetId="8" name="dsfsg" vbProcedure="false">'Parc Mobile '!dsfsg</definedName>
    <definedName function="false" hidden="false" localSheetId="8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8" name="dtyiuèi" vbProcedure="false">#N/A</definedName>
    <definedName function="false" hidden="false" localSheetId="8" name="dtyjdtk" vbProcedure="false">#N/A</definedName>
    <definedName function="false" hidden="false" localSheetId="8" name="dukdtu" vbProcedure="false">#N/A</definedName>
    <definedName function="false" hidden="false" localSheetId="8" name="dukdu" vbProcedure="false">#N/A</definedName>
    <definedName function="false" hidden="false" localSheetId="8" name="Durée_prêt" vbProcedure="false">#REF!</definedName>
    <definedName function="false" hidden="false" localSheetId="8" name="Durée_prêt___0" vbProcedure="false">#REF!</definedName>
    <definedName function="false" hidden="false" localSheetId="8" name="Durée_prêt___12" vbProcedure="false">#REF!</definedName>
    <definedName function="false" hidden="false" localSheetId="8" name="Durée_prêt___14" vbProcedure="false">#REF!</definedName>
    <definedName function="false" hidden="false" localSheetId="8" name="Durée_prêt___16" vbProcedure="false">#REF!</definedName>
    <definedName function="false" hidden="false" localSheetId="8" name="Durée_prêt___2" vbProcedure="false">#REF!</definedName>
    <definedName function="false" hidden="false" localSheetId="8" name="Durée_prêt___25" vbProcedure="false">#REF!</definedName>
    <definedName function="false" hidden="false" localSheetId="8" name="Durée_prêt___26" vbProcedure="false">#REF!</definedName>
    <definedName function="false" hidden="false" localSheetId="8" name="Durée_prêt___27" vbProcedure="false">#REF!</definedName>
    <definedName function="false" hidden="false" localSheetId="8" name="Durée_prêt___4" vbProcedure="false">#REF!</definedName>
    <definedName function="false" hidden="false" localSheetId="8" name="Durée_prêt___5" vbProcedure="false">#REF!</definedName>
    <definedName function="false" hidden="false" localSheetId="8" name="Durée_prêt___7" vbProcedure="false">#REF!</definedName>
    <definedName function="false" hidden="false" localSheetId="8" name="dyhj" vbProcedure="false">#N/A</definedName>
    <definedName function="false" hidden="false" localSheetId="8" name="dz" vbProcedure="false">{"test2",#N/A,TRUE,"Prices"}</definedName>
    <definedName function="false" hidden="false" localSheetId="8" name="D_Gestion_Perso" vbProcedure="false">#REF!</definedName>
    <definedName function="false" hidden="false" localSheetId="8" name="D_Gestion_Perso___0" vbProcedure="false">#REF!</definedName>
    <definedName function="false" hidden="false" localSheetId="8" name="D_Gestion_Perso___12" vbProcedure="false">#REF!</definedName>
    <definedName function="false" hidden="false" localSheetId="8" name="D_Gestion_Perso___14" vbProcedure="false">#REF!</definedName>
    <definedName function="false" hidden="false" localSheetId="8" name="D_Gestion_Perso___16" vbProcedure="false">#REF!</definedName>
    <definedName function="false" hidden="false" localSheetId="8" name="D_Gestion_Perso___2" vbProcedure="false">#REF!</definedName>
    <definedName function="false" hidden="false" localSheetId="8" name="D_Gestion_Perso___26" vbProcedure="false">#REF!</definedName>
    <definedName function="false" hidden="false" localSheetId="8" name="D_Gestion_Perso___27" vbProcedure="false">#REF!</definedName>
    <definedName function="false" hidden="false" localSheetId="8" name="D_Gestion_Perso___5" vbProcedure="false">#REF!</definedName>
    <definedName function="false" hidden="false" localSheetId="8" name="D_Gestion_Perso___7" vbProcedure="false">#REF!</definedName>
    <definedName function="false" hidden="false" localSheetId="8" name="D___12" vbProcedure="false">#REF!</definedName>
    <definedName function="false" hidden="false" localSheetId="8" name="détail_CA" vbProcedure="false">#REF!</definedName>
    <definedName function="false" hidden="false" localSheetId="8" name="détail_CA___12" vbProcedure="false">#REF!</definedName>
    <definedName function="false" hidden="false" localSheetId="8" name="détail_CA___6" vbProcedure="false">#REF!</definedName>
    <definedName function="false" hidden="false" localSheetId="8" name="E" vbProcedure="false">#REF!</definedName>
    <definedName function="false" hidden="false" localSheetId="8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EAC_Estimate_at_Completion" vbProcedure="false">#REF!</definedName>
    <definedName function="false" hidden="false" localSheetId="8" name="EarliestDateForValuation" vbProcedure="false">#REF!</definedName>
    <definedName function="false" hidden="false" localSheetId="8" name="EarliestDateForValuation___0" vbProcedure="false">#REF!</definedName>
    <definedName function="false" hidden="false" localSheetId="8" name="EarliestDateForValuation___12" vbProcedure="false">#REF!</definedName>
    <definedName function="false" hidden="false" localSheetId="8" name="EarliestDateForValuation___14" vbProcedure="false">#REF!</definedName>
    <definedName function="false" hidden="false" localSheetId="8" name="EarliestDateForValuation___16" vbProcedure="false">#REF!</definedName>
    <definedName function="false" hidden="false" localSheetId="8" name="EarliestDateForValuation___2" vbProcedure="false">#REF!</definedName>
    <definedName function="false" hidden="false" localSheetId="8" name="EarliestDateForValuation___25" vbProcedure="false">#REF!</definedName>
    <definedName function="false" hidden="false" localSheetId="8" name="EarliestDateForValuation___26" vbProcedure="false">#REF!</definedName>
    <definedName function="false" hidden="false" localSheetId="8" name="EarliestDateForValuation___27" vbProcedure="false">#REF!</definedName>
    <definedName function="false" hidden="false" localSheetId="8" name="EarliestDateForValuation___4" vbProcedure="false">#REF!</definedName>
    <definedName function="false" hidden="false" localSheetId="8" name="EarliestDateForValuation___5" vbProcedure="false">#REF!</definedName>
    <definedName function="false" hidden="false" localSheetId="8" name="EarliestDateForValuation___7" vbProcedure="false">#REF!</definedName>
    <definedName function="false" hidden="false" localSheetId="8" name="ededed" vbProcedure="false">'Parc Mobile '!ededed</definedName>
    <definedName function="false" hidden="false" localSheetId="8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eeee" vbProcedure="false">'Parc Mobile '!Nb_de_paiements_par_an*#REF!</definedName>
    <definedName function="false" hidden="false" localSheetId="8" name="EEEEEEEEE" vbProcedure="false">#N/A</definedName>
    <definedName function="false" hidden="false" localSheetId="8" name="eeee___0" vbProcedure="false">O___0*#REF!</definedName>
    <definedName function="false" hidden="false" localSheetId="8" name="eeee___12" vbProcedure="false">'Parc Mobile '!O___12*#REF!</definedName>
    <definedName function="false" hidden="false" localSheetId="8" name="eeee___14" vbProcedure="false">'Parc Mobile '!O___25*#REF!</definedName>
    <definedName function="false" hidden="false" localSheetId="8" name="eeee___2" vbProcedure="false">'Parc Mobile '!O___2*#REF!</definedName>
    <definedName function="false" hidden="false" localSheetId="8" name="eeee___23" vbProcedure="false">O___0*#REF!</definedName>
    <definedName function="false" hidden="false" localSheetId="8" name="eeee___25" vbProcedure="false">'Parc Mobile '!O___4*#REF!</definedName>
    <definedName function="false" hidden="false" localSheetId="8" name="eeee___26" vbProcedure="false">'Parc Mobile '!O___26*#REF!</definedName>
    <definedName function="false" hidden="false" localSheetId="8" name="eeee___27" vbProcedure="false">O___27*#REF!</definedName>
    <definedName function="false" hidden="false" localSheetId="8" name="eeee___3" vbProcedure="false">O___0*#REF!</definedName>
    <definedName function="false" hidden="false" localSheetId="8" name="eeee___4" vbProcedure="false">'Parc Mobile '!O___6*#REF!</definedName>
    <definedName function="false" hidden="false" localSheetId="8" name="eeee___5" vbProcedure="false">O___5*#REF!</definedName>
    <definedName function="false" hidden="false" localSheetId="8" name="eeee___6" vbProcedure="false">'Parc Mobile '!Num_premier_paiement___0*#REF!</definedName>
    <definedName function="false" hidden="false" localSheetId="8" name="eeee___7" vbProcedure="false">'Parc Mobile '!O___7*#REF!</definedName>
    <definedName function="false" hidden="false" localSheetId="8" name="eeee___9" vbProcedure="false">O___0*#REF!</definedName>
    <definedName function="false" hidden="false" localSheetId="8" name="Effort_Expended" vbProcedure="false">#REF!</definedName>
    <definedName function="false" hidden="false" localSheetId="8" name="Effort_Req" vbProcedure="false">#REF!</definedName>
    <definedName function="false" hidden="false" localSheetId="8" name="Effort_to_Complete" vbProcedure="false">#REF!</definedName>
    <definedName function="false" hidden="false" localSheetId="8" name="Effort_Variance" vbProcedure="false">#REF!</definedName>
    <definedName function="false" hidden="false" localSheetId="8" name="efgtyhjkoi" vbProcedure="false">'Parc Mobile '!efgtyhjkoi</definedName>
    <definedName function="false" hidden="false" localSheetId="8" name="efgtyhjkoi___0" vbProcedure="false">'Parc Mobile '!ExpandOutputs___5</definedName>
    <definedName function="false" hidden="false" localSheetId="8" name="ExpandOutputs___5" vbProcedure="false">'Parc Mobile '!F___27</definedName>
    <definedName function="false" hidden="false" localSheetId="8" name="F___27" vbProcedure="false">#REF!</definedName>
    <definedName function="false" hidden="false" localSheetId="8" name="efgtyhjkoi___12" vbProcedure="false">'Parc Mobile '!ExpandOutputs___3</definedName>
    <definedName function="false" hidden="false" localSheetId="8" name="ExpandOutputs___3" vbProcedure="false">'Parc Mobile '!F___4</definedName>
    <definedName function="false" hidden="false" localSheetId="8" name="F___4" vbProcedure="false">#REF!</definedName>
    <definedName function="false" hidden="false" localSheetId="8" name="efgtyhjkoi___14" vbProcedure="false">expandoutputs___25</definedName>
    <definedName function="false" hidden="false" localSheetId="8" name="efgtyhjkoi___2" vbProcedure="false">'Parc Mobile '!ExpandOutputs___9</definedName>
    <definedName function="false" hidden="false" localSheetId="8" name="ExpandOutputs___9" vbProcedure="false">'Parc Mobile '!F___16</definedName>
    <definedName function="false" hidden="false" localSheetId="8" name="F___16" vbProcedure="false">#REF!</definedName>
    <definedName function="false" hidden="false" localSheetId="8" name="efgtyhjkoi___23" vbProcedure="false">'Parc Mobile '!ess1___0</definedName>
    <definedName function="false" hidden="false" localSheetId="8" name="ess1___0" vbProcedure="false">#REF!</definedName>
    <definedName function="false" hidden="false" localSheetId="8" name="efgtyhjkoi___25" vbProcedure="false">'Parc Mobile '!ExpandOutputs___23</definedName>
    <definedName function="false" hidden="false" localSheetId="8" name="ExpandOutputs___23" vbProcedure="false">'Parc Mobile '!ExportFile___7</definedName>
    <definedName function="false" hidden="false" localSheetId="8" name="ExportFile___7" vbProcedure="false">'Parc Mobile '!fffffffff___4</definedName>
    <definedName function="false" hidden="false" localSheetId="8" name="fffffffff___4" vbProcedure="false">'Parc Mobile '!VolFactor___5/#REF!</definedName>
    <definedName function="false" hidden="false" localSheetId="8" name="efgtyhjkoi___26" vbProcedure="false">'Parc Mobile '!ExpandOutputs___12</definedName>
    <definedName function="false" hidden="false" localSheetId="8" name="ExpandOutputs___12" vbProcedure="false">'Parc Mobile '!F___2</definedName>
    <definedName function="false" hidden="false" localSheetId="8" name="F___2" vbProcedure="false">#REF!</definedName>
    <definedName function="false" hidden="false" localSheetId="8" name="efgtyhjkoi___27" vbProcedure="false">'Parc Mobile '!ExpandOutputs___14</definedName>
    <definedName function="false" hidden="false" localSheetId="8" name="ExpandOutputs___14" vbProcedure="false">'Parc Mobile '!F___25</definedName>
    <definedName function="false" hidden="false" localSheetId="8" name="F___25" vbProcedure="false">#REF!</definedName>
    <definedName function="false" hidden="false" localSheetId="8" name="efgtyhjkoi___3" vbProcedure="false">'Parc Mobile '!ExpandOutputs___4</definedName>
    <definedName function="false" hidden="false" localSheetId="8" name="ExpandOutputs___4" vbProcedure="false">'parc mobile '!excel_builtin_extract_0</definedName>
    <definedName function="false" hidden="false" localSheetId="8" name="efgtyhjkoi___4" vbProcedure="false">'Parc Mobile '!ExpandOutputs___6</definedName>
    <definedName function="false" hidden="false" localSheetId="8" name="ExpandOutputs___6" vbProcedure="false">'Parc Mobile '!ExportFile___26</definedName>
    <definedName function="false" hidden="false" localSheetId="8" name="ExportFile___26" vbProcedure="false">'Parc Mobile '!fffffffff___16</definedName>
    <definedName function="false" hidden="false" localSheetId="8" name="fffffffff___16" vbProcedure="false">'Parc Mobile '!VLastRowToPrint___7/#REF!</definedName>
    <definedName function="false" hidden="false" localSheetId="8" name="efgtyhjkoi___5" vbProcedure="false">'Parc Mobile '!ExpandOutputs___2</definedName>
    <definedName function="false" hidden="false" localSheetId="8" name="ExpandOutputs___2" vbProcedure="false">'Parc Mobile '!F___14</definedName>
    <definedName function="false" hidden="false" localSheetId="8" name="F___14" vbProcedure="false">#REF!</definedName>
    <definedName function="false" hidden="false" localSheetId="8" name="efgtyhjkoi___6" vbProcedure="false">'Parc Mobile '!ess1___5</definedName>
    <definedName function="false" hidden="false" localSheetId="8" name="ess1___5" vbProcedure="false">#REF!</definedName>
    <definedName function="false" hidden="false" localSheetId="8" name="efgtyhjkoi___7" vbProcedure="false">'Parc Mobile '!ExpandOutputs___27</definedName>
    <definedName function="false" hidden="false" localSheetId="8" name="ExpandOutputs___27" vbProcedure="false">'Parc Mobile '!F___12</definedName>
    <definedName function="false" hidden="false" localSheetId="8" name="F___12" vbProcedure="false">#REF!</definedName>
    <definedName function="false" hidden="false" localSheetId="8" name="efgtyhjkoi___9" vbProcedure="false">'Parc Mobile '!ExpandOutputs___16</definedName>
    <definedName function="false" hidden="false" localSheetId="8" name="ExpandOutputs___16" vbProcedure="false">'Parc Mobile '!ExportFile___0</definedName>
    <definedName function="false" hidden="false" localSheetId="8" name="ExportFile___0" vbProcedure="false">'Parc Mobile '!fffffffff___25</definedName>
    <definedName function="false" hidden="false" localSheetId="8" name="fffffffff___25" vbProcedure="false">'Parc Mobile '!VolFactor___5/#REF!</definedName>
    <definedName function="false" hidden="false" localSheetId="8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Eighteen" vbProcedure="false">#REF!</definedName>
    <definedName function="false" hidden="false" localSheetId="8" name="ekrpzekpzork" vbProcedure="false">#REF!</definedName>
    <definedName function="false" hidden="false" localSheetId="8" name="ELIM1" vbProcedure="false">#REF!</definedName>
    <definedName function="false" hidden="false" localSheetId="8" name="emily" vbProcedure="false">{#N/A,#N/A,FALSE,"Calc";#N/A,#N/A,FALSE,"Sensitivity";#N/A,#N/A,FALSE,"LT Earn.Dil.";#N/A,#N/A,FALSE,"Dil. AVP"}</definedName>
    <definedName function="false" hidden="false" localSheetId="8" name="Emploi" vbProcedure="false">{"IS",#N/A,FALSE,"IS";"RPTIS",#N/A,FALSE,"RPTIS";"STATS",#N/A,FALSE,"STATS";"CELL",#N/A,FALSE,"CELL";"BS",#N/A,FALSE,"BS"}</definedName>
    <definedName function="false" hidden="false" localSheetId="8" name="enddate" vbProcedure="false">#REF!</definedName>
    <definedName function="false" hidden="false" localSheetId="8" name="ENT" vbProcedure="false">#REF!</definedName>
    <definedName function="false" hidden="false" localSheetId="8" name="ENT___0" vbProcedure="false">#REF!</definedName>
    <definedName function="false" hidden="false" localSheetId="8" name="ENT___12" vbProcedure="false">#REF!</definedName>
    <definedName function="false" hidden="false" localSheetId="8" name="ENT___14" vbProcedure="false">#REF!</definedName>
    <definedName function="false" hidden="false" localSheetId="8" name="ENT___16" vbProcedure="false">#REF!</definedName>
    <definedName function="false" hidden="false" localSheetId="8" name="ENT___2" vbProcedure="false">#REF!</definedName>
    <definedName function="false" hidden="false" localSheetId="8" name="ENT___25" vbProcedure="false">#REF!</definedName>
    <definedName function="false" hidden="false" localSheetId="8" name="ENT___26" vbProcedure="false">#REF!</definedName>
    <definedName function="false" hidden="false" localSheetId="8" name="ENT___27" vbProcedure="false">#REF!</definedName>
    <definedName function="false" hidden="false" localSheetId="8" name="ENT___4" vbProcedure="false">#REF!</definedName>
    <definedName function="false" hidden="false" localSheetId="8" name="ENT___5" vbProcedure="false">#REF!</definedName>
    <definedName function="false" hidden="false" localSheetId="8" name="ENT___7" vbProcedure="false">#REF!</definedName>
    <definedName function="false" hidden="false" localSheetId="8" name="EN__DH" vbProcedure="false">#REF!</definedName>
    <definedName function="false" hidden="false" localSheetId="8" name="EPart" vbProcedure="false">#REF!</definedName>
    <definedName function="false" hidden="false" localSheetId="8" name="EquityCost" vbProcedure="false">#REF!</definedName>
    <definedName function="false" hidden="false" localSheetId="8" name="EquityCost___0" vbProcedure="false">#REF!</definedName>
    <definedName function="false" hidden="false" localSheetId="8" name="EquityCost___12" vbProcedure="false">#REF!</definedName>
    <definedName function="false" hidden="false" localSheetId="8" name="EquityCost___14" vbProcedure="false">#REF!</definedName>
    <definedName function="false" hidden="false" localSheetId="8" name="EquityCost___16" vbProcedure="false">#REF!</definedName>
    <definedName function="false" hidden="false" localSheetId="8" name="EquityCost___2" vbProcedure="false">#REF!</definedName>
    <definedName function="false" hidden="false" localSheetId="8" name="EquityCost___25" vbProcedure="false">#REF!</definedName>
    <definedName function="false" hidden="false" localSheetId="8" name="EquityCost___26" vbProcedure="false">#REF!</definedName>
    <definedName function="false" hidden="false" localSheetId="8" name="EquityCost___27" vbProcedure="false">#REF!</definedName>
    <definedName function="false" hidden="false" localSheetId="8" name="EquityCost___4" vbProcedure="false">#REF!</definedName>
    <definedName function="false" hidden="false" localSheetId="8" name="EquityCost___5" vbProcedure="false">#REF!</definedName>
    <definedName function="false" hidden="false" localSheetId="8" name="EquityCost___7" vbProcedure="false">#REF!</definedName>
    <definedName function="false" hidden="false" localSheetId="8" name="ER" vbProcedure="false">#REF!</definedName>
    <definedName function="false" hidden="false" localSheetId="8" name="erer" vbProcedure="false">'Parc Mobile '!erer</definedName>
    <definedName function="false" hidden="false" localSheetId="8" name="ererer" vbProcedure="false">#REF!</definedName>
    <definedName function="false" hidden="false" localSheetId="8" name="erqt" vbProcedure="false">#N/A</definedName>
    <definedName function="false" hidden="false" localSheetId="8" name="erzerpzj" vbProcedure="false">#REF!</definedName>
    <definedName function="false" hidden="false" localSheetId="8" name="ess1___12" vbProcedure="false">#REF!</definedName>
    <definedName function="false" hidden="false" localSheetId="8" name="ess1___2" vbProcedure="false">#REF!</definedName>
    <definedName function="false" hidden="false" localSheetId="8" name="ess1___27" vbProcedure="false">#REF!</definedName>
    <definedName function="false" hidden="false" localSheetId="8" name="essais" vbProcedure="false">{#N/A,#N/A,FALSE,"F_Plan";#N/A,#N/A,FALSE,"Parameter"}</definedName>
    <definedName function="false" hidden="false" localSheetId="8" name="ESTIMATION" vbProcedure="false">#REF!</definedName>
    <definedName function="false" hidden="false" localSheetId="8" name="et" vbProcedure="false">{"IS",#N/A,FALSE,"IS";"RPTIS",#N/A,FALSE,"RPTIS";"STATS",#N/A,FALSE,"STATS";"BS",#N/A,FALSE,"BS"}</definedName>
    <definedName function="false" hidden="false" localSheetId="8" name="ETC_Estimate_to_Completion" vbProcedure="false">#REF!</definedName>
    <definedName function="false" hidden="false" localSheetId="8" name="euro" vbProcedure="false">#REF!</definedName>
    <definedName function="false" hidden="false" localSheetId="8" name="EValue" vbProcedure="false">#REF!</definedName>
    <definedName function="false" hidden="false" localSheetId="8" name="EV_Earned_Value" vbProcedure="false">#REF!</definedName>
    <definedName function="false" hidden="false" localSheetId="8" name="EX" vbProcedure="false">'Parc Mobile '!EX</definedName>
    <definedName function="false" hidden="false" localSheetId="8" name="Excel_BuiltIn_Recorder_0" vbProcedure="false">#REF!</definedName>
    <definedName function="false" hidden="false" localSheetId="8" name="Excel_BuiltIn_Recorder_12" vbProcedure="false">#REF!</definedName>
    <definedName function="false" hidden="false" localSheetId="8" name="Excel_BuiltIn_Recorder_14" vbProcedure="false">#REF!</definedName>
    <definedName function="false" hidden="false" localSheetId="8" name="Excel_BuiltIn_Recorder_16" vbProcedure="false">#REF!</definedName>
    <definedName function="false" hidden="false" localSheetId="8" name="Excel_BuiltIn_Recorder_2" vbProcedure="false">#REF!</definedName>
    <definedName function="false" hidden="false" localSheetId="8" name="Excel_BuiltIn_Recorder_27" vbProcedure="false">#REF!</definedName>
    <definedName function="false" hidden="false" localSheetId="8" name="Excel_BuiltIn_Recorder_5" vbProcedure="false">#REF!</definedName>
    <definedName function="false" hidden="false" localSheetId="8" name="Excel_BuiltIn_Recorder_6" vbProcedure="false">#REF!</definedName>
    <definedName function="false" hidden="false" localSheetId="8" name="ExpandOutputs" vbProcedure="false">'Parc Mobile '!ExpandOutputs</definedName>
    <definedName function="false" hidden="false" localSheetId="8" name="ExpandOutputs___0" vbProcedure="false">'Parc Mobile '!F___7</definedName>
    <definedName function="false" hidden="false" localSheetId="8" name="F___7" vbProcedure="false">#REF!</definedName>
    <definedName function="false" hidden="false" localSheetId="8" name="ExpandOutputs___26" vbProcedure="false">'Parc Mobile '!F___5</definedName>
    <definedName function="false" hidden="false" localSheetId="8" name="F___5" vbProcedure="false">#REF!</definedName>
    <definedName function="false" hidden="false" localSheetId="8" name="ExpandOutputs___7" vbProcedure="false">'Parc Mobile '!F___26</definedName>
    <definedName function="false" hidden="false" localSheetId="8" name="F___26" vbProcedure="false">#REF!</definedName>
    <definedName function="false" hidden="false" localSheetId="8" name="ExpandVPeriods" vbProcedure="false">'Parc Mobile '!ExpandVPeriods</definedName>
    <definedName function="false" hidden="false" localSheetId="8" name="ExpandVPeriods___0" vbProcedure="false">'Parc Mobile '!ffff___4</definedName>
    <definedName function="false" hidden="false" localSheetId="8" name="ffff___4" vbProcedure="false">O___0*#REF!</definedName>
    <definedName function="false" hidden="false" localSheetId="8" name="ExpandVPeriods___12" vbProcedure="false">'Parc Mobile '!F_SMS_Data___0</definedName>
    <definedName function="false" hidden="false" localSheetId="8" name="F_SMS_Data___0" vbProcedure="false">#REF!</definedName>
    <definedName function="false" hidden="false" localSheetId="8" name="ExpandVPeriods___14" vbProcedure="false">'Parc Mobile '!F_SMS_Data___26</definedName>
    <definedName function="false" hidden="false" localSheetId="8" name="F_SMS_Data___26" vbProcedure="false">#REF!</definedName>
    <definedName function="false" hidden="false" localSheetId="8" name="ExpandVPeriods___16" vbProcedure="false">'Parc Mobile '!F_SMS_Data___14</definedName>
    <definedName function="false" hidden="false" localSheetId="8" name="F_SMS_Data___14" vbProcedure="false">#REF!</definedName>
    <definedName function="false" hidden="false" localSheetId="8" name="ExpandVPeriods___2" vbProcedure="false">'Parc Mobile '!F_SMS_Data___7</definedName>
    <definedName function="false" hidden="false" localSheetId="8" name="F_SMS_Data___7" vbProcedure="false">#REF!</definedName>
    <definedName function="false" hidden="false" localSheetId="8" name="ExpandVPeriods___23" vbProcedure="false">'Parc Mobile '!F_SMS_Data___16</definedName>
    <definedName function="false" hidden="false" localSheetId="8" name="F_SMS_Data___16" vbProcedure="false">#REF!</definedName>
    <definedName function="false" hidden="false" localSheetId="8" name="ExpandVPeriods___25" vbProcedure="false">'Parc Mobile '!F_SMS_Data___12</definedName>
    <definedName function="false" hidden="false" localSheetId="8" name="F_SMS_Data___12" vbProcedure="false">#REF!</definedName>
    <definedName function="false" hidden="false" localSheetId="8" name="ExpandVPeriods___26" vbProcedure="false">'Parc Mobile '!ffff___23</definedName>
    <definedName function="false" hidden="false" localSheetId="8" name="ffff___23" vbProcedure="false">O___0*#REF!</definedName>
    <definedName function="false" hidden="false" localSheetId="8" name="ExpandVPeriods___3" vbProcedure="false">'Parc Mobile '!F_SMS_Data___5</definedName>
    <definedName function="false" hidden="false" localSheetId="8" name="F_SMS_Data___5" vbProcedure="false">#REF!</definedName>
    <definedName function="false" hidden="false" localSheetId="8" name="ExpandVPeriods___4" vbProcedure="false">'Parc Mobile '!F_SMS_Data___2</definedName>
    <definedName function="false" hidden="false" localSheetId="8" name="F_SMS_Data___2" vbProcedure="false">#REF!</definedName>
    <definedName function="false" hidden="false" localSheetId="8" name="ExpandVPeriods___5" vbProcedure="false">'Parc Mobile '!ffff___6</definedName>
    <definedName function="false" hidden="false" localSheetId="8" name="ffff___6" vbProcedure="false">'Parc Mobile '!Num_premier_paiement___0*#REF!</definedName>
    <definedName function="false" hidden="false" localSheetId="8" name="ExpandVPeriods___7" vbProcedure="false">'parc mobile '!ffff___16</definedName>
    <definedName function="false" hidden="false" localSheetId="8" name="ExpandVPeriods___9" vbProcedure="false">'Parc Mobile '!F_SMS_Data___27</definedName>
    <definedName function="false" hidden="false" localSheetId="8" name="F_SMS_Data___27" vbProcedure="false">#REF!</definedName>
    <definedName function="false" hidden="false" localSheetId="8" name="ExportFile" vbProcedure="false">'Parc Mobile '!ExportFile</definedName>
    <definedName function="false" hidden="false" localSheetId="8" name="ExportFile___14" vbProcedure="false">'Parc Mobile '!ffff___7</definedName>
    <definedName function="false" hidden="false" localSheetId="8" name="ffff___7" vbProcedure="false">O___0*#REF!</definedName>
    <definedName function="false" hidden="false" localSheetId="8" name="ExportFile___16" vbProcedure="false">'Parc Mobile '!ffff___2</definedName>
    <definedName function="false" hidden="false" localSheetId="8" name="ffff___2" vbProcedure="false">O___0*#REF!</definedName>
    <definedName function="false" hidden="false" localSheetId="8" name="ExportFile___2" vbProcedure="false">'Parc Mobile '!ffff___0</definedName>
    <definedName function="false" hidden="false" localSheetId="8" name="ffff___0" vbProcedure="false">O___0*#REF!</definedName>
    <definedName function="false" hidden="false" localSheetId="8" name="ExportFile___23" vbProcedure="false">'Parc Mobile '!ffff___14</definedName>
    <definedName function="false" hidden="false" localSheetId="8" name="ffff___14" vbProcedure="false">'Parc Mobile '!O___25*#REF!</definedName>
    <definedName function="false" hidden="false" localSheetId="8" name="ExportFile___25" vbProcedure="false">'Parc Mobile '!ffff___27</definedName>
    <definedName function="false" hidden="false" localSheetId="8" name="ffff___27" vbProcedure="false">O___27*#REF!</definedName>
    <definedName function="false" hidden="false" localSheetId="8" name="ExportFile___27" vbProcedure="false">'Parc Mobile '!fffffffff___6</definedName>
    <definedName function="false" hidden="false" localSheetId="8" name="fffffffff___6" vbProcedure="false">'Parc Mobile '!VLastRowToPrint___26/#REF!</definedName>
    <definedName function="false" hidden="false" localSheetId="8" name="ExportFile___3" vbProcedure="false">'Parc Mobile '!ffff___26</definedName>
    <definedName function="false" hidden="false" localSheetId="8" name="ffff___26" vbProcedure="false">O___0*#REF!</definedName>
    <definedName function="false" hidden="false" localSheetId="8" name="ExportFile___4" vbProcedure="false">'Parc Mobile '!ffff___12</definedName>
    <definedName function="false" hidden="false" localSheetId="8" name="ffff___12" vbProcedure="false">'Parc Mobile '!O___12*#REF!</definedName>
    <definedName function="false" hidden="false" localSheetId="8" name="ExportFile___5" vbProcedure="false">'Parc Mobile '!fffffffff___23</definedName>
    <definedName function="false" hidden="false" localSheetId="8" name="fffffffff___23" vbProcedure="false">'Parc Mobile '!VolFactor___5/#REF!</definedName>
    <definedName function="false" hidden="false" localSheetId="8" name="ExportFile___6" vbProcedure="false">'Parc Mobile '!ffff___3</definedName>
    <definedName function="false" hidden="false" localSheetId="8" name="ffff___3" vbProcedure="false">O___0*#REF!</definedName>
    <definedName function="false" hidden="false" localSheetId="8" name="ExportFile___9" vbProcedure="false">'Parc Mobile '!ffff___5</definedName>
    <definedName function="false" hidden="false" localSheetId="8" name="ffff___5" vbProcedure="false">O___5*#REF!</definedName>
    <definedName function="false" hidden="false" localSheetId="8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eyr" vbProcedure="false">{"hiden",#N/A,FALSE,"14";"hidden",#N/A,FALSE,"16";"hidden",#N/A,FALSE,"18";"hidden",#N/A,FALSE,"20"}</definedName>
    <definedName function="false" hidden="false" localSheetId="8" name="EZ" vbProcedure="false">#REF!</definedName>
    <definedName function="false" hidden="false" localSheetId="8" name="E_Comm_Perso" vbProcedure="false">#REF!</definedName>
    <definedName function="false" hidden="false" localSheetId="8" name="E_Comm_Perso___0" vbProcedure="false">#REF!</definedName>
    <definedName function="false" hidden="false" localSheetId="8" name="E_Comm_Perso___12" vbProcedure="false">#REF!</definedName>
    <definedName function="false" hidden="false" localSheetId="8" name="E_Comm_Perso___14" vbProcedure="false">#REF!</definedName>
    <definedName function="false" hidden="false" localSheetId="8" name="E_Comm_Perso___16" vbProcedure="false">#REF!</definedName>
    <definedName function="false" hidden="false" localSheetId="8" name="E_Comm_Perso___2" vbProcedure="false">#REF!</definedName>
    <definedName function="false" hidden="false" localSheetId="8" name="E_Comm_Perso___26" vbProcedure="false">#REF!</definedName>
    <definedName function="false" hidden="false" localSheetId="8" name="E_Comm_Perso___27" vbProcedure="false">#REF!</definedName>
    <definedName function="false" hidden="false" localSheetId="8" name="E_Comm_Perso___5" vbProcedure="false">#REF!</definedName>
    <definedName function="false" hidden="false" localSheetId="8" name="E_Comm_Perso___7" vbProcedure="false">#REF!</definedName>
    <definedName function="false" hidden="false" localSheetId="8" name="E_ThirtyFiveHundred" vbProcedure="false">#REF!</definedName>
    <definedName function="false" hidden="false" localSheetId="8" name="E___12" vbProcedure="false">#REF!</definedName>
    <definedName function="false" hidden="false" localSheetId="8" name="E___2" vbProcedure="false">#REF!</definedName>
    <definedName function="false" hidden="false" localSheetId="8" name="E___25" vbProcedure="false">#REF!</definedName>
    <definedName function="false" hidden="false" localSheetId="8" name="E___26" vbProcedure="false">#REF!</definedName>
    <definedName function="false" hidden="false" localSheetId="8" name="E___4" vbProcedure="false">#REF!</definedName>
    <definedName function="false" hidden="false" localSheetId="8" name="E___6" vbProcedure="false">#REF!</definedName>
    <definedName function="false" hidden="false" localSheetId="8" name="E___7" vbProcedure="false">#REF!</definedName>
    <definedName function="false" hidden="false" localSheetId="8" name="F" vbProcedure="false">#REF!</definedName>
    <definedName function="false" hidden="false" localSheetId="8" name="face" vbProcedure="false">#REF!</definedName>
    <definedName function="false" hidden="false" localSheetId="8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fdd" vbProcedure="false">'Parc Mobile '!fdd</definedName>
    <definedName function="false" hidden="false" localSheetId="8" name="fddr" vbProcedure="false">'Parc Mobile '!fddr</definedName>
    <definedName function="false" hidden="false" localSheetId="8" name="fdggh" vbProcedure="false">'Parc Mobile '!fdggh</definedName>
    <definedName function="false" hidden="false" localSheetId="8" name="FDGHS" vbProcedure="false">'Parc Mobile '!FDGHS</definedName>
    <definedName function="false" hidden="false" localSheetId="8" name="fdgqsjsbc" vbProcedure="false">'Parc Mobile '!fdgqsjsbc</definedName>
    <definedName function="false" hidden="false" localSheetId="8" name="fdhedtbfc" vbProcedure="false">'Parc Mobile '!fdhedtbfc</definedName>
    <definedName function="false" hidden="false" localSheetId="8" name="fdhfdh" vbProcedure="false">{"First Page",#N/A,FALSE,"Surfactants LBO";"Second Page",#N/A,FALSE,"Surfactants LBO"}</definedName>
    <definedName function="false" hidden="false" localSheetId="8" name="fdhfghfdh" vbProcedure="false">{"First Page",#N/A,FALSE,"Surfactants LBO";"Second Page",#N/A,FALSE,"Surfactants LBO"}</definedName>
    <definedName function="false" hidden="false" localSheetId="8" name="February" vbProcedure="false">#REF!</definedName>
    <definedName function="false" hidden="false" localSheetId="8" name="fegc" vbProcedure="false">'Parc Mobile '!fegc</definedName>
    <definedName function="false" hidden="false" localSheetId="8" name="fev" vbProcedure="false">#REF!</definedName>
    <definedName function="false" hidden="false" localSheetId="8" name="Fevrier" vbProcedure="false">#REF!</definedName>
    <definedName function="false" hidden="false" localSheetId="8" name="fevruer" vbProcedure="false">'Parc Mobile '!fevruer</definedName>
    <definedName function="false" hidden="false" localSheetId="8" name="fff" vbProcedure="false">'Parc Mobile '!Tx_intérêt_par_an/#REF!</definedName>
    <definedName function="false" hidden="false" localSheetId="8" name="ffff" vbProcedure="false">'Parc Mobile '!Nb_de_paiements_par_an*#REF!</definedName>
    <definedName function="false" hidden="false" localSheetId="8" name="fffffffff" vbProcedure="false">'Parc Mobile '!Tx_intérêt_par_an/#REF!</definedName>
    <definedName function="false" hidden="false" localSheetId="8" name="fffffffff___0" vbProcedure="false">'Parc Mobile '!VolFactor___5/#REF!</definedName>
    <definedName function="false" hidden="false" localSheetId="8" name="fffffffff___12" vbProcedure="false">'Parc Mobile '!VolFactor___25/#REF!</definedName>
    <definedName function="false" hidden="false" localSheetId="8" name="fffffffff___14" vbProcedure="false">'Parc Mobile '!VolFactor___16/#REF!</definedName>
    <definedName function="false" hidden="false" localSheetId="8" name="fffffffff___2" vbProcedure="false">'Parc Mobile '!VolFactor___5/#REF!</definedName>
    <definedName function="false" hidden="false" localSheetId="8" name="fffffffff___26" vbProcedure="false">'Parc Mobile '!VolFactor___5/#REF!</definedName>
    <definedName function="false" hidden="false" localSheetId="8" name="fffffffff___27" vbProcedure="false">'Parc Mobile '!VolFactor___14/#REF!</definedName>
    <definedName function="false" hidden="false" localSheetId="8" name="fffffffff___3" vbProcedure="false">'Parc Mobile '!VolFactor___5/#REF!</definedName>
    <definedName function="false" hidden="false" localSheetId="8" name="fffffffff___5" vbProcedure="false">'Parc Mobile '!VolFactor___2/#REF!</definedName>
    <definedName function="false" hidden="false" localSheetId="8" name="fffffffff___7" vbProcedure="false">'Parc Mobile '!VolFactor___5/#REF!</definedName>
    <definedName function="false" hidden="false" localSheetId="8" name="fffffffff___9" vbProcedure="false">'Parc Mobile '!VolFactor___5/#REF!</definedName>
    <definedName function="false" hidden="false" localSheetId="8" name="ffff___25" vbProcedure="false">O___0*#REF!</definedName>
    <definedName function="false" hidden="false" localSheetId="8" name="ffff___9" vbProcedure="false">O___0*#REF!</definedName>
    <definedName function="false" hidden="false" localSheetId="8" name="fffs" vbProcedure="false">{"IS",#N/A,FALSE,"IS";"RPTIS",#N/A,FALSE,"RPTIS";"STATS",#N/A,FALSE,"STATS";"CELL",#N/A,FALSE,"CELL";"BS",#N/A,FALSE,"BS"}</definedName>
    <definedName function="false" hidden="false" localSheetId="8" name="FG" vbProcedure="false">'Parc Mobile '!FG</definedName>
    <definedName function="false" hidden="false" localSheetId="8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8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fghdgfhdf" vbProcedure="false">{#N/A,#N/A,TRUE,"Cover sheet";#N/A,#N/A,TRUE,"DCF analysis";#N/A,#N/A,TRUE,"WACC calculation"}</definedName>
    <definedName function="false" hidden="false" localSheetId="8" name="FG___0" vbProcedure="false">'Parc Mobile '!G___7</definedName>
    <definedName function="false" hidden="false" localSheetId="8" name="G___7" vbProcedure="false">#REF!</definedName>
    <definedName function="false" hidden="false" localSheetId="8" name="FG___12" vbProcedure="false">'Parc Mobile '!G___2</definedName>
    <definedName function="false" hidden="false" localSheetId="8" name="G___2" vbProcedure="false">#REF!</definedName>
    <definedName function="false" hidden="false" localSheetId="8" name="FG___14" vbProcedure="false">'Parc Mobile '!G___14</definedName>
    <definedName function="false" hidden="false" localSheetId="8" name="G___14" vbProcedure="false">#REF!</definedName>
    <definedName function="false" hidden="false" localSheetId="8" name="FG___16" vbProcedure="false">'Parc Mobile '!G___16</definedName>
    <definedName function="false" hidden="false" localSheetId="8" name="G___16" vbProcedure="false">#REF!</definedName>
    <definedName function="false" hidden="false" localSheetId="8" name="FG___25" vbProcedure="false">'Parc Mobile '!G___4</definedName>
    <definedName function="false" hidden="false" localSheetId="8" name="G___4" vbProcedure="false">#REF!</definedName>
    <definedName function="false" hidden="false" localSheetId="8" name="FG___26" vbProcedure="false">'Parc Mobile '!G___5</definedName>
    <definedName function="false" hidden="false" localSheetId="8" name="G___5" vbProcedure="false">#REF!</definedName>
    <definedName function="false" hidden="false" localSheetId="8" name="FG___27" vbProcedure="false">'Parc Mobile '!G___12</definedName>
    <definedName function="false" hidden="false" localSheetId="8" name="G___12" vbProcedure="false">#REF!</definedName>
    <definedName function="false" hidden="false" localSheetId="8" name="FG___5" vbProcedure="false">'Parc Mobile '!G___27</definedName>
    <definedName function="false" hidden="false" localSheetId="8" name="G___27" vbProcedure="false">#REF!</definedName>
    <definedName function="false" hidden="false" localSheetId="8" name="FG___7" vbProcedure="false">'Parc Mobile '!G___26</definedName>
    <definedName function="false" hidden="false" localSheetId="8" name="G___26" vbProcedure="false">#REF!</definedName>
    <definedName function="false" hidden="false" localSheetId="8" name="FG___9" vbProcedure="false">'Parc Mobile '!G___25</definedName>
    <definedName function="false" hidden="false" localSheetId="8" name="G___25" vbProcedure="false">#REF!</definedName>
    <definedName function="false" hidden="false" localSheetId="8" name="fiche" vbProcedure="false">#REF!</definedName>
    <definedName function="false" hidden="false" localSheetId="8" name="fichexpliq_EVOSB" vbProcedure="false">#REF!</definedName>
    <definedName function="false" hidden="false" localSheetId="8" name="FirstProjYr" vbProcedure="false">#REF!</definedName>
    <definedName function="false" hidden="false" localSheetId="8" name="FirstProjYr___0" vbProcedure="false">#REF!</definedName>
    <definedName function="false" hidden="false" localSheetId="8" name="FirstProjYr___12" vbProcedure="false">#REF!</definedName>
    <definedName function="false" hidden="false" localSheetId="8" name="FirstProjYr___14" vbProcedure="false">#REF!</definedName>
    <definedName function="false" hidden="false" localSheetId="8" name="FirstProjYr___16" vbProcedure="false">#REF!</definedName>
    <definedName function="false" hidden="false" localSheetId="8" name="FirstProjYr___2" vbProcedure="false">#REF!</definedName>
    <definedName function="false" hidden="false" localSheetId="8" name="FirstProjYr___25" vbProcedure="false">#REF!</definedName>
    <definedName function="false" hidden="false" localSheetId="8" name="FirstProjYr___26" vbProcedure="false">#REF!</definedName>
    <definedName function="false" hidden="false" localSheetId="8" name="FirstProjYr___27" vbProcedure="false">#REF!</definedName>
    <definedName function="false" hidden="false" localSheetId="8" name="FirstProjYr___4" vbProcedure="false">#REF!</definedName>
    <definedName function="false" hidden="false" localSheetId="8" name="FirstProjYr___5" vbProcedure="false">#REF!</definedName>
    <definedName function="false" hidden="false" localSheetId="8" name="FirstProjYr___7" vbProcedure="false">#REF!</definedName>
    <definedName function="false" hidden="false" localSheetId="8" name="forecast" vbProcedure="false">OFFSET('Parc Mobile '!CompRange1Main,9,0,COUNTA('Parc Mobile '!CompRange1Main)-COUNTA(#REF!),1)</definedName>
    <definedName function="false" hidden="false" localSheetId="8" name="FP" vbProcedure="false">#REF!</definedName>
    <definedName function="false" hidden="false" localSheetId="8" name="fpaout" vbProcedure="false">'Parc Mobile '!fpaout</definedName>
    <definedName function="false" hidden="false" localSheetId="8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FraisRaccAbon" vbProcedure="false">#REF!</definedName>
    <definedName function="false" hidden="false" localSheetId="8" name="FraisRaccAbon___0" vbProcedure="false">#REF!</definedName>
    <definedName function="false" hidden="false" localSheetId="8" name="FraisRaccAbon___12" vbProcedure="false">#REF!</definedName>
    <definedName function="false" hidden="false" localSheetId="8" name="FraisRaccAbon___14" vbProcedure="false">#REF!</definedName>
    <definedName function="false" hidden="false" localSheetId="8" name="FraisRaccAbon___16" vbProcedure="false">#REF!</definedName>
    <definedName function="false" hidden="false" localSheetId="8" name="FraisRaccAbon___2" vbProcedure="false">#REF!</definedName>
    <definedName function="false" hidden="false" localSheetId="8" name="FraisRaccAbon___25" vbProcedure="false">#REF!</definedName>
    <definedName function="false" hidden="false" localSheetId="8" name="FraisRaccAbon___26" vbProcedure="false">#REF!</definedName>
    <definedName function="false" hidden="false" localSheetId="8" name="FraisRaccAbon___27" vbProcedure="false">#REF!</definedName>
    <definedName function="false" hidden="false" localSheetId="8" name="FraisRaccAbon___4" vbProcedure="false">#REF!</definedName>
    <definedName function="false" hidden="false" localSheetId="8" name="FraisRaccAbon___5" vbProcedure="false">#REF!</definedName>
    <definedName function="false" hidden="false" localSheetId="8" name="FraisRaccAbon___7" vbProcedure="false">#REF!</definedName>
    <definedName function="false" hidden="false" localSheetId="8" name="Frank" vbProcedure="false">{#N/A,#N/A,TRUE,"Cover sheet";#N/A,#N/A,TRUE,"DCF analysis";#N/A,#N/A,TRUE,"WACC calculation"}</definedName>
    <definedName function="false" hidden="false" localSheetId="8" name="frde" vbProcedure="false">#REF!</definedName>
    <definedName function="false" hidden="false" localSheetId="8" name="FTK" vbProcedure="false">#REF!</definedName>
    <definedName function="false" hidden="false" localSheetId="8" name="fuffuy" vbProcedure="false">{#N/A,#N/A,FALSE,"Cover";"outputs total",#N/A,FALSE,"Outputs"}</definedName>
    <definedName function="false" hidden="false" localSheetId="8" name="fzrs" vbProcedure="false">'Parc Mobile '!fzrs</definedName>
    <definedName function="false" hidden="false" localSheetId="8" name="F_SMS_Data" vbProcedure="false">#REF!</definedName>
    <definedName function="false" hidden="false" localSheetId="8" name="F___0" vbProcedure="false">#REF!</definedName>
    <definedName function="false" hidden="false" localSheetId="8" name="G" vbProcedure="false">#REF!</definedName>
    <definedName function="false" hidden="false" localSheetId="8" name="gaga" vbProcedure="false">{#N/A,#N/A,TRUE,"Cover sheet";#N/A,#N/A,TRUE,"INPUTS";#N/A,#N/A,TRUE,"OUTPUTS";#N/A,#N/A,TRUE,"VALUATION"}</definedName>
    <definedName function="false" hidden="false" localSheetId="8" name="GBP" vbProcedure="false">#REF!</definedName>
    <definedName function="false" hidden="false" localSheetId="8" name="GDFH" vbProcedure="false">'Parc Mobile '!GDFH</definedName>
    <definedName function="false" hidden="false" localSheetId="8" name="gdfjfg" vbProcedure="false">'Parc Mobile '!gdfjfg</definedName>
    <definedName function="false" hidden="false" localSheetId="8" name="gdhdj" vbProcedure="false">'Parc Mobile '!gdhdj</definedName>
    <definedName function="false" hidden="false" localSheetId="8" name="gdsfg" vbProcedure="false">{#N/A,#N/A,TRUE,"Cover sheet";#N/A,#N/A,TRUE,"INPUTS";#N/A,#N/A,TRUE,"OUTPUTS";#N/A,#N/A,TRUE,"VALUATION"}</definedName>
    <definedName function="false" hidden="false" localSheetId="8" name="gdsh" vbProcedure="false">'Parc Mobile '!gdsh</definedName>
    <definedName function="false" hidden="false" localSheetId="8" name="gf" vbProcedure="false">{"IS",#N/A,FALSE,"IS";"RPTIS",#N/A,FALSE,"RPTIS";"STATS",#N/A,FALSE,"STATS";"CELL",#N/A,FALSE,"CELL";"BS",#N/A,FALSE,"BS"}</definedName>
    <definedName function="false" hidden="false" localSheetId="8" name="gfdgfdfhfgh" vbProcedure="false">'Parc Mobile '!gfdgfdfhfgh</definedName>
    <definedName function="false" hidden="false" localSheetId="8" name="gfdgfdfhfgh___0" vbProcedure="false">'Parc Mobile '!HardCodedEquityCost___12</definedName>
    <definedName function="false" hidden="false" localSheetId="8" name="HardCodedEquityCost___12" vbProcedure="false">#REF!</definedName>
    <definedName function="false" hidden="false" localSheetId="8" name="gfdgfdfhfgh___12" vbProcedure="false">'Parc Mobile '!HardCodedEquityCost___16</definedName>
    <definedName function="false" hidden="false" localSheetId="8" name="HardCodedEquityCost___16" vbProcedure="false">#REF!</definedName>
    <definedName function="false" hidden="false" localSheetId="8" name="gfdgfdfhfgh___14" vbProcedure="false">'Parc Mobile '!HardCodedATDebtCost___0</definedName>
    <definedName function="false" hidden="false" localSheetId="8" name="HardCodedATDebtCost___0" vbProcedure="false">#REF!</definedName>
    <definedName function="false" hidden="false" localSheetId="8" name="gfdgfdfhfgh___16" vbProcedure="false">'Parc Mobile '!HardCodedATDebtCost___12</definedName>
    <definedName function="false" hidden="false" localSheetId="8" name="HardCodedATDebtCost___12" vbProcedure="false">#REF!</definedName>
    <definedName function="false" hidden="false" localSheetId="8" name="gfdgfdfhfgh___23" vbProcedure="false">'Parc Mobile '!HardCodedATDebtCost___2</definedName>
    <definedName function="false" hidden="false" localSheetId="8" name="HardCodedATDebtCost___2" vbProcedure="false">#REF!</definedName>
    <definedName function="false" hidden="false" localSheetId="8" name="gfdgfdfhfgh___25" vbProcedure="false">'Parc Mobile '!HardCodedATDebtCost___5</definedName>
    <definedName function="false" hidden="false" localSheetId="8" name="HardCodedATDebtCost___5" vbProcedure="false">#REF!</definedName>
    <definedName function="false" hidden="false" localSheetId="8" name="gfdgfdfhfgh___26" vbProcedure="false">'Parc Mobile '!HardCodedEquityCost___14</definedName>
    <definedName function="false" hidden="false" localSheetId="8" name="HardCodedEquityCost___14" vbProcedure="false">#REF!</definedName>
    <definedName function="false" hidden="false" localSheetId="8" name="gfdgfdfhfgh___27" vbProcedure="false">'Parc Mobile '!HardCodedEquityCost___4</definedName>
    <definedName function="false" hidden="false" localSheetId="8" name="HardCodedEquityCost___4" vbProcedure="false">#REF!</definedName>
    <definedName function="false" hidden="false" localSheetId="8" name="gfdgfdfhfgh___3" vbProcedure="false">'Parc Mobile '!HardCodedATDebtCost___7</definedName>
    <definedName function="false" hidden="false" localSheetId="8" name="HardCodedATDebtCost___7" vbProcedure="false">#REF!</definedName>
    <definedName function="false" hidden="false" localSheetId="8" name="gfdgfdfhfgh___4" vbProcedure="false">'Parc Mobile '!HardCodedATDebtCost___27</definedName>
    <definedName function="false" hidden="false" localSheetId="8" name="HardCodedATDebtCost___27" vbProcedure="false">#REF!</definedName>
    <definedName function="false" hidden="false" localSheetId="8" name="gfdgfdfhfgh___5" vbProcedure="false">'Parc Mobile '!HardCodedEquityCost___25</definedName>
    <definedName function="false" hidden="false" localSheetId="8" name="HardCodedEquityCost___25" vbProcedure="false">#REF!</definedName>
    <definedName function="false" hidden="false" localSheetId="8" name="gfdgfdfhfgh___6" vbProcedure="false">'Parc Mobile '!HardCodedATDebtCost___14</definedName>
    <definedName function="false" hidden="false" localSheetId="8" name="HardCodedATDebtCost___14" vbProcedure="false">#REF!</definedName>
    <definedName function="false" hidden="false" localSheetId="8" name="gfdgfdfhfgh___7" vbProcedure="false">'Parc Mobile '!HardCodedEquityCost___2</definedName>
    <definedName function="false" hidden="false" localSheetId="8" name="HardCodedEquityCost___2" vbProcedure="false">#REF!</definedName>
    <definedName function="false" hidden="false" localSheetId="8" name="gfdgfdfhfgh___9" vbProcedure="false">'Parc Mobile '!HardCodedATDebtCost___26</definedName>
    <definedName function="false" hidden="false" localSheetId="8" name="HardCodedATDebtCost___26" vbProcedure="false">#REF!</definedName>
    <definedName function="false" hidden="false" localSheetId="8" name="gfhfdl" vbProcedure="false">'Parc Mobile '!gfhfdl</definedName>
    <definedName function="false" hidden="false" localSheetId="8" name="gfhfj" vbProcedure="false">'Parc Mobile '!gfhfj</definedName>
    <definedName function="false" hidden="false" localSheetId="8" name="GFHGFHFGH" vbProcedure="false">#REF!</definedName>
    <definedName function="false" hidden="false" localSheetId="8" name="GFYT" vbProcedure="false">#REF!</definedName>
    <definedName function="false" hidden="false" localSheetId="8" name="GFYT___0" vbProcedure="false">#REF!</definedName>
    <definedName function="false" hidden="false" localSheetId="8" name="GFYT___12" vbProcedure="false">#REF!</definedName>
    <definedName function="false" hidden="false" localSheetId="8" name="GFYT___6" vbProcedure="false">#REF!</definedName>
    <definedName function="false" hidden="false" localSheetId="8" name="gg" vbProcedure="false">'Parc Mobile '!gg</definedName>
    <definedName function="false" hidden="false" localSheetId="8" name="GGDHK" vbProcedure="false">'Parc Mobile '!GGDHK</definedName>
    <definedName function="false" hidden="false" localSheetId="8" name="ggf" vbProcedure="false">{"comps",#N/A,FALSE,"comps";"notes",#N/A,FALSE,"comps"}</definedName>
    <definedName function="false" hidden="false" localSheetId="8" name="GH" vbProcedure="false">#N/A</definedName>
    <definedName function="false" hidden="false" localSheetId="8" name="ghb" vbProcedure="false">#REF!</definedName>
    <definedName function="false" hidden="false" localSheetId="8" name="GHFBD" vbProcedure="false">'Parc Mobile '!GHFBD</definedName>
    <definedName function="false" hidden="false" localSheetId="8" name="GHFHGFHTYU" vbProcedure="false">#REF!</definedName>
    <definedName function="false" hidden="false" localSheetId="8" name="ghfjd" vbProcedure="false">'Parc Mobile '!ghfjd</definedName>
    <definedName function="false" hidden="false" localSheetId="8" name="ghghgh" vbProcedure="false">{#N/A,#N/A,TRUE,"Cover sheet";#N/A,#N/A,TRUE,"DCF analysis";#N/A,#N/A,TRUE,"WACC calculation"}</definedName>
    <definedName function="false" hidden="false" localSheetId="8" name="ghghghghg" vbProcedure="false">{#N/A,#N/A,TRUE,"Cover sheet";#N/A,#N/A,TRUE,"DCF analysis";#N/A,#N/A,TRUE,"WACC calculation"}</definedName>
    <definedName function="false" hidden="false" localSheetId="8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8" name="gogo" vbProcedure="false">{#N/A,#N/A,TRUE,"Cover sheet";#N/A,#N/A,TRUE,"INPUTS";#N/A,#N/A,TRUE,"OUTPUTS";#N/A,#N/A,TRUE,"VALUATION"}</definedName>
    <definedName function="false" hidden="false" localSheetId="8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8" name="GPRS" vbProcedure="false">#REF!</definedName>
    <definedName function="false" hidden="false" localSheetId="8" name="gs" vbProcedure="false">{"IS",#N/A,FALSE,"IS";"RPTIS",#N/A,FALSE,"RPTIS";"STATS",#N/A,FALSE,"STATS";"CELL",#N/A,FALSE,"CELL";"BS",#N/A,FALSE,"BS"}</definedName>
    <definedName function="false" hidden="false" localSheetId="8" name="GSM" vbProcedure="false">#REF!</definedName>
    <definedName function="false" hidden="false" localSheetId="8" name="GSN_HARDWARE" vbProcedure="false">#REF!</definedName>
    <definedName function="false" hidden="false" localSheetId="8" name="GSN_SOFTWARE" vbProcedure="false">#REF!</definedName>
    <definedName function="false" hidden="false" localSheetId="8" name="GSS" vbProcedure="false">#REF!</definedName>
    <definedName function="false" hidden="false" localSheetId="8" name="GSTG" vbProcedure="false">#REF!</definedName>
    <definedName function="false" hidden="false" localSheetId="8" name="gtf" vbProcedure="false">#REF!</definedName>
    <definedName function="false" hidden="false" localSheetId="8" name="gtfr" vbProcedure="false">#REF!</definedName>
    <definedName function="false" hidden="false" localSheetId="8" name="gtr" vbProcedure="false">{"print 1",#N/A,FALSE,"PrimeCo PCS";"print 2",#N/A,FALSE,"PrimeCo PCS";"valuation",#N/A,FALSE,"PrimeCo PCS"}</definedName>
    <definedName function="false" hidden="false" localSheetId="8" name="G_Terminaux_SIM" vbProcedure="false">#REF!</definedName>
    <definedName function="false" hidden="false" localSheetId="8" name="G_Terminaux_SIM___0" vbProcedure="false">#REF!</definedName>
    <definedName function="false" hidden="false" localSheetId="8" name="G_Terminaux_SIM___12" vbProcedure="false">#REF!</definedName>
    <definedName function="false" hidden="false" localSheetId="8" name="G_Terminaux_SIM___14" vbProcedure="false">#REF!</definedName>
    <definedName function="false" hidden="false" localSheetId="8" name="G_Terminaux_SIM___16" vbProcedure="false">#REF!</definedName>
    <definedName function="false" hidden="false" localSheetId="8" name="G_Terminaux_SIM___2" vbProcedure="false">#REF!</definedName>
    <definedName function="false" hidden="false" localSheetId="8" name="G_Terminaux_SIM___26" vbProcedure="false">#REF!</definedName>
    <definedName function="false" hidden="false" localSheetId="8" name="G_Terminaux_SIM___27" vbProcedure="false">#REF!</definedName>
    <definedName function="false" hidden="false" localSheetId="8" name="G_Terminaux_SIM___5" vbProcedure="false">#REF!</definedName>
    <definedName function="false" hidden="false" localSheetId="8" name="G_Terminaux_SIM___7" vbProcedure="false">#REF!</definedName>
    <definedName function="false" hidden="false" localSheetId="8" name="G___0" vbProcedure="false">#REF!</definedName>
    <definedName function="false" hidden="false" localSheetId="8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8" name="HANNA1" vbProcedure="false">#REF!</definedName>
    <definedName function="false" hidden="false" localSheetId="8" name="HANNA2" vbProcedure="false">#REF!</definedName>
    <definedName function="false" hidden="false" localSheetId="8" name="HardCodeBaseTBF" vbProcedure="false">#REF!</definedName>
    <definedName function="false" hidden="false" localSheetId="8" name="HardCodeBaseTBF___0" vbProcedure="false">#REF!</definedName>
    <definedName function="false" hidden="false" localSheetId="8" name="HardCodeBaseTBF___12" vbProcedure="false">#REF!</definedName>
    <definedName function="false" hidden="false" localSheetId="8" name="HardCodeBaseTBF___14" vbProcedure="false">#REF!</definedName>
    <definedName function="false" hidden="false" localSheetId="8" name="HardCodeBaseTBF___16" vbProcedure="false">#REF!</definedName>
    <definedName function="false" hidden="false" localSheetId="8" name="HardCodeBaseTBF___2" vbProcedure="false">#REF!</definedName>
    <definedName function="false" hidden="false" localSheetId="8" name="HardCodeBaseTBF___25" vbProcedure="false">#REF!</definedName>
    <definedName function="false" hidden="false" localSheetId="8" name="HardCodeBaseTBF___26" vbProcedure="false">#REF!</definedName>
    <definedName function="false" hidden="false" localSheetId="8" name="HardCodeBaseTBF___27" vbProcedure="false">#REF!</definedName>
    <definedName function="false" hidden="false" localSheetId="8" name="HardCodeBaseTBF___4" vbProcedure="false">#REF!</definedName>
    <definedName function="false" hidden="false" localSheetId="8" name="HardCodeBaseTBF___5" vbProcedure="false">#REF!</definedName>
    <definedName function="false" hidden="false" localSheetId="8" name="HardCodeBaseTBF___7" vbProcedure="false">#REF!</definedName>
    <definedName function="false" hidden="false" localSheetId="8" name="HardCodedATDebtCost" vbProcedure="false">#REF!</definedName>
    <definedName function="false" hidden="false" localSheetId="8" name="HardCodedATDebtCost___16" vbProcedure="false">#REF!</definedName>
    <definedName function="false" hidden="false" localSheetId="8" name="HardCodedATDebtCost___25" vbProcedure="false">#REF!</definedName>
    <definedName function="false" hidden="false" localSheetId="8" name="HardCodedATDebtCost___4" vbProcedure="false">#REF!</definedName>
    <definedName function="false" hidden="false" localSheetId="8" name="HardCodedEquityCost" vbProcedure="false">#REF!</definedName>
    <definedName function="false" hidden="false" localSheetId="8" name="HardCodedEquityCost___0" vbProcedure="false">#REF!</definedName>
    <definedName function="false" hidden="false" localSheetId="8" name="HardCodedEquityCost___26" vbProcedure="false">#REF!</definedName>
    <definedName function="false" hidden="false" localSheetId="8" name="HardCodedEquityCost___27" vbProcedure="false">#REF!</definedName>
    <definedName function="false" hidden="false" localSheetId="8" name="HardCodedEquityCost___5" vbProcedure="false">#REF!</definedName>
    <definedName function="false" hidden="false" localSheetId="8" name="HardCodedEquityCost___7" vbProcedure="false">#REF!</definedName>
    <definedName function="false" hidden="false" localSheetId="8" name="HardCodedWACC" vbProcedure="false">#REF!</definedName>
    <definedName function="false" hidden="false" localSheetId="8" name="HardCodedWACC___0" vbProcedure="false">#REF!</definedName>
    <definedName function="false" hidden="false" localSheetId="8" name="HardCodedWACC___12" vbProcedure="false">#REF!</definedName>
    <definedName function="false" hidden="false" localSheetId="8" name="HardCodedWACC___14" vbProcedure="false">#REF!</definedName>
    <definedName function="false" hidden="false" localSheetId="8" name="HardCodedWACC___16" vbProcedure="false">#REF!</definedName>
    <definedName function="false" hidden="false" localSheetId="8" name="HardCodedWACC___2" vbProcedure="false">#REF!</definedName>
    <definedName function="false" hidden="false" localSheetId="8" name="HardCodedWACC___25" vbProcedure="false">#REF!</definedName>
    <definedName function="false" hidden="false" localSheetId="8" name="HardCodedWACC___26" vbProcedure="false">#REF!</definedName>
    <definedName function="false" hidden="false" localSheetId="8" name="HardCodedWACC___27" vbProcedure="false">#REF!</definedName>
    <definedName function="false" hidden="false" localSheetId="8" name="HardCodedWACC___4" vbProcedure="false">#REF!</definedName>
    <definedName function="false" hidden="false" localSheetId="8" name="HardCodedWACC___5" vbProcedure="false">#REF!</definedName>
    <definedName function="false" hidden="false" localSheetId="8" name="HardCodedWACC___7" vbProcedure="false">#REF!</definedName>
    <definedName function="false" hidden="false" localSheetId="8" name="hassan" vbProcedure="false">#REF!</definedName>
    <definedName function="false" hidden="false" localSheetId="8" name="HC" vbProcedure="false">#REF!</definedName>
    <definedName function="false" hidden="false" localSheetId="8" name="header" vbProcedure="false">#REF!</definedName>
    <definedName function="false" hidden="false" localSheetId="8" name="hegch" vbProcedure="false">'Parc Mobile '!hegch</definedName>
    <definedName function="false" hidden="false" localSheetId="8" name="hello" vbProcedure="false">{#N/A,#N/A,FALSE,"Cover";"outputs total",#N/A,FALSE,"Outputs"}</definedName>
    <definedName function="false" hidden="false" localSheetId="8" name="hfdgdt" vbProcedure="false">'Parc Mobile '!hfdgdt</definedName>
    <definedName function="false" hidden="false" localSheetId="8" name="hfgjd" vbProcedure="false">'Parc Mobile '!hfgjd</definedName>
    <definedName function="false" hidden="false" localSheetId="8" name="hfgjdhb" vbProcedure="false">'Parc Mobile '!hfgjdhb</definedName>
    <definedName function="false" hidden="false" localSheetId="8" name="hfgjdk" vbProcedure="false">'Parc Mobile '!hfgjdk</definedName>
    <definedName function="false" hidden="false" localSheetId="8" name="HFJDKHBF" vbProcedure="false">#REF!</definedName>
    <definedName function="false" hidden="false" localSheetId="8" name="hfjhfk" vbProcedure="false">'Parc Mobile '!hfjhfk</definedName>
    <definedName function="false" hidden="false" localSheetId="8" name="HFJHGN" vbProcedure="false">'Parc Mobile '!HFJHGN</definedName>
    <definedName function="false" hidden="false" localSheetId="8" name="hfsgfx" vbProcedure="false">{#N/A,#N/A,FALSE,"Outlook for Month ";#N/A,#N/A,FALSE,"Risk for Month ";#N/A,#N/A,FALSE,"Upside for Month"}</definedName>
    <definedName function="false" hidden="false" localSheetId="8" name="hgchdb" vbProcedure="false">'Parc Mobile '!hgchdb</definedName>
    <definedName function="false" hidden="false" localSheetId="8" name="HGDF?" vbProcedure="false">'Parc Mobile '!HGDF?</definedName>
    <definedName function="false" hidden="false" localSheetId="8" name="hgdsj" vbProcedure="false">'Parc Mobile '!hgdsj</definedName>
    <definedName function="false" hidden="false" localSheetId="8" name="hgfjfjfv" vbProcedure="false">'Parc Mobile '!hgfjfjfv</definedName>
    <definedName function="false" hidden="false" localSheetId="8" name="HGFJNB" vbProcedure="false">'Parc Mobile '!HGFJNB</definedName>
    <definedName function="false" hidden="false" localSheetId="8" name="hhhsdf" vbProcedure="false">{"up stand alones",#N/A,FALSE,"Acquiror"}</definedName>
    <definedName function="false" hidden="false" localSheetId="8" name="hjkdhfgj" vbProcedure="false">'Parc Mobile '!hjkdhfgj</definedName>
    <definedName function="false" hidden="false" localSheetId="8" name="HK" vbProcedure="false">#REF!</definedName>
    <definedName function="false" hidden="false" localSheetId="8" name="hoi" vbProcedure="false">'Parc Mobile '!hoi</definedName>
    <definedName function="false" hidden="false" localSheetId="8" name="honor" vbProcedure="false">#REF!</definedName>
    <definedName function="false" hidden="false" localSheetId="8" name="HSFRZ" vbProcedure="false">'Parc Mobile '!HSFRZ</definedName>
    <definedName function="false" hidden="false" localSheetId="8" name="ht" vbProcedure="false">#REF!</definedName>
    <definedName function="false" hidden="false" localSheetId="8" name="HTML_Control" vbProcedure="false">{"' calendrier 2000'!$A$1:$Q$38"}</definedName>
    <definedName function="false" hidden="false" localSheetId="8" name="HTML_Control2" vbProcedure="false">{"' calendrier 2000'!$A$1:$Q$38"}</definedName>
    <definedName function="false" hidden="false" localSheetId="8" name="HUF" vbProcedure="false">#REF!</definedName>
    <definedName function="false" hidden="false" localSheetId="8" name="H_Roaming_Internat" vbProcedure="false">#REF!</definedName>
    <definedName function="false" hidden="false" localSheetId="8" name="H_Roaming_Internat___0" vbProcedure="false">#REF!</definedName>
    <definedName function="false" hidden="false" localSheetId="8" name="H_Roaming_Internat___12" vbProcedure="false">#REF!</definedName>
    <definedName function="false" hidden="false" localSheetId="8" name="H_Roaming_Internat___14" vbProcedure="false">#REF!</definedName>
    <definedName function="false" hidden="false" localSheetId="8" name="H_Roaming_Internat___16" vbProcedure="false">#REF!</definedName>
    <definedName function="false" hidden="false" localSheetId="8" name="H_Roaming_Internat___2" vbProcedure="false">#REF!</definedName>
    <definedName function="false" hidden="false" localSheetId="8" name="H_Roaming_Internat___26" vbProcedure="false">#REF!</definedName>
    <definedName function="false" hidden="false" localSheetId="8" name="H_Roaming_Internat___27" vbProcedure="false">#REF!</definedName>
    <definedName function="false" hidden="false" localSheetId="8" name="H_Roaming_Internat___5" vbProcedure="false">#REF!</definedName>
    <definedName function="false" hidden="false" localSheetId="8" name="H_Roaming_Internat___7" vbProcedure="false">#REF!</definedName>
    <definedName function="false" hidden="false" localSheetId="8" name="héhé___0" vbProcedure="false">'Parc Mobile '!VolFactor___5/#REF!</definedName>
    <definedName function="false" hidden="false" localSheetId="8" name="héhé___14" vbProcedure="false">'Parc Mobile '!VolFactor___16/#REF!</definedName>
    <definedName function="false" hidden="false" localSheetId="8" name="héhé___16" vbProcedure="false">'Parc Mobile '!VLastRowToPrint___7/#REF!</definedName>
    <definedName function="false" hidden="false" localSheetId="8" name="héhé___23" vbProcedure="false">'Parc Mobile '!VolFactor___5/#REF!</definedName>
    <definedName function="false" hidden="false" localSheetId="8" name="héhé___26" vbProcedure="false">'Parc Mobile '!VolFactor___5/#REF!</definedName>
    <definedName function="false" hidden="false" localSheetId="8" name="héhé___27" vbProcedure="false">'Parc Mobile '!VolFactor___14/#REF!</definedName>
    <definedName function="false" hidden="false" localSheetId="8" name="héhé___4" vbProcedure="false">'Parc Mobile '!VLastRowToPrint___0/#REF!</definedName>
    <definedName function="false" hidden="false" localSheetId="8" name="héhé___5" vbProcedure="false">'Parc Mobile '!VolFactor___2/#REF!</definedName>
    <definedName function="false" hidden="false" localSheetId="8" name="héhé___7" vbProcedure="false">'Parc Mobile '!VolFactor___5/#REF!</definedName>
    <definedName function="false" hidden="false" localSheetId="8" name="héhé___9" vbProcedure="false">'Parc Mobile '!VolFactor___5/#REF!</definedName>
    <definedName function="false" hidden="false" localSheetId="8" name="I" vbProcedure="false">#REF!</definedName>
    <definedName function="false" hidden="false" localSheetId="8" name="ik" vbProcedure="false">{"casespecific",#N/A,FALSE,"Assumptions"}</definedName>
    <definedName function="false" hidden="false" localSheetId="8" name="IM" vbProcedure="false">'Parc Mobile '!IM</definedName>
    <definedName function="false" hidden="false" localSheetId="8" name="immo" vbProcedure="false">#REF!</definedName>
    <definedName function="false" hidden="false" localSheetId="8" name="immodiv" vbProcedure="false">#REF!</definedName>
    <definedName function="false" hidden="false" localSheetId="8" name="ImportFile" vbProcedure="false">'Parc Mobile '!ImportFile</definedName>
    <definedName function="false" hidden="false" localSheetId="8" name="ImportFile___0" vbProcedure="false">'Parc Mobile '!ISPctList___2</definedName>
    <definedName function="false" hidden="false" localSheetId="8" name="ISPctList___2" vbProcedure="false">#REF!</definedName>
    <definedName function="false" hidden="false" localSheetId="8" name="ImportFile___14" vbProcedure="false">'Parc Mobile '!ISPctChoice___7</definedName>
    <definedName function="false" hidden="false" localSheetId="8" name="ISPctChoice___7" vbProcedure="false">#REF!</definedName>
    <definedName function="false" hidden="false" localSheetId="8" name="ImportFile___16" vbProcedure="false">'Parc Mobile '!ISPctChoice___2</definedName>
    <definedName function="false" hidden="false" localSheetId="8" name="ISPctChoice___2" vbProcedure="false">#REF!</definedName>
    <definedName function="false" hidden="false" localSheetId="8" name="ImportFile___2" vbProcedure="false">'Parc Mobile '!ISPctChoice___0</definedName>
    <definedName function="false" hidden="false" localSheetId="8" name="ISPctChoice___0" vbProcedure="false">#REF!</definedName>
    <definedName function="false" hidden="false" localSheetId="8" name="ImportFile___23" vbProcedure="false">'Parc Mobile '!ISPctChoice___14</definedName>
    <definedName function="false" hidden="false" localSheetId="8" name="ISPctChoice___14" vbProcedure="false">#REF!</definedName>
    <definedName function="false" hidden="false" localSheetId="8" name="ImportFile___25" vbProcedure="false">'Parc Mobile '!ISPctChoice___27</definedName>
    <definedName function="false" hidden="false" localSheetId="8" name="ISPctChoice___27" vbProcedure="false">#REF!</definedName>
    <definedName function="false" hidden="false" localSheetId="8" name="ImportFile___26" vbProcedure="false">'Parc Mobile '!ISPctList___25</definedName>
    <definedName function="false" hidden="false" localSheetId="8" name="ISPctList___25" vbProcedure="false">#REF!</definedName>
    <definedName function="false" hidden="false" localSheetId="8" name="ImportFile___27" vbProcedure="false">'Parc Mobile '!ISPctList___16</definedName>
    <definedName function="false" hidden="false" localSheetId="8" name="ISPctList___16" vbProcedure="false">#REF!</definedName>
    <definedName function="false" hidden="false" localSheetId="8" name="ImportFile___3" vbProcedure="false">'Parc Mobile '!ISPctChoice___26</definedName>
    <definedName function="false" hidden="false" localSheetId="8" name="ISPctChoice___26" vbProcedure="false">#REF!</definedName>
    <definedName function="false" hidden="false" localSheetId="8" name="ImportFile___4" vbProcedure="false">'Parc Mobile '!ISPctChoice___12</definedName>
    <definedName function="false" hidden="false" localSheetId="8" name="ISPctChoice___12" vbProcedure="false">#REF!</definedName>
    <definedName function="false" hidden="false" localSheetId="8" name="ImportFile___5" vbProcedure="false">'Parc Mobile '!ISPctList___4</definedName>
    <definedName function="false" hidden="false" localSheetId="8" name="ISPctList___4" vbProcedure="false">#REF!</definedName>
    <definedName function="false" hidden="false" localSheetId="8" name="ImportFile___6" vbProcedure="false">'Parc Mobile '!ISPctChoice___25</definedName>
    <definedName function="false" hidden="false" localSheetId="8" name="ISPctChoice___25" vbProcedure="false">#REF!</definedName>
    <definedName function="false" hidden="false" localSheetId="8" name="ImportFile___7" vbProcedure="false">'Parc Mobile '!ISPctList___14</definedName>
    <definedName function="false" hidden="false" localSheetId="8" name="ISPctList___14" vbProcedure="false">#REF!</definedName>
    <definedName function="false" hidden="false" localSheetId="8" name="ImportFile___9" vbProcedure="false">'Parc Mobile '!ISPctChoice___5</definedName>
    <definedName function="false" hidden="false" localSheetId="8" name="ISPctChoice___5" vbProcedure="false">#REF!</definedName>
    <definedName function="false" hidden="false" localSheetId="8" name="Impres_titres_MI" vbProcedure="false">#REF!</definedName>
    <definedName function="false" hidden="false" localSheetId="8" name="Impres_titres_MI___12" vbProcedure="false">#REF!</definedName>
    <definedName function="false" hidden="false" localSheetId="8" name="Impres_titres_MI___2" vbProcedure="false">#REF!</definedName>
    <definedName function="false" hidden="false" localSheetId="8" name="Impres_titres_MI___25" vbProcedure="false">#REF!</definedName>
    <definedName function="false" hidden="false" localSheetId="8" name="Impres_titres_MI___26" vbProcedure="false">#REF!</definedName>
    <definedName function="false" hidden="false" localSheetId="8" name="Impres_titres_MI___4" vbProcedure="false">#REF!</definedName>
    <definedName function="false" hidden="false" localSheetId="8" name="Impres_titres_MI___6" vbProcedure="false">#REF!</definedName>
    <definedName function="false" hidden="false" localSheetId="8" name="Impres_titres_MI___7" vbProcedure="false">#REF!</definedName>
    <definedName function="false" hidden="false" localSheetId="8" name="inddd" vbProcedure="false">#REF!</definedName>
    <definedName function="false" hidden="false" localSheetId="8" name="INSUR" vbProcedure="false">#REF!</definedName>
    <definedName function="false" hidden="false" localSheetId="8" name="INTEREST" vbProcedure="false">#REF!</definedName>
    <definedName function="false" hidden="false" localSheetId="8" name="inv" vbProcedure="false">'Parc Mobile '!Tx_intérêt_par_an/#REF!</definedName>
    <definedName function="false" hidden="false" localSheetId="8" name="INVENTORY_PRIOR_MONTH" vbProcedure="false">#REF!</definedName>
    <definedName function="false" hidden="false" localSheetId="8" name="inv___0" vbProcedure="false">'Parc Mobile '!VolFactor___5/#REF!</definedName>
    <definedName function="false" hidden="false" localSheetId="8" name="inv___12" vbProcedure="false">'Parc Mobile '!VolFactor___25/#REF!</definedName>
    <definedName function="false" hidden="false" localSheetId="8" name="inv___14" vbProcedure="false">'Parc Mobile '!VolFactor___16/#REF!</definedName>
    <definedName function="false" hidden="false" localSheetId="8" name="inv___16" vbProcedure="false">'Parc Mobile '!VLastRowToPrint___7/#REF!</definedName>
    <definedName function="false" hidden="false" localSheetId="8" name="inv___2" vbProcedure="false">'Parc Mobile '!VolFactor___4/#REF!</definedName>
    <definedName function="false" hidden="false" localSheetId="8" name="inv___23" vbProcedure="false">'Parc Mobile '!VolFactor___5/#REF!</definedName>
    <definedName function="false" hidden="false" localSheetId="8" name="inv___26" vbProcedure="false">'Parc Mobile '!VolFactor___12/#REF!</definedName>
    <definedName function="false" hidden="false" localSheetId="8" name="inv___27" vbProcedure="false">'Parc Mobile '!VolFactor___14/#REF!</definedName>
    <definedName function="false" hidden="false" localSheetId="8" name="inv___3" vbProcedure="false">'Parc Mobile '!VolFactor___5/#REF!</definedName>
    <definedName function="false" hidden="false" localSheetId="8" name="inv___4" vbProcedure="false">'Parc Mobile '!VLastRowToPrint___0/#REF!</definedName>
    <definedName function="false" hidden="false" localSheetId="8" name="inv___5" vbProcedure="false">'Parc Mobile '!VolFactor___2/#REF!</definedName>
    <definedName function="false" hidden="false" localSheetId="8" name="inv___6" vbProcedure="false">'Parc Mobile '!VLastRowToPrint___26/#REF!</definedName>
    <definedName function="false" hidden="false" localSheetId="8" name="inv___7" vbProcedure="false">'Parc Mobile '!VolFactor___27/#REF!</definedName>
    <definedName function="false" hidden="false" localSheetId="8" name="inv___9" vbProcedure="false">'Parc Mobile '!VolFactor___5/#REF!</definedName>
    <definedName function="false" hidden="false" localSheetId="8" name="io" vbProcedure="false">{#N/A,#N/A,FALSE,"Contribution Analysis"}</definedName>
    <definedName function="false" hidden="false" localSheetId="8" name="iouirtrt" vbProcedure="false">#REF!</definedName>
    <definedName function="false" hidden="false" localSheetId="8" name="ISPctChoice" vbProcedure="false">#REF!</definedName>
    <definedName function="false" hidden="false" localSheetId="8" name="ISPctChoice___16" vbProcedure="false">#REF!</definedName>
    <definedName function="false" hidden="false" localSheetId="8" name="ISPctChoice___4" vbProcedure="false">#REF!</definedName>
    <definedName function="false" hidden="false" localSheetId="8" name="ISPctList" vbProcedure="false">#REF!</definedName>
    <definedName function="false" hidden="false" localSheetId="8" name="ISPctList___0" vbProcedure="false">#REF!</definedName>
    <definedName function="false" hidden="false" localSheetId="8" name="ISPctList___12" vbProcedure="false">#REF!</definedName>
    <definedName function="false" hidden="false" localSheetId="8" name="ISPctList___26" vbProcedure="false">#REF!</definedName>
    <definedName function="false" hidden="false" localSheetId="8" name="ISPctList___27" vbProcedure="false">#REF!</definedName>
    <definedName function="false" hidden="false" localSheetId="8" name="ISPctList___5" vbProcedure="false">#REF!</definedName>
    <definedName function="false" hidden="false" localSheetId="8" name="ISPctList___7" vbProcedure="false">#REF!</definedName>
    <definedName function="false" hidden="false" localSheetId="8" name="itl" vbProcedure="false">#REF!</definedName>
    <definedName function="false" hidden="false" localSheetId="8" name="iu" vbProcedure="false">{"orixcsc",#N/A,FALSE,"ORIX CSC";"orixcsc2",#N/A,FALSE,"ORIX CSC"}</definedName>
    <definedName function="false" hidden="false" localSheetId="8" name="I___12" vbProcedure="false">#REF!</definedName>
    <definedName function="false" hidden="false" localSheetId="8" name="I___2" vbProcedure="false">#REF!</definedName>
    <definedName function="false" hidden="false" localSheetId="8" name="I___25" vbProcedure="false">#REF!</definedName>
    <definedName function="false" hidden="false" localSheetId="8" name="I___26" vbProcedure="false">#REF!</definedName>
    <definedName function="false" hidden="false" localSheetId="8" name="I___4" vbProcedure="false">#REF!</definedName>
    <definedName function="false" hidden="false" localSheetId="8" name="I___6" vbProcedure="false">#REF!</definedName>
    <definedName function="false" hidden="false" localSheetId="8" name="I___7" vbProcedure="false">#REF!</definedName>
    <definedName function="false" hidden="false" localSheetId="8" name="j" vbProcedure="false">{"résultats",#N/A,FALSE,"résultats SFS";"indicateurs",#N/A,FALSE,"résultats SFS";"commentaires",#N/A,FALSE,"commentaires SFS";"graphiques",#N/A,FALSE,"graphiques SFS"}</definedName>
    <definedName function="false" hidden="false" localSheetId="8" name="Jadida" vbProcedure="false">#REF!</definedName>
    <definedName function="false" hidden="false" localSheetId="8" name="January" vbProcedure="false">#REF!</definedName>
    <definedName function="false" hidden="false" localSheetId="8" name="Janvier" vbProcedure="false">#REF!</definedName>
    <definedName function="false" hidden="false" localSheetId="8" name="JB" vbProcedure="false">#REF!</definedName>
    <definedName function="false" hidden="false" localSheetId="8" name="JDJY" vbProcedure="false">#N/A</definedName>
    <definedName function="false" hidden="false" localSheetId="8" name="jfhbvc" vbProcedure="false">#REF!</definedName>
    <definedName function="false" hidden="false" localSheetId="8" name="jfhjkfv" vbProcedure="false">'Parc Mobile '!jfhjkfv</definedName>
    <definedName function="false" hidden="false" localSheetId="8" name="jfhkfn" vbProcedure="false">'Parc Mobile '!jfhkfn</definedName>
    <definedName function="false" hidden="false" localSheetId="8" name="JFHKG" vbProcedure="false">'Parc Mobile '!JFHKG</definedName>
    <definedName function="false" hidden="false" localSheetId="8" name="jfjfj" vbProcedure="false">{#N/A,#N/A,TRUE,"Cover sheet";#N/A,#N/A,TRUE,"DCF analysis";#N/A,#N/A,TRUE,"WACC calculation"}</definedName>
    <definedName function="false" hidden="false" localSheetId="8" name="jgkhjk" vbProcedure="false">#REF!</definedName>
    <definedName function="false" hidden="false" localSheetId="8" name="jhgjhgjhh" vbProcedure="false">'Parc Mobile '!jhgjhgjhh</definedName>
    <definedName function="false" hidden="false" localSheetId="8" name="jhgjhgjhh___0" vbProcedure="false">'Parc Mobile '!LastAmort___0</definedName>
    <definedName function="false" hidden="false" localSheetId="8" name="LastAmort___0" vbProcedure="false">#REF!</definedName>
    <definedName function="false" hidden="false" localSheetId="8" name="jhgjhgjhh___12" vbProcedure="false">'Parc Mobile '!LastAmort___12</definedName>
    <definedName function="false" hidden="false" localSheetId="8" name="LastAmort___12" vbProcedure="false">#REF!</definedName>
    <definedName function="false" hidden="false" localSheetId="8" name="jhgjhgjhh___14" vbProcedure="false">'Parc Mobile '!LastAmort___14</definedName>
    <definedName function="false" hidden="false" localSheetId="8" name="LastAmort___14" vbProcedure="false">#REF!</definedName>
    <definedName function="false" hidden="false" localSheetId="8" name="jhgjhgjhh___16" vbProcedure="false">'Parc Mobile '!LAssets___0</definedName>
    <definedName function="false" hidden="false" localSheetId="8" name="LAssets___0" vbProcedure="false">#REF!</definedName>
    <definedName function="false" hidden="false" localSheetId="8" name="jhgjhgjhh___2" vbProcedure="false">'Parc Mobile '!LastAmort___2</definedName>
    <definedName function="false" hidden="false" localSheetId="8" name="LastAmort___2" vbProcedure="false">#REF!</definedName>
    <definedName function="false" hidden="false" localSheetId="8" name="jhgjhgjhh___23" vbProcedure="false">'Parc Mobile '!LAssets___7</definedName>
    <definedName function="false" hidden="false" localSheetId="8" name="LAssets___7" vbProcedure="false">#REF!</definedName>
    <definedName function="false" hidden="false" localSheetId="8" name="jhgjhgjhh___25" vbProcedure="false">'Parc Mobile '!LastAmort___16</definedName>
    <definedName function="false" hidden="false" localSheetId="8" name="LastAmort___16" vbProcedure="false">#REF!</definedName>
    <definedName function="false" hidden="false" localSheetId="8" name="jhgjhgjhh___26" vbProcedure="false">'Parc Mobile '!LastAmort___26</definedName>
    <definedName function="false" hidden="false" localSheetId="8" name="LastAmort___26" vbProcedure="false">#REF!</definedName>
    <definedName function="false" hidden="false" localSheetId="8" name="jhgjhgjhh___27" vbProcedure="false">'Parc Mobile '!LastAmort___27</definedName>
    <definedName function="false" hidden="false" localSheetId="8" name="LastAmort___27" vbProcedure="false">#REF!</definedName>
    <definedName function="false" hidden="false" localSheetId="8" name="jhgjhgjhh___3" vbProcedure="false">'Parc Mobile '!LastAmort___25</definedName>
    <definedName function="false" hidden="false" localSheetId="8" name="LastAmort___25" vbProcedure="false">#REF!</definedName>
    <definedName function="false" hidden="false" localSheetId="8" name="jhgjhgjhh___5" vbProcedure="false">'Parc Mobile '!LastAmort___5</definedName>
    <definedName function="false" hidden="false" localSheetId="8" name="LastAmort___5" vbProcedure="false">#REF!</definedName>
    <definedName function="false" hidden="false" localSheetId="8" name="jhgjhgjhh___6" vbProcedure="false">'Parc Mobile '!LAssets___26</definedName>
    <definedName function="false" hidden="false" localSheetId="8" name="LAssets___26" vbProcedure="false">#REF!</definedName>
    <definedName function="false" hidden="false" localSheetId="8" name="jhgjhgjhh___7" vbProcedure="false">'Parc Mobile '!LastAmort___7</definedName>
    <definedName function="false" hidden="false" localSheetId="8" name="LastAmort___7" vbProcedure="false">#REF!</definedName>
    <definedName function="false" hidden="false" localSheetId="8" name="jhgjhgjhh___9" vbProcedure="false">'Parc Mobile '!LastAmort___4</definedName>
    <definedName function="false" hidden="false" localSheetId="8" name="LastAmort___4" vbProcedure="false">#REF!</definedName>
    <definedName function="false" hidden="false" localSheetId="8" name="jhgjuy" vbProcedure="false">'Parc Mobile '!jhgjuy</definedName>
    <definedName function="false" hidden="false" localSheetId="8" name="JHYGB" vbProcedure="false">'Parc Mobile '!JHYGB</definedName>
    <definedName function="false" hidden="false" localSheetId="8" name="jj" vbProcedure="false">#N/A</definedName>
    <definedName function="false" hidden="false" localSheetId="8" name="JJJJJJ" vbProcedure="false">#N/A</definedName>
    <definedName function="false" hidden="false" localSheetId="8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8" name="JNBGHVC" vbProcedure="false">'Parc Mobile '!JNBGHVC</definedName>
    <definedName function="false" hidden="false" localSheetId="8" name="jnijk" vbProcedure="false">'Parc Mobile '!jnijk</definedName>
    <definedName function="false" hidden="false" localSheetId="8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JTYJKYTK" vbProcedure="false">#N/A</definedName>
    <definedName function="false" hidden="false" localSheetId="8" name="juin" vbProcedure="false">#REF!</definedName>
    <definedName function="false" hidden="false" localSheetId="8" name="July" vbProcedure="false">#REF!</definedName>
    <definedName function="false" hidden="false" localSheetId="8" name="June" vbProcedure="false">#REF!</definedName>
    <definedName function="false" hidden="false" localSheetId="8" name="JYDTJKTK" vbProcedure="false">#N/A</definedName>
    <definedName function="false" hidden="false" localSheetId="8" name="jzrdsf" vbProcedure="false">'Parc Mobile '!jzrdsf</definedName>
    <definedName function="false" hidden="false" localSheetId="8" name="K" vbProcedure="false">#REF!</definedName>
    <definedName function="false" hidden="false" localSheetId="8" name="ka" vbProcedure="false">{"IS",#N/A,FALSE,"IS";"RPTIS",#N/A,FALSE,"RPTIS";"STATS",#N/A,FALSE,"STATS";"CELL",#N/A,FALSE,"CELL";"BS",#N/A,FALSE,"BS"}</definedName>
    <definedName function="false" hidden="false" localSheetId="8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kdnhfg" vbProcedure="false">'Parc Mobile '!kdnhfg</definedName>
    <definedName function="false" hidden="false" localSheetId="8" name="ke" vbProcedure="false">{"orixcsc",#N/A,FALSE,"ORIX CSC";"orixcsc2",#N/A,FALSE,"ORIX CSC"}</definedName>
    <definedName function="false" hidden="false" localSheetId="8" name="Kenitra" vbProcedure="false">#REF!</definedName>
    <definedName function="false" hidden="false" localSheetId="8" name="Keyboards" vbProcedure="false">#REF!</definedName>
    <definedName function="false" hidden="false" localSheetId="8" name="KeyPt" vbProcedure="false">#REF!</definedName>
    <definedName function="false" hidden="false" localSheetId="8" name="KeyValues" vbProcedure="false">#REF!</definedName>
    <definedName function="false" hidden="false" localSheetId="8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KFG" vbProcedure="false">#REF!</definedName>
    <definedName function="false" hidden="false" localSheetId="8" name="kfhgdj" vbProcedure="false">'Parc Mobile '!kfhgdj</definedName>
    <definedName function="false" hidden="false" localSheetId="8" name="kg" vbProcedure="false">{"print 1",#N/A,FALSE,"PrimeCo PCS";"print 2",#N/A,FALSE,"PrimeCo PCS";"valuation",#N/A,FALSE,"PrimeCo PCS"}</definedName>
    <definedName function="false" hidden="false" localSheetId="8" name="kgkgk" vbProcedure="false">{#N/A,#N/A,TRUE,"Cover sheet";#N/A,#N/A,TRUE,"DCF analysis";#N/A,#N/A,TRUE,"WACC calculation"}</definedName>
    <definedName function="false" hidden="false" localSheetId="8" name="kh" vbProcedure="false">{"test2",#N/A,TRUE,"Prices"}</definedName>
    <definedName function="false" hidden="false" localSheetId="8" name="ki" vbProcedure="false">{"orixcsc",#N/A,FALSE,"ORIX CSC";"orixcsc2",#N/A,FALSE,"ORIX CSC"}</definedName>
    <definedName function="false" hidden="false" localSheetId="8" name="KitEL_RM_SCS" vbProcedure="false">#REF!</definedName>
    <definedName function="false" hidden="false" localSheetId="8" name="KitPart" vbProcedure="false">#REF!</definedName>
    <definedName function="false" hidden="false" localSheetId="8" name="Kits" vbProcedure="false">#REF!</definedName>
    <definedName function="false" hidden="false" localSheetId="8" name="Kit_RMD_VPC" vbProcedure="false">#REF!</definedName>
    <definedName function="false" hidden="false" localSheetId="8" name="kj" vbProcedure="false">{"IS",#N/A,FALSE,"IS";"RPTIS",#N/A,FALSE,"RPTIS";"STATS",#N/A,FALSE,"STATS";"BS",#N/A,FALSE,"BS"}</definedName>
    <definedName function="false" hidden="false" localSheetId="8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kkkkkk" vbProcedure="false">{#N/A,#N/A,FALSE,"ORIX CSC"}</definedName>
    <definedName function="false" hidden="false" localSheetId="8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kkkkkkkkkkk" vbProcedure="false">{#N/A,#N/A,FALSE,"Contribution Analysis"}</definedName>
    <definedName function="false" hidden="false" localSheetId="8" name="kkkkkkkkkkkk" vbProcedure="false">{"IS",#N/A,FALSE,"IS";"RPTIS",#N/A,FALSE,"RPTIS";"STATS",#N/A,FALSE,"STATS";"CELL",#N/A,FALSE,"CELL";"BS",#N/A,FALSE,"BS"}</definedName>
    <definedName function="false" hidden="false" localSheetId="8" name="kkkkkkkkkkkkk" vbProcedure="false">{#N/A,#N/A,FALSE,"ORIX CSC"}</definedName>
    <definedName function="false" hidden="false" localSheetId="8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kkkkkkkkkkkkkkkkkk" vbProcedure="false">{"IS",#N/A,FALSE,"IS";"RPTIS",#N/A,FALSE,"RPTIS";"STATS",#N/A,FALSE,"STATS";"CELL",#N/A,FALSE,"CELL";"BS",#N/A,FALSE,"BS"}</definedName>
    <definedName function="false" hidden="false" localSheetId="8" name="kma" vbProcedure="false">{#N/A,#N/A,TRUE,"Cover sheet";#N/A,#N/A,TRUE,"DCF analysis";#N/A,#N/A,TRUE,"WACC calculation"}</definedName>
    <definedName function="false" hidden="false" localSheetId="8" name="kmh" vbProcedure="false">{#N/A,#N/A,TRUE,"Cover sheet";#N/A,#N/A,TRUE,"DCF analysis";#N/A,#N/A,TRUE,"WACC calculation"}</definedName>
    <definedName function="false" hidden="false" localSheetId="8" name="KMP" vbProcedure="false">#REF!</definedName>
    <definedName function="false" hidden="false" localSheetId="8" name="knl" vbProcedure="false">'Parc Mobile '!knl</definedName>
    <definedName function="false" hidden="false" localSheetId="8" name="ko" vbProcedure="false">{#N/A,#N/A,FALSE,"ORIX CSC"}</definedName>
    <definedName function="false" hidden="false" localSheetId="8" name="kol" vbProcedure="false">{"away stand alones",#N/A,FALSE,"Target"}</definedName>
    <definedName function="false" hidden="false" localSheetId="8" name="kp" vbProcedure="false">{"subs",#N/A,FALSE,"database ";"proportional",#N/A,FALSE,"database "}</definedName>
    <definedName function="false" hidden="false" localSheetId="8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Kqty" vbProcedure="false">#REF!</definedName>
    <definedName function="false" hidden="false" localSheetId="8" name="Kqty2" vbProcedure="false">#REF!</definedName>
    <definedName function="false" hidden="false" localSheetId="8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KRates" vbProcedure="false">#REF!</definedName>
    <definedName function="false" hidden="false" localSheetId="8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kt" vbProcedure="false">{"IS",#N/A,FALSE,"IS";"RPTIS",#N/A,FALSE,"RPTIS";"STATS",#N/A,FALSE,"STATS";"CELL",#N/A,FALSE,"CELL";"BS",#N/A,FALSE,"BS"}</definedName>
    <definedName function="false" hidden="false" localSheetId="8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ky" vbProcedure="false">{#N/A,#N/A,FALSE,"Contribution Analysis"}</definedName>
    <definedName function="false" hidden="false" localSheetId="8" name="K___0" vbProcedure="false">#REF!</definedName>
    <definedName function="false" hidden="false" localSheetId="8" name="K___12" vbProcedure="false">#REF!</definedName>
    <definedName function="false" hidden="false" localSheetId="8" name="K___14" vbProcedure="false">#REF!</definedName>
    <definedName function="false" hidden="false" localSheetId="8" name="K___16" vbProcedure="false">#REF!</definedName>
    <definedName function="false" hidden="false" localSheetId="8" name="K___2" vbProcedure="false">#REF!</definedName>
    <definedName function="false" hidden="false" localSheetId="8" name="K___25" vbProcedure="false">#REF!</definedName>
    <definedName function="false" hidden="false" localSheetId="8" name="K___26" vbProcedure="false">#REF!</definedName>
    <definedName function="false" hidden="false" localSheetId="8" name="K___27" vbProcedure="false">#REF!</definedName>
    <definedName function="false" hidden="false" localSheetId="8" name="K___4" vbProcedure="false">#REF!</definedName>
    <definedName function="false" hidden="false" localSheetId="8" name="K___5" vbProcedure="false">#REF!</definedName>
    <definedName function="false" hidden="false" localSheetId="8" name="K___7" vbProcedure="false">#REF!</definedName>
    <definedName function="false" hidden="false" localSheetId="8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lala" vbProcedure="false">{#N/A,#N/A,TRUE,"Cover sheet";#N/A,#N/A,TRUE,"DCF analysis";#N/A,#N/A,TRUE,"WACC calculation"}</definedName>
    <definedName function="false" hidden="false" localSheetId="8" name="LAssets" vbProcedure="false">#REF!</definedName>
    <definedName function="false" hidden="false" localSheetId="8" name="LAssets___12" vbProcedure="false">#REF!</definedName>
    <definedName function="false" hidden="false" localSheetId="8" name="LAssets___14" vbProcedure="false">#REF!</definedName>
    <definedName function="false" hidden="false" localSheetId="8" name="LAssets___16" vbProcedure="false">#REF!</definedName>
    <definedName function="false" hidden="false" localSheetId="8" name="LAssets___2" vbProcedure="false">#REF!</definedName>
    <definedName function="false" hidden="false" localSheetId="8" name="LAssets___25" vbProcedure="false">#REF!</definedName>
    <definedName function="false" hidden="false" localSheetId="8" name="LAssets___27" vbProcedure="false">#REF!</definedName>
    <definedName function="false" hidden="false" localSheetId="8" name="LAssets___4" vbProcedure="false">#REF!</definedName>
    <definedName function="false" hidden="false" localSheetId="8" name="LAssets___5" vbProcedure="false">#REF!</definedName>
    <definedName function="false" hidden="false" localSheetId="8" name="LastAmort" vbProcedure="false">#REF!</definedName>
    <definedName function="false" hidden="false" localSheetId="8" name="LastChgDefTax" vbProcedure="false">#REF!</definedName>
    <definedName function="false" hidden="false" localSheetId="8" name="LastChgDefTax___0" vbProcedure="false">#REF!</definedName>
    <definedName function="false" hidden="false" localSheetId="8" name="LastChgDefTax___12" vbProcedure="false">#REF!</definedName>
    <definedName function="false" hidden="false" localSheetId="8" name="LastChgDefTax___14" vbProcedure="false">#REF!</definedName>
    <definedName function="false" hidden="false" localSheetId="8" name="LastChgDefTax___16" vbProcedure="false">#REF!</definedName>
    <definedName function="false" hidden="false" localSheetId="8" name="LastChgDefTax___2" vbProcedure="false">#REF!</definedName>
    <definedName function="false" hidden="false" localSheetId="8" name="LastChgDefTax___25" vbProcedure="false">#REF!</definedName>
    <definedName function="false" hidden="false" localSheetId="8" name="LastChgDefTax___26" vbProcedure="false">#REF!</definedName>
    <definedName function="false" hidden="false" localSheetId="8" name="LastChgDefTax___27" vbProcedure="false">#REF!</definedName>
    <definedName function="false" hidden="false" localSheetId="8" name="LastChgDefTax___4" vbProcedure="false">#REF!</definedName>
    <definedName function="false" hidden="false" localSheetId="8" name="LastChgDefTax___5" vbProcedure="false">#REF!</definedName>
    <definedName function="false" hidden="false" localSheetId="8" name="LastChgDefTax___7" vbProcedure="false">#REF!</definedName>
    <definedName function="false" hidden="false" localSheetId="8" name="LastDepr" vbProcedure="false">#REF!</definedName>
    <definedName function="false" hidden="false" localSheetId="8" name="LastDepr___0" vbProcedure="false">#REF!</definedName>
    <definedName function="false" hidden="false" localSheetId="8" name="LastDepr___12" vbProcedure="false">#REF!</definedName>
    <definedName function="false" hidden="false" localSheetId="8" name="LastDepr___14" vbProcedure="false">#REF!</definedName>
    <definedName function="false" hidden="false" localSheetId="8" name="LastDepr___16" vbProcedure="false">#REF!</definedName>
    <definedName function="false" hidden="false" localSheetId="8" name="LastDepr___2" vbProcedure="false">#REF!</definedName>
    <definedName function="false" hidden="false" localSheetId="8" name="LastDepr___25" vbProcedure="false">#REF!</definedName>
    <definedName function="false" hidden="false" localSheetId="8" name="LastDepr___26" vbProcedure="false">#REF!</definedName>
    <definedName function="false" hidden="false" localSheetId="8" name="LastDepr___27" vbProcedure="false">#REF!</definedName>
    <definedName function="false" hidden="false" localSheetId="8" name="LastDepr___4" vbProcedure="false">#REF!</definedName>
    <definedName function="false" hidden="false" localSheetId="8" name="LastDepr___5" vbProcedure="false">#REF!</definedName>
    <definedName function="false" hidden="false" localSheetId="8" name="LastDepr___7" vbProcedure="false">#REF!</definedName>
    <definedName function="false" hidden="false" localSheetId="8" name="LastHistYr" vbProcedure="false">#REF!</definedName>
    <definedName function="false" hidden="false" localSheetId="8" name="LastHistYr___0" vbProcedure="false">#REF!</definedName>
    <definedName function="false" hidden="false" localSheetId="8" name="LastHistYr___12" vbProcedure="false">#REF!</definedName>
    <definedName function="false" hidden="false" localSheetId="8" name="LastHistYr___14" vbProcedure="false">#REF!</definedName>
    <definedName function="false" hidden="false" localSheetId="8" name="LastHistYr___16" vbProcedure="false">#REF!</definedName>
    <definedName function="false" hidden="false" localSheetId="8" name="LastHistYr___2" vbProcedure="false">#REF!</definedName>
    <definedName function="false" hidden="false" localSheetId="8" name="LastHistYr___25" vbProcedure="false">#REF!</definedName>
    <definedName function="false" hidden="false" localSheetId="8" name="LastHistYr___26" vbProcedure="false">#REF!</definedName>
    <definedName function="false" hidden="false" localSheetId="8" name="LastHistYr___27" vbProcedure="false">#REF!</definedName>
    <definedName function="false" hidden="false" localSheetId="8" name="LastHistYr___4" vbProcedure="false">#REF!</definedName>
    <definedName function="false" hidden="false" localSheetId="8" name="LastHistYr___5" vbProcedure="false">#REF!</definedName>
    <definedName function="false" hidden="false" localSheetId="8" name="LastHistYr___7" vbProcedure="false">#REF!</definedName>
    <definedName function="false" hidden="false" localSheetId="8" name="LastNetPPE" vbProcedure="false">#REF!</definedName>
    <definedName function="false" hidden="false" localSheetId="8" name="LastNetPPE___0" vbProcedure="false">#REF!</definedName>
    <definedName function="false" hidden="false" localSheetId="8" name="LastNetPPE___12" vbProcedure="false">#REF!</definedName>
    <definedName function="false" hidden="false" localSheetId="8" name="LastNetPPE___14" vbProcedure="false">#REF!</definedName>
    <definedName function="false" hidden="false" localSheetId="8" name="LastNetPPE___16" vbProcedure="false">#REF!</definedName>
    <definedName function="false" hidden="false" localSheetId="8" name="LastNetPPE___2" vbProcedure="false">#REF!</definedName>
    <definedName function="false" hidden="false" localSheetId="8" name="LastNetPPE___25" vbProcedure="false">#REF!</definedName>
    <definedName function="false" hidden="false" localSheetId="8" name="LastNetPPE___26" vbProcedure="false">#REF!</definedName>
    <definedName function="false" hidden="false" localSheetId="8" name="LastNetPPE___27" vbProcedure="false">#REF!</definedName>
    <definedName function="false" hidden="false" localSheetId="8" name="LastNetPPE___4" vbProcedure="false">#REF!</definedName>
    <definedName function="false" hidden="false" localSheetId="8" name="LastNetPPE___5" vbProcedure="false">#REF!</definedName>
    <definedName function="false" hidden="false" localSheetId="8" name="LastNetPPE___7" vbProcedure="false">#REF!</definedName>
    <definedName function="false" hidden="false" localSheetId="8" name="LastNWIPct" vbProcedure="false">#REF!</definedName>
    <definedName function="false" hidden="false" localSheetId="8" name="LastNWIPct___0" vbProcedure="false">#REF!</definedName>
    <definedName function="false" hidden="false" localSheetId="8" name="LastNWIPct___12" vbProcedure="false">#REF!</definedName>
    <definedName function="false" hidden="false" localSheetId="8" name="LastNWIPct___14" vbProcedure="false">#REF!</definedName>
    <definedName function="false" hidden="false" localSheetId="8" name="LastNWIPct___16" vbProcedure="false">#REF!</definedName>
    <definedName function="false" hidden="false" localSheetId="8" name="LastNWIPct___2" vbProcedure="false">#REF!</definedName>
    <definedName function="false" hidden="false" localSheetId="8" name="LastNWIPct___25" vbProcedure="false">#REF!</definedName>
    <definedName function="false" hidden="false" localSheetId="8" name="LastNWIPct___26" vbProcedure="false">#REF!</definedName>
    <definedName function="false" hidden="false" localSheetId="8" name="LastNWIPct___27" vbProcedure="false">#REF!</definedName>
    <definedName function="false" hidden="false" localSheetId="8" name="LastNWIPct___4" vbProcedure="false">#REF!</definedName>
    <definedName function="false" hidden="false" localSheetId="8" name="LastNWIPct___5" vbProcedure="false">#REF!</definedName>
    <definedName function="false" hidden="false" localSheetId="8" name="LastNWIPct___7" vbProcedure="false">#REF!</definedName>
    <definedName function="false" hidden="false" localSheetId="8" name="LastPPESalesPct" vbProcedure="false">#REF!</definedName>
    <definedName function="false" hidden="false" localSheetId="8" name="LastPPESalesPct___0" vbProcedure="false">#REF!</definedName>
    <definedName function="false" hidden="false" localSheetId="8" name="LastPPESalesPct___12" vbProcedure="false">#REF!</definedName>
    <definedName function="false" hidden="false" localSheetId="8" name="LastPPESalesPct___14" vbProcedure="false">#REF!</definedName>
    <definedName function="false" hidden="false" localSheetId="8" name="LastPPESalesPct___16" vbProcedure="false">#REF!</definedName>
    <definedName function="false" hidden="false" localSheetId="8" name="LastPPESalesPct___2" vbProcedure="false">#REF!</definedName>
    <definedName function="false" hidden="false" localSheetId="8" name="LastPPESalesPct___25" vbProcedure="false">#REF!</definedName>
    <definedName function="false" hidden="false" localSheetId="8" name="LastPPESalesPct___26" vbProcedure="false">#REF!</definedName>
    <definedName function="false" hidden="false" localSheetId="8" name="LastPPESalesPct___27" vbProcedure="false">#REF!</definedName>
    <definedName function="false" hidden="false" localSheetId="8" name="LastPPESalesPct___4" vbProcedure="false">#REF!</definedName>
    <definedName function="false" hidden="false" localSheetId="8" name="LastPPESalesPct___5" vbProcedure="false">#REF!</definedName>
    <definedName function="false" hidden="false" localSheetId="8" name="LastPPESalesPct___7" vbProcedure="false">#REF!</definedName>
    <definedName function="false" hidden="false" localSheetId="8" name="LastProjYr" vbProcedure="false">#REF!</definedName>
    <definedName function="false" hidden="false" localSheetId="8" name="LastProjYr___0" vbProcedure="false">#REF!</definedName>
    <definedName function="false" hidden="false" localSheetId="8" name="LastProjYr___12" vbProcedure="false">#REF!</definedName>
    <definedName function="false" hidden="false" localSheetId="8" name="LastProjYr___14" vbProcedure="false">#REF!</definedName>
    <definedName function="false" hidden="false" localSheetId="8" name="LastProjYr___16" vbProcedure="false">#REF!</definedName>
    <definedName function="false" hidden="false" localSheetId="8" name="LastProjYr___2" vbProcedure="false">#REF!</definedName>
    <definedName function="false" hidden="false" localSheetId="8" name="LastProjYr___25" vbProcedure="false">#REF!</definedName>
    <definedName function="false" hidden="false" localSheetId="8" name="LastProjYr___26" vbProcedure="false">#REF!</definedName>
    <definedName function="false" hidden="false" localSheetId="8" name="LastProjYr___27" vbProcedure="false">#REF!</definedName>
    <definedName function="false" hidden="false" localSheetId="8" name="LastProjYr___4" vbProcedure="false">#REF!</definedName>
    <definedName function="false" hidden="false" localSheetId="8" name="LastProjYr___5" vbProcedure="false">#REF!</definedName>
    <definedName function="false" hidden="false" localSheetId="8" name="LastProjYr___7" vbProcedure="false">#REF!</definedName>
    <definedName function="false" hidden="false" localSheetId="8" name="LastProvisions" vbProcedure="false">#REF!</definedName>
    <definedName function="false" hidden="false" localSheetId="8" name="LastProvisions___0" vbProcedure="false">#REF!</definedName>
    <definedName function="false" hidden="false" localSheetId="8" name="LastProvisions___12" vbProcedure="false">#REF!</definedName>
    <definedName function="false" hidden="false" localSheetId="8" name="LastProvisions___14" vbProcedure="false">#REF!</definedName>
    <definedName function="false" hidden="false" localSheetId="8" name="LastProvisions___16" vbProcedure="false">#REF!</definedName>
    <definedName function="false" hidden="false" localSheetId="8" name="LastProvisions___2" vbProcedure="false">#REF!</definedName>
    <definedName function="false" hidden="false" localSheetId="8" name="LastProvisions___25" vbProcedure="false">#REF!</definedName>
    <definedName function="false" hidden="false" localSheetId="8" name="LastProvisions___26" vbProcedure="false">#REF!</definedName>
    <definedName function="false" hidden="false" localSheetId="8" name="LastProvisions___27" vbProcedure="false">#REF!</definedName>
    <definedName function="false" hidden="false" localSheetId="8" name="LastProvisions___4" vbProcedure="false">#REF!</definedName>
    <definedName function="false" hidden="false" localSheetId="8" name="LastProvisions___5" vbProcedure="false">#REF!</definedName>
    <definedName function="false" hidden="false" localSheetId="8" name="LastProvisions___7" vbProcedure="false">#REF!</definedName>
    <definedName function="false" hidden="false" localSheetId="8" name="LastSales" vbProcedure="false">#REF!</definedName>
    <definedName function="false" hidden="false" localSheetId="8" name="LastSales___0" vbProcedure="false">#REF!</definedName>
    <definedName function="false" hidden="false" localSheetId="8" name="LastSales___12" vbProcedure="false">#REF!</definedName>
    <definedName function="false" hidden="false" localSheetId="8" name="LastSales___14" vbProcedure="false">#REF!</definedName>
    <definedName function="false" hidden="false" localSheetId="8" name="LastSales___16" vbProcedure="false">#REF!</definedName>
    <definedName function="false" hidden="false" localSheetId="8" name="LastSales___2" vbProcedure="false">#REF!</definedName>
    <definedName function="false" hidden="false" localSheetId="8" name="LastSales___25" vbProcedure="false">#REF!</definedName>
    <definedName function="false" hidden="false" localSheetId="8" name="LastSales___26" vbProcedure="false">#REF!</definedName>
    <definedName function="false" hidden="false" localSheetId="8" name="LastSales___27" vbProcedure="false">#REF!</definedName>
    <definedName function="false" hidden="false" localSheetId="8" name="LastSales___4" vbProcedure="false">#REF!</definedName>
    <definedName function="false" hidden="false" localSheetId="8" name="LastSales___5" vbProcedure="false">#REF!</definedName>
    <definedName function="false" hidden="false" localSheetId="8" name="LastSales___7" vbProcedure="false">#REF!</definedName>
    <definedName function="false" hidden="false" localSheetId="8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LCapexPct" vbProcedure="false">#REF!</definedName>
    <definedName function="false" hidden="false" localSheetId="8" name="LCapexPct___0" vbProcedure="false">#REF!</definedName>
    <definedName function="false" hidden="false" localSheetId="8" name="LCapexPct___12" vbProcedure="false">#REF!</definedName>
    <definedName function="false" hidden="false" localSheetId="8" name="LCapexPct___14" vbProcedure="false">#REF!</definedName>
    <definedName function="false" hidden="false" localSheetId="8" name="LCapexPct___16" vbProcedure="false">#REF!</definedName>
    <definedName function="false" hidden="false" localSheetId="8" name="LCapexPct___2" vbProcedure="false">#REF!</definedName>
    <definedName function="false" hidden="false" localSheetId="8" name="LCapexPct___25" vbProcedure="false">#REF!</definedName>
    <definedName function="false" hidden="false" localSheetId="8" name="LCapexPct___26" vbProcedure="false">#REF!</definedName>
    <definedName function="false" hidden="false" localSheetId="8" name="LCapexPct___27" vbProcedure="false">#REF!</definedName>
    <definedName function="false" hidden="false" localSheetId="8" name="LCapexPct___4" vbProcedure="false">#REF!</definedName>
    <definedName function="false" hidden="false" localSheetId="8" name="LCapexPct___5" vbProcedure="false">#REF!</definedName>
    <definedName function="false" hidden="false" localSheetId="8" name="LCapexPct___7" vbProcedure="false">#REF!</definedName>
    <definedName function="false" hidden="false" localSheetId="8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ldgy" vbProcedure="false">'Parc Mobile '!ldgy</definedName>
    <definedName function="false" hidden="false" localSheetId="8" name="le" vbProcedure="false">{"IS",#N/A,FALSE,"IS";"RPTIS",#N/A,FALSE,"RPTIS";"STATS",#N/A,FALSE,"STATS";"CELL",#N/A,FALSE,"CELL";"BS",#N/A,FALSE,"BS"}</definedName>
    <definedName function="false" hidden="false" localSheetId="8" name="LEBITMargin" vbProcedure="false">#REF!</definedName>
    <definedName function="false" hidden="false" localSheetId="8" name="LEBITMargin___0" vbProcedure="false">#REF!</definedName>
    <definedName function="false" hidden="false" localSheetId="8" name="LEBITMargin___12" vbProcedure="false">#REF!</definedName>
    <definedName function="false" hidden="false" localSheetId="8" name="LEBITMargin___14" vbProcedure="false">#REF!</definedName>
    <definedName function="false" hidden="false" localSheetId="8" name="LEBITMargin___16" vbProcedure="false">#REF!</definedName>
    <definedName function="false" hidden="false" localSheetId="8" name="LEBITMargin___2" vbProcedure="false">#REF!</definedName>
    <definedName function="false" hidden="false" localSheetId="8" name="LEBITMargin___25" vbProcedure="false">#REF!</definedName>
    <definedName function="false" hidden="false" localSheetId="8" name="LEBITMargin___26" vbProcedure="false">#REF!</definedName>
    <definedName function="false" hidden="false" localSheetId="8" name="LEBITMargin___27" vbProcedure="false">#REF!</definedName>
    <definedName function="false" hidden="false" localSheetId="8" name="LEBITMargin___4" vbProcedure="false">#REF!</definedName>
    <definedName function="false" hidden="false" localSheetId="8" name="LEBITMargin___5" vbProcedure="false">#REF!</definedName>
    <definedName function="false" hidden="false" localSheetId="8" name="LEBITMargin___7" vbProcedure="false">#REF!</definedName>
    <definedName function="false" hidden="false" localSheetId="8" name="LeveredBeta" vbProcedure="false">#REF!</definedName>
    <definedName function="false" hidden="false" localSheetId="8" name="LeveredBeta___0" vbProcedure="false">#REF!</definedName>
    <definedName function="false" hidden="false" localSheetId="8" name="LeveredBeta___12" vbProcedure="false">#REF!</definedName>
    <definedName function="false" hidden="false" localSheetId="8" name="LeveredBeta___14" vbProcedure="false">#REF!</definedName>
    <definedName function="false" hidden="false" localSheetId="8" name="LeveredBeta___16" vbProcedure="false">#REF!</definedName>
    <definedName function="false" hidden="false" localSheetId="8" name="LeveredBeta___2" vbProcedure="false">#REF!</definedName>
    <definedName function="false" hidden="false" localSheetId="8" name="LeveredBeta___25" vbProcedure="false">#REF!</definedName>
    <definedName function="false" hidden="false" localSheetId="8" name="LeveredBeta___26" vbProcedure="false">#REF!</definedName>
    <definedName function="false" hidden="false" localSheetId="8" name="LeveredBeta___27" vbProcedure="false">#REF!</definedName>
    <definedName function="false" hidden="false" localSheetId="8" name="LeveredBeta___4" vbProcedure="false">#REF!</definedName>
    <definedName function="false" hidden="false" localSheetId="8" name="LeveredBeta___5" vbProcedure="false">#REF!</definedName>
    <definedName function="false" hidden="false" localSheetId="8" name="LeveredBeta___7" vbProcedure="false">#REF!</definedName>
    <definedName function="false" hidden="false" localSheetId="8" name="li" vbProcedure="false">{"IS",#N/A,FALSE,"IS";"RPTIS",#N/A,FALSE,"RPTIS";"STATS",#N/A,FALSE,"STATS";"CELL",#N/A,FALSE,"CELL";"BS",#N/A,FALSE,"BS"}</definedName>
    <definedName function="false" hidden="false" localSheetId="8" name="liasse" vbProcedure="false">#REF!</definedName>
    <definedName function="false" hidden="false" localSheetId="8" name="liasse30" vbProcedure="false">#REF!</definedName>
    <definedName function="false" hidden="false" localSheetId="8" name="Lissasfa" vbProcedure="false">#REF!</definedName>
    <definedName function="false" hidden="false" localSheetId="8" name="LISTA_100" vbProcedure="false">#REF!</definedName>
    <definedName function="false" hidden="false" localSheetId="8" name="ListPrice" vbProcedure="false">#REF!</definedName>
    <definedName function="false" hidden="false" localSheetId="8" name="LJ" vbProcedure="false">#REF!</definedName>
    <definedName function="false" hidden="false" localSheetId="8" name="lkglotr" vbProcedure="false">#REF!</definedName>
    <definedName function="false" hidden="false" localSheetId="8" name="LKJLML" vbProcedure="false">#REF!</definedName>
    <definedName function="false" hidden="false" localSheetId="8" name="lkkgopr" vbProcedure="false">#REF!</definedName>
    <definedName function="false" hidden="false" localSheetId="8" name="LLiabs" vbProcedure="false">#REF!</definedName>
    <definedName function="false" hidden="false" localSheetId="8" name="LLiabs___0" vbProcedure="false">#REF!</definedName>
    <definedName function="false" hidden="false" localSheetId="8" name="LLiabs___12" vbProcedure="false">#REF!</definedName>
    <definedName function="false" hidden="false" localSheetId="8" name="LLiabs___14" vbProcedure="false">#REF!</definedName>
    <definedName function="false" hidden="false" localSheetId="8" name="LLiabs___16" vbProcedure="false">#REF!</definedName>
    <definedName function="false" hidden="false" localSheetId="8" name="LLiabs___2" vbProcedure="false">#REF!</definedName>
    <definedName function="false" hidden="false" localSheetId="8" name="LLiabs___25" vbProcedure="false">#REF!</definedName>
    <definedName function="false" hidden="false" localSheetId="8" name="LLiabs___26" vbProcedure="false">#REF!</definedName>
    <definedName function="false" hidden="false" localSheetId="8" name="LLiabs___27" vbProcedure="false">#REF!</definedName>
    <definedName function="false" hidden="false" localSheetId="8" name="LLiabs___4" vbProcedure="false">#REF!</definedName>
    <definedName function="false" hidden="false" localSheetId="8" name="LLiabs___5" vbProcedure="false">#REF!</definedName>
    <definedName function="false" hidden="false" localSheetId="8" name="LLiabs___7" vbProcedure="false">#REF!</definedName>
    <definedName function="false" hidden="false" localSheetId="8" name="LMPS" vbProcedure="false">#REF!</definedName>
    <definedName function="false" hidden="false" localSheetId="8" name="ln" vbProcedure="false">{#N/A,#N/A,FALSE,"Contribution Analysis"}</definedName>
    <definedName function="false" hidden="false" localSheetId="8" name="LNPPESales" vbProcedure="false">#REF!</definedName>
    <definedName function="false" hidden="false" localSheetId="8" name="LNPPESales___0" vbProcedure="false">#REF!</definedName>
    <definedName function="false" hidden="false" localSheetId="8" name="LNPPESales___12" vbProcedure="false">#REF!</definedName>
    <definedName function="false" hidden="false" localSheetId="8" name="LNPPESales___14" vbProcedure="false">#REF!</definedName>
    <definedName function="false" hidden="false" localSheetId="8" name="LNPPESales___16" vbProcedure="false">#REF!</definedName>
    <definedName function="false" hidden="false" localSheetId="8" name="LNPPESales___2" vbProcedure="false">#REF!</definedName>
    <definedName function="false" hidden="false" localSheetId="8" name="LNPPESales___25" vbProcedure="false">#REF!</definedName>
    <definedName function="false" hidden="false" localSheetId="8" name="LNPPESales___26" vbProcedure="false">#REF!</definedName>
    <definedName function="false" hidden="false" localSheetId="8" name="LNPPESales___27" vbProcedure="false">#REF!</definedName>
    <definedName function="false" hidden="false" localSheetId="8" name="LNPPESales___4" vbProcedure="false">#REF!</definedName>
    <definedName function="false" hidden="false" localSheetId="8" name="LNPPESales___5" vbProcedure="false">#REF!</definedName>
    <definedName function="false" hidden="false" localSheetId="8" name="LNPPESales___7" vbProcedure="false">#REF!</definedName>
    <definedName function="false" hidden="false" localSheetId="8" name="lo" vbProcedure="false">{"IS",#N/A,FALSE,"IS";"RPTIS",#N/A,FALSE,"RPTIS";"STATS",#N/A,FALSE,"STATS";"CELL",#N/A,FALSE,"CELL";"BS",#N/A,FALSE,"BS"}</definedName>
    <definedName function="false" hidden="false" localSheetId="8" name="loki" vbProcedure="false">#REF!</definedName>
    <definedName function="false" hidden="false" localSheetId="8" name="LongBond" vbProcedure="false">#REF!</definedName>
    <definedName function="false" hidden="false" localSheetId="8" name="LongBond___0" vbProcedure="false">#REF!</definedName>
    <definedName function="false" hidden="false" localSheetId="8" name="LongBond___12" vbProcedure="false">#REF!</definedName>
    <definedName function="false" hidden="false" localSheetId="8" name="LongBond___14" vbProcedure="false">#REF!</definedName>
    <definedName function="false" hidden="false" localSheetId="8" name="LongBond___16" vbProcedure="false">#REF!</definedName>
    <definedName function="false" hidden="false" localSheetId="8" name="LongBond___2" vbProcedure="false">#REF!</definedName>
    <definedName function="false" hidden="false" localSheetId="8" name="LongBond___25" vbProcedure="false">#REF!</definedName>
    <definedName function="false" hidden="false" localSheetId="8" name="LongBond___26" vbProcedure="false">#REF!</definedName>
    <definedName function="false" hidden="false" localSheetId="8" name="LongBond___27" vbProcedure="false">#REF!</definedName>
    <definedName function="false" hidden="false" localSheetId="8" name="LongBond___4" vbProcedure="false">#REF!</definedName>
    <definedName function="false" hidden="false" localSheetId="8" name="LongBond___5" vbProcedure="false">#REF!</definedName>
    <definedName function="false" hidden="false" localSheetId="8" name="LongBond___7" vbProcedure="false">#REF!</definedName>
    <definedName function="false" hidden="false" localSheetId="8" name="LPEBIT" vbProcedure="false">#REF!</definedName>
    <definedName function="false" hidden="false" localSheetId="8" name="LPEBITDA" vbProcedure="false">#REF!</definedName>
    <definedName function="false" hidden="false" localSheetId="8" name="LPEBITDA___0" vbProcedure="false">#REF!</definedName>
    <definedName function="false" hidden="false" localSheetId="8" name="LPEBITDA___12" vbProcedure="false">#REF!</definedName>
    <definedName function="false" hidden="false" localSheetId="8" name="LPEBITDA___14" vbProcedure="false">#REF!</definedName>
    <definedName function="false" hidden="false" localSheetId="8" name="LPEBITDA___16" vbProcedure="false">#REF!</definedName>
    <definedName function="false" hidden="false" localSheetId="8" name="LPEBITDA___2" vbProcedure="false">#REF!</definedName>
    <definedName function="false" hidden="false" localSheetId="8" name="LPEBITDA___25" vbProcedure="false">#REF!</definedName>
    <definedName function="false" hidden="false" localSheetId="8" name="LPEBITDA___26" vbProcedure="false">#REF!</definedName>
    <definedName function="false" hidden="false" localSheetId="8" name="LPEBITDA___27" vbProcedure="false">#REF!</definedName>
    <definedName function="false" hidden="false" localSheetId="8" name="LPEBITDA___4" vbProcedure="false">#REF!</definedName>
    <definedName function="false" hidden="false" localSheetId="8" name="LPEBITDA___5" vbProcedure="false">#REF!</definedName>
    <definedName function="false" hidden="false" localSheetId="8" name="LPEBITDA___7" vbProcedure="false">#REF!</definedName>
    <definedName function="false" hidden="false" localSheetId="8" name="LPEBIT___0" vbProcedure="false">#REF!</definedName>
    <definedName function="false" hidden="false" localSheetId="8" name="LPEBIT___12" vbProcedure="false">#REF!</definedName>
    <definedName function="false" hidden="false" localSheetId="8" name="LPEBIT___14" vbProcedure="false">#REF!</definedName>
    <definedName function="false" hidden="false" localSheetId="8" name="LPEBIT___16" vbProcedure="false">#REF!</definedName>
    <definedName function="false" hidden="false" localSheetId="8" name="LPEBIT___2" vbProcedure="false">#REF!</definedName>
    <definedName function="false" hidden="false" localSheetId="8" name="LPEBIT___25" vbProcedure="false">#REF!</definedName>
    <definedName function="false" hidden="false" localSheetId="8" name="LPEBIT___26" vbProcedure="false">#REF!</definedName>
    <definedName function="false" hidden="false" localSheetId="8" name="LPEBIT___27" vbProcedure="false">#REF!</definedName>
    <definedName function="false" hidden="false" localSheetId="8" name="LPEBIT___4" vbProcedure="false">#REF!</definedName>
    <definedName function="false" hidden="false" localSheetId="8" name="LPEBIT___5" vbProcedure="false">#REF!</definedName>
    <definedName function="false" hidden="false" localSheetId="8" name="LPEBIT___7" vbProcedure="false">#REF!</definedName>
    <definedName function="false" hidden="false" localSheetId="8" name="LPOperProfit" vbProcedure="false">#REF!</definedName>
    <definedName function="false" hidden="false" localSheetId="8" name="LPOperProfit___0" vbProcedure="false">#REF!</definedName>
    <definedName function="false" hidden="false" localSheetId="8" name="LPOperProfit___12" vbProcedure="false">#REF!</definedName>
    <definedName function="false" hidden="false" localSheetId="8" name="LPOperProfit___14" vbProcedure="false">#REF!</definedName>
    <definedName function="false" hidden="false" localSheetId="8" name="LPOperProfit___16" vbProcedure="false">#REF!</definedName>
    <definedName function="false" hidden="false" localSheetId="8" name="LPOperProfit___2" vbProcedure="false">#REF!</definedName>
    <definedName function="false" hidden="false" localSheetId="8" name="LPOperProfit___25" vbProcedure="false">#REF!</definedName>
    <definedName function="false" hidden="false" localSheetId="8" name="LPOperProfit___26" vbProcedure="false">#REF!</definedName>
    <definedName function="false" hidden="false" localSheetId="8" name="LPOperProfit___27" vbProcedure="false">#REF!</definedName>
    <definedName function="false" hidden="false" localSheetId="8" name="LPOperProfit___4" vbProcedure="false">#REF!</definedName>
    <definedName function="false" hidden="false" localSheetId="8" name="LPOperProfit___5" vbProcedure="false">#REF!</definedName>
    <definedName function="false" hidden="false" localSheetId="8" name="LPOperProfit___7" vbProcedure="false">#REF!</definedName>
    <definedName function="false" hidden="false" localSheetId="8" name="LPOther1" vbProcedure="false">#REF!</definedName>
    <definedName function="false" hidden="false" localSheetId="8" name="LPOther1___0" vbProcedure="false">#REF!</definedName>
    <definedName function="false" hidden="false" localSheetId="8" name="LPOther1___12" vbProcedure="false">#REF!</definedName>
    <definedName function="false" hidden="false" localSheetId="8" name="LPOther1___14" vbProcedure="false">#REF!</definedName>
    <definedName function="false" hidden="false" localSheetId="8" name="LPOther1___16" vbProcedure="false">#REF!</definedName>
    <definedName function="false" hidden="false" localSheetId="8" name="LPOther1___2" vbProcedure="false">#REF!</definedName>
    <definedName function="false" hidden="false" localSheetId="8" name="LPOther1___25" vbProcedure="false">#REF!</definedName>
    <definedName function="false" hidden="false" localSheetId="8" name="LPOther1___26" vbProcedure="false">#REF!</definedName>
    <definedName function="false" hidden="false" localSheetId="8" name="LPOther1___27" vbProcedure="false">#REF!</definedName>
    <definedName function="false" hidden="false" localSheetId="8" name="LPOther1___4" vbProcedure="false">#REF!</definedName>
    <definedName function="false" hidden="false" localSheetId="8" name="LPOther1___5" vbProcedure="false">#REF!</definedName>
    <definedName function="false" hidden="false" localSheetId="8" name="LPOther1___7" vbProcedure="false">#REF!</definedName>
    <definedName function="false" hidden="false" localSheetId="8" name="LPOther2" vbProcedure="false">#REF!</definedName>
    <definedName function="false" hidden="false" localSheetId="8" name="LPOther2___0" vbProcedure="false">#REF!</definedName>
    <definedName function="false" hidden="false" localSheetId="8" name="LPOther2___12" vbProcedure="false">#REF!</definedName>
    <definedName function="false" hidden="false" localSheetId="8" name="LPOther2___14" vbProcedure="false">#REF!</definedName>
    <definedName function="false" hidden="false" localSheetId="8" name="LPOther2___16" vbProcedure="false">#REF!</definedName>
    <definedName function="false" hidden="false" localSheetId="8" name="LPOther2___2" vbProcedure="false">#REF!</definedName>
    <definedName function="false" hidden="false" localSheetId="8" name="LPOther2___25" vbProcedure="false">#REF!</definedName>
    <definedName function="false" hidden="false" localSheetId="8" name="LPOther2___26" vbProcedure="false">#REF!</definedName>
    <definedName function="false" hidden="false" localSheetId="8" name="LPOther2___27" vbProcedure="false">#REF!</definedName>
    <definedName function="false" hidden="false" localSheetId="8" name="LPOther2___4" vbProcedure="false">#REF!</definedName>
    <definedName function="false" hidden="false" localSheetId="8" name="LPOther2___5" vbProcedure="false">#REF!</definedName>
    <definedName function="false" hidden="false" localSheetId="8" name="LPOther2___7" vbProcedure="false">#REF!</definedName>
    <definedName function="false" hidden="false" localSheetId="8" name="LPOther3" vbProcedure="false">#REF!</definedName>
    <definedName function="false" hidden="false" localSheetId="8" name="LPOther3___0" vbProcedure="false">#REF!</definedName>
    <definedName function="false" hidden="false" localSheetId="8" name="LPOther3___12" vbProcedure="false">#REF!</definedName>
    <definedName function="false" hidden="false" localSheetId="8" name="LPOther3___14" vbProcedure="false">#REF!</definedName>
    <definedName function="false" hidden="false" localSheetId="8" name="LPOther3___16" vbProcedure="false">#REF!</definedName>
    <definedName function="false" hidden="false" localSheetId="8" name="LPOther3___2" vbProcedure="false">#REF!</definedName>
    <definedName function="false" hidden="false" localSheetId="8" name="LPOther3___25" vbProcedure="false">#REF!</definedName>
    <definedName function="false" hidden="false" localSheetId="8" name="LPOther3___26" vbProcedure="false">#REF!</definedName>
    <definedName function="false" hidden="false" localSheetId="8" name="LPOther3___27" vbProcedure="false">#REF!</definedName>
    <definedName function="false" hidden="false" localSheetId="8" name="LPOther3___4" vbProcedure="false">#REF!</definedName>
    <definedName function="false" hidden="false" localSheetId="8" name="LPOther3___5" vbProcedure="false">#REF!</definedName>
    <definedName function="false" hidden="false" localSheetId="8" name="LPOther3___7" vbProcedure="false">#REF!</definedName>
    <definedName function="false" hidden="false" localSheetId="8" name="LPSales" vbProcedure="false">#REF!</definedName>
    <definedName function="false" hidden="false" localSheetId="8" name="LPSales___0" vbProcedure="false">#REF!</definedName>
    <definedName function="false" hidden="false" localSheetId="8" name="LPSales___12" vbProcedure="false">#REF!</definedName>
    <definedName function="false" hidden="false" localSheetId="8" name="LPSales___14" vbProcedure="false">#REF!</definedName>
    <definedName function="false" hidden="false" localSheetId="8" name="LPSales___16" vbProcedure="false">#REF!</definedName>
    <definedName function="false" hidden="false" localSheetId="8" name="LPSales___2" vbProcedure="false">#REF!</definedName>
    <definedName function="false" hidden="false" localSheetId="8" name="LPSales___25" vbProcedure="false">#REF!</definedName>
    <definedName function="false" hidden="false" localSheetId="8" name="LPSales___26" vbProcedure="false">#REF!</definedName>
    <definedName function="false" hidden="false" localSheetId="8" name="LPSales___27" vbProcedure="false">#REF!</definedName>
    <definedName function="false" hidden="false" localSheetId="8" name="LPSales___4" vbProcedure="false">#REF!</definedName>
    <definedName function="false" hidden="false" localSheetId="8" name="LPSales___5" vbProcedure="false">#REF!</definedName>
    <definedName function="false" hidden="false" localSheetId="8" name="LPSales___7" vbProcedure="false">#REF!</definedName>
    <definedName function="false" hidden="false" localSheetId="8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lr" vbProcedure="false">{"IS",#N/A,FALSE,"IS";"RPTIS",#N/A,FALSE,"RPTIS";"STATS",#N/A,FALSE,"STATS";"CELL",#N/A,FALSE,"CELL";"BS",#N/A,FALSE,"BS"}</definedName>
    <definedName function="false" hidden="false" localSheetId="8" name="lrty" vbProcedure="false">#REF!</definedName>
    <definedName function="false" hidden="false" localSheetId="8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LSalesGrowth" vbProcedure="false">#REF!</definedName>
    <definedName function="false" hidden="false" localSheetId="8" name="LSalesGrowth___0" vbProcedure="false">#REF!</definedName>
    <definedName function="false" hidden="false" localSheetId="8" name="LSalesGrowth___12" vbProcedure="false">#REF!</definedName>
    <definedName function="false" hidden="false" localSheetId="8" name="LSalesGrowth___14" vbProcedure="false">#REF!</definedName>
    <definedName function="false" hidden="false" localSheetId="8" name="LSalesGrowth___16" vbProcedure="false">#REF!</definedName>
    <definedName function="false" hidden="false" localSheetId="8" name="LSalesGrowth___2" vbProcedure="false">#REF!</definedName>
    <definedName function="false" hidden="false" localSheetId="8" name="LSalesGrowth___25" vbProcedure="false">#REF!</definedName>
    <definedName function="false" hidden="false" localSheetId="8" name="LSalesGrowth___26" vbProcedure="false">#REF!</definedName>
    <definedName function="false" hidden="false" localSheetId="8" name="LSalesGrowth___27" vbProcedure="false">#REF!</definedName>
    <definedName function="false" hidden="false" localSheetId="8" name="LSalesGrowth___4" vbProcedure="false">#REF!</definedName>
    <definedName function="false" hidden="false" localSheetId="8" name="LSalesGrowth___5" vbProcedure="false">#REF!</definedName>
    <definedName function="false" hidden="false" localSheetId="8" name="LSalesGrowth___7" vbProcedure="false">#REF!</definedName>
    <definedName function="false" hidden="false" localSheetId="8" name="LTaxRate" vbProcedure="false">#REF!</definedName>
    <definedName function="false" hidden="false" localSheetId="8" name="LTaxRate___0" vbProcedure="false">#REF!</definedName>
    <definedName function="false" hidden="false" localSheetId="8" name="LTaxRate___12" vbProcedure="false">#REF!</definedName>
    <definedName function="false" hidden="false" localSheetId="8" name="LTaxRate___14" vbProcedure="false">#REF!</definedName>
    <definedName function="false" hidden="false" localSheetId="8" name="LTaxRate___16" vbProcedure="false">#REF!</definedName>
    <definedName function="false" hidden="false" localSheetId="8" name="LTaxRate___2" vbProcedure="false">#REF!</definedName>
    <definedName function="false" hidden="false" localSheetId="8" name="LTaxRate___25" vbProcedure="false">#REF!</definedName>
    <definedName function="false" hidden="false" localSheetId="8" name="LTaxRate___26" vbProcedure="false">#REF!</definedName>
    <definedName function="false" hidden="false" localSheetId="8" name="LTaxRate___27" vbProcedure="false">#REF!</definedName>
    <definedName function="false" hidden="false" localSheetId="8" name="LTaxRate___4" vbProcedure="false">#REF!</definedName>
    <definedName function="false" hidden="false" localSheetId="8" name="LTaxRate___5" vbProcedure="false">#REF!</definedName>
    <definedName function="false" hidden="false" localSheetId="8" name="LTaxRate___7" vbProcedure="false">#REF!</definedName>
    <definedName function="false" hidden="false" localSheetId="8" name="lu" vbProcedure="false">{"orixcsc",#N/A,FALSE,"ORIX CSC";"orixcsc2",#N/A,FALSE,"ORIX CSC"}</definedName>
    <definedName function="false" hidden="false" localSheetId="8" name="lumpjiùo" vbProcedure="false">{"IS",#N/A,FALSE,"IS";"RPTIS",#N/A,FALSE,"RPTIS";"STATS",#N/A,FALSE,"STATS";"BS",#N/A,FALSE,"BS"}</definedName>
    <definedName function="false" hidden="false" localSheetId="8" name="lv" vbProcedure="false">{"IS",#N/A,FALSE,"IS";"RPTIS",#N/A,FALSE,"RPTIS";"STATS",#N/A,FALSE,"STATS";"BS",#N/A,FALSE,"BS"}</definedName>
    <definedName function="false" hidden="false" localSheetId="8" name="ly" vbProcedure="false">{#N/A,#N/A,FALSE,"Contribution Analysis"}</definedName>
    <definedName function="false" hidden="false" localSheetId="8" name="lz" vbProcedure="false">{"IS",#N/A,FALSE,"IS";"RPTIS",#N/A,FALSE,"RPTIS";"STATS",#N/A,FALSE,"STATS";"CELL",#N/A,FALSE,"CELL";"BS",#N/A,FALSE,"BS"}</definedName>
    <definedName function="false" hidden="false" localSheetId="8" name="L_" vbProcedure="false">#REF!</definedName>
    <definedName function="false" hidden="false" localSheetId="8" name="L____0" vbProcedure="false">#REF!</definedName>
    <definedName function="false" hidden="false" localSheetId="8" name="L____12" vbProcedure="false">#REF!</definedName>
    <definedName function="false" hidden="false" localSheetId="8" name="L____14" vbProcedure="false">#REF!</definedName>
    <definedName function="false" hidden="false" localSheetId="8" name="L____16" vbProcedure="false">#REF!</definedName>
    <definedName function="false" hidden="false" localSheetId="8" name="L____2" vbProcedure="false">#REF!</definedName>
    <definedName function="false" hidden="false" localSheetId="8" name="L____25" vbProcedure="false">#REF!</definedName>
    <definedName function="false" hidden="false" localSheetId="8" name="L____26" vbProcedure="false">#REF!</definedName>
    <definedName function="false" hidden="false" localSheetId="8" name="L____27" vbProcedure="false">#REF!</definedName>
    <definedName function="false" hidden="false" localSheetId="8" name="L____4" vbProcedure="false">#REF!</definedName>
    <definedName function="false" hidden="false" localSheetId="8" name="L____5" vbProcedure="false">#REF!</definedName>
    <definedName function="false" hidden="false" localSheetId="8" name="L____7" vbProcedure="false">#REF!</definedName>
    <definedName function="false" hidden="false" localSheetId="8" name="M" vbProcedure="false">#REF!</definedName>
    <definedName function="false" hidden="false" localSheetId="8" name="M.E.SFES" vbProcedure="false">#REF!</definedName>
    <definedName function="false" hidden="false" localSheetId="8" name="ma" vbProcedure="false">{#N/A,#N/A,FALSE,"ORIX CSC"}</definedName>
    <definedName function="false" hidden="false" localSheetId="8" name="Macro3" vbProcedure="false">#REF!</definedName>
    <definedName function="false" hidden="false" localSheetId="8" name="Macro3___0" vbProcedure="false">#REF!</definedName>
    <definedName function="false" hidden="false" localSheetId="8" name="Macro3___12" vbProcedure="false">#REF!</definedName>
    <definedName function="false" hidden="false" localSheetId="8" name="Macro3___2" vbProcedure="false">#REF!</definedName>
    <definedName function="false" hidden="false" localSheetId="8" name="Macro3___27" vbProcedure="false">#REF!</definedName>
    <definedName function="false" hidden="false" localSheetId="8" name="Macro3___5" vbProcedure="false">#REF!</definedName>
    <definedName function="false" hidden="false" localSheetId="8" name="MAIN" vbProcedure="false">#REF!</definedName>
    <definedName function="false" hidden="false" localSheetId="8" name="Maintenance_Markup" vbProcedure="false">#REF!</definedName>
    <definedName function="false" hidden="false" localSheetId="8" name="March" vbProcedure="false">#REF!</definedName>
    <definedName function="false" hidden="false" localSheetId="8" name="Markets" vbProcedure="false">#REF!</definedName>
    <definedName function="false" hidden="false" localSheetId="8" name="Marrakech" vbProcedure="false">#REF!</definedName>
    <definedName function="false" hidden="false" localSheetId="8" name="Mars" vbProcedure="false">#REF!</definedName>
    <definedName function="false" hidden="false" localSheetId="8" name="marsabon" vbProcedure="false">#REF!</definedName>
    <definedName function="false" hidden="false" localSheetId="8" name="marsabon___0" vbProcedure="false">#REF!</definedName>
    <definedName function="false" hidden="false" localSheetId="8" name="marsabon___14" vbProcedure="false">#REF!</definedName>
    <definedName function="false" hidden="false" localSheetId="8" name="marsinterur" vbProcedure="false">#REF!</definedName>
    <definedName function="false" hidden="false" localSheetId="8" name="marsinterur___0" vbProcedure="false">#REF!</definedName>
    <definedName function="false" hidden="false" localSheetId="8" name="marsinterur___14" vbProcedure="false">#REF!</definedName>
    <definedName function="false" hidden="false" localSheetId="8" name="marsloc" vbProcedure="false">#REF!</definedName>
    <definedName function="false" hidden="false" localSheetId="8" name="marsloc___0" vbProcedure="false">#REF!</definedName>
    <definedName function="false" hidden="false" localSheetId="8" name="marsloc___14" vbProcedure="false">#REF!</definedName>
    <definedName function="false" hidden="false" localSheetId="8" name="MaSalar" vbProcedure="false">#REF!</definedName>
    <definedName function="false" hidden="false" localSheetId="8" name="May" vbProcedure="false">#REF!</definedName>
    <definedName function="false" hidden="false" localSheetId="8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mc" vbProcedure="false">{"IS",#N/A,FALSE,"IS";"RPTIS",#N/A,FALSE,"RPTIS";"STATS",#N/A,FALSE,"STATS";"BS",#N/A,FALSE,"BS"}</definedName>
    <definedName function="false" hidden="false" localSheetId="8" name="md" vbProcedure="false">{"IS",#N/A,FALSE,"IS";"RPTIS",#N/A,FALSE,"RPTIS";"STATS",#N/A,FALSE,"STATS";"CELL",#N/A,FALSE,"CELL";"BS",#N/A,FALSE,"BS"}</definedName>
    <definedName function="false" hidden="false" localSheetId="8" name="MDB_SAQ" vbProcedure="false">#REF!</definedName>
    <definedName function="false" hidden="false" localSheetId="8" name="mdlm" vbProcedure="false">{#N/A,#N/A,TRUE,"financial";#N/A,#N/A,TRUE,"plants"}</definedName>
    <definedName function="false" hidden="false" localSheetId="8" name="Meknes" vbProcedure="false">#REF!</definedName>
    <definedName function="false" hidden="false" localSheetId="8" name="mf" vbProcedure="false">{"print 1",#N/A,FALSE,"PrimeCo PCS";"print 2",#N/A,FALSE,"PrimeCo PCS";"valuation",#N/A,FALSE,"PrimeCo PCS"}</definedName>
    <definedName function="false" hidden="false" localSheetId="8" name="mh" vbProcedure="false">{"IS",#N/A,FALSE,"IS";"RPTIS",#N/A,FALSE,"RPTIS";"STATS",#N/A,FALSE,"STATS";"BS",#N/A,FALSE,"BS"}</definedName>
    <definedName function="false" hidden="false" localSheetId="8" name="mi" vbProcedure="false">{"subs",#N/A,FALSE,"database ";"proportional",#N/A,FALSE,"database "}</definedName>
    <definedName function="false" hidden="false" localSheetId="8" name="MIDR" vbProcedure="false">#REF!</definedName>
    <definedName function="false" hidden="false" localSheetId="8" name="MIMS" vbProcedure="false">#REF!</definedName>
    <definedName function="false" hidden="false" localSheetId="8" name="mj" vbProcedure="false">{"test2",#N/A,TRUE,"Prices"}</definedName>
    <definedName function="false" hidden="false" localSheetId="8" name="MktRiskAdj" vbProcedure="false">#REF!</definedName>
    <definedName function="false" hidden="false" localSheetId="8" name="MktRiskAdj___0" vbProcedure="false">#REF!</definedName>
    <definedName function="false" hidden="false" localSheetId="8" name="MktRiskAdj___12" vbProcedure="false">#REF!</definedName>
    <definedName function="false" hidden="false" localSheetId="8" name="MktRiskAdj___14" vbProcedure="false">#REF!</definedName>
    <definedName function="false" hidden="false" localSheetId="8" name="MktRiskAdj___16" vbProcedure="false">#REF!</definedName>
    <definedName function="false" hidden="false" localSheetId="8" name="MktRiskAdj___2" vbProcedure="false">#REF!</definedName>
    <definedName function="false" hidden="false" localSheetId="8" name="MktRiskAdj___25" vbProcedure="false">#REF!</definedName>
    <definedName function="false" hidden="false" localSheetId="8" name="MktRiskAdj___26" vbProcedure="false">#REF!</definedName>
    <definedName function="false" hidden="false" localSheetId="8" name="MktRiskAdj___27" vbProcedure="false">#REF!</definedName>
    <definedName function="false" hidden="false" localSheetId="8" name="MktRiskAdj___4" vbProcedure="false">#REF!</definedName>
    <definedName function="false" hidden="false" localSheetId="8" name="MktRiskAdj___5" vbProcedure="false">#REF!</definedName>
    <definedName function="false" hidden="false" localSheetId="8" name="MktRiskAdj___7" vbProcedure="false">#REF!</definedName>
    <definedName function="false" hidden="false" localSheetId="8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MMMMM" vbProcedure="false">#N/A</definedName>
    <definedName function="false" hidden="false" localSheetId="8" name="mn" vbProcedure="false">{"print 1",#N/A,FALSE,"PrimeCo PCS";"print 2",#N/A,FALSE,"PrimeCo PCS";"valuation",#N/A,FALSE,"PrimeCo PCS"}</definedName>
    <definedName function="false" hidden="false" localSheetId="8" name="mo" vbProcedure="false">{"test2",#N/A,TRUE,"Prices"}</definedName>
    <definedName function="false" hidden="false" localSheetId="8" name="Mohammedia" vbProcedure="false">#REF!</definedName>
    <definedName function="false" hidden="false" localSheetId="8" name="mois" vbProcedure="false">#REF!</definedName>
    <definedName function="false" hidden="false" localSheetId="8" name="mois___0" vbProcedure="false">#REF!</definedName>
    <definedName function="false" hidden="false" localSheetId="8" name="mois___14" vbProcedure="false">#REF!</definedName>
    <definedName function="false" hidden="false" localSheetId="8" name="mois___26" vbProcedure="false">#REF!</definedName>
    <definedName function="false" hidden="false" localSheetId="8" name="mois___27" vbProcedure="false">#REF!</definedName>
    <definedName function="false" hidden="false" localSheetId="8" name="mois___5" vbProcedure="false">#REF!</definedName>
    <definedName function="false" hidden="false" localSheetId="8" name="mois___7" vbProcedure="false">#REF!</definedName>
    <definedName function="false" hidden="false" localSheetId="8" name="Montant_prêt" vbProcedure="false">#REF!</definedName>
    <definedName function="false" hidden="false" localSheetId="8" name="Montant_prêt___0" vbProcedure="false">#REF!</definedName>
    <definedName function="false" hidden="false" localSheetId="8" name="Montant_prêt___12" vbProcedure="false">#REF!</definedName>
    <definedName function="false" hidden="false" localSheetId="8" name="Montant_prêt___14" vbProcedure="false">#REF!</definedName>
    <definedName function="false" hidden="false" localSheetId="8" name="Montant_prêt___16" vbProcedure="false">#REF!</definedName>
    <definedName function="false" hidden="false" localSheetId="8" name="Montant_prêt___2" vbProcedure="false">#REF!</definedName>
    <definedName function="false" hidden="false" localSheetId="8" name="Montant_prêt___25" vbProcedure="false">#REF!</definedName>
    <definedName function="false" hidden="false" localSheetId="8" name="Montant_prêt___26" vbProcedure="false">#REF!</definedName>
    <definedName function="false" hidden="false" localSheetId="8" name="Montant_prêt___27" vbProcedure="false">#REF!</definedName>
    <definedName function="false" hidden="false" localSheetId="8" name="Montant_prêt___4" vbProcedure="false">#REF!</definedName>
    <definedName function="false" hidden="false" localSheetId="8" name="Montant_prêt___5" vbProcedure="false">#REF!</definedName>
    <definedName function="false" hidden="false" localSheetId="8" name="Montant_prêt___7" vbProcedure="false">#REF!</definedName>
    <definedName function="false" hidden="false" localSheetId="8" name="month" vbProcedure="false">#REF!</definedName>
    <definedName function="false" hidden="false" localSheetId="8" name="MonthlyLigne1" vbProcedure="false">#REF!</definedName>
    <definedName function="false" hidden="false" localSheetId="8" name="MonthlyLigne2" vbProcedure="false">#REF!</definedName>
    <definedName function="false" hidden="false" localSheetId="8" name="Movies_Shared_w_USA" vbProcedure="false">#REF!</definedName>
    <definedName function="false" hidden="false" localSheetId="8" name="Movie_Grid" vbProcedure="false">#REF!</definedName>
    <definedName function="false" hidden="false" localSheetId="8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mpol" vbProcedure="false">#REF!</definedName>
    <definedName function="false" hidden="false" localSheetId="8" name="mq" vbProcedure="false">{"IS",#N/A,FALSE,"IS";"RPTIS",#N/A,FALSE,"RPTIS";"STATS",#N/A,FALSE,"STATS";"CELL",#N/A,FALSE,"CELL";"BS",#N/A,FALSE,"BS"}</definedName>
    <definedName function="false" hidden="false" localSheetId="8" name="mr" vbProcedure="false">{"IS",#N/A,FALSE,"IS";"RPTIS",#N/A,FALSE,"RPTIS";"STATS",#N/A,FALSE,"STATS";"CELL",#N/A,FALSE,"CELL";"BS",#N/A,FALSE,"BS"}</definedName>
    <definedName function="false" hidden="false" localSheetId="8" name="ms" vbProcedure="false">{"IS",#N/A,FALSE,"IS";"RPTIS",#N/A,FALSE,"RPTIS";"STATS",#N/A,FALSE,"STATS";"CELL",#N/A,FALSE,"CELL";"BS",#N/A,FALSE,"BS"}</definedName>
    <definedName function="false" hidden="false" localSheetId="8" name="MST_3K" vbProcedure="false">#REF!</definedName>
    <definedName function="false" hidden="false" localSheetId="8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mu" vbProcedure="false">{"IS",#N/A,FALSE,"IS";"RPTIS",#N/A,FALSE,"RPTIS";"STATS",#N/A,FALSE,"STATS";"BS",#N/A,FALSE,"BS"}</definedName>
    <definedName function="false" hidden="false" localSheetId="8" name="Multiples" vbProcedure="false">#REF!</definedName>
    <definedName function="false" hidden="false" localSheetId="8" name="Multiples___0" vbProcedure="false">#REF!</definedName>
    <definedName function="false" hidden="false" localSheetId="8" name="Multiples___12" vbProcedure="false">#REF!</definedName>
    <definedName function="false" hidden="false" localSheetId="8" name="Multiples___14" vbProcedure="false">#REF!</definedName>
    <definedName function="false" hidden="false" localSheetId="8" name="Multiples___16" vbProcedure="false">#REF!</definedName>
    <definedName function="false" hidden="false" localSheetId="8" name="Multiples___2" vbProcedure="false">#REF!</definedName>
    <definedName function="false" hidden="false" localSheetId="8" name="Multiples___25" vbProcedure="false">#REF!</definedName>
    <definedName function="false" hidden="false" localSheetId="8" name="Multiples___26" vbProcedure="false">#REF!</definedName>
    <definedName function="false" hidden="false" localSheetId="8" name="Multiples___27" vbProcedure="false">#REF!</definedName>
    <definedName function="false" hidden="false" localSheetId="8" name="Multiples___4" vbProcedure="false">#REF!</definedName>
    <definedName function="false" hidden="false" localSheetId="8" name="Multiples___5" vbProcedure="false">#REF!</definedName>
    <definedName function="false" hidden="false" localSheetId="8" name="Multiples___7" vbProcedure="false">#REF!</definedName>
    <definedName function="false" hidden="false" localSheetId="8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mvctco" vbProcedure="false">#REF!</definedName>
    <definedName function="false" hidden="false" localSheetId="8" name="mvctim" vbProcedure="false">#REF!</definedName>
    <definedName function="false" hidden="false" localSheetId="8" name="mvctpa" vbProcedure="false">#REF!</definedName>
    <definedName function="false" hidden="false" localSheetId="8" name="mvcttiap" vbProcedure="false">#REF!</definedName>
    <definedName function="false" hidden="false" localSheetId="8" name="mvctvmp" vbProcedure="false">#REF!</definedName>
    <definedName function="false" hidden="false" localSheetId="8" name="mvltco" vbProcedure="false">#REF!</definedName>
    <definedName function="false" hidden="false" localSheetId="8" name="mvltim" vbProcedure="false">#REF!</definedName>
    <definedName function="false" hidden="false" localSheetId="8" name="mvltnc" vbProcedure="false">#REF!</definedName>
    <definedName function="false" hidden="false" localSheetId="8" name="mvltpa" vbProcedure="false">#REF!</definedName>
    <definedName function="false" hidden="false" localSheetId="8" name="mvlttiap" vbProcedure="false">#REF!</definedName>
    <definedName function="false" hidden="false" localSheetId="8" name="mw" vbProcedure="false">{"test2",#N/A,TRUE,"Prices"}</definedName>
    <definedName function="false" hidden="false" localSheetId="8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mz" vbProcedure="false">{"IS",#N/A,FALSE,"IS";"RPTIS",#N/A,FALSE,"RPTIS";"STATS",#N/A,FALSE,"STATS";"CELL",#N/A,FALSE,"CELL";"BS",#N/A,FALSE,"BS"}</definedName>
    <definedName function="false" hidden="false" localSheetId="8" name="M___0" vbProcedure="false">#REF!</definedName>
    <definedName function="false" hidden="false" localSheetId="8" name="M___12" vbProcedure="false">#REF!</definedName>
    <definedName function="false" hidden="false" localSheetId="8" name="M___14" vbProcedure="false">#REF!</definedName>
    <definedName function="false" hidden="false" localSheetId="8" name="M___16" vbProcedure="false">#REF!</definedName>
    <definedName function="false" hidden="false" localSheetId="8" name="M___2" vbProcedure="false">#REF!</definedName>
    <definedName function="false" hidden="false" localSheetId="8" name="M___25" vbProcedure="false">#REF!</definedName>
    <definedName function="false" hidden="false" localSheetId="8" name="M___26" vbProcedure="false">#REF!</definedName>
    <definedName function="false" hidden="false" localSheetId="8" name="M___27" vbProcedure="false">#REF!</definedName>
    <definedName function="false" hidden="false" localSheetId="8" name="M___4" vbProcedure="false">#REF!</definedName>
    <definedName function="false" hidden="false" localSheetId="8" name="M___5" vbProcedure="false">#REF!</definedName>
    <definedName function="false" hidden="false" localSheetId="8" name="M___7" vbProcedure="false">#REF!</definedName>
    <definedName function="false" hidden="false" localSheetId="8" name="nalo" vbProcedure="false">#REF!</definedName>
    <definedName function="false" hidden="false" localSheetId="8" name="NameVersion" vbProcedure="false">#REF!</definedName>
    <definedName function="false" hidden="false" localSheetId="8" name="NameVersion___12" vbProcedure="false">#REF!</definedName>
    <definedName function="false" hidden="false" localSheetId="8" name="Nbe_total_de_paiements" vbProcedure="false">'Parc Mobile '!Nb_de_paiements_par_an*#REF!</definedName>
    <definedName function="false" hidden="false" localSheetId="8" name="Nbe_total_de_paiements___0" vbProcedure="false">'Parc Mobile '!Nb_de_paiements_par_an___0*#REF!</definedName>
    <definedName function="false" hidden="false" localSheetId="8" name="Nb_de_paiements_par_an___0" vbProcedure="false">#REF!</definedName>
    <definedName function="false" hidden="false" localSheetId="8" name="Nbe_total_de_paiements___12" vbProcedure="false">'Parc Mobile '!Nb_de_paiements_par_an___12*#REF!</definedName>
    <definedName function="false" hidden="false" localSheetId="8" name="Nb_de_paiements_par_an___12" vbProcedure="false">#REF!</definedName>
    <definedName function="false" hidden="false" localSheetId="8" name="Nbe_total_de_paiements___14" vbProcedure="false">'Parc Mobile '!Nb_de_paiements_par_an___14*#REF!</definedName>
    <definedName function="false" hidden="false" localSheetId="8" name="Nb_de_paiements_par_an___14" vbProcedure="false">#REF!</definedName>
    <definedName function="false" hidden="false" localSheetId="8" name="Nbe_total_de_paiements___16" vbProcedure="false">'Parc Mobile '!Nb_de_paiements_par_an___16*#REF!</definedName>
    <definedName function="false" hidden="false" localSheetId="8" name="Nb_de_paiements_par_an___16" vbProcedure="false">#REF!</definedName>
    <definedName function="false" hidden="false" localSheetId="8" name="Nbe_total_de_paiements___2" vbProcedure="false">'Parc Mobile '!Nb_de_paiements_par_an___2*#REF!</definedName>
    <definedName function="false" hidden="false" localSheetId="8" name="Nb_de_paiements_par_an___2" vbProcedure="false">#REF!</definedName>
    <definedName function="false" hidden="false" localSheetId="8" name="Nbe_total_de_paiements___23" vbProcedure="false">'Parc Mobile '!Nb_de_paiements_par_an___0*#REF!</definedName>
    <definedName function="false" hidden="false" localSheetId="8" name="Nbe_total_de_paiements___25" vbProcedure="false">'Parc Mobile '!Nb_de_paiements_par_an___25*#REF!</definedName>
    <definedName function="false" hidden="false" localSheetId="8" name="Nb_de_paiements_par_an___25" vbProcedure="false">#REF!</definedName>
    <definedName function="false" hidden="false" localSheetId="8" name="Nbe_total_de_paiements___26" vbProcedure="false">'Parc Mobile '!Nb_de_paiements_par_an___26*#REF!</definedName>
    <definedName function="false" hidden="false" localSheetId="8" name="Nb_de_paiements_par_an___26" vbProcedure="false">#REF!</definedName>
    <definedName function="false" hidden="false" localSheetId="8" name="Nbe_total_de_paiements___27" vbProcedure="false">'Parc Mobile '!Nb_de_paiements_par_an___27*#REF!</definedName>
    <definedName function="false" hidden="false" localSheetId="8" name="Nb_de_paiements_par_an___27" vbProcedure="false">#REF!</definedName>
    <definedName function="false" hidden="false" localSheetId="8" name="Nbe_total_de_paiements___3" vbProcedure="false">'Parc Mobile '!Nb_de_paiements_par_an___0*#REF!</definedName>
    <definedName function="false" hidden="false" localSheetId="8" name="Nbe_total_de_paiements___4" vbProcedure="false">'Parc Mobile '!Nb_de_paiements_par_an___4*#REF!</definedName>
    <definedName function="false" hidden="false" localSheetId="8" name="Nb_de_paiements_par_an___4" vbProcedure="false">#REF!</definedName>
    <definedName function="false" hidden="false" localSheetId="8" name="Nbe_total_de_paiements___5" vbProcedure="false">'Parc Mobile '!Nb_de_paiements_par_an___5*#REF!</definedName>
    <definedName function="false" hidden="false" localSheetId="8" name="Nb_de_paiements_par_an___5" vbProcedure="false">#REF!</definedName>
    <definedName function="false" hidden="false" localSheetId="8" name="Nbe_total_de_paiements___7" vbProcedure="false">'Parc Mobile '!Nb_de_paiements_par_an___7*#REF!</definedName>
    <definedName function="false" hidden="false" localSheetId="8" name="Nb_de_paiements_par_an___7" vbProcedure="false">#REF!</definedName>
    <definedName function="false" hidden="false" localSheetId="8" name="Nbe_total_de_paiements___9" vbProcedure="false">'Parc Mobile '!Nb_de_paiements_par_an___0*#REF!</definedName>
    <definedName function="false" hidden="false" localSheetId="8" name="NETGAAP12M97" vbProcedure="false">#REF!</definedName>
    <definedName function="false" hidden="false" localSheetId="8" name="new" vbProcedure="false">#REF!</definedName>
    <definedName function="false" hidden="false" localSheetId="8" name="newbel" vbProcedure="false">{"IS",#N/A,FALSE,"IS";"RPTIS",#N/A,FALSE,"RPTIS";"STATS",#N/A,FALSE,"STATS";"CELL",#N/A,FALSE,"CELL";"BS",#N/A,FALSE,"BS"}</definedName>
    <definedName function="false" hidden="false" localSheetId="8" name="newbel1" vbProcedure="false">{"IS",#N/A,FALSE,"IS";"RPTIS",#N/A,FALSE,"RPTIS";"STATS",#N/A,FALSE,"STATS";"CELL",#N/A,FALSE,"CELL";"BS",#N/A,FALSE,"BS"}</definedName>
    <definedName function="false" hidden="false" localSheetId="8" name="newDC" vbProcedure="false">{#N/A,#N/A,TRUE,"Cover sheet";#N/A,#N/A,TRUE,"DCF analysis";#N/A,#N/A,TRUE,"WACC calculation"}</definedName>
    <definedName function="false" hidden="false" localSheetId="8" name="new_FTK" vbProcedure="false">{#N/A,#N/A,FALSE,"Outlook for Month ";#N/A,#N/A,FALSE,"Risk for Month ";#N/A,#N/A,FALSE,"Upside for Month"}</definedName>
    <definedName function="false" hidden="false" localSheetId="8" name="NHFGJ" vbProcedure="false">'Parc Mobile '!NHFGJ</definedName>
    <definedName function="false" hidden="false" localSheetId="8" name="Nine" vbProcedure="false">#REF!</definedName>
    <definedName function="false" hidden="false" localSheetId="8" name="nka" vbProcedure="false">#REF!</definedName>
    <definedName function="false" hidden="false" localSheetId="8" name="nki" vbProcedure="false">#REF!</definedName>
    <definedName function="false" hidden="false" localSheetId="8" name="nnflklkfrji" vbProcedure="false">#REF!</definedName>
    <definedName function="false" hidden="false" localSheetId="8" name="nnn" vbProcedure="false">OFFSET('Parc Mobile '!DateRangeCompMain,9,0,COUNTA('Parc Mobile '!DateRangeCompMain)-COUNTA(#REF!),1)</definedName>
    <definedName function="false" hidden="false" localSheetId="8" name="noidea" vbProcedure="false">{#N/A,#N/A,FALSE,"Calc";#N/A,#N/A,FALSE,"Sensitivity";#N/A,#N/A,FALSE,"LT Earn.Dil.";#N/A,#N/A,FALSE,"Dil. AVP"}</definedName>
    <definedName function="false" hidden="false" localSheetId="8" name="NOIDEA2" vbProcedure="false">{#N/A,#N/A,FALSE,"Calc";#N/A,#N/A,FALSE,"Sensitivity";#N/A,#N/A,FALSE,"LT Earn.Dil.";#N/A,#N/A,FALSE,"Dil. AVP"}</definedName>
    <definedName function="false" hidden="false" localSheetId="8" name="NonRGCols" vbProcedure="false">#REF!</definedName>
    <definedName function="false" hidden="false" localSheetId="8" name="NonRGCols___0" vbProcedure="false">#REF!</definedName>
    <definedName function="false" hidden="false" localSheetId="8" name="NonRGCols___12" vbProcedure="false">#REF!</definedName>
    <definedName function="false" hidden="false" localSheetId="8" name="NonRGCols___14" vbProcedure="false">#REF!</definedName>
    <definedName function="false" hidden="false" localSheetId="8" name="NonRGCols___16" vbProcedure="false">#REF!</definedName>
    <definedName function="false" hidden="false" localSheetId="8" name="NonRGCols___2" vbProcedure="false">#REF!</definedName>
    <definedName function="false" hidden="false" localSheetId="8" name="NonRGCols___25" vbProcedure="false">#REF!</definedName>
    <definedName function="false" hidden="false" localSheetId="8" name="NonRGCols___26" vbProcedure="false">#REF!</definedName>
    <definedName function="false" hidden="false" localSheetId="8" name="NonRGCols___27" vbProcedure="false">#REF!</definedName>
    <definedName function="false" hidden="false" localSheetId="8" name="NonRGCols___4" vbProcedure="false">#REF!</definedName>
    <definedName function="false" hidden="false" localSheetId="8" name="NonRGCols___5" vbProcedure="false">#REF!</definedName>
    <definedName function="false" hidden="false" localSheetId="8" name="NonRGCols___7" vbProcedure="false">#REF!</definedName>
    <definedName function="false" hidden="false" localSheetId="8" name="nouvelle_identification" vbProcedure="false">#REF!</definedName>
    <definedName function="false" hidden="false" localSheetId="8" name="Novacom" vbProcedure="false">OFFSET('Parc Mobile '!CompRange1Main,9,0,COUNTA('Parc Mobile '!CompRange1Main)-COUNTA(#REF!),1)</definedName>
    <definedName function="false" hidden="false" localSheetId="8" name="November" vbProcedure="false">#REF!</definedName>
    <definedName function="false" hidden="false" localSheetId="8" name="Num_premier_paiement" vbProcedure="false">#REF!</definedName>
    <definedName function="false" hidden="false" localSheetId="8" name="Num_premier_paiement___12" vbProcedure="false">#REF!</definedName>
    <definedName function="false" hidden="false" localSheetId="8" name="Num_premier_paiement___14" vbProcedure="false">#REF!</definedName>
    <definedName function="false" hidden="false" localSheetId="8" name="Num_premier_paiement___16" vbProcedure="false">#REF!</definedName>
    <definedName function="false" hidden="false" localSheetId="8" name="Num_premier_paiement___2" vbProcedure="false">#REF!</definedName>
    <definedName function="false" hidden="false" localSheetId="8" name="Num_premier_paiement___25" vbProcedure="false">#REF!</definedName>
    <definedName function="false" hidden="false" localSheetId="8" name="Num_premier_paiement___26" vbProcedure="false">#REF!</definedName>
    <definedName function="false" hidden="false" localSheetId="8" name="Num_premier_paiement___27" vbProcedure="false">#REF!</definedName>
    <definedName function="false" hidden="false" localSheetId="8" name="Num_premier_paiement___4" vbProcedure="false">#REF!</definedName>
    <definedName function="false" hidden="false" localSheetId="8" name="Num_premier_paiement___5" vbProcedure="false">#REF!</definedName>
    <definedName function="false" hidden="false" localSheetId="8" name="Num_premier_paiement___7" vbProcedure="false">#REF!</definedName>
    <definedName function="false" hidden="false" localSheetId="8" name="nvbidf" vbProcedure="false">'Parc Mobile '!nvbidf</definedName>
    <definedName function="false" hidden="false" localSheetId="8" name="O" vbProcedure="false">#REF!</definedName>
    <definedName function="false" hidden="false" localSheetId="8" name="ObjectifCommutation" vbProcedure="false">#REF!,#REF!,#REF!</definedName>
    <definedName function="false" hidden="false" localSheetId="8" name="OBSERVATIONS" vbProcedure="false">#REF!</definedName>
    <definedName function="false" hidden="false" localSheetId="8" name="October" vbProcedure="false">#REF!</definedName>
    <definedName function="false" hidden="false" localSheetId="8" name="OH" vbProcedure="false">#REF!</definedName>
    <definedName function="false" hidden="false" localSheetId="8" name="oiuoiuouiyuiui" vbProcedure="false">#REF!</definedName>
    <definedName function="false" hidden="false" localSheetId="8" name="ok" vbProcedure="false">{#N/A,#N/A,FALSE,"Calc";#N/A,#N/A,FALSE,"Sensitivity";#N/A,#N/A,FALSE,"LT Earn.Dil.";#N/A,#N/A,FALSE,"Dil. AVP"}</definedName>
    <definedName function="false" hidden="false" localSheetId="8" name="okj" vbProcedure="false">'Parc Mobile '!okj</definedName>
    <definedName function="false" hidden="false" localSheetId="8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8" name="omar" vbProcedure="false">#REF!</definedName>
    <definedName function="false" hidden="false" localSheetId="8" name="OMC_HARDWARE" vbProcedure="false">#REF!</definedName>
    <definedName function="false" hidden="false" localSheetId="8" name="OMC_SOFTWARE" vbProcedure="false">#REF!</definedName>
    <definedName function="false" hidden="false" localSheetId="8" name="OMMAMAAC" vbProcedure="false">#REF!</definedName>
    <definedName function="false" hidden="false" localSheetId="8" name="OP" vbProcedure="false">{#N/A,#N/A,FALSE,"Operations";#N/A,#N/A,FALSE,"Financials"}</definedName>
    <definedName function="false" hidden="false" localSheetId="8" name="opex3" vbProcedure="false">#N/A</definedName>
    <definedName function="false" hidden="false" localSheetId="8" name="OPEX4RCG" vbProcedure="false">#REF!</definedName>
    <definedName function="false" hidden="false" localSheetId="8" name="OPEX4Rcumul_general" vbProcedure="false">#REF!</definedName>
    <definedName function="false" hidden="false" localSheetId="8" name="OPEX_ACTU_DETAIL_DIV" vbProcedure="false">#REF!</definedName>
    <definedName function="false" hidden="false" localSheetId="8" name="OPEX_CG_03" vbProcedure="false">#REF!</definedName>
    <definedName function="false" hidden="false" localSheetId="8" name="OPEX_CR" vbProcedure="false">#REF!</definedName>
    <definedName function="false" hidden="false" localSheetId="8" name="OPEX_MC" vbProcedure="false">#REF!</definedName>
    <definedName function="false" hidden="false" localSheetId="8" name="OPEX_PREVISION" vbProcedure="false">#REF!</definedName>
    <definedName function="false" hidden="false" localSheetId="8" name="OTHER" vbProcedure="false">#REF!</definedName>
    <definedName function="false" hidden="false" localSheetId="8" name="OUJ" vbProcedure="false">#REF!</definedName>
    <definedName function="false" hidden="false" localSheetId="8" name="p" vbProcedure="false">#REF!</definedName>
    <definedName function="false" hidden="false" localSheetId="8" name="page1" vbProcedure="false">#REF!</definedName>
    <definedName function="false" hidden="false" localSheetId="8" name="page2" vbProcedure="false">#REF!</definedName>
    <definedName function="false" hidden="false" localSheetId="8" name="page3" vbProcedure="false">#REF!</definedName>
    <definedName function="false" hidden="false" localSheetId="8" name="PAIE" vbProcedure="false">#REF!</definedName>
    <definedName function="false" hidden="false" localSheetId="8" name="Paiement_calculé" vbProcedure="false">#REF!</definedName>
    <definedName function="false" hidden="false" localSheetId="8" name="Paiement_calculé___0" vbProcedure="false">#REF!</definedName>
    <definedName function="false" hidden="false" localSheetId="8" name="Paiement_calculé___12" vbProcedure="false">#REF!</definedName>
    <definedName function="false" hidden="false" localSheetId="8" name="Paiement_calculé___14" vbProcedure="false">#REF!</definedName>
    <definedName function="false" hidden="false" localSheetId="8" name="Paiement_calculé___16" vbProcedure="false">#REF!</definedName>
    <definedName function="false" hidden="false" localSheetId="8" name="Paiement_calculé___2" vbProcedure="false">#REF!</definedName>
    <definedName function="false" hidden="false" localSheetId="8" name="Paiement_calculé___25" vbProcedure="false">#REF!</definedName>
    <definedName function="false" hidden="false" localSheetId="8" name="Paiement_calculé___26" vbProcedure="false">#REF!</definedName>
    <definedName function="false" hidden="false" localSheetId="8" name="Paiement_calculé___27" vbProcedure="false">#REF!</definedName>
    <definedName function="false" hidden="false" localSheetId="8" name="Paiement_calculé___4" vbProcedure="false">#REF!</definedName>
    <definedName function="false" hidden="false" localSheetId="8" name="Paiement_calculé___5" vbProcedure="false">#REF!</definedName>
    <definedName function="false" hidden="false" localSheetId="8" name="Paiement_calculé___7" vbProcedure="false">#REF!</definedName>
    <definedName function="false" hidden="false" localSheetId="8" name="PAM" vbProcedure="false">'Parc Mobile '!PAM</definedName>
    <definedName function="false" hidden="false" localSheetId="8" name="PAM___0" vbProcedure="false">'Parc Mobile '!Premier_paiement___16</definedName>
    <definedName function="false" hidden="false" localSheetId="8" name="Premier_paiement___16" vbProcedure="false">#REF!</definedName>
    <definedName function="false" hidden="false" localSheetId="8" name="PAM___12" vbProcedure="false">'Parc Mobile '!PreDealReduction___5</definedName>
    <definedName function="false" hidden="false" localSheetId="8" name="PreDealReduction___5" vbProcedure="false">#REF!</definedName>
    <definedName function="false" hidden="false" localSheetId="8" name="PAM___14" vbProcedure="false">'Parc Mobile '!PreDealReduction___27</definedName>
    <definedName function="false" hidden="false" localSheetId="8" name="PreDealReduction___27" vbProcedure="false">#REF!</definedName>
    <definedName function="false" hidden="false" localSheetId="8" name="PAM___16" vbProcedure="false">'Parc Mobile '!PreDealReduction___14</definedName>
    <definedName function="false" hidden="false" localSheetId="8" name="PreDealReduction___14" vbProcedure="false">#REF!</definedName>
    <definedName function="false" hidden="false" localSheetId="8" name="PAM___23" vbProcedure="false">'Parc Mobile '!PreDealReduction___25</definedName>
    <definedName function="false" hidden="false" localSheetId="8" name="PreDealReduction___25" vbProcedure="false">#REF!</definedName>
    <definedName function="false" hidden="false" localSheetId="8" name="PAM___25" vbProcedure="false">'Parc Mobile '!PreDealReduction___2</definedName>
    <definedName function="false" hidden="false" localSheetId="8" name="PreDealReduction___2" vbProcedure="false">#REF!</definedName>
    <definedName function="false" hidden="false" localSheetId="8" name="PAM___26" vbProcedure="false">'Parc Mobile '!PreDealReduction___0</definedName>
    <definedName function="false" hidden="false" localSheetId="8" name="PreDealReduction___0" vbProcedure="false">#REF!</definedName>
    <definedName function="false" hidden="false" localSheetId="8" name="PAM___27" vbProcedure="false">'Parc Mobile '!PreDealReduction___26</definedName>
    <definedName function="false" hidden="false" localSheetId="8" name="PreDealReduction___26" vbProcedure="false">#REF!</definedName>
    <definedName function="false" hidden="false" localSheetId="8" name="PAM___5" vbProcedure="false">'Parc Mobile '!PreDealReduction___7</definedName>
    <definedName function="false" hidden="false" localSheetId="8" name="PreDealReduction___7" vbProcedure="false">#REF!</definedName>
    <definedName function="false" hidden="false" localSheetId="8" name="PAM___6" vbProcedure="false">'Parc Mobile '!PreDealReduction___4</definedName>
    <definedName function="false" hidden="false" localSheetId="8" name="PreDealReduction___4" vbProcedure="false">#REF!</definedName>
    <definedName function="false" hidden="false" localSheetId="8" name="PAM___9" vbProcedure="false">'Parc Mobile '!PreDealReduction___12</definedName>
    <definedName function="false" hidden="false" localSheetId="8" name="PreDealReduction___12" vbProcedure="false">#REF!</definedName>
    <definedName function="false" hidden="false" localSheetId="8" name="part" vbProcedure="false">#REF!</definedName>
    <definedName function="false" hidden="false" localSheetId="8" name="partdiv" vbProcedure="false">#REF!</definedName>
    <definedName function="false" hidden="false" localSheetId="8" name="PARTICIP" vbProcedure="false">#REF!</definedName>
    <definedName function="false" hidden="false" localSheetId="8" name="par_article" vbProcedure="false">#REF!</definedName>
    <definedName function="false" hidden="false" localSheetId="8" name="PATENTE_2003" vbProcedure="false">#REF!</definedName>
    <definedName function="false" hidden="false" localSheetId="8" name="PCU_HARDWARE" vbProcedure="false">#REF!</definedName>
    <definedName function="false" hidden="false" localSheetId="8" name="PCU_SOFTWARE" vbProcedure="false">#REF!</definedName>
    <definedName function="false" hidden="false" localSheetId="8" name="PD" vbProcedure="false">#REF!</definedName>
    <definedName function="false" hidden="false" localSheetId="8" name="Percent_Effort_Expend" vbProcedure="false">#REF!</definedName>
    <definedName function="false" hidden="false" localSheetId="8" name="PeriodsToRun" vbProcedure="false">#REF!</definedName>
    <definedName function="false" hidden="false" localSheetId="8" name="PeriodsToRun___12" vbProcedure="false">#REF!</definedName>
    <definedName function="false" hidden="false" localSheetId="8" name="Phase1" vbProcedure="false">#REF!</definedName>
    <definedName function="false" hidden="false" localSheetId="8" name="Phase2" vbProcedure="false">#REF!</definedName>
    <definedName function="false" hidden="false" localSheetId="8" name="Phase3" vbProcedure="false">#REF!</definedName>
    <definedName function="false" hidden="false" localSheetId="8" name="Phase4" vbProcedure="false">#REF!</definedName>
    <definedName function="false" hidden="false" localSheetId="8" name="Phase5" vbProcedure="false">#REF!</definedName>
    <definedName function="false" hidden="false" localSheetId="8" name="PI" vbProcedure="false">#REF!</definedName>
    <definedName function="false" hidden="false" localSheetId="8" name="PI___0" vbProcedure="false">#REF!</definedName>
    <definedName function="false" hidden="false" localSheetId="8" name="PI___12" vbProcedure="false">#REF!</definedName>
    <definedName function="false" hidden="false" localSheetId="8" name="PI___14" vbProcedure="false">#REF!</definedName>
    <definedName function="false" hidden="false" localSheetId="8" name="PI___16" vbProcedure="false">#REF!</definedName>
    <definedName function="false" hidden="false" localSheetId="8" name="PI___2" vbProcedure="false">#REF!</definedName>
    <definedName function="false" hidden="false" localSheetId="8" name="PI___25" vbProcedure="false">#REF!</definedName>
    <definedName function="false" hidden="false" localSheetId="8" name="PI___26" vbProcedure="false">#REF!</definedName>
    <definedName function="false" hidden="false" localSheetId="8" name="PI___27" vbProcedure="false">#REF!</definedName>
    <definedName function="false" hidden="false" localSheetId="8" name="PI___4" vbProcedure="false">#REF!</definedName>
    <definedName function="false" hidden="false" localSheetId="8" name="PI___5" vbProcedure="false">#REF!</definedName>
    <definedName function="false" hidden="false" localSheetId="8" name="PI___7" vbProcedure="false">#REF!</definedName>
    <definedName function="false" hidden="false" localSheetId="8" name="PLAYS_TO_DATE" vbProcedure="false">#REF!</definedName>
    <definedName function="false" hidden="false" localSheetId="8" name="PMENU" vbProcedure="false">#REF!</definedName>
    <definedName function="false" hidden="false" localSheetId="8" name="PMENU1" vbProcedure="false">#REF!</definedName>
    <definedName function="false" hidden="false" localSheetId="8" name="po" vbProcedure="false">{#N/A,#N/A,FALSE,"Calc";#N/A,#N/A,FALSE,"Sensitivity";#N/A,#N/A,FALSE,"LT Earn.Dil.";#N/A,#N/A,FALSE,"Dil. AVP"}</definedName>
    <definedName function="false" hidden="false" localSheetId="8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POLY2000" vbProcedure="false">#REF!</definedName>
    <definedName function="false" hidden="false" localSheetId="8" name="PortionInDeal" vbProcedure="false">#REF!</definedName>
    <definedName function="false" hidden="false" localSheetId="8" name="PortionInDeal___0" vbProcedure="false">#REF!</definedName>
    <definedName function="false" hidden="false" localSheetId="8" name="PortionInDeal___12" vbProcedure="false">#REF!</definedName>
    <definedName function="false" hidden="false" localSheetId="8" name="PortionInDeal___14" vbProcedure="false">#REF!</definedName>
    <definedName function="false" hidden="false" localSheetId="8" name="PortionInDeal___16" vbProcedure="false">#REF!</definedName>
    <definedName function="false" hidden="false" localSheetId="8" name="PortionInDeal___2" vbProcedure="false">#REF!</definedName>
    <definedName function="false" hidden="false" localSheetId="8" name="PortionInDeal___25" vbProcedure="false">#REF!</definedName>
    <definedName function="false" hidden="false" localSheetId="8" name="PortionInDeal___26" vbProcedure="false">#REF!</definedName>
    <definedName function="false" hidden="false" localSheetId="8" name="PortionInDeal___27" vbProcedure="false">#REF!</definedName>
    <definedName function="false" hidden="false" localSheetId="8" name="PortionInDeal___4" vbProcedure="false">#REF!</definedName>
    <definedName function="false" hidden="false" localSheetId="8" name="PortionInDeal___5" vbProcedure="false">#REF!</definedName>
    <definedName function="false" hidden="false" localSheetId="8" name="PortionInDeal___7" vbProcedure="false">#REF!</definedName>
    <definedName function="false" hidden="false" localSheetId="8" name="PP" vbProcedure="false">#REF!</definedName>
    <definedName function="false" hidden="false" localSheetId="8" name="pr" vbProcedure="false">#N/A</definedName>
    <definedName function="false" hidden="false" localSheetId="8" name="PreDealReduction" vbProcedure="false">#REF!</definedName>
    <definedName function="false" hidden="false" localSheetId="8" name="PreDealReduction___16" vbProcedure="false">#REF!</definedName>
    <definedName function="false" hidden="false" localSheetId="8" name="Premier_paiement" vbProcedure="false">#REF!</definedName>
    <definedName function="false" hidden="false" localSheetId="8" name="Premier_paiement___0" vbProcedure="false">#REF!</definedName>
    <definedName function="false" hidden="false" localSheetId="8" name="Premier_paiement___12" vbProcedure="false">#REF!</definedName>
    <definedName function="false" hidden="false" localSheetId="8" name="Premier_paiement___14" vbProcedure="false">#REF!</definedName>
    <definedName function="false" hidden="false" localSheetId="8" name="Premier_paiement___2" vbProcedure="false">#REF!</definedName>
    <definedName function="false" hidden="false" localSheetId="8" name="Premier_paiement___25" vbProcedure="false">#REF!</definedName>
    <definedName function="false" hidden="false" localSheetId="8" name="Premier_paiement___26" vbProcedure="false">#REF!</definedName>
    <definedName function="false" hidden="false" localSheetId="8" name="Premier_paiement___27" vbProcedure="false">#REF!</definedName>
    <definedName function="false" hidden="false" localSheetId="8" name="Premier_paiement___4" vbProcedure="false">#REF!</definedName>
    <definedName function="false" hidden="false" localSheetId="8" name="Premier_paiement___5" vbProcedure="false">#REF!</definedName>
    <definedName function="false" hidden="false" localSheetId="8" name="Premier_paiement___7" vbProcedure="false">#REF!</definedName>
    <definedName function="false" hidden="false" localSheetId="8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PresentationNormalA4" vbProcedure="false">#REF!</definedName>
    <definedName function="false" hidden="false" localSheetId="8" name="prets" vbProcedure="false">#REF!</definedName>
    <definedName function="false" hidden="false" localSheetId="8" name="print4" vbProcedure="false">{#N/A,#N/A,FALSE,"Operations";#N/A,#N/A,FALSE,"Financials"}</definedName>
    <definedName function="false" hidden="false" localSheetId="8" name="Print_fullyear" vbProcedure="false">#REF!</definedName>
    <definedName function="false" hidden="false" localSheetId="8" name="Print_totalproj" vbProcedure="false">#REF!</definedName>
    <definedName function="false" hidden="false" localSheetId="8" name="PRIOR_MONTH_PLAYS" vbProcedure="false">#REF!</definedName>
    <definedName function="false" hidden="false" localSheetId="8" name="PROD" vbProcedure="false">#REF!</definedName>
    <definedName function="false" hidden="false" localSheetId="8" name="ProdCorresp" vbProcedure="false">#REF!</definedName>
    <definedName function="false" hidden="false" localSheetId="8" name="ProdCorresp___0" vbProcedure="false">#REF!</definedName>
    <definedName function="false" hidden="false" localSheetId="8" name="ProdCorresp___12" vbProcedure="false">#REF!</definedName>
    <definedName function="false" hidden="false" localSheetId="8" name="ProdCorresp___14" vbProcedure="false">#REF!</definedName>
    <definedName function="false" hidden="false" localSheetId="8" name="ProdCorresp___16" vbProcedure="false">#REF!</definedName>
    <definedName function="false" hidden="false" localSheetId="8" name="ProdCorresp___2" vbProcedure="false">#REF!</definedName>
    <definedName function="false" hidden="false" localSheetId="8" name="ProdCorresp___25" vbProcedure="false">#REF!</definedName>
    <definedName function="false" hidden="false" localSheetId="8" name="ProdCorresp___26" vbProcedure="false">#REF!</definedName>
    <definedName function="false" hidden="false" localSheetId="8" name="ProdCorresp___27" vbProcedure="false">#REF!</definedName>
    <definedName function="false" hidden="false" localSheetId="8" name="ProdCorresp___4" vbProcedure="false">#REF!</definedName>
    <definedName function="false" hidden="false" localSheetId="8" name="ProdCorresp___5" vbProcedure="false">#REF!</definedName>
    <definedName function="false" hidden="false" localSheetId="8" name="ProdCorresp___7" vbProcedure="false">#REF!</definedName>
    <definedName function="false" hidden="false" localSheetId="8" name="PROGRAM_LU" vbProcedure="false">#REF!</definedName>
    <definedName function="false" hidden="false" localSheetId="8" name="ProImportExport.ImportFile" vbProcedure="false">'Parc Mobile '!ProImportExport.ImportFile</definedName>
    <definedName function="false" hidden="false" localSheetId="8" name="ProImportExport.ImportFile___0" vbProcedure="false">'Parc Mobile '!qa___26</definedName>
    <definedName function="false" hidden="false" localSheetId="8" name="qa___26" vbProcedure="false">'Parc Mobile '!Nb_de_paiements_par_an___26*#REF!</definedName>
    <definedName function="false" hidden="false" localSheetId="8" name="ProImportExport.ImportFile___12" vbProcedure="false">'Parc Mobile '!qa___14</definedName>
    <definedName function="false" hidden="false" localSheetId="8" name="qa___14" vbProcedure="false">'Parc Mobile '!Nb_de_paiements_par_an___14*#REF!</definedName>
    <definedName function="false" hidden="false" localSheetId="8" name="ProImportExport.ImportFile___14" vbProcedure="false">'Parc Mobile '!qa___9</definedName>
    <definedName function="false" hidden="false" localSheetId="8" name="qa___9" vbProcedure="false">'Parc Mobile '!Nb_de_paiements_par_an___0*#REF!</definedName>
    <definedName function="false" hidden="false" localSheetId="8" name="ProImportExport.ImportFile___16" vbProcedure="false">'parc mobile '!qa___6</definedName>
    <definedName function="false" hidden="false" localSheetId="8" name="ProImportExport.ImportFile___2" vbProcedure="false">'Parc Mobile '!qa___3</definedName>
    <definedName function="false" hidden="false" localSheetId="8" name="qa___3" vbProcedure="false">'Parc Mobile '!Nb_de_paiements_par_an___0*#REF!</definedName>
    <definedName function="false" hidden="false" localSheetId="8" name="ProImportExport.ImportFile___25" vbProcedure="false">'Parc Mobile '!qa___16</definedName>
    <definedName function="false" hidden="false" localSheetId="8" name="qa___16" vbProcedure="false">'Parc Mobile '!Nb_de_paiements_par_an___16*#REF!</definedName>
    <definedName function="false" hidden="false" localSheetId="8" name="ProImportExport.ImportFile___26" vbProcedure="false">'Parc Mobile '!qa___27</definedName>
    <definedName function="false" hidden="false" localSheetId="8" name="qa___27" vbProcedure="false">'Parc Mobile '!Nb_de_paiements_par_an___27*#REF!</definedName>
    <definedName function="false" hidden="false" localSheetId="8" name="ProImportExport.ImportFile___27" vbProcedure="false">'Parc Mobile '!qa___2</definedName>
    <definedName function="false" hidden="false" localSheetId="8" name="qa___2" vbProcedure="false">'Parc Mobile '!Nb_de_paiements_par_an___2*#REF!</definedName>
    <definedName function="false" hidden="false" localSheetId="8" name="ProImportExport.ImportFile___3" vbProcedure="false">'Parc Mobile '!qa___25</definedName>
    <definedName function="false" hidden="false" localSheetId="8" name="qa___25" vbProcedure="false">'Parc Mobile '!Nb_de_paiements_par_an___25*#REF!</definedName>
    <definedName function="false" hidden="false" localSheetId="8" name="ProImportExport.ImportFile___4" vbProcedure="false">'Parc Mobile '!qa___23</definedName>
    <definedName function="false" hidden="false" localSheetId="8" name="qa___23" vbProcedure="false">'Parc Mobile '!Nb_de_paiements_par_an___0*#REF!</definedName>
    <definedName function="false" hidden="false" localSheetId="8" name="ProImportExport.ImportFile___5" vbProcedure="false">'Parc Mobile '!qa___12</definedName>
    <definedName function="false" hidden="false" localSheetId="8" name="qa___12" vbProcedure="false">'Parc Mobile '!Nb_de_paiements_par_an___12*#REF!</definedName>
    <definedName function="false" hidden="false" localSheetId="8" name="ProImportExport.ImportFile___6" vbProcedure="false">'Parc Mobile '!Q___0</definedName>
    <definedName function="false" hidden="false" localSheetId="8" name="Q___0" vbProcedure="false">#REF!</definedName>
    <definedName function="false" hidden="false" localSheetId="8" name="ProImportExport.ImportFile___7" vbProcedure="false">'Parc Mobile '!qa___5</definedName>
    <definedName function="false" hidden="false" localSheetId="8" name="qa___5" vbProcedure="false">'Parc Mobile '!Nb_de_paiements_par_an___5*#REF!</definedName>
    <definedName function="false" hidden="false" localSheetId="8" name="ProImportExport.ImportFile___9" vbProcedure="false">'Parc Mobile '!qa___4</definedName>
    <definedName function="false" hidden="false" localSheetId="8" name="qa___4" vbProcedure="false">'Parc Mobile '!Nb_de_paiements_par_an___4*#REF!</definedName>
    <definedName function="false" hidden="false" localSheetId="8" name="ProImportExport.SaveNewFile" vbProcedure="false">'Parc Mobile '!ProImportExport.SaveNewFile</definedName>
    <definedName function="false" hidden="false" localSheetId="8" name="ProImportExport.SaveNewFile___0" vbProcedure="false">qq___26</definedName>
    <definedName function="false" hidden="false" localSheetId="8" name="ProImportExport.SaveNewFile___12" vbProcedure="false">'Parc Mobile '!qq___14</definedName>
    <definedName function="false" hidden="false" localSheetId="8" name="qq___14" vbProcedure="false">'Parc Mobile '!VolFactor___16/#REF!</definedName>
    <definedName function="false" hidden="false" localSheetId="8" name="ProImportExport.SaveNewFile___14" vbProcedure="false">'Parc Mobile '!qq___9</definedName>
    <definedName function="false" hidden="false" localSheetId="8" name="qq___9" vbProcedure="false">'Parc Mobile '!VolFactor___5/#REF!</definedName>
    <definedName function="false" hidden="false" localSheetId="8" name="ProImportExport.SaveNewFile___16" vbProcedure="false">qq___6</definedName>
    <definedName function="false" hidden="false" localSheetId="8" name="ProImportExport.SaveNewFile___2" vbProcedure="false">'Parc Mobile '!qq___3</definedName>
    <definedName function="false" hidden="false" localSheetId="8" name="qq___3" vbProcedure="false">'Parc Mobile '!VolFactor___5/#REF!</definedName>
    <definedName function="false" hidden="false" localSheetId="8" name="ProImportExport.SaveNewFile___25" vbProcedure="false">'Parc Mobile '!qq___16</definedName>
    <definedName function="false" hidden="false" localSheetId="8" name="qq___16" vbProcedure="false">'Parc Mobile '!VLastRowToPrint___7/#REF!</definedName>
    <definedName function="false" hidden="false" localSheetId="8" name="ProImportExport.SaveNewFile___26" vbProcedure="false">'Parc Mobile '!qq___27</definedName>
    <definedName function="false" hidden="false" localSheetId="8" name="qq___27" vbProcedure="false">'Parc Mobile '!VolFactor___14/#REF!</definedName>
    <definedName function="false" hidden="false" localSheetId="8" name="ProImportExport.SaveNewFile___27" vbProcedure="false">qq___2</definedName>
    <definedName function="false" hidden="false" localSheetId="8" name="ProImportExport.SaveNewFile___3" vbProcedure="false">'parc mobile '!qq___25</definedName>
    <definedName function="false" hidden="false" localSheetId="8" name="ProImportExport.SaveNewFile___4" vbProcedure="false">'Parc Mobile '!qq___23</definedName>
    <definedName function="false" hidden="false" localSheetId="8" name="qq___23" vbProcedure="false">'Parc Mobile '!VolFactor___5/#REF!</definedName>
    <definedName function="false" hidden="false" localSheetId="8" name="ProImportExport.SaveNewFile___5" vbProcedure="false">qq___12</definedName>
    <definedName function="false" hidden="false" localSheetId="8" name="ProImportExport.SaveNewFile___6" vbProcedure="false">'Parc Mobile '!qa___0</definedName>
    <definedName function="false" hidden="false" localSheetId="8" name="qa___0" vbProcedure="false">'Parc Mobile '!Nb_de_paiements_par_an___0*#REF!</definedName>
    <definedName function="false" hidden="false" localSheetId="8" name="ProImportExport.SaveNewFile___7" vbProcedure="false">'Parc Mobile '!qq___5</definedName>
    <definedName function="false" hidden="false" localSheetId="8" name="qq___5" vbProcedure="false">'Parc Mobile '!VolFactor___2/#REF!</definedName>
    <definedName function="false" hidden="false" localSheetId="8" name="ProImportExport.SaveNewFile___9" vbProcedure="false">'Parc Mobile '!qq___4</definedName>
    <definedName function="false" hidden="false" localSheetId="8" name="qq___4" vbProcedure="false">'Parc Mobile '!VLastRowToPrint___0/#REF!</definedName>
    <definedName function="false" hidden="false" localSheetId="8" name="projectname" vbProcedure="false">#REF!</definedName>
    <definedName function="false" hidden="false" localSheetId="8" name="projets" vbProcedure="false">#REF!</definedName>
    <definedName function="false" hidden="false" localSheetId="8" name="projets___0" vbProcedure="false">#REF!</definedName>
    <definedName function="false" hidden="false" localSheetId="8" name="projets___12" vbProcedure="false">#REF!</definedName>
    <definedName function="false" hidden="false" localSheetId="8" name="projets___14" vbProcedure="false">#REF!</definedName>
    <definedName function="false" hidden="false" localSheetId="8" name="projets___16" vbProcedure="false">#REF!</definedName>
    <definedName function="false" hidden="false" localSheetId="8" name="projets___2" vbProcedure="false">#REF!</definedName>
    <definedName function="false" hidden="false" localSheetId="8" name="projets___26" vbProcedure="false">#REF!</definedName>
    <definedName function="false" hidden="false" localSheetId="8" name="projets___27" vbProcedure="false">#REF!</definedName>
    <definedName function="false" hidden="false" localSheetId="8" name="projets___5" vbProcedure="false">#REF!</definedName>
    <definedName function="false" hidden="false" localSheetId="8" name="projets___7" vbProcedure="false">#REF!</definedName>
    <definedName function="false" hidden="false" localSheetId="8" name="prout" vbProcedure="false">{"comp1",#N/A,FALSE,"COMPS";"footnotes",#N/A,FALSE,"COMPS"}</definedName>
    <definedName function="false" hidden="false" localSheetId="8" name="PTK" vbProcedure="false">#REF!</definedName>
    <definedName function="false" hidden="false" localSheetId="8" name="PTRt" vbProcedure="false">OFFSET('Parc Mobile '!CompRange3Main,9,0,COUNTA('Parc Mobile '!CompRange3Main)-COUNTA(#REF!),1)</definedName>
    <definedName function="false" hidden="false" localSheetId="8" name="pvctco" vbProcedure="false">#REF!</definedName>
    <definedName function="false" hidden="false" localSheetId="8" name="pvctim" vbProcedure="false">#REF!</definedName>
    <definedName function="false" hidden="false" localSheetId="8" name="pvctnc" vbProcedure="false">#REF!</definedName>
    <definedName function="false" hidden="false" localSheetId="8" name="pvctpa" vbProcedure="false">#REF!</definedName>
    <definedName function="false" hidden="false" localSheetId="8" name="pvctpl" vbProcedure="false">#REF!</definedName>
    <definedName function="false" hidden="false" localSheetId="8" name="pvcttiap" vbProcedure="false">#REF!</definedName>
    <definedName function="false" hidden="false" localSheetId="8" name="pvctvmp" vbProcedure="false">#REF!</definedName>
    <definedName function="false" hidden="false" localSheetId="8" name="pvltim" vbProcedure="false">#REF!</definedName>
    <definedName function="false" hidden="false" localSheetId="8" name="pvltnc" vbProcedure="false">#REF!</definedName>
    <definedName function="false" hidden="false" localSheetId="8" name="pvltpa" vbProcedure="false">#REF!</definedName>
    <definedName function="false" hidden="false" localSheetId="8" name="pvltpl" vbProcedure="false">#REF!</definedName>
    <definedName function="false" hidden="false" localSheetId="8" name="pvlttiap" vbProcedure="false">#REF!</definedName>
    <definedName function="false" hidden="false" localSheetId="8" name="pvlttp" vbProcedure="false">#REF!</definedName>
    <definedName function="false" hidden="false" localSheetId="8" name="pvltvmp" vbProcedure="false">#REF!</definedName>
    <definedName function="false" hidden="false" localSheetId="8" name="pvtiap" vbProcedure="false">#REF!</definedName>
    <definedName function="false" hidden="false" localSheetId="8" name="PV_Planned_Value" vbProcedure="false">#REF!</definedName>
    <definedName function="false" hidden="false" localSheetId="8" name="PwrRed" vbProcedure="false">#REF!</definedName>
    <definedName function="false" hidden="false" localSheetId="8" name="PY" vbProcedure="false">'Parc Mobile '!PY</definedName>
    <definedName function="false" hidden="false" localSheetId="8" name="Q" vbProcedure="false">#REF!</definedName>
    <definedName function="false" hidden="false" localSheetId="8" name="qa" vbProcedure="false">'Parc Mobile '!Nb_de_paiements_par_an*#REF!</definedName>
    <definedName function="false" hidden="false" localSheetId="8" name="qaecdaze" vbProcedure="false">{"First Page",#N/A,FALSE,"Surfactants LBO";"Second Page",#N/A,FALSE,"Surfactants LBO"}</definedName>
    <definedName function="false" hidden="false" localSheetId="8" name="qa___7" vbProcedure="false">'Parc Mobile '!Nb_de_paiements_par_an___7*#REF!</definedName>
    <definedName function="false" hidden="false" localSheetId="8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qdffd" vbProcedure="false">#REF!</definedName>
    <definedName function="false" hidden="false" localSheetId="8" name="qergh" vbProcedure="false">#N/A</definedName>
    <definedName function="false" hidden="false" localSheetId="8" name="qethte" vbProcedure="false">#N/A</definedName>
    <definedName function="false" hidden="false" localSheetId="8" name="qf" vbProcedure="false">{#N/A,#N/A,TRUE,"Cover sheet";#N/A,#N/A,TRUE,"INPUTS";#N/A,#N/A,TRUE,"OUTPUTS";#N/A,#N/A,TRUE,"VALUATION"}</definedName>
    <definedName function="false" hidden="false" localSheetId="8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qger" vbProcedure="false">#N/A</definedName>
    <definedName function="false" hidden="false" localSheetId="8" name="qgg" vbProcedure="false">{#N/A,#N/A,FALSE,"Cover";"outputs total",#N/A,FALSE,"Outputs"}</definedName>
    <definedName function="false" hidden="false" localSheetId="8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qheh" vbProcedure="false">#N/A</definedName>
    <definedName function="false" hidden="false" localSheetId="8" name="ql" vbProcedure="false">{"test2",#N/A,TRUE,"Prices"}</definedName>
    <definedName function="false" hidden="false" localSheetId="8" name="qm" vbProcedure="false">{"IS",#N/A,FALSE,"IS";"RPTIS",#N/A,FALSE,"RPTIS";"STATS",#N/A,FALSE,"STATS";"BS",#N/A,FALSE,"BS"}</definedName>
    <definedName function="false" hidden="false" localSheetId="8" name="qqqq" vbProcedure="false">#N/A</definedName>
    <definedName function="false" hidden="false" localSheetId="8" name="qqtrrt" vbProcedure="false">#N/A</definedName>
    <definedName function="false" hidden="false" localSheetId="8" name="qq___0" vbProcedure="false">'Parc Mobile '!VolFactor___5/#REF!</definedName>
    <definedName function="false" hidden="false" localSheetId="8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qscfaq" vbProcedure="false">{"First Page",#N/A,FALSE,"Surfactants LBO";"Second Page",#N/A,FALSE,"Surfactants LBO"}</definedName>
    <definedName function="false" hidden="false" localSheetId="8" name="qsd" vbProcedure="false">{#N/A,#N/A,TRUE,"Cover sheet";#N/A,#N/A,TRUE,"DCF analysis";#N/A,#N/A,TRUE,"WACC calculation"}</definedName>
    <definedName function="false" hidden="false" localSheetId="8" name="qsdf" vbProcedure="false">{#N/A,#N/A,FALSE,"Contribution Analysis"}</definedName>
    <definedName function="false" hidden="false" localSheetId="8" name="qsdfqsdf" vbProcedure="false">'Parc Mobile '!Tx_intérêt_par_an/#REF!</definedName>
    <definedName function="false" hidden="false" localSheetId="8" name="qsdjlgzerg" vbProcedure="false">{#N/A,#N/A,TRUE,"Cover sheet";#N/A,#N/A,TRUE,"DCF analysis";#N/A,#N/A,TRUE,"WACC calculation"}</definedName>
    <definedName function="false" hidden="false" localSheetId="8" name="qsfd" vbProcedure="false">{#N/A,#N/A,TRUE,"Cover sheet";#N/A,#N/A,TRUE,"INPUTS";#N/A,#N/A,TRUE,"OUTPUTS";#N/A,#N/A,TRUE,"VALUATION"}</definedName>
    <definedName function="false" hidden="false" localSheetId="8" name="qth" vbProcedure="false">#N/A</definedName>
    <definedName function="false" hidden="false" localSheetId="8" name="QTHRSJ" vbProcedure="false">#N/A</definedName>
    <definedName function="false" hidden="false" localSheetId="8" name="qtqy" vbProcedure="false">#N/A</definedName>
    <definedName function="false" hidden="false" localSheetId="8" name="qyqyqery" vbProcedure="false">#N/A</definedName>
    <definedName function="false" hidden="false" localSheetId="8" name="QZ" vbProcedure="false">#REF!</definedName>
    <definedName function="false" hidden="false" localSheetId="8" name="qzetqt" vbProcedure="false">#N/A</definedName>
    <definedName function="false" hidden="false" localSheetId="8" name="qzezezare" vbProcedure="false">#REF!</definedName>
    <definedName function="false" hidden="false" localSheetId="8" name="qztze" vbProcedure="false">#N/A</definedName>
    <definedName function="false" hidden="false" localSheetId="8" name="QZ___0" vbProcedure="false">#REF!</definedName>
    <definedName function="false" hidden="false" localSheetId="8" name="QZ___12" vbProcedure="false">#REF!</definedName>
    <definedName function="false" hidden="false" localSheetId="8" name="QZ___14" vbProcedure="false">#REF!</definedName>
    <definedName function="false" hidden="false" localSheetId="8" name="QZ___16" vbProcedure="false">#REF!</definedName>
    <definedName function="false" hidden="false" localSheetId="8" name="QZ___2" vbProcedure="false">#REF!</definedName>
    <definedName function="false" hidden="false" localSheetId="8" name="QZ___25" vbProcedure="false">#REF!</definedName>
    <definedName function="false" hidden="false" localSheetId="8" name="QZ___26" vbProcedure="false">#REF!</definedName>
    <definedName function="false" hidden="false" localSheetId="8" name="QZ___27" vbProcedure="false">#REF!</definedName>
    <definedName function="false" hidden="false" localSheetId="8" name="QZ___4" vbProcedure="false">#REF!</definedName>
    <definedName function="false" hidden="false" localSheetId="8" name="QZ___5" vbProcedure="false">#REF!</definedName>
    <definedName function="false" hidden="false" localSheetId="8" name="QZ___7" vbProcedure="false">#REF!</definedName>
    <definedName function="false" hidden="false" localSheetId="8" name="Q___12" vbProcedure="false">#REF!</definedName>
    <definedName function="false" hidden="false" localSheetId="8" name="Q___14" vbProcedure="false">#REF!</definedName>
    <definedName function="false" hidden="false" localSheetId="8" name="Q___16" vbProcedure="false">#REF!</definedName>
    <definedName function="false" hidden="false" localSheetId="8" name="Q___2" vbProcedure="false">#REF!</definedName>
    <definedName function="false" hidden="false" localSheetId="8" name="Q___25" vbProcedure="false">#REF!</definedName>
    <definedName function="false" hidden="false" localSheetId="8" name="Q___26" vbProcedure="false">#REF!</definedName>
    <definedName function="false" hidden="false" localSheetId="8" name="Q___27" vbProcedure="false">#REF!</definedName>
    <definedName function="false" hidden="false" localSheetId="8" name="Q___4" vbProcedure="false">#REF!</definedName>
    <definedName function="false" hidden="false" localSheetId="8" name="Q___5" vbProcedure="false">#REF!</definedName>
    <definedName function="false" hidden="false" localSheetId="8" name="Q___7" vbProcedure="false">#REF!</definedName>
    <definedName function="false" hidden="false" localSheetId="8" name="Rabat2" vbProcedure="false">#REF!</definedName>
    <definedName function="false" hidden="false" localSheetId="8" name="RE" vbProcedure="false">#REF!</definedName>
    <definedName function="false" hidden="false" localSheetId="8" name="REC" vbProcedure="false">#REF!</definedName>
    <definedName function="false" hidden="false" localSheetId="8" name="RECAP" vbProcedure="false">#REF!</definedName>
    <definedName function="false" hidden="false" localSheetId="8" name="recappv" vbProcedure="false">#REF!</definedName>
    <definedName function="false" hidden="false" localSheetId="8" name="RECAP___12" vbProcedure="false">#REF!</definedName>
    <definedName function="false" hidden="false" localSheetId="8" name="RECAP___2" vbProcedure="false">#REF!</definedName>
    <definedName function="false" hidden="false" localSheetId="8" name="RECAP___25" vbProcedure="false">#REF!</definedName>
    <definedName function="false" hidden="false" localSheetId="8" name="RECAP___26" vbProcedure="false">#REF!</definedName>
    <definedName function="false" hidden="false" localSheetId="8" name="RECAP___4" vbProcedure="false">#REF!</definedName>
    <definedName function="false" hidden="false" localSheetId="8" name="RECAP___6" vbProcedure="false">#REF!</definedName>
    <definedName function="false" hidden="false" localSheetId="8" name="RECAP___7" vbProcedure="false">#REF!</definedName>
    <definedName function="false" hidden="false" localSheetId="8" name="recglob" vbProcedure="false">#REF!</definedName>
    <definedName function="false" hidden="false" localSheetId="8" name="recglob___12" vbProcedure="false">#REF!</definedName>
    <definedName function="false" hidden="false" localSheetId="8" name="recglob___6" vbProcedure="false">#REF!</definedName>
    <definedName function="false" hidden="false" localSheetId="8" name="RECON" vbProcedure="false">#REF!</definedName>
    <definedName function="false" hidden="false" localSheetId="8" name="Recrutement2002" vbProcedure="false">#REF!</definedName>
    <definedName function="false" hidden="false" localSheetId="8" name="Recrutement2003" vbProcedure="false">#REF!</definedName>
    <definedName function="false" hidden="false" localSheetId="8" name="REC___0" vbProcedure="false">#REF!</definedName>
    <definedName function="false" hidden="false" localSheetId="8" name="REC___12" vbProcedure="false">#REF!</definedName>
    <definedName function="false" hidden="false" localSheetId="8" name="REC___14" vbProcedure="false">#REF!</definedName>
    <definedName function="false" hidden="false" localSheetId="8" name="REC___16" vbProcedure="false">#REF!</definedName>
    <definedName function="false" hidden="false" localSheetId="8" name="REC___2" vbProcedure="false">#REF!</definedName>
    <definedName function="false" hidden="false" localSheetId="8" name="REC___25" vbProcedure="false">#REF!</definedName>
    <definedName function="false" hidden="false" localSheetId="8" name="REC___26" vbProcedure="false">#REF!</definedName>
    <definedName function="false" hidden="false" localSheetId="8" name="REC___27" vbProcedure="false">#REF!</definedName>
    <definedName function="false" hidden="false" localSheetId="8" name="REC___4" vbProcedure="false">#REF!</definedName>
    <definedName function="false" hidden="false" localSheetId="8" name="REC___5" vbProcedure="false">#REF!</definedName>
    <definedName function="false" hidden="false" localSheetId="8" name="REC___7" vbProcedure="false">#REF!</definedName>
    <definedName function="false" hidden="false" localSheetId="8" name="REDEVANCE_OCCUPATION_DOMAINE_PUBLIC" vbProcedure="false">#REF!</definedName>
    <definedName function="false" hidden="false" localSheetId="8" name="reel2000" vbProcedure="false">#REF!</definedName>
    <definedName function="false" hidden="false" localSheetId="8" name="reel2000___0" vbProcedure="false">#REF!</definedName>
    <definedName function="false" hidden="false" localSheetId="8" name="reel2000___14" vbProcedure="false">#REF!</definedName>
    <definedName function="false" hidden="false" localSheetId="8" name="reel2000___27" vbProcedure="false">#REF!</definedName>
    <definedName function="false" hidden="false" localSheetId="8" name="reel2000___5" vbProcedure="false">#REF!</definedName>
    <definedName function="false" hidden="false" localSheetId="8" name="REGLEE_LE_02_06_2003" vbProcedure="false">#REF!</definedName>
    <definedName function="false" hidden="false" localSheetId="8" name="Regular_Movies" vbProcedure="false">#REF!</definedName>
    <definedName function="false" hidden="false" localSheetId="8" name="rert" vbProcedure="false">#REF!</definedName>
    <definedName function="false" hidden="false" localSheetId="8" name="retraite2002" vbProcedure="false">#REF!</definedName>
    <definedName function="false" hidden="false" localSheetId="8" name="Retraite2003" vbProcedure="false">#REF!</definedName>
    <definedName function="false" hidden="false" localSheetId="8" name="rev" vbProcedure="false">#REF!</definedName>
    <definedName function="false" hidden="false" localSheetId="8" name="revenus" vbProcedure="false">#REF!</definedName>
    <definedName function="false" hidden="false" localSheetId="8" name="revenus___0" vbProcedure="false">#REF!</definedName>
    <definedName function="false" hidden="false" localSheetId="8" name="revenus___12" vbProcedure="false">#REF!</definedName>
    <definedName function="false" hidden="false" localSheetId="8" name="revenus___14" vbProcedure="false">#REF!</definedName>
    <definedName function="false" hidden="false" localSheetId="8" name="revenus___16" vbProcedure="false">#REF!</definedName>
    <definedName function="false" hidden="false" localSheetId="8" name="revenus___2" vbProcedure="false">#REF!</definedName>
    <definedName function="false" hidden="false" localSheetId="8" name="revenus___25" vbProcedure="false">#REF!</definedName>
    <definedName function="false" hidden="false" localSheetId="8" name="revenus___26" vbProcedure="false">#REF!</definedName>
    <definedName function="false" hidden="false" localSheetId="8" name="revenus___27" vbProcedure="false">#REF!</definedName>
    <definedName function="false" hidden="false" localSheetId="8" name="revenus___4" vbProcedure="false">#REF!</definedName>
    <definedName function="false" hidden="false" localSheetId="8" name="revenus___5" vbProcedure="false">#REF!</definedName>
    <definedName function="false" hidden="false" localSheetId="8" name="revenus___7" vbProcedure="false">#REF!</definedName>
    <definedName function="false" hidden="false" localSheetId="8" name="REVISIONS" vbProcedure="false">#REF!</definedName>
    <definedName function="false" hidden="false" localSheetId="8" name="rev___12" vbProcedure="false">#REF!</definedName>
    <definedName function="false" hidden="false" localSheetId="8" name="rezze" vbProcedure="false">#REF!</definedName>
    <definedName function="false" hidden="false" localSheetId="8" name="rgedrgvd" vbProcedure="false">#REF!</definedName>
    <definedName function="false" hidden="false" localSheetId="8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rhrr" vbProcedure="false">#REF!</definedName>
    <definedName function="false" hidden="false" localSheetId="8" name="Riad" vbProcedure="false">#REF!</definedName>
    <definedName function="false" hidden="false" localSheetId="8" name="RiskPremium" vbProcedure="false">#REF!</definedName>
    <definedName function="false" hidden="false" localSheetId="8" name="RiskPremium___0" vbProcedure="false">#REF!</definedName>
    <definedName function="false" hidden="false" localSheetId="8" name="RiskPremium___12" vbProcedure="false">#REF!</definedName>
    <definedName function="false" hidden="false" localSheetId="8" name="RiskPremium___14" vbProcedure="false">#REF!</definedName>
    <definedName function="false" hidden="false" localSheetId="8" name="RiskPremium___16" vbProcedure="false">#REF!</definedName>
    <definedName function="false" hidden="false" localSheetId="8" name="RiskPremium___2" vbProcedure="false">#REF!</definedName>
    <definedName function="false" hidden="false" localSheetId="8" name="RiskPremium___25" vbProcedure="false">#REF!</definedName>
    <definedName function="false" hidden="false" localSheetId="8" name="RiskPremium___26" vbProcedure="false">#REF!</definedName>
    <definedName function="false" hidden="false" localSheetId="8" name="RiskPremium___27" vbProcedure="false">#REF!</definedName>
    <definedName function="false" hidden="false" localSheetId="8" name="RiskPremium___4" vbProcedure="false">#REF!</definedName>
    <definedName function="false" hidden="false" localSheetId="8" name="RiskPremium___5" vbProcedure="false">#REF!</definedName>
    <definedName function="false" hidden="false" localSheetId="8" name="RiskPremium___7" vbProcedure="false">#REF!</definedName>
    <definedName function="false" hidden="false" localSheetId="8" name="RMD_VPC" vbProcedure="false">#REF!</definedName>
    <definedName function="false" hidden="false" localSheetId="8" name="RM_Distri" vbProcedure="false">#REF!</definedName>
    <definedName function="false" hidden="false" localSheetId="8" name="RM_SCS" vbProcedure="false">#REF!</definedName>
    <definedName function="false" hidden="false" localSheetId="8" name="rngCellNotes" vbProcedure="false">#REF!</definedName>
    <definedName function="false" hidden="false" localSheetId="8" name="rngColor" vbProcedure="false">#REF!</definedName>
    <definedName function="false" hidden="false" localSheetId="8" name="rngDim1" vbProcedure="false">#REF!</definedName>
    <definedName function="false" hidden="false" localSheetId="8" name="rngDim2" vbProcedure="false">#REF!</definedName>
    <definedName function="false" hidden="false" localSheetId="8" name="rngDim3" vbProcedure="false">#REF!</definedName>
    <definedName function="false" hidden="false" localSheetId="8" name="rngDim4" vbProcedure="false">#REF!</definedName>
    <definedName function="false" hidden="false" localSheetId="8" name="rngRetrieve" vbProcedure="false">#REF!</definedName>
    <definedName function="false" hidden="false" localSheetId="8" name="rngRetrieveFlags" vbProcedure="false">#REF!</definedName>
    <definedName function="false" hidden="false" localSheetId="8" name="Rochd" vbProcedure="false">#REF!</definedName>
    <definedName function="false" hidden="false" localSheetId="8" name="rqerger" vbProcedure="false">#N/A</definedName>
    <definedName function="false" hidden="false" localSheetId="8" name="RR" vbProcedure="false">'Parc Mobile '!RR</definedName>
    <definedName function="false" hidden="false" localSheetId="8" name="rrrrr" vbProcedure="false">#REF!</definedName>
    <definedName function="false" hidden="false" localSheetId="8" name="rrthth" vbProcedure="false">#REF!</definedName>
    <definedName function="false" hidden="false" localSheetId="8" name="rsb_cig" vbProcedure="false">#REF!</definedName>
    <definedName function="false" hidden="false" localSheetId="8" name="RSB_Markets" vbProcedure="false">#REF!</definedName>
    <definedName function="false" hidden="false" localSheetId="8" name="rty" vbProcedure="false">{#N/A,#N/A,TRUE,"Pro Forma";#N/A,#N/A,TRUE,"PF_Bal";#N/A,#N/A,TRUE,"PF_INC";#N/A,#N/A,TRUE,"CBE";#N/A,#N/A,TRUE,"SWK"}</definedName>
    <definedName function="false" hidden="false" localSheetId="8" name="R___12" vbProcedure="false">#REF!</definedName>
    <definedName function="false" hidden="false" localSheetId="8" name="R___2" vbProcedure="false">#REF!</definedName>
    <definedName function="false" hidden="false" localSheetId="8" name="R___25" vbProcedure="false">#REF!</definedName>
    <definedName function="false" hidden="false" localSheetId="8" name="R___26" vbProcedure="false">#REF!</definedName>
    <definedName function="false" hidden="false" localSheetId="8" name="R___4" vbProcedure="false">#REF!</definedName>
    <definedName function="false" hidden="false" localSheetId="8" name="R___6" vbProcedure="false">#REF!</definedName>
    <definedName function="false" hidden="false" localSheetId="8" name="R___7" vbProcedure="false">#REF!</definedName>
    <definedName function="false" hidden="false" localSheetId="8" name="référence" vbProcedure="false">#REF!</definedName>
    <definedName function="false" hidden="false" localSheetId="8" name="S" vbProcedure="false">#REF!</definedName>
    <definedName function="false" hidden="false" localSheetId="8" name="S.G.M.B" vbProcedure="false">#REF!</definedName>
    <definedName function="false" hidden="false" localSheetId="8" name="S.G.M.B." vbProcedure="false">#REF!</definedName>
    <definedName function="false" hidden="false" localSheetId="8" name="S.M.D.C" vbProcedure="false">#REF!</definedName>
    <definedName function="false" hidden="false" localSheetId="8" name="S.M.D.C." vbProcedure="false">#REF!</definedName>
    <definedName function="false" hidden="false" localSheetId="8" name="SAChoice" vbProcedure="false">#REF!</definedName>
    <definedName function="false" hidden="false" localSheetId="8" name="SAChoice___0" vbProcedure="false">#REF!</definedName>
    <definedName function="false" hidden="false" localSheetId="8" name="SAChoice___12" vbProcedure="false">#REF!</definedName>
    <definedName function="false" hidden="false" localSheetId="8" name="SAChoice___14" vbProcedure="false">#REF!</definedName>
    <definedName function="false" hidden="false" localSheetId="8" name="SAChoice___16" vbProcedure="false">#REF!</definedName>
    <definedName function="false" hidden="false" localSheetId="8" name="SAChoice___2" vbProcedure="false">#REF!</definedName>
    <definedName function="false" hidden="false" localSheetId="8" name="SAChoice___25" vbProcedure="false">#REF!</definedName>
    <definedName function="false" hidden="false" localSheetId="8" name="SAChoice___26" vbProcedure="false">#REF!</definedName>
    <definedName function="false" hidden="false" localSheetId="8" name="SAChoice___27" vbProcedure="false">#REF!</definedName>
    <definedName function="false" hidden="false" localSheetId="8" name="SAChoice___4" vbProcedure="false">#REF!</definedName>
    <definedName function="false" hidden="false" localSheetId="8" name="SAChoice___5" vbProcedure="false">#REF!</definedName>
    <definedName function="false" hidden="false" localSheetId="8" name="SAChoice___7" vbProcedure="false">#REF!</definedName>
    <definedName function="false" hidden="false" localSheetId="8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Sale" vbProcedure="false">#REF!</definedName>
    <definedName function="false" hidden="false" localSheetId="8" name="SAList" vbProcedure="false">#REF!</definedName>
    <definedName function="false" hidden="false" localSheetId="8" name="SAList___0" vbProcedure="false">#REF!</definedName>
    <definedName function="false" hidden="false" localSheetId="8" name="SAList___12" vbProcedure="false">#REF!</definedName>
    <definedName function="false" hidden="false" localSheetId="8" name="SAList___14" vbProcedure="false">#REF!</definedName>
    <definedName function="false" hidden="false" localSheetId="8" name="SAList___16" vbProcedure="false">#REF!</definedName>
    <definedName function="false" hidden="false" localSheetId="8" name="SAList___2" vbProcedure="false">#REF!</definedName>
    <definedName function="false" hidden="false" localSheetId="8" name="SAList___25" vbProcedure="false">#REF!</definedName>
    <definedName function="false" hidden="false" localSheetId="8" name="SAList___26" vbProcedure="false">#REF!</definedName>
    <definedName function="false" hidden="false" localSheetId="8" name="SAList___27" vbProcedure="false">#REF!</definedName>
    <definedName function="false" hidden="false" localSheetId="8" name="SAList___4" vbProcedure="false">#REF!</definedName>
    <definedName function="false" hidden="false" localSheetId="8" name="SAList___5" vbProcedure="false">#REF!</definedName>
    <definedName function="false" hidden="false" localSheetId="8" name="SAList___7" vbProcedure="false">#REF!</definedName>
    <definedName function="false" hidden="false" localSheetId="8" name="Saturday_Animated" vbProcedure="false">#REF!</definedName>
    <definedName function="false" hidden="false" localSheetId="8" name="save" vbProcedure="false">#N/A</definedName>
    <definedName function="false" hidden="false" localSheetId="8" name="SaveNewFile" vbProcedure="false">'Parc Mobile '!SaveNewFile</definedName>
    <definedName function="false" hidden="false" localSheetId="8" name="SaveNewFile___0" vbProcedure="false">'Parc Mobile '!TAmort___2</definedName>
    <definedName function="false" hidden="false" localSheetId="8" name="TAmort___2" vbProcedure="false">#REF!</definedName>
    <definedName function="false" hidden="false" localSheetId="8" name="SaveNewFile___16" vbProcedure="false">'Parc Mobile '!sss___27</definedName>
    <definedName function="false" hidden="false" localSheetId="8" name="sss___27" vbProcedure="false">'Parc Mobile '!VolFactor___14/#REF!</definedName>
    <definedName function="false" hidden="false" localSheetId="8" name="SaveNewFile___2" vbProcedure="false">t.g</definedName>
    <definedName function="false" hidden="false" localSheetId="8" name="SaveNewFile___23" vbProcedure="false">'Parc Mobile '!sss___12</definedName>
    <definedName function="false" hidden="false" localSheetId="8" name="sss___12" vbProcedure="false">'Parc Mobile '!VolFactor___25/#REF!</definedName>
    <definedName function="false" hidden="false" localSheetId="8" name="SaveNewFile___25" vbProcedure="false">'Parc Mobile '!sss___26</definedName>
    <definedName function="false" hidden="false" localSheetId="8" name="sss___26" vbProcedure="false">'Parc Mobile '!VolFactor___12/#REF!</definedName>
    <definedName function="false" hidden="false" localSheetId="8" name="SaveNewFile___26" vbProcedure="false">'Parc Mobile '!TAmort___25</definedName>
    <definedName function="false" hidden="false" localSheetId="8" name="TAmort___25" vbProcedure="false">#REF!</definedName>
    <definedName function="false" hidden="false" localSheetId="8" name="SaveNewFile___27" vbProcedure="false">'Parc Mobile '!TAmort___16</definedName>
    <definedName function="false" hidden="false" localSheetId="8" name="TAmort___16" vbProcedure="false">#REF!</definedName>
    <definedName function="false" hidden="false" localSheetId="8" name="SaveNewFile___3" vbProcedure="false">'Parc Mobile '!sss___0</definedName>
    <definedName function="false" hidden="false" localSheetId="8" name="sss___0" vbProcedure="false">'Parc Mobile '!VolFactor___5/#REF!</definedName>
    <definedName function="false" hidden="false" localSheetId="8" name="SaveNewFile___4" vbProcedure="false">'Parc Mobile '!sss___5</definedName>
    <definedName function="false" hidden="false" localSheetId="8" name="sss___5" vbProcedure="false">'Parc Mobile '!VolFactor___2/#REF!</definedName>
    <definedName function="false" hidden="false" localSheetId="8" name="SaveNewFile___5" vbProcedure="false">'Parc Mobile '!TAmort___4</definedName>
    <definedName function="false" hidden="false" localSheetId="8" name="TAmort___4" vbProcedure="false">#REF!</definedName>
    <definedName function="false" hidden="false" localSheetId="8" name="SaveNewFile___6" vbProcedure="false">'Parc Mobile '!sss___2</definedName>
    <definedName function="false" hidden="false" localSheetId="8" name="sss___2" vbProcedure="false">'Parc Mobile '!VolFactor___4/#REF!</definedName>
    <definedName function="false" hidden="false" localSheetId="8" name="SaveNewFile___7" vbProcedure="false">'Parc Mobile '!TAmort___14</definedName>
    <definedName function="false" hidden="false" localSheetId="8" name="TAmort___14" vbProcedure="false">#REF!</definedName>
    <definedName function="false" hidden="false" localSheetId="8" name="SaveNewFile___9" vbProcedure="false">'Parc Mobile '!sss___7</definedName>
    <definedName function="false" hidden="false" localSheetId="8" name="sss___7" vbProcedure="false">'Parc Mobile '!VolFactor___27/#REF!</definedName>
    <definedName function="false" hidden="false" localSheetId="8" name="SC16___0" vbProcedure="false">#REF!</definedName>
    <definedName function="false" hidden="false" localSheetId="8" name="SC16___12" vbProcedure="false">#REF!</definedName>
    <definedName function="false" hidden="false" localSheetId="8" name="SC16___14" vbProcedure="false">#REF!</definedName>
    <definedName function="false" hidden="false" localSheetId="8" name="SC16___16" vbProcedure="false">#REF!</definedName>
    <definedName function="false" hidden="false" localSheetId="8" name="SC16___2" vbProcedure="false">#REF!</definedName>
    <definedName function="false" hidden="false" localSheetId="8" name="SC16___25" vbProcedure="false">#REF!</definedName>
    <definedName function="false" hidden="false" localSheetId="8" name="SC16___26" vbProcedure="false">#REF!</definedName>
    <definedName function="false" hidden="false" localSheetId="8" name="SC16___27" vbProcedure="false">#REF!</definedName>
    <definedName function="false" hidden="false" localSheetId="8" name="SC16___4" vbProcedure="false">#REF!</definedName>
    <definedName function="false" hidden="false" localSheetId="8" name="SC16___5" vbProcedure="false">#REF!</definedName>
    <definedName function="false" hidden="false" localSheetId="8" name="SC16___7" vbProcedure="false">#REF!</definedName>
    <definedName function="false" hidden="false" localSheetId="8" name="scdv" vbProcedure="false">'Parc Mobile '!scdv</definedName>
    <definedName function="false" hidden="false" localSheetId="8" name="SD" vbProcedure="false">#N/A</definedName>
    <definedName function="false" hidden="false" localSheetId="8" name="sdf" vbProcedure="false">{#N/A,#N/A,FALSE,"Calc";#N/A,#N/A,FALSE,"Sensitivity";#N/A,#N/A,FALSE,"LT Earn.Dil.";#N/A,#N/A,FALSE,"Dil. AVP"}</definedName>
    <definedName function="false" hidden="false" localSheetId="8" name="sdfsdf" vbProcedure="false">'Parc Mobile '!Tx_intérêt_par_an/#REF!</definedName>
    <definedName function="false" hidden="false" localSheetId="8" name="SDFSDFD" vbProcedure="false">#REF!</definedName>
    <definedName function="false" hidden="false" localSheetId="8" name="se" vbProcedure="false">{"consolidated",#N/A,FALSE,"Sheet1";"cms",#N/A,FALSE,"Sheet1";"fse",#N/A,FALSE,"Sheet1"}</definedName>
    <definedName function="false" hidden="false" localSheetId="8" name="sel" vbProcedure="false">#REF!</definedName>
    <definedName function="false" hidden="false" localSheetId="8" name="select" vbProcedure="false">#REF!</definedName>
    <definedName function="false" hidden="false" localSheetId="8" name="selectALI" vbProcedure="false">#REF!</definedName>
    <definedName function="false" hidden="false" localSheetId="8" name="selection" vbProcedure="false">#REF!</definedName>
    <definedName function="false" hidden="false" localSheetId="8" name="Select_BIB" vbProcedure="false">#REF!</definedName>
    <definedName function="false" hidden="false" localSheetId="8" name="Select_Power27v" vbProcedure="false">#REF!</definedName>
    <definedName function="false" hidden="false" localSheetId="8" name="Select_PowerSelect" vbProcedure="false">#REF!</definedName>
    <definedName function="false" hidden="false" localSheetId="8" name="seltzer" vbProcedure="false">#REF!</definedName>
    <definedName function="false" hidden="false" localSheetId="8" name="September" vbProcedure="false">#REF!</definedName>
    <definedName function="false" hidden="false" localSheetId="8" name="Services_Markup" vbProcedure="false">#REF!</definedName>
    <definedName function="false" hidden="false" localSheetId="8" name="set" vbProcedure="false">#REF!</definedName>
    <definedName function="false" hidden="false" localSheetId="8" name="sfdff" vbProcedure="false">'Parc Mobile '!sfdff</definedName>
    <definedName function="false" hidden="false" localSheetId="8" name="sfdvxcvx" vbProcedure="false">#REF!</definedName>
    <definedName function="false" hidden="false" localSheetId="8" name="sfgjhsf" vbProcedure="false">'Parc Mobile '!sfgjhsf</definedName>
    <definedName function="false" hidden="false" localSheetId="8" name="sfgjsf" vbProcedure="false">'Parc Mobile '!sfgjsf</definedName>
    <definedName function="false" hidden="false" localSheetId="8" name="sfhjkj" vbProcedure="false">#REF!</definedName>
    <definedName function="false" hidden="false" localSheetId="8" name="sfsdfsf" vbProcedure="false">{"First Page",#N/A,FALSE,"Surfactants LBO";"Second Page",#N/A,FALSE,"Surfactants LBO"}</definedName>
    <definedName function="false" hidden="false" localSheetId="8" name="sfsfc" vbProcedure="false">'Parc Mobile '!sfsfc</definedName>
    <definedName function="false" hidden="false" localSheetId="8" name="sfsfd" vbProcedure="false">#REF!</definedName>
    <definedName function="false" hidden="false" localSheetId="8" name="sfze" vbProcedure="false">{#N/A,#N/A,FALSE,"Contribution Analysis"}</definedName>
    <definedName function="false" hidden="false" localSheetId="8" name="SF_Original" vbProcedure="false">#REF!</definedName>
    <definedName function="false" hidden="false" localSheetId="8" name="SGADJ" vbProcedure="false">#REF!</definedName>
    <definedName function="false" hidden="false" localSheetId="8" name="SGUNADJ" vbProcedure="false">#REF!</definedName>
    <definedName function="false" hidden="false" localSheetId="8" name="sh" vbProcedure="false">#N/A</definedName>
    <definedName function="false" hidden="false" localSheetId="8" name="shdrhjrt" vbProcedure="false">#N/A</definedName>
    <definedName function="false" hidden="false" localSheetId="8" name="shst" vbProcedure="false">#N/A</definedName>
    <definedName function="false" hidden="false" localSheetId="8" name="si" vbProcedure="false">#REF!</definedName>
    <definedName function="false" hidden="false" localSheetId="8" name="sjg" vbProcedure="false">'Parc Mobile '!sjg</definedName>
    <definedName function="false" hidden="false" localSheetId="8" name="sm" vbProcedure="false">#REF!</definedName>
    <definedName function="false" hidden="false" localSheetId="8" name="solver_opt" vbProcedure="false">#REF!</definedName>
    <definedName function="false" hidden="false" localSheetId="8" name="SPARES" vbProcedure="false">#REF!</definedName>
    <definedName function="false" hidden="false" localSheetId="8" name="Spares_Markup" vbProcedure="false">#REF!</definedName>
    <definedName function="false" hidden="false" localSheetId="8" name="SPI_Sch_Perf_Index" vbProcedure="false">#REF!</definedName>
    <definedName function="false" hidden="false" localSheetId="8" name="SPS" vbProcedure="false">#REF!</definedName>
    <definedName function="false" hidden="false" localSheetId="8" name="sqdqs" vbProcedure="false">#REF!</definedName>
    <definedName function="false" hidden="false" localSheetId="8" name="sqdsf" vbProcedure="false">'Parc Mobile '!Tx_intérêt_par_an/#REF!</definedName>
    <definedName function="false" hidden="false" localSheetId="8" name="ss" vbProcedure="false">#REF!</definedName>
    <definedName function="false" hidden="false" localSheetId="8" name="SSCurrInput" vbProcedure="false">#REF!</definedName>
    <definedName function="false" hidden="false" localSheetId="8" name="SSCurrInput___0" vbProcedure="false">#REF!</definedName>
    <definedName function="false" hidden="false" localSheetId="8" name="SSCurrInput___12" vbProcedure="false">#REF!</definedName>
    <definedName function="false" hidden="false" localSheetId="8" name="SSCurrInput___14" vbProcedure="false">#REF!</definedName>
    <definedName function="false" hidden="false" localSheetId="8" name="SSCurrInput___16" vbProcedure="false">#REF!</definedName>
    <definedName function="false" hidden="false" localSheetId="8" name="SSCurrInput___2" vbProcedure="false">#REF!</definedName>
    <definedName function="false" hidden="false" localSheetId="8" name="SSCurrInput___25" vbProcedure="false">#REF!</definedName>
    <definedName function="false" hidden="false" localSheetId="8" name="SSCurrInput___26" vbProcedure="false">#REF!</definedName>
    <definedName function="false" hidden="false" localSheetId="8" name="SSCurrInput___27" vbProcedure="false">#REF!</definedName>
    <definedName function="false" hidden="false" localSheetId="8" name="SSCurrInput___4" vbProcedure="false">#REF!</definedName>
    <definedName function="false" hidden="false" localSheetId="8" name="SSCurrInput___5" vbProcedure="false">#REF!</definedName>
    <definedName function="false" hidden="false" localSheetId="8" name="SSCurrInput___7" vbProcedure="false">#REF!</definedName>
    <definedName function="false" hidden="false" localSheetId="8" name="ssdsds" vbProcedure="false">{#N/A,#N/A,TRUE,"Cover sheet";#N/A,#N/A,TRUE,"DCF analysis";#N/A,#N/A,TRUE,"WACC calculation"}</definedName>
    <definedName function="false" hidden="false" localSheetId="8" name="SSQ" vbProcedure="false">#REF!</definedName>
    <definedName function="false" hidden="false" localSheetId="8" name="sss" vbProcedure="false">'Parc Mobile '!Tx_intérêt_par_an/#REF!</definedName>
    <definedName function="false" hidden="false" localSheetId="8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ssssssssssss" vbProcedure="false">#REF!</definedName>
    <definedName function="false" hidden="false" localSheetId="8" name="sss___14" vbProcedure="false">'Parc Mobile '!VolFactor___16/#REF!</definedName>
    <definedName function="false" hidden="false" localSheetId="8" name="sss___16" vbProcedure="false">'Parc Mobile '!VLastRowToPrint___7/#REF!</definedName>
    <definedName function="false" hidden="false" localSheetId="8" name="sss___23" vbProcedure="false">'Parc Mobile '!VolFactor___5/#REF!</definedName>
    <definedName function="false" hidden="false" localSheetId="8" name="sss___3" vbProcedure="false">'Parc Mobile '!VolFactor___5/#REF!</definedName>
    <definedName function="false" hidden="false" localSheetId="8" name="sss___4" vbProcedure="false">'Parc Mobile '!VLastRowToPrint___0/#REF!</definedName>
    <definedName function="false" hidden="false" localSheetId="8" name="sss___6" vbProcedure="false">'Parc Mobile '!VLastRowToPrint___26/#REF!</definedName>
    <definedName function="false" hidden="false" localSheetId="8" name="sss___9" vbProcedure="false">'Parc Mobile '!VolFactor___5/#REF!</definedName>
    <definedName function="false" hidden="false" localSheetId="8" name="startdate" vbProcedure="false">#REF!</definedName>
    <definedName function="false" hidden="false" localSheetId="8" name="STDCOSTS" vbProcedure="false">#REF!</definedName>
    <definedName function="false" hidden="false" localSheetId="8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STPER" vbProcedure="false">#REF!</definedName>
    <definedName function="false" hidden="false" localSheetId="8" name="SUM" vbProcedure="false">#REF!</definedName>
    <definedName function="false" hidden="false" localSheetId="8" name="SV_Sch_Var" vbProcedure="false">#REF!</definedName>
    <definedName function="false" hidden="false" localSheetId="8" name="SV_Sch_Variance" vbProcedure="false">#REF!</definedName>
    <definedName function="false" hidden="false" localSheetId="8" name="SYNTHESE_BA__ETAT_PRIVE" vbProcedure="false">#REF!</definedName>
    <definedName function="false" hidden="false" localSheetId="8" name="synthèse" vbProcedure="false">#REF!</definedName>
    <definedName function="false" hidden="false" localSheetId="8" name="SystemImpedance" vbProcedure="false">#REF!</definedName>
    <definedName function="false" hidden="false" localSheetId="8" name="S___0" vbProcedure="false">#REF!</definedName>
    <definedName function="false" hidden="false" localSheetId="8" name="S___12" vbProcedure="false">#REF!</definedName>
    <definedName function="false" hidden="false" localSheetId="8" name="S___14" vbProcedure="false">#REF!</definedName>
    <definedName function="false" hidden="false" localSheetId="8" name="S___16" vbProcedure="false">#REF!</definedName>
    <definedName function="false" hidden="false" localSheetId="8" name="S___2" vbProcedure="false">#REF!</definedName>
    <definedName function="false" hidden="false" localSheetId="8" name="S___25" vbProcedure="false">#REF!</definedName>
    <definedName function="false" hidden="false" localSheetId="8" name="S___26" vbProcedure="false">#REF!</definedName>
    <definedName function="false" hidden="false" localSheetId="8" name="S___27" vbProcedure="false">#REF!</definedName>
    <definedName function="false" hidden="false" localSheetId="8" name="S___4" vbProcedure="false">#REF!</definedName>
    <definedName function="false" hidden="false" localSheetId="8" name="S___5" vbProcedure="false">#REF!</definedName>
    <definedName function="false" hidden="false" localSheetId="8" name="S___7" vbProcedure="false">#REF!</definedName>
    <definedName function="false" hidden="false" localSheetId="8" name="T.V.A__MAI__2003" vbProcedure="false">#REF!</definedName>
    <definedName function="false" hidden="false" localSheetId="8" name="TABLE" vbProcedure="false">#REF!</definedName>
    <definedName function="false" hidden="false" localSheetId="8" name="tableau" vbProcedure="false">#REF!</definedName>
    <definedName function="false" hidden="false" localSheetId="8" name="tableau10" vbProcedure="false">#REF!,#REF!</definedName>
    <definedName function="false" hidden="false" localSheetId="8" name="tableau14" vbProcedure="false">#REF!</definedName>
    <definedName function="false" hidden="false" localSheetId="8" name="tableau15" vbProcedure="false">#REF!</definedName>
    <definedName function="false" hidden="false" localSheetId="8" name="tableau16" vbProcedure="false">#REF!,#REF!</definedName>
    <definedName function="false" hidden="false" localSheetId="8" name="tableau17" vbProcedure="false">#REF!</definedName>
    <definedName function="false" hidden="false" localSheetId="8" name="tableau18" vbProcedure="false">#REF!,#REF!,#REF!</definedName>
    <definedName function="false" hidden="false" localSheetId="8" name="tableau2" vbProcedure="false">#REF!,#REF!</definedName>
    <definedName function="false" hidden="false" localSheetId="8" name="tableau3" vbProcedure="false">#REF!,#REF!,#REF!,#REF!</definedName>
    <definedName function="false" hidden="false" localSheetId="8" name="tableau4" vbProcedure="false">#REF!,#REF!,#REF!</definedName>
    <definedName function="false" hidden="false" localSheetId="8" name="tableau5" vbProcedure="false">#REF!</definedName>
    <definedName function="false" hidden="false" localSheetId="8" name="tableau6" vbProcedure="false">#REF!</definedName>
    <definedName function="false" hidden="false" localSheetId="8" name="tableau7" vbProcedure="false">#REF!</definedName>
    <definedName function="false" hidden="false" localSheetId="8" name="tableau8" vbProcedure="false">#REF!,#REF!</definedName>
    <definedName function="false" hidden="false" localSheetId="8" name="tableconv" vbProcedure="false">#REF!</definedName>
    <definedName function="false" hidden="false" localSheetId="8" name="tableconversion" vbProcedure="false">#REF!</definedName>
    <definedName function="false" hidden="false" localSheetId="8" name="TAmort" vbProcedure="false">#REF!</definedName>
    <definedName function="false" hidden="false" localSheetId="8" name="TAmort___0" vbProcedure="false">#REF!</definedName>
    <definedName function="false" hidden="false" localSheetId="8" name="TAmort___12" vbProcedure="false">#REF!</definedName>
    <definedName function="false" hidden="false" localSheetId="8" name="TAmort___26" vbProcedure="false">#REF!</definedName>
    <definedName function="false" hidden="false" localSheetId="8" name="TAmort___27" vbProcedure="false">#REF!</definedName>
    <definedName function="false" hidden="false" localSheetId="8" name="TAmort___5" vbProcedure="false">#REF!</definedName>
    <definedName function="false" hidden="false" localSheetId="8" name="TAmort___7" vbProcedure="false">#REF!</definedName>
    <definedName function="false" hidden="false" localSheetId="8" name="Tanger" vbProcedure="false">#REF!</definedName>
    <definedName function="false" hidden="false" localSheetId="8" name="TargetDebtToCapital" vbProcedure="false">#REF!</definedName>
    <definedName function="false" hidden="false" localSheetId="8" name="TargetDebtToCapital___0" vbProcedure="false">#REF!</definedName>
    <definedName function="false" hidden="false" localSheetId="8" name="TargetDebtToCapital___12" vbProcedure="false">#REF!</definedName>
    <definedName function="false" hidden="false" localSheetId="8" name="TargetDebtToCapital___14" vbProcedure="false">#REF!</definedName>
    <definedName function="false" hidden="false" localSheetId="8" name="TargetDebtToCapital___16" vbProcedure="false">#REF!</definedName>
    <definedName function="false" hidden="false" localSheetId="8" name="TargetDebtToCapital___2" vbProcedure="false">#REF!</definedName>
    <definedName function="false" hidden="false" localSheetId="8" name="TargetDebtToCapital___25" vbProcedure="false">#REF!</definedName>
    <definedName function="false" hidden="false" localSheetId="8" name="TargetDebtToCapital___26" vbProcedure="false">#REF!</definedName>
    <definedName function="false" hidden="false" localSheetId="8" name="TargetDebtToCapital___27" vbProcedure="false">#REF!</definedName>
    <definedName function="false" hidden="false" localSheetId="8" name="TargetDebtToCapital___4" vbProcedure="false">#REF!</definedName>
    <definedName function="false" hidden="false" localSheetId="8" name="TargetDebtToCapital___5" vbProcedure="false">#REF!</definedName>
    <definedName function="false" hidden="false" localSheetId="8" name="TargetDebtToCapital___7" vbProcedure="false">#REF!</definedName>
    <definedName function="false" hidden="false" localSheetId="8" name="TAssetPct" vbProcedure="false">#REF!</definedName>
    <definedName function="false" hidden="false" localSheetId="8" name="TAssetPct___0" vbProcedure="false">#REF!</definedName>
    <definedName function="false" hidden="false" localSheetId="8" name="TAssetPct___12" vbProcedure="false">#REF!</definedName>
    <definedName function="false" hidden="false" localSheetId="8" name="TAssetPct___14" vbProcedure="false">#REF!</definedName>
    <definedName function="false" hidden="false" localSheetId="8" name="TAssetPct___16" vbProcedure="false">#REF!</definedName>
    <definedName function="false" hidden="false" localSheetId="8" name="TAssetPct___2" vbProcedure="false">#REF!</definedName>
    <definedName function="false" hidden="false" localSheetId="8" name="TAssetPct___25" vbProcedure="false">#REF!</definedName>
    <definedName function="false" hidden="false" localSheetId="8" name="TAssetPct___26" vbProcedure="false">#REF!</definedName>
    <definedName function="false" hidden="false" localSheetId="8" name="TAssetPct___27" vbProcedure="false">#REF!</definedName>
    <definedName function="false" hidden="false" localSheetId="8" name="TAssetPct___4" vbProcedure="false">#REF!</definedName>
    <definedName function="false" hidden="false" localSheetId="8" name="TAssetPct___5" vbProcedure="false">#REF!</definedName>
    <definedName function="false" hidden="false" localSheetId="8" name="TAssetPct___7" vbProcedure="false">#REF!</definedName>
    <definedName function="false" hidden="false" localSheetId="8" name="TAssets" vbProcedure="false">#REF!</definedName>
    <definedName function="false" hidden="false" localSheetId="8" name="TAssets___0" vbProcedure="false">#REF!</definedName>
    <definedName function="false" hidden="false" localSheetId="8" name="TAssets___12" vbProcedure="false">#REF!</definedName>
    <definedName function="false" hidden="false" localSheetId="8" name="TAssets___14" vbProcedure="false">#REF!</definedName>
    <definedName function="false" hidden="false" localSheetId="8" name="TAssets___16" vbProcedure="false">#REF!</definedName>
    <definedName function="false" hidden="false" localSheetId="8" name="TAssets___2" vbProcedure="false">#REF!</definedName>
    <definedName function="false" hidden="false" localSheetId="8" name="TAssets___25" vbProcedure="false">#REF!</definedName>
    <definedName function="false" hidden="false" localSheetId="8" name="TAssets___26" vbProcedure="false">#REF!</definedName>
    <definedName function="false" hidden="false" localSheetId="8" name="TAssets___27" vbProcedure="false">#REF!</definedName>
    <definedName function="false" hidden="false" localSheetId="8" name="TAssets___4" vbProcedure="false">#REF!</definedName>
    <definedName function="false" hidden="false" localSheetId="8" name="TAssets___5" vbProcedure="false">#REF!</definedName>
    <definedName function="false" hidden="false" localSheetId="8" name="TAssets___7" vbProcedure="false">#REF!</definedName>
    <definedName function="false" hidden="false" localSheetId="8" name="tata" vbProcedure="false">#REF!</definedName>
    <definedName function="false" hidden="false" localSheetId="8" name="tatat" vbProcedure="false">{"IS",#N/A,FALSE,"IS";"RPTIS",#N/A,FALSE,"RPTIS";"STATS",#N/A,FALSE,"STATS";"CELL",#N/A,FALSE,"CELL";"BS",#N/A,FALSE,"BS"}</definedName>
    <definedName function="false" hidden="false" localSheetId="8" name="Taux_intérêt_par_an" vbProcedure="false">#REF!</definedName>
    <definedName function="false" hidden="false" localSheetId="8" name="Taux_intérêt_par_an___0" vbProcedure="false">#REF!</definedName>
    <definedName function="false" hidden="false" localSheetId="8" name="Taux_intérêt_par_an___12" vbProcedure="false">#REF!</definedName>
    <definedName function="false" hidden="false" localSheetId="8" name="Taux_intérêt_par_an___14" vbProcedure="false">#REF!</definedName>
    <definedName function="false" hidden="false" localSheetId="8" name="Taux_intérêt_par_an___16" vbProcedure="false">#REF!</definedName>
    <definedName function="false" hidden="false" localSheetId="8" name="Taux_intérêt_par_an___2" vbProcedure="false">#REF!</definedName>
    <definedName function="false" hidden="false" localSheetId="8" name="Taux_intérêt_par_an___25" vbProcedure="false">#REF!</definedName>
    <definedName function="false" hidden="false" localSheetId="8" name="Taux_intérêt_par_an___26" vbProcedure="false">#REF!</definedName>
    <definedName function="false" hidden="false" localSheetId="8" name="Taux_intérêt_par_an___27" vbProcedure="false">#REF!</definedName>
    <definedName function="false" hidden="false" localSheetId="8" name="Taux_intérêt_par_an___4" vbProcedure="false">#REF!</definedName>
    <definedName function="false" hidden="false" localSheetId="8" name="Taux_intérêt_par_an___5" vbProcedure="false">#REF!</definedName>
    <definedName function="false" hidden="false" localSheetId="8" name="Taux_intérêt_par_an___7" vbProcedure="false">#REF!</definedName>
    <definedName function="false" hidden="false" localSheetId="8" name="TCapex" vbProcedure="false">#REF!</definedName>
    <definedName function="false" hidden="false" localSheetId="8" name="TCapexPct" vbProcedure="false">#REF!</definedName>
    <definedName function="false" hidden="false" localSheetId="8" name="TCapexPct___0" vbProcedure="false">#REF!</definedName>
    <definedName function="false" hidden="false" localSheetId="8" name="TCapexPct___12" vbProcedure="false">#REF!</definedName>
    <definedName function="false" hidden="false" localSheetId="8" name="TCapexPct___14" vbProcedure="false">#REF!</definedName>
    <definedName function="false" hidden="false" localSheetId="8" name="TCapexPct___16" vbProcedure="false">#REF!</definedName>
    <definedName function="false" hidden="false" localSheetId="8" name="TCapexPct___2" vbProcedure="false">#REF!</definedName>
    <definedName function="false" hidden="false" localSheetId="8" name="TCapexPct___25" vbProcedure="false">#REF!</definedName>
    <definedName function="false" hidden="false" localSheetId="8" name="TCapexPct___26" vbProcedure="false">#REF!</definedName>
    <definedName function="false" hidden="false" localSheetId="8" name="TCapexPct___27" vbProcedure="false">#REF!</definedName>
    <definedName function="false" hidden="false" localSheetId="8" name="TCapexPct___4" vbProcedure="false">#REF!</definedName>
    <definedName function="false" hidden="false" localSheetId="8" name="TCapexPct___5" vbProcedure="false">#REF!</definedName>
    <definedName function="false" hidden="false" localSheetId="8" name="TCapexPct___7" vbProcedure="false">#REF!</definedName>
    <definedName function="false" hidden="false" localSheetId="8" name="TCapex___0" vbProcedure="false">#REF!</definedName>
    <definedName function="false" hidden="false" localSheetId="8" name="TCapex___12" vbProcedure="false">#REF!</definedName>
    <definedName function="false" hidden="false" localSheetId="8" name="TCapex___14" vbProcedure="false">#REF!</definedName>
    <definedName function="false" hidden="false" localSheetId="8" name="TCapex___16" vbProcedure="false">#REF!</definedName>
    <definedName function="false" hidden="false" localSheetId="8" name="TCapex___2" vbProcedure="false">#REF!</definedName>
    <definedName function="false" hidden="false" localSheetId="8" name="TCapex___25" vbProcedure="false">#REF!</definedName>
    <definedName function="false" hidden="false" localSheetId="8" name="TCapex___26" vbProcedure="false">#REF!</definedName>
    <definedName function="false" hidden="false" localSheetId="8" name="TCapex___27" vbProcedure="false">#REF!</definedName>
    <definedName function="false" hidden="false" localSheetId="8" name="TCapex___4" vbProcedure="false">#REF!</definedName>
    <definedName function="false" hidden="false" localSheetId="8" name="TCapex___5" vbProcedure="false">#REF!</definedName>
    <definedName function="false" hidden="false" localSheetId="8" name="TCapex___7" vbProcedure="false">#REF!</definedName>
    <definedName function="false" hidden="false" localSheetId="8" name="Tcasa" vbProcedure="false">#REF!</definedName>
    <definedName function="false" hidden="false" localSheetId="8" name="TChgDefTax" vbProcedure="false">#REF!</definedName>
    <definedName function="false" hidden="false" localSheetId="8" name="TChgDefTax___0" vbProcedure="false">#REF!</definedName>
    <definedName function="false" hidden="false" localSheetId="8" name="TChgDefTax___12" vbProcedure="false">#REF!</definedName>
    <definedName function="false" hidden="false" localSheetId="8" name="TChgDefTax___14" vbProcedure="false">#REF!</definedName>
    <definedName function="false" hidden="false" localSheetId="8" name="TChgDefTax___16" vbProcedure="false">#REF!</definedName>
    <definedName function="false" hidden="false" localSheetId="8" name="TChgDefTax___2" vbProcedure="false">#REF!</definedName>
    <definedName function="false" hidden="false" localSheetId="8" name="TChgDefTax___25" vbProcedure="false">#REF!</definedName>
    <definedName function="false" hidden="false" localSheetId="8" name="TChgDefTax___26" vbProcedure="false">#REF!</definedName>
    <definedName function="false" hidden="false" localSheetId="8" name="TChgDefTax___27" vbProcedure="false">#REF!</definedName>
    <definedName function="false" hidden="false" localSheetId="8" name="TChgDefTax___4" vbProcedure="false">#REF!</definedName>
    <definedName function="false" hidden="false" localSheetId="8" name="TChgDefTax___5" vbProcedure="false">#REF!</definedName>
    <definedName function="false" hidden="false" localSheetId="8" name="TChgDefTax___7" vbProcedure="false">#REF!</definedName>
    <definedName function="false" hidden="false" localSheetId="8" name="TChgNWI" vbProcedure="false">#REF!</definedName>
    <definedName function="false" hidden="false" localSheetId="8" name="TChgNWI___0" vbProcedure="false">#REF!</definedName>
    <definedName function="false" hidden="false" localSheetId="8" name="TChgNWI___12" vbProcedure="false">#REF!</definedName>
    <definedName function="false" hidden="false" localSheetId="8" name="TChgNWI___14" vbProcedure="false">#REF!</definedName>
    <definedName function="false" hidden="false" localSheetId="8" name="TChgNWI___16" vbProcedure="false">#REF!</definedName>
    <definedName function="false" hidden="false" localSheetId="8" name="TChgNWI___2" vbProcedure="false">#REF!</definedName>
    <definedName function="false" hidden="false" localSheetId="8" name="TChgNWI___25" vbProcedure="false">#REF!</definedName>
    <definedName function="false" hidden="false" localSheetId="8" name="TChgNWI___26" vbProcedure="false">#REF!</definedName>
    <definedName function="false" hidden="false" localSheetId="8" name="TChgNWI___27" vbProcedure="false">#REF!</definedName>
    <definedName function="false" hidden="false" localSheetId="8" name="TChgNWI___4" vbProcedure="false">#REF!</definedName>
    <definedName function="false" hidden="false" localSheetId="8" name="TChgNWI___5" vbProcedure="false">#REF!</definedName>
    <definedName function="false" hidden="false" localSheetId="8" name="TChgNWI___7" vbProcedure="false">#REF!</definedName>
    <definedName function="false" hidden="false" localSheetId="8" name="TDepr" vbProcedure="false">#REF!</definedName>
    <definedName function="false" hidden="false" localSheetId="8" name="TDeprOutput" vbProcedure="false">#REF!</definedName>
    <definedName function="false" hidden="false" localSheetId="8" name="TDeprOutput___0" vbProcedure="false">#REF!</definedName>
    <definedName function="false" hidden="false" localSheetId="8" name="TDeprOutput___12" vbProcedure="false">#REF!</definedName>
    <definedName function="false" hidden="false" localSheetId="8" name="TDeprOutput___14" vbProcedure="false">#REF!</definedName>
    <definedName function="false" hidden="false" localSheetId="8" name="TDeprOutput___16" vbProcedure="false">#REF!</definedName>
    <definedName function="false" hidden="false" localSheetId="8" name="TDeprOutput___2" vbProcedure="false">#REF!</definedName>
    <definedName function="false" hidden="false" localSheetId="8" name="TDeprOutput___25" vbProcedure="false">#REF!</definedName>
    <definedName function="false" hidden="false" localSheetId="8" name="TDeprOutput___26" vbProcedure="false">#REF!</definedName>
    <definedName function="false" hidden="false" localSheetId="8" name="TDeprOutput___27" vbProcedure="false">#REF!</definedName>
    <definedName function="false" hidden="false" localSheetId="8" name="TDeprOutput___4" vbProcedure="false">#REF!</definedName>
    <definedName function="false" hidden="false" localSheetId="8" name="TDeprOutput___5" vbProcedure="false">#REF!</definedName>
    <definedName function="false" hidden="false" localSheetId="8" name="TDeprOutput___7" vbProcedure="false">#REF!</definedName>
    <definedName function="false" hidden="false" localSheetId="8" name="TDepr___0" vbProcedure="false">#REF!</definedName>
    <definedName function="false" hidden="false" localSheetId="8" name="TDepr___12" vbProcedure="false">#REF!</definedName>
    <definedName function="false" hidden="false" localSheetId="8" name="TDepr___14" vbProcedure="false">#REF!</definedName>
    <definedName function="false" hidden="false" localSheetId="8" name="TDepr___16" vbProcedure="false">#REF!</definedName>
    <definedName function="false" hidden="false" localSheetId="8" name="TDepr___2" vbProcedure="false">#REF!</definedName>
    <definedName function="false" hidden="false" localSheetId="8" name="TDepr___25" vbProcedure="false">#REF!</definedName>
    <definedName function="false" hidden="false" localSheetId="8" name="TDepr___26" vbProcedure="false">#REF!</definedName>
    <definedName function="false" hidden="false" localSheetId="8" name="TDepr___27" vbProcedure="false">#REF!</definedName>
    <definedName function="false" hidden="false" localSheetId="8" name="TDepr___4" vbProcedure="false">#REF!</definedName>
    <definedName function="false" hidden="false" localSheetId="8" name="TDepr___5" vbProcedure="false">#REF!</definedName>
    <definedName function="false" hidden="false" localSheetId="8" name="TDepr___7" vbProcedure="false">#REF!</definedName>
    <definedName function="false" hidden="false" localSheetId="8" name="TD_CAPEX_ACTU2_PREVISION" vbProcedure="false">#REF!</definedName>
    <definedName function="false" hidden="false" localSheetId="8" name="TEBIAT" vbProcedure="false">#REF!</definedName>
    <definedName function="false" hidden="false" localSheetId="8" name="TEBIAT___0" vbProcedure="false">#REF!</definedName>
    <definedName function="false" hidden="false" localSheetId="8" name="TEBIAT___12" vbProcedure="false">#REF!</definedName>
    <definedName function="false" hidden="false" localSheetId="8" name="TEBIAT___14" vbProcedure="false">#REF!</definedName>
    <definedName function="false" hidden="false" localSheetId="8" name="TEBIAT___16" vbProcedure="false">#REF!</definedName>
    <definedName function="false" hidden="false" localSheetId="8" name="TEBIAT___2" vbProcedure="false">#REF!</definedName>
    <definedName function="false" hidden="false" localSheetId="8" name="TEBIAT___25" vbProcedure="false">#REF!</definedName>
    <definedName function="false" hidden="false" localSheetId="8" name="TEBIAT___26" vbProcedure="false">#REF!</definedName>
    <definedName function="false" hidden="false" localSheetId="8" name="TEBIAT___27" vbProcedure="false">#REF!</definedName>
    <definedName function="false" hidden="false" localSheetId="8" name="TEBIAT___4" vbProcedure="false">#REF!</definedName>
    <definedName function="false" hidden="false" localSheetId="8" name="TEBIAT___5" vbProcedure="false">#REF!</definedName>
    <definedName function="false" hidden="false" localSheetId="8" name="TEBIAT___7" vbProcedure="false">#REF!</definedName>
    <definedName function="false" hidden="false" localSheetId="8" name="TEBIT" vbProcedure="false">#REF!</definedName>
    <definedName function="false" hidden="false" localSheetId="8" name="TEBITAdj" vbProcedure="false">#REF!</definedName>
    <definedName function="false" hidden="false" localSheetId="8" name="TEBITAdj___0" vbProcedure="false">#REF!</definedName>
    <definedName function="false" hidden="false" localSheetId="8" name="TEBITAdj___12" vbProcedure="false">#REF!</definedName>
    <definedName function="false" hidden="false" localSheetId="8" name="TEBITAdj___14" vbProcedure="false">#REF!</definedName>
    <definedName function="false" hidden="false" localSheetId="8" name="TEBITAdj___16" vbProcedure="false">#REF!</definedName>
    <definedName function="false" hidden="false" localSheetId="8" name="TEBITAdj___2" vbProcedure="false">#REF!</definedName>
    <definedName function="false" hidden="false" localSheetId="8" name="TEBITAdj___25" vbProcedure="false">#REF!</definedName>
    <definedName function="false" hidden="false" localSheetId="8" name="TEBITAdj___26" vbProcedure="false">#REF!</definedName>
    <definedName function="false" hidden="false" localSheetId="8" name="TEBITAdj___27" vbProcedure="false">#REF!</definedName>
    <definedName function="false" hidden="false" localSheetId="8" name="TEBITAdj___4" vbProcedure="false">#REF!</definedName>
    <definedName function="false" hidden="false" localSheetId="8" name="TEBITAdj___5" vbProcedure="false">#REF!</definedName>
    <definedName function="false" hidden="false" localSheetId="8" name="TEBITAdj___7" vbProcedure="false">#REF!</definedName>
    <definedName function="false" hidden="false" localSheetId="8" name="TEBITDAAdj" vbProcedure="false">#REF!</definedName>
    <definedName function="false" hidden="false" localSheetId="8" name="TEBITDAAdj___0" vbProcedure="false">#REF!</definedName>
    <definedName function="false" hidden="false" localSheetId="8" name="TEBITDAAdj___12" vbProcedure="false">#REF!</definedName>
    <definedName function="false" hidden="false" localSheetId="8" name="TEBITDAAdj___14" vbProcedure="false">#REF!</definedName>
    <definedName function="false" hidden="false" localSheetId="8" name="TEBITDAAdj___16" vbProcedure="false">#REF!</definedName>
    <definedName function="false" hidden="false" localSheetId="8" name="TEBITDAAdj___2" vbProcedure="false">#REF!</definedName>
    <definedName function="false" hidden="false" localSheetId="8" name="TEBITDAAdj___25" vbProcedure="false">#REF!</definedName>
    <definedName function="false" hidden="false" localSheetId="8" name="TEBITDAAdj___26" vbProcedure="false">#REF!</definedName>
    <definedName function="false" hidden="false" localSheetId="8" name="TEBITDAAdj___27" vbProcedure="false">#REF!</definedName>
    <definedName function="false" hidden="false" localSheetId="8" name="TEBITDAAdj___4" vbProcedure="false">#REF!</definedName>
    <definedName function="false" hidden="false" localSheetId="8" name="TEBITDAAdj___5" vbProcedure="false">#REF!</definedName>
    <definedName function="false" hidden="false" localSheetId="8" name="TEBITDAAdj___7" vbProcedure="false">#REF!</definedName>
    <definedName function="false" hidden="false" localSheetId="8" name="TEBITDAMult" vbProcedure="false">#REF!</definedName>
    <definedName function="false" hidden="false" localSheetId="8" name="TEBITDAMult___0" vbProcedure="false">#REF!</definedName>
    <definedName function="false" hidden="false" localSheetId="8" name="TEBITDAMult___12" vbProcedure="false">#REF!</definedName>
    <definedName function="false" hidden="false" localSheetId="8" name="TEBITDAMult___14" vbProcedure="false">#REF!</definedName>
    <definedName function="false" hidden="false" localSheetId="8" name="TEBITDAMult___16" vbProcedure="false">#REF!</definedName>
    <definedName function="false" hidden="false" localSheetId="8" name="TEBITDAMult___2" vbProcedure="false">#REF!</definedName>
    <definedName function="false" hidden="false" localSheetId="8" name="TEBITDAMult___25" vbProcedure="false">#REF!</definedName>
    <definedName function="false" hidden="false" localSheetId="8" name="TEBITDAMult___26" vbProcedure="false">#REF!</definedName>
    <definedName function="false" hidden="false" localSheetId="8" name="TEBITDAMult___27" vbProcedure="false">#REF!</definedName>
    <definedName function="false" hidden="false" localSheetId="8" name="TEBITDAMult___4" vbProcedure="false">#REF!</definedName>
    <definedName function="false" hidden="false" localSheetId="8" name="TEBITDAMult___5" vbProcedure="false">#REF!</definedName>
    <definedName function="false" hidden="false" localSheetId="8" name="TEBITDAMult___7" vbProcedure="false">#REF!</definedName>
    <definedName function="false" hidden="false" localSheetId="8" name="TEBITMargin" vbProcedure="false">#REF!</definedName>
    <definedName function="false" hidden="false" localSheetId="8" name="TEBITMargin___0" vbProcedure="false">#REF!</definedName>
    <definedName function="false" hidden="false" localSheetId="8" name="TEBITMargin___12" vbProcedure="false">#REF!</definedName>
    <definedName function="false" hidden="false" localSheetId="8" name="TEBITMargin___14" vbProcedure="false">#REF!</definedName>
    <definedName function="false" hidden="false" localSheetId="8" name="TEBITMargin___16" vbProcedure="false">#REF!</definedName>
    <definedName function="false" hidden="false" localSheetId="8" name="TEBITMargin___2" vbProcedure="false">#REF!</definedName>
    <definedName function="false" hidden="false" localSheetId="8" name="TEBITMargin___25" vbProcedure="false">#REF!</definedName>
    <definedName function="false" hidden="false" localSheetId="8" name="TEBITMargin___26" vbProcedure="false">#REF!</definedName>
    <definedName function="false" hidden="false" localSheetId="8" name="TEBITMargin___27" vbProcedure="false">#REF!</definedName>
    <definedName function="false" hidden="false" localSheetId="8" name="TEBITMargin___4" vbProcedure="false">#REF!</definedName>
    <definedName function="false" hidden="false" localSheetId="8" name="TEBITMargin___5" vbProcedure="false">#REF!</definedName>
    <definedName function="false" hidden="false" localSheetId="8" name="TEBITMargin___7" vbProcedure="false">#REF!</definedName>
    <definedName function="false" hidden="false" localSheetId="8" name="TEBITMult" vbProcedure="false">#REF!</definedName>
    <definedName function="false" hidden="false" localSheetId="8" name="TEBITMult___0" vbProcedure="false">#REF!</definedName>
    <definedName function="false" hidden="false" localSheetId="8" name="TEBITMult___12" vbProcedure="false">#REF!</definedName>
    <definedName function="false" hidden="false" localSheetId="8" name="TEBITMult___14" vbProcedure="false">#REF!</definedName>
    <definedName function="false" hidden="false" localSheetId="8" name="TEBITMult___16" vbProcedure="false">#REF!</definedName>
    <definedName function="false" hidden="false" localSheetId="8" name="TEBITMult___2" vbProcedure="false">#REF!</definedName>
    <definedName function="false" hidden="false" localSheetId="8" name="TEBITMult___25" vbProcedure="false">#REF!</definedName>
    <definedName function="false" hidden="false" localSheetId="8" name="TEBITMult___26" vbProcedure="false">#REF!</definedName>
    <definedName function="false" hidden="false" localSheetId="8" name="TEBITMult___27" vbProcedure="false">#REF!</definedName>
    <definedName function="false" hidden="false" localSheetId="8" name="TEBITMult___4" vbProcedure="false">#REF!</definedName>
    <definedName function="false" hidden="false" localSheetId="8" name="TEBITMult___5" vbProcedure="false">#REF!</definedName>
    <definedName function="false" hidden="false" localSheetId="8" name="TEBITMult___7" vbProcedure="false">#REF!</definedName>
    <definedName function="false" hidden="false" localSheetId="8" name="TEBIT___0" vbProcedure="false">#REF!</definedName>
    <definedName function="false" hidden="false" localSheetId="8" name="TEBIT___12" vbProcedure="false">#REF!</definedName>
    <definedName function="false" hidden="false" localSheetId="8" name="TEBIT___14" vbProcedure="false">#REF!</definedName>
    <definedName function="false" hidden="false" localSheetId="8" name="TEBIT___16" vbProcedure="false">#REF!</definedName>
    <definedName function="false" hidden="false" localSheetId="8" name="TEBIT___2" vbProcedure="false">#REF!</definedName>
    <definedName function="false" hidden="false" localSheetId="8" name="TEBIT___25" vbProcedure="false">#REF!</definedName>
    <definedName function="false" hidden="false" localSheetId="8" name="TEBIT___26" vbProcedure="false">#REF!</definedName>
    <definedName function="false" hidden="false" localSheetId="8" name="TEBIT___27" vbProcedure="false">#REF!</definedName>
    <definedName function="false" hidden="false" localSheetId="8" name="TEBIT___4" vbProcedure="false">#REF!</definedName>
    <definedName function="false" hidden="false" localSheetId="8" name="TEBIT___5" vbProcedure="false">#REF!</definedName>
    <definedName function="false" hidden="false" localSheetId="8" name="TEBIT___7" vbProcedure="false">#REF!</definedName>
    <definedName function="false" hidden="false" localSheetId="8" name="Telco_GDP" vbProcedure="false">#REF!</definedName>
    <definedName function="false" hidden="false" localSheetId="8" name="Telco_GDP___0" vbProcedure="false">#REF!</definedName>
    <definedName function="false" hidden="false" localSheetId="8" name="Telco_GDP___12" vbProcedure="false">#REF!</definedName>
    <definedName function="false" hidden="false" localSheetId="8" name="Telco_GDP___14" vbProcedure="false">#REF!</definedName>
    <definedName function="false" hidden="false" localSheetId="8" name="Telco_GDP___16" vbProcedure="false">#REF!</definedName>
    <definedName function="false" hidden="false" localSheetId="8" name="Telco_GDP___2" vbProcedure="false">#REF!</definedName>
    <definedName function="false" hidden="false" localSheetId="8" name="Telco_GDP___25" vbProcedure="false">#REF!</definedName>
    <definedName function="false" hidden="false" localSheetId="8" name="Telco_GDP___26" vbProcedure="false">#REF!</definedName>
    <definedName function="false" hidden="false" localSheetId="8" name="Telco_GDP___27" vbProcedure="false">#REF!</definedName>
    <definedName function="false" hidden="false" localSheetId="8" name="Telco_GDP___4" vbProcedure="false">#REF!</definedName>
    <definedName function="false" hidden="false" localSheetId="8" name="Telco_GDP___5" vbProcedure="false">#REF!</definedName>
    <definedName function="false" hidden="false" localSheetId="8" name="Telco_GDP___7" vbProcedure="false">#REF!</definedName>
    <definedName function="false" hidden="false" localSheetId="8" name="TermDiscperiods" vbProcedure="false">#REF!</definedName>
    <definedName function="false" hidden="false" localSheetId="8" name="TermDiscperiods___0" vbProcedure="false">#REF!</definedName>
    <definedName function="false" hidden="false" localSheetId="8" name="TermDiscperiods___12" vbProcedure="false">#REF!</definedName>
    <definedName function="false" hidden="false" localSheetId="8" name="TermDiscperiods___14" vbProcedure="false">#REF!</definedName>
    <definedName function="false" hidden="false" localSheetId="8" name="TermDiscperiods___16" vbProcedure="false">#REF!</definedName>
    <definedName function="false" hidden="false" localSheetId="8" name="TermDiscperiods___2" vbProcedure="false">#REF!</definedName>
    <definedName function="false" hidden="false" localSheetId="8" name="TermDiscperiods___25" vbProcedure="false">#REF!</definedName>
    <definedName function="false" hidden="false" localSheetId="8" name="TermDiscperiods___26" vbProcedure="false">#REF!</definedName>
    <definedName function="false" hidden="false" localSheetId="8" name="TermDiscperiods___27" vbProcedure="false">#REF!</definedName>
    <definedName function="false" hidden="false" localSheetId="8" name="TermDiscperiods___4" vbProcedure="false">#REF!</definedName>
    <definedName function="false" hidden="false" localSheetId="8" name="TermDiscperiods___5" vbProcedure="false">#REF!</definedName>
    <definedName function="false" hidden="false" localSheetId="8" name="TermDiscperiods___7" vbProcedure="false">#REF!</definedName>
    <definedName function="false" hidden="false" localSheetId="8" name="TerminalWACC" vbProcedure="false">#REF!</definedName>
    <definedName function="false" hidden="false" localSheetId="8" name="TerminalWACC___0" vbProcedure="false">#REF!</definedName>
    <definedName function="false" hidden="false" localSheetId="8" name="TerminalWACC___12" vbProcedure="false">#REF!</definedName>
    <definedName function="false" hidden="false" localSheetId="8" name="TerminalWACC___14" vbProcedure="false">#REF!</definedName>
    <definedName function="false" hidden="false" localSheetId="8" name="TerminalWACC___16" vbProcedure="false">#REF!</definedName>
    <definedName function="false" hidden="false" localSheetId="8" name="TerminalWACC___2" vbProcedure="false">#REF!</definedName>
    <definedName function="false" hidden="false" localSheetId="8" name="TerminalWACC___25" vbProcedure="false">#REF!</definedName>
    <definedName function="false" hidden="false" localSheetId="8" name="TerminalWACC___26" vbProcedure="false">#REF!</definedName>
    <definedName function="false" hidden="false" localSheetId="8" name="TerminalWACC___27" vbProcedure="false">#REF!</definedName>
    <definedName function="false" hidden="false" localSheetId="8" name="TerminalWACC___4" vbProcedure="false">#REF!</definedName>
    <definedName function="false" hidden="false" localSheetId="8" name="TerminalWACC___5" vbProcedure="false">#REF!</definedName>
    <definedName function="false" hidden="false" localSheetId="8" name="TerminalWACC___7" vbProcedure="false">#REF!</definedName>
    <definedName function="false" hidden="false" localSheetId="8" name="test" vbProcedure="false">{#N/A,#N/A,FALSE,"F_Plan";#N/A,#N/A,FALSE,"Parameter"}</definedName>
    <definedName function="false" hidden="false" localSheetId="8" name="TEST0" vbProcedure="false">#REF!</definedName>
    <definedName function="false" hidden="false" localSheetId="8" name="test1" vbProcedure="false">{#N/A,#N/A,FALSE,"Umsatz";#N/A,#N/A,FALSE,"Base V.02";#N/A,#N/A,FALSE,"Charts"}</definedName>
    <definedName function="false" hidden="false" localSheetId="8" name="test2" vbProcedure="false">{#N/A,#N/A,FALSE,"F_Plan";#N/A,#N/A,FALSE,"Parameter"}</definedName>
    <definedName function="false" hidden="false" localSheetId="8" name="TEST3" vbProcedure="false">#REF!</definedName>
    <definedName function="false" hidden="false" localSheetId="8" name="test4" vbProcedure="false">{#N/A,#N/A,FALSE,"F_Plan";#N/A,#N/A,FALSE,"Parameter"}</definedName>
    <definedName function="false" hidden="false" localSheetId="8" name="teste" vbProcedure="false">#REF!</definedName>
    <definedName function="false" hidden="false" localSheetId="8" name="TESTHKEY" vbProcedure="false">#REF!</definedName>
    <definedName function="false" hidden="false" localSheetId="8" name="TESTKEYS" vbProcedure="false">#REF!</definedName>
    <definedName function="false" hidden="false" localSheetId="8" name="tests" vbProcedure="false">{#N/A,#N/A,FALSE,"F_Plan";#N/A,#N/A,FALSE,"Parameter"}</definedName>
    <definedName function="false" hidden="false" localSheetId="8" name="TESTVKEY" vbProcedure="false">#REF!</definedName>
    <definedName function="false" hidden="false" localSheetId="8" name="Test_Equipment_Markup" vbProcedure="false">#REF!</definedName>
    <definedName function="false" hidden="false" localSheetId="8" name="tete" vbProcedure="false">#REF!</definedName>
    <definedName function="false" hidden="false" localSheetId="8" name="TFCF" vbProcedure="false">#REF!</definedName>
    <definedName function="false" hidden="false" localSheetId="8" name="TFCFColumn" vbProcedure="false">#REF!</definedName>
    <definedName function="false" hidden="false" localSheetId="8" name="TFCFColumn___0" vbProcedure="false">#REF!</definedName>
    <definedName function="false" hidden="false" localSheetId="8" name="TFCFColumn___12" vbProcedure="false">#REF!</definedName>
    <definedName function="false" hidden="false" localSheetId="8" name="TFCFColumn___14" vbProcedure="false">#REF!</definedName>
    <definedName function="false" hidden="false" localSheetId="8" name="TFCFColumn___16" vbProcedure="false">#REF!</definedName>
    <definedName function="false" hidden="false" localSheetId="8" name="TFCFColumn___2" vbProcedure="false">#REF!</definedName>
    <definedName function="false" hidden="false" localSheetId="8" name="TFCFColumn___25" vbProcedure="false">#REF!</definedName>
    <definedName function="false" hidden="false" localSheetId="8" name="TFCFColumn___26" vbProcedure="false">#REF!</definedName>
    <definedName function="false" hidden="false" localSheetId="8" name="TFCFColumn___27" vbProcedure="false">#REF!</definedName>
    <definedName function="false" hidden="false" localSheetId="8" name="TFCFColumn___4" vbProcedure="false">#REF!</definedName>
    <definedName function="false" hidden="false" localSheetId="8" name="TFCFColumn___5" vbProcedure="false">#REF!</definedName>
    <definedName function="false" hidden="false" localSheetId="8" name="TFCFColumn___7" vbProcedure="false">#REF!</definedName>
    <definedName function="false" hidden="false" localSheetId="8" name="TFCF___0" vbProcedure="false">#REF!</definedName>
    <definedName function="false" hidden="false" localSheetId="8" name="TFCF___12" vbProcedure="false">#REF!</definedName>
    <definedName function="false" hidden="false" localSheetId="8" name="TFCF___14" vbProcedure="false">#REF!</definedName>
    <definedName function="false" hidden="false" localSheetId="8" name="TFCF___16" vbProcedure="false">#REF!</definedName>
    <definedName function="false" hidden="false" localSheetId="8" name="TFCF___2" vbProcedure="false">#REF!</definedName>
    <definedName function="false" hidden="false" localSheetId="8" name="TFCF___25" vbProcedure="false">#REF!</definedName>
    <definedName function="false" hidden="false" localSheetId="8" name="TFCF___26" vbProcedure="false">#REF!</definedName>
    <definedName function="false" hidden="false" localSheetId="8" name="TFCF___27" vbProcedure="false">#REF!</definedName>
    <definedName function="false" hidden="false" localSheetId="8" name="TFCF___4" vbProcedure="false">#REF!</definedName>
    <definedName function="false" hidden="false" localSheetId="8" name="TFCF___5" vbProcedure="false">#REF!</definedName>
    <definedName function="false" hidden="false" localSheetId="8" name="TFCF___7" vbProcedure="false">#REF!</definedName>
    <definedName function="false" hidden="false" localSheetId="8" name="TFirstProjDate" vbProcedure="false">#REF!</definedName>
    <definedName function="false" hidden="false" localSheetId="8" name="TFirstProjDateDays" vbProcedure="false">#REF!</definedName>
    <definedName function="false" hidden="false" localSheetId="8" name="TFirstProjDateDays___0" vbProcedure="false">#REF!</definedName>
    <definedName function="false" hidden="false" localSheetId="8" name="TFirstProjDateDays___12" vbProcedure="false">#REF!</definedName>
    <definedName function="false" hidden="false" localSheetId="8" name="TFirstProjDateDays___14" vbProcedure="false">#REF!</definedName>
    <definedName function="false" hidden="false" localSheetId="8" name="TFirstProjDateDays___16" vbProcedure="false">#REF!</definedName>
    <definedName function="false" hidden="false" localSheetId="8" name="TFirstProjDateDays___2" vbProcedure="false">#REF!</definedName>
    <definedName function="false" hidden="false" localSheetId="8" name="TFirstProjDateDays___25" vbProcedure="false">#REF!</definedName>
    <definedName function="false" hidden="false" localSheetId="8" name="TFirstProjDateDays___26" vbProcedure="false">#REF!</definedName>
    <definedName function="false" hidden="false" localSheetId="8" name="TFirstProjDateDays___27" vbProcedure="false">#REF!</definedName>
    <definedName function="false" hidden="false" localSheetId="8" name="TFirstProjDateDays___4" vbProcedure="false">#REF!</definedName>
    <definedName function="false" hidden="false" localSheetId="8" name="TFirstProjDateDays___5" vbProcedure="false">#REF!</definedName>
    <definedName function="false" hidden="false" localSheetId="8" name="TFirstProjDateDays___7" vbProcedure="false">#REF!</definedName>
    <definedName function="false" hidden="false" localSheetId="8" name="TFirstProjDate___0" vbProcedure="false">#REF!</definedName>
    <definedName function="false" hidden="false" localSheetId="8" name="TFirstProjDate___12" vbProcedure="false">#REF!</definedName>
    <definedName function="false" hidden="false" localSheetId="8" name="TFirstProjDate___14" vbProcedure="false">#REF!</definedName>
    <definedName function="false" hidden="false" localSheetId="8" name="TFirstProjDate___16" vbProcedure="false">#REF!</definedName>
    <definedName function="false" hidden="false" localSheetId="8" name="TFirstProjDate___2" vbProcedure="false">#REF!</definedName>
    <definedName function="false" hidden="false" localSheetId="8" name="TFirstProjDate___25" vbProcedure="false">#REF!</definedName>
    <definedName function="false" hidden="false" localSheetId="8" name="TFirstProjDate___26" vbProcedure="false">#REF!</definedName>
    <definedName function="false" hidden="false" localSheetId="8" name="TFirstProjDate___27" vbProcedure="false">#REF!</definedName>
    <definedName function="false" hidden="false" localSheetId="8" name="TFirstProjDate___4" vbProcedure="false">#REF!</definedName>
    <definedName function="false" hidden="false" localSheetId="8" name="TFirstProjDate___5" vbProcedure="false">#REF!</definedName>
    <definedName function="false" hidden="false" localSheetId="8" name="TFirstProjDate___7" vbProcedure="false">#REF!</definedName>
    <definedName function="false" hidden="false" localSheetId="8" name="TG" vbProcedure="false">#REF!</definedName>
    <definedName function="false" hidden="false" localSheetId="8" name="THB" vbProcedure="false">#REF!</definedName>
    <definedName function="false" hidden="false" localSheetId="8" name="Theme_Week_Mov" vbProcedure="false">#REF!</definedName>
    <definedName function="false" hidden="false" localSheetId="8" name="TIEEQ" vbProcedure="false">#REF!</definedName>
    <definedName function="false" hidden="false" localSheetId="8" name="titres" vbProcedure="false">#REF!</definedName>
    <definedName function="false" hidden="false" localSheetId="8" name="tkprtkt" vbProcedure="false">#REF!</definedName>
    <definedName function="false" hidden="false" localSheetId="8" name="TLiabPct" vbProcedure="false">#REF!</definedName>
    <definedName function="false" hidden="false" localSheetId="8" name="TLiabPct___0" vbProcedure="false">#REF!</definedName>
    <definedName function="false" hidden="false" localSheetId="8" name="TLiabPct___12" vbProcedure="false">#REF!</definedName>
    <definedName function="false" hidden="false" localSheetId="8" name="TLiabPct___14" vbProcedure="false">#REF!</definedName>
    <definedName function="false" hidden="false" localSheetId="8" name="TLiabPct___16" vbProcedure="false">#REF!</definedName>
    <definedName function="false" hidden="false" localSheetId="8" name="TLiabPct___2" vbProcedure="false">#REF!</definedName>
    <definedName function="false" hidden="false" localSheetId="8" name="TLiabPct___25" vbProcedure="false">#REF!</definedName>
    <definedName function="false" hidden="false" localSheetId="8" name="TLiabPct___26" vbProcedure="false">#REF!</definedName>
    <definedName function="false" hidden="false" localSheetId="8" name="TLiabPct___27" vbProcedure="false">#REF!</definedName>
    <definedName function="false" hidden="false" localSheetId="8" name="TLiabPct___4" vbProcedure="false">#REF!</definedName>
    <definedName function="false" hidden="false" localSheetId="8" name="TLiabPct___5" vbProcedure="false">#REF!</definedName>
    <definedName function="false" hidden="false" localSheetId="8" name="TLiabPct___7" vbProcedure="false">#REF!</definedName>
    <definedName function="false" hidden="false" localSheetId="8" name="TLiabs" vbProcedure="false">#REF!</definedName>
    <definedName function="false" hidden="false" localSheetId="8" name="TLiabs___0" vbProcedure="false">#REF!</definedName>
    <definedName function="false" hidden="false" localSheetId="8" name="TLiabs___12" vbProcedure="false">#REF!</definedName>
    <definedName function="false" hidden="false" localSheetId="8" name="TLiabs___14" vbProcedure="false">#REF!</definedName>
    <definedName function="false" hidden="false" localSheetId="8" name="TLiabs___16" vbProcedure="false">#REF!</definedName>
    <definedName function="false" hidden="false" localSheetId="8" name="TLiabs___2" vbProcedure="false">#REF!</definedName>
    <definedName function="false" hidden="false" localSheetId="8" name="TLiabs___25" vbProcedure="false">#REF!</definedName>
    <definedName function="false" hidden="false" localSheetId="8" name="TLiabs___26" vbProcedure="false">#REF!</definedName>
    <definedName function="false" hidden="false" localSheetId="8" name="TLiabs___27" vbProcedure="false">#REF!</definedName>
    <definedName function="false" hidden="false" localSheetId="8" name="TLiabs___4" vbProcedure="false">#REF!</definedName>
    <definedName function="false" hidden="false" localSheetId="8" name="TLiabs___5" vbProcedure="false">#REF!</definedName>
    <definedName function="false" hidden="false" localSheetId="8" name="TLiabs___7" vbProcedure="false">#REF!</definedName>
    <definedName function="false" hidden="false" localSheetId="8" name="Tmarrakech" vbProcedure="false">#REF!</definedName>
    <definedName function="false" hidden="false" localSheetId="8" name="Tmeknes" vbProcedure="false">#REF!</definedName>
    <definedName function="false" hidden="false" localSheetId="8" name="TNPPESales" vbProcedure="false">#REF!</definedName>
    <definedName function="false" hidden="false" localSheetId="8" name="TNPPESales___0" vbProcedure="false">#REF!</definedName>
    <definedName function="false" hidden="false" localSheetId="8" name="TNPPESales___12" vbProcedure="false">#REF!</definedName>
    <definedName function="false" hidden="false" localSheetId="8" name="TNPPESales___14" vbProcedure="false">#REF!</definedName>
    <definedName function="false" hidden="false" localSheetId="8" name="TNPPESales___16" vbProcedure="false">#REF!</definedName>
    <definedName function="false" hidden="false" localSheetId="8" name="TNPPESales___2" vbProcedure="false">#REF!</definedName>
    <definedName function="false" hidden="false" localSheetId="8" name="TNPPESales___25" vbProcedure="false">#REF!</definedName>
    <definedName function="false" hidden="false" localSheetId="8" name="TNPPESales___26" vbProcedure="false">#REF!</definedName>
    <definedName function="false" hidden="false" localSheetId="8" name="TNPPESales___27" vbProcedure="false">#REF!</definedName>
    <definedName function="false" hidden="false" localSheetId="8" name="TNPPESales___4" vbProcedure="false">#REF!</definedName>
    <definedName function="false" hidden="false" localSheetId="8" name="TNPPESales___5" vbProcedure="false">#REF!</definedName>
    <definedName function="false" hidden="false" localSheetId="8" name="TNPPESales___7" vbProcedure="false">#REF!</definedName>
    <definedName function="false" hidden="false" localSheetId="8" name="TNWIPct" vbProcedure="false">#REF!</definedName>
    <definedName function="false" hidden="false" localSheetId="8" name="TNWIPct___0" vbProcedure="false">#REF!</definedName>
    <definedName function="false" hidden="false" localSheetId="8" name="TNWIPct___12" vbProcedure="false">#REF!</definedName>
    <definedName function="false" hidden="false" localSheetId="8" name="TNWIPct___14" vbProcedure="false">#REF!</definedName>
    <definedName function="false" hidden="false" localSheetId="8" name="TNWIPct___16" vbProcedure="false">#REF!</definedName>
    <definedName function="false" hidden="false" localSheetId="8" name="TNWIPct___2" vbProcedure="false">#REF!</definedName>
    <definedName function="false" hidden="false" localSheetId="8" name="TNWIPct___25" vbProcedure="false">#REF!</definedName>
    <definedName function="false" hidden="false" localSheetId="8" name="TNWIPct___26" vbProcedure="false">#REF!</definedName>
    <definedName function="false" hidden="false" localSheetId="8" name="TNWIPct___27" vbProcedure="false">#REF!</definedName>
    <definedName function="false" hidden="false" localSheetId="8" name="TNWIPct___4" vbProcedure="false">#REF!</definedName>
    <definedName function="false" hidden="false" localSheetId="8" name="TNWIPct___5" vbProcedure="false">#REF!</definedName>
    <definedName function="false" hidden="false" localSheetId="8" name="TNWIPct___7" vbProcedure="false">#REF!</definedName>
    <definedName function="false" hidden="false" localSheetId="8" name="TokyoIndFactor" vbProcedure="false">#REF!</definedName>
    <definedName function="false" hidden="false" localSheetId="8" name="TokyoIndFactor___0" vbProcedure="false">#REF!</definedName>
    <definedName function="false" hidden="false" localSheetId="8" name="TokyoIndFactor___12" vbProcedure="false">#REF!</definedName>
    <definedName function="false" hidden="false" localSheetId="8" name="TokyoIndFactor___14" vbProcedure="false">#REF!</definedName>
    <definedName function="false" hidden="false" localSheetId="8" name="TokyoIndFactor___16" vbProcedure="false">#REF!</definedName>
    <definedName function="false" hidden="false" localSheetId="8" name="TokyoIndFactor___2" vbProcedure="false">#REF!</definedName>
    <definedName function="false" hidden="false" localSheetId="8" name="TokyoIndFactor___25" vbProcedure="false">#REF!</definedName>
    <definedName function="false" hidden="false" localSheetId="8" name="TokyoIndFactor___26" vbProcedure="false">#REF!</definedName>
    <definedName function="false" hidden="false" localSheetId="8" name="TokyoIndFactor___27" vbProcedure="false">#REF!</definedName>
    <definedName function="false" hidden="false" localSheetId="8" name="TokyoIndFactor___4" vbProcedure="false">#REF!</definedName>
    <definedName function="false" hidden="false" localSheetId="8" name="TokyoIndFactor___5" vbProcedure="false">#REF!</definedName>
    <definedName function="false" hidden="false" localSheetId="8" name="TokyoIndFactor___7" vbProcedure="false">#REF!</definedName>
    <definedName function="false" hidden="false" localSheetId="8" name="TOperProfitAdj" vbProcedure="false">#REF!</definedName>
    <definedName function="false" hidden="false" localSheetId="8" name="TOperProfitAdj___0" vbProcedure="false">#REF!</definedName>
    <definedName function="false" hidden="false" localSheetId="8" name="TOperProfitAdj___12" vbProcedure="false">#REF!</definedName>
    <definedName function="false" hidden="false" localSheetId="8" name="TOperProfitAdj___14" vbProcedure="false">#REF!</definedName>
    <definedName function="false" hidden="false" localSheetId="8" name="TOperProfitAdj___16" vbProcedure="false">#REF!</definedName>
    <definedName function="false" hidden="false" localSheetId="8" name="TOperProfitAdj___2" vbProcedure="false">#REF!</definedName>
    <definedName function="false" hidden="false" localSheetId="8" name="TOperProfitAdj___25" vbProcedure="false">#REF!</definedName>
    <definedName function="false" hidden="false" localSheetId="8" name="TOperProfitAdj___26" vbProcedure="false">#REF!</definedName>
    <definedName function="false" hidden="false" localSheetId="8" name="TOperProfitAdj___27" vbProcedure="false">#REF!</definedName>
    <definedName function="false" hidden="false" localSheetId="8" name="TOperProfitAdj___4" vbProcedure="false">#REF!</definedName>
    <definedName function="false" hidden="false" localSheetId="8" name="TOperProfitAdj___5" vbProcedure="false">#REF!</definedName>
    <definedName function="false" hidden="false" localSheetId="8" name="TOperProfitAdj___7" vbProcedure="false">#REF!</definedName>
    <definedName function="false" hidden="false" localSheetId="8" name="TOPMult" vbProcedure="false">#REF!</definedName>
    <definedName function="false" hidden="false" localSheetId="8" name="TOPMult___0" vbProcedure="false">#REF!</definedName>
    <definedName function="false" hidden="false" localSheetId="8" name="TOPMult___12" vbProcedure="false">#REF!</definedName>
    <definedName function="false" hidden="false" localSheetId="8" name="TOPMult___14" vbProcedure="false">#REF!</definedName>
    <definedName function="false" hidden="false" localSheetId="8" name="TOPMult___16" vbProcedure="false">#REF!</definedName>
    <definedName function="false" hidden="false" localSheetId="8" name="TOPMult___2" vbProcedure="false">#REF!</definedName>
    <definedName function="false" hidden="false" localSheetId="8" name="TOPMult___25" vbProcedure="false">#REF!</definedName>
    <definedName function="false" hidden="false" localSheetId="8" name="TOPMult___26" vbProcedure="false">#REF!</definedName>
    <definedName function="false" hidden="false" localSheetId="8" name="TOPMult___27" vbProcedure="false">#REF!</definedName>
    <definedName function="false" hidden="false" localSheetId="8" name="TOPMult___4" vbProcedure="false">#REF!</definedName>
    <definedName function="false" hidden="false" localSheetId="8" name="TOPMult___5" vbProcedure="false">#REF!</definedName>
    <definedName function="false" hidden="false" localSheetId="8" name="TOPMult___7" vbProcedure="false">#REF!</definedName>
    <definedName function="false" hidden="false" localSheetId="8" name="TOTAL" vbProcedure="false">#REF!</definedName>
    <definedName function="false" hidden="false" localSheetId="8" name="totalvalue" vbProcedure="false">#REF!</definedName>
    <definedName function="false" hidden="false" localSheetId="8" name="TOTAL___12" vbProcedure="false">#REF!</definedName>
    <definedName function="false" hidden="false" localSheetId="8" name="TOther1" vbProcedure="false">#REF!</definedName>
    <definedName function="false" hidden="false" localSheetId="8" name="TOther1Adj" vbProcedure="false">#REF!</definedName>
    <definedName function="false" hidden="false" localSheetId="8" name="TOther1Adj___0" vbProcedure="false">#REF!</definedName>
    <definedName function="false" hidden="false" localSheetId="8" name="TOther1Adj___12" vbProcedure="false">#REF!</definedName>
    <definedName function="false" hidden="false" localSheetId="8" name="TOther1Adj___14" vbProcedure="false">#REF!</definedName>
    <definedName function="false" hidden="false" localSheetId="8" name="TOther1Adj___16" vbProcedure="false">#REF!</definedName>
    <definedName function="false" hidden="false" localSheetId="8" name="TOther1Adj___2" vbProcedure="false">#REF!</definedName>
    <definedName function="false" hidden="false" localSheetId="8" name="TOther1Adj___25" vbProcedure="false">#REF!</definedName>
    <definedName function="false" hidden="false" localSheetId="8" name="TOther1Adj___26" vbProcedure="false">#REF!</definedName>
    <definedName function="false" hidden="false" localSheetId="8" name="TOther1Adj___27" vbProcedure="false">#REF!</definedName>
    <definedName function="false" hidden="false" localSheetId="8" name="TOther1Adj___4" vbProcedure="false">#REF!</definedName>
    <definedName function="false" hidden="false" localSheetId="8" name="TOther1Adj___5" vbProcedure="false">#REF!</definedName>
    <definedName function="false" hidden="false" localSheetId="8" name="TOther1Adj___7" vbProcedure="false">#REF!</definedName>
    <definedName function="false" hidden="false" localSheetId="8" name="TOther1Mult" vbProcedure="false">#REF!</definedName>
    <definedName function="false" hidden="false" localSheetId="8" name="TOther1Mult___0" vbProcedure="false">#REF!</definedName>
    <definedName function="false" hidden="false" localSheetId="8" name="TOther1Mult___12" vbProcedure="false">#REF!</definedName>
    <definedName function="false" hidden="false" localSheetId="8" name="TOther1Mult___14" vbProcedure="false">#REF!</definedName>
    <definedName function="false" hidden="false" localSheetId="8" name="TOther1Mult___16" vbProcedure="false">#REF!</definedName>
    <definedName function="false" hidden="false" localSheetId="8" name="TOther1Mult___2" vbProcedure="false">#REF!</definedName>
    <definedName function="false" hidden="false" localSheetId="8" name="TOther1Mult___25" vbProcedure="false">#REF!</definedName>
    <definedName function="false" hidden="false" localSheetId="8" name="TOther1Mult___26" vbProcedure="false">#REF!</definedName>
    <definedName function="false" hidden="false" localSheetId="8" name="TOther1Mult___27" vbProcedure="false">#REF!</definedName>
    <definedName function="false" hidden="false" localSheetId="8" name="TOther1Mult___4" vbProcedure="false">#REF!</definedName>
    <definedName function="false" hidden="false" localSheetId="8" name="TOther1Mult___5" vbProcedure="false">#REF!</definedName>
    <definedName function="false" hidden="false" localSheetId="8" name="TOther1Mult___7" vbProcedure="false">#REF!</definedName>
    <definedName function="false" hidden="false" localSheetId="8" name="TOther1Pct" vbProcedure="false">#REF!</definedName>
    <definedName function="false" hidden="false" localSheetId="8" name="TOther1Pct___0" vbProcedure="false">#REF!</definedName>
    <definedName function="false" hidden="false" localSheetId="8" name="TOther1Pct___12" vbProcedure="false">#REF!</definedName>
    <definedName function="false" hidden="false" localSheetId="8" name="TOther1Pct___14" vbProcedure="false">#REF!</definedName>
    <definedName function="false" hidden="false" localSheetId="8" name="TOther1Pct___16" vbProcedure="false">#REF!</definedName>
    <definedName function="false" hidden="false" localSheetId="8" name="TOther1Pct___2" vbProcedure="false">#REF!</definedName>
    <definedName function="false" hidden="false" localSheetId="8" name="TOther1Pct___25" vbProcedure="false">#REF!</definedName>
    <definedName function="false" hidden="false" localSheetId="8" name="TOther1Pct___26" vbProcedure="false">#REF!</definedName>
    <definedName function="false" hidden="false" localSheetId="8" name="TOther1Pct___27" vbProcedure="false">#REF!</definedName>
    <definedName function="false" hidden="false" localSheetId="8" name="TOther1Pct___4" vbProcedure="false">#REF!</definedName>
    <definedName function="false" hidden="false" localSheetId="8" name="TOther1Pct___5" vbProcedure="false">#REF!</definedName>
    <definedName function="false" hidden="false" localSheetId="8" name="TOther1Pct___7" vbProcedure="false">#REF!</definedName>
    <definedName function="false" hidden="false" localSheetId="8" name="TOther1___0" vbProcedure="false">#REF!</definedName>
    <definedName function="false" hidden="false" localSheetId="8" name="TOther1___12" vbProcedure="false">#REF!</definedName>
    <definedName function="false" hidden="false" localSheetId="8" name="TOther1___14" vbProcedure="false">#REF!</definedName>
    <definedName function="false" hidden="false" localSheetId="8" name="TOther1___16" vbProcedure="false">#REF!</definedName>
    <definedName function="false" hidden="false" localSheetId="8" name="TOther1___2" vbProcedure="false">#REF!</definedName>
    <definedName function="false" hidden="false" localSheetId="8" name="TOther1___25" vbProcedure="false">#REF!</definedName>
    <definedName function="false" hidden="false" localSheetId="8" name="TOther1___26" vbProcedure="false">#REF!</definedName>
    <definedName function="false" hidden="false" localSheetId="8" name="TOther1___27" vbProcedure="false">#REF!</definedName>
    <definedName function="false" hidden="false" localSheetId="8" name="TOther1___4" vbProcedure="false">#REF!</definedName>
    <definedName function="false" hidden="false" localSheetId="8" name="TOther1___5" vbProcedure="false">#REF!</definedName>
    <definedName function="false" hidden="false" localSheetId="8" name="TOther1___7" vbProcedure="false">#REF!</definedName>
    <definedName function="false" hidden="false" localSheetId="8" name="TOther2" vbProcedure="false">#REF!</definedName>
    <definedName function="false" hidden="false" localSheetId="8" name="TOther2Adj" vbProcedure="false">#REF!</definedName>
    <definedName function="false" hidden="false" localSheetId="8" name="TOther2Adj___0" vbProcedure="false">#REF!</definedName>
    <definedName function="false" hidden="false" localSheetId="8" name="TOther2Adj___12" vbProcedure="false">#REF!</definedName>
    <definedName function="false" hidden="false" localSheetId="8" name="TOther2Adj___14" vbProcedure="false">#REF!</definedName>
    <definedName function="false" hidden="false" localSheetId="8" name="TOther2Adj___16" vbProcedure="false">#REF!</definedName>
    <definedName function="false" hidden="false" localSheetId="8" name="TOther2Adj___2" vbProcedure="false">#REF!</definedName>
    <definedName function="false" hidden="false" localSheetId="8" name="TOther2Adj___25" vbProcedure="false">#REF!</definedName>
    <definedName function="false" hidden="false" localSheetId="8" name="TOther2Adj___26" vbProcedure="false">#REF!</definedName>
    <definedName function="false" hidden="false" localSheetId="8" name="TOther2Adj___27" vbProcedure="false">#REF!</definedName>
    <definedName function="false" hidden="false" localSheetId="8" name="TOther2Adj___4" vbProcedure="false">#REF!</definedName>
    <definedName function="false" hidden="false" localSheetId="8" name="TOther2Adj___5" vbProcedure="false">#REF!</definedName>
    <definedName function="false" hidden="false" localSheetId="8" name="TOther2Adj___7" vbProcedure="false">#REF!</definedName>
    <definedName function="false" hidden="false" localSheetId="8" name="TOther2Mult" vbProcedure="false">#REF!</definedName>
    <definedName function="false" hidden="false" localSheetId="8" name="TOther2Mult___0" vbProcedure="false">#REF!</definedName>
    <definedName function="false" hidden="false" localSheetId="8" name="TOther2Mult___12" vbProcedure="false">#REF!</definedName>
    <definedName function="false" hidden="false" localSheetId="8" name="TOther2Mult___14" vbProcedure="false">#REF!</definedName>
    <definedName function="false" hidden="false" localSheetId="8" name="TOther2Mult___16" vbProcedure="false">#REF!</definedName>
    <definedName function="false" hidden="false" localSheetId="8" name="TOther2Mult___2" vbProcedure="false">#REF!</definedName>
    <definedName function="false" hidden="false" localSheetId="8" name="TOther2Mult___25" vbProcedure="false">#REF!</definedName>
    <definedName function="false" hidden="false" localSheetId="8" name="TOther2Mult___26" vbProcedure="false">#REF!</definedName>
    <definedName function="false" hidden="false" localSheetId="8" name="TOther2Mult___27" vbProcedure="false">#REF!</definedName>
    <definedName function="false" hidden="false" localSheetId="8" name="TOther2Mult___4" vbProcedure="false">#REF!</definedName>
    <definedName function="false" hidden="false" localSheetId="8" name="TOther2Mult___5" vbProcedure="false">#REF!</definedName>
    <definedName function="false" hidden="false" localSheetId="8" name="TOther2Mult___7" vbProcedure="false">#REF!</definedName>
    <definedName function="false" hidden="false" localSheetId="8" name="TOther2Pct" vbProcedure="false">#REF!</definedName>
    <definedName function="false" hidden="false" localSheetId="8" name="TOther2Pct___0" vbProcedure="false">#REF!</definedName>
    <definedName function="false" hidden="false" localSheetId="8" name="TOther2Pct___12" vbProcedure="false">#REF!</definedName>
    <definedName function="false" hidden="false" localSheetId="8" name="TOther2Pct___14" vbProcedure="false">#REF!</definedName>
    <definedName function="false" hidden="false" localSheetId="8" name="TOther2Pct___16" vbProcedure="false">#REF!</definedName>
    <definedName function="false" hidden="false" localSheetId="8" name="TOther2Pct___2" vbProcedure="false">#REF!</definedName>
    <definedName function="false" hidden="false" localSheetId="8" name="TOther2Pct___25" vbProcedure="false">#REF!</definedName>
    <definedName function="false" hidden="false" localSheetId="8" name="TOther2Pct___26" vbProcedure="false">#REF!</definedName>
    <definedName function="false" hidden="false" localSheetId="8" name="TOther2Pct___27" vbProcedure="false">#REF!</definedName>
    <definedName function="false" hidden="false" localSheetId="8" name="TOther2Pct___4" vbProcedure="false">#REF!</definedName>
    <definedName function="false" hidden="false" localSheetId="8" name="TOther2Pct___5" vbProcedure="false">#REF!</definedName>
    <definedName function="false" hidden="false" localSheetId="8" name="TOther2Pct___7" vbProcedure="false">#REF!</definedName>
    <definedName function="false" hidden="false" localSheetId="8" name="TOther2___0" vbProcedure="false">#REF!</definedName>
    <definedName function="false" hidden="false" localSheetId="8" name="TOther2___12" vbProcedure="false">#REF!</definedName>
    <definedName function="false" hidden="false" localSheetId="8" name="TOther2___14" vbProcedure="false">#REF!</definedName>
    <definedName function="false" hidden="false" localSheetId="8" name="TOther2___16" vbProcedure="false">#REF!</definedName>
    <definedName function="false" hidden="false" localSheetId="8" name="TOther2___2" vbProcedure="false">#REF!</definedName>
    <definedName function="false" hidden="false" localSheetId="8" name="TOther2___25" vbProcedure="false">#REF!</definedName>
    <definedName function="false" hidden="false" localSheetId="8" name="TOther2___26" vbProcedure="false">#REF!</definedName>
    <definedName function="false" hidden="false" localSheetId="8" name="TOther2___27" vbProcedure="false">#REF!</definedName>
    <definedName function="false" hidden="false" localSheetId="8" name="TOther2___4" vbProcedure="false">#REF!</definedName>
    <definedName function="false" hidden="false" localSheetId="8" name="TOther2___5" vbProcedure="false">#REF!</definedName>
    <definedName function="false" hidden="false" localSheetId="8" name="TOther2___7" vbProcedure="false">#REF!</definedName>
    <definedName function="false" hidden="false" localSheetId="8" name="TOther3Adj" vbProcedure="false">#REF!</definedName>
    <definedName function="false" hidden="false" localSheetId="8" name="TOther3Adj___0" vbProcedure="false">#REF!</definedName>
    <definedName function="false" hidden="false" localSheetId="8" name="TOther3Adj___12" vbProcedure="false">#REF!</definedName>
    <definedName function="false" hidden="false" localSheetId="8" name="TOther3Adj___14" vbProcedure="false">#REF!</definedName>
    <definedName function="false" hidden="false" localSheetId="8" name="TOther3Adj___16" vbProcedure="false">#REF!</definedName>
    <definedName function="false" hidden="false" localSheetId="8" name="TOther3Adj___2" vbProcedure="false">#REF!</definedName>
    <definedName function="false" hidden="false" localSheetId="8" name="TOther3Adj___25" vbProcedure="false">#REF!</definedName>
    <definedName function="false" hidden="false" localSheetId="8" name="TOther3Adj___26" vbProcedure="false">#REF!</definedName>
    <definedName function="false" hidden="false" localSheetId="8" name="TOther3Adj___27" vbProcedure="false">#REF!</definedName>
    <definedName function="false" hidden="false" localSheetId="8" name="TOther3Adj___4" vbProcedure="false">#REF!</definedName>
    <definedName function="false" hidden="false" localSheetId="8" name="TOther3Adj___5" vbProcedure="false">#REF!</definedName>
    <definedName function="false" hidden="false" localSheetId="8" name="TOther3Adj___7" vbProcedure="false">#REF!</definedName>
    <definedName function="false" hidden="false" localSheetId="8" name="TOther3Mult" vbProcedure="false">#REF!</definedName>
    <definedName function="false" hidden="false" localSheetId="8" name="TOther3Mult___0" vbProcedure="false">#REF!</definedName>
    <definedName function="false" hidden="false" localSheetId="8" name="TOther3Mult___12" vbProcedure="false">#REF!</definedName>
    <definedName function="false" hidden="false" localSheetId="8" name="TOther3Mult___14" vbProcedure="false">#REF!</definedName>
    <definedName function="false" hidden="false" localSheetId="8" name="TOther3Mult___16" vbProcedure="false">#REF!</definedName>
    <definedName function="false" hidden="false" localSheetId="8" name="TOther3Mult___2" vbProcedure="false">#REF!</definedName>
    <definedName function="false" hidden="false" localSheetId="8" name="TOther3Mult___25" vbProcedure="false">#REF!</definedName>
    <definedName function="false" hidden="false" localSheetId="8" name="TOther3Mult___26" vbProcedure="false">#REF!</definedName>
    <definedName function="false" hidden="false" localSheetId="8" name="TOther3Mult___27" vbProcedure="false">#REF!</definedName>
    <definedName function="false" hidden="false" localSheetId="8" name="TOther3Mult___4" vbProcedure="false">#REF!</definedName>
    <definedName function="false" hidden="false" localSheetId="8" name="TOther3Mult___5" vbProcedure="false">#REF!</definedName>
    <definedName function="false" hidden="false" localSheetId="8" name="TOther3Mult___7" vbProcedure="false">#REF!</definedName>
    <definedName function="false" hidden="false" localSheetId="8" name="TOTMOT" vbProcedure="false">#REF!</definedName>
    <definedName function="false" hidden="false" localSheetId="8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TPPESalesPct" vbProcedure="false">#REF!</definedName>
    <definedName function="false" hidden="false" localSheetId="8" name="TPPESalesPct___0" vbProcedure="false">#REF!</definedName>
    <definedName function="false" hidden="false" localSheetId="8" name="TPPESalesPct___12" vbProcedure="false">#REF!</definedName>
    <definedName function="false" hidden="false" localSheetId="8" name="TPPESalesPct___14" vbProcedure="false">#REF!</definedName>
    <definedName function="false" hidden="false" localSheetId="8" name="TPPESalesPct___16" vbProcedure="false">#REF!</definedName>
    <definedName function="false" hidden="false" localSheetId="8" name="TPPESalesPct___2" vbProcedure="false">#REF!</definedName>
    <definedName function="false" hidden="false" localSheetId="8" name="TPPESalesPct___25" vbProcedure="false">#REF!</definedName>
    <definedName function="false" hidden="false" localSheetId="8" name="TPPESalesPct___26" vbProcedure="false">#REF!</definedName>
    <definedName function="false" hidden="false" localSheetId="8" name="TPPESalesPct___27" vbProcedure="false">#REF!</definedName>
    <definedName function="false" hidden="false" localSheetId="8" name="TPPESalesPct___4" vbProcedure="false">#REF!</definedName>
    <definedName function="false" hidden="false" localSheetId="8" name="TPPESalesPct___5" vbProcedure="false">#REF!</definedName>
    <definedName function="false" hidden="false" localSheetId="8" name="TPPESalesPct___7" vbProcedure="false">#REF!</definedName>
    <definedName function="false" hidden="false" localSheetId="8" name="TProvisions" vbProcedure="false">#REF!</definedName>
    <definedName function="false" hidden="false" localSheetId="8" name="TProvisions___0" vbProcedure="false">#REF!</definedName>
    <definedName function="false" hidden="false" localSheetId="8" name="TProvisions___12" vbProcedure="false">#REF!</definedName>
    <definedName function="false" hidden="false" localSheetId="8" name="TProvisions___14" vbProcedure="false">#REF!</definedName>
    <definedName function="false" hidden="false" localSheetId="8" name="TProvisions___16" vbProcedure="false">#REF!</definedName>
    <definedName function="false" hidden="false" localSheetId="8" name="TProvisions___2" vbProcedure="false">#REF!</definedName>
    <definedName function="false" hidden="false" localSheetId="8" name="TProvisions___25" vbProcedure="false">#REF!</definedName>
    <definedName function="false" hidden="false" localSheetId="8" name="TProvisions___26" vbProcedure="false">#REF!</definedName>
    <definedName function="false" hidden="false" localSheetId="8" name="TProvisions___27" vbProcedure="false">#REF!</definedName>
    <definedName function="false" hidden="false" localSheetId="8" name="TProvisions___4" vbProcedure="false">#REF!</definedName>
    <definedName function="false" hidden="false" localSheetId="8" name="TProvisions___5" vbProcedure="false">#REF!</definedName>
    <definedName function="false" hidden="false" localSheetId="8" name="TProvisions___7" vbProcedure="false">#REF!</definedName>
    <definedName function="false" hidden="false" localSheetId="8" name="TP_CAPEX_ACTU2_PREVISION" vbProcedure="false">#REF!</definedName>
    <definedName function="false" hidden="false" localSheetId="8" name="Trabat" vbProcedure="false">#REF!</definedName>
    <definedName function="false" hidden="false" localSheetId="8" name="traficinterur" vbProcedure="false">#REF!</definedName>
    <definedName function="false" hidden="false" localSheetId="8" name="traficinterur___0" vbProcedure="false">#REF!</definedName>
    <definedName function="false" hidden="false" localSheetId="8" name="traficinterur___14" vbProcedure="false">#REF!</definedName>
    <definedName function="false" hidden="false" localSheetId="8" name="tralocintur" vbProcedure="false">#REF!</definedName>
    <definedName function="false" hidden="false" localSheetId="8" name="tralocintur___0" vbProcedure="false">#REF!</definedName>
    <definedName function="false" hidden="false" localSheetId="8" name="tralocintur___12" vbProcedure="false">#REF!</definedName>
    <definedName function="false" hidden="false" localSheetId="8" name="TREAS" vbProcedure="false">#REF!</definedName>
    <definedName function="false" hidden="false" localSheetId="8" name="TRESORERIE_REGIONALE" vbProcedure="false">#REF!</definedName>
    <definedName function="false" hidden="false" localSheetId="8" name="TRESORERIE_REGIONALE___0" vbProcedure="false">#REF!</definedName>
    <definedName function="false" hidden="false" localSheetId="8" name="TRESORERIE_REGIONALE___12" vbProcedure="false">#REF!</definedName>
    <definedName function="false" hidden="false" localSheetId="8" name="trf_des" vbProcedure="false">#REF!</definedName>
    <definedName function="false" hidden="false" localSheetId="8" name="trim" vbProcedure="false">#REF!</definedName>
    <definedName function="false" hidden="false" localSheetId="8" name="trim2" vbProcedure="false">#REF!</definedName>
    <definedName function="false" hidden="false" localSheetId="8" name="trim2___0" vbProcedure="false">#REF!</definedName>
    <definedName function="false" hidden="false" localSheetId="8" name="trim2___12" vbProcedure="false">#REF!</definedName>
    <definedName function="false" hidden="false" localSheetId="8" name="trim___0" vbProcedure="false">#REF!</definedName>
    <definedName function="false" hidden="false" localSheetId="8" name="trim___14" vbProcedure="false">#REF!</definedName>
    <definedName function="false" hidden="false" localSheetId="8" name="trim___26" vbProcedure="false">#REF!</definedName>
    <definedName function="false" hidden="false" localSheetId="8" name="trim___27" vbProcedure="false">#REF!</definedName>
    <definedName function="false" hidden="false" localSheetId="8" name="trim___5" vbProcedure="false">#REF!</definedName>
    <definedName function="false" hidden="false" localSheetId="8" name="trim___7" vbProcedure="false">#REF!</definedName>
    <definedName function="false" hidden="false" localSheetId="8" name="trthhhnlmklm" vbProcedure="false">#REF!</definedName>
    <definedName function="false" hidden="false" localSheetId="8" name="TSales" vbProcedure="false">#REF!</definedName>
    <definedName function="false" hidden="false" localSheetId="8" name="TSalesAdj" vbProcedure="false">#REF!</definedName>
    <definedName function="false" hidden="false" localSheetId="8" name="TSalesAdj___0" vbProcedure="false">#REF!</definedName>
    <definedName function="false" hidden="false" localSheetId="8" name="TSalesAdj___12" vbProcedure="false">#REF!</definedName>
    <definedName function="false" hidden="false" localSheetId="8" name="TSalesAdj___14" vbProcedure="false">#REF!</definedName>
    <definedName function="false" hidden="false" localSheetId="8" name="TSalesAdj___16" vbProcedure="false">#REF!</definedName>
    <definedName function="false" hidden="false" localSheetId="8" name="TSalesAdj___2" vbProcedure="false">#REF!</definedName>
    <definedName function="false" hidden="false" localSheetId="8" name="TSalesAdj___25" vbProcedure="false">#REF!</definedName>
    <definedName function="false" hidden="false" localSheetId="8" name="TSalesAdj___26" vbProcedure="false">#REF!</definedName>
    <definedName function="false" hidden="false" localSheetId="8" name="TSalesAdj___27" vbProcedure="false">#REF!</definedName>
    <definedName function="false" hidden="false" localSheetId="8" name="TSalesAdj___4" vbProcedure="false">#REF!</definedName>
    <definedName function="false" hidden="false" localSheetId="8" name="TSalesAdj___5" vbProcedure="false">#REF!</definedName>
    <definedName function="false" hidden="false" localSheetId="8" name="TSalesAdj___7" vbProcedure="false">#REF!</definedName>
    <definedName function="false" hidden="false" localSheetId="8" name="TSalesG" vbProcedure="false">#REF!</definedName>
    <definedName function="false" hidden="false" localSheetId="8" name="TSalesGIncrement" vbProcedure="false">#REF!</definedName>
    <definedName function="false" hidden="false" localSheetId="8" name="TSalesGIncrement___0" vbProcedure="false">#REF!</definedName>
    <definedName function="false" hidden="false" localSheetId="8" name="TSalesGIncrement___12" vbProcedure="false">#REF!</definedName>
    <definedName function="false" hidden="false" localSheetId="8" name="TSalesGIncrement___14" vbProcedure="false">#REF!</definedName>
    <definedName function="false" hidden="false" localSheetId="8" name="TSalesGIncrement___16" vbProcedure="false">#REF!</definedName>
    <definedName function="false" hidden="false" localSheetId="8" name="TSalesGIncrement___2" vbProcedure="false">#REF!</definedName>
    <definedName function="false" hidden="false" localSheetId="8" name="TSalesGIncrement___25" vbProcedure="false">#REF!</definedName>
    <definedName function="false" hidden="false" localSheetId="8" name="TSalesGIncrement___26" vbProcedure="false">#REF!</definedName>
    <definedName function="false" hidden="false" localSheetId="8" name="TSalesGIncrement___27" vbProcedure="false">#REF!</definedName>
    <definedName function="false" hidden="false" localSheetId="8" name="TSalesGIncrement___4" vbProcedure="false">#REF!</definedName>
    <definedName function="false" hidden="false" localSheetId="8" name="TSalesGIncrement___5" vbProcedure="false">#REF!</definedName>
    <definedName function="false" hidden="false" localSheetId="8" name="TSalesGIncrement___7" vbProcedure="false">#REF!</definedName>
    <definedName function="false" hidden="false" localSheetId="8" name="TSalesGrowth" vbProcedure="false">#REF!</definedName>
    <definedName function="false" hidden="false" localSheetId="8" name="TSalesGrowth___0" vbProcedure="false">#REF!</definedName>
    <definedName function="false" hidden="false" localSheetId="8" name="TSalesGrowth___12" vbProcedure="false">#REF!</definedName>
    <definedName function="false" hidden="false" localSheetId="8" name="TSalesGrowth___14" vbProcedure="false">#REF!</definedName>
    <definedName function="false" hidden="false" localSheetId="8" name="TSalesGrowth___16" vbProcedure="false">#REF!</definedName>
    <definedName function="false" hidden="false" localSheetId="8" name="TSalesGrowth___2" vbProcedure="false">#REF!</definedName>
    <definedName function="false" hidden="false" localSheetId="8" name="TSalesGrowth___25" vbProcedure="false">#REF!</definedName>
    <definedName function="false" hidden="false" localSheetId="8" name="TSalesGrowth___26" vbProcedure="false">#REF!</definedName>
    <definedName function="false" hidden="false" localSheetId="8" name="TSalesGrowth___27" vbProcedure="false">#REF!</definedName>
    <definedName function="false" hidden="false" localSheetId="8" name="TSalesGrowth___4" vbProcedure="false">#REF!</definedName>
    <definedName function="false" hidden="false" localSheetId="8" name="TSalesGrowth___5" vbProcedure="false">#REF!</definedName>
    <definedName function="false" hidden="false" localSheetId="8" name="TSalesGrowth___7" vbProcedure="false">#REF!</definedName>
    <definedName function="false" hidden="false" localSheetId="8" name="TSalesG___0" vbProcedure="false">#REF!</definedName>
    <definedName function="false" hidden="false" localSheetId="8" name="TSalesG___12" vbProcedure="false">#REF!</definedName>
    <definedName function="false" hidden="false" localSheetId="8" name="TSalesG___14" vbProcedure="false">#REF!</definedName>
    <definedName function="false" hidden="false" localSheetId="8" name="TSalesG___16" vbProcedure="false">#REF!</definedName>
    <definedName function="false" hidden="false" localSheetId="8" name="TSalesG___2" vbProcedure="false">#REF!</definedName>
    <definedName function="false" hidden="false" localSheetId="8" name="TSalesG___25" vbProcedure="false">#REF!</definedName>
    <definedName function="false" hidden="false" localSheetId="8" name="TSalesG___26" vbProcedure="false">#REF!</definedName>
    <definedName function="false" hidden="false" localSheetId="8" name="TSalesG___27" vbProcedure="false">#REF!</definedName>
    <definedName function="false" hidden="false" localSheetId="8" name="TSalesG___4" vbProcedure="false">#REF!</definedName>
    <definedName function="false" hidden="false" localSheetId="8" name="TSalesG___5" vbProcedure="false">#REF!</definedName>
    <definedName function="false" hidden="false" localSheetId="8" name="TSalesG___7" vbProcedure="false">#REF!</definedName>
    <definedName function="false" hidden="false" localSheetId="8" name="TSalesOutput" vbProcedure="false">#REF!</definedName>
    <definedName function="false" hidden="false" localSheetId="8" name="TSalesOutput___0" vbProcedure="false">#REF!</definedName>
    <definedName function="false" hidden="false" localSheetId="8" name="TSalesOutput___12" vbProcedure="false">#REF!</definedName>
    <definedName function="false" hidden="false" localSheetId="8" name="TSalesOutput___14" vbProcedure="false">#REF!</definedName>
    <definedName function="false" hidden="false" localSheetId="8" name="TSalesOutput___16" vbProcedure="false">#REF!</definedName>
    <definedName function="false" hidden="false" localSheetId="8" name="TSalesOutput___2" vbProcedure="false">#REF!</definedName>
    <definedName function="false" hidden="false" localSheetId="8" name="TSalesOutput___25" vbProcedure="false">#REF!</definedName>
    <definedName function="false" hidden="false" localSheetId="8" name="TSalesOutput___26" vbProcedure="false">#REF!</definedName>
    <definedName function="false" hidden="false" localSheetId="8" name="TSalesOutput___27" vbProcedure="false">#REF!</definedName>
    <definedName function="false" hidden="false" localSheetId="8" name="TSalesOutput___4" vbProcedure="false">#REF!</definedName>
    <definedName function="false" hidden="false" localSheetId="8" name="TSalesOutput___5" vbProcedure="false">#REF!</definedName>
    <definedName function="false" hidden="false" localSheetId="8" name="TSalesOutput___7" vbProcedure="false">#REF!</definedName>
    <definedName function="false" hidden="false" localSheetId="8" name="TSales___0" vbProcedure="false">#REF!</definedName>
    <definedName function="false" hidden="false" localSheetId="8" name="TSales___12" vbProcedure="false">#REF!</definedName>
    <definedName function="false" hidden="false" localSheetId="8" name="TSales___14" vbProcedure="false">#REF!</definedName>
    <definedName function="false" hidden="false" localSheetId="8" name="TSales___16" vbProcedure="false">#REF!</definedName>
    <definedName function="false" hidden="false" localSheetId="8" name="TSales___2" vbProcedure="false">#REF!</definedName>
    <definedName function="false" hidden="false" localSheetId="8" name="TSales___25" vbProcedure="false">#REF!</definedName>
    <definedName function="false" hidden="false" localSheetId="8" name="TSales___26" vbProcedure="false">#REF!</definedName>
    <definedName function="false" hidden="false" localSheetId="8" name="TSales___27" vbProcedure="false">#REF!</definedName>
    <definedName function="false" hidden="false" localSheetId="8" name="TSales___4" vbProcedure="false">#REF!</definedName>
    <definedName function="false" hidden="false" localSheetId="8" name="TSales___5" vbProcedure="false">#REF!</definedName>
    <definedName function="false" hidden="false" localSheetId="8" name="TSales___7" vbProcedure="false">#REF!</definedName>
    <definedName function="false" hidden="false" localSheetId="8" name="TSMult" vbProcedure="false">#REF!</definedName>
    <definedName function="false" hidden="false" localSheetId="8" name="TSMult___0" vbProcedure="false">#REF!</definedName>
    <definedName function="false" hidden="false" localSheetId="8" name="TSMult___12" vbProcedure="false">#REF!</definedName>
    <definedName function="false" hidden="false" localSheetId="8" name="TSMult___14" vbProcedure="false">#REF!</definedName>
    <definedName function="false" hidden="false" localSheetId="8" name="TSMult___16" vbProcedure="false">#REF!</definedName>
    <definedName function="false" hidden="false" localSheetId="8" name="TSMult___2" vbProcedure="false">#REF!</definedName>
    <definedName function="false" hidden="false" localSheetId="8" name="TSMult___25" vbProcedure="false">#REF!</definedName>
    <definedName function="false" hidden="false" localSheetId="8" name="TSMult___26" vbProcedure="false">#REF!</definedName>
    <definedName function="false" hidden="false" localSheetId="8" name="TSMult___27" vbProcedure="false">#REF!</definedName>
    <definedName function="false" hidden="false" localSheetId="8" name="TSMult___4" vbProcedure="false">#REF!</definedName>
    <definedName function="false" hidden="false" localSheetId="8" name="TSMult___5" vbProcedure="false">#REF!</definedName>
    <definedName function="false" hidden="false" localSheetId="8" name="TSMult___7" vbProcedure="false">#REF!</definedName>
    <definedName function="false" hidden="false" localSheetId="8" name="TTaxes" vbProcedure="false">#REF!</definedName>
    <definedName function="false" hidden="false" localSheetId="8" name="TTaxes___0" vbProcedure="false">#REF!</definedName>
    <definedName function="false" hidden="false" localSheetId="8" name="TTaxes___12" vbProcedure="false">#REF!</definedName>
    <definedName function="false" hidden="false" localSheetId="8" name="TTaxes___14" vbProcedure="false">#REF!</definedName>
    <definedName function="false" hidden="false" localSheetId="8" name="TTaxes___16" vbProcedure="false">#REF!</definedName>
    <definedName function="false" hidden="false" localSheetId="8" name="TTaxes___2" vbProcedure="false">#REF!</definedName>
    <definedName function="false" hidden="false" localSheetId="8" name="TTaxes___25" vbProcedure="false">#REF!</definedName>
    <definedName function="false" hidden="false" localSheetId="8" name="TTaxes___26" vbProcedure="false">#REF!</definedName>
    <definedName function="false" hidden="false" localSheetId="8" name="TTaxes___27" vbProcedure="false">#REF!</definedName>
    <definedName function="false" hidden="false" localSheetId="8" name="TTaxes___4" vbProcedure="false">#REF!</definedName>
    <definedName function="false" hidden="false" localSheetId="8" name="TTaxes___5" vbProcedure="false">#REF!</definedName>
    <definedName function="false" hidden="false" localSheetId="8" name="TTaxes___7" vbProcedure="false">#REF!</definedName>
    <definedName function="false" hidden="false" localSheetId="8" name="TTaxRate" vbProcedure="false">#REF!</definedName>
    <definedName function="false" hidden="false" localSheetId="8" name="TTaxRate___0" vbProcedure="false">#REF!</definedName>
    <definedName function="false" hidden="false" localSheetId="8" name="TTaxRate___12" vbProcedure="false">#REF!</definedName>
    <definedName function="false" hidden="false" localSheetId="8" name="TTaxRate___14" vbProcedure="false">#REF!</definedName>
    <definedName function="false" hidden="false" localSheetId="8" name="TTaxRate___16" vbProcedure="false">#REF!</definedName>
    <definedName function="false" hidden="false" localSheetId="8" name="TTaxRate___2" vbProcedure="false">#REF!</definedName>
    <definedName function="false" hidden="false" localSheetId="8" name="TTaxRate___25" vbProcedure="false">#REF!</definedName>
    <definedName function="false" hidden="false" localSheetId="8" name="TTaxRate___26" vbProcedure="false">#REF!</definedName>
    <definedName function="false" hidden="false" localSheetId="8" name="TTaxRate___27" vbProcedure="false">#REF!</definedName>
    <definedName function="false" hidden="false" localSheetId="8" name="TTaxRate___4" vbProcedure="false">#REF!</definedName>
    <definedName function="false" hidden="false" localSheetId="8" name="TTaxRate___5" vbProcedure="false">#REF!</definedName>
    <definedName function="false" hidden="false" localSheetId="8" name="TTaxRate___7" vbProcedure="false">#REF!</definedName>
    <definedName function="false" hidden="false" localSheetId="8" name="tttt" vbProcedure="false">#REF!</definedName>
    <definedName function="false" hidden="false" localSheetId="8" name="TVAsChosen" vbProcedure="false">#REF!</definedName>
    <definedName function="false" hidden="false" localSheetId="8" name="TVAsChosen___0" vbProcedure="false">#REF!</definedName>
    <definedName function="false" hidden="false" localSheetId="8" name="TVAsChosen___12" vbProcedure="false">#REF!</definedName>
    <definedName function="false" hidden="false" localSheetId="8" name="TVAsChosen___14" vbProcedure="false">#REF!</definedName>
    <definedName function="false" hidden="false" localSheetId="8" name="TVAsChosen___16" vbProcedure="false">#REF!</definedName>
    <definedName function="false" hidden="false" localSheetId="8" name="TVAsChosen___2" vbProcedure="false">#REF!</definedName>
    <definedName function="false" hidden="false" localSheetId="8" name="TVAsChosen___25" vbProcedure="false">#REF!</definedName>
    <definedName function="false" hidden="false" localSheetId="8" name="TVAsChosen___26" vbProcedure="false">#REF!</definedName>
    <definedName function="false" hidden="false" localSheetId="8" name="TVAsChosen___27" vbProcedure="false">#REF!</definedName>
    <definedName function="false" hidden="false" localSheetId="8" name="TVAsChosen___4" vbProcedure="false">#REF!</definedName>
    <definedName function="false" hidden="false" localSheetId="8" name="TVAsChosen___5" vbProcedure="false">#REF!</definedName>
    <definedName function="false" hidden="false" localSheetId="8" name="TVAsChosen___7" vbProcedure="false">#REF!</definedName>
    <definedName function="false" hidden="false" localSheetId="8" name="TVButton" vbProcedure="false">#REF!</definedName>
    <definedName function="false" hidden="false" localSheetId="8" name="TVButton___0" vbProcedure="false">#REF!</definedName>
    <definedName function="false" hidden="false" localSheetId="8" name="TVButton___12" vbProcedure="false">#REF!</definedName>
    <definedName function="false" hidden="false" localSheetId="8" name="TVButton___14" vbProcedure="false">#REF!</definedName>
    <definedName function="false" hidden="false" localSheetId="8" name="TVButton___16" vbProcedure="false">#REF!</definedName>
    <definedName function="false" hidden="false" localSheetId="8" name="TVButton___2" vbProcedure="false">#REF!</definedName>
    <definedName function="false" hidden="false" localSheetId="8" name="TVButton___25" vbProcedure="false">#REF!</definedName>
    <definedName function="false" hidden="false" localSheetId="8" name="TVButton___26" vbProcedure="false">#REF!</definedName>
    <definedName function="false" hidden="false" localSheetId="8" name="TVButton___27" vbProcedure="false">#REF!</definedName>
    <definedName function="false" hidden="false" localSheetId="8" name="TVButton___4" vbProcedure="false">#REF!</definedName>
    <definedName function="false" hidden="false" localSheetId="8" name="TVButton___5" vbProcedure="false">#REF!</definedName>
    <definedName function="false" hidden="false" localSheetId="8" name="TVButton___7" vbProcedure="false">#REF!</definedName>
    <definedName function="false" hidden="false" localSheetId="8" name="TVbyTFCF" vbProcedure="false">#REF!</definedName>
    <definedName function="false" hidden="false" localSheetId="8" name="TVbyTFCF___0" vbProcedure="false">#REF!</definedName>
    <definedName function="false" hidden="false" localSheetId="8" name="TVbyTFCF___12" vbProcedure="false">#REF!</definedName>
    <definedName function="false" hidden="false" localSheetId="8" name="TVbyTFCF___14" vbProcedure="false">#REF!</definedName>
    <definedName function="false" hidden="false" localSheetId="8" name="TVbyTFCF___16" vbProcedure="false">#REF!</definedName>
    <definedName function="false" hidden="false" localSheetId="8" name="TVbyTFCF___2" vbProcedure="false">#REF!</definedName>
    <definedName function="false" hidden="false" localSheetId="8" name="TVbyTFCF___25" vbProcedure="false">#REF!</definedName>
    <definedName function="false" hidden="false" localSheetId="8" name="TVbyTFCF___26" vbProcedure="false">#REF!</definedName>
    <definedName function="false" hidden="false" localSheetId="8" name="TVbyTFCF___27" vbProcedure="false">#REF!</definedName>
    <definedName function="false" hidden="false" localSheetId="8" name="TVbyTFCF___4" vbProcedure="false">#REF!</definedName>
    <definedName function="false" hidden="false" localSheetId="8" name="TVbyTFCF___5" vbProcedure="false">#REF!</definedName>
    <definedName function="false" hidden="false" localSheetId="8" name="TVbyTFCF___7" vbProcedure="false">#REF!</definedName>
    <definedName function="false" hidden="false" localSheetId="8" name="TVMult" vbProcedure="false">#REF!</definedName>
    <definedName function="false" hidden="false" localSheetId="8" name="TVMultIncrement" vbProcedure="false">#REF!</definedName>
    <definedName function="false" hidden="false" localSheetId="8" name="TVMultIncrement___0" vbProcedure="false">#REF!</definedName>
    <definedName function="false" hidden="false" localSheetId="8" name="TVMultIncrement___12" vbProcedure="false">#REF!</definedName>
    <definedName function="false" hidden="false" localSheetId="8" name="TVMultIncrement___14" vbProcedure="false">#REF!</definedName>
    <definedName function="false" hidden="false" localSheetId="8" name="TVMultIncrement___16" vbProcedure="false">#REF!</definedName>
    <definedName function="false" hidden="false" localSheetId="8" name="TVMultIncrement___2" vbProcedure="false">#REF!</definedName>
    <definedName function="false" hidden="false" localSheetId="8" name="TVMultIncrement___25" vbProcedure="false">#REF!</definedName>
    <definedName function="false" hidden="false" localSheetId="8" name="TVMultIncrement___26" vbProcedure="false">#REF!</definedName>
    <definedName function="false" hidden="false" localSheetId="8" name="TVMultIncrement___27" vbProcedure="false">#REF!</definedName>
    <definedName function="false" hidden="false" localSheetId="8" name="TVMultIncrement___4" vbProcedure="false">#REF!</definedName>
    <definedName function="false" hidden="false" localSheetId="8" name="TVMultIncrement___5" vbProcedure="false">#REF!</definedName>
    <definedName function="false" hidden="false" localSheetId="8" name="TVMultIncrement___7" vbProcedure="false">#REF!</definedName>
    <definedName function="false" hidden="false" localSheetId="8" name="TVMultInputs" vbProcedure="false">#REF!</definedName>
    <definedName function="false" hidden="false" localSheetId="8" name="TVMultInputs___0" vbProcedure="false">#REF!</definedName>
    <definedName function="false" hidden="false" localSheetId="8" name="TVMultInputs___12" vbProcedure="false">#REF!</definedName>
    <definedName function="false" hidden="false" localSheetId="8" name="TVMultInputs___14" vbProcedure="false">#REF!</definedName>
    <definedName function="false" hidden="false" localSheetId="8" name="TVMultInputs___16" vbProcedure="false">#REF!</definedName>
    <definedName function="false" hidden="false" localSheetId="8" name="TVMultInputs___2" vbProcedure="false">#REF!</definedName>
    <definedName function="false" hidden="false" localSheetId="8" name="TVMultInputs___25" vbProcedure="false">#REF!</definedName>
    <definedName function="false" hidden="false" localSheetId="8" name="TVMultInputs___26" vbProcedure="false">#REF!</definedName>
    <definedName function="false" hidden="false" localSheetId="8" name="TVMultInputs___27" vbProcedure="false">#REF!</definedName>
    <definedName function="false" hidden="false" localSheetId="8" name="TVMultInputs___4" vbProcedure="false">#REF!</definedName>
    <definedName function="false" hidden="false" localSheetId="8" name="TVMultInputs___5" vbProcedure="false">#REF!</definedName>
    <definedName function="false" hidden="false" localSheetId="8" name="TVMultInputs___7" vbProcedure="false">#REF!</definedName>
    <definedName function="false" hidden="false" localSheetId="8" name="TVMult___0" vbProcedure="false">#REF!</definedName>
    <definedName function="false" hidden="false" localSheetId="8" name="TVMult___12" vbProcedure="false">#REF!</definedName>
    <definedName function="false" hidden="false" localSheetId="8" name="TVMult___14" vbProcedure="false">#REF!</definedName>
    <definedName function="false" hidden="false" localSheetId="8" name="TVMult___16" vbProcedure="false">#REF!</definedName>
    <definedName function="false" hidden="false" localSheetId="8" name="TVMult___2" vbProcedure="false">#REF!</definedName>
    <definedName function="false" hidden="false" localSheetId="8" name="TVMult___25" vbProcedure="false">#REF!</definedName>
    <definedName function="false" hidden="false" localSheetId="8" name="TVMult___26" vbProcedure="false">#REF!</definedName>
    <definedName function="false" hidden="false" localSheetId="8" name="TVMult___27" vbProcedure="false">#REF!</definedName>
    <definedName function="false" hidden="false" localSheetId="8" name="TVMult___4" vbProcedure="false">#REF!</definedName>
    <definedName function="false" hidden="false" localSheetId="8" name="TVMult___5" vbProcedure="false">#REF!</definedName>
    <definedName function="false" hidden="false" localSheetId="8" name="TVMult___7" vbProcedure="false">#REF!</definedName>
    <definedName function="false" hidden="false" localSheetId="8" name="TVREV" vbProcedure="false">#REF!</definedName>
    <definedName function="false" hidden="false" localSheetId="8" name="TVTitles" vbProcedure="false">#REF!</definedName>
    <definedName function="false" hidden="false" localSheetId="8" name="TVTitles___0" vbProcedure="false">#REF!</definedName>
    <definedName function="false" hidden="false" localSheetId="8" name="TVTitles___12" vbProcedure="false">#REF!</definedName>
    <definedName function="false" hidden="false" localSheetId="8" name="TVTitles___14" vbProcedure="false">#REF!</definedName>
    <definedName function="false" hidden="false" localSheetId="8" name="TVTitles___16" vbProcedure="false">#REF!</definedName>
    <definedName function="false" hidden="false" localSheetId="8" name="TVTitles___2" vbProcedure="false">#REF!</definedName>
    <definedName function="false" hidden="false" localSheetId="8" name="TVTitles___25" vbProcedure="false">#REF!</definedName>
    <definedName function="false" hidden="false" localSheetId="8" name="TVTitles___26" vbProcedure="false">#REF!</definedName>
    <definedName function="false" hidden="false" localSheetId="8" name="TVTitles___27" vbProcedure="false">#REF!</definedName>
    <definedName function="false" hidden="false" localSheetId="8" name="TVTitles___4" vbProcedure="false">#REF!</definedName>
    <definedName function="false" hidden="false" localSheetId="8" name="TVTitles___5" vbProcedure="false">#REF!</definedName>
    <definedName function="false" hidden="false" localSheetId="8" name="TVTitles___7" vbProcedure="false">#REF!</definedName>
    <definedName function="false" hidden="false" localSheetId="8" name="TWACCAdjustment" vbProcedure="false">#REF!</definedName>
    <definedName function="false" hidden="false" localSheetId="8" name="TWACCAdjustment___0" vbProcedure="false">#REF!</definedName>
    <definedName function="false" hidden="false" localSheetId="8" name="TWACCAdjustment___12" vbProcedure="false">#REF!</definedName>
    <definedName function="false" hidden="false" localSheetId="8" name="TWACCAdjustment___14" vbProcedure="false">#REF!</definedName>
    <definedName function="false" hidden="false" localSheetId="8" name="TWACCAdjustment___16" vbProcedure="false">#REF!</definedName>
    <definedName function="false" hidden="false" localSheetId="8" name="TWACCAdjustment___2" vbProcedure="false">#REF!</definedName>
    <definedName function="false" hidden="false" localSheetId="8" name="TWACCAdjustment___25" vbProcedure="false">#REF!</definedName>
    <definedName function="false" hidden="false" localSheetId="8" name="TWACCAdjustment___26" vbProcedure="false">#REF!</definedName>
    <definedName function="false" hidden="false" localSheetId="8" name="TWACCAdjustment___27" vbProcedure="false">#REF!</definedName>
    <definedName function="false" hidden="false" localSheetId="8" name="TWACCAdjustment___4" vbProcedure="false">#REF!</definedName>
    <definedName function="false" hidden="false" localSheetId="8" name="TWACCAdjustment___5" vbProcedure="false">#REF!</definedName>
    <definedName function="false" hidden="false" localSheetId="8" name="TWACCAdjustment___7" vbProcedure="false">#REF!</definedName>
    <definedName function="false" hidden="false" localSheetId="8" name="twd" vbProcedure="false">#REF!</definedName>
    <definedName function="false" hidden="false" localSheetId="8" name="Tx_intérêt_par_an___0" vbProcedure="false">#REF!</definedName>
    <definedName function="false" hidden="false" localSheetId="8" name="Tx_intérêt_par_an___12" vbProcedure="false">#REF!</definedName>
    <definedName function="false" hidden="false" localSheetId="8" name="Tx_intérêt_par_an___14" vbProcedure="false">#REF!</definedName>
    <definedName function="false" hidden="false" localSheetId="8" name="Tx_intérêt_par_an___16" vbProcedure="false">#REF!</definedName>
    <definedName function="false" hidden="false" localSheetId="8" name="Tx_intérêt_par_an___2" vbProcedure="false">#REF!</definedName>
    <definedName function="false" hidden="false" localSheetId="8" name="Tx_intérêt_par_an___25" vbProcedure="false">#REF!</definedName>
    <definedName function="false" hidden="false" localSheetId="8" name="Tx_intérêt_par_an___26" vbProcedure="false">#REF!</definedName>
    <definedName function="false" hidden="false" localSheetId="8" name="Tx_intérêt_par_an___27" vbProcedure="false">#REF!</definedName>
    <definedName function="false" hidden="false" localSheetId="8" name="Tx_intérêt_par_an___4" vbProcedure="false">#REF!</definedName>
    <definedName function="false" hidden="false" localSheetId="8" name="Tx_intérêt_par_an___5" vbProcedure="false">#REF!</definedName>
    <definedName function="false" hidden="false" localSheetId="8" name="Tx_intérêt_par_an___7" vbProcedure="false">#REF!</definedName>
    <definedName function="false" hidden="false" localSheetId="8" name="ty" vbProcedure="false">{"orixcsc",#N/A,FALSE,"ORIX CSC";"orixcsc2",#N/A,FALSE,"ORIX CSC"}</definedName>
    <definedName function="false" hidden="false" localSheetId="8" name="TYFTRYRTYRTYUR" vbProcedure="false">#REF!</definedName>
    <definedName function="false" hidden="false" localSheetId="8" name="tyhtf" vbProcedure="false">#REF!</definedName>
    <definedName function="false" hidden="false" localSheetId="8" name="Type_1" vbProcedure="false">#REF!</definedName>
    <definedName function="false" hidden="false" localSheetId="8" name="Type_2" vbProcedure="false">#REF!</definedName>
    <definedName function="false" hidden="false" localSheetId="8" name="tyryt" vbProcedure="false">#REF!</definedName>
    <definedName function="false" hidden="false" localSheetId="8" name="télphabontralocal" vbProcedure="false">#REF!</definedName>
    <definedName function="false" hidden="false" localSheetId="8" name="télphabontralocal___0" vbProcedure="false">#REF!</definedName>
    <definedName function="false" hidden="false" localSheetId="8" name="télphabontralocal___14" vbProcedure="false">#REF!</definedName>
    <definedName function="false" hidden="false" localSheetId="8" name="ufykfk" vbProcedure="false">{"print 1",#N/A,FALSE,"PrimeCo PCS";"print 2",#N/A,FALSE,"PrimeCo PCS";"valuation",#N/A,FALSE,"PrimeCo PCS"}</definedName>
    <definedName function="false" hidden="false" localSheetId="8" name="ULTSUMM97" vbProcedure="false">#REF!</definedName>
    <definedName function="false" hidden="false" localSheetId="8" name="uykfu" vbProcedure="false">#N/A</definedName>
    <definedName function="false" hidden="false" localSheetId="8" name="uyuyuyuyuyu" vbProcedure="false">{#N/A,#N/A,TRUE,"Cover sheet";#N/A,#N/A,TRUE,"DCF analysis";#N/A,#N/A,TRUE,"WACC calculation"}</definedName>
    <definedName function="false" hidden="false" localSheetId="8" name="V" vbProcedure="false">#N/A</definedName>
    <definedName function="false" hidden="false" localSheetId="8" name="VA" vbProcedure="false">#REF!</definedName>
    <definedName function="false" hidden="false" localSheetId="8" name="ValuationDate" vbProcedure="false">#REF!</definedName>
    <definedName function="false" hidden="false" localSheetId="8" name="ValuationDate___0" vbProcedure="false">#REF!</definedName>
    <definedName function="false" hidden="false" localSheetId="8" name="ValuationDate___12" vbProcedure="false">#REF!</definedName>
    <definedName function="false" hidden="false" localSheetId="8" name="ValuationDate___14" vbProcedure="false">#REF!</definedName>
    <definedName function="false" hidden="false" localSheetId="8" name="ValuationDate___16" vbProcedure="false">#REF!</definedName>
    <definedName function="false" hidden="false" localSheetId="8" name="ValuationDate___2" vbProcedure="false">#REF!</definedName>
    <definedName function="false" hidden="false" localSheetId="8" name="ValuationDate___25" vbProcedure="false">#REF!</definedName>
    <definedName function="false" hidden="false" localSheetId="8" name="ValuationDate___26" vbProcedure="false">#REF!</definedName>
    <definedName function="false" hidden="false" localSheetId="8" name="ValuationDate___27" vbProcedure="false">#REF!</definedName>
    <definedName function="false" hidden="false" localSheetId="8" name="ValuationDate___4" vbProcedure="false">#REF!</definedName>
    <definedName function="false" hidden="false" localSheetId="8" name="ValuationDate___5" vbProcedure="false">#REF!</definedName>
    <definedName function="false" hidden="false" localSheetId="8" name="ValuationDate___7" vbProcedure="false">#REF!</definedName>
    <definedName function="false" hidden="false" localSheetId="8" name="variance" vbProcedure="false">#REF!</definedName>
    <definedName function="false" hidden="false" localSheetId="8" name="VColsToPrint" vbProcedure="false">#REF!</definedName>
    <definedName function="false" hidden="false" localSheetId="8" name="VColsToPrint___0" vbProcedure="false">#REF!</definedName>
    <definedName function="false" hidden="false" localSheetId="8" name="VColsToPrint___12" vbProcedure="false">#REF!</definedName>
    <definedName function="false" hidden="false" localSheetId="8" name="VColsToPrint___14" vbProcedure="false">#REF!</definedName>
    <definedName function="false" hidden="false" localSheetId="8" name="VColsToPrint___16" vbProcedure="false">#REF!</definedName>
    <definedName function="false" hidden="false" localSheetId="8" name="VColsToPrint___2" vbProcedure="false">#REF!</definedName>
    <definedName function="false" hidden="false" localSheetId="8" name="VColsToPrint___25" vbProcedure="false">#REF!</definedName>
    <definedName function="false" hidden="false" localSheetId="8" name="VColsToPrint___26" vbProcedure="false">#REF!</definedName>
    <definedName function="false" hidden="false" localSheetId="8" name="VColsToPrint___27" vbProcedure="false">#REF!</definedName>
    <definedName function="false" hidden="false" localSheetId="8" name="VColsToPrint___4" vbProcedure="false">#REF!</definedName>
    <definedName function="false" hidden="false" localSheetId="8" name="VColsToPrint___5" vbProcedure="false">#REF!</definedName>
    <definedName function="false" hidden="false" localSheetId="8" name="VColsToPrint___7" vbProcedure="false">#REF!</definedName>
    <definedName function="false" hidden="false" localSheetId="8" name="VERS_REC_CCP" vbProcedure="false">#REF!</definedName>
    <definedName function="false" hidden="false" localSheetId="8" name="VIGNETTES_TG" vbProcedure="false">#REF!</definedName>
    <definedName function="false" hidden="false" localSheetId="8" name="vince" vbProcedure="false">{#N/A,#N/A,TRUE,"Cover sheet";#N/A,#N/A,TRUE,"DCF analysis";#N/A,#N/A,TRUE,"WACC calculation"}</definedName>
    <definedName function="false" hidden="false" localSheetId="8" name="VIR_BANQUE" vbProcedure="false">#REF!</definedName>
    <definedName function="false" hidden="false" localSheetId="8" name="VLastRow" vbProcedure="false">#REF!</definedName>
    <definedName function="false" hidden="false" localSheetId="8" name="VLastRowToPrint" vbProcedure="false">#REF!</definedName>
    <definedName function="false" hidden="false" localSheetId="8" name="VLastRowToPrint___12" vbProcedure="false">#REF!</definedName>
    <definedName function="false" hidden="false" localSheetId="8" name="VLastRowToPrint___14" vbProcedure="false">#REF!</definedName>
    <definedName function="false" hidden="false" localSheetId="8" name="VLastRowToPrint___16" vbProcedure="false">#REF!</definedName>
    <definedName function="false" hidden="false" localSheetId="8" name="VLastRowToPrint___2" vbProcedure="false">#REF!</definedName>
    <definedName function="false" hidden="false" localSheetId="8" name="VLastRowToPrint___25" vbProcedure="false">#REF!</definedName>
    <definedName function="false" hidden="false" localSheetId="8" name="VLastRowToPrint___27" vbProcedure="false">#REF!</definedName>
    <definedName function="false" hidden="false" localSheetId="8" name="VLastRowToPrint___4" vbProcedure="false">#REF!</definedName>
    <definedName function="false" hidden="false" localSheetId="8" name="VLastRowToPrint___5" vbProcedure="false">#REF!</definedName>
    <definedName function="false" hidden="false" localSheetId="8" name="VLastRow___0" vbProcedure="false">#REF!</definedName>
    <definedName function="false" hidden="false" localSheetId="8" name="VLastRow___12" vbProcedure="false">#REF!</definedName>
    <definedName function="false" hidden="false" localSheetId="8" name="VLastRow___14" vbProcedure="false">#REF!</definedName>
    <definedName function="false" hidden="false" localSheetId="8" name="VLastRow___16" vbProcedure="false">#REF!</definedName>
    <definedName function="false" hidden="false" localSheetId="8" name="VLastRow___2" vbProcedure="false">#REF!</definedName>
    <definedName function="false" hidden="false" localSheetId="8" name="VLastRow___25" vbProcedure="false">#REF!</definedName>
    <definedName function="false" hidden="false" localSheetId="8" name="VLastRow___26" vbProcedure="false">#REF!</definedName>
    <definedName function="false" hidden="false" localSheetId="8" name="VLastRow___27" vbProcedure="false">#REF!</definedName>
    <definedName function="false" hidden="false" localSheetId="8" name="VLastRow___4" vbProcedure="false">#REF!</definedName>
    <definedName function="false" hidden="false" localSheetId="8" name="VLastRow___5" vbProcedure="false">#REF!</definedName>
    <definedName function="false" hidden="false" localSheetId="8" name="VLastRow___7" vbProcedure="false">#REF!</definedName>
    <definedName function="false" hidden="false" localSheetId="8" name="VLR" vbProcedure="false">#REF!,#REF!</definedName>
    <definedName function="false" hidden="false" localSheetId="8" name="VolFactor" vbProcedure="false">#REF!</definedName>
    <definedName function="false" hidden="false" localSheetId="8" name="VolFactor___0" vbProcedure="false">#REF!</definedName>
    <definedName function="false" hidden="false" localSheetId="8" name="VolFactor___26" vbProcedure="false">#REF!</definedName>
    <definedName function="false" hidden="false" localSheetId="8" name="VolFactor___7" vbProcedure="false">#REF!</definedName>
    <definedName function="false" hidden="false" localSheetId="8" name="VPLastRow" vbProcedure="false">#REF!</definedName>
    <definedName function="false" hidden="false" localSheetId="8" name="VPLastRow___0" vbProcedure="false">#REF!</definedName>
    <definedName function="false" hidden="false" localSheetId="8" name="VPLastRow___12" vbProcedure="false">#REF!</definedName>
    <definedName function="false" hidden="false" localSheetId="8" name="VPLastRow___14" vbProcedure="false">#REF!</definedName>
    <definedName function="false" hidden="false" localSheetId="8" name="VPLastRow___16" vbProcedure="false">#REF!</definedName>
    <definedName function="false" hidden="false" localSheetId="8" name="VPLastRow___2" vbProcedure="false">#REF!</definedName>
    <definedName function="false" hidden="false" localSheetId="8" name="VPLastRow___25" vbProcedure="false">#REF!</definedName>
    <definedName function="false" hidden="false" localSheetId="8" name="VPLastRow___26" vbProcedure="false">#REF!</definedName>
    <definedName function="false" hidden="false" localSheetId="8" name="VPLastRow___27" vbProcedure="false">#REF!</definedName>
    <definedName function="false" hidden="false" localSheetId="8" name="VPLastRow___4" vbProcedure="false">#REF!</definedName>
    <definedName function="false" hidden="false" localSheetId="8" name="VPLastRow___5" vbProcedure="false">#REF!</definedName>
    <definedName function="false" hidden="false" localSheetId="8" name="VPLastRow___7" vbProcedure="false">#REF!</definedName>
    <definedName function="false" hidden="false" localSheetId="8" name="VTitle" vbProcedure="false">#REF!</definedName>
    <definedName function="false" hidden="false" localSheetId="8" name="VTitle___0" vbProcedure="false">#REF!</definedName>
    <definedName function="false" hidden="false" localSheetId="8" name="VTitle___12" vbProcedure="false">#REF!</definedName>
    <definedName function="false" hidden="false" localSheetId="8" name="VTitle___14" vbProcedure="false">#REF!</definedName>
    <definedName function="false" hidden="false" localSheetId="8" name="VTitle___16" vbProcedure="false">#REF!</definedName>
    <definedName function="false" hidden="false" localSheetId="8" name="VTitle___2" vbProcedure="false">#REF!</definedName>
    <definedName function="false" hidden="false" localSheetId="8" name="VTitle___25" vbProcedure="false">#REF!</definedName>
    <definedName function="false" hidden="false" localSheetId="8" name="VTitle___26" vbProcedure="false">#REF!</definedName>
    <definedName function="false" hidden="false" localSheetId="8" name="VTitle___27" vbProcedure="false">#REF!</definedName>
    <definedName function="false" hidden="false" localSheetId="8" name="VTitle___4" vbProcedure="false">#REF!</definedName>
    <definedName function="false" hidden="false" localSheetId="8" name="VTitle___5" vbProcedure="false">#REF!</definedName>
    <definedName function="false" hidden="false" localSheetId="8" name="VTitle___7" vbProcedure="false">#REF!</definedName>
    <definedName function="false" hidden="false" localSheetId="8" name="vvv" vbProcedure="false">{#N/A,#N/A,TRUE,"Cover sheet";#N/A,#N/A,TRUE,"DCF analysis";#N/A,#N/A,TRUE,"WACC calculation"}</definedName>
    <definedName function="false" hidden="false" localSheetId="8" name="W" vbProcedure="false">#REF!</definedName>
    <definedName function="false" hidden="false" localSheetId="8" name="W.B" vbProcedure="false">#REF!</definedName>
    <definedName function="false" hidden="false" localSheetId="8" name="WACC" vbProcedure="false">#REF!</definedName>
    <definedName function="false" hidden="false" localSheetId="8" name="WACCIncrement" vbProcedure="false">#REF!</definedName>
    <definedName function="false" hidden="false" localSheetId="8" name="WACCIncrement___0" vbProcedure="false">#REF!</definedName>
    <definedName function="false" hidden="false" localSheetId="8" name="WACCIncrement___12" vbProcedure="false">#REF!</definedName>
    <definedName function="false" hidden="false" localSheetId="8" name="WACCIncrement___14" vbProcedure="false">#REF!</definedName>
    <definedName function="false" hidden="false" localSheetId="8" name="WACCIncrement___16" vbProcedure="false">#REF!</definedName>
    <definedName function="false" hidden="false" localSheetId="8" name="WACCIncrement___2" vbProcedure="false">#REF!</definedName>
    <definedName function="false" hidden="false" localSheetId="8" name="WACCIncrement___25" vbProcedure="false">#REF!</definedName>
    <definedName function="false" hidden="false" localSheetId="8" name="WACCIncrement___26" vbProcedure="false">#REF!</definedName>
    <definedName function="false" hidden="false" localSheetId="8" name="WACCIncrement___27" vbProcedure="false">#REF!</definedName>
    <definedName function="false" hidden="false" localSheetId="8" name="WACCIncrement___4" vbProcedure="false">#REF!</definedName>
    <definedName function="false" hidden="false" localSheetId="8" name="WACCIncrement___5" vbProcedure="false">#REF!</definedName>
    <definedName function="false" hidden="false" localSheetId="8" name="WACCIncrement___7" vbProcedure="false">#REF!</definedName>
    <definedName function="false" hidden="false" localSheetId="8" name="WACC___0" vbProcedure="false">#REF!</definedName>
    <definedName function="false" hidden="false" localSheetId="8" name="WACC___12" vbProcedure="false">#REF!</definedName>
    <definedName function="false" hidden="false" localSheetId="8" name="WACC___14" vbProcedure="false">#REF!</definedName>
    <definedName function="false" hidden="false" localSheetId="8" name="WACC___16" vbProcedure="false">#REF!</definedName>
    <definedName function="false" hidden="false" localSheetId="8" name="WACC___2" vbProcedure="false">#REF!</definedName>
    <definedName function="false" hidden="false" localSheetId="8" name="WACC___25" vbProcedure="false">#REF!</definedName>
    <definedName function="false" hidden="false" localSheetId="8" name="WACC___26" vbProcedure="false">#REF!</definedName>
    <definedName function="false" hidden="false" localSheetId="8" name="WACC___27" vbProcedure="false">#REF!</definedName>
    <definedName function="false" hidden="false" localSheetId="8" name="WACC___4" vbProcedure="false">#REF!</definedName>
    <definedName function="false" hidden="false" localSheetId="8" name="WACC___5" vbProcedure="false">#REF!</definedName>
    <definedName function="false" hidden="false" localSheetId="8" name="WACC___7" vbProcedure="false">#REF!</definedName>
    <definedName function="false" hidden="false" localSheetId="8" name="WAFA_BANK" vbProcedure="false">#REF!</definedName>
    <definedName function="false" hidden="false" localSheetId="8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8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wrn.1." vbProcedure="false">{#N/A,#N/A,FALSE,"Calc";#N/A,#N/A,FALSE,"Sensitivity";#N/A,#N/A,FALSE,"LT Earn.Dil.";#N/A,#N/A,FALSE,"Dil. AVP"}</definedName>
    <definedName function="false" hidden="false" localSheetId="8" name="WRN.2." vbProcedure="false">{#N/A,#N/A,FALSE,"Calc";#N/A,#N/A,FALSE,"Sensitivity";#N/A,#N/A,FALSE,"LT Earn.Dil.";#N/A,#N/A,FALSE,"Dil. AVP"}</definedName>
    <definedName function="false" hidden="false" localSheetId="8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8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localSheetId="8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localSheetId="8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wrn.assumptions." vbProcedure="false">{"casespecific",#N/A,FALSE,"Assumptions"}</definedName>
    <definedName function="false" hidden="false" localSheetId="8" name="wrn.away." vbProcedure="false">{"away stand alones",#N/A,FALSE,"Target"}</definedName>
    <definedName function="false" hidden="false" localSheetId="8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8" name="wrn.BEL." vbProcedure="false">{"IS",#N/A,FALSE,"IS";"RPTIS",#N/A,FALSE,"RPTIS";"STATS",#N/A,FALSE,"STATS";"CELL",#N/A,FALSE,"CELL";"BS",#N/A,FALSE,"BS"}</definedName>
    <definedName function="false" hidden="false" localSheetId="8" name="wrn.Both." vbProcedure="false">{#N/A,#N/A,FALSE,"1998";#N/A,#N/A,FALSE,"1997"}</definedName>
    <definedName function="false" hidden="false" localSheetId="8" name="wrn.BPlan." vbProcedure="false">{#N/A,#N/A,FALSE,"F_Plan";#N/A,#N/A,FALSE,"Parameter"}</definedName>
    <definedName function="false" hidden="false" localSheetId="8" name="wrn.brian." vbProcedure="false">{#N/A,#N/A,FALSE,"output";#N/A,#N/A,FALSE,"contrib";#N/A,#N/A,FALSE,"profile";#N/A,#N/A,FALSE,"comps"}</definedName>
    <definedName function="false" hidden="false" localSheetId="8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localSheetId="8" name="wrn.comps." vbProcedure="false">{"comps",#N/A,FALSE,"comps";"notes",#N/A,FALSE,"comps"}</definedName>
    <definedName function="false" hidden="false" localSheetId="8" name="wrn.contribution." vbProcedure="false">{#N/A,#N/A,FALSE,"Contribution Analysis"}</definedName>
    <definedName function="false" hidden="false" localSheetId="8" name="wrn.cooper." vbProcedure="false">{#N/A,#N/A,TRUE,"Pro Forma";#N/A,#N/A,TRUE,"PF_Bal";#N/A,#N/A,TRUE,"PF_INC";#N/A,#N/A,TRUE,"CBE";#N/A,#N/A,TRUE,"SWK"}</definedName>
    <definedName function="false" hidden="false" localSheetId="8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wrn.csc." vbProcedure="false">{"orixcsc",#N/A,FALSE,"ORIX CSC";"orixcsc2",#N/A,FALSE,"ORIX CSC"}</definedName>
    <definedName function="false" hidden="false" localSheetId="8" name="wrn.csc2." vbProcedure="false">{#N/A,#N/A,FALSE,"ORIX CSC"}</definedName>
    <definedName function="false" hidden="false" localSheetId="8" name="wrn.database." vbProcedure="false">{"subs",#N/A,FALSE,"database ";"proportional",#N/A,FALSE,"database "}</definedName>
    <definedName function="false" hidden="false" localSheetId="8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wrn.dil_anal." vbProcedure="false">{"hiden",#N/A,FALSE,"14";"hidden",#N/A,FALSE,"16";"hidden",#N/A,FALSE,"18";"hidden",#N/A,FALSE,"20"}</definedName>
    <definedName function="false" hidden="false" localSheetId="8" name="wrn.document." vbProcedure="false">{"consolidated",#N/A,FALSE,"Sheet1";"cms",#N/A,FALSE,"Sheet1";"fse",#N/A,FALSE,"Sheet1"}</definedName>
    <definedName function="false" hidden="false" localSheetId="8" name="wrn.documentaero." vbProcedure="false">{"comps2",#N/A,FALSE,"AERO";"footnotes",#N/A,FALSE,"AERO"}</definedName>
    <definedName function="false" hidden="false" localSheetId="8" name="wrn.documenthand." vbProcedure="false">{"comps",#N/A,FALSE,"HANDPACK";"footnotes",#N/A,FALSE,"HANDPACK"}</definedName>
    <definedName function="false" hidden="false" localSheetId="8" name="wrn.equity._.comps." vbProcedure="false">{"equity comps",#N/A,FALSE,"CS Comps";"equity comps",#N/A,FALSE,"PS Comps";"equity comps",#N/A,FALSE,"GIC_Comps";"equity comps",#N/A,FALSE,"GIC2_Comps"}</definedName>
    <definedName function="false" hidden="false" localSheetId="8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wrn.Flash._.Report." vbProcedure="false">{#N/A,#N/A,FALSE,"1999 Fiscal Current Week";#N/A,#N/A,FALSE,"1999 Flash Report Variance "}</definedName>
    <definedName function="false" hidden="false" localSheetId="8" name="wrn.fleck." vbProcedure="false">{"first",#N/A,FALSE,"FLEXPAC2";"second",#N/A,FALSE,"FLEXPAC2"}</definedName>
    <definedName function="false" hidden="false" localSheetId="8" name="wrn.fleckcompac." vbProcedure="false">{"one",#N/A,FALSE,"FLEXPAC2";"two",#N/A,FALSE,"FLEXPAC2";"three",#N/A,FALSE,"FLEXPAC2"}</definedName>
    <definedName function="false" hidden="false" localSheetId="8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8" name="wrn.Full." vbProcedure="false">{#N/A,#N/A,FALSE,"Cover";"outputs total",#N/A,FALSE,"Outputs"}</definedName>
    <definedName function="false" hidden="false" localSheetId="8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wrn.imp." vbProcedure="false">{"vue1",#N/A,FALSE,"synthese";"vue2",#N/A,FALSE,"synthese"}</definedName>
    <definedName function="false" hidden="false" localSheetId="8" name="wrn.Inputsheet_ProjectInput." vbProcedure="false">{"ProjectInput",#N/A,FALSE,"INPUT-AREA"}</definedName>
    <definedName function="false" hidden="false" localSheetId="8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localSheetId="8" name="wrn.Mark._.P.._.Report." vbProcedure="false">{#N/A,#N/A,FALSE,"1999 Fiscal Current Week";#N/A,#N/A,FALSE,"1999 Fiscal Variance"}</definedName>
    <definedName function="false" hidden="false" localSheetId="8" name="wrn.memo." vbProcedure="false">{#N/A,#N/A,TRUE,"financial";#N/A,#N/A,TRUE,"plants"}</definedName>
    <definedName function="false" hidden="false" localSheetId="8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8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8" name="wrn.new." vbProcedure="false">{"new1",#N/A,FALSE,"FLEXPAC2";"new2",#N/A,FALSE,"FLEXPAC2"}</definedName>
    <definedName function="false" hidden="false" localSheetId="8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localSheetId="8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localSheetId="8" name="wrn.Outlook._.Report." vbProcedure="false">{#N/A,#N/A,FALSE,"Outlook for Month ";#N/A,#N/A,FALSE,"Risk for Month ";#N/A,#N/A,FALSE,"Upside for Month"}</definedName>
    <definedName function="false" hidden="false" localSheetId="8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wrn.PrimeCo." vbProcedure="false">{"print 1",#N/A,FALSE,"PrimeCo PCS";"print 2",#N/A,FALSE,"PrimeCo PCS";"valuation",#N/A,FALSE,"PrimeCo PCS"}</definedName>
    <definedName function="false" hidden="false" localSheetId="8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localSheetId="8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localSheetId="8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localSheetId="8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localSheetId="8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8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localSheetId="8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localSheetId="8" name="wrn.Print._.the._.lot." vbProcedure="false">{"First Page",#N/A,FALSE,"Surfactants LBO";"Second Page",#N/A,FALSE,"Surfactants LBO"}</definedName>
    <definedName function="false" hidden="false" localSheetId="8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8" name="wrn.Printing._.the._.transactions._.sheets." vbProcedure="false">{#N/A,#N/A,FALSE,"Eastern";#N/A,#N/A,FALSE,"Western"}</definedName>
    <definedName function="false" hidden="false" localSheetId="8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localSheetId="8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localSheetId="8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8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wrn.Report1." vbProcedure="false">{#N/A,#N/A,FALSE,"Operations";#N/A,#N/A,FALSE,"Financials"}</definedName>
    <definedName function="false" hidden="false" localSheetId="8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wrn.sens." vbProcedure="false">{#N/A,#N/A,FALSE,"Sensitivities";#N/A,#N/A,FALSE,"Sensitivities2"}</definedName>
    <definedName function="false" hidden="false" localSheetId="8" name="wrn.sensitivity._.analyses." vbProcedure="false">{"general",#N/A,FALSE,"Assumptions"}</definedName>
    <definedName function="false" hidden="false" localSheetId="8" name="wrn.stand_alone." vbProcedure="false">{#N/A,#N/A,FALSE,"CBE";#N/A,#N/A,FALSE,"SWK"}</definedName>
    <definedName function="false" hidden="false" localSheetId="8" name="wrn.Summary." vbProcedure="false">{#N/A,#N/A,FALSE,"Summary3";#N/A,#N/A,FALSE,"Summary1";#N/A,#N/A,FALSE,"Summary2";#N/A,#N/A,FALSE,"Sensitivities1";#N/A,#N/A,FALSE,"Sensitivities2"}</definedName>
    <definedName function="false" hidden="false" localSheetId="8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8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localSheetId="8" name="wrn.test." vbProcedure="false">{"test2",#N/A,TRUE,"Prices"}</definedName>
    <definedName function="false" hidden="false" localSheetId="8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localSheetId="8" name="wrn.totalcomp." vbProcedure="false">{"comp1",#N/A,FALSE,"COMPS";"footnotes",#N/A,FALSE,"COMPS"}</definedName>
    <definedName function="false" hidden="false" localSheetId="8" name="wrn.trans._.sum." vbProcedure="false">{"trans assumptions",#N/A,FALSE,"Merger";"trans accretion",#N/A,FALSE,"Merger"}</definedName>
    <definedName function="false" hidden="false" localSheetId="8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localSheetId="8" name="wrn.Umsatz." vbProcedure="false">{#N/A,#N/A,FALSE,"Umsatz";#N/A,#N/A,FALSE,"Base V.02";#N/A,#N/A,FALSE,"Charts"}</definedName>
    <definedName function="false" hidden="false" localSheetId="8" name="wrn.up." vbProcedure="false">{"up stand alones",#N/A,FALSE,"Acquiror"}</definedName>
    <definedName function="false" hidden="false" localSheetId="8" name="wrn.upfront." vbProcedure="false">{#N/A,#N/A,FALSE,"SUMMARY";#N/A,#N/A,FALSE,"COACH";#N/A,#N/A,FALSE,"ACTIONPK";#N/A,#N/A,FALSE,"LASTCALL";#N/A,#N/A,FALSE,"SUZANNE";#N/A,#N/A,FALSE,"NEXPO"}</definedName>
    <definedName function="false" hidden="false" localSheetId="8" name="wrn.USW." vbProcedure="false">{"IS",#N/A,FALSE,"IS";"RPTIS",#N/A,FALSE,"RPTIS";"STATS",#N/A,FALSE,"STATS";"BS",#N/A,FALSE,"BS"}</definedName>
    <definedName function="false" hidden="false" localSheetId="8" name="wrn.édition." vbProcedure="false">{"résultats",#N/A,FALSE,"résultats SFS";"indicateurs",#N/A,FALSE,"résultats SFS";"commentaires",#N/A,FALSE,"commentaires SFS";"graphiques",#N/A,FALSE,"graphiques SFS"}</definedName>
    <definedName function="false" hidden="false" localSheetId="8" name="wrn1.flash._.Report." vbProcedure="false">{#N/A,#N/A,FALSE,"1999 Fiscal Current Week";#N/A,#N/A,FALSE,"1999 Flash Report Variance "}</definedName>
    <definedName function="false" hidden="false" localSheetId="8" name="wrn2.Bplan." vbProcedure="false">{#N/A,#N/A,FALSE,"F_Plan";#N/A,#N/A,FALSE,"Parameter"}</definedName>
    <definedName function="false" hidden="false" localSheetId="8" name="WRN2.Document" vbProcedure="false">{"consolidated",#N/A,FALSE,"Sheet1";"cms",#N/A,FALSE,"Sheet1";"fse",#N/A,FALSE,"Sheet1"}</definedName>
    <definedName function="false" hidden="false" localSheetId="8" name="W___0" vbProcedure="false">#REF!</definedName>
    <definedName function="false" hidden="false" localSheetId="8" name="W___12" vbProcedure="false">#REF!</definedName>
    <definedName function="false" hidden="false" localSheetId="8" name="W___14" vbProcedure="false">#REF!</definedName>
    <definedName function="false" hidden="false" localSheetId="8" name="W___16" vbProcedure="false">#REF!</definedName>
    <definedName function="false" hidden="false" localSheetId="8" name="W___2" vbProcedure="false">#REF!</definedName>
    <definedName function="false" hidden="false" localSheetId="8" name="W___25" vbProcedure="false">#REF!</definedName>
    <definedName function="false" hidden="false" localSheetId="8" name="W___26" vbProcedure="false">#REF!</definedName>
    <definedName function="false" hidden="false" localSheetId="8" name="W___27" vbProcedure="false">#REF!</definedName>
    <definedName function="false" hidden="false" localSheetId="8" name="W___4" vbProcedure="false">#REF!</definedName>
    <definedName function="false" hidden="false" localSheetId="8" name="W___5" vbProcedure="false">#REF!</definedName>
    <definedName function="false" hidden="false" localSheetId="8" name="W___7" vbProcedure="false">#REF!</definedName>
    <definedName function="false" hidden="false" localSheetId="8" name="X" vbProcedure="false">#REF!</definedName>
    <definedName function="false" hidden="false" localSheetId="8" name="xcdq" vbProcedure="false">{#N/A,#N/A,FALSE,"Outlook for Month ";#N/A,#N/A,FALSE,"Risk for Month ";#N/A,#N/A,FALSE,"Upside for Month"}</definedName>
    <definedName function="false" hidden="false" localSheetId="8" name="xcvxcvx" vbProcedure="false">#REF!</definedName>
    <definedName function="false" hidden="false" localSheetId="8" name="xf" vbProcedure="false">#REF!</definedName>
    <definedName function="false" hidden="false" localSheetId="8" name="XRefActiveRow" vbProcedure="false">#REF!</definedName>
    <definedName function="false" hidden="false" localSheetId="8" name="XRefCopy2Row" vbProcedure="false">#REF!</definedName>
    <definedName function="false" hidden="false" localSheetId="8" name="XRefPaste2Row" vbProcedure="false">#REF!</definedName>
    <definedName function="false" hidden="false" localSheetId="8" name="XRefPaste3Row" vbProcedure="false">#REF!</definedName>
    <definedName function="false" hidden="false" localSheetId="8" name="XRefPaste4Row" vbProcedure="false">#REF!</definedName>
    <definedName function="false" hidden="false" localSheetId="8" name="XRefPaste5Row" vbProcedure="false">#REF!</definedName>
    <definedName function="false" hidden="false" localSheetId="8" name="xv" vbProcedure="false">#REF!</definedName>
    <definedName function="false" hidden="false" localSheetId="8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8" name="xxxxx" vbProcedure="false">{#N/A,#N/A,FALSE,"CBE";#N/A,#N/A,FALSE,"SWK"}</definedName>
    <definedName function="false" hidden="false" localSheetId="8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X___12" vbProcedure="false">#REF!</definedName>
    <definedName function="false" hidden="false" localSheetId="8" name="X___2" vbProcedure="false">#REF!</definedName>
    <definedName function="false" hidden="false" localSheetId="8" name="X___25" vbProcedure="false">#REF!</definedName>
    <definedName function="false" hidden="false" localSheetId="8" name="X___26" vbProcedure="false">#REF!</definedName>
    <definedName function="false" hidden="false" localSheetId="8" name="X___4" vbProcedure="false">#REF!</definedName>
    <definedName function="false" hidden="false" localSheetId="8" name="X___6" vbProcedure="false">#REF!</definedName>
    <definedName function="false" hidden="false" localSheetId="8" name="X___7" vbProcedure="false">#REF!</definedName>
    <definedName function="false" hidden="false" localSheetId="8" name="yak" vbProcedure="false">#REF!</definedName>
    <definedName function="false" hidden="false" localSheetId="8" name="year" vbProcedure="false">#REF!</definedName>
    <definedName function="false" hidden="false" localSheetId="8" name="yfj" vbProcedure="false">{#N/A,#N/A,TRUE,"Cover sheet";#N/A,#N/A,TRUE,"INPUTS";#N/A,#N/A,TRUE,"OUTPUTS";#N/A,#N/A,TRUE,"VALUATION"}</definedName>
    <definedName function="false" hidden="false" localSheetId="8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yre" vbProcedure="false">{#N/A,#N/A,FALSE,"ORIX CSC"}</definedName>
    <definedName function="false" hidden="false" localSheetId="8" name="yutut" vbProcedure="false">#REF!</definedName>
    <definedName function="false" hidden="false" localSheetId="8" name="yuyuuyuyuyuyu" vbProcedure="false">{#N/A,#N/A,TRUE,"Cover sheet";#N/A,#N/A,TRUE,"DCF analysis";#N/A,#N/A,TRUE,"WACC calculation"}</definedName>
    <definedName function="false" hidden="false" localSheetId="8" name="yyyy" vbProcedure="false">#N/A</definedName>
    <definedName function="false" hidden="false" localSheetId="8" name="Z" vbProcedure="false">#REF!</definedName>
    <definedName function="false" hidden="false" localSheetId="8" name="ZA" vbProcedure="false">#REF!</definedName>
    <definedName function="false" hidden="false" localSheetId="8" name="ZAA" vbProcedure="false">#REF!</definedName>
    <definedName function="false" hidden="false" localSheetId="8" name="ZAAZAZ" vbProcedure="false">#REF!</definedName>
    <definedName function="false" hidden="false" localSheetId="8" name="ZAGOR" vbProcedure="false">#REF!</definedName>
    <definedName function="false" hidden="false" localSheetId="8" name="ZAGOR___0" vbProcedure="false">#REF!</definedName>
    <definedName function="false" hidden="false" localSheetId="8" name="ZAGOR___12" vbProcedure="false">#REF!</definedName>
    <definedName function="false" hidden="false" localSheetId="8" name="ZAGOR___14" vbProcedure="false">#REF!</definedName>
    <definedName function="false" hidden="false" localSheetId="8" name="ZAGOR___16" vbProcedure="false">#REF!</definedName>
    <definedName function="false" hidden="false" localSheetId="8" name="ZAGOR___2" vbProcedure="false">#REF!</definedName>
    <definedName function="false" hidden="false" localSheetId="8" name="ZAGOR___25" vbProcedure="false">#REF!</definedName>
    <definedName function="false" hidden="false" localSheetId="8" name="ZAGOR___26" vbProcedure="false">#REF!</definedName>
    <definedName function="false" hidden="false" localSheetId="8" name="ZAGOR___27" vbProcedure="false">#REF!</definedName>
    <definedName function="false" hidden="false" localSheetId="8" name="ZAGOR___4" vbProcedure="false">#REF!</definedName>
    <definedName function="false" hidden="false" localSheetId="8" name="ZAGOR___5" vbProcedure="false">#REF!</definedName>
    <definedName function="false" hidden="false" localSheetId="8" name="ZAGOR___7" vbProcedure="false">#REF!</definedName>
    <definedName function="false" hidden="false" localSheetId="8" name="ZAZA" vbProcedure="false">#REF!</definedName>
    <definedName function="false" hidden="false" localSheetId="8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zc" vbProcedure="false">{#N/A,#N/A,FALSE,"ORIX CSC"}</definedName>
    <definedName function="false" hidden="false" localSheetId="8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zedaqzd" vbProcedure="false">{#N/A,#N/A,FALSE,"Operations";#N/A,#N/A,FALSE,"Financials"}</definedName>
    <definedName function="false" hidden="false" localSheetId="8" name="zefz" vbProcedure="false">{"First Page",#N/A,FALSE,"Surfactants LBO";"Second Page",#N/A,FALSE,"Surfactants LBO"}</definedName>
    <definedName function="false" hidden="false" localSheetId="8" name="ZEGTQZE" vbProcedure="false">#REF!</definedName>
    <definedName function="false" hidden="false" localSheetId="8" name="zez" vbProcedure="false">#REF!</definedName>
    <definedName function="false" hidden="false" localSheetId="8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zg" vbProcedure="false">{#N/A,#N/A,FALSE,"Contribution Analysis"}</definedName>
    <definedName function="false" hidden="false" localSheetId="8" name="zh" vbProcedure="false">{"IS",#N/A,FALSE,"IS";"RPTIS",#N/A,FALSE,"RPTIS";"STATS",#N/A,FALSE,"STATS";"CELL",#N/A,FALSE,"CELL";"BS",#N/A,FALSE,"BS"}</definedName>
    <definedName function="false" hidden="false" localSheetId="8" name="zi" vbProcedure="false">{#N/A,#N/A,FALSE,"ORIX CSC"}</definedName>
    <definedName function="false" hidden="false" localSheetId="8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zl" vbProcedure="false">{"IS",#N/A,FALSE,"IS";"RPTIS",#N/A,FALSE,"RPTIS";"STATS",#N/A,FALSE,"STATS";"CELL",#N/A,FALSE,"CELL";"BS",#N/A,FALSE,"BS"}</definedName>
    <definedName function="false" hidden="false" localSheetId="8" name="zm" vbProcedure="false">{#N/A,#N/A,FALSE,"Contribution Analysis"}</definedName>
    <definedName function="false" hidden="false" localSheetId="8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zo" vbProcedure="false">{"orixcsc",#N/A,FALSE,"ORIX CSC";"orixcsc2",#N/A,FALSE,"ORIX CSC"}</definedName>
    <definedName function="false" hidden="false" localSheetId="8" name="zoneT" vbProcedure="false">#REF!</definedName>
    <definedName function="false" hidden="false" localSheetId="8" name="zonetri" vbProcedure="false">#REF!</definedName>
    <definedName function="false" hidden="false" localSheetId="8" name="zonetri2" vbProcedure="false">#REF!</definedName>
    <definedName function="false" hidden="false" localSheetId="8" name="Zone_impres_MI" vbProcedure="false">#REF!</definedName>
    <definedName function="false" hidden="false" localSheetId="8" name="Zone_impres_MI___12" vbProcedure="false">#REF!</definedName>
    <definedName function="false" hidden="false" localSheetId="8" name="Zone_impres_MI___2" vbProcedure="false">#REF!</definedName>
    <definedName function="false" hidden="false" localSheetId="8" name="Zone_impres_MI___25" vbProcedure="false">#REF!</definedName>
    <definedName function="false" hidden="false" localSheetId="8" name="Zone_impres_MI___26" vbProcedure="false">#REF!</definedName>
    <definedName function="false" hidden="false" localSheetId="8" name="Zone_impres_MI___4" vbProcedure="false">#REF!</definedName>
    <definedName function="false" hidden="false" localSheetId="8" name="Zone_impres_MI___6" vbProcedure="false">#REF!</definedName>
    <definedName function="false" hidden="false" localSheetId="8" name="Zone_impres_MI___7" vbProcedure="false">#REF!</definedName>
    <definedName function="false" hidden="false" localSheetId="8" name="zp" vbProcedure="false">{"IS",#N/A,FALSE,"IS";"RPTIS",#N/A,FALSE,"RPTIS";"STATS",#N/A,FALSE,"STATS";"CELL",#N/A,FALSE,"CELL";"BS",#N/A,FALSE,"BS"}</definedName>
    <definedName function="false" hidden="false" localSheetId="8" name="zq" vbProcedure="false">{"IS",#N/A,FALSE,"IS";"RPTIS",#N/A,FALSE,"RPTIS";"STATS",#N/A,FALSE,"STATS";"CELL",#N/A,FALSE,"CELL";"BS",#N/A,FALSE,"BS"}</definedName>
    <definedName function="false" hidden="false" localSheetId="8" name="zr" vbProcedure="false">{"IS",#N/A,FALSE,"IS";"RPTIS",#N/A,FALSE,"RPTIS";"STATS",#N/A,FALSE,"STATS";"BS",#N/A,FALSE,"BS"}</definedName>
    <definedName function="false" hidden="false" localSheetId="8" name="zreffze" vbProcedure="false">#REF!</definedName>
    <definedName function="false" hidden="false" localSheetId="8" name="zs" vbProcedure="false">{"subs",#N/A,FALSE,"database ";"proportional",#N/A,FALSE,"database "}</definedName>
    <definedName function="false" hidden="false" localSheetId="8" name="zt" vbProcedure="false">{"test2",#N/A,TRUE,"Prices"}</definedName>
    <definedName function="false" hidden="false" localSheetId="8" name="zu" vbProcedure="false">{"IS",#N/A,FALSE,"IS";"RPTIS",#N/A,FALSE,"RPTIS";"STATS",#N/A,FALSE,"STATS";"CELL",#N/A,FALSE,"CELL";"BS",#N/A,FALSE,"BS"}</definedName>
    <definedName function="false" hidden="false" localSheetId="8" name="zv" vbProcedure="false">{"subs",#N/A,FALSE,"database ";"proportional",#N/A,FALSE,"database "}</definedName>
    <definedName function="false" hidden="false" localSheetId="8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zx" vbProcedure="false">{"orixcsc",#N/A,FALSE,"ORIX CSC";"orixcsc2",#N/A,FALSE,"ORIX CSC"}</definedName>
    <definedName function="false" hidden="false" localSheetId="8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zzzz" vbProcedure="false">'Parc Mobile '!Tx_intérêt_par_an/#REF!</definedName>
    <definedName function="false" hidden="false" localSheetId="8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zzzzzzzz" vbProcedure="false">'Parc Mobile '!Tx_intérêt_par_an/#REF!</definedName>
    <definedName function="false" hidden="false" localSheetId="8" name="zzzz___0" vbProcedure="false">'Parc Mobile '!Tx_intérêt_par_an___0/#REF!</definedName>
    <definedName function="false" hidden="false" localSheetId="8" name="zzzz___12" vbProcedure="false">'Parc Mobile '!Tx_intérêt_par_an___12/#REF!</definedName>
    <definedName function="false" hidden="false" localSheetId="8" name="zzzz___14" vbProcedure="false">'Parc Mobile '!Tx_intérêt_par_an___14/#REF!</definedName>
    <definedName function="false" hidden="false" localSheetId="8" name="zzzz___16" vbProcedure="false">'Parc Mobile '!Tx_intérêt_par_an___16/#REF!</definedName>
    <definedName function="false" hidden="false" localSheetId="8" name="zzzz___2" vbProcedure="false">'Parc Mobile '!Tx_intérêt_par_an___2/#REF!</definedName>
    <definedName function="false" hidden="false" localSheetId="8" name="zzzz___23" vbProcedure="false">'Parc Mobile '!Tx_intérêt_par_an___0/#REF!</definedName>
    <definedName function="false" hidden="false" localSheetId="8" name="zzzz___25" vbProcedure="false">'Parc Mobile '!Tx_intérêt_par_an___25/#REF!</definedName>
    <definedName function="false" hidden="false" localSheetId="8" name="zzzz___26" vbProcedure="false">'Parc Mobile '!Tx_intérêt_par_an___26/#REF!</definedName>
    <definedName function="false" hidden="false" localSheetId="8" name="zzzz___27" vbProcedure="false">'Parc Mobile '!Tx_intérêt_par_an___27/#REF!</definedName>
    <definedName function="false" hidden="false" localSheetId="8" name="zzzz___3" vbProcedure="false">'Parc Mobile '!Tx_intérêt_par_an___0/#REF!</definedName>
    <definedName function="false" hidden="false" localSheetId="8" name="zzzz___4" vbProcedure="false">'Parc Mobile '!Tx_intérêt_par_an___4/#REF!</definedName>
    <definedName function="false" hidden="false" localSheetId="8" name="zzzz___5" vbProcedure="false">'Parc Mobile '!Tx_intérêt_par_an___5/#REF!</definedName>
    <definedName function="false" hidden="false" localSheetId="8" name="zzzz___7" vbProcedure="false">'Parc Mobile '!Tx_intérêt_par_an___7/#REF!</definedName>
    <definedName function="false" hidden="false" localSheetId="8" name="zzzz___9" vbProcedure="false">'Parc Mobile '!Tx_intérêt_par_an___0/#REF!</definedName>
    <definedName function="false" hidden="false" localSheetId="8" name="zzz___0" vbProcedure="false">'Parc Mobile '!Nb_de_paiements_par_an___0*#REF!</definedName>
    <definedName function="false" hidden="false" localSheetId="8" name="zzz___14" vbProcedure="false">'Parc Mobile '!Nb_de_paiements_par_an___14*#REF!</definedName>
    <definedName function="false" hidden="false" localSheetId="8" name="zzz___16" vbProcedure="false">'Parc Mobile '!Nb_de_paiements_par_an___16*#REF!</definedName>
    <definedName function="false" hidden="false" localSheetId="8" name="zzz___23" vbProcedure="false">'Parc Mobile '!Nb_de_paiements_par_an___0*#REF!</definedName>
    <definedName function="false" hidden="false" localSheetId="8" name="zzz___25" vbProcedure="false">'Parc Mobile '!Nb_de_paiements_par_an___0*#REF!</definedName>
    <definedName function="false" hidden="false" localSheetId="8" name="zzz___26" vbProcedure="false">'Parc Mobile '!Nb_de_paiements_par_an___0*#REF!</definedName>
    <definedName function="false" hidden="false" localSheetId="8" name="zzz___7" vbProcedure="false">'Parc Mobile '!Nb_de_paiements_par_an___0*#REF!</definedName>
    <definedName function="false" hidden="false" localSheetId="8" name="zzz___9" vbProcedure="false">'Parc Mobile '!Nb_de_paiements_par_an___0*#REF!</definedName>
    <definedName function="false" hidden="false" localSheetId="8" name="Z___12" vbProcedure="false">#REF!</definedName>
    <definedName function="false" hidden="false" localSheetId="8" name="Z___2" vbProcedure="false">#REF!</definedName>
    <definedName function="false" hidden="false" localSheetId="8" name="Z___25" vbProcedure="false">#REF!</definedName>
    <definedName function="false" hidden="false" localSheetId="8" name="Z___26" vbProcedure="false">#REF!</definedName>
    <definedName function="false" hidden="false" localSheetId="8" name="Z___4" vbProcedure="false">#REF!</definedName>
    <definedName function="false" hidden="false" localSheetId="8" name="Z___6" vbProcedure="false">#REF!</definedName>
    <definedName function="false" hidden="false" localSheetId="8" name="Z___7" vbProcedure="false">#REF!</definedName>
    <definedName function="false" hidden="false" localSheetId="8" name="\M" vbProcedure="false">#REF!</definedName>
    <definedName function="false" hidden="false" localSheetId="8" name="\p" vbProcedure="false">'[1]cur q v plan'!#ref!</definedName>
    <definedName function="false" hidden="false" localSheetId="8" name="_" vbProcedure="false">#REF!</definedName>
    <definedName function="false" hidden="false" localSheetId="8" name="_0" vbProcedure="false">#REF!</definedName>
    <definedName function="false" hidden="false" localSheetId="8" name="_0C" vbProcedure="false">#REF!</definedName>
    <definedName function="false" hidden="false" localSheetId="8" name="_0C___0" vbProcedure="false">#REF!</definedName>
    <definedName function="false" hidden="false" localSheetId="8" name="_0C___12" vbProcedure="false">#REF!</definedName>
    <definedName function="false" hidden="false" localSheetId="8" name="_0C___14" vbProcedure="false">#REF!</definedName>
    <definedName function="false" hidden="false" localSheetId="8" name="_0C___16" vbProcedure="false">#REF!</definedName>
    <definedName function="false" hidden="false" localSheetId="8" name="_0C___2" vbProcedure="false">#REF!</definedName>
    <definedName function="false" hidden="false" localSheetId="8" name="_0C___25" vbProcedure="false">#REF!</definedName>
    <definedName function="false" hidden="false" localSheetId="8" name="_0C___26" vbProcedure="false">#REF!</definedName>
    <definedName function="false" hidden="false" localSheetId="8" name="_0C___27" vbProcedure="false">#REF!</definedName>
    <definedName function="false" hidden="false" localSheetId="8" name="_0C___4" vbProcedure="false">#REF!</definedName>
    <definedName function="false" hidden="false" localSheetId="8" name="_0C___5" vbProcedure="false">#REF!</definedName>
    <definedName function="false" hidden="false" localSheetId="8" name="_0C___7" vbProcedure="false">#REF!</definedName>
    <definedName function="false" hidden="false" localSheetId="8" name="_0___0" vbProcedure="false">#REF!</definedName>
    <definedName function="false" hidden="false" localSheetId="8" name="_0___12" vbProcedure="false">#REF!</definedName>
    <definedName function="false" hidden="false" localSheetId="8" name="_0___14" vbProcedure="false">#REF!</definedName>
    <definedName function="false" hidden="false" localSheetId="8" name="_0___16" vbProcedure="false">#REF!</definedName>
    <definedName function="false" hidden="false" localSheetId="8" name="_0___2" vbProcedure="false">#REF!</definedName>
    <definedName function="false" hidden="false" localSheetId="8" name="_0___25" vbProcedure="false">#REF!</definedName>
    <definedName function="false" hidden="false" localSheetId="8" name="_0___26" vbProcedure="false">#REF!</definedName>
    <definedName function="false" hidden="false" localSheetId="8" name="_0___27" vbProcedure="false">#REF!</definedName>
    <definedName function="false" hidden="false" localSheetId="8" name="_0___4" vbProcedure="false">#REF!</definedName>
    <definedName function="false" hidden="false" localSheetId="8" name="_0___5" vbProcedure="false">#REF!</definedName>
    <definedName function="false" hidden="false" localSheetId="8" name="_0___7" vbProcedure="false">#REF!</definedName>
    <definedName function="false" hidden="false" localSheetId="8" name="_109__123Graph_LBL_ACHART_1" vbProcedure="false">[12]synthgraph!#ref!</definedName>
    <definedName function="false" hidden="false" localSheetId="8" name="_10_0__123Grap" vbProcedure="false">#REF!</definedName>
    <definedName function="false" hidden="false" localSheetId="8" name="_111__123Graph_LBL_ACHART_3" vbProcedure="false">#REF!</definedName>
    <definedName function="false" hidden="false" localSheetId="8" name="_11__123Graph_BCHART_1" vbProcedure="false">[12]synthgraph!#ref!</definedName>
    <definedName function="false" hidden="false" localSheetId="8" name="_129__123Graph_LBL_DCHART_1" vbProcedure="false">[12]synthgraph!#ref!</definedName>
    <definedName function="false" hidden="false" localSheetId="8" name="_13_0__123Grap" vbProcedure="false">#REF!</definedName>
    <definedName function="false" hidden="false" localSheetId="8" name="_13__123Graph_BCHART_3" vbProcedure="false">#REF!</definedName>
    <definedName function="false" hidden="false" localSheetId="8" name="_17__123Graph_DCHART_1" vbProcedure="false">[12]synthgraph!#ref!</definedName>
    <definedName function="false" hidden="false" localSheetId="8" name="_18_0__123Grap" vbProcedure="false">#REF!</definedName>
    <definedName function="false" hidden="false" localSheetId="8" name="_1993" vbProcedure="false">'[1]cur q v plan'!#ref!</definedName>
    <definedName function="false" hidden="false" localSheetId="8" name="_19_0__123Grap" vbProcedure="false">#REF!</definedName>
    <definedName function="false" hidden="false" localSheetId="8" name="_1_" vbProcedure="false">#REF!</definedName>
    <definedName function="false" hidden="false" localSheetId="8" name="_1_1_97_Balance" vbProcedure="false">#REF!</definedName>
    <definedName function="false" hidden="false" localSheetId="8" name="_200" vbProcedure="false">#REF!</definedName>
    <definedName function="false" hidden="false" localSheetId="8" name="_200___0" vbProcedure="false">#REF!</definedName>
    <definedName function="false" hidden="false" localSheetId="8" name="_200___12" vbProcedure="false">#REF!</definedName>
    <definedName function="false" hidden="false" localSheetId="8" name="_200___14" vbProcedure="false">#REF!</definedName>
    <definedName function="false" hidden="false" localSheetId="8" name="_200___16" vbProcedure="false">#REF!</definedName>
    <definedName function="false" hidden="false" localSheetId="8" name="_200___2" vbProcedure="false">#REF!</definedName>
    <definedName function="false" hidden="false" localSheetId="8" name="_200___25" vbProcedure="false">#REF!</definedName>
    <definedName function="false" hidden="false" localSheetId="8" name="_200___26" vbProcedure="false">#REF!</definedName>
    <definedName function="false" hidden="false" localSheetId="8" name="_200___27" vbProcedure="false">#REF!</definedName>
    <definedName function="false" hidden="false" localSheetId="8" name="_200___4" vbProcedure="false">#REF!</definedName>
    <definedName function="false" hidden="false" localSheetId="8" name="_200___5" vbProcedure="false">#REF!</definedName>
    <definedName function="false" hidden="false" localSheetId="8" name="_200___7" vbProcedure="false">#REF!</definedName>
    <definedName function="false" hidden="false" localSheetId="8" name="_20__123Graph_LBL_ACHART_1" vbProcedure="false">[12]synthgraph!#ref!</definedName>
    <definedName function="false" hidden="false" localSheetId="8" name="_211_I_1_6" vbProcedure="false">#REF!</definedName>
    <definedName function="false" hidden="false" localSheetId="8" name="_212" vbProcedure="false">#REF!</definedName>
    <definedName function="false" hidden="false" localSheetId="8" name="_212___0" vbProcedure="false">#REF!</definedName>
    <definedName function="false" hidden="false" localSheetId="8" name="_212___12" vbProcedure="false">#REF!</definedName>
    <definedName function="false" hidden="false" localSheetId="8" name="_212___14" vbProcedure="false">#REF!</definedName>
    <definedName function="false" hidden="false" localSheetId="8" name="_212___16" vbProcedure="false">#REF!</definedName>
    <definedName function="false" hidden="false" localSheetId="8" name="_212___2" vbProcedure="false">#REF!</definedName>
    <definedName function="false" hidden="false" localSheetId="8" name="_212___25" vbProcedure="false">#REF!</definedName>
    <definedName function="false" hidden="false" localSheetId="8" name="_212___26" vbProcedure="false">#REF!</definedName>
    <definedName function="false" hidden="false" localSheetId="8" name="_212___27" vbProcedure="false">#REF!</definedName>
    <definedName function="false" hidden="false" localSheetId="8" name="_212___4" vbProcedure="false">#REF!</definedName>
    <definedName function="false" hidden="false" localSheetId="8" name="_212___5" vbProcedure="false">#REF!</definedName>
    <definedName function="false" hidden="false" localSheetId="8" name="_212___7" vbProcedure="false">#REF!</definedName>
    <definedName function="false" hidden="false" localSheetId="8" name="_214" vbProcedure="false">#REF!</definedName>
    <definedName function="false" hidden="false" localSheetId="8" name="_214___0" vbProcedure="false">#REF!</definedName>
    <definedName function="false" hidden="false" localSheetId="8" name="_214___12" vbProcedure="false">#REF!</definedName>
    <definedName function="false" hidden="false" localSheetId="8" name="_214___14" vbProcedure="false">#REF!</definedName>
    <definedName function="false" hidden="false" localSheetId="8" name="_214___16" vbProcedure="false">#REF!</definedName>
    <definedName function="false" hidden="false" localSheetId="8" name="_214___2" vbProcedure="false">#REF!</definedName>
    <definedName function="false" hidden="false" localSheetId="8" name="_214___25" vbProcedure="false">#REF!</definedName>
    <definedName function="false" hidden="false" localSheetId="8" name="_214___26" vbProcedure="false">#REF!</definedName>
    <definedName function="false" hidden="false" localSheetId="8" name="_214___27" vbProcedure="false">#REF!</definedName>
    <definedName function="false" hidden="false" localSheetId="8" name="_214___4" vbProcedure="false">#REF!</definedName>
    <definedName function="false" hidden="false" localSheetId="8" name="_214___5" vbProcedure="false">#REF!</definedName>
    <definedName function="false" hidden="false" localSheetId="8" name="_214___7" vbProcedure="false">#REF!</definedName>
    <definedName function="false" hidden="false" localSheetId="8" name="_216" vbProcedure="false">#REF!</definedName>
    <definedName function="false" hidden="false" localSheetId="8" name="_216___0" vbProcedure="false">#REF!</definedName>
    <definedName function="false" hidden="false" localSheetId="8" name="_216___12" vbProcedure="false">#REF!</definedName>
    <definedName function="false" hidden="false" localSheetId="8" name="_216___14" vbProcedure="false">#REF!</definedName>
    <definedName function="false" hidden="false" localSheetId="8" name="_216___16" vbProcedure="false">#REF!</definedName>
    <definedName function="false" hidden="false" localSheetId="8" name="_216___2" vbProcedure="false">#REF!</definedName>
    <definedName function="false" hidden="false" localSheetId="8" name="_216___25" vbProcedure="false">#REF!</definedName>
    <definedName function="false" hidden="false" localSheetId="8" name="_216___26" vbProcedure="false">#REF!</definedName>
    <definedName function="false" hidden="false" localSheetId="8" name="_216___27" vbProcedure="false">#REF!</definedName>
    <definedName function="false" hidden="false" localSheetId="8" name="_216___4" vbProcedure="false">#REF!</definedName>
    <definedName function="false" hidden="false" localSheetId="8" name="_216___5" vbProcedure="false">#REF!</definedName>
    <definedName function="false" hidden="false" localSheetId="8" name="_216___7" vbProcedure="false">#REF!</definedName>
    <definedName function="false" hidden="false" localSheetId="8" name="_22_0__123Grap" vbProcedure="false">#REF!</definedName>
    <definedName function="false" hidden="false" localSheetId="8" name="_22__123Graph_LBL_ACHART_3" vbProcedure="false">#REF!</definedName>
    <definedName function="false" hidden="false" localSheetId="8" name="_232_IV_3_1" vbProcedure="false">#REF!</definedName>
    <definedName function="false" hidden="false" localSheetId="8" name="_24__123Graph_LBL_DCHART_1" vbProcedure="false">[12]synthgraph!#ref!</definedName>
    <definedName function="false" hidden="false" localSheetId="8" name="_27_0" vbProcedure="false">#REF!</definedName>
    <definedName function="false" hidden="false" localSheetId="8" name="_2C" vbProcedure="false">#REF!</definedName>
    <definedName function="false" hidden="false" localSheetId="8" name="_2C___0" vbProcedure="false">#REF!</definedName>
    <definedName function="false" hidden="false" localSheetId="8" name="_2C___12" vbProcedure="false">#REF!</definedName>
    <definedName function="false" hidden="false" localSheetId="8" name="_2C___14" vbProcedure="false">#REF!</definedName>
    <definedName function="false" hidden="false" localSheetId="8" name="_2C___16" vbProcedure="false">#REF!</definedName>
    <definedName function="false" hidden="false" localSheetId="8" name="_2C___2" vbProcedure="false">#REF!</definedName>
    <definedName function="false" hidden="false" localSheetId="8" name="_2C___25" vbProcedure="false">#REF!</definedName>
    <definedName function="false" hidden="false" localSheetId="8" name="_2C___26" vbProcedure="false">#REF!</definedName>
    <definedName function="false" hidden="false" localSheetId="8" name="_2C___27" vbProcedure="false">#REF!</definedName>
    <definedName function="false" hidden="false" localSheetId="8" name="_2C___4" vbProcedure="false">#REF!</definedName>
    <definedName function="false" hidden="false" localSheetId="8" name="_2C___5" vbProcedure="false">#REF!</definedName>
    <definedName function="false" hidden="false" localSheetId="8" name="_2C___7" vbProcedure="false">#REF!</definedName>
    <definedName function="false" hidden="false" localSheetId="8" name="_2_" vbProcedure="false">#REF!</definedName>
    <definedName function="false" hidden="false" localSheetId="8" name="_3" vbProcedure="false">#REF!</definedName>
    <definedName function="false" hidden="false" localSheetId="8" name="_30__123Graph_ACHART_1" vbProcedure="false">[12]synthgraph!#ref!</definedName>
    <definedName function="false" hidden="false" localSheetId="8" name="_32__123Graph_ACHART_1" vbProcedure="false">[12]synthgraph!#ref!</definedName>
    <definedName function="false" hidden="false" localSheetId="8" name="_32__123Graph_ACHART_3" vbProcedure="false">#REF!</definedName>
    <definedName function="false" hidden="false" localSheetId="8" name="_34__123Graph_ACHART_3" vbProcedure="false">#REF!</definedName>
    <definedName function="false" hidden="false" localSheetId="8" name="_34__123Graph_BCHART_1" vbProcedure="false">[12]synthgraph!#ref!</definedName>
    <definedName function="false" hidden="false" localSheetId="8" name="_36__123Graph_BCHART_3" vbProcedure="false">#REF!</definedName>
    <definedName function="false" hidden="false" localSheetId="8" name="_37_0__123Grap" vbProcedure="false">#REF!</definedName>
    <definedName function="false" hidden="false" localSheetId="8" name="_39_0__123Grap" vbProcedure="false">#REF!</definedName>
    <definedName function="false" hidden="false" localSheetId="8" name="_3_" vbProcedure="false">#REF!</definedName>
    <definedName function="false" hidden="false" localSheetId="8" name="_3_123Grap" vbProcedure="false">#REF!</definedName>
    <definedName function="false" hidden="false" localSheetId="8" name="_3___12" vbProcedure="false">#REF!</definedName>
    <definedName function="false" hidden="false" localSheetId="8" name="_40__123Graph_DCHART_1" vbProcedure="false">[12]synthgraph!#ref!</definedName>
    <definedName function="false" hidden="false" localSheetId="8" name="_43__123Graph_LBL_ACHART_1" vbProcedure="false">[12]synthgraph!#ref!</definedName>
    <definedName function="false" hidden="false" localSheetId="8" name="_45__123Graph_LBL_ACHART_3" vbProcedure="false">#REF!</definedName>
    <definedName function="false" hidden="false" localSheetId="8" name="_47_1BudgetPôleFixe03" vbProcedure="false">#REF!</definedName>
    <definedName function="false" hidden="false" localSheetId="8" name="_47__123Graph_LBL_DCHART_1" vbProcedure="false">[12]synthgraph!#ref!</definedName>
    <definedName function="false" hidden="false" localSheetId="8" name="_4C" vbProcedure="false">#REF!</definedName>
    <definedName function="false" hidden="false" localSheetId="8" name="_4C___0" vbProcedure="false">#REF!</definedName>
    <definedName function="false" hidden="false" localSheetId="8" name="_4C___12" vbProcedure="false">#REF!</definedName>
    <definedName function="false" hidden="false" localSheetId="8" name="_4C___14" vbProcedure="false">#REF!</definedName>
    <definedName function="false" hidden="false" localSheetId="8" name="_4C___16" vbProcedure="false">#REF!</definedName>
    <definedName function="false" hidden="false" localSheetId="8" name="_4C___2" vbProcedure="false">#REF!</definedName>
    <definedName function="false" hidden="false" localSheetId="8" name="_4C___25" vbProcedure="false">#REF!</definedName>
    <definedName function="false" hidden="false" localSheetId="8" name="_4C___26" vbProcedure="false">#REF!</definedName>
    <definedName function="false" hidden="false" localSheetId="8" name="_4C___27" vbProcedure="false">#REF!</definedName>
    <definedName function="false" hidden="false" localSheetId="8" name="_4C___4" vbProcedure="false">#REF!</definedName>
    <definedName function="false" hidden="false" localSheetId="8" name="_4C___5" vbProcedure="false">#REF!</definedName>
    <definedName function="false" hidden="false" localSheetId="8" name="_4C___7" vbProcedure="false">#REF!</definedName>
    <definedName function="false" hidden="false" localSheetId="8" name="_50S" vbProcedure="false">#REF!</definedName>
    <definedName function="false" hidden="false" localSheetId="8" name="_52__123Graph_BCHART_1" vbProcedure="false">[12]synthgraph!#ref!</definedName>
    <definedName function="false" hidden="false" localSheetId="8" name="_53___0__123Grap" vbProcedure="false">#REF!</definedName>
    <definedName function="false" hidden="false" localSheetId="8" name="_54__123Graph_BCHART_3" vbProcedure="false">#REF!</definedName>
    <definedName function="false" hidden="false" localSheetId="8" name="_5_0__123Grap" vbProcedure="false">#REF!</definedName>
    <definedName function="false" hidden="false" localSheetId="8" name="_5_123Grap" vbProcedure="false">#REF!</definedName>
    <definedName function="false" hidden="false" localSheetId="8" name="_61220100" vbProcedure="false">#REF!</definedName>
    <definedName function="false" hidden="false" localSheetId="8" name="_61220200" vbProcedure="false">#REF!</definedName>
    <definedName function="false" hidden="false" localSheetId="8" name="_6133_1_3" vbProcedure="false">#REF!</definedName>
    <definedName function="false" hidden="false" localSheetId="8" name="_63" vbProcedure="false">#REF!</definedName>
    <definedName function="false" hidden="false" localSheetId="8" name="_63___12" vbProcedure="false">#REF!</definedName>
    <definedName function="false" hidden="false" localSheetId="8" name="_657_0__123Grap" vbProcedure="false">#REF!</definedName>
    <definedName function="false" hidden="false" localSheetId="8" name="_658_0__123Grap" vbProcedure="false">#REF!</definedName>
    <definedName function="false" hidden="false" localSheetId="8" name="_659_0__123Grap" vbProcedure="false">#REF!</definedName>
    <definedName function="false" hidden="false" localSheetId="8" name="_660_0__123Grap" vbProcedure="false">#REF!</definedName>
    <definedName function="false" hidden="false" localSheetId="8" name="_6C" vbProcedure="false">#REF!</definedName>
    <definedName function="false" hidden="false" localSheetId="8" name="_6C___0" vbProcedure="false">#REF!</definedName>
    <definedName function="false" hidden="false" localSheetId="8" name="_6C___12" vbProcedure="false">#REF!</definedName>
    <definedName function="false" hidden="false" localSheetId="8" name="_6C___14" vbProcedure="false">#REF!</definedName>
    <definedName function="false" hidden="false" localSheetId="8" name="_6C___16" vbProcedure="false">#REF!</definedName>
    <definedName function="false" hidden="false" localSheetId="8" name="_6C___2" vbProcedure="false">#REF!</definedName>
    <definedName function="false" hidden="false" localSheetId="8" name="_6C___25" vbProcedure="false">#REF!</definedName>
    <definedName function="false" hidden="false" localSheetId="8" name="_6C___26" vbProcedure="false">#REF!</definedName>
    <definedName function="false" hidden="false" localSheetId="8" name="_6C___27" vbProcedure="false">#REF!</definedName>
    <definedName function="false" hidden="false" localSheetId="8" name="_6C___4" vbProcedure="false">#REF!</definedName>
    <definedName function="false" hidden="false" localSheetId="8" name="_6C___5" vbProcedure="false">#REF!</definedName>
    <definedName function="false" hidden="false" localSheetId="8" name="_6C___7" vbProcedure="false">#REF!</definedName>
    <definedName function="false" hidden="false" localSheetId="8" name="_6_0__123Grap" vbProcedure="false">#REF!</definedName>
    <definedName function="false" hidden="false" localSheetId="8" name="_76_0__123Grap" vbProcedure="false">#REF!</definedName>
    <definedName function="false" hidden="false" localSheetId="8" name="_7_0__123Grap" vbProcedure="false">#REF!</definedName>
    <definedName function="false" hidden="false" localSheetId="8" name="_7__123Graph_ACHART_1" vbProcedure="false">[12]synthgraph!#ref!</definedName>
    <definedName function="false" hidden="false" localSheetId="8" name="_90__123Graph_DCHART_1" vbProcedure="false">[12]synthgraph!#ref!</definedName>
    <definedName function="false" hidden="false" localSheetId="8" name="_94" vbProcedure="false">#REF!</definedName>
    <definedName function="false" hidden="false" localSheetId="8" name="_94___0" vbProcedure="false">#REF!</definedName>
    <definedName function="false" hidden="false" localSheetId="8" name="_94___12" vbProcedure="false">#REF!</definedName>
    <definedName function="false" hidden="false" localSheetId="8" name="_94___14" vbProcedure="false">#REF!</definedName>
    <definedName function="false" hidden="false" localSheetId="8" name="_94___16" vbProcedure="false">#REF!</definedName>
    <definedName function="false" hidden="false" localSheetId="8" name="_94___2" vbProcedure="false">#REF!</definedName>
    <definedName function="false" hidden="false" localSheetId="8" name="_94___25" vbProcedure="false">#REF!</definedName>
    <definedName function="false" hidden="false" localSheetId="8" name="_94___26" vbProcedure="false">#REF!</definedName>
    <definedName function="false" hidden="false" localSheetId="8" name="_94___27" vbProcedure="false">#REF!</definedName>
    <definedName function="false" hidden="false" localSheetId="8" name="_94___4" vbProcedure="false">#REF!</definedName>
    <definedName function="false" hidden="false" localSheetId="8" name="_94___5" vbProcedure="false">#REF!</definedName>
    <definedName function="false" hidden="false" localSheetId="8" name="_94___7" vbProcedure="false">#REF!</definedName>
    <definedName function="false" hidden="false" localSheetId="8" name="_9__123Graph_ACHART_3" vbProcedure="false">#REF!</definedName>
    <definedName function="false" hidden="false" localSheetId="8" name="_aaa1" vbProcedure="false">#REF!</definedName>
    <definedName function="false" hidden="false" localSheetId="8" name="_aaa2" vbProcedure="false">#REF!</definedName>
    <definedName function="false" hidden="false" localSheetId="8" name="_aaa3" vbProcedure="false">#REF!</definedName>
    <definedName function="false" hidden="false" localSheetId="8" name="_aaa4" vbProcedure="false">#REF!</definedName>
    <definedName function="false" hidden="false" localSheetId="8" name="_aaa5" vbProcedure="false">#REF!</definedName>
    <definedName function="false" hidden="false" localSheetId="8" name="_aaa6" vbProcedure="false">#REF!</definedName>
    <definedName function="false" hidden="false" localSheetId="8" name="_aaa7" vbProcedure="false">#REF!</definedName>
    <definedName function="false" hidden="false" localSheetId="8" name="_aaa8" vbProcedure="false">#REF!</definedName>
    <definedName function="false" hidden="false" localSheetId="8" name="_ASP4" vbProcedure="false">#REF!</definedName>
    <definedName function="false" hidden="false" localSheetId="8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bdm.00C0D9EF8BE14012A7E563CDFAAFF67A.edm" vbProcedure="false">#REF!</definedName>
    <definedName function="false" hidden="false" localSheetId="8" name="_bdm.02AA2180B0084723AFFC9E4E6DA538AC.edm" vbProcedure="false">#REF!</definedName>
    <definedName function="false" hidden="false" localSheetId="8" name="_bdm.02EFED87DA6B440DAF356A06EA8CCE6D.edm" vbProcedure="false">#REF!</definedName>
    <definedName function="false" hidden="false" localSheetId="8" name="_bdm.053252EB6ED04855BFE51C3EB0837A6B.edm" vbProcedure="false">#REF!</definedName>
    <definedName function="false" hidden="false" localSheetId="8" name="_bdm.0883F6F83E204B74B7DD1E975DA13ADD.edm" vbProcedure="false">#REF!</definedName>
    <definedName function="false" hidden="false" localSheetId="8" name="_bdm.08E492A671284214AD982BEB208B8F93.edm" vbProcedure="false">#REF!</definedName>
    <definedName function="false" hidden="false" localSheetId="8" name="_bdm.09187C12D1CE45F193AE198DD6AE884F.edm" vbProcedure="false">#REF!</definedName>
    <definedName function="false" hidden="false" localSheetId="8" name="_bdm.0A4C5DE597874549B190FD467C6A1CC4.edm" vbProcedure="false">#REF!</definedName>
    <definedName function="false" hidden="false" localSheetId="8" name="_bdm.0EBC0B70D2854C038F08EFF978C7C67A.edm" vbProcedure="false">#REF!</definedName>
    <definedName function="false" hidden="false" localSheetId="8" name="_bdm.15890F25A4484043AF3AE51860B59A14.edm" vbProcedure="false">#REF!</definedName>
    <definedName function="false" hidden="false" localSheetId="8" name="_bdm.170C77E1E37E4B33A5A3F1CF661EAD22.edm" vbProcedure="false">#REF!</definedName>
    <definedName function="false" hidden="false" localSheetId="8" name="_bdm.18396CE513024A30AA8A76234D5FEFD0.edm" vbProcedure="false">#REF!</definedName>
    <definedName function="false" hidden="false" localSheetId="8" name="_bdm.2362C0156C8048FAA2961453BD7C4BCE.edm" vbProcedure="false">#REF!</definedName>
    <definedName function="false" hidden="false" localSheetId="8" name="_bdm.29102105AB86426CAAC299DD444B5E4D.edm" vbProcedure="false">#REF!</definedName>
    <definedName function="false" hidden="false" localSheetId="8" name="_bdm.2A38C861995B46C8991A97EA5A948A78.edm" vbProcedure="false">#REF!</definedName>
    <definedName function="false" hidden="false" localSheetId="8" name="_bdm.2CBA471E682C48A3A10CD1024A462351.edm" vbProcedure="false">#REF!</definedName>
    <definedName function="false" hidden="false" localSheetId="8" name="_bdm.2D161A2B7C76497F9F6D027C12375384.edm" vbProcedure="false">#REF!</definedName>
    <definedName function="false" hidden="false" localSheetId="8" name="_bdm.2F477F25EFBE4C9BB3E9EC617CD64545.edm" vbProcedure="false">#REF!</definedName>
    <definedName function="false" hidden="false" localSheetId="8" name="_bdm.304F174C8384432A9C14069F554DBEC0.edm" vbProcedure="false">#REF!</definedName>
    <definedName function="false" hidden="false" localSheetId="8" name="_bdm.31B8759EFE3D47B3BC99BC433F195FBF.edm" vbProcedure="false">#REF!</definedName>
    <definedName function="false" hidden="false" localSheetId="8" name="_bdm.3BBFE8DA33C7499691935804E68E6B0C.edm" vbProcedure="false">#REF!</definedName>
    <definedName function="false" hidden="false" localSheetId="8" name="_bdm.49565BF5FF794C539DBC82076000DC4B.edm" vbProcedure="false">#REF!</definedName>
    <definedName function="false" hidden="false" localSheetId="8" name="_bdm.4A2A91CF59154905B89117F8831531D4.edm" vbProcedure="false">#REF!</definedName>
    <definedName function="false" hidden="false" localSheetId="8" name="_bdm.4B0774CF4D7546338C029DACD0AC04AF.edm" vbProcedure="false">#REF!</definedName>
    <definedName function="false" hidden="false" localSheetId="8" name="_bdm.560CC529085E43E4B75093E97034EB37.edm" vbProcedure="false">#REF!</definedName>
    <definedName function="false" hidden="false" localSheetId="8" name="_bdm.56F75FC2606341CFA60722E4964A61ED.edm" vbProcedure="false">#REF!</definedName>
    <definedName function="false" hidden="false" localSheetId="8" name="_bdm.5B9FA6AD16274AF0A7F1EA71741F6425.edm" vbProcedure="false">#REF!</definedName>
    <definedName function="false" hidden="false" localSheetId="8" name="_bdm.60AC218AF8CD42C485087DD4F01F6F68.edm" vbProcedure="false">#REF!</definedName>
    <definedName function="false" hidden="false" localSheetId="8" name="_bdm.66391AB36C3E40E8A357D2E91544AB4E.edm" vbProcedure="false">#REF!</definedName>
    <definedName function="false" hidden="false" localSheetId="8" name="_bdm.6E930F29C2E446FCB48CC686615AEB29.edm" vbProcedure="false">#REF!</definedName>
    <definedName function="false" hidden="false" localSheetId="8" name="_bdm.72BD0D0733C3441895C8CE1A7032FD8C.edm" vbProcedure="false">#REF!</definedName>
    <definedName function="false" hidden="false" localSheetId="8" name="_bdm.798B66F4737D405D8E166AD903AD9133.edm" vbProcedure="false">#REF!</definedName>
    <definedName function="false" hidden="false" localSheetId="8" name="_bdm.7AAACA4672FE4AABB120B35F1F6BF722.edm" vbProcedure="false">#REF!</definedName>
    <definedName function="false" hidden="false" localSheetId="8" name="_bdm.7B7617E2CF8F4F46B33C5D7AD69D1EB7.edm" vbProcedure="false">#REF!</definedName>
    <definedName function="false" hidden="false" localSheetId="8" name="_bdm.978AA887B7A0409D9BEB94DDCF92946A.edm" vbProcedure="false">#REF!</definedName>
    <definedName function="false" hidden="false" localSheetId="8" name="_bdm.9ACBBA07335647B59AADC13E50D1989D.edm" vbProcedure="false">#REF!</definedName>
    <definedName function="false" hidden="false" localSheetId="8" name="_bdm.9E068CDE91E2433BBDF7C764830C46CA.edm" vbProcedure="false">#REF!</definedName>
    <definedName function="false" hidden="false" localSheetId="8" name="_bdm.A28A9FABA82C4BC0ABDC9477F55B7009.edm" vbProcedure="false">#REF!</definedName>
    <definedName function="false" hidden="false" localSheetId="8" name="_bdm.A34D1CF0DB9D498B8FD69EF70C6190B9.edm" vbProcedure="false">#REF!</definedName>
    <definedName function="false" hidden="false" localSheetId="8" name="_bdm.A3ACD61AA97041CDB0D389B5A3B28566.edm" vbProcedure="false">#REF!</definedName>
    <definedName function="false" hidden="false" localSheetId="8" name="_bdm.BB237A5F4F0D4DD1B8979E5B117F89E3.edm" vbProcedure="false">#REF!</definedName>
    <definedName function="false" hidden="false" localSheetId="8" name="_bdm.BCBEAFDCF30E4D8FA746679BF86222DE.edm" vbProcedure="false">#REF!</definedName>
    <definedName function="false" hidden="false" localSheetId="8" name="_bdm.BCDC6A4BFB8F4261AAF69A1910BBFFAB.edm" vbProcedure="false">#REF!</definedName>
    <definedName function="false" hidden="false" localSheetId="8" name="_bdm.BF193DFCE64E4F0D81685B0562859DB2.edm" vbProcedure="false">#REF!</definedName>
    <definedName function="false" hidden="false" localSheetId="8" name="_bdm.C372A35933EB401BA3A6EC0685403139.edm" vbProcedure="false">#REF!</definedName>
    <definedName function="false" hidden="false" localSheetId="8" name="_bdm.C7A1F3F634A74A0F9EC4B07D8DBC668B.edm" vbProcedure="false">#REF!</definedName>
    <definedName function="false" hidden="false" localSheetId="8" name="_bdm.C86D533D5E914EB487C2080BF18E83E4.edm" vbProcedure="false">#REF!</definedName>
    <definedName function="false" hidden="false" localSheetId="8" name="_bdm.C935CBCFCC734F7AB9CA5D1103224C93.edm" vbProcedure="false">#REF!</definedName>
    <definedName function="false" hidden="false" localSheetId="8" name="_bdm.CDA74E3D7FAC4579B204406FAE55AE99.edm" vbProcedure="false">#REF!</definedName>
    <definedName function="false" hidden="false" localSheetId="8" name="_bdm.D68F0F579E0F4D9F8EDE01C05C8CBDCB.edm" vbProcedure="false">#REF!</definedName>
    <definedName function="false" hidden="false" localSheetId="8" name="_bdm.DB7A4686E71E4C1FA433BF1FC8CD0FF0.edm" vbProcedure="false">#REF!</definedName>
    <definedName function="false" hidden="false" localSheetId="8" name="_bdm.DCF303DB6FEF4A7D95C8B1A06C3EDA7D.edm" vbProcedure="false">#REF!</definedName>
    <definedName function="false" hidden="false" localSheetId="8" name="_bdm.E11B1C5716184E2EAE2F8DCD87BD458E.edm" vbProcedure="false">#REF!</definedName>
    <definedName function="false" hidden="false" localSheetId="8" name="_bdm.EBAC93D9B4434258968CD782605A4122.edm" vbProcedure="false">#REF!</definedName>
    <definedName function="false" hidden="false" localSheetId="8" name="_bdm.ECF6D3394DBF44B7ABC5637DE6403FE6.edm" vbProcedure="false">#REF!</definedName>
    <definedName function="false" hidden="false" localSheetId="8" name="_bdm.F18B3776FEAF4F7AA1587EB080776343.edm" vbProcedure="false">#REF!</definedName>
    <definedName function="false" hidden="false" localSheetId="8" name="_bdm.F44AE91BFA0E46E8889BCA3BF81CDCFF.edm" vbProcedure="false">#REF!</definedName>
    <definedName function="false" hidden="false" localSheetId="8" name="_c20041" vbProcedure="false">#REF!</definedName>
    <definedName function="false" hidden="false" localSheetId="8" name="_CAT4" vbProcedure="false">#REF!</definedName>
    <definedName function="false" hidden="false" localSheetId="8" name="_Co50" vbProcedure="false">{#N/A,"DR",FALSE,"increm pf";#N/A,"MAMSI",FALSE,"increm pf";#N/A,"MAXI",FALSE,"increm pf";#N/A,"PCAM",FALSE,"increm pf";#N/A,"PHSV",FALSE,"increm pf";#N/A,"SIE",FALSE,"increm pf"}</definedName>
    <definedName function="false" hidden="false" localSheetId="8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8" name="_DAT1" vbProcedure="false">#REF!</definedName>
    <definedName function="false" hidden="false" localSheetId="8" name="_DAT10" vbProcedure="false">#REF!</definedName>
    <definedName function="false" hidden="false" localSheetId="8" name="_DAT11" vbProcedure="false">#REF!</definedName>
    <definedName function="false" hidden="false" localSheetId="8" name="_DAT12" vbProcedure="false">#REF!</definedName>
    <definedName function="false" hidden="false" localSheetId="8" name="_DAT13" vbProcedure="false">#REF!</definedName>
    <definedName function="false" hidden="false" localSheetId="8" name="_DAT14" vbProcedure="false">#REF!</definedName>
    <definedName function="false" hidden="false" localSheetId="8" name="_DAT15" vbProcedure="false">#REF!</definedName>
    <definedName function="false" hidden="false" localSheetId="8" name="_DAT16" vbProcedure="false">#REF!</definedName>
    <definedName function="false" hidden="false" localSheetId="8" name="_DAT17" vbProcedure="false">#REF!</definedName>
    <definedName function="false" hidden="false" localSheetId="8" name="_DAT18" vbProcedure="false">#REF!</definedName>
    <definedName function="false" hidden="false" localSheetId="8" name="_DAT19" vbProcedure="false">#REF!</definedName>
    <definedName function="false" hidden="false" localSheetId="8" name="_DAT2" vbProcedure="false">#REF!</definedName>
    <definedName function="false" hidden="false" localSheetId="8" name="_DAT21" vbProcedure="false">#REF!</definedName>
    <definedName function="false" hidden="false" localSheetId="8" name="_DAT22" vbProcedure="false">#REF!</definedName>
    <definedName function="false" hidden="false" localSheetId="8" name="_DAT23" vbProcedure="false">#REF!</definedName>
    <definedName function="false" hidden="false" localSheetId="8" name="_DAT24" vbProcedure="false">#REF!</definedName>
    <definedName function="false" hidden="false" localSheetId="8" name="_DAT25" vbProcedure="false">#REF!</definedName>
    <definedName function="false" hidden="false" localSheetId="8" name="_DAT26" vbProcedure="false">#REF!</definedName>
    <definedName function="false" hidden="false" localSheetId="8" name="_DAT27" vbProcedure="false">#REF!</definedName>
    <definedName function="false" hidden="false" localSheetId="8" name="_DAT3" vbProcedure="false">#REF!</definedName>
    <definedName function="false" hidden="false" localSheetId="8" name="_DAT4" vbProcedure="false">#REF!</definedName>
    <definedName function="false" hidden="false" localSheetId="8" name="_DAT5" vbProcedure="false">#REF!</definedName>
    <definedName function="false" hidden="false" localSheetId="8" name="_DAT6" vbProcedure="false">#REF!</definedName>
    <definedName function="false" hidden="false" localSheetId="8" name="_DAT7" vbProcedure="false">#REF!</definedName>
    <definedName function="false" hidden="false" localSheetId="8" name="_DAT8" vbProcedure="false">#REF!</definedName>
    <definedName function="false" hidden="false" localSheetId="8" name="_DAT9" vbProcedure="false">#REF!</definedName>
    <definedName function="false" hidden="false" localSheetId="8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_eng3" vbProcedure="false">'Parc Mobile '!_eng3</definedName>
    <definedName function="false" hidden="false" localSheetId="8" name="_ess1" vbProcedure="false">#REF!</definedName>
    <definedName function="false" hidden="false" localSheetId="8" name="_Fill" vbProcedure="false">#REF!</definedName>
    <definedName function="false" hidden="false" localSheetId="8" name="_FRU2003" vbProcedure="false">#REF!</definedName>
    <definedName function="false" hidden="false" localSheetId="8" name="_Key1" vbProcedure="false">#REF!</definedName>
    <definedName function="false" hidden="false" localSheetId="8" name="_Key2" vbProcedure="false">#REF!</definedName>
    <definedName function="false" hidden="false" localSheetId="8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8" name="_OUJ2" vbProcedure="false">#REF!</definedName>
    <definedName function="false" hidden="false" localSheetId="8" name="_pg1" vbProcedure="false">#REF!</definedName>
    <definedName function="false" hidden="false" localSheetId="8" name="_pg2" vbProcedure="false">#REF!</definedName>
    <definedName function="false" hidden="false" localSheetId="8" name="_R" vbProcedure="false">#REF!</definedName>
    <definedName function="false" hidden="false" localSheetId="8" name="_R2000ssta" vbProcedure="false">#REF!</definedName>
    <definedName function="false" hidden="false" localSheetId="8" name="_R2000ssta___12" vbProcedure="false">#REF!</definedName>
    <definedName function="false" hidden="false" localSheetId="8" name="_RCV1" vbProcedure="false">#REF!,#REF!</definedName>
    <definedName function="false" hidden="false" localSheetId="8" name="_Regression_Out" vbProcedure="false">#REF!</definedName>
    <definedName function="false" hidden="false" localSheetId="8" name="_Regression_X" vbProcedure="false">#REF!</definedName>
    <definedName function="false" hidden="false" localSheetId="8" name="_Regression_Y" vbProcedure="false">#REF!</definedName>
    <definedName function="false" hidden="false" localSheetId="8" name="_SC16" vbProcedure="false">#REF!</definedName>
    <definedName function="false" hidden="false" localSheetId="8" name="_SET2" vbProcedure="false">#REF!</definedName>
    <definedName function="false" hidden="false" localSheetId="8" name="_Sort" vbProcedure="false">#REF!</definedName>
    <definedName function="false" hidden="false" localSheetId="8" name="_SYN1" vbProcedure="false">#REF!</definedName>
    <definedName function="false" hidden="false" localSheetId="8" name="_SYN2" vbProcedure="false">#REF!</definedName>
    <definedName function="false" hidden="false" localSheetId="8" name="_Table2_In1" vbProcedure="false">#REF!</definedName>
    <definedName function="false" hidden="false" localSheetId="8" name="_Table2_In2" vbProcedure="false">#REF!</definedName>
    <definedName function="false" hidden="false" localSheetId="8" name="_Table2_Out" vbProcedure="false">#REF!</definedName>
    <definedName function="false" hidden="false" localSheetId="8" name="_TAE2001" vbProcedure="false">#REF!</definedName>
    <definedName function="false" hidden="false" localSheetId="8" name="_TAE2002" vbProcedure="false">#REF!</definedName>
    <definedName function="false" hidden="false" localSheetId="8" name="_UNI1999" vbProcedure="false">#REF!</definedName>
    <definedName function="false" hidden="false" localSheetId="8" name="_UNI2000" vbProcedure="false">#REF!</definedName>
    <definedName function="false" hidden="false" localSheetId="8" name="_UNI2001" vbProcedure="false">#REF!</definedName>
    <definedName function="false" hidden="false" localSheetId="8" name="_vb100" vbProcedure="false">#REF!</definedName>
    <definedName function="false" hidden="false" localSheetId="8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xlnm.Database" vbProcedure="false">#REF!</definedName>
    <definedName function="false" hidden="false" localSheetId="8" name="_xlnm.Recorder" vbProcedure="false">#REF!</definedName>
    <definedName function="false" hidden="false" localSheetId="8" name="__" vbProcedure="false">#REF!</definedName>
    <definedName function="false" hidden="false" localSheetId="8" name="__0" vbProcedure="false">#REF!</definedName>
    <definedName function="false" hidden="false" localSheetId="8" name="__0S" vbProcedure="false">#REF!</definedName>
    <definedName function="false" hidden="false" localSheetId="8" name="__0S___0" vbProcedure="false">[5]_ref!#ref!</definedName>
    <definedName function="false" hidden="false" localSheetId="8" name="__0S___12" vbProcedure="false">[6]_ref!#ref!</definedName>
    <definedName function="false" hidden="false" localSheetId="8" name="__0S___14" vbProcedure="false">#REF!</definedName>
    <definedName function="false" hidden="false" localSheetId="8" name="__0___0" vbProcedure="false">#REF!</definedName>
    <definedName function="false" hidden="false" localSheetId="8" name="__0___12" vbProcedure="false">#REF!</definedName>
    <definedName function="false" hidden="false" localSheetId="8" name="__0___14" vbProcedure="false">#REF!</definedName>
    <definedName function="false" hidden="false" localSheetId="8" name="__123Graph_A" vbProcedure="false">#REF!</definedName>
    <definedName function="false" hidden="false" localSheetId="8" name="__123Graph_B" vbProcedure="false">#REF!</definedName>
    <definedName function="false" hidden="false" localSheetId="8" name="__123Graph_D" vbProcedure="false">#REF!</definedName>
    <definedName function="false" hidden="false" localSheetId="8" name="__123Graph_X" vbProcedure="false">#REF!</definedName>
    <definedName function="false" hidden="false" localSheetId="8" name="__5_0__123Grap" vbProcedure="false">#REF!</definedName>
    <definedName function="false" hidden="false" localSheetId="8" name="____0" vbProcedure="false">#REF!</definedName>
    <definedName function="false" hidden="false" localSheetId="8" name="____12" vbProcedure="false">#REF!</definedName>
    <definedName function="false" hidden="false" localSheetId="8" name="____14" vbProcedure="false">#REF!</definedName>
    <definedName function="false" hidden="false" localSheetId="8" name="____16" vbProcedure="false">#REF!</definedName>
    <definedName function="false" hidden="false" localSheetId="8" name="____2" vbProcedure="false">#REF!</definedName>
    <definedName function="false" hidden="false" localSheetId="8" name="____25" vbProcedure="false">#REF!</definedName>
    <definedName function="false" hidden="false" localSheetId="8" name="____26" vbProcedure="false">#REF!</definedName>
    <definedName function="false" hidden="false" localSheetId="8" name="____27" vbProcedure="false">#REF!</definedName>
    <definedName function="false" hidden="false" localSheetId="8" name="____4" vbProcedure="false">#REF!</definedName>
    <definedName function="false" hidden="false" localSheetId="8" name="____5" vbProcedure="false">#REF!</definedName>
    <definedName function="false" hidden="false" localSheetId="8" name="____7" vbProcedure="false">#REF!</definedName>
    <definedName function="false" hidden="false" localSheetId="8" name="____eng3" vbProcedure="false">#N/A</definedName>
    <definedName function="false" hidden="false" localSheetId="8" name="_____0" vbProcedure="false">#REF!</definedName>
    <definedName function="false" hidden="false" localSheetId="8" name="_____12" vbProcedure="false">#REF!</definedName>
    <definedName function="false" hidden="false" localSheetId="8" name="_____14" vbProcedure="false">#REF!</definedName>
    <definedName function="false" hidden="false" localSheetId="8" name="_____16" vbProcedure="false">#REF!</definedName>
    <definedName function="false" hidden="false" localSheetId="8" name="_____2" vbProcedure="false">#REF!</definedName>
    <definedName function="false" hidden="false" localSheetId="8" name="_____25" vbProcedure="false">#REF!</definedName>
    <definedName function="false" hidden="false" localSheetId="8" name="_____26" vbProcedure="false">#REF!</definedName>
    <definedName function="false" hidden="false" localSheetId="8" name="_____27" vbProcedure="false">#REF!</definedName>
    <definedName function="false" hidden="false" localSheetId="8" name="_____28" vbProcedure="false">#REF!</definedName>
    <definedName function="false" hidden="false" localSheetId="8" name="_____4" vbProcedure="false">#REF!</definedName>
    <definedName function="false" hidden="false" localSheetId="8" name="_____5" vbProcedure="false">#REF!</definedName>
    <definedName function="false" hidden="false" localSheetId="8" name="_____6" vbProcedure="false">#REF!</definedName>
    <definedName function="false" hidden="false" localSheetId="8" name="_____7" vbProcedure="false">#REF!</definedName>
    <definedName function="false" hidden="false" localSheetId="8" name="_____eng3" vbProcedure="false">#N/A</definedName>
    <definedName function="false" hidden="false" localSheetId="8" name="______eng3" vbProcedure="false">#N/A</definedName>
    <definedName function="false" hidden="false" localSheetId="8" name="_______eng3" vbProcedure="false">#N/A</definedName>
    <definedName function="false" hidden="false" localSheetId="8" name="________eng3" vbProcedure="false">#N/A</definedName>
    <definedName function="false" hidden="false" localSheetId="8" name="_________eng3" vbProcedure="false">#N/A</definedName>
    <definedName function="false" hidden="false" localSheetId="8" name="__________eng3" vbProcedure="false">#N/A</definedName>
    <definedName function="false" hidden="false" localSheetId="8" name="___________eng3" vbProcedure="false">#N/A</definedName>
    <definedName function="false" hidden="false" localSheetId="9" name="Auditor" vbProcedure="false">OFFSET(CompRange3Main,9,0,COUNTA(CompRange3Main)-COUNTA(#REF!),1)</definedName>
    <definedName function="false" hidden="false" localSheetId="9" name="CompRange1" vbProcedure="false">OFFSET(CompRange1Main,9,0,COUNTA(CompRange1Main)-COUNTA(#REF!),1)</definedName>
    <definedName function="false" hidden="false" localSheetId="9" name="CompRange2" vbProcedure="false">OFFSET(CompRange2Main,9,0,COUNTA(CompRange2Main)-COUNTA(#REF!),1)</definedName>
    <definedName function="false" hidden="false" localSheetId="9" name="CompRange3" vbProcedure="false">OFFSET(CompRange3Main,9,0,COUNTA(CompRange3Main)-COUNTA(#REF!),1)</definedName>
    <definedName function="false" hidden="false" localSheetId="9" name="DateRangeComp" vbProcedure="false">OFFSET(DateRangeCompMain,9,0,COUNTA(DateRangeCompMain)-COUNTA(#REF!),1)</definedName>
    <definedName function="false" hidden="false" localSheetId="9" name="ddd" vbProcedure="false">[0]!tx_intérêt_par_an/#REF!</definedName>
    <definedName function="false" hidden="false" localSheetId="9" name="fff" vbProcedure="false">[0]!tx_intérêt_par_an/#REF!</definedName>
    <definedName function="false" hidden="false" localSheetId="9" name="forecast" vbProcedure="false">OFFSET(CompRange1Main,9,0,COUNTA(CompRange1Main)-COUNTA(#REF!),1)</definedName>
    <definedName function="false" hidden="false" localSheetId="9" name="HTML_Control" vbProcedure="false">{"' calendrier 2000'!$A$1:$Q$38"}</definedName>
    <definedName function="false" hidden="false" localSheetId="9" name="HTML_Control2" vbProcedure="false">{"' calendrier 2000'!$A$1:$Q$38"}</definedName>
    <definedName function="false" hidden="false" localSheetId="9" name="nnn" vbProcedure="false">OFFSET(DateRangeCompMain,9,0,COUNTA(DateRangeCompMain)-COUNTA(#REF!),1)</definedName>
    <definedName function="false" hidden="false" localSheetId="9" name="Novacom" vbProcedure="false">OFFSET(CompRange1Main,9,0,COUNTA(CompRange1Main)-COUNTA(#REF!),1)</definedName>
    <definedName function="false" hidden="false" localSheetId="9" name="PTRt" vbProcedure="false">OFFSET(CompRange3Main,9,0,COUNTA(CompRange3Main)-COUNTA(#REF!),1)</definedName>
    <definedName function="false" hidden="false" localSheetId="10" name="ABRACADABRA" vbProcedure="false">#REF!</definedName>
    <definedName function="false" hidden="false" localSheetId="10" name="AS2TickmarkLS" vbProcedure="false">#REF!</definedName>
    <definedName function="false" hidden="false" localSheetId="10" name="Auditor" vbProcedure="false">#N/A</definedName>
    <definedName function="false" hidden="false" localSheetId="10" name="Blank3" vbProcedure="false">#REF!</definedName>
    <definedName function="false" hidden="false" localSheetId="10" name="Blank4" vbProcedure="false">#REF!</definedName>
    <definedName function="false" hidden="false" localSheetId="10" name="Blank5" vbProcedure="false">#REF!</definedName>
    <definedName function="false" hidden="false" localSheetId="10" name="Blank6" vbProcedure="false">#REF!</definedName>
    <definedName function="false" hidden="false" localSheetId="10" name="Blank7" vbProcedure="false">#REF!</definedName>
    <definedName function="false" hidden="false" localSheetId="10" name="Blank8" vbProcedure="false">#REF!</definedName>
    <definedName function="false" hidden="false" localSheetId="10" name="CompanyName1" vbProcedure="false">#REF!</definedName>
    <definedName function="false" hidden="false" localSheetId="10" name="CompanyName2" vbProcedure="false">#REF!</definedName>
    <definedName function="false" hidden="false" localSheetId="10" name="CompanyName3" vbProcedure="false">#REF!</definedName>
    <definedName function="false" hidden="false" localSheetId="10" name="CompRange1" vbProcedure="false">#N/A</definedName>
    <definedName function="false" hidden="false" localSheetId="10" name="CompRange1Main" vbProcedure="false">#REF!</definedName>
    <definedName function="false" hidden="false" localSheetId="10" name="CompRange2" vbProcedure="false">#N/A</definedName>
    <definedName function="false" hidden="false" localSheetId="10" name="CompRange2Main" vbProcedure="false">#REF!</definedName>
    <definedName function="false" hidden="false" localSheetId="10" name="CompRange3" vbProcedure="false">#N/A</definedName>
    <definedName function="false" hidden="false" localSheetId="10" name="CompRange3Main" vbProcedure="false">#REF!</definedName>
    <definedName function="false" hidden="false" localSheetId="10" name="cvxxc" vbProcedure="false">#REF!</definedName>
    <definedName function="false" hidden="false" localSheetId="10" name="DateRangeComp" vbProcedure="false">#N/A</definedName>
    <definedName function="false" hidden="false" localSheetId="10" name="DateRangeCompMain" vbProcedure="false">#REF!</definedName>
    <definedName function="false" hidden="false" localSheetId="10" name="ddd" vbProcedure="false">[0]!tx_intérêt_par_an/#REF!</definedName>
    <definedName function="false" hidden="false" localSheetId="10" name="desz" vbProcedure="false">#REF!</definedName>
    <definedName function="false" hidden="false" localSheetId="10" name="ekrpzekpzork" vbProcedure="false">#REF!</definedName>
    <definedName function="false" hidden="false" localSheetId="10" name="ererer" vbProcedure="false">#REF!</definedName>
    <definedName function="false" hidden="false" localSheetId="10" name="erzerpzj" vbProcedure="false">#REF!</definedName>
    <definedName function="false" hidden="false" localSheetId="10" name="fff" vbProcedure="false">[0]!tx_intérêt_par_an/#REF!</definedName>
    <definedName function="false" hidden="false" localSheetId="10" name="forecast" vbProcedure="false">OFFSET('Capex Consolidés'!CompRange1Main,9,0,COUNTA('Capex Consolidés'!CompRange1Main)-COUNTA(#REF!),1)</definedName>
    <definedName function="false" hidden="false" localSheetId="10" name="frde" vbProcedure="false">#REF!</definedName>
    <definedName function="false" hidden="false" localSheetId="10" name="gtf" vbProcedure="false">#REF!</definedName>
    <definedName function="false" hidden="false" localSheetId="10" name="gtfr" vbProcedure="false">#REF!</definedName>
    <definedName function="false" hidden="false" localSheetId="10" name="HTML_Control" vbProcedure="false">{"' calendrier 2000'!$A$1:$Q$38"}</definedName>
    <definedName function="false" hidden="false" localSheetId="10" name="HTML_Control2" vbProcedure="false">{"' calendrier 2000'!$A$1:$Q$38"}</definedName>
    <definedName function="false" hidden="false" localSheetId="10" name="iouirtrt" vbProcedure="false">#REF!</definedName>
    <definedName function="false" hidden="false" localSheetId="10" name="jgkhjk" vbProcedure="false">#REF!</definedName>
    <definedName function="false" hidden="false" localSheetId="10" name="lkglotr" vbProcedure="false">#REF!</definedName>
    <definedName function="false" hidden="false" localSheetId="10" name="LKJLML" vbProcedure="false">#REF!</definedName>
    <definedName function="false" hidden="false" localSheetId="10" name="lkkgopr" vbProcedure="false">#REF!</definedName>
    <definedName function="false" hidden="false" localSheetId="10" name="loki" vbProcedure="false">#REF!</definedName>
    <definedName function="false" hidden="false" localSheetId="10" name="M.E.SFES" vbProcedure="false">#REF!</definedName>
    <definedName function="false" hidden="false" localSheetId="10" name="mpol" vbProcedure="false">#REF!</definedName>
    <definedName function="false" hidden="false" localSheetId="10" name="new" vbProcedure="false">#REF!</definedName>
    <definedName function="false" hidden="false" localSheetId="10" name="nnflklkfrji" vbProcedure="false">#REF!</definedName>
    <definedName function="false" hidden="false" localSheetId="10" name="nnn" vbProcedure="false">OFFSET('Capex Consolidés'!DateRangeCompMain,9,0,COUNTA('Capex Consolidés'!DateRangeCompMain)-COUNTA(#REF!),1)</definedName>
    <definedName function="false" hidden="false" localSheetId="10" name="Novacom" vbProcedure="false">OFFSET('Capex Consolidés'!CompRange1Main,9,0,COUNTA('Capex Consolidés'!CompRange1Main)-COUNTA(#REF!),1)</definedName>
    <definedName function="false" hidden="false" localSheetId="10" name="oiuoiuouiyuiui" vbProcedure="false">#REF!</definedName>
    <definedName function="false" hidden="false" localSheetId="10" name="PTRt" vbProcedure="false">OFFSET('Capex Consolidés'!CompRange3Main,9,0,COUNTA('Capex Consolidés'!CompRange3Main)-COUNTA(#REF!),1)</definedName>
    <definedName function="false" hidden="false" localSheetId="10" name="qdffd" vbProcedure="false">#REF!</definedName>
    <definedName function="false" hidden="false" localSheetId="10" name="qzezezare" vbProcedure="false">#REF!</definedName>
    <definedName function="false" hidden="false" localSheetId="10" name="rrthth" vbProcedure="false">#REF!</definedName>
    <definedName function="false" hidden="false" localSheetId="10" name="set" vbProcedure="false">#REF!</definedName>
    <definedName function="false" hidden="false" localSheetId="10" name="solver_opt" vbProcedure="false">#REF!</definedName>
    <definedName function="false" hidden="false" localSheetId="10" name="TEST3" vbProcedure="false">#REF!</definedName>
    <definedName function="false" hidden="false" localSheetId="10" name="tkprtkt" vbProcedure="false">#REF!</definedName>
    <definedName function="false" hidden="false" localSheetId="10" name="trthhhnlmklm" vbProcedure="false">#REF!</definedName>
    <definedName function="false" hidden="false" localSheetId="10" name="tyryt" vbProcedure="false">#REF!</definedName>
    <definedName function="false" hidden="false" localSheetId="10" name="xcvxcvx" vbProcedure="false">#REF!</definedName>
    <definedName function="false" hidden="false" localSheetId="10" name="xf" vbProcedure="false">#REF!</definedName>
    <definedName function="false" hidden="false" localSheetId="10" name="XRefActiveRow" vbProcedure="false">#REF!</definedName>
    <definedName function="false" hidden="false" localSheetId="10" name="XRefCopy2Row" vbProcedure="false">#REF!</definedName>
    <definedName function="false" hidden="false" localSheetId="10" name="XRefPaste2Row" vbProcedure="false">#REF!</definedName>
    <definedName function="false" hidden="false" localSheetId="10" name="XRefPaste3Row" vbProcedure="false">#REF!</definedName>
    <definedName function="false" hidden="false" localSheetId="10" name="XRefPaste4Row" vbProcedure="false">#REF!</definedName>
    <definedName function="false" hidden="false" localSheetId="10" name="XRefPaste5Row" vbProcedure="false">#REF!</definedName>
    <definedName function="false" hidden="false" localSheetId="10" name="_10_0__123Grap" vbProcedure="false">#REF!</definedName>
    <definedName function="false" hidden="false" localSheetId="10" name="_13_0__123Grap" vbProcedure="false">#REF!</definedName>
    <definedName function="false" hidden="false" localSheetId="10" name="_18_0__123Grap" vbProcedure="false">#REF!</definedName>
    <definedName function="false" hidden="false" localSheetId="10" name="_19_0__123Grap" vbProcedure="false">#REF!</definedName>
    <definedName function="false" hidden="false" localSheetId="10" name="_22_0__123Grap" vbProcedure="false">#REF!</definedName>
    <definedName function="false" hidden="false" localSheetId="10" name="_30__123Graph_ACHART_1" vbProcedure="false">[12]synthgraph!#ref!</definedName>
    <definedName function="false" hidden="false" localSheetId="10" name="_32__123Graph_ACHART_3" vbProcedure="false">#REF!</definedName>
    <definedName function="false" hidden="false" localSheetId="10" name="_34__123Graph_BCHART_1" vbProcedure="false">[12]synthgraph!#ref!</definedName>
    <definedName function="false" hidden="false" localSheetId="10" name="_36__123Graph_BCHART_3" vbProcedure="false">#REF!</definedName>
    <definedName function="false" hidden="false" localSheetId="10" name="_37_0__123Grap" vbProcedure="false">#REF!</definedName>
    <definedName function="false" hidden="false" localSheetId="10" name="_3_123Grap" vbProcedure="false">#REF!</definedName>
    <definedName function="false" hidden="false" localSheetId="10" name="_40__123Graph_DCHART_1" vbProcedure="false">[12]synthgraph!#ref!</definedName>
    <definedName function="false" hidden="false" localSheetId="10" name="_43__123Graph_LBL_ACHART_1" vbProcedure="false">[12]synthgraph!#ref!</definedName>
    <definedName function="false" hidden="false" localSheetId="10" name="_45__123Graph_LBL_ACHART_3" vbProcedure="false">#REF!</definedName>
    <definedName function="false" hidden="false" localSheetId="10" name="_47__123Graph_LBL_DCHART_1" vbProcedure="false">[12]synthgraph!#ref!</definedName>
    <definedName function="false" hidden="false" localSheetId="10" name="_53___0__123Grap" vbProcedure="false">#REF!</definedName>
    <definedName function="false" hidden="false" localSheetId="10" name="_5_0__123Grap" vbProcedure="false">#REF!</definedName>
    <definedName function="false" hidden="false" localSheetId="10" name="_5_123Grap" vbProcedure="false">#REF!</definedName>
    <definedName function="false" hidden="false" localSheetId="10" name="_6_0__123Grap" vbProcedure="false">#REF!</definedName>
    <definedName function="false" hidden="false" localSheetId="10" name="_76_0__123Grap" vbProcedure="false">#REF!</definedName>
    <definedName function="false" hidden="false" localSheetId="10" name="_7_0__123Grap" vbProcedure="false">#REF!</definedName>
    <definedName function="false" hidden="false" localSheetId="10" name="_bdm.00C0D9EF8BE14012A7E563CDFAAFF67A.edm" vbProcedure="false">#REF!</definedName>
    <definedName function="false" hidden="false" localSheetId="10" name="_bdm.02AA2180B0084723AFFC9E4E6DA538AC.edm" vbProcedure="false">#REF!</definedName>
    <definedName function="false" hidden="false" localSheetId="10" name="_bdm.02EFED87DA6B440DAF356A06EA8CCE6D.edm" vbProcedure="false">#REF!</definedName>
    <definedName function="false" hidden="false" localSheetId="10" name="_bdm.053252EB6ED04855BFE51C3EB0837A6B.edm" vbProcedure="false">#REF!</definedName>
    <definedName function="false" hidden="false" localSheetId="10" name="_bdm.0883F6F83E204B74B7DD1E975DA13ADD.edm" vbProcedure="false">#REF!</definedName>
    <definedName function="false" hidden="false" localSheetId="10" name="_bdm.08E492A671284214AD982BEB208B8F93.edm" vbProcedure="false">#REF!</definedName>
    <definedName function="false" hidden="false" localSheetId="10" name="_bdm.09187C12D1CE45F193AE198DD6AE884F.edm" vbProcedure="false">#REF!</definedName>
    <definedName function="false" hidden="false" localSheetId="10" name="_bdm.0A4C5DE597874549B190FD467C6A1CC4.edm" vbProcedure="false">#REF!</definedName>
    <definedName function="false" hidden="false" localSheetId="10" name="_bdm.0EBC0B70D2854C038F08EFF978C7C67A.edm" vbProcedure="false">#REF!</definedName>
    <definedName function="false" hidden="false" localSheetId="10" name="_bdm.15890F25A4484043AF3AE51860B59A14.edm" vbProcedure="false">#REF!</definedName>
    <definedName function="false" hidden="false" localSheetId="10" name="_bdm.170C77E1E37E4B33A5A3F1CF661EAD22.edm" vbProcedure="false">#REF!</definedName>
    <definedName function="false" hidden="false" localSheetId="10" name="_bdm.18396CE513024A30AA8A76234D5FEFD0.edm" vbProcedure="false">#REF!</definedName>
    <definedName function="false" hidden="false" localSheetId="10" name="_bdm.2362C0156C8048FAA2961453BD7C4BCE.edm" vbProcedure="false">#REF!</definedName>
    <definedName function="false" hidden="false" localSheetId="10" name="_bdm.29102105AB86426CAAC299DD444B5E4D.edm" vbProcedure="false">#REF!</definedName>
    <definedName function="false" hidden="false" localSheetId="10" name="_bdm.2A38C861995B46C8991A97EA5A948A78.edm" vbProcedure="false">#REF!</definedName>
    <definedName function="false" hidden="false" localSheetId="10" name="_bdm.2CBA471E682C48A3A10CD1024A462351.edm" vbProcedure="false">#REF!</definedName>
    <definedName function="false" hidden="false" localSheetId="10" name="_bdm.2D161A2B7C76497F9F6D027C12375384.edm" vbProcedure="false">#REF!</definedName>
    <definedName function="false" hidden="false" localSheetId="10" name="_bdm.2F477F25EFBE4C9BB3E9EC617CD64545.edm" vbProcedure="false">#REF!</definedName>
    <definedName function="false" hidden="false" localSheetId="10" name="_bdm.304F174C8384432A9C14069F554DBEC0.edm" vbProcedure="false">#REF!</definedName>
    <definedName function="false" hidden="false" localSheetId="10" name="_bdm.31B8759EFE3D47B3BC99BC433F195FBF.edm" vbProcedure="false">#REF!</definedName>
    <definedName function="false" hidden="false" localSheetId="10" name="_bdm.3BBFE8DA33C7499691935804E68E6B0C.edm" vbProcedure="false">#REF!</definedName>
    <definedName function="false" hidden="false" localSheetId="10" name="_bdm.49565BF5FF794C539DBC82076000DC4B.edm" vbProcedure="false">#REF!</definedName>
    <definedName function="false" hidden="false" localSheetId="10" name="_bdm.4A2A91CF59154905B89117F8831531D4.edm" vbProcedure="false">#REF!</definedName>
    <definedName function="false" hidden="false" localSheetId="10" name="_bdm.4B0774CF4D7546338C029DACD0AC04AF.edm" vbProcedure="false">#REF!</definedName>
    <definedName function="false" hidden="false" localSheetId="10" name="_bdm.560CC529085E43E4B75093E97034EB37.edm" vbProcedure="false">#REF!</definedName>
    <definedName function="false" hidden="false" localSheetId="10" name="_bdm.56F75FC2606341CFA60722E4964A61ED.edm" vbProcedure="false">#REF!</definedName>
    <definedName function="false" hidden="false" localSheetId="10" name="_bdm.5B9FA6AD16274AF0A7F1EA71741F6425.edm" vbProcedure="false">#REF!</definedName>
    <definedName function="false" hidden="false" localSheetId="10" name="_bdm.60AC218AF8CD42C485087DD4F01F6F68.edm" vbProcedure="false">#REF!</definedName>
    <definedName function="false" hidden="false" localSheetId="10" name="_bdm.66391AB36C3E40E8A357D2E91544AB4E.edm" vbProcedure="false">#REF!</definedName>
    <definedName function="false" hidden="false" localSheetId="10" name="_bdm.6E930F29C2E446FCB48CC686615AEB29.edm" vbProcedure="false">#REF!</definedName>
    <definedName function="false" hidden="false" localSheetId="10" name="_bdm.72BD0D0733C3441895C8CE1A7032FD8C.edm" vbProcedure="false">#REF!</definedName>
    <definedName function="false" hidden="false" localSheetId="10" name="_bdm.798B66F4737D405D8E166AD903AD9133.edm" vbProcedure="false">#REF!</definedName>
    <definedName function="false" hidden="false" localSheetId="10" name="_bdm.7AAACA4672FE4AABB120B35F1F6BF722.edm" vbProcedure="false">#REF!</definedName>
    <definedName function="false" hidden="false" localSheetId="10" name="_bdm.7B7617E2CF8F4F46B33C5D7AD69D1EB7.edm" vbProcedure="false">#REF!</definedName>
    <definedName function="false" hidden="false" localSheetId="10" name="_bdm.978AA887B7A0409D9BEB94DDCF92946A.edm" vbProcedure="false">#REF!</definedName>
    <definedName function="false" hidden="false" localSheetId="10" name="_bdm.9ACBBA07335647B59AADC13E50D1989D.edm" vbProcedure="false">#REF!</definedName>
    <definedName function="false" hidden="false" localSheetId="10" name="_bdm.9E068CDE91E2433BBDF7C764830C46CA.edm" vbProcedure="false">#REF!</definedName>
    <definedName function="false" hidden="false" localSheetId="10" name="_bdm.A28A9FABA82C4BC0ABDC9477F55B7009.edm" vbProcedure="false">#REF!</definedName>
    <definedName function="false" hidden="false" localSheetId="10" name="_bdm.A34D1CF0DB9D498B8FD69EF70C6190B9.edm" vbProcedure="false">#REF!</definedName>
    <definedName function="false" hidden="false" localSheetId="10" name="_bdm.A3ACD61AA97041CDB0D389B5A3B28566.edm" vbProcedure="false">#REF!</definedName>
    <definedName function="false" hidden="false" localSheetId="10" name="_bdm.BB237A5F4F0D4DD1B8979E5B117F89E3.edm" vbProcedure="false">#REF!</definedName>
    <definedName function="false" hidden="false" localSheetId="10" name="_bdm.BCBEAFDCF30E4D8FA746679BF86222DE.edm" vbProcedure="false">#REF!</definedName>
    <definedName function="false" hidden="false" localSheetId="10" name="_bdm.BCDC6A4BFB8F4261AAF69A1910BBFFAB.edm" vbProcedure="false">#REF!</definedName>
    <definedName function="false" hidden="false" localSheetId="10" name="_bdm.BF193DFCE64E4F0D81685B0562859DB2.edm" vbProcedure="false">#REF!</definedName>
    <definedName function="false" hidden="false" localSheetId="10" name="_bdm.C372A35933EB401BA3A6EC0685403139.edm" vbProcedure="false">#REF!</definedName>
    <definedName function="false" hidden="false" localSheetId="10" name="_bdm.C7A1F3F634A74A0F9EC4B07D8DBC668B.edm" vbProcedure="false">#REF!</definedName>
    <definedName function="false" hidden="false" localSheetId="10" name="_bdm.C86D533D5E914EB487C2080BF18E83E4.edm" vbProcedure="false">#REF!</definedName>
    <definedName function="false" hidden="false" localSheetId="10" name="_bdm.C935CBCFCC734F7AB9CA5D1103224C93.edm" vbProcedure="false">#REF!</definedName>
    <definedName function="false" hidden="false" localSheetId="10" name="_bdm.CDA74E3D7FAC4579B204406FAE55AE99.edm" vbProcedure="false">#REF!</definedName>
    <definedName function="false" hidden="false" localSheetId="10" name="_bdm.D68F0F579E0F4D9F8EDE01C05C8CBDCB.edm" vbProcedure="false">#REF!</definedName>
    <definedName function="false" hidden="false" localSheetId="10" name="_bdm.DB7A4686E71E4C1FA433BF1FC8CD0FF0.edm" vbProcedure="false">#REF!</definedName>
    <definedName function="false" hidden="false" localSheetId="10" name="_bdm.DCF303DB6FEF4A7D95C8B1A06C3EDA7D.edm" vbProcedure="false">#REF!</definedName>
    <definedName function="false" hidden="false" localSheetId="10" name="_bdm.E11B1C5716184E2EAE2F8DCD87BD458E.edm" vbProcedure="false">#REF!</definedName>
    <definedName function="false" hidden="false" localSheetId="10" name="_bdm.EBAC93D9B4434258968CD782605A4122.edm" vbProcedure="false">#REF!</definedName>
    <definedName function="false" hidden="false" localSheetId="10" name="_bdm.ECF6D3394DBF44B7ABC5637DE6403FE6.edm" vbProcedure="false">#REF!</definedName>
    <definedName function="false" hidden="false" localSheetId="10" name="_bdm.F18B3776FEAF4F7AA1587EB080776343.edm" vbProcedure="false">#REF!</definedName>
    <definedName function="false" hidden="false" localSheetId="10" name="_bdm.F44AE91BFA0E46E8889BCA3BF81CDCFF.edm" vbProcedure="false">#REF!</definedName>
    <definedName function="false" hidden="false" localSheetId="10" name="_Fill" vbProcedure="false">#REF!</definedName>
    <definedName function="false" hidden="false" localSheetId="10" name="_Key1" vbProcedure="false">#REF!</definedName>
    <definedName function="false" hidden="false" localSheetId="10" name="_Key2" vbProcedure="false">#REF!</definedName>
    <definedName function="false" hidden="false" localSheetId="10" name="_Regression_Out" vbProcedure="false">#REF!</definedName>
    <definedName function="false" hidden="false" localSheetId="10" name="_Regression_X" vbProcedure="false">#REF!</definedName>
    <definedName function="false" hidden="false" localSheetId="10" name="_Regression_Y" vbProcedure="false">#REF!</definedName>
    <definedName function="false" hidden="false" localSheetId="10" name="_Sort" vbProcedure="false">#REF!</definedName>
    <definedName function="false" hidden="false" localSheetId="10" name="_Table2_In1" vbProcedure="false">#REF!</definedName>
    <definedName function="false" hidden="false" localSheetId="10" name="_Table2_In2" vbProcedure="false">#REF!</definedName>
    <definedName function="false" hidden="false" localSheetId="10" name="_Table2_Out" vbProcedure="false">#REF!</definedName>
    <definedName function="false" hidden="false" localSheetId="10" name="__123Graph_A" vbProcedure="false">#REF!</definedName>
    <definedName function="false" hidden="false" localSheetId="10" name="__123Graph_B" vbProcedure="false">#REF!</definedName>
    <definedName function="false" hidden="false" localSheetId="10" name="__123Graph_D" vbProcedure="false">#REF!</definedName>
    <definedName function="false" hidden="false" localSheetId="10" name="__123Graph_X" vbProcedure="false">#REF!</definedName>
    <definedName function="false" hidden="false" localSheetId="10" name="__5_0__123Grap" vbProcedure="false">#REF!</definedName>
    <definedName function="false" hidden="false" localSheetId="13" name="aaaaa" vbProcedure="false">{"orixcsc",#N/A,FALSE,"ORIX CSC";"orixcsc2",#N/A,FALSE,"ORIX CSC"}</definedName>
    <definedName function="false" hidden="false" localSheetId="13" name="aaaaaa" vbProcedure="false">{"IS",#N/A,FALSE,"IS";"RPTIS",#N/A,FALSE,"RPTIS";"STATS",#N/A,FALSE,"STATS";"CELL",#N/A,FALSE,"CELL";"BS",#N/A,FALSE,"BS"}</definedName>
    <definedName function="false" hidden="false" localSheetId="13" name="aaaaaaaaa" vbProcedure="false">{"subs",#N/A,FALSE,"database ";"proportional",#N/A,FALSE,"database "}</definedName>
    <definedName function="false" hidden="false" localSheetId="13" name="ad" vbProcedure="false">{"IS",#N/A,FALSE,"IS";"RPTIS",#N/A,FALSE,"RPTIS";"STATS",#N/A,FALSE,"STATS";"CELL",#N/A,FALSE,"CELL";"BS",#N/A,FALSE,"BS"}</definedName>
    <definedName function="false" hidden="false" localSheetId="13" name="a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ah" vbProcedure="false">{"test2",#N/A,TRUE,"Prices"}</definedName>
    <definedName function="false" hidden="false" localSheetId="13" name="ai" vbProcedure="false">{"subs",#N/A,FALSE,"database ";"proportional",#N/A,FALSE,"database "}</definedName>
    <definedName function="false" hidden="false" localSheetId="13" name="aj" vbProcedure="false">{"IS",#N/A,FALSE,"IS";"RPTIS",#N/A,FALSE,"RPTIS";"STATS",#N/A,FALSE,"STATS";"BS",#N/A,FALSE,"BS"}</definedName>
    <definedName function="false" hidden="false" localSheetId="13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AprRtgMFR" vbProcedure="false">{#N/A,#N/A,FALSE,"1999 Fiscal Current Week";#N/A,#N/A,FALSE,"1999 Fiscal Variance"}</definedName>
    <definedName function="false" hidden="false" localSheetId="13" name="aq" vbProcedure="false">{"IS",#N/A,FALSE,"IS";"RPTIS",#N/A,FALSE,"RPTIS";"STATS",#N/A,FALSE,"STATS";"CELL",#N/A,FALSE,"CELL";"BS",#N/A,FALSE,"BS"}</definedName>
    <definedName function="false" hidden="false" localSheetId="13" name="a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at" vbProcedure="false">{"IS",#N/A,FALSE,"IS";"RPTIS",#N/A,FALSE,"RPTIS";"STATS",#N/A,FALSE,"STATS";"CELL",#N/A,FALSE,"CELL";"BS",#N/A,FALSE,"BS"}</definedName>
    <definedName function="false" hidden="false" localSheetId="13" name="au" vbProcedure="false">{#N/A,#N/A,FALSE,"ORIX CSC"}</definedName>
    <definedName function="false" hidden="false" localSheetId="13" name="ay" vbProcedure="false">{"print 1",#N/A,FALSE,"PrimeCo PCS";"print 2",#N/A,FALSE,"PrimeCo PCS";"valuation",#N/A,FALSE,"PrimeCo PCS"}</definedName>
    <definedName function="false" hidden="false" localSheetId="13" name="azraze" vbProcedure="false">{"orixcsc",#N/A,FALSE,"ORIX CSC";"orixcsc2",#N/A,FALSE,"ORIX CSC"}</definedName>
    <definedName function="false" hidden="false" localSheetId="13" name="bc" vbProcedure="false">{"IS",#N/A,FALSE,"IS";"RPTIS",#N/A,FALSE,"RPTIS";"STATS",#N/A,FALSE,"STATS";"CELL",#N/A,FALSE,"CELL";"BS",#N/A,FALSE,"BS"}</definedName>
    <definedName function="false" hidden="false" localSheetId="13" name="belnew" vbProcedure="false">{"IS",#N/A,FALSE,"IS";"RPTIS",#N/A,FALSE,"RPTIS";"STATS",#N/A,FALSE,"STATS";"CELL",#N/A,FALSE,"CELL";"BS",#N/A,FALSE,"BS"}</definedName>
    <definedName function="false" hidden="false" localSheetId="13" name="belnew1" vbProcedure="false">{"IS",#N/A,FALSE,"IS";"RPTIS",#N/A,FALSE,"RPTIS";"STATS",#N/A,FALSE,"STATS";"CELL",#N/A,FALSE,"CELL";"BS",#N/A,FALSE,"BS"}</definedName>
    <definedName function="false" hidden="false" localSheetId="13" name="belnew10" vbProcedure="false">{"IS",#N/A,FALSE,"IS";"RPTIS",#N/A,FALSE,"RPTIS";"STATS",#N/A,FALSE,"STATS";"CELL",#N/A,FALSE,"CELL";"BS",#N/A,FALSE,"BS"}</definedName>
    <definedName function="false" hidden="false" localSheetId="13" name="da" vbProcedure="false">{"print 1",#N/A,FALSE,"PrimeCo PCS";"print 2",#N/A,FALSE,"PrimeCo PCS";"valuation",#N/A,FALSE,"PrimeCo PCS"}</definedName>
    <definedName function="false" hidden="false" localSheetId="13" name="dd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decembre" vbProcedure="false">{#N/A,#N/A,FALSE,"Umsatz";#N/A,#N/A,FALSE,"Base V.02";#N/A,#N/A,FALSE,"Charts"}</definedName>
    <definedName function="false" hidden="false" localSheetId="13" name="desz" vbProcedure="false">#REF!</definedName>
    <definedName function="false" hidden="false" localSheetId="13" name="dr" vbProcedure="false">{"IS",#N/A,FALSE,"IS";"RPTIS",#N/A,FALSE,"RPTIS";"STATS",#N/A,FALSE,"STATS";"BS",#N/A,FALSE,"BS"}</definedName>
    <definedName function="false" hidden="false" localSheetId="13" name="dz" vbProcedure="false">{"test2",#N/A,TRUE,"Prices"}</definedName>
    <definedName function="false" hidden="false" localSheetId="13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ekrpzekpzork" vbProcedure="false">#REF!</definedName>
    <definedName function="false" hidden="false" localSheetId="13" name="er" vbProcedure="false">{"test2",#N/A,TRUE,"Prices"}</definedName>
    <definedName function="false" hidden="false" localSheetId="13" name="erzerpzj" vbProcedure="false">#REF!</definedName>
    <definedName function="false" hidden="false" localSheetId="13" name="essais" vbProcedure="false">{#N/A,#N/A,FALSE,"F_Plan";#N/A,#N/A,FALSE,"Parameter"}</definedName>
    <definedName function="false" hidden="false" localSheetId="13" name="et" vbProcedure="false">{"IS",#N/A,FALSE,"IS";"RPTIS",#N/A,FALSE,"RPTIS";"STATS",#N/A,FALSE,"STATS";"BS",#N/A,FALSE,"BS"}</definedName>
    <definedName function="false" hidden="false" localSheetId="13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ez" vbProcedure="false">{"print 1",#N/A,FALSE,"PrimeCo PCS";"print 2",#N/A,FALSE,"PrimeCo PCS";"valuation",#N/A,FALSE,"PrimeCo PCS"}</definedName>
    <definedName function="false" hidden="false" localSheetId="13" name="fff" vbProcedure="false">{"IS",#N/A,FALSE,"IS";"RPTIS",#N/A,FALSE,"RPTIS";"STATS",#N/A,FALSE,"STATS";"CELL",#N/A,FALSE,"CELL";"BS",#N/A,FALSE,"BS"}</definedName>
    <definedName function="false" hidden="false" localSheetId="13" name="fffs" vbProcedure="false">{"IS",#N/A,FALSE,"IS";"RPTIS",#N/A,FALSE,"RPTIS";"STATS",#N/A,FALSE,"STATS";"CELL",#N/A,FALSE,"CELL";"BS",#N/A,FALSE,"BS"}</definedName>
    <definedName function="false" hidden="false" localSheetId="13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frde" vbProcedure="false">#REF!</definedName>
    <definedName function="false" hidden="false" localSheetId="13" name="gf" vbProcedure="false">{"IS",#N/A,FALSE,"IS";"RPTIS",#N/A,FALSE,"RPTIS";"STATS",#N/A,FALSE,"STATS";"CELL",#N/A,FALSE,"CELL";"BS",#N/A,FALSE,"BS"}</definedName>
    <definedName function="false" hidden="false" localSheetId="13" name="gs" vbProcedure="false">{"IS",#N/A,FALSE,"IS";"RPTIS",#N/A,FALSE,"RPTIS";"STATS",#N/A,FALSE,"STATS";"CELL",#N/A,FALSE,"CELL";"BS",#N/A,FALSE,"BS"}</definedName>
    <definedName function="false" hidden="false" localSheetId="13" name="gtf" vbProcedure="false">#REF!</definedName>
    <definedName function="false" hidden="false" localSheetId="13" name="gtfr" vbProcedure="false">#REF!</definedName>
    <definedName function="false" hidden="false" localSheetId="13" name="gtr" vbProcedure="false">{"print 1",#N/A,FALSE,"PrimeCo PCS";"print 2",#N/A,FALSE,"PrimeCo PCS";"valuation",#N/A,FALSE,"PrimeCo PCS"}</definedName>
    <definedName function="false" hidden="false" localSheetId="13" name="io" vbProcedure="false">{#N/A,#N/A,FALSE,"Contribution Analysis"}</definedName>
    <definedName function="false" hidden="false" localSheetId="13" name="iouirtrt" vbProcedure="false">#REF!</definedName>
    <definedName function="false" hidden="false" localSheetId="13" name="iu" vbProcedure="false">{"orixcsc",#N/A,FALSE,"ORIX CSC";"orixcsc2",#N/A,FALSE,"ORIX CSC"}</definedName>
    <definedName function="false" hidden="false" localSheetId="13" name="jgkhjk" vbProcedure="false">#REF!</definedName>
    <definedName function="false" hidden="false" localSheetId="13" name="ka" vbProcedure="false">{"IS",#N/A,FALSE,"IS";"RPTIS",#N/A,FALSE,"RPTIS";"STATS",#N/A,FALSE,"STATS";"CELL",#N/A,FALSE,"CELL";"BS",#N/A,FALSE,"BS"}</definedName>
    <definedName function="false" hidden="false" localSheetId="13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ke" vbProcedure="false">{"orixcsc",#N/A,FALSE,"ORIX CSC";"orixcsc2",#N/A,FALSE,"ORIX CSC"}</definedName>
    <definedName function="false" hidden="false" localSheetId="13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kg" vbProcedure="false">{"print 1",#N/A,FALSE,"PrimeCo PCS";"print 2",#N/A,FALSE,"PrimeCo PCS";"valuation",#N/A,FALSE,"PrimeCo PCS"}</definedName>
    <definedName function="false" hidden="false" localSheetId="13" name="kh" vbProcedure="false">{"test2",#N/A,TRUE,"Prices"}</definedName>
    <definedName function="false" hidden="false" localSheetId="13" name="ki" vbProcedure="false">{"orixcsc",#N/A,FALSE,"ORIX CSC";"orixcsc2",#N/A,FALSE,"ORIX CSC"}</definedName>
    <definedName function="false" hidden="false" localSheetId="13" name="kj" vbProcedure="false">{"IS",#N/A,FALSE,"IS";"RPTIS",#N/A,FALSE,"RPTIS";"STATS",#N/A,FALSE,"STATS";"BS",#N/A,FALSE,"BS"}</definedName>
    <definedName function="false" hidden="false" localSheetId="13" name="kk" vbProcedure="false">{#N/A,#N/A,FALSE,"ORIX CSC"}</definedName>
    <definedName function="false" hidden="false" localSheetId="13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kkkkkk" vbProcedure="false">{#N/A,#N/A,FALSE,"ORIX CSC"}</definedName>
    <definedName function="false" hidden="false" localSheetId="13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kkkkkkkkkkk" vbProcedure="false">{#N/A,#N/A,FALSE,"Contribution Analysis"}</definedName>
    <definedName function="false" hidden="false" localSheetId="13" name="kkkkkkkkkkkk" vbProcedure="false">{"IS",#N/A,FALSE,"IS";"RPTIS",#N/A,FALSE,"RPTIS";"STATS",#N/A,FALSE,"STATS";"CELL",#N/A,FALSE,"CELL";"BS",#N/A,FALSE,"BS"}</definedName>
    <definedName function="false" hidden="false" localSheetId="13" name="kkkkkkkkkkkkk" vbProcedure="false">{#N/A,#N/A,FALSE,"ORIX CSC"}</definedName>
    <definedName function="false" hidden="false" localSheetId="13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kkkkkkkkkkkkkkkkkk" vbProcedure="false">{"IS",#N/A,FALSE,"IS";"RPTIS",#N/A,FALSE,"RPTIS";"STATS",#N/A,FALSE,"STATS";"CELL",#N/A,FALSE,"CELL";"BS",#N/A,FALSE,"BS"}</definedName>
    <definedName function="false" hidden="false" localSheetId="13" name="ko" vbProcedure="false">{#N/A,#N/A,FALSE,"ORIX CSC"}</definedName>
    <definedName function="false" hidden="false" localSheetId="13" name="kp" vbProcedure="false">{"subs",#N/A,FALSE,"database ";"proportional",#N/A,FALSE,"database "}</definedName>
    <definedName function="false" hidden="false" localSheetId="13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kt" vbProcedure="false">{"IS",#N/A,FALSE,"IS";"RPTIS",#N/A,FALSE,"RPTIS";"STATS",#N/A,FALSE,"STATS";"CELL",#N/A,FALSE,"CELL";"BS",#N/A,FALSE,"BS"}</definedName>
    <definedName function="false" hidden="false" localSheetId="13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ky" vbProcedure="false">{#N/A,#N/A,FALSE,"Contribution Analysis"}</definedName>
    <definedName function="false" hidden="false" localSheetId="13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le" vbProcedure="false">{"IS",#N/A,FALSE,"IS";"RPTIS",#N/A,FALSE,"RPTIS";"STATS",#N/A,FALSE,"STATS";"CELL",#N/A,FALSE,"CELL";"BS",#N/A,FALSE,"BS"}</definedName>
    <definedName function="false" hidden="false" localSheetId="13" name="li" vbProcedure="false">{"IS",#N/A,FALSE,"IS";"RPTIS",#N/A,FALSE,"RPTIS";"STATS",#N/A,FALSE,"STATS";"CELL",#N/A,FALSE,"CELL";"BS",#N/A,FALSE,"BS"}</definedName>
    <definedName function="false" hidden="false" localSheetId="13" name="lkglotr" vbProcedure="false">#REF!</definedName>
    <definedName function="false" hidden="false" localSheetId="13" name="LKJLML" vbProcedure="false">#REF!</definedName>
    <definedName function="false" hidden="false" localSheetId="13" name="lkkgopr" vbProcedure="false">#REF!</definedName>
    <definedName function="false" hidden="false" localSheetId="13" name="ln" vbProcedure="false">{#N/A,#N/A,FALSE,"Contribution Analysis"}</definedName>
    <definedName function="false" hidden="false" localSheetId="13" name="lo" vbProcedure="false">{"IS",#N/A,FALSE,"IS";"RPTIS",#N/A,FALSE,"RPTIS";"STATS",#N/A,FALSE,"STATS";"CELL",#N/A,FALSE,"CELL";"BS",#N/A,FALSE,"BS"}</definedName>
    <definedName function="false" hidden="false" localSheetId="13" name="loki" vbProcedure="false">#REF!</definedName>
    <definedName function="false" hidden="false" localSheetId="13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lr" vbProcedure="false">{"IS",#N/A,FALSE,"IS";"RPTIS",#N/A,FALSE,"RPTIS";"STATS",#N/A,FALSE,"STATS";"CELL",#N/A,FALSE,"CELL";"BS",#N/A,FALSE,"BS"}</definedName>
    <definedName function="false" hidden="false" localSheetId="13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lu" vbProcedure="false">{"orixcsc",#N/A,FALSE,"ORIX CSC";"orixcsc2",#N/A,FALSE,"ORIX CSC"}</definedName>
    <definedName function="false" hidden="false" localSheetId="13" name="lumpjiùo" vbProcedure="false">{"IS",#N/A,FALSE,"IS";"RPTIS",#N/A,FALSE,"RPTIS";"STATS",#N/A,FALSE,"STATS";"BS",#N/A,FALSE,"BS"}</definedName>
    <definedName function="false" hidden="false" localSheetId="13" name="lv" vbProcedure="false">{"IS",#N/A,FALSE,"IS";"RPTIS",#N/A,FALSE,"RPTIS";"STATS",#N/A,FALSE,"STATS";"BS",#N/A,FALSE,"BS"}</definedName>
    <definedName function="false" hidden="false" localSheetId="13" name="ly" vbProcedure="false">{#N/A,#N/A,FALSE,"Contribution Analysis"}</definedName>
    <definedName function="false" hidden="false" localSheetId="13" name="lz" vbProcedure="false">{"IS",#N/A,FALSE,"IS";"RPTIS",#N/A,FALSE,"RPTIS";"STATS",#N/A,FALSE,"STATS";"CELL",#N/A,FALSE,"CELL";"BS",#N/A,FALSE,"BS"}</definedName>
    <definedName function="false" hidden="false" localSheetId="13" name="M.E.SFES" vbProcedure="false">#REF!</definedName>
    <definedName function="false" hidden="false" localSheetId="13" name="ma" vbProcedure="false">{#N/A,#N/A,FALSE,"ORIX CSC"}</definedName>
    <definedName function="false" hidden="false" localSheetId="13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mc" vbProcedure="false">{"IS",#N/A,FALSE,"IS";"RPTIS",#N/A,FALSE,"RPTIS";"STATS",#N/A,FALSE,"STATS";"BS",#N/A,FALSE,"BS"}</definedName>
    <definedName function="false" hidden="false" localSheetId="13" name="md" vbProcedure="false">{"IS",#N/A,FALSE,"IS";"RPTIS",#N/A,FALSE,"RPTIS";"STATS",#N/A,FALSE,"STATS";"CELL",#N/A,FALSE,"CELL";"BS",#N/A,FALSE,"BS"}</definedName>
    <definedName function="false" hidden="false" localSheetId="13" name="mf" vbProcedure="false">{"print 1",#N/A,FALSE,"PrimeCo PCS";"print 2",#N/A,FALSE,"PrimeCo PCS";"valuation",#N/A,FALSE,"PrimeCo PCS"}</definedName>
    <definedName function="false" hidden="false" localSheetId="13" name="mh" vbProcedure="false">{"IS",#N/A,FALSE,"IS";"RPTIS",#N/A,FALSE,"RPTIS";"STATS",#N/A,FALSE,"STATS";"BS",#N/A,FALSE,"BS"}</definedName>
    <definedName function="false" hidden="false" localSheetId="13" name="mi" vbProcedure="false">{"subs",#N/A,FALSE,"database ";"proportional",#N/A,FALSE,"database "}</definedName>
    <definedName function="false" hidden="false" localSheetId="13" name="mj" vbProcedure="false">{"test2",#N/A,TRUE,"Prices"}</definedName>
    <definedName function="false" hidden="false" localSheetId="13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mn" vbProcedure="false">{"print 1",#N/A,FALSE,"PrimeCo PCS";"print 2",#N/A,FALSE,"PrimeCo PCS";"valuation",#N/A,FALSE,"PrimeCo PCS"}</definedName>
    <definedName function="false" hidden="false" localSheetId="13" name="mo" vbProcedure="false">{"test2",#N/A,TRUE,"Prices"}</definedName>
    <definedName function="false" hidden="false" localSheetId="13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mpol" vbProcedure="false">#REF!</definedName>
    <definedName function="false" hidden="false" localSheetId="13" name="mq" vbProcedure="false">{"IS",#N/A,FALSE,"IS";"RPTIS",#N/A,FALSE,"RPTIS";"STATS",#N/A,FALSE,"STATS";"CELL",#N/A,FALSE,"CELL";"BS",#N/A,FALSE,"BS"}</definedName>
    <definedName function="false" hidden="false" localSheetId="13" name="mr" vbProcedure="false">{"IS",#N/A,FALSE,"IS";"RPTIS",#N/A,FALSE,"RPTIS";"STATS",#N/A,FALSE,"STATS";"CELL",#N/A,FALSE,"CELL";"BS",#N/A,FALSE,"BS"}</definedName>
    <definedName function="false" hidden="false" localSheetId="13" name="ms" vbProcedure="false">{"IS",#N/A,FALSE,"IS";"RPTIS",#N/A,FALSE,"RPTIS";"STATS",#N/A,FALSE,"STATS";"CELL",#N/A,FALSE,"CELL";"BS",#N/A,FALSE,"BS"}</definedName>
    <definedName function="false" hidden="false" localSheetId="13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mu" vbProcedure="false">{"IS",#N/A,FALSE,"IS";"RPTIS",#N/A,FALSE,"RPTIS";"STATS",#N/A,FALSE,"STATS";"BS",#N/A,FALSE,"BS"}</definedName>
    <definedName function="false" hidden="false" localSheetId="13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mw" vbProcedure="false">{"test2",#N/A,TRUE,"Prices"}</definedName>
    <definedName function="false" hidden="false" localSheetId="13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mz" vbProcedure="false">{"IS",#N/A,FALSE,"IS";"RPTIS",#N/A,FALSE,"RPTIS";"STATS",#N/A,FALSE,"STATS";"CELL",#N/A,FALSE,"CELL";"BS",#N/A,FALSE,"BS"}</definedName>
    <definedName function="false" hidden="false" localSheetId="13" name="new" vbProcedure="false">#REF!</definedName>
    <definedName function="false" hidden="false" localSheetId="13" name="newbel" vbProcedure="false">{"IS",#N/A,FALSE,"IS";"RPTIS",#N/A,FALSE,"RPTIS";"STATS",#N/A,FALSE,"STATS";"CELL",#N/A,FALSE,"CELL";"BS",#N/A,FALSE,"BS"}</definedName>
    <definedName function="false" hidden="false" localSheetId="13" name="newbel1" vbProcedure="false">{"IS",#N/A,FALSE,"IS";"RPTIS",#N/A,FALSE,"RPTIS";"STATS",#N/A,FALSE,"STATS";"CELL",#N/A,FALSE,"CELL";"BS",#N/A,FALSE,"BS"}</definedName>
    <definedName function="false" hidden="false" localSheetId="13" name="nnflklkfrji" vbProcedure="false">#REF!</definedName>
    <definedName function="false" hidden="false" localSheetId="13" name="oiuoiuouiyuiui" vbProcedure="false">#REF!</definedName>
    <definedName function="false" hidden="false" localSheetId="13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ql" vbProcedure="false">{"test2",#N/A,TRUE,"Prices"}</definedName>
    <definedName function="false" hidden="false" localSheetId="13" name="qm" vbProcedure="false">{"IS",#N/A,FALSE,"IS";"RPTIS",#N/A,FALSE,"RPTIS";"STATS",#N/A,FALSE,"STATS";"BS",#N/A,FALSE,"BS"}</definedName>
    <definedName function="false" hidden="false" localSheetId="13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qsdf" vbProcedure="false">{#N/A,#N/A,FALSE,"Contribution Analysis"}</definedName>
    <definedName function="false" hidden="false" localSheetId="13" name="qsfd" vbProcedure="false">{"IS",#N/A,FALSE,"IS";"RPTIS",#N/A,FALSE,"RPTIS";"STATS",#N/A,FALSE,"STATS";"CELL",#N/A,FALSE,"CELL";"BS",#N/A,FALSE,"BS"}</definedName>
    <definedName function="false" hidden="false" localSheetId="13" name="qzezezare" vbProcedure="false">#REF!</definedName>
    <definedName function="false" hidden="false" localSheetId="13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rrthth" vbProcedure="false">#REF!</definedName>
    <definedName function="false" hidden="false" localSheetId="13" name="set" vbProcedure="false">#REF!</definedName>
    <definedName function="false" hidden="false" localSheetId="13" name="sfze" vbProcedure="false">{#N/A,#N/A,FALSE,"Contribution Analysis"}</definedName>
    <definedName function="false" hidden="false" localSheetId="13" name="tatat" vbProcedure="false">{"IS",#N/A,FALSE,"IS";"RPTIS",#N/A,FALSE,"RPTIS";"STATS",#N/A,FALSE,"STATS";"CELL",#N/A,FALSE,"CELL";"BS",#N/A,FALSE,"BS"}</definedName>
    <definedName function="false" hidden="false" localSheetId="13" name="test" vbProcedure="false">{#N/A,#N/A,FALSE,"F_Plan";#N/A,#N/A,FALSE,"Parameter"}</definedName>
    <definedName function="false" hidden="false" localSheetId="13" name="test1" vbProcedure="false">{#N/A,#N/A,FALSE,"Umsatz";#N/A,#N/A,FALSE,"Base V.02";#N/A,#N/A,FALSE,"Charts"}</definedName>
    <definedName function="false" hidden="false" localSheetId="13" name="test2" vbProcedure="false">{#N/A,#N/A,FALSE,"F_Plan";#N/A,#N/A,FALSE,"Parameter"}</definedName>
    <definedName function="false" hidden="false" localSheetId="13" name="test3" vbProcedure="false">{#N/A,#N/A,FALSE,"Umsatz";#N/A,#N/A,FALSE,"Base V.02";#N/A,#N/A,FALSE,"Charts"}</definedName>
    <definedName function="false" hidden="false" localSheetId="13" name="test4" vbProcedure="false">{#N/A,#N/A,FALSE,"F_Plan";#N/A,#N/A,FALSE,"Parameter"}</definedName>
    <definedName function="false" hidden="false" localSheetId="13" name="tests" vbProcedure="false">{#N/A,#N/A,FALSE,"F_Plan";#N/A,#N/A,FALSE,"Parameter"}</definedName>
    <definedName function="false" hidden="false" localSheetId="13" name="tkprtkt" vbProcedure="false">#REF!</definedName>
    <definedName function="false" hidden="false" localSheetId="13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trthhhnlmklm" vbProcedure="false">#REF!</definedName>
    <definedName function="false" hidden="false" localSheetId="13" name="ty" vbProcedure="false">{"orixcsc",#N/A,FALSE,"ORIX CSC";"orixcsc2",#N/A,FALSE,"ORIX CSC"}</definedName>
    <definedName function="false" hidden="false" localSheetId="13" name="ufykfk" vbProcedure="false">{"print 1",#N/A,FALSE,"PrimeCo PCS";"print 2",#N/A,FALSE,"PrimeCo PCS";"valuation",#N/A,FALSE,"PrimeCo PCS"}</definedName>
    <definedName function="false" hidden="false" localSheetId="13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wrn.BEL." vbProcedure="false">{"IS",#N/A,FALSE,"IS";"RPTIS",#N/A,FALSE,"RPTIS";"STATS",#N/A,FALSE,"STATS";"CELL",#N/A,FALSE,"CELL";"BS",#N/A,FALSE,"BS"}</definedName>
    <definedName function="false" hidden="false" localSheetId="13" name="wrn.Both." vbProcedure="false">{#N/A,#N/A,FALSE,"1998";#N/A,#N/A,FALSE,"1997"}</definedName>
    <definedName function="false" hidden="false" localSheetId="13" name="wrn.BPlan." vbProcedure="false">{#N/A,#N/A,FALSE,"F_Plan";#N/A,#N/A,FALSE,"Parameter"}</definedName>
    <definedName function="false" hidden="false" localSheetId="13" name="wrn.contribution." vbProcedure="false">{#N/A,#N/A,FALSE,"Contribution Analysis"}</definedName>
    <definedName function="false" hidden="false" localSheetId="13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wrn.csc." vbProcedure="false">{"orixcsc",#N/A,FALSE,"ORIX CSC";"orixcsc2",#N/A,FALSE,"ORIX CSC"}</definedName>
    <definedName function="false" hidden="false" localSheetId="13" name="wrn.csc2." vbProcedure="false">{#N/A,#N/A,FALSE,"ORIX CSC"}</definedName>
    <definedName function="false" hidden="false" localSheetId="13" name="wrn.database." vbProcedure="false">{"subs",#N/A,FALSE,"database ";"proportional",#N/A,FALSE,"database "}</definedName>
    <definedName function="false" hidden="false" localSheetId="13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wrn.Flash._.Report." vbProcedure="false">{#N/A,#N/A,FALSE,"1999 Fiscal Current Week";#N/A,#N/A,FALSE,"1999 Flash Report Variance "}</definedName>
    <definedName function="false" hidden="false" localSheetId="13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wrn.Mark._.P.._.Report." vbProcedure="false">{#N/A,#N/A,FALSE,"1999 Fiscal Current Week";#N/A,#N/A,FALSE,"1999 Fiscal Variance"}</definedName>
    <definedName function="false" hidden="false" localSheetId="13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wrn.PrimeCo." vbProcedure="false">{"print 1",#N/A,FALSE,"PrimeCo PCS";"print 2",#N/A,FALSE,"PrimeCo PCS";"valuation",#N/A,FALSE,"PrimeCo PCS"}</definedName>
    <definedName function="false" hidden="false" localSheetId="13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13" name="wrn.test." vbProcedure="false">{"test2",#N/A,TRUE,"Prices"}</definedName>
    <definedName function="false" hidden="false" localSheetId="13" name="wrn.Umsatz." vbProcedure="false">{#N/A,#N/A,FALSE,"Umsatz";#N/A,#N/A,FALSE,"Base V.02";#N/A,#N/A,FALSE,"Charts"}</definedName>
    <definedName function="false" hidden="false" localSheetId="13" name="wrn.upfront." vbProcedure="false">{#N/A,#N/A,FALSE,"SUMMARY";#N/A,#N/A,FALSE,"COACH";#N/A,#N/A,FALSE,"ACTIONPK";#N/A,#N/A,FALSE,"LASTCALL";#N/A,#N/A,FALSE,"SUZANNE";#N/A,#N/A,FALSE,"NEXPO"}</definedName>
    <definedName function="false" hidden="false" localSheetId="13" name="wrn.USW." vbProcedure="false">{"IS",#N/A,FALSE,"IS";"RPTIS",#N/A,FALSE,"RPTIS";"STATS",#N/A,FALSE,"STATS";"BS",#N/A,FALSE,"BS"}</definedName>
    <definedName function="false" hidden="false" localSheetId="13" name="wrn1.flash._.Report." vbProcedure="false">{#N/A,#N/A,FALSE,"1999 Fiscal Current Week";#N/A,#N/A,FALSE,"1999 Flash Report Variance "}</definedName>
    <definedName function="false" hidden="false" localSheetId="13" name="wrn2.Bplan." vbProcedure="false">{#N/A,#N/A,FALSE,"F_Plan";#N/A,#N/A,FALSE,"Parameter"}</definedName>
    <definedName function="false" hidden="false" localSheetId="13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yre" vbProcedure="false">{#N/A,#N/A,FALSE,"ORIX CSC"}</definedName>
    <definedName function="false" hidden="false" localSheetId="13" name="za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zc" vbProcedure="false">{#N/A,#N/A,FALSE,"ORIX CSC"}</definedName>
    <definedName function="false" hidden="false" localSheetId="13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z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zg" vbProcedure="false">{#N/A,#N/A,FALSE,"Contribution Analysis"}</definedName>
    <definedName function="false" hidden="false" localSheetId="13" name="zh" vbProcedure="false">{"IS",#N/A,FALSE,"IS";"RPTIS",#N/A,FALSE,"RPTIS";"STATS",#N/A,FALSE,"STATS";"CELL",#N/A,FALSE,"CELL";"BS",#N/A,FALSE,"BS"}</definedName>
    <definedName function="false" hidden="false" localSheetId="13" name="zi" vbProcedure="false">{#N/A,#N/A,FALSE,"ORIX CSC"}</definedName>
    <definedName function="false" hidden="false" localSheetId="13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zl" vbProcedure="false">{"IS",#N/A,FALSE,"IS";"RPTIS",#N/A,FALSE,"RPTIS";"STATS",#N/A,FALSE,"STATS";"CELL",#N/A,FALSE,"CELL";"BS",#N/A,FALSE,"BS"}</definedName>
    <definedName function="false" hidden="false" localSheetId="13" name="zm" vbProcedure="false">{#N/A,#N/A,FALSE,"Contribution Analysis"}</definedName>
    <definedName function="false" hidden="false" localSheetId="13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zo" vbProcedure="false">{"orixcsc",#N/A,FALSE,"ORIX CSC";"orixcsc2",#N/A,FALSE,"ORIX CSC"}</definedName>
    <definedName function="false" hidden="false" localSheetId="13" name="zp" vbProcedure="false">{"IS",#N/A,FALSE,"IS";"RPTIS",#N/A,FALSE,"RPTIS";"STATS",#N/A,FALSE,"STATS";"CELL",#N/A,FALSE,"CELL";"BS",#N/A,FALSE,"BS"}</definedName>
    <definedName function="false" hidden="false" localSheetId="13" name="zq" vbProcedure="false">{"IS",#N/A,FALSE,"IS";"RPTIS",#N/A,FALSE,"RPTIS";"STATS",#N/A,FALSE,"STATS";"CELL",#N/A,FALSE,"CELL";"BS",#N/A,FALSE,"BS"}</definedName>
    <definedName function="false" hidden="false" localSheetId="13" name="zr" vbProcedure="false">{"IS",#N/A,FALSE,"IS";"RPTIS",#N/A,FALSE,"RPTIS";"STATS",#N/A,FALSE,"STATS";"BS",#N/A,FALSE,"BS"}</definedName>
    <definedName function="false" hidden="false" localSheetId="13" name="zs" vbProcedure="false">{"subs",#N/A,FALSE,"database ";"proportional",#N/A,FALSE,"database "}</definedName>
    <definedName function="false" hidden="false" localSheetId="13" name="zt" vbProcedure="false">{"test2",#N/A,TRUE,"Prices"}</definedName>
    <definedName function="false" hidden="false" localSheetId="13" name="zu" vbProcedure="false">{"IS",#N/A,FALSE,"IS";"RPTIS",#N/A,FALSE,"RPTIS";"STATS",#N/A,FALSE,"STATS";"CELL",#N/A,FALSE,"CELL";"BS",#N/A,FALSE,"BS"}</definedName>
    <definedName function="false" hidden="false" localSheetId="13" name="zv" vbProcedure="false">{"subs",#N/A,FALSE,"database ";"proportional",#N/A,FALSE,"database "}</definedName>
    <definedName function="false" hidden="false" localSheetId="13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zx" vbProcedure="false">{"orixcsc",#N/A,FALSE,"ORIX CSC";"orixcsc2",#N/A,FALSE,"ORIX CSC"}</definedName>
    <definedName function="false" hidden="false" localSheetId="13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zzzzz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zzzzzz" vbProcedure="false">{"orixcsc",#N/A,FALSE,"ORIX CSC";"orixcsc2",#N/A,FALSE,"ORIX CSC"}</definedName>
    <definedName function="false" hidden="false" localSheetId="13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_10_0__123Grap" vbProcedure="false">#REF!</definedName>
    <definedName function="false" hidden="false" localSheetId="13" name="_13_0__123Grap" vbProcedure="false">#REF!</definedName>
    <definedName function="false" hidden="false" localSheetId="13" name="_18_0__123Grap" vbProcedure="false">#REF!</definedName>
    <definedName function="false" hidden="false" localSheetId="13" name="_19_0__123Grap" vbProcedure="false">#REF!</definedName>
    <definedName function="false" hidden="false" localSheetId="13" name="_22_0__123Grap" vbProcedure="false">#REF!</definedName>
    <definedName function="false" hidden="false" localSheetId="13" name="_37_0__123Grap" vbProcedure="false">#REF!</definedName>
    <definedName function="false" hidden="false" localSheetId="13" name="_5_0__123Grap" vbProcedure="false">#REF!</definedName>
    <definedName function="false" hidden="false" localSheetId="13" name="_5_123Grap" vbProcedure="false">#REF!</definedName>
    <definedName function="false" hidden="false" localSheetId="13" name="_6_0__123Grap" vbProcedure="false">#REF!</definedName>
    <definedName function="false" hidden="false" localSheetId="13" name="_7_0__123Grap" vbProcedure="false">#REF!</definedName>
    <definedName function="false" hidden="false" localSheetId="13" name="_Key1" vbProcedure="false">#REF!</definedName>
    <definedName function="false" hidden="false" localSheetId="13" name="_Key2" vbProcedure="false">#REF!</definedName>
    <definedName function="false" hidden="false" localSheetId="13" name="_Sort" vbProcedure="false">#REF!</definedName>
    <definedName function="false" hidden="false" localSheetId="13" name="_Table2_Out" vbProcedure="false">#REF!</definedName>
    <definedName function="false" hidden="false" localSheetId="13" name="__" vbProcedure="false">{"subs",#N/A,FALSE,"database ";"proportional",#N/A,FALSE,"database "}</definedName>
    <definedName function="false" hidden="false" localSheetId="13" name="__123Graph_A" vbProcedure="false">[7]rend98_99!#ref!</definedName>
    <definedName function="false" hidden="false" localSheetId="13" name="__123Graph_AGRAPH1" vbProcedure="false">'[8]CA Internet'!$C$248:$C$250</definedName>
    <definedName function="false" hidden="false" localSheetId="13" name="__123Graph_AGRAPH2" vbProcedure="false">'[8]CA Internet'!$K$242</definedName>
    <definedName function="false" hidden="false" localSheetId="13" name="__123Graph_AGRAPH3" vbProcedure="false">'[8]CA Internet'!$C$248:$C$250</definedName>
    <definedName function="false" hidden="false" localSheetId="13" name="__123Graph_AGRAPH4" vbProcedure="false">'[8]CA Internet'!$C$249:$G$249</definedName>
    <definedName function="false" hidden="false" localSheetId="13" name="__123Graph_AGRAPH5" vbProcedure="false">'[8]CA Internet'!$R$202:$R$212</definedName>
    <definedName function="false" hidden="false" localSheetId="13" name="__123Graph_AGRAPH6" vbProcedure="false">'[8]CA Internet'!$R$203:$R$212</definedName>
    <definedName function="false" hidden="false" localSheetId="13" name="__123Graph_B" vbProcedure="false">'[10]dct_titu98+rend'!#ref!</definedName>
    <definedName function="false" hidden="false" localSheetId="13" name="__123Graph_BGRAPH1" vbProcedure="false">'[8]CA Internet'!$D$248:$D$250</definedName>
    <definedName function="false" hidden="false" localSheetId="13" name="__123Graph_BGRAPH3" vbProcedure="false">'[8]CA Internet'!$D$248:$D$250</definedName>
    <definedName function="false" hidden="false" localSheetId="13" name="__123Graph_BGRAPH4" vbProcedure="false">'[8]CA Internet'!$C$250:$G$250</definedName>
    <definedName function="false" hidden="false" localSheetId="13" name="__123Graph_BGRAPH5" vbProcedure="false">'[8]CA Internet'!$S$202:$S$212</definedName>
    <definedName function="false" hidden="false" localSheetId="13" name="__123Graph_BGRAPH6" vbProcedure="false">'[8]CA Internet'!$S$203:$S$212</definedName>
    <definedName function="false" hidden="false" localSheetId="13" name="__123Graph_CGRAPH1" vbProcedure="false">'[8]CA Internet'!$E$248:$E$250</definedName>
    <definedName function="false" hidden="false" localSheetId="13" name="__123Graph_CGRAPH3" vbProcedure="false">'[8]CA Internet'!$E$248:$E$250</definedName>
    <definedName function="false" hidden="false" localSheetId="13" name="__123Graph_D" vbProcedure="false">'[11]Detail mensuel'!$D$1</definedName>
    <definedName function="false" hidden="false" localSheetId="13" name="__123Graph_DGRAPH1" vbProcedure="false">'[8]CA Internet'!$F$248:$F$250</definedName>
    <definedName function="false" hidden="false" localSheetId="13" name="__123Graph_DGRAPH3" vbProcedure="false">'[8]CA Internet'!$F$248:$F$250</definedName>
    <definedName function="false" hidden="false" localSheetId="13" name="__123Graph_EGRAPH1" vbProcedure="false">'[8]CA Internet'!$G$248:$G$250</definedName>
    <definedName function="false" hidden="false" localSheetId="13" name="__123Graph_EGRAPH3" vbProcedure="false">'[8]CA Internet'!$G$248:$G$250</definedName>
    <definedName function="false" hidden="false" localSheetId="13" name="__123Graph_LBL_AGRAPH6" vbProcedure="false">'[8]CA Internet'!$R$203:$R$213</definedName>
    <definedName function="false" hidden="false" localSheetId="13" name="__123Graph_LBL_BGRAPH6" vbProcedure="false">'[8]CA Internet'!$S$203:$S$213</definedName>
    <definedName function="false" hidden="false" localSheetId="13" name="__123Graph_X" vbProcedure="false">[7]rend98_99!#ref!</definedName>
    <definedName function="false" hidden="false" localSheetId="13" name="__123Graph_XGRAPH1" vbProcedure="false">'[8]CA Internet'!$B$248:$B$250</definedName>
    <definedName function="false" hidden="false" localSheetId="13" name="__123Graph_XGRAPH3" vbProcedure="false">'[8]CA Internet'!$B$248:$B$250</definedName>
    <definedName function="false" hidden="false" localSheetId="13" name="__123Graph_XGRAPH4" vbProcedure="false">'[8]CA Internet'!$C$248:$G$248</definedName>
    <definedName function="false" hidden="false" localSheetId="13" name="__123Graph_XGRAPH5" vbProcedure="false">'[8]CA Internet'!$Q$202:$Q$212</definedName>
    <definedName function="false" hidden="false" localSheetId="13" name="__123Graph_XGRAPH6" vbProcedure="false">'[8]CA Internet'!$Q$203:$Q$212</definedName>
    <definedName function="false" hidden="false" localSheetId="13" name="__5_0__123Gra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7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Loyers bandes passantes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D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J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J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J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P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P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P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R11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50 M d'honoraires payés à Maitre DJIKUI non provisionné</t>
        </r>
      </text>
    </comment>
    <comment ref="V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V10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Dépassement de 36 M sur FA cybersock
</t>
        </r>
      </text>
    </comment>
    <comment ref="V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V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AD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D110" authorId="0">
      <text>
        <r>
          <rPr>
            <sz val="10"/>
            <rFont val="Arial"/>
            <family val="2"/>
            <charset val="1"/>
          </rPr>
          <t xml:space="preserve">Abdel Mouiz BACHABI
FA BYLOSIS de 11 millions non provisionnée
</t>
        </r>
      </text>
    </comment>
    <comment ref="AD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AD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AL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L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AL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AU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U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AU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BC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C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BC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BK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K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BK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BT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T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BT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CB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B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CB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CG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Regul assurance vie compatbiisée de trop pour 45 Millions
Augmentation des charges d'assurance du personnel de 8 millions
Augmentation des charges sociales payées sur congés +10 millions
</t>
        </r>
      </text>
    </comment>
    <comment ref="CJ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J15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44 Millions de reclassement interets débiteur 
8M de commission reglement LCI</t>
        </r>
      </text>
    </comment>
    <comment ref="CJ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CJ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DP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P169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DP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DP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SMPP de GIZ ( ponctuel : 12 M)</t>
        </r>
      </text>
    </comment>
    <comment ref="D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D14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Reprise de facture d'avoir, 32 milions</t>
        </r>
      </text>
    </comment>
    <comment ref="D171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Refacturation coloc sbin Août à Nov : +30 M d'impact</t>
        </r>
      </text>
    </comment>
    <comment ref="J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J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J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P1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Régularisation de 51 M jan-nov-aou</t>
        </r>
      </text>
    </comment>
    <comment ref="P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P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P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V1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Régularisation de 51 M jan-nov-aou</t>
        </r>
      </text>
    </comment>
    <comment ref="V2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réalisation et estimation de -133 millions</t>
        </r>
      </text>
    </comment>
    <comment ref="V2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-106 millions</t>
        </r>
      </text>
    </comment>
    <comment ref="V2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+4,7 millions</t>
        </r>
      </text>
    </comment>
    <comment ref="V2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+14 millions</t>
        </r>
      </text>
    </comment>
    <comment ref="V27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Ecarte entre réalisé et estimé de -3,9 millions</t>
        </r>
      </text>
    </comment>
    <comment ref="V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V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V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V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V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V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V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V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V12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V1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 estimation et realisation sur la taxe 5%</t>
        </r>
      </text>
    </comment>
    <comment ref="AD1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Régularisation de 51 M jan-nov-aou</t>
        </r>
      </text>
    </comment>
    <comment ref="AD2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réalisation et estimation de -133 millions</t>
        </r>
      </text>
    </comment>
    <comment ref="AD2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-106 millions</t>
        </r>
      </text>
    </comment>
    <comment ref="AD2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+4,7 millions</t>
        </r>
      </text>
    </comment>
    <comment ref="AD2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+14 millions</t>
        </r>
      </text>
    </comment>
    <comment ref="AD27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Ecarte entre réalisé et estimé de -3,9 millions</t>
        </r>
      </text>
    </comment>
    <comment ref="AD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AD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AD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AD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D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AD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AD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D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AD12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AD1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 estimation et realisation sur la taxe 5%</t>
        </r>
      </text>
    </comment>
    <comment ref="AL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AL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AL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AL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L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AL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AL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L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AU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AU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AU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AU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U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AU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AU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U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BC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BC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BC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C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BC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BC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C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BK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BK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BK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K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BK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K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BT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T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BT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T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CB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B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CB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CJ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J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CJ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DM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M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M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Revenue sharing costs-vendors</t>
        </r>
      </text>
    </comment>
    <comment ref="B39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Revenue sharing costs-vendors</t>
        </r>
      </text>
    </comment>
    <comment ref="D5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 d'accompagnement</t>
        </r>
      </text>
    </comment>
    <comment ref="D5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13 M d'AIB supportés sur M cce </t>
        </r>
      </text>
    </comment>
    <comment ref="P38" authorId="0">
      <text>
        <r>
          <rPr>
            <sz val="10"/>
            <rFont val="Arial"/>
            <family val="2"/>
            <charset val="1"/>
          </rPr>
          <t xml:space="preserve">Abdel Mouiz BACHABI:
</t>
        </r>
      </text>
    </comment>
    <comment ref="P4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de 10M entre la provision de Belgacom et les factures réelles</t>
        </r>
      </text>
    </comment>
    <comment ref="BT5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18M d'acompte
</t>
        </r>
      </text>
    </comment>
    <comment ref="BT5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55M. Regul de 37M
</t>
        </r>
      </text>
    </comment>
    <comment ref="CB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 coût de vente des terminaux nov 24 est supérieru de 44M à celui de Nov 23 en lien avec la hausse du CA des terminaux Nov24 vs Nov 23</t>
        </r>
      </text>
    </comment>
    <comment ref="CB5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64M dont Régul de 37M</t>
        </r>
      </text>
    </comment>
    <comment ref="CG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Les charges de roaming Nov 23 avaient fait l'objet d'une reprise de provision devenu sans objet pour 43M</t>
        </r>
      </text>
    </comment>
    <comment ref="CJ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 coût de vente des terminaux nov 24 est supérieru de 44M à celui de Nov 23 en lien avec la hausse du CA des terminaux Nov24 vs Nov 23</t>
        </r>
      </text>
    </comment>
    <comment ref="CJ5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64M dont Régul de 37M</t>
        </r>
      </text>
    </comment>
    <comment ref="CO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Les charges de roaming Nov 23 avaient fait l'objet d'une reprise de provision devenu sans objet pour 43M</t>
        </r>
      </text>
    </commen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U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U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U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SIM achat CPTE 601230 + 603130</t>
        </r>
      </text>
    </comment>
    <comment ref="BT1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BT3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vers "système d'information</t>
        </r>
      </text>
    </comment>
    <comment ref="CB1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B3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vers "système d'information</t>
        </r>
      </text>
    </comment>
    <comment ref="CJ1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J3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vers "système d'information</t>
        </r>
      </text>
    </commen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9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y compris top up moov money</t>
        </r>
      </text>
    </comment>
  </commentList>
</comments>
</file>

<file path=xl/sharedStrings.xml><?xml version="1.0" encoding="utf-8"?>
<sst xmlns="http://schemas.openxmlformats.org/spreadsheetml/2006/main" count="2804" uniqueCount="1343">
  <si>
    <t xml:space="preserve">MOOV AFRICA BENIN TBG</t>
  </si>
  <si>
    <t xml:space="preserve"> </t>
  </si>
  <si>
    <t xml:space="preserve">P&amp;L consolidé</t>
  </si>
  <si>
    <t xml:space="preserve">CUMUL</t>
  </si>
  <si>
    <t xml:space="preserve">ANNUEL</t>
  </si>
  <si>
    <t xml:space="preserve">(En Millions ML)</t>
  </si>
  <si>
    <t xml:space="preserve">2024
 Réel</t>
  </si>
  <si>
    <t xml:space="preserve">2024 
Budget</t>
  </si>
  <si>
    <t xml:space="preserve">Ecart /
Budget</t>
  </si>
  <si>
    <t xml:space="preserve">2023 
Réel</t>
  </si>
  <si>
    <t xml:space="preserve">Evol 
%</t>
  </si>
  <si>
    <t xml:space="preserve">2024 
Actu1</t>
  </si>
  <si>
    <t xml:space="preserve">Ecart /
Actu1</t>
  </si>
  <si>
    <t xml:space="preserve">2024 
Actu2</t>
  </si>
  <si>
    <t xml:space="preserve">Ecart /
Actu2</t>
  </si>
  <si>
    <t xml:space="preserve">2024 
Actu3</t>
  </si>
  <si>
    <t xml:space="preserve">Ecart /
Actu3</t>
  </si>
  <si>
    <t xml:space="preserve">Bud / 
2023 (%)</t>
  </si>
  <si>
    <t xml:space="preserve">Actu 1 / 
2023 (%)</t>
  </si>
  <si>
    <t xml:space="preserve">Actu 2 / 
2023 (%)</t>
  </si>
  <si>
    <t xml:space="preserve">Actu3 / 
2023 (%)</t>
  </si>
  <si>
    <t xml:space="preserve">Chiffre d'affaires</t>
  </si>
  <si>
    <t xml:space="preserve">PL1</t>
  </si>
  <si>
    <t xml:space="preserve">Fixe &amp; Internet</t>
  </si>
  <si>
    <t xml:space="preserve">PL2</t>
  </si>
  <si>
    <t xml:space="preserve">Mobile</t>
  </si>
  <si>
    <t xml:space="preserve">PL3</t>
  </si>
  <si>
    <t xml:space="preserve">Intercompagnie Mobile</t>
  </si>
  <si>
    <t xml:space="preserve">PL4</t>
  </si>
  <si>
    <t xml:space="preserve">PL5</t>
  </si>
  <si>
    <t xml:space="preserve">Intercompagnie</t>
  </si>
  <si>
    <t xml:space="preserve">PL6</t>
  </si>
  <si>
    <t xml:space="preserve">dont Intercompagnie hors trafic</t>
  </si>
  <si>
    <t xml:space="preserve">PL7</t>
  </si>
  <si>
    <t xml:space="preserve">PL8</t>
  </si>
  <si>
    <t xml:space="preserve">Coût des ventes</t>
  </si>
  <si>
    <t xml:space="preserve">PL9</t>
  </si>
  <si>
    <t xml:space="preserve">PL10</t>
  </si>
  <si>
    <t xml:space="preserve">PL11</t>
  </si>
  <si>
    <t xml:space="preserve">PL12</t>
  </si>
  <si>
    <t xml:space="preserve">PL13</t>
  </si>
  <si>
    <t xml:space="preserve">Marge Brute</t>
  </si>
  <si>
    <t xml:space="preserve">PL14</t>
  </si>
  <si>
    <t xml:space="preserve">% CA</t>
  </si>
  <si>
    <t xml:space="preserve">PL15</t>
  </si>
  <si>
    <t xml:space="preserve">PL16</t>
  </si>
  <si>
    <t xml:space="preserve">PL17</t>
  </si>
  <si>
    <t xml:space="preserve">PL18</t>
  </si>
  <si>
    <t xml:space="preserve">Coûts opérationnels</t>
  </si>
  <si>
    <t xml:space="preserve">PL19</t>
  </si>
  <si>
    <t xml:space="preserve">PL20</t>
  </si>
  <si>
    <t xml:space="preserve">Intercompagnie Fixe &amp; Internet</t>
  </si>
  <si>
    <t xml:space="preserve">PL21</t>
  </si>
  <si>
    <t xml:space="preserve">PL22</t>
  </si>
  <si>
    <t xml:space="preserve">PL23</t>
  </si>
  <si>
    <t xml:space="preserve">PL24</t>
  </si>
  <si>
    <t xml:space="preserve">EBITDA</t>
  </si>
  <si>
    <t xml:space="preserve">PL25</t>
  </si>
  <si>
    <t xml:space="preserve">PL26</t>
  </si>
  <si>
    <t xml:space="preserve">PL27</t>
  </si>
  <si>
    <t xml:space="preserve">PL28</t>
  </si>
  <si>
    <t xml:space="preserve">PL29</t>
  </si>
  <si>
    <t xml:space="preserve">Amortissements et déprec. Courant</t>
  </si>
  <si>
    <t xml:space="preserve">PL30</t>
  </si>
  <si>
    <t xml:space="preserve">Dotations (Amo. et Pv NC)</t>
  </si>
  <si>
    <t xml:space="preserve">PL31</t>
  </si>
  <si>
    <t xml:space="preserve">Autres non courant</t>
  </si>
  <si>
    <t xml:space="preserve">PL32</t>
  </si>
  <si>
    <t xml:space="preserve"> +/- value de cession d'immob.</t>
  </si>
  <si>
    <t xml:space="preserve">PL33</t>
  </si>
  <si>
    <t xml:space="preserve">PL34</t>
  </si>
  <si>
    <t xml:space="preserve">EBITA</t>
  </si>
  <si>
    <t xml:space="preserve">PL35</t>
  </si>
  <si>
    <t xml:space="preserve">PL36</t>
  </si>
  <si>
    <t xml:space="preserve">PL37</t>
  </si>
  <si>
    <t xml:space="preserve">PL38</t>
  </si>
  <si>
    <t xml:space="preserve">PL39</t>
  </si>
  <si>
    <t xml:space="preserve">PL40</t>
  </si>
  <si>
    <t xml:space="preserve">Résultat financier</t>
  </si>
  <si>
    <t xml:space="preserve">PL41</t>
  </si>
  <si>
    <t xml:space="preserve">dont intérêt sur SHL</t>
  </si>
  <si>
    <t xml:space="preserve">PL42</t>
  </si>
  <si>
    <t xml:space="preserve">PL43</t>
  </si>
  <si>
    <t xml:space="preserve">RESULTAT avant IS</t>
  </si>
  <si>
    <t xml:space="preserve">PL44</t>
  </si>
  <si>
    <t xml:space="preserve">IS</t>
  </si>
  <si>
    <t xml:space="preserve">PL45</t>
  </si>
  <si>
    <t xml:space="preserve">ID</t>
  </si>
  <si>
    <t xml:space="preserve">PL46</t>
  </si>
  <si>
    <t xml:space="preserve">PL47</t>
  </si>
  <si>
    <t xml:space="preserve">RESULTAT NET</t>
  </si>
  <si>
    <t xml:space="preserve">PL48</t>
  </si>
  <si>
    <t xml:space="preserve">PL49</t>
  </si>
  <si>
    <t xml:space="preserve">PL50</t>
  </si>
  <si>
    <t xml:space="preserve">CA PNL</t>
  </si>
  <si>
    <t xml:space="preserve">CA</t>
  </si>
  <si>
    <t xml:space="preserve">CHECK</t>
  </si>
  <si>
    <t xml:space="preserve">CA MARGES</t>
  </si>
  <si>
    <t xml:space="preserve">OPEX PNL</t>
  </si>
  <si>
    <t xml:space="preserve">OPEX</t>
  </si>
  <si>
    <t xml:space="preserve">Opex Consolidés </t>
  </si>
  <si>
    <t xml:space="preserve">2024
Réel</t>
  </si>
  <si>
    <t xml:space="preserve">Actu</t>
  </si>
  <si>
    <t xml:space="preserve">Total Opex</t>
  </si>
  <si>
    <t xml:space="preserve">Opex1</t>
  </si>
  <si>
    <t xml:space="preserve">Opex2</t>
  </si>
  <si>
    <t xml:space="preserve">Personnel</t>
  </si>
  <si>
    <t xml:space="preserve">Opex3</t>
  </si>
  <si>
    <t xml:space="preserve">TAXES SUR APPOINTEMENTS ET SAL</t>
  </si>
  <si>
    <t xml:space="preserve">Opex4</t>
  </si>
  <si>
    <t xml:space="preserve">APPOINTEMENTS, SALAIRES PERSON</t>
  </si>
  <si>
    <t xml:space="preserve">Opex5</t>
  </si>
  <si>
    <t xml:space="preserve">CONGES PAYES PERSONNEL NATIONA</t>
  </si>
  <si>
    <t xml:space="preserve">Opex6</t>
  </si>
  <si>
    <t xml:space="preserve">CHARGES SOCIALES S/ REMUNERATI</t>
  </si>
  <si>
    <t xml:space="preserve">Opex7</t>
  </si>
  <si>
    <t xml:space="preserve">AUTRES CHARGES SOCIALES</t>
  </si>
  <si>
    <t xml:space="preserve">Opex8</t>
  </si>
  <si>
    <t xml:space="preserve">PERSONNEL INTERIMAIRE &amp; STAGIA</t>
  </si>
  <si>
    <t xml:space="preserve">Opex9</t>
  </si>
  <si>
    <t xml:space="preserve">PRIMES ET GRATIFICATIONS PERSO</t>
  </si>
  <si>
    <t xml:space="preserve">Opex10</t>
  </si>
  <si>
    <t xml:space="preserve">INDEMNITES DE LICENCIEMENT PER</t>
  </si>
  <si>
    <t xml:space="preserve">Opex11</t>
  </si>
  <si>
    <t xml:space="preserve">EAU RESIDENCES</t>
  </si>
  <si>
    <t xml:space="preserve">Opex12</t>
  </si>
  <si>
    <t xml:space="preserve">ELECTRICITE RESIDENCES</t>
  </si>
  <si>
    <t xml:space="preserve">Opex13</t>
  </si>
  <si>
    <t xml:space="preserve">LOYERS RESIDENCES</t>
  </si>
  <si>
    <t xml:space="preserve">Opex14</t>
  </si>
  <si>
    <t xml:space="preserve">ENTRETIEN ET REPARATIONS RESID</t>
  </si>
  <si>
    <t xml:space="preserve">Opex15</t>
  </si>
  <si>
    <t xml:space="preserve">FRAIS MEDICAUX PERSONNEL NATIO</t>
  </si>
  <si>
    <t xml:space="preserve">Opex16</t>
  </si>
  <si>
    <t xml:space="preserve">AVANTAGES EN NATURE PERSONNEL</t>
  </si>
  <si>
    <t xml:space="preserve">Opex17</t>
  </si>
  <si>
    <t xml:space="preserve">TRANSFERT DE CHARGES D'EXPLOITATION</t>
  </si>
  <si>
    <t xml:space="preserve">Opex18</t>
  </si>
  <si>
    <t xml:space="preserve">Opex19</t>
  </si>
  <si>
    <t xml:space="preserve">Opex20</t>
  </si>
  <si>
    <t xml:space="preserve">Opex21</t>
  </si>
  <si>
    <t xml:space="preserve">Opex22</t>
  </si>
  <si>
    <t xml:space="preserve">FRAIS DE TELEPHONE RESIDENCES</t>
  </si>
  <si>
    <t xml:space="preserve">Opex23</t>
  </si>
  <si>
    <t xml:space="preserve">Opex24</t>
  </si>
  <si>
    <t xml:space="preserve">Opex25</t>
  </si>
  <si>
    <t xml:space="preserve">Opex26</t>
  </si>
  <si>
    <t xml:space="preserve">AUTRES INDEMNITES ET AVANTAGES</t>
  </si>
  <si>
    <t xml:space="preserve">Opex27</t>
  </si>
  <si>
    <t xml:space="preserve">FRAIS DE FORMATION DU PERSONNE</t>
  </si>
  <si>
    <t xml:space="preserve">Opex28</t>
  </si>
  <si>
    <t xml:space="preserve">TRANSPORT PERSONNEL</t>
  </si>
  <si>
    <t xml:space="preserve">Opex29</t>
  </si>
  <si>
    <t xml:space="preserve">RECEPTIONS PERSONNEL</t>
  </si>
  <si>
    <t xml:space="preserve">Opex30</t>
  </si>
  <si>
    <t xml:space="preserve">ASSURANCE DU PERSONNEL</t>
  </si>
  <si>
    <t xml:space="preserve">Opex31</t>
  </si>
  <si>
    <t xml:space="preserve">Réduction budget</t>
  </si>
  <si>
    <t xml:space="preserve">Opex32</t>
  </si>
  <si>
    <t xml:space="preserve">Opex33</t>
  </si>
  <si>
    <t xml:space="preserve">Communication</t>
  </si>
  <si>
    <t xml:space="preserve">Opex34</t>
  </si>
  <si>
    <t xml:space="preserve">VARIATION DE STOCKS AUTRES APPRO</t>
  </si>
  <si>
    <t xml:space="preserve">Opex35</t>
  </si>
  <si>
    <t xml:space="preserve">ANNONCES, INSERTIONS TELE</t>
  </si>
  <si>
    <t xml:space="preserve">Opex36</t>
  </si>
  <si>
    <t xml:space="preserve">ANNONCES, INSERTIONS RADIO</t>
  </si>
  <si>
    <t xml:space="preserve">Opex37</t>
  </si>
  <si>
    <t xml:space="preserve">ANNONCES, INSERTIONS PRESSE</t>
  </si>
  <si>
    <t xml:space="preserve">Opex38</t>
  </si>
  <si>
    <t xml:space="preserve">FRAIS D'AGENCES PUBLICITAIRES</t>
  </si>
  <si>
    <t xml:space="preserve">Opex39</t>
  </si>
  <si>
    <t xml:space="preserve">CONCEPTIONS, PRODUCTION PUBLIC</t>
  </si>
  <si>
    <t xml:space="preserve">Opex40</t>
  </si>
  <si>
    <t xml:space="preserve">CATALOGUES, IMPRIMES PUBLICITA</t>
  </si>
  <si>
    <t xml:space="preserve">Opex41</t>
  </si>
  <si>
    <t xml:space="preserve">ENSEIGNES PUBLICITAIRES - AFFI</t>
  </si>
  <si>
    <t xml:space="preserve">Opex42</t>
  </si>
  <si>
    <t xml:space="preserve">FOIRES ET EXPOSITIONS</t>
  </si>
  <si>
    <t xml:space="preserve">Opex43</t>
  </si>
  <si>
    <t xml:space="preserve">CADEAUX A LA CLIENTELE</t>
  </si>
  <si>
    <t xml:space="preserve">Opex44</t>
  </si>
  <si>
    <t xml:space="preserve">FRAIS DE COLLOQUES, SEMINAIRES</t>
  </si>
  <si>
    <t xml:space="preserve">Opex45</t>
  </si>
  <si>
    <t xml:space="preserve">RELATIONS PUBLIQUES</t>
  </si>
  <si>
    <t xml:space="preserve">Opex46</t>
  </si>
  <si>
    <t xml:space="preserve">DEVELOPPEMENT DE LA MARQUE</t>
  </si>
  <si>
    <t xml:space="preserve">Opex47</t>
  </si>
  <si>
    <t xml:space="preserve">AUTRES IMPOTS ET TAXES DIRECTS</t>
  </si>
  <si>
    <t xml:space="preserve">Opex48</t>
  </si>
  <si>
    <t xml:space="preserve">ENQUETES ET ETUDES DE MARCHES</t>
  </si>
  <si>
    <t xml:space="preserve">Opex49</t>
  </si>
  <si>
    <t xml:space="preserve">Opex50</t>
  </si>
  <si>
    <t xml:space="preserve">Exploitation &amp; maintenance</t>
  </si>
  <si>
    <t xml:space="preserve">Opex51</t>
  </si>
  <si>
    <t xml:space="preserve">Achat d'énergie - Bâtiment - Gardiennage</t>
  </si>
  <si>
    <t xml:space="preserve">Opex52</t>
  </si>
  <si>
    <t xml:space="preserve">LOYERS ENTREPOTS</t>
  </si>
  <si>
    <t xml:space="preserve">Opex53</t>
  </si>
  <si>
    <t xml:space="preserve">ELECTRICITE CT AKASSATO</t>
  </si>
  <si>
    <t xml:space="preserve">Opex54</t>
  </si>
  <si>
    <t xml:space="preserve">EAU CT</t>
  </si>
  <si>
    <t xml:space="preserve">Opex55</t>
  </si>
  <si>
    <t xml:space="preserve">ELECTRICITE SITES TECHNIQUES</t>
  </si>
  <si>
    <t xml:space="preserve">Opex56</t>
  </si>
  <si>
    <t xml:space="preserve">ELECTRICITE SITES TECHNIQUES C</t>
  </si>
  <si>
    <t xml:space="preserve">Opex57</t>
  </si>
  <si>
    <t xml:space="preserve">VARIATION DE STOCKS, CARBURANT</t>
  </si>
  <si>
    <t xml:space="preserve">Opex58</t>
  </si>
  <si>
    <t xml:space="preserve">FRAIS DE CARBURANT ET LUBRIFIA</t>
  </si>
  <si>
    <t xml:space="preserve">Opex59</t>
  </si>
  <si>
    <t xml:space="preserve">LOYERS SITES TECHNIQUES</t>
  </si>
  <si>
    <t xml:space="preserve">Opex60</t>
  </si>
  <si>
    <t xml:space="preserve">FRAIS DE GARDIENNAGE</t>
  </si>
  <si>
    <t xml:space="preserve">Opex61</t>
  </si>
  <si>
    <t xml:space="preserve">LOYERS SIEGE ET AGENCES</t>
  </si>
  <si>
    <t xml:space="preserve">Opex62</t>
  </si>
  <si>
    <t xml:space="preserve">FOURNITURES D'ENTRETIEN NON ST</t>
  </si>
  <si>
    <t xml:space="preserve">Opex63</t>
  </si>
  <si>
    <t xml:space="preserve">ENTRETIEN ET REPARATIONS BATS</t>
  </si>
  <si>
    <t xml:space="preserve">Opex64</t>
  </si>
  <si>
    <t xml:space="preserve">Opex65</t>
  </si>
  <si>
    <t xml:space="preserve">EAU BUREAUX, ADMINISTRATION, C</t>
  </si>
  <si>
    <t xml:space="preserve">Opex66</t>
  </si>
  <si>
    <t xml:space="preserve">ELECTRICITE BUREAUX, ADMINISTR</t>
  </si>
  <si>
    <t xml:space="preserve">Opex67</t>
  </si>
  <si>
    <t xml:space="preserve">FRAIS DE TELEPHONE BUREAUX</t>
  </si>
  <si>
    <t xml:space="preserve">Opex68</t>
  </si>
  <si>
    <t xml:space="preserve">FRAIS DE TELECOPIE</t>
  </si>
  <si>
    <t xml:space="preserve">Opex69</t>
  </si>
  <si>
    <t xml:space="preserve">AUTRES FRAIS DE COMMUNICATIONS</t>
  </si>
  <si>
    <t xml:space="preserve">Opex70</t>
  </si>
  <si>
    <t xml:space="preserve">FRAIS CONNEXION INTERNET</t>
  </si>
  <si>
    <t xml:space="preserve">Opex71</t>
  </si>
  <si>
    <t xml:space="preserve">Contrainte :SBEE</t>
  </si>
  <si>
    <t xml:space="preserve">Opex72</t>
  </si>
  <si>
    <t xml:space="preserve">Lignes et réseaux (entretien &amp; achats)</t>
  </si>
  <si>
    <t xml:space="preserve">Opex73</t>
  </si>
  <si>
    <t xml:space="preserve">ACHATS PETIT MATERIEL ET OUTIL</t>
  </si>
  <si>
    <t xml:space="preserve">Opex74</t>
  </si>
  <si>
    <t xml:space="preserve">Opex75</t>
  </si>
  <si>
    <t xml:space="preserve">ENTRETIEN ET REPARATIONS SITES</t>
  </si>
  <si>
    <t xml:space="preserve">Opex76</t>
  </si>
  <si>
    <t xml:space="preserve">VARIATION DE STOCKS AUTRES APPRO DT</t>
  </si>
  <si>
    <t xml:space="preserve">Opex77</t>
  </si>
  <si>
    <t xml:space="preserve">ENTRETIEN ET REPARATIONS EQUIP</t>
  </si>
  <si>
    <t xml:space="preserve">Opex78</t>
  </si>
  <si>
    <t xml:space="preserve">MAINTENANCE EQUIPEMENTS TECHNI</t>
  </si>
  <si>
    <t xml:space="preserve">Opex79</t>
  </si>
  <si>
    <t xml:space="preserve">LOYERS D'ESPACES EN CO-LOCATIO</t>
  </si>
  <si>
    <t xml:space="preserve">Opex80</t>
  </si>
  <si>
    <t xml:space="preserve">LOYERS LIAISONS SIGNALISATIONS</t>
  </si>
  <si>
    <t xml:space="preserve">Opex81</t>
  </si>
  <si>
    <t xml:space="preserve">LOYERS LIAISONS SEGMENT SPACIA</t>
  </si>
  <si>
    <t xml:space="preserve">Opex82</t>
  </si>
  <si>
    <t xml:space="preserve">LOYERS LIAISONS MIC</t>
  </si>
  <si>
    <t xml:space="preserve">Opex83</t>
  </si>
  <si>
    <t xml:space="preserve">LOYERS LIAISONS FIBRES OPTIQUE</t>
  </si>
  <si>
    <t xml:space="preserve">Opex84</t>
  </si>
  <si>
    <t xml:space="preserve">LOYERS AUTRES LIAISONS</t>
  </si>
  <si>
    <t xml:space="preserve">Opex85</t>
  </si>
  <si>
    <t xml:space="preserve">LOCATION D'INFRASTRUCTURES TEL</t>
  </si>
  <si>
    <t xml:space="preserve">Opex86</t>
  </si>
  <si>
    <t xml:space="preserve">LOCATION D'EQUIPEMENTS  TELECO</t>
  </si>
  <si>
    <t xml:space="preserve">Opex87</t>
  </si>
  <si>
    <t xml:space="preserve">AUTRES LOCATIONS ET CHARGES LO</t>
  </si>
  <si>
    <t xml:space="preserve">Opex88</t>
  </si>
  <si>
    <t xml:space="preserve">REMUNERATIONS TRANSITAIRES</t>
  </si>
  <si>
    <t xml:space="preserve">Opex89</t>
  </si>
  <si>
    <t xml:space="preserve">FRAIS DE DEBOURS ENLEVEMENT</t>
  </si>
  <si>
    <t xml:space="preserve">Opex90</t>
  </si>
  <si>
    <t xml:space="preserve">Fees du contrat GMNS</t>
  </si>
  <si>
    <t xml:space="preserve">Opex91</t>
  </si>
  <si>
    <t xml:space="preserve">HONORAIRES CONSULTANTS (ERICSSON-GNMS)</t>
  </si>
  <si>
    <t xml:space="preserve">Opex92</t>
  </si>
  <si>
    <t xml:space="preserve">Fees du contrat IHS (spécifique à CDI)</t>
  </si>
  <si>
    <t xml:space="preserve">Opex93</t>
  </si>
  <si>
    <t xml:space="preserve">Matériel de transport (Entretien et locat°)</t>
  </si>
  <si>
    <t xml:space="preserve">Opex94</t>
  </si>
  <si>
    <t xml:space="preserve">ENTRETIEN ET REPARATIONS VEH. TECHNIQUES</t>
  </si>
  <si>
    <t xml:space="preserve">Opex95</t>
  </si>
  <si>
    <t xml:space="preserve">ENTRETIEN ET REPARATIONS VEH. ADMINISTRATIFS</t>
  </si>
  <si>
    <t xml:space="preserve">Opex96</t>
  </si>
  <si>
    <t xml:space="preserve">ASSURANCE MATERIEL DE TRANSPOR</t>
  </si>
  <si>
    <t xml:space="preserve">Opex97</t>
  </si>
  <si>
    <t xml:space="preserve">ACHATS CARBURANT VEH. ADMIN.</t>
  </si>
  <si>
    <t xml:space="preserve">Opex98</t>
  </si>
  <si>
    <t xml:space="preserve">ACHATS CARBURANT VEH. TECH.</t>
  </si>
  <si>
    <t xml:space="preserve">Opex99</t>
  </si>
  <si>
    <t xml:space="preserve">Maintenance  informatique</t>
  </si>
  <si>
    <t xml:space="preserve">Opex100</t>
  </si>
  <si>
    <t xml:space="preserve">FOURNITURES INFORMATIQUES STOCK</t>
  </si>
  <si>
    <t xml:space="preserve">Opex101</t>
  </si>
  <si>
    <t xml:space="preserve">VARIATION DE STOCKS AUTRES APPRO  DSI</t>
  </si>
  <si>
    <t xml:space="preserve">Opex102</t>
  </si>
  <si>
    <t xml:space="preserve">ENTRETIEN MATERIEL INFORMATIQUE</t>
  </si>
  <si>
    <t xml:space="preserve">Opex103</t>
  </si>
  <si>
    <t xml:space="preserve">MAINTENANCE INFORMATIQUE</t>
  </si>
  <si>
    <t xml:space="preserve">Opex104</t>
  </si>
  <si>
    <t xml:space="preserve">Opex105</t>
  </si>
  <si>
    <t xml:space="preserve">Opex106</t>
  </si>
  <si>
    <t xml:space="preserve">Frais généraux</t>
  </si>
  <si>
    <t xml:space="preserve">Opex107</t>
  </si>
  <si>
    <t xml:space="preserve">Frais d'achats d'études, honoraires</t>
  </si>
  <si>
    <t xml:space="preserve">Opex108</t>
  </si>
  <si>
    <t xml:space="preserve">FRAIS DE RECRUTEMENT DU PERSON &amp; FORMATION</t>
  </si>
  <si>
    <t xml:space="preserve">Opex109</t>
  </si>
  <si>
    <t xml:space="preserve">Opex110</t>
  </si>
  <si>
    <t xml:space="preserve">Opex111</t>
  </si>
  <si>
    <t xml:space="preserve">HONORAIRES AVOCATS, HUISSIERS</t>
  </si>
  <si>
    <t xml:space="preserve">Opex112</t>
  </si>
  <si>
    <t xml:space="preserve">HONORAIRES CONSULTANTS</t>
  </si>
  <si>
    <t xml:space="preserve">Opex113</t>
  </si>
  <si>
    <t xml:space="preserve">HONORAIRES CAC</t>
  </si>
  <si>
    <t xml:space="preserve">Opex114</t>
  </si>
  <si>
    <t xml:space="preserve">HONORAIRES AUDITEURS</t>
  </si>
  <si>
    <t xml:space="preserve">Opex115</t>
  </si>
  <si>
    <t xml:space="preserve">HONORAIRES DIVERS</t>
  </si>
  <si>
    <t xml:space="preserve">Opex116</t>
  </si>
  <si>
    <t xml:space="preserve">FRAIS D'ACTES ET DE CONTENTIEU</t>
  </si>
  <si>
    <t xml:space="preserve">Opex117</t>
  </si>
  <si>
    <t xml:space="preserve">TRAVAUX, ACHATS MATERIELS ET EQUIPEMENTS</t>
  </si>
  <si>
    <t xml:space="preserve">Opex118</t>
  </si>
  <si>
    <t xml:space="preserve">FRAIS DE GESTION ROAMING CHAMB</t>
  </si>
  <si>
    <t xml:space="preserve">Opex119</t>
  </si>
  <si>
    <t xml:space="preserve">AUTRES FRAIS DE TRANSPORTS</t>
  </si>
  <si>
    <t xml:space="preserve">Opex120</t>
  </si>
  <si>
    <t xml:space="preserve">ETUDES ET RECHERCHES</t>
  </si>
  <si>
    <t xml:space="preserve">Opex121</t>
  </si>
  <si>
    <t xml:space="preserve">DOCUMENTATION GENERALE</t>
  </si>
  <si>
    <t xml:space="preserve">Opex122</t>
  </si>
  <si>
    <t xml:space="preserve">DOCUMENTATION TECHNIQUE</t>
  </si>
  <si>
    <t xml:space="preserve">Opex123</t>
  </si>
  <si>
    <t xml:space="preserve">DIVERS FRAIS</t>
  </si>
  <si>
    <t xml:space="preserve">Opex124</t>
  </si>
  <si>
    <t xml:space="preserve">REDEVANCES POUR LOGICIELS</t>
  </si>
  <si>
    <t xml:space="preserve">Opex125</t>
  </si>
  <si>
    <t xml:space="preserve">COTISATIONS</t>
  </si>
  <si>
    <t xml:space="preserve">Opex126</t>
  </si>
  <si>
    <t xml:space="preserve">CONCOURS DIVERS</t>
  </si>
  <si>
    <t xml:space="preserve">Opex127</t>
  </si>
  <si>
    <t xml:space="preserve">FRAIS DE DEMENAGEMENT</t>
  </si>
  <si>
    <t xml:space="preserve">Opex128</t>
  </si>
  <si>
    <t xml:space="preserve">DONS</t>
  </si>
  <si>
    <t xml:space="preserve">Opex129</t>
  </si>
  <si>
    <t xml:space="preserve">AUTRES  LOCATIONS ET CHARGES LO</t>
  </si>
  <si>
    <t xml:space="preserve">Opex130</t>
  </si>
  <si>
    <t xml:space="preserve">Management fees</t>
  </si>
  <si>
    <t xml:space="preserve">Opex131</t>
  </si>
  <si>
    <t xml:space="preserve">MANAGEMENT FEES - FRAIS DE GES</t>
  </si>
  <si>
    <t xml:space="preserve">Opex132</t>
  </si>
  <si>
    <t xml:space="preserve">REDEVANCES POUR MARQUE</t>
  </si>
  <si>
    <t xml:space="preserve">Opex133</t>
  </si>
  <si>
    <t xml:space="preserve">Transport, déplacement, mission </t>
  </si>
  <si>
    <t xml:space="preserve">Opex134</t>
  </si>
  <si>
    <t xml:space="preserve">VOYAGES ET DEPLACEMENTS (Missions)</t>
  </si>
  <si>
    <t xml:space="preserve">Opex135</t>
  </si>
  <si>
    <t xml:space="preserve">VOYAGES ET DEPLACEMENTS (Formations)</t>
  </si>
  <si>
    <t xml:space="preserve">Opex136</t>
  </si>
  <si>
    <t xml:space="preserve">RECEPTIONS PERSONNEL (Autres)</t>
  </si>
  <si>
    <t xml:space="preserve">Opex137</t>
  </si>
  <si>
    <t xml:space="preserve">MISSIONS &amp; FRAIS D'HOTELS PERSONNEL (Missions)</t>
  </si>
  <si>
    <t xml:space="preserve">Opex138</t>
  </si>
  <si>
    <t xml:space="preserve">MISSIONS &amp; FRAIS D'HOTELS PERSONNEL (Formations)</t>
  </si>
  <si>
    <t xml:space="preserve">Opex139</t>
  </si>
  <si>
    <t xml:space="preserve">TRANSPORT VISITEURS</t>
  </si>
  <si>
    <t xml:space="preserve">Opex140</t>
  </si>
  <si>
    <t xml:space="preserve">RECEPTIONS VISITEURS &amp; PERSONNEL , DIVERS T</t>
  </si>
  <si>
    <t xml:space="preserve">Opex141</t>
  </si>
  <si>
    <t xml:space="preserve">MISSIONS &amp; FRAIS D'HOTELS VISI</t>
  </si>
  <si>
    <t xml:space="preserve">Opex142</t>
  </si>
  <si>
    <t xml:space="preserve">TRANSPORTS DE PLIS</t>
  </si>
  <si>
    <t xml:space="preserve">Opex143</t>
  </si>
  <si>
    <t xml:space="preserve">FRAIS D'AFFRANCHISSEMENT</t>
  </si>
  <si>
    <t xml:space="preserve">Opex144</t>
  </si>
  <si>
    <t xml:space="preserve">Frais postaux, bancaires et assurances</t>
  </si>
  <si>
    <t xml:space="preserve">Opex145</t>
  </si>
  <si>
    <t xml:space="preserve">ASSURANCE MULTIRISQUES</t>
  </si>
  <si>
    <t xml:space="preserve">Opex146</t>
  </si>
  <si>
    <t xml:space="preserve">ASSURANCE RISQUES D'EXPLOITATI</t>
  </si>
  <si>
    <t xml:space="preserve">Opex147</t>
  </si>
  <si>
    <t xml:space="preserve">ASSURANCE TRANSPORT SUR ACHATS</t>
  </si>
  <si>
    <t xml:space="preserve">Opex148</t>
  </si>
  <si>
    <t xml:space="preserve">AUTRES PRIMES D'ASSURANCE</t>
  </si>
  <si>
    <t xml:space="preserve">Opex149</t>
  </si>
  <si>
    <t xml:space="preserve">FRAIS SUR EFFETS</t>
  </si>
  <si>
    <t xml:space="preserve">Opex150</t>
  </si>
  <si>
    <t xml:space="preserve">FRAIS D'EMISSION D'EMPRUNTS</t>
  </si>
  <si>
    <t xml:space="preserve">Opex151</t>
  </si>
  <si>
    <t xml:space="preserve">AUTRES FRAIS BANCAIRES</t>
  </si>
  <si>
    <t xml:space="preserve">Opex152</t>
  </si>
  <si>
    <t xml:space="preserve">FRAIS DE VIREMENT</t>
  </si>
  <si>
    <t xml:space="preserve">Opex153</t>
  </si>
  <si>
    <t xml:space="preserve">FRAIS D'ARRETES DE COMPTES</t>
  </si>
  <si>
    <t xml:space="preserve">Opex154</t>
  </si>
  <si>
    <t xml:space="preserve">Achats de mat. et fournitures consom.</t>
  </si>
  <si>
    <t xml:space="preserve">Opex155</t>
  </si>
  <si>
    <t xml:space="preserve">FOURNITURES DE BUREAU NON STOC</t>
  </si>
  <si>
    <t xml:space="preserve">Opex156</t>
  </si>
  <si>
    <t xml:space="preserve">ACHATS  PETIT MATERIEL ET OUTIL</t>
  </si>
  <si>
    <t xml:space="preserve">Opex157</t>
  </si>
  <si>
    <t xml:space="preserve">Contrainte : Identification</t>
  </si>
  <si>
    <t xml:space="preserve">Opex158</t>
  </si>
  <si>
    <t xml:space="preserve">Opex159</t>
  </si>
  <si>
    <t xml:space="preserve">Opex160</t>
  </si>
  <si>
    <t xml:space="preserve">Impôts, taxes et redevances</t>
  </si>
  <si>
    <t xml:space="preserve">Opex161</t>
  </si>
  <si>
    <t xml:space="preserve">Redevances régulateur</t>
  </si>
  <si>
    <t xml:space="preserve">Opex162</t>
  </si>
  <si>
    <t xml:space="preserve">REDEVANCES AUTORITE DE REGULATION (Redevance licence &amp; Contribution)</t>
  </si>
  <si>
    <t xml:space="preserve">Opex163</t>
  </si>
  <si>
    <t xml:space="preserve">REDEVANCES AUTORITE DE REGULAT (Redevance Trafic &amp; autres)</t>
  </si>
  <si>
    <t xml:space="preserve">Opex164</t>
  </si>
  <si>
    <t xml:space="preserve">Droits sur le trafic International Entrant</t>
  </si>
  <si>
    <t xml:space="preserve">Opex165</t>
  </si>
  <si>
    <t xml:space="preserve">Opex166</t>
  </si>
  <si>
    <t xml:space="preserve">Autres impôts et taxes</t>
  </si>
  <si>
    <t xml:space="preserve">Opex167</t>
  </si>
  <si>
    <t xml:space="preserve">IMPOTS FONCIERS ET TAXES ANNEX</t>
  </si>
  <si>
    <t xml:space="preserve">Opex168</t>
  </si>
  <si>
    <t xml:space="preserve">PATENTES, LICENCES ET TAXES AN</t>
  </si>
  <si>
    <t xml:space="preserve">Opex169</t>
  </si>
  <si>
    <t xml:space="preserve">AUTRES  IMPOTS ET TAXES DIRECTS</t>
  </si>
  <si>
    <t xml:space="preserve">Opex170</t>
  </si>
  <si>
    <t xml:space="preserve">IMPOTS ET TAXES INDIRECTS</t>
  </si>
  <si>
    <t xml:space="preserve">Opex171</t>
  </si>
  <si>
    <t xml:space="preserve">TAXES SUR LES VEHICULES DE SOC</t>
  </si>
  <si>
    <t xml:space="preserve">Opex172</t>
  </si>
  <si>
    <t xml:space="preserve">AUTRES DROITS D'ENREGISTREMENT</t>
  </si>
  <si>
    <t xml:space="preserve">Opex173</t>
  </si>
  <si>
    <t xml:space="preserve">AUTRES IMPOTS &amp; TAXES</t>
  </si>
  <si>
    <t xml:space="preserve">Opex174</t>
  </si>
  <si>
    <t xml:space="preserve">PENALITES &amp; AMENDES FISCALES</t>
  </si>
  <si>
    <t xml:space="preserve">Opex175</t>
  </si>
  <si>
    <t xml:space="preserve">Opex176</t>
  </si>
  <si>
    <t xml:space="preserve">Opex177</t>
  </si>
  <si>
    <t xml:space="preserve">Provision clients, R&amp;C &amp; NC</t>
  </si>
  <si>
    <t xml:space="preserve">Opex178</t>
  </si>
  <si>
    <t xml:space="preserve">Prov. Créances clients</t>
  </si>
  <si>
    <t xml:space="preserve">Opex179</t>
  </si>
  <si>
    <t xml:space="preserve">Prov. R&amp;C</t>
  </si>
  <si>
    <t xml:space="preserve">Opex180</t>
  </si>
  <si>
    <t xml:space="preserve">PERTES / CREANCES CLIENTS</t>
  </si>
  <si>
    <t xml:space="preserve">Opex181</t>
  </si>
  <si>
    <t xml:space="preserve">PERTES / AUTRES DEBITEURS</t>
  </si>
  <si>
    <t xml:space="preserve">Opex182</t>
  </si>
  <si>
    <t xml:space="preserve">CHARGES PROVISIONNEES / RISQUE</t>
  </si>
  <si>
    <t xml:space="preserve">Opex183</t>
  </si>
  <si>
    <t xml:space="preserve">CHARGES PROVISIONNEES S/ STOCK</t>
  </si>
  <si>
    <t xml:space="preserve">Opex184</t>
  </si>
  <si>
    <t xml:space="preserve">CHARGES PROVISIONNEES S/ CREAN</t>
  </si>
  <si>
    <t xml:space="preserve">Opex185</t>
  </si>
  <si>
    <t xml:space="preserve">AUTRES CHARGES PROVISIONNEES</t>
  </si>
  <si>
    <t xml:space="preserve">Opex186</t>
  </si>
  <si>
    <t xml:space="preserve">REPRISES PROVISIONS S/ RISQUES</t>
  </si>
  <si>
    <t xml:space="preserve">Opex187</t>
  </si>
  <si>
    <t xml:space="preserve">REPRISES PROV. POUR RISQUES &amp;</t>
  </si>
  <si>
    <t xml:space="preserve">Opex188</t>
  </si>
  <si>
    <t xml:space="preserve">REPRISES PROVISIONS POUR DEPRE</t>
  </si>
  <si>
    <t xml:space="preserve">Opex189</t>
  </si>
  <si>
    <t xml:space="preserve">REPRISES AUTRES CHARGES PROVIS</t>
  </si>
  <si>
    <t xml:space="preserve">Opex190</t>
  </si>
  <si>
    <t xml:space="preserve">REPRISES PROV. POUR GROSSES RE</t>
  </si>
  <si>
    <t xml:space="preserve">Opex191</t>
  </si>
  <si>
    <t xml:space="preserve">PIDR</t>
  </si>
  <si>
    <t xml:space="preserve">Opex192</t>
  </si>
  <si>
    <t xml:space="preserve">Autres provisions</t>
  </si>
  <si>
    <t xml:space="preserve">Opex193</t>
  </si>
  <si>
    <t xml:space="preserve">Opex194</t>
  </si>
  <si>
    <t xml:space="preserve">Ecart de change sur exploitation</t>
  </si>
  <si>
    <t xml:space="preserve">Opex195</t>
  </si>
  <si>
    <t xml:space="preserve">CA Mobile</t>
  </si>
  <si>
    <t xml:space="preserve">CA Global</t>
  </si>
  <si>
    <t xml:space="preserve">CA1</t>
  </si>
  <si>
    <t xml:space="preserve">CA2</t>
  </si>
  <si>
    <t xml:space="preserve">dont CA Etat</t>
  </si>
  <si>
    <t xml:space="preserve">CA3</t>
  </si>
  <si>
    <t xml:space="preserve">CA4</t>
  </si>
  <si>
    <t xml:space="preserve">CA services Mobile</t>
  </si>
  <si>
    <t xml:space="preserve">CA5</t>
  </si>
  <si>
    <t xml:space="preserve">CA6</t>
  </si>
  <si>
    <t xml:space="preserve">CA récurrent</t>
  </si>
  <si>
    <t xml:space="preserve">CA7</t>
  </si>
  <si>
    <t xml:space="preserve">CA8</t>
  </si>
  <si>
    <t xml:space="preserve">CA sortant</t>
  </si>
  <si>
    <t xml:space="preserve">CA9</t>
  </si>
  <si>
    <r>
      <rPr>
        <b val="true"/>
        <sz val="10"/>
        <rFont val="Arial"/>
        <family val="2"/>
        <charset val="1"/>
      </rPr>
      <t xml:space="preserve">Prépayé </t>
    </r>
    <r>
      <rPr>
        <b val="true"/>
        <sz val="9"/>
        <rFont val="Arial"/>
        <family val="2"/>
        <charset val="1"/>
      </rPr>
      <t xml:space="preserve">(yc commissions)</t>
    </r>
  </si>
  <si>
    <t xml:space="preserve">CA10</t>
  </si>
  <si>
    <t xml:space="preserve">Consumer Prepaid</t>
  </si>
  <si>
    <t xml:space="preserve">CA11</t>
  </si>
  <si>
    <t xml:space="preserve">   Frais d'activation &amp; Sim swap</t>
  </si>
  <si>
    <t xml:space="preserve">CA12</t>
  </si>
  <si>
    <t xml:space="preserve">    Sortant voix on net</t>
  </si>
  <si>
    <t xml:space="preserve">CA13</t>
  </si>
  <si>
    <t xml:space="preserve">    Sortant voix MTN</t>
  </si>
  <si>
    <t xml:space="preserve">CA14</t>
  </si>
  <si>
    <t xml:space="preserve">    Sortant voix GLO</t>
  </si>
  <si>
    <t xml:space="preserve">CA15</t>
  </si>
  <si>
    <t xml:space="preserve">    Sortant voix BBCOM</t>
  </si>
  <si>
    <t xml:space="preserve">CA16</t>
  </si>
  <si>
    <t xml:space="preserve">    Sortant voix LIBERCOM</t>
  </si>
  <si>
    <t xml:space="preserve">CA17</t>
  </si>
  <si>
    <t xml:space="preserve">    Sortant voix BTSA</t>
  </si>
  <si>
    <t xml:space="preserve">CA18</t>
  </si>
  <si>
    <t xml:space="preserve">    Sortant voix INTERNATIONAL</t>
  </si>
  <si>
    <t xml:space="preserve">CA19</t>
  </si>
  <si>
    <t xml:space="preserve">    Sortant voix roaming</t>
  </si>
  <si>
    <t xml:space="preserve">CA20</t>
  </si>
  <si>
    <t xml:space="preserve">Total VOIX Sortant</t>
  </si>
  <si>
    <t xml:space="preserve">CA21</t>
  </si>
  <si>
    <t xml:space="preserve">CA22</t>
  </si>
  <si>
    <t xml:space="preserve">    Sortant sms on net</t>
  </si>
  <si>
    <t xml:space="preserve">CA23</t>
  </si>
  <si>
    <t xml:space="preserve">    Sortant sms MTN</t>
  </si>
  <si>
    <t xml:space="preserve">CA24</t>
  </si>
  <si>
    <t xml:space="preserve">    Sortant sms GLO</t>
  </si>
  <si>
    <t xml:space="preserve">CA25</t>
  </si>
  <si>
    <t xml:space="preserve">    Sortant sms BBCOM</t>
  </si>
  <si>
    <t xml:space="preserve">CA26</t>
  </si>
  <si>
    <t xml:space="preserve">    Sortant sms LIBERCOM</t>
  </si>
  <si>
    <t xml:space="preserve">CA27</t>
  </si>
  <si>
    <t xml:space="preserve">    Sortant sms INTERNATIONAL</t>
  </si>
  <si>
    <t xml:space="preserve">CA28</t>
  </si>
  <si>
    <t xml:space="preserve">Total SMS Sortant</t>
  </si>
  <si>
    <t xml:space="preserve">CA29</t>
  </si>
  <si>
    <t xml:space="preserve">CA30</t>
  </si>
  <si>
    <t xml:space="preserve">    Revenu Internet 3G</t>
  </si>
  <si>
    <t xml:space="preserve">CA31</t>
  </si>
  <si>
    <t xml:space="preserve">CA32</t>
  </si>
  <si>
    <t xml:space="preserve">    CRBT</t>
  </si>
  <si>
    <t xml:space="preserve">CA33</t>
  </si>
  <si>
    <t xml:space="preserve">    Crédit secours</t>
  </si>
  <si>
    <t xml:space="preserve">CA34</t>
  </si>
  <si>
    <t xml:space="preserve">    Story Box</t>
  </si>
  <si>
    <t xml:space="preserve">CA35</t>
  </si>
  <si>
    <t xml:space="preserve">    Phonebook STK</t>
  </si>
  <si>
    <t xml:space="preserve">CA36</t>
  </si>
  <si>
    <t xml:space="preserve">    Gaming</t>
  </si>
  <si>
    <t xml:space="preserve">CA37</t>
  </si>
  <si>
    <t xml:space="preserve">    Autres dont BAC17  (VOICEALERT,MOOVKDO...) &amp; SAV agences</t>
  </si>
  <si>
    <t xml:space="preserve">CA38</t>
  </si>
  <si>
    <t xml:space="preserve">    Videos</t>
  </si>
  <si>
    <t xml:space="preserve">CA39</t>
  </si>
  <si>
    <t xml:space="preserve">Total Data</t>
  </si>
  <si>
    <t xml:space="preserve">CA40</t>
  </si>
  <si>
    <t xml:space="preserve">CA41</t>
  </si>
  <si>
    <t xml:space="preserve">dont CA voix</t>
  </si>
  <si>
    <t xml:space="preserve">CA42</t>
  </si>
  <si>
    <t xml:space="preserve">dont CA SMS</t>
  </si>
  <si>
    <t xml:space="preserve">CA43</t>
  </si>
  <si>
    <t xml:space="preserve">dont SVA (Sce à Val. Ajoutée)</t>
  </si>
  <si>
    <t xml:space="preserve">CA44</t>
  </si>
  <si>
    <t xml:space="preserve">dont CA Internet 3G</t>
  </si>
  <si>
    <t xml:space="preserve">CA45</t>
  </si>
  <si>
    <t xml:space="preserve">Postpayé </t>
  </si>
  <si>
    <t xml:space="preserve">CA46</t>
  </si>
  <si>
    <t xml:space="preserve">Redevance d'abonnement</t>
  </si>
  <si>
    <t xml:space="preserve">CA47</t>
  </si>
  <si>
    <t xml:space="preserve">Consumer Postpaid</t>
  </si>
  <si>
    <t xml:space="preserve">CA48</t>
  </si>
  <si>
    <t xml:space="preserve">Business Postpaid</t>
  </si>
  <si>
    <t xml:space="preserve">CA49</t>
  </si>
  <si>
    <t xml:space="preserve">Business Prepaid</t>
  </si>
  <si>
    <t xml:space="preserve">CA50</t>
  </si>
  <si>
    <t xml:space="preserve">Trafic sortant</t>
  </si>
  <si>
    <t xml:space="preserve">CA51</t>
  </si>
  <si>
    <t xml:space="preserve">CA52</t>
  </si>
  <si>
    <t xml:space="preserve">CA53</t>
  </si>
  <si>
    <t xml:space="preserve">CA54</t>
  </si>
  <si>
    <t xml:space="preserve">CA55</t>
  </si>
  <si>
    <t xml:space="preserve">CA56</t>
  </si>
  <si>
    <t xml:space="preserve">CA57</t>
  </si>
  <si>
    <t xml:space="preserve">CA58</t>
  </si>
  <si>
    <t xml:space="preserve">CA59</t>
  </si>
  <si>
    <t xml:space="preserve">CA60</t>
  </si>
  <si>
    <t xml:space="preserve">CA61</t>
  </si>
  <si>
    <t xml:space="preserve">CA62</t>
  </si>
  <si>
    <t xml:space="preserve">CA63</t>
  </si>
  <si>
    <t xml:space="preserve">CA64</t>
  </si>
  <si>
    <t xml:space="preserve">CA65</t>
  </si>
  <si>
    <t xml:space="preserve">CA66</t>
  </si>
  <si>
    <t xml:space="preserve">CA67</t>
  </si>
  <si>
    <t xml:space="preserve">CA68</t>
  </si>
  <si>
    <t xml:space="preserve">CA69</t>
  </si>
  <si>
    <t xml:space="preserve">CA70</t>
  </si>
  <si>
    <t xml:space="preserve">CA71</t>
  </si>
  <si>
    <t xml:space="preserve">    Transport and Automotive (Traking)</t>
  </si>
  <si>
    <t xml:space="preserve">CA72</t>
  </si>
  <si>
    <t xml:space="preserve">    Banking</t>
  </si>
  <si>
    <t xml:space="preserve">CA73</t>
  </si>
  <si>
    <t xml:space="preserve">   TPE</t>
  </si>
  <si>
    <t xml:space="preserve">CA74</t>
  </si>
  <si>
    <t xml:space="preserve">CA75</t>
  </si>
  <si>
    <t xml:space="preserve">CA76</t>
  </si>
  <si>
    <t xml:space="preserve">CA77</t>
  </si>
  <si>
    <t xml:space="preserve">CA78</t>
  </si>
  <si>
    <t xml:space="preserve">CA79</t>
  </si>
  <si>
    <t xml:space="preserve">CA80</t>
  </si>
  <si>
    <t xml:space="preserve">CA81</t>
  </si>
  <si>
    <t xml:space="preserve">CA82</t>
  </si>
  <si>
    <t xml:space="preserve">CA83</t>
  </si>
  <si>
    <t xml:space="preserve">CA84</t>
  </si>
  <si>
    <t xml:space="preserve">CA85</t>
  </si>
  <si>
    <t xml:space="preserve">CA86</t>
  </si>
  <si>
    <t xml:space="preserve">CA87</t>
  </si>
  <si>
    <t xml:space="preserve">CA88</t>
  </si>
  <si>
    <t xml:space="preserve">CA89</t>
  </si>
  <si>
    <t xml:space="preserve">CA90</t>
  </si>
  <si>
    <t xml:space="preserve">CA91</t>
  </si>
  <si>
    <t xml:space="preserve">CA92</t>
  </si>
  <si>
    <t xml:space="preserve">CA93</t>
  </si>
  <si>
    <t xml:space="preserve">CA94</t>
  </si>
  <si>
    <t xml:space="preserve">CA95</t>
  </si>
  <si>
    <t xml:space="preserve">CA96</t>
  </si>
  <si>
    <t xml:space="preserve">CA97</t>
  </si>
  <si>
    <t xml:space="preserve">CA98</t>
  </si>
  <si>
    <t xml:space="preserve">CA99</t>
  </si>
  <si>
    <t xml:space="preserve">CA100</t>
  </si>
  <si>
    <t xml:space="preserve">CA101</t>
  </si>
  <si>
    <t xml:space="preserve">CA102</t>
  </si>
  <si>
    <t xml:space="preserve">CA103</t>
  </si>
  <si>
    <t xml:space="preserve">CA104</t>
  </si>
  <si>
    <t xml:space="preserve">CA105</t>
  </si>
  <si>
    <t xml:space="preserve">CA106</t>
  </si>
  <si>
    <t xml:space="preserve">CA107</t>
  </si>
  <si>
    <t xml:space="preserve">CA108</t>
  </si>
  <si>
    <t xml:space="preserve">CA109</t>
  </si>
  <si>
    <t xml:space="preserve">CA110</t>
  </si>
  <si>
    <t xml:space="preserve">CA111</t>
  </si>
  <si>
    <t xml:space="preserve">CA112</t>
  </si>
  <si>
    <t xml:space="preserve">CA113</t>
  </si>
  <si>
    <t xml:space="preserve">CA114</t>
  </si>
  <si>
    <t xml:space="preserve">CA115</t>
  </si>
  <si>
    <t xml:space="preserve">CA116</t>
  </si>
  <si>
    <t xml:space="preserve">CA117</t>
  </si>
  <si>
    <t xml:space="preserve">CA118</t>
  </si>
  <si>
    <t xml:space="preserve">CA119</t>
  </si>
  <si>
    <t xml:space="preserve">CA120</t>
  </si>
  <si>
    <t xml:space="preserve">CA121</t>
  </si>
  <si>
    <t xml:space="preserve">CA122</t>
  </si>
  <si>
    <t xml:space="preserve">CA123</t>
  </si>
  <si>
    <t xml:space="preserve">    Revenu SAV agences (Call Hystory, Sim swap, Sauvegarde répertoire)</t>
  </si>
  <si>
    <t xml:space="preserve">CA124</t>
  </si>
  <si>
    <t xml:space="preserve">   Autres vas: Service foot, M2u, Moov job, immatriculation, voice alert, parrainage epiq, migration, moov fun.</t>
  </si>
  <si>
    <t xml:space="preserve">CA125</t>
  </si>
  <si>
    <t xml:space="preserve">CA126</t>
  </si>
  <si>
    <t xml:space="preserve">CA127</t>
  </si>
  <si>
    <t xml:space="preserve">CA128</t>
  </si>
  <si>
    <t xml:space="preserve">CA129</t>
  </si>
  <si>
    <t xml:space="preserve">CA130</t>
  </si>
  <si>
    <t xml:space="preserve">CA131</t>
  </si>
  <si>
    <t xml:space="preserve">CA132</t>
  </si>
  <si>
    <t xml:space="preserve">CA133</t>
  </si>
  <si>
    <t xml:space="preserve">CA134</t>
  </si>
  <si>
    <t xml:space="preserve">CA135</t>
  </si>
  <si>
    <t xml:space="preserve">Mobile Money</t>
  </si>
  <si>
    <t xml:space="preserve">CA136</t>
  </si>
  <si>
    <t xml:space="preserve">Liaisons Spécialisées</t>
  </si>
  <si>
    <t xml:space="preserve">CA137</t>
  </si>
  <si>
    <t xml:space="preserve">Internet Mobile (PrP+PoP)</t>
  </si>
  <si>
    <t xml:space="preserve">CA138</t>
  </si>
  <si>
    <t xml:space="preserve">dont voix+data</t>
  </si>
  <si>
    <t xml:space="preserve">CA139</t>
  </si>
  <si>
    <t xml:space="preserve">dont data only</t>
  </si>
  <si>
    <t xml:space="preserve">CA140</t>
  </si>
  <si>
    <t xml:space="preserve">CA141</t>
  </si>
  <si>
    <t xml:space="preserve">CA entrant</t>
  </si>
  <si>
    <t xml:space="preserve">CA142</t>
  </si>
  <si>
    <t xml:space="preserve">Opérateur national MTN</t>
  </si>
  <si>
    <t xml:space="preserve">CA143</t>
  </si>
  <si>
    <t xml:space="preserve">CA144</t>
  </si>
  <si>
    <t xml:space="preserve">CA145</t>
  </si>
  <si>
    <t xml:space="preserve">CA146</t>
  </si>
  <si>
    <t xml:space="preserve">CA147</t>
  </si>
  <si>
    <t xml:space="preserve">Opérateur national GLO</t>
  </si>
  <si>
    <t xml:space="preserve">CA148</t>
  </si>
  <si>
    <t xml:space="preserve">CA149</t>
  </si>
  <si>
    <t xml:space="preserve">CA150</t>
  </si>
  <si>
    <t xml:space="preserve">CA151</t>
  </si>
  <si>
    <t xml:space="preserve">CA152</t>
  </si>
  <si>
    <t xml:space="preserve">BTSA, BBCOM &amp; LIBERCOM</t>
  </si>
  <si>
    <t xml:space="preserve">CA153</t>
  </si>
  <si>
    <t xml:space="preserve">CA154</t>
  </si>
  <si>
    <t xml:space="preserve">CA155</t>
  </si>
  <si>
    <t xml:space="preserve">CA156</t>
  </si>
  <si>
    <t xml:space="preserve">CA157</t>
  </si>
  <si>
    <t xml:space="preserve"> International</t>
  </si>
  <si>
    <t xml:space="preserve">CA158</t>
  </si>
  <si>
    <t xml:space="preserve">CA159</t>
  </si>
  <si>
    <t xml:space="preserve">CA160</t>
  </si>
  <si>
    <t xml:space="preserve">CA161</t>
  </si>
  <si>
    <t xml:space="preserve">CA162</t>
  </si>
  <si>
    <t xml:space="preserve">CA163</t>
  </si>
  <si>
    <t xml:space="preserve">Colocalisation</t>
  </si>
  <si>
    <t xml:space="preserve">CA164</t>
  </si>
  <si>
    <t xml:space="preserve">IHS</t>
  </si>
  <si>
    <t xml:space="preserve">CA165</t>
  </si>
  <si>
    <t xml:space="preserve">Autres</t>
  </si>
  <si>
    <t xml:space="preserve">CA166</t>
  </si>
  <si>
    <t xml:space="preserve">Opérateur national 3</t>
  </si>
  <si>
    <t xml:space="preserve">CA167</t>
  </si>
  <si>
    <t xml:space="preserve">CA168</t>
  </si>
  <si>
    <t xml:space="preserve">CA169</t>
  </si>
  <si>
    <t xml:space="preserve">Roaming in</t>
  </si>
  <si>
    <t xml:space="preserve">CA170</t>
  </si>
  <si>
    <t xml:space="preserve">Dont Roaming National</t>
  </si>
  <si>
    <t xml:space="preserve">CA171</t>
  </si>
  <si>
    <t xml:space="preserve">CA Non récurrent</t>
  </si>
  <si>
    <t xml:space="preserve">CA172</t>
  </si>
  <si>
    <t xml:space="preserve">Terminaux</t>
  </si>
  <si>
    <t xml:space="preserve">CA173</t>
  </si>
  <si>
    <t xml:space="preserve">Clé Internet Mobile</t>
  </si>
  <si>
    <t xml:space="preserve">CA174</t>
  </si>
  <si>
    <t xml:space="preserve">CA175</t>
  </si>
  <si>
    <t xml:space="preserve">CA176</t>
  </si>
  <si>
    <t xml:space="preserve">Marge brute Mobile</t>
  </si>
  <si>
    <t xml:space="preserve">Total Revenu</t>
  </si>
  <si>
    <t xml:space="preserve">MB1</t>
  </si>
  <si>
    <t xml:space="preserve">Trafic (mn)</t>
  </si>
  <si>
    <t xml:space="preserve">MB2</t>
  </si>
  <si>
    <t xml:space="preserve">Coût unitaire</t>
  </si>
  <si>
    <t xml:space="preserve">MB3</t>
  </si>
  <si>
    <t xml:space="preserve">International</t>
  </si>
  <si>
    <t xml:space="preserve">MB4</t>
  </si>
  <si>
    <t xml:space="preserve">MB5</t>
  </si>
  <si>
    <t xml:space="preserve">MB6</t>
  </si>
  <si>
    <t xml:space="preserve">Transit Sortant International depuis les concurents</t>
  </si>
  <si>
    <t xml:space="preserve">MB7</t>
  </si>
  <si>
    <t xml:space="preserve">MB8</t>
  </si>
  <si>
    <t xml:space="preserve">MB9</t>
  </si>
  <si>
    <t xml:space="preserve">MB10</t>
  </si>
  <si>
    <t xml:space="preserve">MB11</t>
  </si>
  <si>
    <t xml:space="preserve">MB12</t>
  </si>
  <si>
    <t xml:space="preserve">Opérateur national ORANGE</t>
  </si>
  <si>
    <t xml:space="preserve">MB13</t>
  </si>
  <si>
    <t xml:space="preserve">MB14</t>
  </si>
  <si>
    <t xml:space="preserve">MB15</t>
  </si>
  <si>
    <t xml:space="preserve">Opérateur national AUTRES MOBILES</t>
  </si>
  <si>
    <t xml:space="preserve">MB16</t>
  </si>
  <si>
    <t xml:space="preserve">MB17</t>
  </si>
  <si>
    <t xml:space="preserve">MB18</t>
  </si>
  <si>
    <t xml:space="preserve">Opérateur national 2 (glo)</t>
  </si>
  <si>
    <t xml:space="preserve">MB19</t>
  </si>
  <si>
    <t xml:space="preserve">MB20</t>
  </si>
  <si>
    <t xml:space="preserve">MB21</t>
  </si>
  <si>
    <t xml:space="preserve">Opérateur national 3 (bbcom, libercom &amp; btsa)</t>
  </si>
  <si>
    <t xml:space="preserve">MB22</t>
  </si>
  <si>
    <t xml:space="preserve">Trafic Local (mn)</t>
  </si>
  <si>
    <t xml:space="preserve">MB23</t>
  </si>
  <si>
    <t xml:space="preserve">MB24</t>
  </si>
  <si>
    <t xml:space="preserve">Trafic Interurbain (mn)</t>
  </si>
  <si>
    <t xml:space="preserve">MB25</t>
  </si>
  <si>
    <t xml:space="preserve">MB26</t>
  </si>
  <si>
    <t xml:space="preserve">MB27</t>
  </si>
  <si>
    <t xml:space="preserve">MB28</t>
  </si>
  <si>
    <t xml:space="preserve">MB29</t>
  </si>
  <si>
    <t xml:space="preserve">MB30</t>
  </si>
  <si>
    <t xml:space="preserve">Interconnexion Fixe</t>
  </si>
  <si>
    <t xml:space="preserve">MB31</t>
  </si>
  <si>
    <t xml:space="preserve">Reversements SVA</t>
  </si>
  <si>
    <t xml:space="preserve">MB32</t>
  </si>
  <si>
    <t xml:space="preserve">Achat de capacité</t>
  </si>
  <si>
    <t xml:space="preserve">MB55</t>
  </si>
  <si>
    <t xml:space="preserve">Nbre SMS</t>
  </si>
  <si>
    <t xml:space="preserve">MB33</t>
  </si>
  <si>
    <t xml:space="preserve">MB34</t>
  </si>
  <si>
    <t xml:space="preserve">Interconnexion SMS</t>
  </si>
  <si>
    <t xml:space="preserve">MB35</t>
  </si>
  <si>
    <t xml:space="preserve">Roaming out</t>
  </si>
  <si>
    <t xml:space="preserve">MB36</t>
  </si>
  <si>
    <t xml:space="preserve">MB37</t>
  </si>
  <si>
    <t xml:space="preserve">Coûts des terminaux et cartes</t>
  </si>
  <si>
    <t xml:space="preserve">MB38</t>
  </si>
  <si>
    <t xml:space="preserve">Dont coût des cartes de recharge vendues &amp; des Kits.</t>
  </si>
  <si>
    <t xml:space="preserve">MB39</t>
  </si>
  <si>
    <t xml:space="preserve">Dont coût des cartes SIM</t>
  </si>
  <si>
    <t xml:space="preserve">MB40</t>
  </si>
  <si>
    <t xml:space="preserve">Dont coût des cartes de recharge vendues</t>
  </si>
  <si>
    <t xml:space="preserve">MB41</t>
  </si>
  <si>
    <t xml:space="preserve">Dont coût des terminaux.</t>
  </si>
  <si>
    <t xml:space="preserve">MB42</t>
  </si>
  <si>
    <t xml:space="preserve">Dont Clé Internet Mobile</t>
  </si>
  <si>
    <t xml:space="preserve">MB43</t>
  </si>
  <si>
    <t xml:space="preserve">Dont provisions sur stocks</t>
  </si>
  <si>
    <t xml:space="preserve">MB44</t>
  </si>
  <si>
    <t xml:space="preserve">Commissions</t>
  </si>
  <si>
    <t xml:space="preserve">MB45</t>
  </si>
  <si>
    <t xml:space="preserve">Dont commissions up-front</t>
  </si>
  <si>
    <t xml:space="preserve">MB46</t>
  </si>
  <si>
    <t xml:space="preserve">Dont avoirs de performance</t>
  </si>
  <si>
    <t xml:space="preserve">MB47</t>
  </si>
  <si>
    <t xml:space="preserve">Dont Reversement MAB à MM</t>
  </si>
  <si>
    <t xml:space="preserve">MB48</t>
  </si>
  <si>
    <t xml:space="preserve">Dont Commissions Flooz</t>
  </si>
  <si>
    <t xml:space="preserve">MB49</t>
  </si>
  <si>
    <t xml:space="preserve">MB50</t>
  </si>
  <si>
    <t xml:space="preserve">Coûts des ventes</t>
  </si>
  <si>
    <t xml:space="preserve">MB51</t>
  </si>
  <si>
    <t xml:space="preserve">MB52</t>
  </si>
  <si>
    <t xml:space="preserve">MB53</t>
  </si>
  <si>
    <t xml:space="preserve">En % du CA</t>
  </si>
  <si>
    <t xml:space="preserve">MB54</t>
  </si>
  <si>
    <t xml:space="preserve">Marge Brute (hors transit)</t>
  </si>
  <si>
    <t xml:space="preserve">Charges d'interco</t>
  </si>
  <si>
    <t xml:space="preserve">Revenu net</t>
  </si>
  <si>
    <t xml:space="preserve">Taux hors flooz mois</t>
  </si>
  <si>
    <t xml:space="preserve">Taux hors flooz moyenne</t>
  </si>
  <si>
    <t xml:space="preserve">Détermination totale </t>
  </si>
  <si>
    <t xml:space="preserve">Détermination par abonnés </t>
  </si>
  <si>
    <t xml:space="preserve">Trafic Mobile </t>
  </si>
  <si>
    <t xml:space="preserve">(En millions minutes)</t>
  </si>
  <si>
    <t xml:space="preserve">Total  Trafic sortant</t>
  </si>
  <si>
    <t xml:space="preserve">TRAF1</t>
  </si>
  <si>
    <t xml:space="preserve">TRAF2</t>
  </si>
  <si>
    <t xml:space="preserve">Trafic sortant prépayé (Consumer)</t>
  </si>
  <si>
    <t xml:space="preserve">TRAF3</t>
  </si>
  <si>
    <t xml:space="preserve">     vers le fixe</t>
  </si>
  <si>
    <t xml:space="preserve">TRAF4</t>
  </si>
  <si>
    <t xml:space="preserve">     vers l'international</t>
  </si>
  <si>
    <t xml:space="preserve">TRAF5</t>
  </si>
  <si>
    <t xml:space="preserve">     vers Mobile (on net)</t>
  </si>
  <si>
    <t xml:space="preserve">TRAF6</t>
  </si>
  <si>
    <t xml:space="preserve">      vers MTN</t>
  </si>
  <si>
    <t xml:space="preserve">TRAF7</t>
  </si>
  <si>
    <t xml:space="preserve">      vers SBIN</t>
  </si>
  <si>
    <t xml:space="preserve">TRAF8</t>
  </si>
  <si>
    <t xml:space="preserve">      vers BBCOM, LIBERCOM</t>
  </si>
  <si>
    <t xml:space="preserve">TRAF9</t>
  </si>
  <si>
    <t xml:space="preserve">      Outbound roaming</t>
  </si>
  <si>
    <t xml:space="preserve">TRAF10</t>
  </si>
  <si>
    <t xml:space="preserve">TRAF11</t>
  </si>
  <si>
    <t xml:space="preserve">Trafic sortant postpayé</t>
  </si>
  <si>
    <t xml:space="preserve">TRAF12</t>
  </si>
  <si>
    <t xml:space="preserve">TRAF13</t>
  </si>
  <si>
    <t xml:space="preserve">TRAF14</t>
  </si>
  <si>
    <t xml:space="preserve">TRAF15</t>
  </si>
  <si>
    <t xml:space="preserve">TRAF16</t>
  </si>
  <si>
    <t xml:space="preserve">TRAF17</t>
  </si>
  <si>
    <t xml:space="preserve">TRAF18</t>
  </si>
  <si>
    <t xml:space="preserve">TRAF19</t>
  </si>
  <si>
    <t xml:space="preserve">TRAF20</t>
  </si>
  <si>
    <t xml:space="preserve">TRAF21</t>
  </si>
  <si>
    <t xml:space="preserve">TRAF22</t>
  </si>
  <si>
    <t xml:space="preserve">TRAF23</t>
  </si>
  <si>
    <t xml:space="preserve">TRAF24</t>
  </si>
  <si>
    <t xml:space="preserve">TRAF25</t>
  </si>
  <si>
    <t xml:space="preserve">TRAF26</t>
  </si>
  <si>
    <t xml:space="preserve">TRAF27</t>
  </si>
  <si>
    <t xml:space="preserve">TRAF28</t>
  </si>
  <si>
    <t xml:space="preserve">TRAF29</t>
  </si>
  <si>
    <t xml:space="preserve">TRAF30</t>
  </si>
  <si>
    <t xml:space="preserve">TRAF31</t>
  </si>
  <si>
    <t xml:space="preserve">TRAF32</t>
  </si>
  <si>
    <t xml:space="preserve">TRAF33</t>
  </si>
  <si>
    <t xml:space="preserve">TRAF34</t>
  </si>
  <si>
    <t xml:space="preserve">TRAF35</t>
  </si>
  <si>
    <t xml:space="preserve">TRAF36</t>
  </si>
  <si>
    <t xml:space="preserve">TRAF37</t>
  </si>
  <si>
    <t xml:space="preserve">TRAF38</t>
  </si>
  <si>
    <t xml:space="preserve">TRAF39</t>
  </si>
  <si>
    <t xml:space="preserve">TRAF40</t>
  </si>
  <si>
    <t xml:space="preserve">TRAF41</t>
  </si>
  <si>
    <t xml:space="preserve">TRAF42</t>
  </si>
  <si>
    <t xml:space="preserve">TRAF43</t>
  </si>
  <si>
    <t xml:space="preserve">TRAF44</t>
  </si>
  <si>
    <t xml:space="preserve">TRAF45</t>
  </si>
  <si>
    <t xml:space="preserve">TRAF46</t>
  </si>
  <si>
    <t xml:space="preserve">TRAF47</t>
  </si>
  <si>
    <t xml:space="preserve">TRAF48</t>
  </si>
  <si>
    <t xml:space="preserve">Total  Trafic entrant</t>
  </si>
  <si>
    <t xml:space="preserve">TRAF49</t>
  </si>
  <si>
    <t xml:space="preserve">TRAF50</t>
  </si>
  <si>
    <t xml:space="preserve">Trafic entrant prépayé (Consumer)</t>
  </si>
  <si>
    <t xml:space="preserve">TRAF51</t>
  </si>
  <si>
    <t xml:space="preserve">    du fixe </t>
  </si>
  <si>
    <t xml:space="preserve">TRAF52</t>
  </si>
  <si>
    <t xml:space="preserve">    de l'international </t>
  </si>
  <si>
    <t xml:space="preserve">TRAF53</t>
  </si>
  <si>
    <t xml:space="preserve">    de MTN</t>
  </si>
  <si>
    <t xml:space="preserve">TRAF54</t>
  </si>
  <si>
    <t xml:space="preserve">    de SBIN</t>
  </si>
  <si>
    <t xml:space="preserve">TRAF55</t>
  </si>
  <si>
    <t xml:space="preserve">    de BBCOM, LIBERCOM</t>
  </si>
  <si>
    <t xml:space="preserve">TRAF56</t>
  </si>
  <si>
    <t xml:space="preserve">TRAF57</t>
  </si>
  <si>
    <t xml:space="preserve">Trafic entrant postpayé</t>
  </si>
  <si>
    <t xml:space="preserve">TRAF58</t>
  </si>
  <si>
    <t xml:space="preserve">TRAF59</t>
  </si>
  <si>
    <t xml:space="preserve">TRAF60</t>
  </si>
  <si>
    <t xml:space="preserve">TRAF61</t>
  </si>
  <si>
    <t xml:space="preserve">TRAF62</t>
  </si>
  <si>
    <t xml:space="preserve">TRAF63</t>
  </si>
  <si>
    <t xml:space="preserve">TRAF64</t>
  </si>
  <si>
    <t xml:space="preserve">TRAF65</t>
  </si>
  <si>
    <t xml:space="preserve">TRAF66</t>
  </si>
  <si>
    <t xml:space="preserve">TRAF67</t>
  </si>
  <si>
    <t xml:space="preserve">TRAF68</t>
  </si>
  <si>
    <t xml:space="preserve">TRAF69</t>
  </si>
  <si>
    <t xml:space="preserve">TRAF70</t>
  </si>
  <si>
    <t xml:space="preserve">TRAF71</t>
  </si>
  <si>
    <t xml:space="preserve">TRAF72</t>
  </si>
  <si>
    <t xml:space="preserve">TRAF73</t>
  </si>
  <si>
    <t xml:space="preserve">TRAF74</t>
  </si>
  <si>
    <t xml:space="preserve">TRAF75</t>
  </si>
  <si>
    <t xml:space="preserve">TRAF76</t>
  </si>
  <si>
    <t xml:space="preserve">TRAF77</t>
  </si>
  <si>
    <t xml:space="preserve">TRAF78</t>
  </si>
  <si>
    <t xml:space="preserve">TRAF79</t>
  </si>
  <si>
    <t xml:space="preserve">TRAF80</t>
  </si>
  <si>
    <t xml:space="preserve">TRAF81</t>
  </si>
  <si>
    <t xml:space="preserve">TRAF82</t>
  </si>
  <si>
    <t xml:space="preserve">TRAF83</t>
  </si>
  <si>
    <t xml:space="preserve">TRAF84</t>
  </si>
  <si>
    <t xml:space="preserve">Cumulé</t>
  </si>
  <si>
    <t xml:space="preserve">Annuel</t>
  </si>
  <si>
    <t xml:space="preserve">Réel &lt;Mois&gt;</t>
  </si>
  <si>
    <t xml:space="preserve">Budget</t>
  </si>
  <si>
    <t xml:space="preserve">Ecart vs.</t>
  </si>
  <si>
    <t xml:space="preserve">% Evol/</t>
  </si>
  <si>
    <t xml:space="preserve">Actu1</t>
  </si>
  <si>
    <t xml:space="preserve">Actu2</t>
  </si>
  <si>
    <t xml:space="preserve">Actu3</t>
  </si>
  <si>
    <t xml:space="preserve">% Bud /</t>
  </si>
  <si>
    <t xml:space="preserve">% Actu 1 /</t>
  </si>
  <si>
    <t xml:space="preserve">% Actu 2 /</t>
  </si>
  <si>
    <t xml:space="preserve">% Actu 3 /</t>
  </si>
  <si>
    <t xml:space="preserve">En monnaie locale</t>
  </si>
  <si>
    <t xml:space="preserve">Actu 1</t>
  </si>
  <si>
    <t xml:space="preserve">Actu 2</t>
  </si>
  <si>
    <t xml:space="preserve">Actu 3</t>
  </si>
  <si>
    <t xml:space="preserve">Parc clients Total</t>
  </si>
  <si>
    <t xml:space="preserve">Parc clients actif (90 jours)</t>
  </si>
  <si>
    <t xml:space="preserve">Nombre de points de ventes</t>
  </si>
  <si>
    <t xml:space="preserve">Nombre de points de Marchand</t>
  </si>
  <si>
    <t xml:space="preserve">Total Montant des transactions</t>
  </si>
  <si>
    <t xml:space="preserve">Dépôt d’argent</t>
  </si>
  <si>
    <t xml:space="preserve">Retrait d’argent</t>
  </si>
  <si>
    <t xml:space="preserve">Transfert d’argent national</t>
  </si>
  <si>
    <t xml:space="preserve">Transfert d’argent international</t>
  </si>
  <si>
    <t xml:space="preserve">Recharge Mobile</t>
  </si>
  <si>
    <t xml:space="preserve">Achat de forfaits</t>
  </si>
  <si>
    <t xml:space="preserve">Achat de biens et services</t>
  </si>
  <si>
    <t xml:space="preserve">Parie en ligne</t>
  </si>
  <si>
    <t xml:space="preserve">Paiement de factures </t>
  </si>
  <si>
    <t xml:space="preserve">Paiement de salaires</t>
  </si>
  <si>
    <t xml:space="preserve">Autres (Push &amp; Pull_paiements en ligne inclus)</t>
  </si>
  <si>
    <t xml:space="preserve">Recharge Mobile (Activation de forfaits inclue)</t>
  </si>
  <si>
    <t xml:space="preserve">Pari en ligne</t>
  </si>
  <si>
    <t xml:space="preserve">Pack Moov Money</t>
  </si>
  <si>
    <t xml:space="preserve">Reversement MAB A MM</t>
  </si>
  <si>
    <t xml:space="preserve">Autres (Push &amp; Pull)</t>
  </si>
  <si>
    <t xml:space="preserve">Total Commissions</t>
  </si>
  <si>
    <t xml:space="preserve">Dont commissions Revendeurs</t>
  </si>
  <si>
    <t xml:space="preserve">Autres (à préciser)</t>
  </si>
  <si>
    <t xml:space="preserve">Dont commissions ETB</t>
  </si>
  <si>
    <t xml:space="preserve">Dont commissions Banques</t>
  </si>
  <si>
    <t xml:space="preserve">Marge Brute (en monnaie locale)</t>
  </si>
  <si>
    <t xml:space="preserve">% Marge Brute/CA</t>
  </si>
  <si>
    <t xml:space="preserve">Réel</t>
  </si>
  <si>
    <t xml:space="preserve">Parc Data Mobile actif (90 jrs)</t>
  </si>
  <si>
    <t xml:space="preserve">2G</t>
  </si>
  <si>
    <t xml:space="preserve">3G</t>
  </si>
  <si>
    <t xml:space="preserve">4G</t>
  </si>
  <si>
    <t xml:space="preserve">Trafic data (en millions de Go)</t>
  </si>
  <si>
    <t xml:space="preserve">ARPU</t>
  </si>
  <si>
    <t xml:space="preserve">Usage (en Go/client)</t>
  </si>
  <si>
    <t xml:space="preserve">Prix / Go </t>
  </si>
  <si>
    <t xml:space="preserve">Parc Mobile</t>
  </si>
  <si>
    <t xml:space="preserve">Evol
%</t>
  </si>
  <si>
    <t xml:space="preserve">Parc Total Mobile Actif</t>
  </si>
  <si>
    <t xml:space="preserve">PARC1</t>
  </si>
  <si>
    <t xml:space="preserve">Parc Total Mobile Localisé</t>
  </si>
  <si>
    <t xml:space="preserve">PARC2</t>
  </si>
  <si>
    <t xml:space="preserve">dont parc internet mobile</t>
  </si>
  <si>
    <t xml:space="preserve">PARC3</t>
  </si>
  <si>
    <t xml:space="preserve">dont 2G</t>
  </si>
  <si>
    <t xml:space="preserve">PARC4</t>
  </si>
  <si>
    <t xml:space="preserve">dont 3G</t>
  </si>
  <si>
    <t xml:space="preserve">PARC5</t>
  </si>
  <si>
    <t xml:space="preserve">dont 4G</t>
  </si>
  <si>
    <t xml:space="preserve">PARC6</t>
  </si>
  <si>
    <t xml:space="preserve">Parc Mobile Money</t>
  </si>
  <si>
    <t xml:space="preserve">PARC7</t>
  </si>
  <si>
    <t xml:space="preserve">PARC8</t>
  </si>
  <si>
    <t xml:space="preserve">Parc début Période</t>
  </si>
  <si>
    <t xml:space="preserve">PARC9</t>
  </si>
  <si>
    <t xml:space="preserve">Activations totales</t>
  </si>
  <si>
    <t xml:space="preserve">PARC10</t>
  </si>
  <si>
    <t xml:space="preserve">Résiliations totales</t>
  </si>
  <si>
    <t xml:space="preserve">PARC11</t>
  </si>
  <si>
    <t xml:space="preserve">% résiliation</t>
  </si>
  <si>
    <t xml:space="preserve">PARC12</t>
  </si>
  <si>
    <t xml:space="preserve">Ventes nettes</t>
  </si>
  <si>
    <t xml:space="preserve">PARC13</t>
  </si>
  <si>
    <t xml:space="preserve">Acroissement net</t>
  </si>
  <si>
    <t xml:space="preserve">PARC14</t>
  </si>
  <si>
    <t xml:space="preserve">Flux d'inactivité(Prd) et résiliations(PoP)</t>
  </si>
  <si>
    <t xml:space="preserve">PARC15</t>
  </si>
  <si>
    <t xml:space="preserve">Taux de churn annualisé</t>
  </si>
  <si>
    <t xml:space="preserve">PARC16</t>
  </si>
  <si>
    <t xml:space="preserve">Parc Total (Prépayé &amp; Postpayé)</t>
  </si>
  <si>
    <t xml:space="preserve">PARC17</t>
  </si>
  <si>
    <t xml:space="preserve">Parc Moyen Total</t>
  </si>
  <si>
    <t xml:space="preserve">PARC18</t>
  </si>
  <si>
    <t xml:space="preserve">Parc Actif</t>
  </si>
  <si>
    <t xml:space="preserve">PARC19</t>
  </si>
  <si>
    <t xml:space="preserve">Parc Moyen Actif</t>
  </si>
  <si>
    <t xml:space="preserve">PARC20</t>
  </si>
  <si>
    <t xml:space="preserve">PARC21</t>
  </si>
  <si>
    <t xml:space="preserve">Parc Prépayé Actif</t>
  </si>
  <si>
    <t xml:space="preserve">PARC22</t>
  </si>
  <si>
    <t xml:space="preserve">Parc prépayé actif début Période</t>
  </si>
  <si>
    <t xml:space="preserve">PARC23</t>
  </si>
  <si>
    <t xml:space="preserve">PARC24</t>
  </si>
  <si>
    <t xml:space="preserve">PARC25</t>
  </si>
  <si>
    <t xml:space="preserve">PARC26</t>
  </si>
  <si>
    <t xml:space="preserve">Flux d'inactivité</t>
  </si>
  <si>
    <t xml:space="preserve">PARC27</t>
  </si>
  <si>
    <t xml:space="preserve">% churn annualisé</t>
  </si>
  <si>
    <t xml:space="preserve">PARC28</t>
  </si>
  <si>
    <t xml:space="preserve">PARC29</t>
  </si>
  <si>
    <t xml:space="preserve">Parc prépayé actif fin de période</t>
  </si>
  <si>
    <t xml:space="preserve">PARC30</t>
  </si>
  <si>
    <t xml:space="preserve">Parc Actif Moyen</t>
  </si>
  <si>
    <t xml:space="preserve">PARC31</t>
  </si>
  <si>
    <t xml:space="preserve">PARC32</t>
  </si>
  <si>
    <t xml:space="preserve">Parc Postpayé</t>
  </si>
  <si>
    <t xml:space="preserve">PARC33</t>
  </si>
  <si>
    <t xml:space="preserve">PARC34</t>
  </si>
  <si>
    <t xml:space="preserve">PARC35</t>
  </si>
  <si>
    <t xml:space="preserve">PARC36</t>
  </si>
  <si>
    <t xml:space="preserve">PARC37</t>
  </si>
  <si>
    <t xml:space="preserve">% résiliation annualisé</t>
  </si>
  <si>
    <t xml:space="preserve">PARC38</t>
  </si>
  <si>
    <t xml:space="preserve">PARC39</t>
  </si>
  <si>
    <t xml:space="preserve">PARC40</t>
  </si>
  <si>
    <t xml:space="preserve">Parc Moyen Postpayé</t>
  </si>
  <si>
    <t xml:space="preserve">PARC41</t>
  </si>
  <si>
    <t xml:space="preserve">Indicateurs Mobile</t>
  </si>
  <si>
    <t xml:space="preserve">ARPU Global</t>
  </si>
  <si>
    <t xml:space="preserve">IND1</t>
  </si>
  <si>
    <t xml:space="preserve">ARPU Sortant</t>
  </si>
  <si>
    <t xml:space="preserve">IND2</t>
  </si>
  <si>
    <t xml:space="preserve">ARPU Entrant</t>
  </si>
  <si>
    <t xml:space="preserve">IND3</t>
  </si>
  <si>
    <t xml:space="preserve">IND4</t>
  </si>
  <si>
    <t xml:space="preserve">ARPU Prépayé</t>
  </si>
  <si>
    <t xml:space="preserve">IND5</t>
  </si>
  <si>
    <t xml:space="preserve">IND6</t>
  </si>
  <si>
    <t xml:space="preserve">IND7</t>
  </si>
  <si>
    <t xml:space="preserve">IND8</t>
  </si>
  <si>
    <t xml:space="preserve">ARPU Postpayé</t>
  </si>
  <si>
    <t xml:space="preserve">IND9</t>
  </si>
  <si>
    <t xml:space="preserve">IND10</t>
  </si>
  <si>
    <t xml:space="preserve">IND11</t>
  </si>
  <si>
    <t xml:space="preserve">IND12</t>
  </si>
  <si>
    <t xml:space="preserve">Usage / client / mois</t>
  </si>
  <si>
    <t xml:space="preserve">IND13</t>
  </si>
  <si>
    <t xml:space="preserve">Usage Sortant</t>
  </si>
  <si>
    <t xml:space="preserve">IND14</t>
  </si>
  <si>
    <t xml:space="preserve">Prépayé</t>
  </si>
  <si>
    <t xml:space="preserve">IND15</t>
  </si>
  <si>
    <t xml:space="preserve">Postpayé</t>
  </si>
  <si>
    <t xml:space="preserve">IND16</t>
  </si>
  <si>
    <t xml:space="preserve">Usage Entrant</t>
  </si>
  <si>
    <t xml:space="preserve">IND17</t>
  </si>
  <si>
    <t xml:space="preserve">IND18</t>
  </si>
  <si>
    <t xml:space="preserve">IND19</t>
  </si>
  <si>
    <t xml:space="preserve">IND20</t>
  </si>
  <si>
    <t xml:space="preserve">Prix mn</t>
  </si>
  <si>
    <t xml:space="preserve">IND21</t>
  </si>
  <si>
    <t xml:space="preserve">Prix mn Sortant</t>
  </si>
  <si>
    <t xml:space="preserve">IND22</t>
  </si>
  <si>
    <t xml:space="preserve">IND23</t>
  </si>
  <si>
    <t xml:space="preserve">IND24</t>
  </si>
  <si>
    <t xml:space="preserve">Prix mn Entrant</t>
  </si>
  <si>
    <t xml:space="preserve">IND25</t>
  </si>
  <si>
    <t xml:space="preserve">IND26</t>
  </si>
  <si>
    <t xml:space="preserve">IND27</t>
  </si>
  <si>
    <t xml:space="preserve">Capex Consolidés</t>
  </si>
  <si>
    <t xml:space="preserve">Total capex</t>
  </si>
  <si>
    <t xml:space="preserve">CAP1</t>
  </si>
  <si>
    <t xml:space="preserve">CAP2</t>
  </si>
  <si>
    <t xml:space="preserve">CAP3</t>
  </si>
  <si>
    <t xml:space="preserve">Réseau</t>
  </si>
  <si>
    <t xml:space="preserve">CAP4</t>
  </si>
  <si>
    <t xml:space="preserve">Réseau d'accès</t>
  </si>
  <si>
    <t xml:space="preserve">CAP5</t>
  </si>
  <si>
    <t xml:space="preserve">Activation du personnel</t>
  </si>
  <si>
    <t xml:space="preserve">CAP6</t>
  </si>
  <si>
    <t xml:space="preserve">Commutation &amp; plates-formes</t>
  </si>
  <si>
    <t xml:space="preserve">CAP7</t>
  </si>
  <si>
    <t xml:space="preserve">Transmission</t>
  </si>
  <si>
    <t xml:space="preserve">CAP8</t>
  </si>
  <si>
    <t xml:space="preserve">Energie &amp; climatisation</t>
  </si>
  <si>
    <t xml:space="preserve">CAP9</t>
  </si>
  <si>
    <t xml:space="preserve">Réseau International et interconnexion</t>
  </si>
  <si>
    <t xml:space="preserve">CAP10</t>
  </si>
  <si>
    <t xml:space="preserve">Internet</t>
  </si>
  <si>
    <t xml:space="preserve">CAP11</t>
  </si>
  <si>
    <t xml:space="preserve">Système d'information</t>
  </si>
  <si>
    <t xml:space="preserve">CAP12</t>
  </si>
  <si>
    <t xml:space="preserve">Matériel industriel</t>
  </si>
  <si>
    <t xml:space="preserve">CAP13</t>
  </si>
  <si>
    <t xml:space="preserve">Installation et agencement</t>
  </si>
  <si>
    <t xml:space="preserve">CAP14</t>
  </si>
  <si>
    <t xml:space="preserve">Matériel informatique</t>
  </si>
  <si>
    <t xml:space="preserve">CAP15</t>
  </si>
  <si>
    <t xml:space="preserve">CAP16</t>
  </si>
  <si>
    <t xml:space="preserve">Commercial et Marketing</t>
  </si>
  <si>
    <t xml:space="preserve">CAP17</t>
  </si>
  <si>
    <t xml:space="preserve">Commercial </t>
  </si>
  <si>
    <t xml:space="preserve">CAP18</t>
  </si>
  <si>
    <t xml:space="preserve">Marketing</t>
  </si>
  <si>
    <t xml:space="preserve">CAP19</t>
  </si>
  <si>
    <t xml:space="preserve">Capexisation des kits</t>
  </si>
  <si>
    <t xml:space="preserve">CAP20</t>
  </si>
  <si>
    <t xml:space="preserve">CAP21</t>
  </si>
  <si>
    <t xml:space="preserve">Administratif et Financier</t>
  </si>
  <si>
    <t xml:space="preserve">CAP22</t>
  </si>
  <si>
    <t xml:space="preserve">Logistique</t>
  </si>
  <si>
    <t xml:space="preserve">CAP23</t>
  </si>
  <si>
    <t xml:space="preserve">Matériel et outillage industriels</t>
  </si>
  <si>
    <t xml:space="preserve">CAP24</t>
  </si>
  <si>
    <t xml:space="preserve">Materiel informatique</t>
  </si>
  <si>
    <t xml:space="preserve">CAP25</t>
  </si>
  <si>
    <t xml:space="preserve">Matériels et mobiliers</t>
  </si>
  <si>
    <t xml:space="preserve">CAP26</t>
  </si>
  <si>
    <t xml:space="preserve">Climatiseurs</t>
  </si>
  <si>
    <t xml:space="preserve">CAP27</t>
  </si>
  <si>
    <t xml:space="preserve">Autres matériels et mobiliers</t>
  </si>
  <si>
    <t xml:space="preserve">CAP28</t>
  </si>
  <si>
    <t xml:space="preserve">Autres agencements (eau electricité, autres)</t>
  </si>
  <si>
    <t xml:space="preserve">CAP29</t>
  </si>
  <si>
    <t xml:space="preserve">Autres installations</t>
  </si>
  <si>
    <t xml:space="preserve">CAP30</t>
  </si>
  <si>
    <t xml:space="preserve">Terrains et Batiments</t>
  </si>
  <si>
    <t xml:space="preserve">CAP31</t>
  </si>
  <si>
    <t xml:space="preserve">Transport</t>
  </si>
  <si>
    <t xml:space="preserve">CAP32</t>
  </si>
  <si>
    <t xml:space="preserve">Autres(mat. Bureau, bureautique,…)</t>
  </si>
  <si>
    <t xml:space="preserve">CAP33</t>
  </si>
  <si>
    <t xml:space="preserve">Materiel bureautique</t>
  </si>
  <si>
    <t xml:space="preserve">CAP34</t>
  </si>
  <si>
    <t xml:space="preserve">Mobilier de bureau</t>
  </si>
  <si>
    <t xml:space="preserve">CAP35</t>
  </si>
  <si>
    <t xml:space="preserve">Terrains </t>
  </si>
  <si>
    <t xml:space="preserve">Constructions </t>
  </si>
  <si>
    <t xml:space="preserve">Installations Techniques, Matériel et Outillage</t>
  </si>
  <si>
    <t xml:space="preserve">Matériel de Transport </t>
  </si>
  <si>
    <t xml:space="preserve">Mobiliers, Matériel de Bureau et Aménagements Divers </t>
  </si>
  <si>
    <t xml:space="preserve">Licence Mobile</t>
  </si>
  <si>
    <t xml:space="preserve">Logiciels</t>
  </si>
  <si>
    <t xml:space="preserve">Cartes SIM</t>
  </si>
  <si>
    <t xml:space="preserve">Filiales : Suivi des CAPEX</t>
  </si>
  <si>
    <t xml:space="preserve">MOIS</t>
  </si>
  <si>
    <t xml:space="preserve">Intitulé du projet</t>
  </si>
  <si>
    <t xml:space="preserve">N° Bon Commande/
Contrat</t>
  </si>
  <si>
    <t xml:space="preserve">Date Emission BC
/Contrat</t>
  </si>
  <si>
    <t xml:space="preserve">Fournissseurs</t>
  </si>
  <si>
    <t xml:space="preserve">Direction</t>
  </si>
  <si>
    <t xml:space="preserve">Réalisé Janvier 2024</t>
  </si>
  <si>
    <t xml:space="preserve">Réalisé Février 2024</t>
  </si>
  <si>
    <t xml:space="preserve">Réalisé Mars 2024</t>
  </si>
  <si>
    <t xml:space="preserve">Réalisé Avril 2024</t>
  </si>
  <si>
    <t xml:space="preserve">Réalisé Mai 2024</t>
  </si>
  <si>
    <t xml:space="preserve">Réalisé Juin 2024</t>
  </si>
  <si>
    <t xml:space="preserve">Réalisé Juillet 2024</t>
  </si>
  <si>
    <t xml:space="preserve">Réalisé Août 2024</t>
  </si>
  <si>
    <t xml:space="preserve">Réalisé Septembre 2024</t>
  </si>
  <si>
    <t xml:space="preserve">Réalisé Octobre 2024</t>
  </si>
  <si>
    <t xml:space="preserve">Réalisé Novembre 2024</t>
  </si>
  <si>
    <t xml:space="preserve">Réalisé Décembre 2024</t>
  </si>
  <si>
    <t xml:space="preserve">Total </t>
  </si>
  <si>
    <t xml:space="preserve">% de réalisation du budget</t>
  </si>
  <si>
    <t xml:space="preserve">Equipement</t>
  </si>
  <si>
    <t xml:space="preserve">Prestations</t>
  </si>
  <si>
    <t xml:space="preserve">Frais annexe(DD)</t>
  </si>
  <si>
    <t xml:space="preserve">Total</t>
  </si>
  <si>
    <t xml:space="preserve">Cumul 2024</t>
  </si>
  <si>
    <t xml:space="preserve">TOTAL</t>
  </si>
  <si>
    <t xml:space="preserve">Flux Financiers consolidés</t>
  </si>
  <si>
    <t xml:space="preserve">CUMUL </t>
  </si>
  <si>
    <t xml:space="preserve">FLUX1</t>
  </si>
  <si>
    <t xml:space="preserve">FLUX2</t>
  </si>
  <si>
    <t xml:space="preserve">Neutralisation de la var. de provisions incluses dans l'Ebitda (-)</t>
  </si>
  <si>
    <t xml:space="preserve">FLUX3</t>
  </si>
  <si>
    <t xml:space="preserve">FLUX4</t>
  </si>
  <si>
    <t xml:space="preserve">Variation de BFR opérationnel (+/-)</t>
  </si>
  <si>
    <t xml:space="preserve">FLUX5</t>
  </si>
  <si>
    <t xml:space="preserve">Dividendes reçus des participations non consolidées (+)</t>
  </si>
  <si>
    <t xml:space="preserve">FLUX7</t>
  </si>
  <si>
    <t xml:space="preserve">Investissements bruts (Flux d'augmentation des immos corporelles et incorporelles bruts de la période)   (-)</t>
  </si>
  <si>
    <t xml:space="preserve">FLUX9</t>
  </si>
  <si>
    <t xml:space="preserve">Produit de cession des immobilisations corporelles et incorporelles (+)</t>
  </si>
  <si>
    <t xml:space="preserve">FLUX11</t>
  </si>
  <si>
    <t xml:space="preserve">Cession d'immobilisations</t>
  </si>
  <si>
    <t xml:space="preserve">FLUX12</t>
  </si>
  <si>
    <t xml:space="preserve">Investissements nets (Capex brutes - cession d'immo.) (-)</t>
  </si>
  <si>
    <t xml:space="preserve">FLUX13</t>
  </si>
  <si>
    <t xml:space="preserve">Plan de restructuration</t>
  </si>
  <si>
    <t xml:space="preserve">FLUX14</t>
  </si>
  <si>
    <t xml:space="preserve">CFFO</t>
  </si>
  <si>
    <t xml:space="preserve">FLUX16</t>
  </si>
  <si>
    <t xml:space="preserve">Résultat financier hors dividendes des stés non consolidées (+/-)</t>
  </si>
  <si>
    <t xml:space="preserve">FLUX18</t>
  </si>
  <si>
    <t xml:space="preserve">Impôts payés (-)</t>
  </si>
  <si>
    <t xml:space="preserve">FLUX20</t>
  </si>
  <si>
    <t xml:space="preserve">Dividendes payés (-)</t>
  </si>
  <si>
    <t xml:space="preserve">FLUX22</t>
  </si>
  <si>
    <t xml:space="preserve">Cash flow used for financing and taxes</t>
  </si>
  <si>
    <t xml:space="preserve">FLUX24</t>
  </si>
  <si>
    <t xml:space="preserve">Cash flow used for investment (+/-)</t>
  </si>
  <si>
    <t xml:space="preserve">FLUX26</t>
  </si>
  <si>
    <t xml:space="preserve">Autres éléments non cash </t>
  </si>
  <si>
    <t xml:space="preserve">FLUX27</t>
  </si>
  <si>
    <t xml:space="preserve">Net cash flow</t>
  </si>
  <si>
    <t xml:space="preserve">FLUX29</t>
  </si>
  <si>
    <t xml:space="preserve">FLUX30</t>
  </si>
  <si>
    <t xml:space="preserve">Dettes brutes (-)</t>
  </si>
  <si>
    <t xml:space="preserve">FLUX31</t>
  </si>
  <si>
    <t xml:space="preserve">Trésorerie brute (+)</t>
  </si>
  <si>
    <t xml:space="preserve">FLUX32</t>
  </si>
  <si>
    <t xml:space="preserve">Trésorerie nette fin de période</t>
  </si>
  <si>
    <t xml:space="preserve">FLUX33</t>
  </si>
  <si>
    <t xml:space="preserve">ebitda</t>
  </si>
  <si>
    <t xml:space="preserve">provisions</t>
  </si>
  <si>
    <t xml:space="preserve">capex</t>
  </si>
  <si>
    <t xml:space="preserve">cffo</t>
  </si>
  <si>
    <t xml:space="preserve">interet</t>
  </si>
  <si>
    <t xml:space="preserve">dettes brutes</t>
  </si>
  <si>
    <t xml:space="preserve">DESIGNATIONS</t>
  </si>
  <si>
    <t xml:space="preserve">TOTAL 2023</t>
  </si>
  <si>
    <t xml:space="preserve">TOTAL 2024</t>
  </si>
  <si>
    <t xml:space="preserve">REALISATIONS 2024</t>
  </si>
  <si>
    <t xml:space="preserve">JANVIER</t>
  </si>
  <si>
    <t xml:space="preserve">FEVRIER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</si>
  <si>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</si>
  <si>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</si>
  <si>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</si>
  <si>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</si>
  <si>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</si>
  <si>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</si>
  <si>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</si>
  <si>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</si>
  <si>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</si>
  <si>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DECEMBRE</t>
  </si>
  <si>
    <t xml:space="preserve">EXPLOITATION</t>
  </si>
  <si>
    <t xml:space="preserve">+</t>
  </si>
  <si>
    <t xml:space="preserve">RECETTES D'EXPLOITATION</t>
  </si>
  <si>
    <t xml:space="preserve">RECETTES INTERCO INTERNATIONALES</t>
  </si>
  <si>
    <t xml:space="preserve">RECETTES INTERCO NATIONALES</t>
  </si>
  <si>
    <t xml:space="preserve">RECETTES CONVENTIONS </t>
  </si>
  <si>
    <t xml:space="preserve">   (A) TOTAL ENCAISSEMENTS         </t>
  </si>
  <si>
    <t xml:space="preserve">        ENCAISSEMENTS CUMULES</t>
  </si>
  <si>
    <t xml:space="preserve">DECAISSEMENTS D'EXPLOITATION</t>
  </si>
  <si>
    <t xml:space="preserve">INTERCOS  NATIONALES</t>
  </si>
  <si>
    <t xml:space="preserve">INTERCOS  INTERNATIONALES</t>
  </si>
  <si>
    <t xml:space="preserve">AUTRES ACHATS</t>
  </si>
  <si>
    <t xml:space="preserve">IMPOTS &amp; TAXES</t>
  </si>
  <si>
    <t xml:space="preserve">T.V.A</t>
  </si>
  <si>
    <t xml:space="preserve">CHARGES DE PERSONNEL</t>
  </si>
  <si>
    <t xml:space="preserve">REGIES</t>
  </si>
  <si>
    <t xml:space="preserve">AUTRES CHARGES MOOVMONEY</t>
  </si>
  <si>
    <t xml:space="preserve">DEPENSES D'INVESTISSEMENTS</t>
  </si>
  <si>
    <t xml:space="preserve">LICENCES, FONDS DE COMMERCE &amp; BREVETS MARQUES DROITS ET VALEURS</t>
  </si>
  <si>
    <t xml:space="preserve">TERRAINS, AMENAGEMENTS ET CONSTRUCTIONS</t>
  </si>
  <si>
    <t xml:space="preserve">INSTAL. TECHN.,MATERIEL &amp; OUTILLAGE</t>
  </si>
  <si>
    <t xml:space="preserve">MATERIEL DE TRANSPORT</t>
  </si>
  <si>
    <t xml:space="preserve">MATERIEL ET MOBILIER DE BUREAU</t>
  </si>
  <si>
    <t xml:space="preserve">AUTRES IMMOBILISATIONS</t>
  </si>
  <si>
    <t xml:space="preserve">AVANCES ET ACOMPTES/IMMOB</t>
  </si>
  <si>
    <t xml:space="preserve">   (B) TOTAL DECAISSEMENTS         </t>
  </si>
  <si>
    <t xml:space="preserve">        DECAISSEMENTS CUMULES</t>
  </si>
  <si>
    <t xml:space="preserve">DECAISSEMENTS XBORDER</t>
  </si>
  <si>
    <t xml:space="preserve">   (C) FLUX MENSUEL GENERE PAR EXPLOITAT°=CFFO</t>
  </si>
  <si>
    <t xml:space="preserve">FLUX CUMULE</t>
  </si>
  <si>
    <t xml:space="preserve">HORS EXPLOIT</t>
  </si>
  <si>
    <t xml:space="preserve">AUTRES</t>
  </si>
  <si>
    <t xml:space="preserve">I.S</t>
  </si>
  <si>
    <t xml:space="preserve">DIVIDENDES</t>
  </si>
  <si>
    <t xml:space="preserve">   (D) FLUX MENSUEL GENERE PAR H. EXPLOITAT°         </t>
  </si>
  <si>
    <t xml:space="preserve">FINANCEMENT</t>
  </si>
  <si>
    <t xml:space="preserve">OPERATION DE FINANCEMENT</t>
  </si>
  <si>
    <t xml:space="preserve">CHARGES D'INTERETS</t>
  </si>
  <si>
    <t xml:space="preserve">REMBOURSEMENT D'EMPRUNTS</t>
  </si>
  <si>
    <t xml:space="preserve">REMBOURSEMENT CREDITS SPOT</t>
  </si>
  <si>
    <t xml:space="preserve">NOUVEAU EMPRUNTS A LMT</t>
  </si>
  <si>
    <t xml:space="preserve">NOUVEAU CREDITS SPOT</t>
  </si>
  <si>
    <t xml:space="preserve">AUTRES (AUG K, PARTICIPATION, PRETS…)</t>
  </si>
  <si>
    <t xml:space="preserve">PRODUITS FINANCIERS</t>
  </si>
  <si>
    <t xml:space="preserve">   (E) FLUX MENSUEL         </t>
  </si>
  <si>
    <t xml:space="preserve">NET CASH FLOW</t>
  </si>
  <si>
    <t xml:space="preserve">FLUX NET MENSUEL (C+D+E)</t>
  </si>
  <si>
    <t xml:space="preserve">FLUX NET CUMULE (C+D+E)</t>
  </si>
  <si>
    <t xml:space="preserve">DETTE NETTE</t>
  </si>
  <si>
    <t xml:space="preserve">PORTEFEUILLE EN VALEUR DE PLACEMENT</t>
  </si>
  <si>
    <t xml:space="preserve">COMPTES SEQUESTRES</t>
  </si>
  <si>
    <t xml:space="preserve">DISPONIBILITES EN TRESORERIE (BQ+REGIES+..)</t>
  </si>
  <si>
    <r>
      <rPr>
        <b val="true"/>
        <sz val="12"/>
        <color rgb="FF333399"/>
        <rFont val="Arial"/>
        <family val="2"/>
        <charset val="1"/>
      </rPr>
      <t xml:space="preserve">C</t>
    </r>
    <r>
      <rPr>
        <b val="true"/>
        <sz val="12"/>
        <color rgb="FF000000"/>
        <rFont val="Arial"/>
        <family val="2"/>
        <charset val="1"/>
      </rPr>
      <t xml:space="preserve">ASH &amp; CASH EQUIVALENT </t>
    </r>
  </si>
  <si>
    <t xml:space="preserve">EMPRUNTS BANCAIRES</t>
  </si>
  <si>
    <t xml:space="preserve">CREDIT FOURNISSEURS</t>
  </si>
  <si>
    <t xml:space="preserve">CREDIT SPOT</t>
  </si>
  <si>
    <t xml:space="preserve">AUTRES DETTES FINANCIERES</t>
  </si>
  <si>
    <t xml:space="preserve">INTERETS COURUS NON ECHUS</t>
  </si>
  <si>
    <t xml:space="preserve">DETTE BRUTE</t>
  </si>
  <si>
    <t xml:space="preserve">Convention de signe:</t>
  </si>
  <si>
    <t xml:space="preserve">Cash reçu + / Cash payé -</t>
  </si>
  <si>
    <t xml:space="preserve">Trésorerie positive (+), Dette brute (-)</t>
  </si>
  <si>
    <t xml:space="preserve">Contrôle dette brute</t>
  </si>
  <si>
    <t xml:space="preserve">Flux dette cumulé</t>
  </si>
  <si>
    <t xml:space="preserve">Contrôle net cash flow</t>
  </si>
  <si>
    <t xml:space="preserve">Kpts </t>
  </si>
  <si>
    <t xml:space="preserve">Intérerts  rembourses </t>
  </si>
  <si>
    <t xml:space="preserve">Inter^tes dus </t>
  </si>
  <si>
    <t xml:space="preserve"> Remb</t>
  </si>
  <si>
    <t xml:space="preserve">Solde</t>
  </si>
  <si>
    <t xml:space="preserve"> solde ECO</t>
  </si>
  <si>
    <t xml:space="preserve"> Nvt Emp</t>
  </si>
  <si>
    <t xml:space="preserve">Effectif et Sites BTS</t>
  </si>
  <si>
    <t xml:space="preserve">Effectif</t>
  </si>
  <si>
    <t xml:space="preserve">Sites BTS mis en service (cumulé)</t>
  </si>
  <si>
    <t xml:space="preserve">5G</t>
  </si>
  <si>
    <t xml:space="preserve">Impact JAN</t>
  </si>
  <si>
    <t xml:space="preserve">Impact FEV</t>
  </si>
  <si>
    <t xml:space="preserve">Impact MAR</t>
  </si>
  <si>
    <t xml:space="preserve">IMPACT AVR</t>
  </si>
  <si>
    <t xml:space="preserve">IMPACT MAI</t>
  </si>
  <si>
    <t xml:space="preserve">IMPACT JUIN</t>
  </si>
  <si>
    <t xml:space="preserve">IMPACT JUIL</t>
  </si>
  <si>
    <t xml:space="preserve">IMPACT AUG</t>
  </si>
  <si>
    <t xml:space="preserve">IMPACT SEP</t>
  </si>
  <si>
    <t xml:space="preserve">IMPACT OCT</t>
  </si>
  <si>
    <t xml:space="preserve">IMPACT NOV</t>
  </si>
  <si>
    <t xml:space="preserve">IMPACT DEC</t>
  </si>
  <si>
    <t xml:space="preserve">RC6142</t>
  </si>
  <si>
    <t xml:space="preserve">Loyers ( EBITDA)</t>
  </si>
  <si>
    <t xml:space="preserve">RC6151</t>
  </si>
  <si>
    <t xml:space="preserve">Dotations aux amortissements du droit d'utilisation</t>
  </si>
  <si>
    <t xml:space="preserve">RC6311</t>
  </si>
  <si>
    <t xml:space="preserve">Charges d'intérêts sur obligation locative</t>
  </si>
  <si>
    <t xml:space="preserve">PNC1605</t>
  </si>
  <si>
    <t xml:space="preserve">Obligation locative (+1 an)</t>
  </si>
</sst>
</file>

<file path=xl/styles.xml><?xml version="1.0" encoding="utf-8"?>
<styleSheet xmlns="http://schemas.openxmlformats.org/spreadsheetml/2006/main">
  <numFmts count="55">
    <numFmt numFmtId="164" formatCode="General"/>
    <numFmt numFmtId="165" formatCode="#,##0,;;;&quot;$K&quot;"/>
    <numFmt numFmtId="166" formatCode="#,##0.00"/>
    <numFmt numFmtId="167" formatCode="0000"/>
    <numFmt numFmtId="168" formatCode="000000"/>
    <numFmt numFmtId="169" formatCode="_-* #,##0_-;\-* #,##0_-;_-* \-_-;_-@_-"/>
    <numFmt numFmtId="170" formatCode="mmmm\-yyyy"/>
    <numFmt numFmtId="171" formatCode="_-* #,##0.00\ _F_-;\-* #,##0.00\ _F_-;_-* \-??\ _F_-;_-@_-"/>
    <numFmt numFmtId="172" formatCode="_-* #,##0\ _F_-;\-* #,##0\ _F_-;_-* \-??\ _F_-;_-@_-"/>
    <numFmt numFmtId="173" formatCode="#,##0"/>
    <numFmt numFmtId="174" formatCode="#,##0.0%_);\(#,##0.0%\);\-_);@_)"/>
    <numFmt numFmtId="175" formatCode="0%"/>
    <numFmt numFmtId="176" formatCode="@"/>
    <numFmt numFmtId="177" formatCode="dd/mm/yyyy"/>
    <numFmt numFmtId="178" formatCode="_-* #,##0.000_-;\-* #,##0.000_-;_-* \-_-;_-@_-"/>
    <numFmt numFmtId="179" formatCode="mm/yy"/>
    <numFmt numFmtId="180" formatCode="#,##0,,"/>
    <numFmt numFmtId="181" formatCode="0.0%"/>
    <numFmt numFmtId="182" formatCode="#,##0.0&quot; pt&quot;;\-#,##0.0&quot; pt&quot;"/>
    <numFmt numFmtId="183" formatCode="0.00%"/>
    <numFmt numFmtId="184" formatCode="#,##0&quot; pt&quot;;\-#,##0&quot; pt&quot;"/>
    <numFmt numFmtId="185" formatCode="_-* #,##0.0\ _F_-;\-* #,##0.0\ _F_-;_-* \-??\ _F_-;_-@_-"/>
    <numFmt numFmtId="186" formatCode="_-* #,##0.000\ _F_-;\-* #,##0.000\ _F_-;_-* \-??\ _F_-;_-@_-"/>
    <numFmt numFmtId="187" formatCode="_-* #,##0.00_-;\-* #,##0.00_-;_-* \-_-;_-@_-"/>
    <numFmt numFmtId="188" formatCode="_-* #,##0.0000000000\ _F_-;\-* #,##0.0000000000\ _F_-;_-* \-??\ _F_-;_-@_-"/>
    <numFmt numFmtId="189" formatCode="_-* #,##0.0_-;\-* #,##0.0_-;_-* \-_-;_-@_-"/>
    <numFmt numFmtId="190" formatCode="_-* #,##0.0\ _C_F_A_-;\-* #,##0.0\ _C_F_A_-;_-* \-?\ _C_F_A_-;_-@_-"/>
    <numFmt numFmtId="191" formatCode="_-* #,##0.00000_-;\-* #,##0.00000_-;_-* \-_-;_-@_-"/>
    <numFmt numFmtId="192" formatCode="d\ mmm\ yy"/>
    <numFmt numFmtId="193" formatCode="_-* #,##0.0000_-;\-* #,##0.0000_-;_-* \-_-;_-@_-"/>
    <numFmt numFmtId="194" formatCode="_-* #,##0.0000\ _F_-;\-* #,##0.0000\ _F_-;_-* \-??\ _F_-;_-@_-"/>
    <numFmt numFmtId="195" formatCode="#,##0.0,,"/>
    <numFmt numFmtId="196" formatCode="#,##0.00,,"/>
    <numFmt numFmtId="197" formatCode="General"/>
    <numFmt numFmtId="198" formatCode="#,##0.00&quot; pt&quot;;\-#,##0.00&quot; pt&quot;"/>
    <numFmt numFmtId="199" formatCode="0&quot;Pt&quot;"/>
    <numFmt numFmtId="200" formatCode="0"/>
    <numFmt numFmtId="201" formatCode="0.000"/>
    <numFmt numFmtId="202" formatCode="_-* #,##0\ _€_-;\-* #,##0\ _€_-;_-* \-??\ _€_-;_-@_-"/>
    <numFmt numFmtId="203" formatCode="_-* #,##0.00\ _C_F_A_-;\-* #,##0.00\ _C_F_A_-;_-* \-??\ _C_F_A_-;_-@_-"/>
    <numFmt numFmtId="204" formatCode="_-* #,##0.00000000000_-;\-* #,##0.00000000000_-;_-* \-_-;_-@_-"/>
    <numFmt numFmtId="205" formatCode="_-* #,##0.00\ _€_-;\-* #,##0.00\ _€_-;_-* \-??\ _€_-;_-@_-"/>
    <numFmt numFmtId="206" formatCode="\+#,##0.0&quot; pts&quot;;\-#,##0.0&quot; pts&quot;"/>
    <numFmt numFmtId="207" formatCode="#,##0.0000"/>
    <numFmt numFmtId="208" formatCode="[$-40C]mmm\-yy;@"/>
    <numFmt numFmtId="209" formatCode="#,##0.0"/>
    <numFmt numFmtId="210" formatCode="#,##0.000"/>
    <numFmt numFmtId="211" formatCode="_-* #,##0.00000\ _€_-;\-* #,##0.00000\ _€_-;_-* \-?????\ _€_-;_-@_-"/>
    <numFmt numFmtId="212" formatCode="_-* #,##0_-;\-* #,##0_-;_-* \-??_-;_-@_-"/>
    <numFmt numFmtId="213" formatCode="#,##0_ ;\-#,##0\ "/>
    <numFmt numFmtId="214" formatCode="_-* #,##0.000000\ _F_-;\-* #,##0.000000\ _F_-;_-* \-??\ _F_-;_-@_-"/>
    <numFmt numFmtId="215" formatCode="_(* #,##0_);_(* \(#,##0\);_(* \-??_);_(@_)"/>
    <numFmt numFmtId="216" formatCode="_-* #,##0\ _€_-;\-* #,##0\ _€_-;_-* &quot;- &quot;_€_-;_-@_-"/>
    <numFmt numFmtId="217" formatCode="_-* #,##0.00_-;\-* #,##0.00_-;_-* \-??_-;_-@_-"/>
    <numFmt numFmtId="218" formatCode="0.00"/>
  </numFmts>
  <fonts count="14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8"/>
      <name val="Antique Olive"/>
      <family val="2"/>
      <charset val="1"/>
    </font>
    <font>
      <sz val="8"/>
      <name val="Geneva"/>
      <family val="2"/>
      <charset val="1"/>
    </font>
    <font>
      <sz val="11"/>
      <color rgb="FF000000"/>
      <name val="Calibri"/>
      <family val="2"/>
      <charset val="1"/>
    </font>
    <font>
      <b val="true"/>
      <sz val="36"/>
      <color rgb="FF008000"/>
      <name val="Arial"/>
      <family val="2"/>
      <charset val="1"/>
    </font>
    <font>
      <b val="true"/>
      <sz val="28"/>
      <color rgb="FFFF0000"/>
      <name val="Arial"/>
      <family val="2"/>
      <charset val="1"/>
    </font>
    <font>
      <sz val="14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26"/>
      <color rgb="FF000099"/>
      <name val="Arial"/>
      <family val="2"/>
      <charset val="1"/>
    </font>
    <font>
      <b val="true"/>
      <sz val="14"/>
      <color rgb="FFC00000"/>
      <name val="Arial"/>
      <family val="2"/>
      <charset val="1"/>
    </font>
    <font>
      <b val="true"/>
      <i val="true"/>
      <sz val="16"/>
      <color rgb="FF953735"/>
      <name val="Arial"/>
      <family val="2"/>
      <charset val="1"/>
    </font>
    <font>
      <b val="true"/>
      <sz val="26"/>
      <color rgb="FF008000"/>
      <name val="Arial"/>
      <family val="2"/>
      <charset val="1"/>
    </font>
    <font>
      <sz val="24"/>
      <color rgb="FFFFFFFF"/>
      <name val="Arial"/>
      <family val="2"/>
      <charset val="1"/>
    </font>
    <font>
      <sz val="24"/>
      <color rgb="FF339966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8"/>
      <color rgb="FF00206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0"/>
    </font>
    <font>
      <b val="true"/>
      <sz val="16"/>
      <color rgb="FFFF0000"/>
      <name val="Arial"/>
      <family val="2"/>
      <charset val="1"/>
    </font>
    <font>
      <sz val="16"/>
      <name val="Arial"/>
      <family val="2"/>
      <charset val="1"/>
    </font>
    <font>
      <sz val="16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sz val="10"/>
      <color rgb="FFD9D9D9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A6A6A6"/>
      <name val="Arial"/>
      <family val="2"/>
      <charset val="1"/>
    </font>
    <font>
      <sz val="10"/>
      <color rgb="FF808080"/>
      <name val="Arial"/>
      <family val="2"/>
      <charset val="1"/>
    </font>
    <font>
      <sz val="9"/>
      <color rgb="FF000000"/>
      <name val="Tahoma"/>
      <family val="2"/>
      <charset val="1"/>
    </font>
    <font>
      <sz val="9"/>
      <color rgb="FFFF0000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984807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003366"/>
      <name val="Arial"/>
      <family val="2"/>
      <charset val="1"/>
    </font>
    <font>
      <b val="true"/>
      <sz val="10"/>
      <color rgb="FF003366"/>
      <name val="Arial"/>
      <family val="2"/>
      <charset val="1"/>
    </font>
    <font>
      <b val="true"/>
      <sz val="9"/>
      <name val="Arial"/>
      <family val="2"/>
      <charset val="1"/>
    </font>
    <font>
      <sz val="9"/>
      <color rgb="FF0000FF"/>
      <name val="Arial"/>
      <family val="2"/>
      <charset val="1"/>
    </font>
    <font>
      <b val="true"/>
      <sz val="10"/>
      <color rgb="FFBFBFBF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0"/>
      <color rgb="FF993366"/>
      <name val="Arial"/>
      <family val="2"/>
      <charset val="1"/>
    </font>
    <font>
      <b val="true"/>
      <sz val="8"/>
      <color rgb="FF0000FF"/>
      <name val="Arial"/>
      <family val="2"/>
      <charset val="1"/>
    </font>
    <font>
      <b val="true"/>
      <sz val="9"/>
      <color rgb="FF0000FF"/>
      <name val="Arial"/>
      <family val="2"/>
      <charset val="1"/>
    </font>
    <font>
      <sz val="9"/>
      <color rgb="FF000000"/>
      <name val="Book Antiqua"/>
      <family val="1"/>
      <charset val="1"/>
    </font>
    <font>
      <sz val="9"/>
      <name val="Book Antiqua"/>
      <family val="1"/>
      <charset val="1"/>
    </font>
    <font>
      <sz val="9"/>
      <color rgb="FFFFFFFF"/>
      <name val="Book Antiqua"/>
      <family val="1"/>
      <charset val="1"/>
    </font>
    <font>
      <b val="true"/>
      <sz val="14"/>
      <color rgb="FFFF0000"/>
      <name val="Arial"/>
      <family val="2"/>
      <charset val="1"/>
    </font>
    <font>
      <b val="true"/>
      <i val="true"/>
      <u val="single"/>
      <sz val="10"/>
      <color rgb="FFFF0000"/>
      <name val="Arial"/>
      <family val="2"/>
      <charset val="1"/>
    </font>
    <font>
      <sz val="10"/>
      <color rgb="FF00B0F0"/>
      <name val="Arial"/>
      <family val="2"/>
      <charset val="1"/>
    </font>
    <font>
      <sz val="10"/>
      <color rgb="FFFFFF00"/>
      <name val="Arial"/>
      <family val="2"/>
      <charset val="1"/>
    </font>
    <font>
      <sz val="10"/>
      <color rgb="FF969696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0"/>
      <color rgb="FF969696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0"/>
      <color rgb="FFD9D9D9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b val="true"/>
      <sz val="10"/>
      <color rgb="FFE26B0A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i val="true"/>
      <sz val="11"/>
      <color rgb="FF1F497D"/>
      <name val="Arial"/>
      <family val="2"/>
      <charset val="1"/>
    </font>
    <font>
      <sz val="10"/>
      <color rgb="FF1F497D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color rgb="FFFFFFFF"/>
      <name val="Times New Roman"/>
      <family val="1"/>
      <charset val="1"/>
    </font>
    <font>
      <sz val="11"/>
      <color rgb="FFFFFFFF"/>
      <name val="Calibri"/>
      <family val="2"/>
      <charset val="1"/>
    </font>
    <font>
      <sz val="12"/>
      <color rgb="FFFFFFFF"/>
      <name val="Times New Roman"/>
      <family val="1"/>
      <charset val="1"/>
    </font>
    <font>
      <sz val="11"/>
      <color rgb="FFFFFFFF"/>
      <name val="Arial"/>
      <family val="2"/>
      <charset val="1"/>
    </font>
    <font>
      <sz val="10"/>
      <color rgb="FFFF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1"/>
      <color rgb="FFFF0000"/>
      <name val="Arial"/>
      <family val="2"/>
      <charset val="1"/>
    </font>
    <font>
      <i val="true"/>
      <sz val="11"/>
      <name val="Times New Roman"/>
      <family val="1"/>
      <charset val="1"/>
    </font>
    <font>
      <sz val="11"/>
      <name val="Times New Roman"/>
      <family val="1"/>
      <charset val="1"/>
    </font>
    <font>
      <i val="true"/>
      <sz val="12"/>
      <name val="Times New Roman"/>
      <family val="1"/>
      <charset val="1"/>
    </font>
    <font>
      <b val="true"/>
      <sz val="11"/>
      <color rgb="FFE46C0A"/>
      <name val="Times New Roman"/>
      <family val="1"/>
      <charset val="1"/>
    </font>
    <font>
      <b val="true"/>
      <sz val="10"/>
      <color rgb="FF4F81BD"/>
      <name val="Times New Roman"/>
      <family val="1"/>
      <charset val="1"/>
    </font>
    <font>
      <sz val="9"/>
      <name val="Calibri"/>
      <family val="2"/>
      <charset val="1"/>
    </font>
    <font>
      <i val="true"/>
      <sz val="10"/>
      <color rgb="FF1F497D"/>
      <name val="Arial"/>
      <family val="2"/>
      <charset val="1"/>
    </font>
    <font>
      <sz val="11"/>
      <color rgb="FF1F497D"/>
      <name val="Arial"/>
      <family val="2"/>
      <charset val="1"/>
    </font>
    <font>
      <sz val="8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rgb="FF4F81BD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18"/>
      <color rgb="FF003366"/>
      <name val="Arial"/>
      <family val="2"/>
      <charset val="1"/>
    </font>
    <font>
      <sz val="10"/>
      <color rgb="FF632523"/>
      <name val="Arial"/>
      <family val="2"/>
      <charset val="1"/>
    </font>
    <font>
      <b val="true"/>
      <sz val="8"/>
      <color rgb="FF0070C0"/>
      <name val="Arial"/>
      <family val="2"/>
      <charset val="1"/>
    </font>
    <font>
      <b val="true"/>
      <sz val="10"/>
      <color rgb="FF0066CC"/>
      <name val="Arial"/>
      <family val="2"/>
      <charset val="1"/>
    </font>
    <font>
      <b val="true"/>
      <sz val="10"/>
      <color rgb="FFD9D9D9"/>
      <name val="Arial"/>
      <family val="2"/>
      <charset val="1"/>
    </font>
    <font>
      <b val="true"/>
      <sz val="11"/>
      <name val="Calibri"/>
      <family val="2"/>
      <charset val="1"/>
    </font>
    <font>
      <sz val="14"/>
      <name val="Calibri"/>
      <family val="2"/>
      <charset val="1"/>
    </font>
    <font>
      <sz val="12"/>
      <name val="Calibri"/>
      <family val="2"/>
      <charset val="1"/>
    </font>
    <font>
      <b val="true"/>
      <sz val="14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8"/>
      <name val="Calibri"/>
      <family val="2"/>
      <charset val="1"/>
    </font>
    <font>
      <sz val="9"/>
      <color rgb="FFFF0000"/>
      <name val="Dax-Light"/>
      <family val="0"/>
      <charset val="1"/>
    </font>
    <font>
      <sz val="8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8"/>
      <name val="Calibri"/>
      <family val="2"/>
      <charset val="1"/>
    </font>
    <font>
      <sz val="7"/>
      <name val="Arial"/>
      <family val="2"/>
      <charset val="1"/>
    </font>
    <font>
      <b val="true"/>
      <sz val="7"/>
      <color rgb="FF00336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7"/>
      <color rgb="FF0070C0"/>
      <name val="Arial"/>
      <family val="2"/>
      <charset val="1"/>
    </font>
    <font>
      <b val="true"/>
      <sz val="24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u val="double"/>
      <sz val="16"/>
      <name val="Calibri"/>
      <family val="2"/>
      <charset val="1"/>
    </font>
    <font>
      <b val="true"/>
      <sz val="11"/>
      <color rgb="FF333399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33339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2"/>
      <color rgb="FFFF0000"/>
      <name val="Calibri"/>
      <family val="2"/>
      <charset val="1"/>
    </font>
    <font>
      <sz val="12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333399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u val="single"/>
      <sz val="12"/>
      <color rgb="FF000000"/>
      <name val="Arial"/>
      <family val="2"/>
      <charset val="1"/>
    </font>
    <font>
      <b val="true"/>
      <sz val="12"/>
      <color rgb="FF333399"/>
      <name val="Arial"/>
      <family val="2"/>
      <charset val="1"/>
    </font>
    <font>
      <sz val="10"/>
      <color rgb="FFC00000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7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0">
    <border diagonalUp="false" diagonalDown="false">
      <left/>
      <right/>
      <top/>
      <bottom/>
      <diagonal/>
    </border>
    <border diagonalUp="false" diagonalDown="false">
      <left style="medium">
        <color rgb="FF969696"/>
      </left>
      <right/>
      <top style="medium">
        <color rgb="FF969696"/>
      </top>
      <bottom/>
      <diagonal/>
    </border>
    <border diagonalUp="false" diagonalDown="false">
      <left/>
      <right/>
      <top style="medium">
        <color rgb="FF969696"/>
      </top>
      <bottom/>
      <diagonal/>
    </border>
    <border diagonalUp="false" diagonalDown="false">
      <left/>
      <right style="medium">
        <color rgb="FF969696"/>
      </right>
      <top style="medium">
        <color rgb="FF969696"/>
      </top>
      <bottom/>
      <diagonal/>
    </border>
    <border diagonalUp="false" diagonalDown="false">
      <left style="medium">
        <color rgb="FF969696"/>
      </left>
      <right/>
      <top/>
      <bottom/>
      <diagonal/>
    </border>
    <border diagonalUp="false" diagonalDown="false">
      <left/>
      <right style="medium">
        <color rgb="FF969696"/>
      </right>
      <top/>
      <bottom/>
      <diagonal/>
    </border>
    <border diagonalUp="false" diagonalDown="false">
      <left style="medium">
        <color rgb="FF969696"/>
      </left>
      <right/>
      <top/>
      <bottom style="medium">
        <color rgb="FF969696"/>
      </bottom>
      <diagonal/>
    </border>
    <border diagonalUp="false" diagonalDown="false">
      <left/>
      <right/>
      <top/>
      <bottom style="medium">
        <color rgb="FF969696"/>
      </bottom>
      <diagonal/>
    </border>
    <border diagonalUp="false" diagonalDown="false">
      <left/>
      <right style="medium">
        <color rgb="FF969696"/>
      </right>
      <top/>
      <bottom style="medium">
        <color rgb="FF969696"/>
      </bottom>
      <diagonal/>
    </border>
    <border diagonalUp="false" diagonalDown="false">
      <left/>
      <right/>
      <top/>
      <bottom style="medium">
        <color rgb="FF00017C"/>
      </bottom>
      <diagonal/>
    </border>
    <border diagonalUp="false" diagonalDown="false">
      <left/>
      <right/>
      <top style="medium"/>
      <bottom style="thin">
        <color rgb="FF000099"/>
      </bottom>
      <diagonal/>
    </border>
    <border diagonalUp="false" diagonalDown="false">
      <left/>
      <right/>
      <top/>
      <bottom style="thin">
        <color rgb="FF000099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medium">
        <color rgb="FF00017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>
        <color rgb="FF000099"/>
      </top>
      <bottom style="thin">
        <color rgb="FF000099"/>
      </bottom>
      <diagonal/>
    </border>
    <border diagonalUp="false" diagonalDown="false">
      <left/>
      <right/>
      <top style="thin">
        <color rgb="FF000099"/>
      </top>
      <bottom style="thin">
        <color rgb="FF000099"/>
      </bottom>
      <diagonal/>
    </border>
    <border diagonalUp="false" diagonalDown="false">
      <left style="thin"/>
      <right style="thin"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/>
      <top style="thin">
        <color rgb="FF000099"/>
      </top>
      <bottom style="thin">
        <color rgb="FF000099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/>
      <right/>
      <top style="thin">
        <color rgb="FF000099"/>
      </top>
      <bottom/>
      <diagonal/>
    </border>
    <border diagonalUp="false" diagonalDown="false">
      <left/>
      <right style="thin"/>
      <top style="thin">
        <color rgb="FF000099"/>
      </top>
      <bottom/>
      <diagonal/>
    </border>
    <border diagonalUp="false" diagonalDown="false">
      <left style="thin"/>
      <right style="thin"/>
      <top style="thin">
        <color rgb="FF000099"/>
      </top>
      <bottom/>
      <diagonal/>
    </border>
    <border diagonalUp="false" diagonalDown="false">
      <left style="thin">
        <color rgb="FF000099"/>
      </left>
      <right style="thin">
        <color rgb="FF000099"/>
      </right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 diagonalUp="false" diagonalDown="false">
      <left/>
      <right/>
      <top/>
      <bottom style="thin">
        <color rgb="FF002060"/>
      </bottom>
      <diagonal/>
    </border>
    <border diagonalUp="false" diagonalDown="false">
      <left/>
      <right style="thin"/>
      <top/>
      <bottom style="thin">
        <color rgb="FF002060"/>
      </bottom>
      <diagonal/>
    </border>
    <border diagonalUp="false" diagonalDown="false">
      <left style="thin"/>
      <right style="thin"/>
      <top/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/>
      <right/>
      <top style="thin">
        <color rgb="FF002060"/>
      </top>
      <bottom style="thin">
        <color rgb="FF002060"/>
      </bottom>
      <diagonal/>
    </border>
    <border diagonalUp="false" diagonalDown="false">
      <left/>
      <right style="thin"/>
      <top style="thin">
        <color rgb="FF002060"/>
      </top>
      <bottom style="thin"/>
      <diagonal/>
    </border>
    <border diagonalUp="false" diagonalDown="false">
      <left/>
      <right/>
      <top style="thin">
        <color rgb="FF002060"/>
      </top>
      <bottom/>
      <diagonal/>
    </border>
    <border diagonalUp="false" diagonalDown="false">
      <left style="thin"/>
      <right style="thin"/>
      <top style="thin">
        <color rgb="FF002060"/>
      </top>
      <bottom/>
      <diagonal/>
    </border>
    <border diagonalUp="false" diagonalDown="false">
      <left/>
      <right/>
      <top style="thin">
        <color rgb="FF002060"/>
      </top>
      <bottom style="thin"/>
      <diagonal/>
    </border>
    <border diagonalUp="false" diagonalDown="false">
      <left style="thin"/>
      <right style="thin"/>
      <top style="thin">
        <color rgb="FF002060"/>
      </top>
      <bottom style="thin"/>
      <diagonal/>
    </border>
    <border diagonalUp="false" diagonalDown="false">
      <left/>
      <right style="thin">
        <color rgb="FF000099"/>
      </right>
      <top style="thin">
        <color rgb="FF002060"/>
      </top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 diagonalUp="false" diagonalDown="false">
      <left style="thin">
        <color rgb="FF00017C"/>
      </left>
      <right/>
      <top/>
      <bottom style="thin">
        <color rgb="FF00017C"/>
      </bottom>
      <diagonal/>
    </border>
    <border diagonalUp="false" diagonalDown="false">
      <left/>
      <right/>
      <top/>
      <bottom style="thin">
        <color rgb="FF00017C"/>
      </bottom>
      <diagonal/>
    </border>
    <border diagonalUp="false" diagonalDown="false">
      <left/>
      <right style="thin">
        <color rgb="FF00017C"/>
      </right>
      <top/>
      <bottom style="thin">
        <color rgb="FF00017C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 style="thin">
        <color rgb="FF00017C"/>
      </bottom>
      <diagonal/>
    </border>
    <border diagonalUp="false" diagonalDown="false">
      <left style="thin"/>
      <right/>
      <top/>
      <bottom style="thin">
        <color rgb="FF00017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medium">
        <color rgb="FF00017C"/>
      </top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/>
      <bottom style="thin">
        <color rgb="FF000099"/>
      </bottom>
      <diagonal/>
    </border>
    <border diagonalUp="false" diagonalDown="false">
      <left style="thin"/>
      <right/>
      <top/>
      <bottom style="thin">
        <color rgb="FF000099"/>
      </bottom>
      <diagonal/>
    </border>
    <border diagonalUp="false" diagonalDown="false">
      <left style="thin"/>
      <right style="medium"/>
      <top/>
      <bottom style="thin">
        <color rgb="FF000099"/>
      </bottom>
      <diagonal/>
    </border>
    <border diagonalUp="false" diagonalDown="false">
      <left style="medium"/>
      <right style="medium"/>
      <top/>
      <bottom style="thin">
        <color rgb="FF000099"/>
      </bottom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000099"/>
      </left>
      <right/>
      <top style="thin">
        <color rgb="FF000099"/>
      </top>
      <bottom style="thin">
        <color rgb="FF000099"/>
      </bottom>
      <diagonal/>
    </border>
    <border diagonalUp="false" diagonalDown="false">
      <left style="medium"/>
      <right style="medium"/>
      <top style="thin">
        <color rgb="FF000099"/>
      </top>
      <bottom style="thin">
        <color rgb="FF000099"/>
      </bottom>
      <diagonal/>
    </border>
    <border diagonalUp="false" diagonalDown="false">
      <left style="medium"/>
      <right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/>
      <top style="thin">
        <color rgb="FF000099"/>
      </top>
      <bottom/>
      <diagonal/>
    </border>
    <border diagonalUp="false" diagonalDown="false">
      <left style="thin">
        <color rgb="FF000099"/>
      </left>
      <right/>
      <top/>
      <bottom style="thin">
        <color rgb="FF000099"/>
      </bottom>
      <diagonal/>
    </border>
    <border diagonalUp="false" diagonalDown="false">
      <left style="medium"/>
      <right/>
      <top/>
      <bottom style="thin">
        <color rgb="FF000099"/>
      </bottom>
      <diagonal/>
    </border>
    <border diagonalUp="false" diagonalDown="false">
      <left style="thin"/>
      <right/>
      <top style="thin">
        <color rgb="FF000099"/>
      </top>
      <bottom/>
      <diagonal/>
    </border>
    <border diagonalUp="false" diagonalDown="false">
      <left style="medium"/>
      <right style="medium"/>
      <top style="thin">
        <color rgb="FF000099"/>
      </top>
      <bottom/>
      <diagonal/>
    </border>
    <border diagonalUp="false" diagonalDown="false">
      <left style="medium"/>
      <right/>
      <top style="thin">
        <color rgb="FF000099"/>
      </top>
      <bottom/>
      <diagonal/>
    </border>
    <border diagonalUp="false" diagonalDown="false">
      <left style="thin"/>
      <right/>
      <top style="thin">
        <color rgb="FF000099"/>
      </top>
      <bottom style="thin"/>
      <diagonal/>
    </border>
    <border diagonalUp="false" diagonalDown="false">
      <left/>
      <right/>
      <top style="thin">
        <color rgb="FF000099"/>
      </top>
      <bottom style="thin"/>
      <diagonal/>
    </border>
    <border diagonalUp="false" diagonalDown="false">
      <left/>
      <right style="thin"/>
      <top style="thin">
        <color rgb="FF000099"/>
      </top>
      <bottom style="thin"/>
      <diagonal/>
    </border>
    <border diagonalUp="false" diagonalDown="false">
      <left style="thin"/>
      <right style="thin"/>
      <top style="thin">
        <color rgb="FF000099"/>
      </top>
      <bottom style="thin"/>
      <diagonal/>
    </border>
    <border diagonalUp="false" diagonalDown="false">
      <left style="medium"/>
      <right style="medium"/>
      <top style="thin">
        <color rgb="FF000099"/>
      </top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>
        <color rgb="FF000099"/>
      </top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>
        <color rgb="FF000099"/>
      </bottom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000099"/>
      </left>
      <right/>
      <top style="thin"/>
      <bottom style="thin">
        <color rgb="FF000099"/>
      </bottom>
      <diagonal/>
    </border>
    <border diagonalUp="false" diagonalDown="false">
      <left/>
      <right style="thin">
        <color rgb="FF000099"/>
      </right>
      <top style="thin"/>
      <bottom style="thin">
        <color rgb="FF000099"/>
      </bottom>
      <diagonal/>
    </border>
    <border diagonalUp="false" diagonalDown="false">
      <left style="thin"/>
      <right/>
      <top style="thin"/>
      <bottom style="thin">
        <color rgb="FF000099"/>
      </bottom>
      <diagonal/>
    </border>
    <border diagonalUp="false" diagonalDown="false">
      <left/>
      <right/>
      <top style="thin"/>
      <bottom style="thin">
        <color rgb="FF000099"/>
      </bottom>
      <diagonal/>
    </border>
    <border diagonalUp="false" diagonalDown="false">
      <left/>
      <right style="thin"/>
      <top style="thin"/>
      <bottom style="thin">
        <color rgb="FF000099"/>
      </bottom>
      <diagonal/>
    </border>
    <border diagonalUp="false" diagonalDown="false">
      <left style="thin"/>
      <right style="thin"/>
      <top style="thin"/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/>
      <diagonal/>
    </border>
    <border diagonalUp="false" diagonalDown="false">
      <left/>
      <right style="thin">
        <color rgb="FF000099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000099"/>
      </right>
      <top/>
      <bottom style="thin">
        <color rgb="FF000099"/>
      </bottom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>
        <color rgb="FF00017C"/>
      </top>
      <bottom/>
      <diagonal/>
    </border>
    <border diagonalUp="false" diagonalDown="false">
      <left style="medium"/>
      <right style="thin"/>
      <top/>
      <bottom style="thin">
        <color rgb="FF000099"/>
      </bottom>
      <diagonal/>
    </border>
    <border diagonalUp="false" diagonalDown="false">
      <left/>
      <right style="thin">
        <color rgb="FF000099"/>
      </right>
      <top/>
      <bottom style="thin"/>
      <diagonal/>
    </border>
    <border diagonalUp="false" diagonalDown="false"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/>
      <right style="medium">
        <color rgb="FFFFFFFF"/>
      </right>
      <top/>
      <bottom/>
      <diagonal/>
    </border>
    <border diagonalUp="false" diagonalDown="false">
      <left/>
      <right style="medium">
        <color rgb="FFFFFFFF"/>
      </right>
      <top/>
      <bottom style="medium">
        <color rgb="FFE26B0A"/>
      </bottom>
      <diagonal/>
    </border>
    <border diagonalUp="false" diagonalDown="false">
      <left/>
      <right style="medium">
        <color rgb="FFFFFFFF"/>
      </right>
      <top/>
      <bottom style="medium">
        <color rgb="FF006DC6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 diagonalUp="false" diagonalDown="false">
      <left/>
      <right/>
      <top style="medium">
        <color rgb="FFE26B0A"/>
      </top>
      <bottom style="medium">
        <color rgb="FFE26B0A"/>
      </bottom>
      <diagonal/>
    </border>
    <border diagonalUp="false" diagonalDown="false"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 diagonalUp="false" diagonalDown="false"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 diagonalUp="false" diagonalDown="false">
      <left/>
      <right/>
      <top style="medium">
        <color rgb="FF006DC6"/>
      </top>
      <bottom style="medium">
        <color rgb="FF006DC6"/>
      </bottom>
      <diagonal/>
    </border>
    <border diagonalUp="false" diagonalDown="false"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E26B0A"/>
      </left>
      <right/>
      <top/>
      <bottom/>
      <diagonal/>
    </border>
    <border diagonalUp="false" diagonalDown="false">
      <left/>
      <right style="medium">
        <color rgb="FFE26B0A"/>
      </right>
      <top/>
      <bottom/>
      <diagonal/>
    </border>
    <border diagonalUp="false" diagonalDown="false">
      <left style="medium">
        <color rgb="FF006DC6"/>
      </left>
      <right/>
      <top/>
      <bottom/>
      <diagonal/>
    </border>
    <border diagonalUp="false" diagonalDown="false">
      <left/>
      <right style="medium">
        <color rgb="FF006DC6"/>
      </right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>
        <color rgb="FFE26B0A"/>
      </left>
      <right/>
      <top/>
      <bottom style="medium">
        <color rgb="FFE26B0A"/>
      </bottom>
      <diagonal/>
    </border>
    <border diagonalUp="false" diagonalDown="false">
      <left/>
      <right/>
      <top/>
      <bottom style="medium">
        <color rgb="FFE26B0A"/>
      </bottom>
      <diagonal/>
    </border>
    <border diagonalUp="false" diagonalDown="false">
      <left/>
      <right style="medium">
        <color rgb="FFE26B0A"/>
      </right>
      <top/>
      <bottom style="medium">
        <color rgb="FFE26B0A"/>
      </bottom>
      <diagonal/>
    </border>
    <border diagonalUp="false" diagonalDown="false">
      <left style="medium">
        <color rgb="FF006DC6"/>
      </left>
      <right/>
      <top/>
      <bottom style="medium">
        <color rgb="FF006DC6"/>
      </bottom>
      <diagonal/>
    </border>
    <border diagonalUp="false" diagonalDown="false">
      <left/>
      <right/>
      <top/>
      <bottom style="medium">
        <color rgb="FF006DC6"/>
      </bottom>
      <diagonal/>
    </border>
    <border diagonalUp="false" diagonalDown="false">
      <left/>
      <right style="medium">
        <color rgb="FF006DC6"/>
      </right>
      <top/>
      <bottom style="medium">
        <color rgb="FF006DC6"/>
      </bottom>
      <diagonal/>
    </border>
    <border diagonalUp="false" diagonalDown="false">
      <left style="medium">
        <color rgb="FFE26B0A"/>
      </left>
      <right/>
      <top style="medium">
        <color rgb="FFE26B0A"/>
      </top>
      <bottom/>
      <diagonal/>
    </border>
    <border diagonalUp="false" diagonalDown="false">
      <left/>
      <right/>
      <top style="medium">
        <color rgb="FFE26B0A"/>
      </top>
      <bottom/>
      <diagonal/>
    </border>
    <border diagonalUp="false" diagonalDown="false">
      <left/>
      <right style="medium">
        <color rgb="FFE26B0A"/>
      </right>
      <top style="medium">
        <color rgb="FFE26B0A"/>
      </top>
      <bottom/>
      <diagonal/>
    </border>
    <border diagonalUp="false" diagonalDown="false">
      <left/>
      <right/>
      <top style="medium">
        <color rgb="FF006DC6"/>
      </top>
      <bottom/>
      <diagonal/>
    </border>
    <border diagonalUp="false" diagonalDown="false">
      <left/>
      <right style="medium">
        <color rgb="FF006DC6"/>
      </right>
      <top style="medium">
        <color rgb="FF006DC6"/>
      </top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/>
      <right style="medium">
        <color rgb="FFFFFFFF"/>
      </right>
      <top style="medium">
        <color rgb="FFFFFFFF"/>
      </top>
      <bottom/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 diagonalUp="false" diagonalDown="false">
      <left/>
      <right style="medium">
        <color rgb="FFFFFFFF"/>
      </right>
      <top/>
      <bottom style="medium">
        <color rgb="FF42879E"/>
      </bottom>
      <diagonal/>
    </border>
    <border diagonalUp="false" diagonalDown="false"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 diagonalUp="false" diagonalDown="false">
      <left/>
      <right/>
      <top style="medium">
        <color rgb="FFA9450D"/>
      </top>
      <bottom style="medium">
        <color rgb="FFA9450D"/>
      </bottom>
      <diagonal/>
    </border>
    <border diagonalUp="false" diagonalDown="false"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 diagonalUp="false" diagonalDown="false"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 diagonalUp="false" diagonalDown="false">
      <left style="medium">
        <color rgb="FF006DC6"/>
      </left>
      <right/>
      <top style="medium">
        <color rgb="FF006DC6"/>
      </top>
      <bottom/>
      <diagonal/>
    </border>
    <border diagonalUp="false" diagonalDown="false"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 diagonalUp="false" diagonalDown="false">
      <left style="medium">
        <color rgb="FF006DC6"/>
      </left>
      <right style="medium">
        <color rgb="FF006DC6"/>
      </right>
      <top/>
      <bottom/>
      <diagonal/>
    </border>
    <border diagonalUp="false" diagonalDown="false"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>
        <color rgb="FF000099"/>
      </right>
      <top/>
      <bottom style="medium"/>
      <diagonal/>
    </border>
    <border diagonalUp="false" diagonalDown="false">
      <left/>
      <right style="thin">
        <color rgb="FF000099"/>
      </right>
      <top style="thin">
        <color rgb="FF000099"/>
      </top>
      <bottom style="thin"/>
      <diagonal/>
    </border>
    <border diagonalUp="false" diagonalDown="false">
      <left style="thin">
        <color rgb="FF000099"/>
      </left>
      <right/>
      <top/>
      <bottom style="thin"/>
      <diagonal/>
    </border>
    <border diagonalUp="false" diagonalDown="false">
      <left/>
      <right/>
      <top/>
      <bottom style="medium">
        <color rgb="FFFF6900"/>
      </bottom>
      <diagonal/>
    </border>
    <border diagonalUp="false" diagonalDown="false"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 diagonalUp="false" diagonalDown="false"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 diagonalUp="false" diagonalDown="false">
      <left style="medium"/>
      <right/>
      <top style="medium">
        <color rgb="FF00017C"/>
      </top>
      <bottom/>
      <diagonal/>
    </border>
    <border diagonalUp="false" diagonalDown="false">
      <left/>
      <right style="medium"/>
      <top/>
      <bottom style="thin">
        <color rgb="FF000099"/>
      </bottom>
      <diagonal/>
    </border>
    <border diagonalUp="false" diagonalDown="false">
      <left style="medium"/>
      <right/>
      <top style="medium"/>
      <bottom style="thin">
        <color rgb="FF000099"/>
      </bottom>
      <diagonal/>
    </border>
    <border diagonalUp="false" diagonalDown="false">
      <left/>
      <right style="medium"/>
      <top style="medium"/>
      <bottom style="thin">
        <color rgb="FF000099"/>
      </bottom>
      <diagonal/>
    </border>
    <border diagonalUp="false" diagonalDown="false">
      <left/>
      <right style="medium"/>
      <top style="thin">
        <color rgb="FF000099"/>
      </top>
      <bottom/>
      <diagonal/>
    </border>
    <border diagonalUp="false" diagonalDown="false">
      <left/>
      <right style="medium"/>
      <top style="thin">
        <color rgb="FF000099"/>
      </top>
      <bottom style="thin">
        <color rgb="FF000099"/>
      </bottom>
      <diagonal/>
    </border>
    <border diagonalUp="false" diagonalDown="false">
      <left style="medium"/>
      <right/>
      <top style="thin">
        <color rgb="FF000099"/>
      </top>
      <bottom style="medium"/>
      <diagonal/>
    </border>
    <border diagonalUp="false" diagonalDown="false">
      <left/>
      <right style="medium"/>
      <top style="thin">
        <color rgb="FF000099"/>
      </top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25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3" fillId="0" borderId="1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17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33" fillId="0" borderId="17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3" fillId="0" borderId="18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3" fillId="0" borderId="1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33" fillId="0" borderId="1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0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0" fillId="0" borderId="22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1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4" fillId="12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2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2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3" fillId="1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9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4" fillId="0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0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0" borderId="2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6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1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31" xfId="19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4" fontId="34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3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31" xfId="19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36" fillId="0" borderId="3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3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34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34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34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4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31" xfId="19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4" fontId="0" fillId="0" borderId="31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34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3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12" borderId="3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3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3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4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4" fillId="12" borderId="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4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4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12" borderId="3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2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34" fillId="0" borderId="4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34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3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5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4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5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43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4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5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0" fillId="0" borderId="0" xfId="1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33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33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0" fillId="0" borderId="5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1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50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5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3" fillId="0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5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5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5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0" borderId="5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5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6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6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6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5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3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5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3" fillId="0" borderId="20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49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7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0" borderId="2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7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4" fillId="14" borderId="7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7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34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7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5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33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5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4" borderId="7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9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9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9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9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9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9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9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9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15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5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4" fillId="18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26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6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6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26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6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26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26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3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3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3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9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2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6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6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6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6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6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6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0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6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6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6" fillId="2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7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7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7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2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2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1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1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5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9" fontId="0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3" fillId="1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9" fontId="15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47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31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31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1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1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1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31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14" borderId="8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8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8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8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8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8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8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5" fillId="14" borderId="8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14" borderId="8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8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87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8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7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8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1" fontId="5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15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8" fillId="0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8" fillId="0" borderId="5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13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12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62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5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2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8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6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2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2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5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4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4" borderId="9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9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9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9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9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9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9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9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9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9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9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37" fillId="14" borderId="9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4" fillId="1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9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4" fillId="14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4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0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14" borderId="1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9" fillId="14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9" fillId="1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9" fillId="14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9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59" fillId="14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14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9" fillId="14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15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61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1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1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1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8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1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5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5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5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5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4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7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7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17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7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17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5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0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4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5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2" fillId="1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0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8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8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3" fillId="15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0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17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7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7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7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4" fillId="15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1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1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1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1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1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7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10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15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4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4" borderId="9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4" fillId="14" borderId="10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2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34" fillId="14" borderId="10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8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4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4" fillId="14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4" fillId="14" borderId="10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17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34" fillId="0" borderId="1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21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14" borderId="24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34" fillId="14" borderId="102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34" fillId="14" borderId="0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14" borderId="17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4" fillId="14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7" fillId="0" borderId="7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7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7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9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0" borderId="10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7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7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7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1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5" fillId="0" borderId="5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8" fillId="0" borderId="5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6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5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57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58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5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5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7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14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8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7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0" fillId="1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10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0" borderId="8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1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1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8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8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8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3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9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4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3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7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8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8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8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8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8" fillId="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3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0" borderId="10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5" fontId="3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9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9" fillId="1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9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9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9" fillId="1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9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9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9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9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0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1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39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9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7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0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0" fillId="1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9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4" fillId="14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71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4" fillId="0" borderId="9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4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34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34" fillId="0" borderId="8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5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34" fillId="0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8" fontId="34" fillId="0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34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7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9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0" fillId="0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6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20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4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6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200" fontId="6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6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4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5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2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21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6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4" fontId="6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1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8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1" fillId="1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14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2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2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72" fillId="14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2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2" fillId="1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72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2" fillId="14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2" fillId="14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72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3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3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3" fillId="0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7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6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0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5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3" fillId="1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3" fillId="15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3" fillId="1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5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4" fillId="15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5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3" fillId="15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73" fillId="15" borderId="7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5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34" fillId="15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2" fillId="14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3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3" fillId="0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3" fillId="15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3" fillId="1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7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0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7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0" fillId="1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9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9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0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8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4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44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5" fillId="0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81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8" fillId="32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33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4" borderId="1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79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9" fillId="34" borderId="1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79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0" fillId="10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80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1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2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34" borderId="1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0" fontId="7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9" fillId="34" borderId="1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0" fillId="10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0" fillId="0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1" fontId="77" fillId="1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7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7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7" fillId="1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2" fillId="34" borderId="1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3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3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1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83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3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83" fillId="10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10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10" borderId="1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10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1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10" borderId="1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9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13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7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1" fillId="0" borderId="1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7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5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2" fillId="1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75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13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3" fillId="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8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8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4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3" fillId="10" borderId="1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2" fillId="10" borderId="12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81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75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10" borderId="1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1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0" borderId="1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10" borderId="9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9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3" fontId="83" fillId="1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3" fillId="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8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3" fillId="10" borderId="1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3" fillId="10" borderId="12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3" fillId="0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0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0" borderId="1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3" fillId="1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6" fontId="94" fillId="35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94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3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3" fillId="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5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3" fillId="10" borderId="11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83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83" fillId="36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2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3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17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17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4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8" fontId="9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78" fillId="0" borderId="1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78" fillId="3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9" fillId="34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9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9" fillId="34" borderId="1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1" fontId="79" fillId="0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34" borderId="1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7" fontId="97" fillId="34" borderId="1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80" fillId="34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9" fillId="34" borderId="1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9" fillId="34" borderId="1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9" fillId="0" borderId="11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34" borderId="1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34" borderId="1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7" fillId="10" borderId="14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10" borderId="1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10" borderId="1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77" fillId="10" borderId="147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1" fontId="77" fillId="10" borderId="0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9" fontId="77" fillId="10" borderId="1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1" fontId="77" fillId="10" borderId="147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0" borderId="1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1" fontId="77" fillId="0" borderId="0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7" fillId="10" borderId="14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7" fillId="10" borderId="1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77" fillId="10" borderId="1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2" fontId="77" fillId="10" borderId="1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3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83" fillId="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83" fillId="36" borderId="1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83" fillId="1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83" fillId="35" borderId="1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83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0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4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4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4" borderId="6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83" fillId="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3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3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3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34" borderId="7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9" fillId="34" borderId="12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83" fillId="36" borderId="12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3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3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2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4" borderId="4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83" fillId="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3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5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5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98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98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83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83" fillId="35" borderId="1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98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35" borderId="1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0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5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83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7" fontId="98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8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83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7" fontId="98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9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83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7" fontId="98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9" fontId="9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4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3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10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0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6" borderId="1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6" borderId="1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6" borderId="1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0" borderId="1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6" borderId="1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6" borderId="1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0" borderId="1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8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0" fontId="83" fillId="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1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0" fontId="83" fillId="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3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0" fontId="83" fillId="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3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74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3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2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5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5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5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9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9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2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22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21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4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4" borderId="8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30" borderId="1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0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5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3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30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3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3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3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4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3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8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10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5" fontId="0" fillId="0" borderId="1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1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1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0" fillId="0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01" xfId="19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0" fillId="0" borderId="7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1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1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1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1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1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0" borderId="1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5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6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1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5" fillId="0" borderId="15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1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6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30" borderId="1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9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9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30" borderId="9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30" borderId="9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20" borderId="101" xfId="19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5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6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1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5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5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8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15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9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30" borderId="1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0" borderId="1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5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6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30" borderId="1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16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4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01" xfId="19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0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1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0" fillId="0" borderId="1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9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06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3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0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3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4" fillId="0" borderId="0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9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2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2" fillId="1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3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16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30" borderId="16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0" borderId="10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11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1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09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1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1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7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0" borderId="8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1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6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6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09" fontId="0" fillId="0" borderId="1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4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11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5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0" fillId="0" borderId="6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4" borderId="9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0" fillId="30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34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1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7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8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1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83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5" fillId="0" borderId="16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6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3" fillId="0" borderId="16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1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7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8" fillId="30" borderId="1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30" borderId="1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8" fillId="0" borderId="1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8" fillId="0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0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8" fillId="0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8" fillId="20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8" fillId="20" borderId="1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13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3" fillId="2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0" fillId="0" borderId="16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0" fillId="0" borderId="1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20" fillId="0" borderId="1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0" fillId="0" borderId="16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0" fillId="20" borderId="16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3" fillId="0" borderId="1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1" fillId="0" borderId="1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8" fillId="15" borderId="1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3" fillId="15" borderId="1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3" fillId="15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15" borderId="16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18" fillId="15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3" fillId="15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7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17" fillId="15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8" fillId="15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2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216" fontId="1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4" fillId="3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06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7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2" fillId="1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4" fillId="12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1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2" fillId="12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9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7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7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0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4" fillId="0" borderId="10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0" fontId="0" fillId="0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1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7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6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0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2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4" fillId="12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1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3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7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7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2" borderId="1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1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1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4" fillId="12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34" fillId="12" borderId="1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7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4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2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12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3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1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7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18" fontId="131" fillId="16" borderId="1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31" fillId="16" borderId="1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8" fontId="131" fillId="16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1" fillId="16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74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18" fontId="131" fillId="16" borderId="1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8" fontId="131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8" fontId="131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2" fillId="0" borderId="115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2" fontId="10" fillId="0" borderId="6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5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6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29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4" fillId="1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7" borderId="63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7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7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7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7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7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7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4" fillId="0" borderId="7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2" fontId="129" fillId="0" borderId="2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129" fillId="0" borderId="7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8" borderId="63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8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8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8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8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8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8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6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9" borderId="12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9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9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5" fontId="131" fillId="39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9" borderId="9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9" borderId="105" xfId="15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72" fontId="129" fillId="39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5" fontId="131" fillId="39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7" fillId="0" borderId="115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2" fontId="129" fillId="0" borderId="6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127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29" fillId="0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9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3" fillId="0" borderId="115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2" fontId="134" fillId="0" borderId="6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3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9" borderId="63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9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9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9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9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9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40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9" fillId="0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8" fillId="11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8" fillId="11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4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1" fillId="40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41" fillId="4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4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3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3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34" fillId="14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3" fillId="14" borderId="9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4" fillId="14" borderId="9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56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2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4" fillId="42" borderId="1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44" fillId="42" borderId="1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4" fillId="42" borderId="1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3" fillId="0" borderId="1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1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4" fillId="42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2" fontId="144" fillId="42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3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9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4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2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4" fillId="42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4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2" fontId="144" fillId="0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4" fillId="42" borderId="1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4" fillId="42" borderId="1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2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26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-_x0002_Ä_x0001_‡_x0003_0_x0002_P_x0003_ _x0002_X_x0003_·_x0002_®_x0003_@_x0002_p_x0003_ª_x0002_¨_x0010_!_x0002__x0003_&quot;_x0001_ÄÇ_x0002__x000e__x0003_ _x0002_é_x0002_Ä_x0001_‡_x0003_Ë_x0002_H_x0003_ _x0002_X" xfId="20"/>
    <cellStyle name=" Writer Import]&#13;&#10;Display Dialog=No&#13;&#10;&#13;&#10;[Horizontal Arrange]&#13;&#10;Dimensions Interlocking=Yes&#13;&#10;Sum Hierarchy=Yes&#13;&#10;Generate" xfId="21"/>
    <cellStyle name=" Writer Import]&#13;&#10;Display Dialog=No&#13;&#10;&#13;&#10;[Horizontal Arrange]&#13;&#10;Dimensions Interlocking=Yes&#13;&#10;Sum Hierarchy=Yes&#13;&#10;Generate 2" xfId="22"/>
    <cellStyle name=" Writer Import]&#13;&#10;Display Dialog=No&#13;&#10;&#13;&#10;[Horizontal Arrange]&#13;&#10;Dimensions Interlocking=Yes&#13;&#10;Sum Hierarchy=Yes&#13;&#10;Generate 2 2" xfId="23"/>
    <cellStyle name=" Writer Import]&#13;&#10;Display Dialog=No&#13;&#10;&#13;&#10;[Horizontal Arrange]&#13;&#10;Dimensions Interlocking=Yes&#13;&#10;Sum Hierarchy=Yes&#13;&#10;Generate 3" xfId="24"/>
    <cellStyle name=" Writer Import]&#13;&#10;Display Dialog=No&#13;&#10;&#13;&#10;[Horizontal Arrange]&#13;&#10;Dimensions Interlocking=Yes&#13;&#10;Sum Hierarchy=Yes&#13;&#10;Generate 3 2" xfId="25"/>
    <cellStyle name=" Writer Import]&#13;&#10;Display Dialog=No&#13;&#10;&#13;&#10;[Horizontal Arrange]&#13;&#10;Dimensions Interlocking=Yes&#13;&#10;Sum Hierarchy=Yes&#13;&#10;Generate 4" xfId="26"/>
    <cellStyle name=" Writer Import]&#13;&#10;Display Dialog=No&#13;&#10;&#13;&#10;[Horizontal Arrange]&#13;&#10;Dimensions Interlocking=Yes&#13;&#10;Sum Hierarchy=Yes&#13;&#10;Generate_Kombissiri" xfId="27"/>
    <cellStyle name="$K" xfId="28"/>
    <cellStyle name="%" xfId="29"/>
    <cellStyle name="% 10" xfId="30"/>
    <cellStyle name="% 2" xfId="31"/>
    <cellStyle name="% 3" xfId="32"/>
    <cellStyle name="% 4" xfId="33"/>
    <cellStyle name="%_ACTU1 2010" xfId="34"/>
    <cellStyle name="%_Budget 09_CF conso Onatel" xfId="35"/>
    <cellStyle name="%_Budget Onatel -Actu 3-2008" xfId="36"/>
    <cellStyle name="%_Budget Onatel -Actu 3-2008_BUDGET ONATEL 2010 v5" xfId="37"/>
    <cellStyle name="%_Budget Onatel -Actu 3-2008_Budget Telmob 2011" xfId="38"/>
    <cellStyle name="%_Budget Onatel -Actu 3-2008_CAPEX BUDGET2010" xfId="39"/>
    <cellStyle name="%_Budget Onatel -Actu 3-2008_Capex- Mobile" xfId="40"/>
    <cellStyle name="%_BUDGET ONATEL 2010 v5" xfId="41"/>
    <cellStyle name="%_Budget Telmob 2011" xfId="42"/>
    <cellStyle name="%_CAPEX BUDGET2010" xfId="43"/>
    <cellStyle name="%_Capex Fixe" xfId="44"/>
    <cellStyle name="%_Capex- Mobile" xfId="45"/>
    <cellStyle name="%_Classeur1 (2)" xfId="46"/>
    <cellStyle name="%_commentaires fixe  internet Déc 08" xfId="47"/>
    <cellStyle name="%_commentaires fixe  internet Déc 08 2" xfId="48"/>
    <cellStyle name="%_commentaires fixe  internet Déc 08_Classeur1" xfId="49"/>
    <cellStyle name="%_commentaires fixe  internet Déc 08_Commentaire activité Fixe  mobile ONATEL Nov 2009" xfId="50"/>
    <cellStyle name="%_commentaires fixe  internet Déc 08_COMMENTAIRES" xfId="51"/>
    <cellStyle name="%_commentaires fixe  internet Déc 08_Commentaires Janvier 2010" xfId="52"/>
    <cellStyle name="%_commentaires fixe  internet Déc 08_FAITS MARQUANTS DE SEPTEMBRE 2009" xfId="53"/>
    <cellStyle name="%_commentaires fixe  internet Déc 08_Flash du mois de Décembre 2009 V3 (2)" xfId="54"/>
    <cellStyle name="%_commentaires fixe  internet Déc 08_Flash du mois de Novembre V2" xfId="55"/>
    <cellStyle name="%_commentaires fixe  internet Déc 08_Flash du mois de septembre 2009 (2) (version 1)" xfId="56"/>
    <cellStyle name="%_commentaires fixe  internet Déc 08_FLASH ONATEL DU MOIS DE FEVRIER 2010 V2" xfId="57"/>
    <cellStyle name="%_commentaires fixe  internet Déc 08_Reporting Onatel septembre  2009 V1 (4)" xfId="58"/>
    <cellStyle name="%_commentaires_fixe__internet_nov_08(2)" xfId="59"/>
    <cellStyle name="%_commentaires_fixe__internet_nov_08(2) 2" xfId="60"/>
    <cellStyle name="%_commentaires_fixe__internet_nov_08(2)_Classeur1" xfId="61"/>
    <cellStyle name="%_commentaires_fixe__internet_nov_08(2)_Commentaire activité Fixe  mobile ONATEL Nov 2009" xfId="62"/>
    <cellStyle name="%_commentaires_fixe__internet_nov_08(2)_COMMENTAIRES" xfId="63"/>
    <cellStyle name="%_commentaires_fixe__internet_nov_08(2)_Commentaires Janvier 2010" xfId="64"/>
    <cellStyle name="%_commentaires_fixe__internet_nov_08(2)_FAITS MARQUANTS DE SEPTEMBRE 2009" xfId="65"/>
    <cellStyle name="%_commentaires_fixe__internet_nov_08(2)_Flash du mois de Décembre 2009 V3 (2)" xfId="66"/>
    <cellStyle name="%_commentaires_fixe__internet_nov_08(2)_Flash du mois de Novembre V2" xfId="67"/>
    <cellStyle name="%_commentaires_fixe__internet_nov_08(2)_Flash du mois de septembre 2009 (2) (version 1)" xfId="68"/>
    <cellStyle name="%_commentaires_fixe__internet_nov_08(2)_FLASH ONATEL DU MOIS DE FEVRIER 2010 V2" xfId="69"/>
    <cellStyle name="%_commentaires_fixe__internet_nov_08(2)_Reporting Onatel septembre  2009 V1 (4)" xfId="70"/>
    <cellStyle name="%_Feuil1" xfId="71"/>
    <cellStyle name="%_Flash du mois de septembre 2009 (2) (version 1)" xfId="72"/>
    <cellStyle name="%_Flash du mois de septembre 2009 (2) (version 1) 2" xfId="73"/>
    <cellStyle name="%_Flash du mois de septembre 2009 (2) (version 1)_Classeur1" xfId="74"/>
    <cellStyle name="%_Flash du mois de septembre 2009 (2) (version 1)_Commentaire activité Fixe  mobile ONATEL Nov 2009" xfId="75"/>
    <cellStyle name="%_Flash du mois de septembre 2009 (2) (version 1)_COMMENTAIRES" xfId="76"/>
    <cellStyle name="%_Flash du mois de septembre 2009 (2) (version 1)_Commentaires Janvier 2010" xfId="77"/>
    <cellStyle name="%_Flash du mois de septembre 2009 (2) (version 1)_Flash du mois de Décembre 2009 V3 (2)" xfId="78"/>
    <cellStyle name="%_Flash du mois de septembre 2009 (2) (version 1)_Flash du mois de Novembre V2" xfId="79"/>
    <cellStyle name="%_Flash du mois de septembre 2009 (2) (version 1)_FLASH ONATEL DU MOIS DE FEVRIER 2010 V2" xfId="80"/>
    <cellStyle name="%_Flash du mois de septembre 2009 (2) (version 1)_Reporting Onatel septembre  2009 V1 (4)" xfId="81"/>
    <cellStyle name="%_Flash_du_mois_de_Décembre_2008_v2(2)" xfId="82"/>
    <cellStyle name="%_Flash_du_mois_de_Décembre_2008_v2(2)_Flash du mois de septembre 2009 (2) (version 1)" xfId="83"/>
    <cellStyle name="%_Flash_du_mois_de_Décembre_2008_v2(2)_Flash du mois de septembre 2009 (2) (version 1) 2" xfId="84"/>
    <cellStyle name="%_Flash_du_mois_de_Décembre_2008_v2(2)_Flash du mois de septembre 2009 (2) (version 1)_Classeur1" xfId="85"/>
    <cellStyle name="%_Flash_du_mois_de_Décembre_2008_v2(2)_Flash du mois de septembre 2009 (2) (version 1)_Commentaire activité Fixe  mobile ONATEL Nov 2009" xfId="86"/>
    <cellStyle name="%_Flash_du_mois_de_Décembre_2008_v2(2)_Flash du mois de septembre 2009 (2) (version 1)_COMMENTAIRES" xfId="87"/>
    <cellStyle name="%_Flash_du_mois_de_Décembre_2008_v2(2)_Flash du mois de septembre 2009 (2) (version 1)_Commentaires Janvier 2010" xfId="88"/>
    <cellStyle name="%_Flash_du_mois_de_Décembre_2008_v2(2)_Flash du mois de septembre 2009 (2) (version 1)_Flash du mois de Décembre 2009 V3 (2)" xfId="89"/>
    <cellStyle name="%_Flash_du_mois_de_Décembre_2008_v2(2)_Flash du mois de septembre 2009 (2) (version 1)_Flash du mois de Novembre V2" xfId="90"/>
    <cellStyle name="%_Flash_du_mois_de_Décembre_2008_v2(2)_Flash du mois de septembre 2009 (2) (version 1)_FLASH ONATEL DU MOIS DE FEVRIER 2010 V2" xfId="91"/>
    <cellStyle name="%_Flash_du_mois_de_Décembre_2008_v2(2)_Flash du mois de septembre 2009 (2) (version 1)_Reporting Onatel septembre  2009 V1 (4)" xfId="92"/>
    <cellStyle name="%_Flash_du_mois_de_Décembre_2008_v2(2)_Flux Financiers Conso" xfId="93"/>
    <cellStyle name="%_Flash_du_mois_de_Décembre_2008_v2(2)_Flux Financiers Conso 2" xfId="94"/>
    <cellStyle name="%_Flash_du_mois_de_Décembre_2008_v2(2)_Flux Financiers Conso_Classeur1" xfId="95"/>
    <cellStyle name="%_Flash_du_mois_de_Décembre_2008_v2(2)_Flux Financiers Conso_Commentaire activité Fixe  mobile ONATEL Nov 2009" xfId="96"/>
    <cellStyle name="%_Flash_du_mois_de_Décembre_2008_v2(2)_Flux Financiers Conso_COMMENTAIRES" xfId="97"/>
    <cellStyle name="%_Flash_du_mois_de_Décembre_2008_v2(2)_Flux Financiers Conso_Commentaires Janvier 2010" xfId="98"/>
    <cellStyle name="%_Flash_du_mois_de_Décembre_2008_v2(2)_Flux Financiers Conso_FAITS MARQUANTS DE SEPTEMBRE 2009" xfId="99"/>
    <cellStyle name="%_Flash_du_mois_de_Décembre_2008_v2(2)_Flux Financiers Conso_Flash du mois de Décembre 2009 V3 (2)" xfId="100"/>
    <cellStyle name="%_Flash_du_mois_de_Décembre_2008_v2(2)_Flux Financiers Conso_Flash du mois de Novembre V2" xfId="101"/>
    <cellStyle name="%_Flash_du_mois_de_Décembre_2008_v2(2)_Flux Financiers Conso_Flash du mois de septembre 2009 (2) (version 1)" xfId="102"/>
    <cellStyle name="%_Flash_du_mois_de_Décembre_2008_v2(2)_Flux Financiers Conso_FLASH ONATEL DU MOIS DE FEVRIER 2010 V2" xfId="103"/>
    <cellStyle name="%_Flash_du_mois_de_Décembre_2008_v2(2)_Flux Financiers Conso_Reporting Onatel septembre  2009 V1 (4)" xfId="104"/>
    <cellStyle name="%_Flash_du_mois_de_Décembre_2008_v2(2)_Reporting Onatel septembre  2009 préparé" xfId="105"/>
    <cellStyle name="%_Flux Financiers Conso" xfId="106"/>
    <cellStyle name="%_Flux Financiers Conso 2" xfId="107"/>
    <cellStyle name="%_Flux Financiers Conso_Classeur1" xfId="108"/>
    <cellStyle name="%_Flux Financiers Conso_Commentaire activité Fixe  mobile ONATEL Nov 2009" xfId="109"/>
    <cellStyle name="%_Flux Financiers Conso_COMMENTAIRES" xfId="110"/>
    <cellStyle name="%_Flux Financiers Conso_Commentaires Janvier 2010" xfId="111"/>
    <cellStyle name="%_Flux Financiers Conso_FAITS MARQUANTS DE SEPTEMBRE 2009" xfId="112"/>
    <cellStyle name="%_Flux Financiers Conso_Flash du mois de Décembre 2009 V3 (2)" xfId="113"/>
    <cellStyle name="%_Flux Financiers Conso_Flash du mois de Novembre V2" xfId="114"/>
    <cellStyle name="%_Flux Financiers Conso_Flash du mois de septembre 2009 (2) (version 1)" xfId="115"/>
    <cellStyle name="%_Flux Financiers Conso_FLASH ONATEL DU MOIS DE FEVRIER 2010 V2" xfId="116"/>
    <cellStyle name="%_Flux Financiers Conso_Reporting Onatel septembre  2009 V1 (4)" xfId="117"/>
    <cellStyle name="%_P-L Fixe" xfId="118"/>
    <cellStyle name="%_Phase préparatoire du TBG de Décembre 2008" xfId="119"/>
    <cellStyle name="%_Phase préparatoire du TBG de Décembre 2008_Flash du mois de septembre 2009 (2) (version 1)" xfId="120"/>
    <cellStyle name="%_Phase préparatoire du TBG de Décembre 2008_Flash du mois de septembre 2009 (2) (version 1) 2" xfId="121"/>
    <cellStyle name="%_Phase préparatoire du TBG de Décembre 2008_Flash du mois de septembre 2009 (2) (version 1)_Classeur1" xfId="122"/>
    <cellStyle name="%_Phase préparatoire du TBG de Décembre 2008_Flash du mois de septembre 2009 (2) (version 1)_Commentaire activité Fixe  mobile ONATEL Nov 2009" xfId="123"/>
    <cellStyle name="%_Phase préparatoire du TBG de Décembre 2008_Flash du mois de septembre 2009 (2) (version 1)_COMMENTAIRES" xfId="124"/>
    <cellStyle name="%_Phase préparatoire du TBG de Décembre 2008_Flash du mois de septembre 2009 (2) (version 1)_Commentaires Janvier 2010" xfId="125"/>
    <cellStyle name="%_Phase préparatoire du TBG de Décembre 2008_Flash du mois de septembre 2009 (2) (version 1)_Flash du mois de Décembre 2009 V3 (2)" xfId="126"/>
    <cellStyle name="%_Phase préparatoire du TBG de Décembre 2008_Flash du mois de septembre 2009 (2) (version 1)_Flash du mois de Novembre V2" xfId="127"/>
    <cellStyle name="%_Phase préparatoire du TBG de Décembre 2008_Flash du mois de septembre 2009 (2) (version 1)_FLASH ONATEL DU MOIS DE FEVRIER 2010 V2" xfId="128"/>
    <cellStyle name="%_Phase préparatoire du TBG de Décembre 2008_Flash du mois de septembre 2009 (2) (version 1)_Reporting Onatel septembre  2009 V1 (4)" xfId="129"/>
    <cellStyle name="%_Phase préparatoire du TBG de Décembre 2008_Flux Financiers Conso" xfId="130"/>
    <cellStyle name="%_Phase préparatoire du TBG de Décembre 2008_Flux Financiers Conso 2" xfId="131"/>
    <cellStyle name="%_Phase préparatoire du TBG de Décembre 2008_Flux Financiers Conso_Classeur1" xfId="132"/>
    <cellStyle name="%_Phase préparatoire du TBG de Décembre 2008_Flux Financiers Conso_Commentaire activité Fixe  mobile ONATEL Nov 2009" xfId="133"/>
    <cellStyle name="%_Phase préparatoire du TBG de Décembre 2008_Flux Financiers Conso_COMMENTAIRES" xfId="134"/>
    <cellStyle name="%_Phase préparatoire du TBG de Décembre 2008_Flux Financiers Conso_Commentaires Janvier 2010" xfId="135"/>
    <cellStyle name="%_Phase préparatoire du TBG de Décembre 2008_Flux Financiers Conso_FAITS MARQUANTS DE SEPTEMBRE 2009" xfId="136"/>
    <cellStyle name="%_Phase préparatoire du TBG de Décembre 2008_Flux Financiers Conso_Flash du mois de Décembre 2009 V3 (2)" xfId="137"/>
    <cellStyle name="%_Phase préparatoire du TBG de Décembre 2008_Flux Financiers Conso_Flash du mois de Novembre V2" xfId="138"/>
    <cellStyle name="%_Phase préparatoire du TBG de Décembre 2008_Flux Financiers Conso_Flash du mois de septembre 2009 (2) (version 1)" xfId="139"/>
    <cellStyle name="%_Phase préparatoire du TBG de Décembre 2008_Flux Financiers Conso_FLASH ONATEL DU MOIS DE FEVRIER 2010 V2" xfId="140"/>
    <cellStyle name="%_Phase préparatoire du TBG de Décembre 2008_Flux Financiers Conso_Reporting Onatel septembre  2009 V1 (4)" xfId="141"/>
    <cellStyle name="%_Phase préparatoire du TBG de Décembre 2008_Reporting Onatel septembre  2009 préparé" xfId="142"/>
    <cellStyle name="%_Prez Budget 2009-V1" xfId="143"/>
    <cellStyle name="%_Prez Budget 2009-V1_BUDGET ONATEL 2010 v5" xfId="144"/>
    <cellStyle name="%_Prez Budget 2009-V1_CAPEX BUDGET2010" xfId="145"/>
    <cellStyle name="%_Projet de budget 2009- Onatel- V5bis" xfId="146"/>
    <cellStyle name="%_Projet de budget 2009- Onatel- V5bis_BUDGET ONATEL 2010 v5" xfId="147"/>
    <cellStyle name="%_Projet de budget 2009- Onatel- V5bis_CAPEX BUDGET2010" xfId="148"/>
    <cellStyle name="%_repartition_mensuelle_objectifs_2010 _par_DR" xfId="149"/>
    <cellStyle name="%_repartition_objectifs_2011" xfId="150"/>
    <cellStyle name="%_REPORTING  ONATEL SEPTEMBRE 2008 V3" xfId="151"/>
    <cellStyle name="%_REPORTING  ONATEL SEPTEMBRE 2008 V3_BUDGET ONATEL 2010 v5" xfId="152"/>
    <cellStyle name="%_REPORTING  ONATEL SEPTEMBRE 2008 V3_Budget Telmob 2011" xfId="153"/>
    <cellStyle name="%_REPORTING  ONATEL SEPTEMBRE 2008 V3_CAPEX BUDGET2010" xfId="154"/>
    <cellStyle name="%_REPORTING  ONATEL SEPTEMBRE 2008 V3_Capex- Mobile" xfId="155"/>
    <cellStyle name="%_Reporting Onatel septembre  2009 préparé" xfId="156"/>
    <cellStyle name="%_Sotelma- P&amp;L MAD " xfId="157"/>
    <cellStyle name="%_Tableau de suivi d'interco-DF_DO Onatel" xfId="158"/>
    <cellStyle name="%_TBG filiales Février 10" xfId="159"/>
    <cellStyle name="%_TRAFIC FIXE &amp; MOBILE" xfId="160"/>
    <cellStyle name="%_TRAFIC FIXE &amp; MOBILE_Flash du mois de septembre 2009 (2) (version 1)" xfId="161"/>
    <cellStyle name="%_TRAFIC FIXE &amp; MOBILE_Flash du mois de septembre 2009 (2) (version 1) 2" xfId="162"/>
    <cellStyle name="%_TRAFIC FIXE &amp; MOBILE_Flash du mois de septembre 2009 (2) (version 1)_Classeur1" xfId="163"/>
    <cellStyle name="%_TRAFIC FIXE &amp; MOBILE_Flash du mois de septembre 2009 (2) (version 1)_Commentaire activité Fixe  mobile ONATEL Nov 2009" xfId="164"/>
    <cellStyle name="%_TRAFIC FIXE &amp; MOBILE_Flash du mois de septembre 2009 (2) (version 1)_COMMENTAIRES" xfId="165"/>
    <cellStyle name="%_TRAFIC FIXE &amp; MOBILE_Flash du mois de septembre 2009 (2) (version 1)_Commentaires Janvier 2010" xfId="166"/>
    <cellStyle name="%_TRAFIC FIXE &amp; MOBILE_Flash du mois de septembre 2009 (2) (version 1)_Flash du mois de Décembre 2009 V3 (2)" xfId="167"/>
    <cellStyle name="%_TRAFIC FIXE &amp; MOBILE_Flash du mois de septembre 2009 (2) (version 1)_Flash du mois de Novembre V2" xfId="168"/>
    <cellStyle name="%_TRAFIC FIXE &amp; MOBILE_Flash du mois de septembre 2009 (2) (version 1)_FLASH ONATEL DU MOIS DE FEVRIER 2010 V2" xfId="169"/>
    <cellStyle name="%_TRAFIC FIXE &amp; MOBILE_Flash du mois de septembre 2009 (2) (version 1)_Reporting Onatel septembre  2009 V1 (4)" xfId="170"/>
    <cellStyle name="%_TRAFIC FIXE &amp; MOBILE_Reporting Onatel septembre  2009 préparé" xfId="171"/>
    <cellStyle name="%_Trafic_Comptable_2009_Août" xfId="172"/>
    <cellStyle name="%_Trafic_Comptable_2009_Août 2" xfId="173"/>
    <cellStyle name="%_Trafic_Comptable_2009_Août 2_Tableau de suivi d'interco-DF_DO Onatel" xfId="174"/>
    <cellStyle name="%_Trafic_Comptable_2009_juillet" xfId="175"/>
    <cellStyle name="%_Trafic_Comptable_2009_juillet 2" xfId="176"/>
    <cellStyle name="%_Trafic_Comptable_2009_juillet 2_Tableau de suivi d'interco-DF_DO Onatel" xfId="177"/>
    <cellStyle name="%_Trafic_Comptable_2009_NOV" xfId="178"/>
    <cellStyle name="%_Trafic_Comptable_2009_NOV 2" xfId="179"/>
    <cellStyle name="%_Trafic_Comptable_2009_NOV 2_Tableau de suivi d'interco-DF_DO Onatel" xfId="180"/>
    <cellStyle name="%_Trafic_Comptable_2009_oct" xfId="181"/>
    <cellStyle name="%_Trafic_Comptable_2009_oct 2" xfId="182"/>
    <cellStyle name="%_Trafic_Comptable_2009_oct 2_Tableau de suivi d'interco-DF_DO Onatel" xfId="183"/>
    <cellStyle name="%_Trafic_Comptable_2009_Sept" xfId="184"/>
    <cellStyle name="%_Trafic_Comptable_2009_Sept 2" xfId="185"/>
    <cellStyle name="%_Trafic_Comptable_2009_Sept 2_Tableau de suivi d'interco-DF_DO Onatel" xfId="186"/>
    <cellStyle name="%_Trafic_Comptable_2010_Janvier" xfId="187"/>
    <cellStyle name="%_Trafic_Comptable_2010_Janvier 2" xfId="188"/>
    <cellStyle name="%_Trafic_Comptable_2010_Janvier 2_Tableau de suivi d'interco-DF_DO Onatel" xfId="189"/>
    <cellStyle name="%_yan mogo ba" xfId="190"/>
    <cellStyle name="%_yan mogo ba_Flash du mois de septembre 2009 (2) (version 1)" xfId="191"/>
    <cellStyle name="%_yan mogo ba_Flash du mois de septembre 2009 (2) (version 1) 2" xfId="192"/>
    <cellStyle name="%_yan mogo ba_Flash du mois de septembre 2009 (2) (version 1)_Classeur1" xfId="193"/>
    <cellStyle name="%_yan mogo ba_Flash du mois de septembre 2009 (2) (version 1)_Commentaire activité Fixe  mobile ONATEL Nov 2009" xfId="194"/>
    <cellStyle name="%_yan mogo ba_Flash du mois de septembre 2009 (2) (version 1)_COMMENTAIRES" xfId="195"/>
    <cellStyle name="%_yan mogo ba_Flash du mois de septembre 2009 (2) (version 1)_Commentaires Janvier 2010" xfId="196"/>
    <cellStyle name="%_yan mogo ba_Flash du mois de septembre 2009 (2) (version 1)_Flash du mois de Décembre 2009 V3 (2)" xfId="197"/>
    <cellStyle name="%_yan mogo ba_Flash du mois de septembre 2009 (2) (version 1)_Flash du mois de Novembre V2" xfId="198"/>
    <cellStyle name="%_yan mogo ba_Flash du mois de septembre 2009 (2) (version 1)_FLASH ONATEL DU MOIS DE FEVRIER 2010 V2" xfId="199"/>
    <cellStyle name="%_yan mogo ba_Flash du mois de septembre 2009 (2) (version 1)_Reporting Onatel septembre  2009 V1 (4)" xfId="200"/>
    <cellStyle name="%_yan mogo ba_Reporting Onatel septembre  2009 préparé" xfId="201"/>
    <cellStyle name="0,0&#13;&#10;NA&#13;&#10;" xfId="202"/>
    <cellStyle name="0,0&#13;&#10;NA&#13;&#10; 2" xfId="203"/>
    <cellStyle name="0,0&#13;&#10;NA&#13;&#10; 2 2" xfId="204"/>
    <cellStyle name="0,0&#13;&#10;NA&#13;&#10; 3" xfId="205"/>
    <cellStyle name="0,0&#13;&#10;NA&#13;&#10;_BP&amp;A Bulletin - 05- 2008-09-MAPA (draft)" xfId="206"/>
    <cellStyle name="0000" xfId="207"/>
    <cellStyle name="000000" xfId="208"/>
    <cellStyle name="20% - Accent1 10" xfId="209"/>
    <cellStyle name="20% - Accent1 10 2" xfId="210"/>
    <cellStyle name="20% - Accent1 10 2 2" xfId="211"/>
    <cellStyle name="20% - Accent1 10 2 2 2" xfId="212"/>
    <cellStyle name="20% - Accent1 10 2 3" xfId="213"/>
    <cellStyle name="20% - Accent1 10 3" xfId="214"/>
    <cellStyle name="20% - Accent1 10 3 2" xfId="215"/>
    <cellStyle name="20% - Accent1 10 4" xfId="216"/>
    <cellStyle name="20% - Accent1 10_RH et QS" xfId="217"/>
    <cellStyle name="20% - Accent1 11" xfId="218"/>
    <cellStyle name="20% - Accent1 11 2" xfId="219"/>
    <cellStyle name="20% - Accent1 11 2 2" xfId="220"/>
    <cellStyle name="20% - Accent1 11 2 2 2" xfId="221"/>
    <cellStyle name="20% - Accent1 11 2 3" xfId="222"/>
    <cellStyle name="20% - Accent1 11 3" xfId="223"/>
    <cellStyle name="20% - Accent1 11 3 2" xfId="224"/>
    <cellStyle name="20% - Accent1 11 4" xfId="225"/>
    <cellStyle name="20% - Accent1 11_RH et QS" xfId="226"/>
    <cellStyle name="20% - Accent1 12" xfId="227"/>
    <cellStyle name="20% - Accent1 12 2" xfId="228"/>
    <cellStyle name="20% - Accent1 12 2 2" xfId="229"/>
    <cellStyle name="20% - Accent1 12 2 2 2" xfId="230"/>
    <cellStyle name="20% - Accent1 12 2 3" xfId="231"/>
    <cellStyle name="20% - Accent1 12 3" xfId="232"/>
    <cellStyle name="20% - Accent1 12 3 2" xfId="233"/>
    <cellStyle name="20% - Accent1 12 4" xfId="234"/>
    <cellStyle name="20% - Accent1 12_RH et QS" xfId="235"/>
    <cellStyle name="20% - Accent1 13" xfId="236"/>
    <cellStyle name="20% - Accent1 13 2" xfId="237"/>
    <cellStyle name="20% - Accent1 13 2 2" xfId="238"/>
    <cellStyle name="20% - Accent1 13 2 2 2" xfId="239"/>
    <cellStyle name="20% - Accent1 13 2 3" xfId="240"/>
    <cellStyle name="20% - Accent1 13 3" xfId="241"/>
    <cellStyle name="20% - Accent1 13 3 2" xfId="242"/>
    <cellStyle name="20% - Accent1 13 4" xfId="243"/>
    <cellStyle name="20% - Accent1 13_RH et QS" xfId="244"/>
    <cellStyle name="20% - Accent1 14" xfId="245"/>
    <cellStyle name="20% - Accent1 14 2" xfId="246"/>
    <cellStyle name="20% - Accent1 14 2 2" xfId="247"/>
    <cellStyle name="20% - Accent1 14 2 2 2" xfId="248"/>
    <cellStyle name="20% - Accent1 14 2 3" xfId="249"/>
    <cellStyle name="20% - Accent1 14 3" xfId="250"/>
    <cellStyle name="20% - Accent1 14 3 2" xfId="251"/>
    <cellStyle name="20% - Accent1 14 4" xfId="252"/>
    <cellStyle name="20% - Accent1 14_RH et QS" xfId="253"/>
    <cellStyle name="20% - Accent1 15" xfId="254"/>
    <cellStyle name="20% - Accent1 15 2" xfId="255"/>
    <cellStyle name="20% - Accent1 15 2 2" xfId="256"/>
    <cellStyle name="20% - Accent1 15 2 2 2" xfId="257"/>
    <cellStyle name="20% - Accent1 15 2 3" xfId="258"/>
    <cellStyle name="20% - Accent1 15 3" xfId="259"/>
    <cellStyle name="20% - Accent1 15 3 2" xfId="260"/>
    <cellStyle name="20% - Accent1 15 4" xfId="261"/>
    <cellStyle name="20% - Accent1 15_RH et QS" xfId="262"/>
    <cellStyle name="20% - Accent1 16" xfId="263"/>
    <cellStyle name="20% - Accent1 16 2" xfId="264"/>
    <cellStyle name="20% - Accent1 16 2 2" xfId="265"/>
    <cellStyle name="20% - Accent1 16 2 2 2" xfId="266"/>
    <cellStyle name="20% - Accent1 16 2 3" xfId="267"/>
    <cellStyle name="20% - Accent1 16 3" xfId="268"/>
    <cellStyle name="20% - Accent1 16 3 2" xfId="269"/>
    <cellStyle name="20% - Accent1 16 4" xfId="270"/>
    <cellStyle name="20% - Accent1 16_RH et QS" xfId="271"/>
    <cellStyle name="20% - Accent1 17" xfId="272"/>
    <cellStyle name="20% - Accent1 17 2" xfId="273"/>
    <cellStyle name="20% - Accent1 17 2 2" xfId="274"/>
    <cellStyle name="20% - Accent1 17 2 2 2" xfId="275"/>
    <cellStyle name="20% - Accent1 17 2 3" xfId="276"/>
    <cellStyle name="20% - Accent1 17 3" xfId="277"/>
    <cellStyle name="20% - Accent1 17 3 2" xfId="278"/>
    <cellStyle name="20% - Accent1 17 4" xfId="279"/>
    <cellStyle name="20% - Accent1 17_RH et QS" xfId="280"/>
    <cellStyle name="20% - Accent1 18" xfId="281"/>
    <cellStyle name="20% - Accent1 18 2" xfId="282"/>
    <cellStyle name="20% - Accent1 18 2 2" xfId="283"/>
    <cellStyle name="20% - Accent1 18 2 2 2" xfId="284"/>
    <cellStyle name="20% - Accent1 18 2 3" xfId="285"/>
    <cellStyle name="20% - Accent1 18 3" xfId="286"/>
    <cellStyle name="20% - Accent1 18 3 2" xfId="287"/>
    <cellStyle name="20% - Accent1 18 4" xfId="288"/>
    <cellStyle name="20% - Accent1 18_RH et QS" xfId="289"/>
    <cellStyle name="20% - Accent1 19" xfId="290"/>
    <cellStyle name="20% - Accent1 19 2" xfId="291"/>
    <cellStyle name="20% - Accent1 19 2 2" xfId="292"/>
    <cellStyle name="20% - Accent1 19 2 2 2" xfId="293"/>
    <cellStyle name="20% - Accent1 19 2 3" xfId="294"/>
    <cellStyle name="20% - Accent1 19 3" xfId="295"/>
    <cellStyle name="20% - Accent1 19 3 2" xfId="296"/>
    <cellStyle name="20% - Accent1 19 4" xfId="297"/>
    <cellStyle name="20% - Accent1 19_RH et QS" xfId="298"/>
    <cellStyle name="20% - Accent1 2" xfId="299"/>
    <cellStyle name="20% - Accent1 2 2" xfId="300"/>
    <cellStyle name="20% - Accent1 2 2 2" xfId="301"/>
    <cellStyle name="20% - Accent1 2 2 2 2" xfId="302"/>
    <cellStyle name="20% - Accent1 2 2 3" xfId="303"/>
    <cellStyle name="20% - Accent1 2 3" xfId="304"/>
    <cellStyle name="20% - Accent1 2 3 2" xfId="305"/>
    <cellStyle name="20% - Accent1 2 4" xfId="306"/>
    <cellStyle name="20% - Accent1 20" xfId="307"/>
    <cellStyle name="20% - Accent1 20 2" xfId="308"/>
    <cellStyle name="20% - Accent1 20 2 2" xfId="309"/>
    <cellStyle name="20% - Accent1 20 2 2 2" xfId="310"/>
    <cellStyle name="20% - Accent1 20 2 3" xfId="311"/>
    <cellStyle name="20% - Accent1 20 3" xfId="312"/>
    <cellStyle name="20% - Accent1 20 3 2" xfId="313"/>
    <cellStyle name="20% - Accent1 20 4" xfId="314"/>
    <cellStyle name="20% - Accent1 20_RH et QS" xfId="315"/>
    <cellStyle name="20% - Accent1 21" xfId="316"/>
    <cellStyle name="20% - Accent1 21 2" xfId="317"/>
    <cellStyle name="20% - Accent1 21 2 2" xfId="318"/>
    <cellStyle name="20% - Accent1 21 2 2 2" xfId="319"/>
    <cellStyle name="20% - Accent1 21 2 3" xfId="320"/>
    <cellStyle name="20% - Accent1 21 3" xfId="321"/>
    <cellStyle name="20% - Accent1 21 3 2" xfId="322"/>
    <cellStyle name="20% - Accent1 21 4" xfId="323"/>
    <cellStyle name="20% - Accent1 21_RH et QS" xfId="324"/>
    <cellStyle name="20% - Accent1 22" xfId="325"/>
    <cellStyle name="20% - Accent1 22 2" xfId="326"/>
    <cellStyle name="20% - Accent1 22 2 2" xfId="327"/>
    <cellStyle name="20% - Accent1 22 2 2 2" xfId="328"/>
    <cellStyle name="20% - Accent1 22 2 3" xfId="329"/>
    <cellStyle name="20% - Accent1 22 3" xfId="330"/>
    <cellStyle name="20% - Accent1 22 3 2" xfId="331"/>
    <cellStyle name="20% - Accent1 22 4" xfId="332"/>
    <cellStyle name="20% - Accent1 22_RH et QS" xfId="333"/>
    <cellStyle name="20% - Accent1 23" xfId="334"/>
    <cellStyle name="20% - Accent1 23 2" xfId="335"/>
    <cellStyle name="20% - Accent1 23 2 2" xfId="336"/>
    <cellStyle name="20% - Accent1 23 2 2 2" xfId="337"/>
    <cellStyle name="20% - Accent1 23 2 3" xfId="338"/>
    <cellStyle name="20% - Accent1 23 3" xfId="339"/>
    <cellStyle name="20% - Accent1 23 3 2" xfId="340"/>
    <cellStyle name="20% - Accent1 23 4" xfId="341"/>
    <cellStyle name="20% - Accent1 23_RH et QS" xfId="342"/>
    <cellStyle name="20% - Accent1 24" xfId="343"/>
    <cellStyle name="20% - Accent1 24 2" xfId="344"/>
    <cellStyle name="20% - Accent1 24 2 2" xfId="345"/>
    <cellStyle name="20% - Accent1 24 2 2 2" xfId="346"/>
    <cellStyle name="20% - Accent1 24 2 3" xfId="347"/>
    <cellStyle name="20% - Accent1 24 3" xfId="348"/>
    <cellStyle name="20% - Accent1 24 3 2" xfId="349"/>
    <cellStyle name="20% - Accent1 24 4" xfId="350"/>
    <cellStyle name="20% - Accent1 24_RH et QS" xfId="351"/>
    <cellStyle name="20% - Accent1 25" xfId="352"/>
    <cellStyle name="20% - Accent1 25 2" xfId="353"/>
    <cellStyle name="20% - Accent1 25 2 2" xfId="354"/>
    <cellStyle name="20% - Accent1 25 2 2 2" xfId="355"/>
    <cellStyle name="20% - Accent1 25 2 3" xfId="356"/>
    <cellStyle name="20% - Accent1 25 3" xfId="357"/>
    <cellStyle name="20% - Accent1 25 3 2" xfId="358"/>
    <cellStyle name="20% - Accent1 25 4" xfId="359"/>
    <cellStyle name="20% - Accent1 25_RH et QS" xfId="360"/>
    <cellStyle name="20% - Accent1 26" xfId="361"/>
    <cellStyle name="20% - Accent1 26 2" xfId="362"/>
    <cellStyle name="20% - Accent1 26 2 2" xfId="363"/>
    <cellStyle name="20% - Accent1 26 2 2 2" xfId="364"/>
    <cellStyle name="20% - Accent1 26 2 3" xfId="365"/>
    <cellStyle name="20% - Accent1 26 3" xfId="366"/>
    <cellStyle name="20% - Accent1 26 3 2" xfId="367"/>
    <cellStyle name="20% - Accent1 26 4" xfId="368"/>
    <cellStyle name="20% - Accent1 26_RH et QS" xfId="369"/>
    <cellStyle name="20% - Accent1 27" xfId="370"/>
    <cellStyle name="20% - Accent1 27 2" xfId="371"/>
    <cellStyle name="20% - Accent1 27 2 2" xfId="372"/>
    <cellStyle name="20% - Accent1 27 2 2 2" xfId="373"/>
    <cellStyle name="20% - Accent1 27 2 3" xfId="374"/>
    <cellStyle name="20% - Accent1 27 3" xfId="375"/>
    <cellStyle name="20% - Accent1 27 3 2" xfId="376"/>
    <cellStyle name="20% - Accent1 27 4" xfId="377"/>
    <cellStyle name="20% - Accent1 27_RH et QS" xfId="378"/>
    <cellStyle name="20% - Accent1 28" xfId="379"/>
    <cellStyle name="20% - Accent1 28 2" xfId="380"/>
    <cellStyle name="20% - Accent1 28 2 2" xfId="381"/>
    <cellStyle name="20% - Accent1 28 2 2 2" xfId="382"/>
    <cellStyle name="20% - Accent1 28 2 3" xfId="383"/>
    <cellStyle name="20% - Accent1 28 3" xfId="384"/>
    <cellStyle name="20% - Accent1 28 3 2" xfId="385"/>
    <cellStyle name="20% - Accent1 28 4" xfId="386"/>
    <cellStyle name="20% - Accent1 28_RH et QS" xfId="387"/>
    <cellStyle name="20% - Accent1 2_RH et QS" xfId="388"/>
    <cellStyle name="20% - Accent1 3" xfId="389"/>
    <cellStyle name="20% - Accent1 3 2" xfId="390"/>
    <cellStyle name="20% - Accent1 3 2 2" xfId="391"/>
    <cellStyle name="20% - Accent1 3 2 2 2" xfId="392"/>
    <cellStyle name="20% - Accent1 3 2 3" xfId="393"/>
    <cellStyle name="20% - Accent1 3 3" xfId="394"/>
    <cellStyle name="20% - Accent1 3 3 2" xfId="395"/>
    <cellStyle name="20% - Accent1 3 4" xfId="396"/>
    <cellStyle name="20% - Accent1 3_RH et QS" xfId="397"/>
    <cellStyle name="20% - Accent1 4" xfId="398"/>
    <cellStyle name="20% - Accent1 4 2" xfId="399"/>
    <cellStyle name="20% - Accent1 4 2 2" xfId="400"/>
    <cellStyle name="20% - Accent1 4 2 2 2" xfId="401"/>
    <cellStyle name="20% - Accent1 4 2 3" xfId="402"/>
    <cellStyle name="20% - Accent1 4 3" xfId="403"/>
    <cellStyle name="20% - Accent1 4 3 2" xfId="404"/>
    <cellStyle name="20% - Accent1 4 4" xfId="405"/>
    <cellStyle name="20% - Accent1 4_RH et QS" xfId="406"/>
    <cellStyle name="20% - Accent1 5" xfId="407"/>
    <cellStyle name="20% - Accent1 5 2" xfId="408"/>
    <cellStyle name="20% - Accent1 5 2 2" xfId="409"/>
    <cellStyle name="20% - Accent1 5 2 2 2" xfId="410"/>
    <cellStyle name="20% - Accent1 5 2 3" xfId="411"/>
    <cellStyle name="20% - Accent1 5 3" xfId="412"/>
    <cellStyle name="20% - Accent1 5 3 2" xfId="413"/>
    <cellStyle name="20% - Accent1 5 4" xfId="414"/>
    <cellStyle name="20% - Accent1 5_RH et QS" xfId="415"/>
    <cellStyle name="20% - Accent1 6" xfId="416"/>
    <cellStyle name="20% - Accent1 6 2" xfId="417"/>
    <cellStyle name="20% - Accent1 6 2 2" xfId="418"/>
    <cellStyle name="20% - Accent1 6 2 2 2" xfId="419"/>
    <cellStyle name="20% - Accent1 6 2 3" xfId="420"/>
    <cellStyle name="20% - Accent1 6 3" xfId="421"/>
    <cellStyle name="20% - Accent1 6 3 2" xfId="422"/>
    <cellStyle name="20% - Accent1 6 4" xfId="423"/>
    <cellStyle name="20% - Accent1 6_RH et QS" xfId="424"/>
    <cellStyle name="20% - Accent1 7" xfId="425"/>
    <cellStyle name="20% - Accent1 7 2" xfId="426"/>
    <cellStyle name="20% - Accent1 7 2 2" xfId="427"/>
    <cellStyle name="20% - Accent1 7 2 2 2" xfId="428"/>
    <cellStyle name="20% - Accent1 7 2 3" xfId="429"/>
    <cellStyle name="20% - Accent1 7 3" xfId="430"/>
    <cellStyle name="20% - Accent1 7 3 2" xfId="431"/>
    <cellStyle name="20% - Accent1 7 4" xfId="432"/>
    <cellStyle name="20% - Accent1 7_RH et QS" xfId="433"/>
    <cellStyle name="20% - Accent1 8" xfId="434"/>
    <cellStyle name="20% - Accent1 8 2" xfId="435"/>
    <cellStyle name="20% - Accent1 8 2 2" xfId="436"/>
    <cellStyle name="20% - Accent1 8 2 2 2" xfId="437"/>
    <cellStyle name="20% - Accent1 8 2 3" xfId="438"/>
    <cellStyle name="20% - Accent1 8 3" xfId="439"/>
    <cellStyle name="20% - Accent1 8 3 2" xfId="440"/>
    <cellStyle name="20% - Accent1 8 4" xfId="441"/>
    <cellStyle name="20% - Accent1 8_RH et QS" xfId="442"/>
    <cellStyle name="20% - Accent1 9" xfId="443"/>
    <cellStyle name="20% - Accent1 9 2" xfId="444"/>
    <cellStyle name="20% - Accent1 9 2 2" xfId="445"/>
    <cellStyle name="20% - Accent1 9 2 2 2" xfId="446"/>
    <cellStyle name="20% - Accent1 9 2 3" xfId="447"/>
    <cellStyle name="20% - Accent1 9 3" xfId="448"/>
    <cellStyle name="20% - Accent1 9 3 2" xfId="449"/>
    <cellStyle name="20% - Accent1 9 4" xfId="450"/>
    <cellStyle name="20% - Accent1 9_RH et QS" xfId="451"/>
    <cellStyle name="20% - Accent2 10" xfId="452"/>
    <cellStyle name="20% - Accent2 10 2" xfId="453"/>
    <cellStyle name="20% - Accent2 10 2 2" xfId="454"/>
    <cellStyle name="20% - Accent2 10 2 2 2" xfId="455"/>
    <cellStyle name="20% - Accent2 10 2 3" xfId="456"/>
    <cellStyle name="20% - Accent2 10 3" xfId="457"/>
    <cellStyle name="20% - Accent2 10 3 2" xfId="458"/>
    <cellStyle name="20% - Accent2 10 4" xfId="459"/>
    <cellStyle name="20% - Accent2 10_RH et QS" xfId="460"/>
    <cellStyle name="20% - Accent2 11" xfId="461"/>
    <cellStyle name="20% - Accent2 11 2" xfId="462"/>
    <cellStyle name="20% - Accent2 11 2 2" xfId="463"/>
    <cellStyle name="20% - Accent2 11 2 2 2" xfId="464"/>
    <cellStyle name="20% - Accent2 11 2 3" xfId="465"/>
    <cellStyle name="20% - Accent2 11 3" xfId="466"/>
    <cellStyle name="20% - Accent2 11 3 2" xfId="467"/>
    <cellStyle name="20% - Accent2 11 4" xfId="468"/>
    <cellStyle name="20% - Accent2 11_RH et QS" xfId="469"/>
    <cellStyle name="20% - Accent2 12" xfId="470"/>
    <cellStyle name="20% - Accent2 12 2" xfId="471"/>
    <cellStyle name="20% - Accent2 12 2 2" xfId="472"/>
    <cellStyle name="20% - Accent2 12 2 2 2" xfId="473"/>
    <cellStyle name="20% - Accent2 12 2 3" xfId="474"/>
    <cellStyle name="20% - Accent2 12 3" xfId="475"/>
    <cellStyle name="20% - Accent2 12 3 2" xfId="476"/>
    <cellStyle name="20% - Accent2 12 4" xfId="477"/>
    <cellStyle name="20% - Accent2 12_RH et QS" xfId="478"/>
    <cellStyle name="20% - Accent2 13" xfId="479"/>
    <cellStyle name="20% - Accent2 13 2" xfId="480"/>
    <cellStyle name="20% - Accent2 13 2 2" xfId="481"/>
    <cellStyle name="20% - Accent2 13 2 2 2" xfId="482"/>
    <cellStyle name="20% - Accent2 13 2 3" xfId="483"/>
    <cellStyle name="20% - Accent2 13 3" xfId="484"/>
    <cellStyle name="20% - Accent2 13 3 2" xfId="485"/>
    <cellStyle name="20% - Accent2 13 4" xfId="486"/>
    <cellStyle name="20% - Accent2 13_RH et QS" xfId="487"/>
    <cellStyle name="20% - Accent2 14" xfId="488"/>
    <cellStyle name="20% - Accent2 14 2" xfId="489"/>
    <cellStyle name="20% - Accent2 14 2 2" xfId="490"/>
    <cellStyle name="20% - Accent2 14 2 2 2" xfId="491"/>
    <cellStyle name="20% - Accent2 14 2 3" xfId="492"/>
    <cellStyle name="20% - Accent2 14 3" xfId="493"/>
    <cellStyle name="20% - Accent2 14 3 2" xfId="494"/>
    <cellStyle name="20% - Accent2 14 4" xfId="495"/>
    <cellStyle name="20% - Accent2 14_RH et QS" xfId="496"/>
    <cellStyle name="20% - Accent2 15" xfId="497"/>
    <cellStyle name="20% - Accent2 15 2" xfId="498"/>
    <cellStyle name="20% - Accent2 15 2 2" xfId="499"/>
    <cellStyle name="20% - Accent2 15 2 2 2" xfId="500"/>
    <cellStyle name="20% - Accent2 15 2 3" xfId="501"/>
    <cellStyle name="20% - Accent2 15 3" xfId="502"/>
    <cellStyle name="20% - Accent2 15 3 2" xfId="503"/>
    <cellStyle name="20% - Accent2 15 4" xfId="504"/>
    <cellStyle name="20% - Accent2 15_RH et QS" xfId="505"/>
    <cellStyle name="20% - Accent2 16" xfId="506"/>
    <cellStyle name="20% - Accent2 16 2" xfId="507"/>
    <cellStyle name="20% - Accent2 16 2 2" xfId="508"/>
    <cellStyle name="20% - Accent2 16 2 2 2" xfId="509"/>
    <cellStyle name="20% - Accent2 16 2 3" xfId="510"/>
    <cellStyle name="20% - Accent2 16 3" xfId="511"/>
    <cellStyle name="20% - Accent2 16 3 2" xfId="512"/>
    <cellStyle name="20% - Accent2 16 4" xfId="513"/>
    <cellStyle name="20% - Accent2 16_RH et QS" xfId="514"/>
    <cellStyle name="20% - Accent2 17" xfId="515"/>
    <cellStyle name="20% - Accent2 17 2" xfId="516"/>
    <cellStyle name="20% - Accent2 17 2 2" xfId="517"/>
    <cellStyle name="20% - Accent2 17 2 2 2" xfId="518"/>
    <cellStyle name="20% - Accent2 17 2 3" xfId="519"/>
    <cellStyle name="20% - Accent2 17 3" xfId="520"/>
    <cellStyle name="20% - Accent2 17 3 2" xfId="521"/>
    <cellStyle name="20% - Accent2 17 4" xfId="522"/>
    <cellStyle name="20% - Accent2 17_RH et QS" xfId="523"/>
    <cellStyle name="20% - Accent2 18" xfId="524"/>
    <cellStyle name="20% - Accent2 18 2" xfId="525"/>
    <cellStyle name="20% - Accent2 18 2 2" xfId="526"/>
    <cellStyle name="20% - Accent2 18 2 2 2" xfId="527"/>
    <cellStyle name="20% - Accent2 18 2 3" xfId="528"/>
    <cellStyle name="20% - Accent2 18 3" xfId="529"/>
    <cellStyle name="20% - Accent2 18 3 2" xfId="530"/>
    <cellStyle name="20% - Accent2 18 4" xfId="531"/>
    <cellStyle name="20% - Accent2 18_RH et QS" xfId="532"/>
    <cellStyle name="20% - Accent2 19" xfId="533"/>
    <cellStyle name="20% - Accent2 19 2" xfId="534"/>
    <cellStyle name="20% - Accent2 19 2 2" xfId="535"/>
    <cellStyle name="20% - Accent2 19 2 2 2" xfId="536"/>
    <cellStyle name="20% - Accent2 19 2 3" xfId="537"/>
    <cellStyle name="20% - Accent2 19 3" xfId="538"/>
    <cellStyle name="20% - Accent2 19 3 2" xfId="539"/>
    <cellStyle name="20% - Accent2 19 4" xfId="540"/>
    <cellStyle name="20% - Accent2 19_RH et QS" xfId="541"/>
    <cellStyle name="20% - Accent2 2" xfId="542"/>
    <cellStyle name="20% - Accent2 2 2" xfId="543"/>
    <cellStyle name="20% - Accent2 2 2 2" xfId="544"/>
    <cellStyle name="20% - Accent2 2 2 2 2" xfId="545"/>
    <cellStyle name="20% - Accent2 2 2 3" xfId="546"/>
    <cellStyle name="20% - Accent2 2 3" xfId="547"/>
    <cellStyle name="20% - Accent2 2 3 2" xfId="548"/>
    <cellStyle name="20% - Accent2 2 4" xfId="549"/>
    <cellStyle name="20% - Accent2 20" xfId="550"/>
    <cellStyle name="20% - Accent2 20 2" xfId="551"/>
    <cellStyle name="20% - Accent2 20 2 2" xfId="552"/>
    <cellStyle name="20% - Accent2 20 2 2 2" xfId="553"/>
    <cellStyle name="20% - Accent2 20 2 3" xfId="554"/>
    <cellStyle name="20% - Accent2 20 3" xfId="555"/>
    <cellStyle name="20% - Accent2 20 3 2" xfId="556"/>
    <cellStyle name="20% - Accent2 20 4" xfId="557"/>
    <cellStyle name="20% - Accent2 20_RH et QS" xfId="558"/>
    <cellStyle name="20% - Accent2 21" xfId="559"/>
    <cellStyle name="20% - Accent2 21 2" xfId="560"/>
    <cellStyle name="20% - Accent2 21 2 2" xfId="561"/>
    <cellStyle name="20% - Accent2 21 2 2 2" xfId="562"/>
    <cellStyle name="20% - Accent2 21 2 3" xfId="563"/>
    <cellStyle name="20% - Accent2 21 3" xfId="564"/>
    <cellStyle name="20% - Accent2 21 3 2" xfId="565"/>
    <cellStyle name="20% - Accent2 21 4" xfId="566"/>
    <cellStyle name="20% - Accent2 21_RH et QS" xfId="567"/>
    <cellStyle name="20% - Accent2 22" xfId="568"/>
    <cellStyle name="20% - Accent2 22 2" xfId="569"/>
    <cellStyle name="20% - Accent2 22 2 2" xfId="570"/>
    <cellStyle name="20% - Accent2 22 2 2 2" xfId="571"/>
    <cellStyle name="20% - Accent2 22 2 3" xfId="572"/>
    <cellStyle name="20% - Accent2 22 3" xfId="573"/>
    <cellStyle name="20% - Accent2 22 3 2" xfId="574"/>
    <cellStyle name="20% - Accent2 22 4" xfId="575"/>
    <cellStyle name="20% - Accent2 22_RH et QS" xfId="576"/>
    <cellStyle name="20% - Accent2 23" xfId="577"/>
    <cellStyle name="20% - Accent2 23 2" xfId="578"/>
    <cellStyle name="20% - Accent2 23 2 2" xfId="579"/>
    <cellStyle name="20% - Accent2 23 2 2 2" xfId="580"/>
    <cellStyle name="20% - Accent2 23 2 3" xfId="581"/>
    <cellStyle name="20% - Accent2 23 3" xfId="582"/>
    <cellStyle name="20% - Accent2 23 3 2" xfId="583"/>
    <cellStyle name="20% - Accent2 23 4" xfId="584"/>
    <cellStyle name="20% - Accent2 23_RH et QS" xfId="585"/>
    <cellStyle name="20% - Accent2 24" xfId="586"/>
    <cellStyle name="20% - Accent2 24 2" xfId="587"/>
    <cellStyle name="20% - Accent2 24 2 2" xfId="588"/>
    <cellStyle name="20% - Accent2 24 2 2 2" xfId="589"/>
    <cellStyle name="20% - Accent2 24 2 3" xfId="590"/>
    <cellStyle name="20% - Accent2 24 3" xfId="591"/>
    <cellStyle name="20% - Accent2 24 3 2" xfId="592"/>
    <cellStyle name="20% - Accent2 24 4" xfId="593"/>
    <cellStyle name="20% - Accent2 24_RH et QS" xfId="594"/>
    <cellStyle name="20% - Accent2 25" xfId="595"/>
    <cellStyle name="20% - Accent2 25 2" xfId="596"/>
    <cellStyle name="20% - Accent2 25 2 2" xfId="597"/>
    <cellStyle name="20% - Accent2 25 2 2 2" xfId="598"/>
    <cellStyle name="20% - Accent2 25 2 3" xfId="599"/>
    <cellStyle name="20% - Accent2 25 3" xfId="600"/>
    <cellStyle name="20% - Accent2 25 3 2" xfId="601"/>
    <cellStyle name="20% - Accent2 25 4" xfId="602"/>
    <cellStyle name="20% - Accent2 25_RH et QS" xfId="603"/>
    <cellStyle name="20% - Accent2 26" xfId="604"/>
    <cellStyle name="20% - Accent2 26 2" xfId="605"/>
    <cellStyle name="20% - Accent2 26 2 2" xfId="606"/>
    <cellStyle name="20% - Accent2 26 2 2 2" xfId="607"/>
    <cellStyle name="20% - Accent2 26 2 3" xfId="608"/>
    <cellStyle name="20% - Accent2 26 3" xfId="609"/>
    <cellStyle name="20% - Accent2 26 3 2" xfId="610"/>
    <cellStyle name="20% - Accent2 26 4" xfId="611"/>
    <cellStyle name="20% - Accent2 26_RH et QS" xfId="612"/>
    <cellStyle name="20% - Accent2 27" xfId="613"/>
    <cellStyle name="20% - Accent2 27 2" xfId="614"/>
    <cellStyle name="20% - Accent2 27 2 2" xfId="615"/>
    <cellStyle name="20% - Accent2 27 2 2 2" xfId="616"/>
    <cellStyle name="20% - Accent2 27 2 3" xfId="617"/>
    <cellStyle name="20% - Accent2 27 3" xfId="618"/>
    <cellStyle name="20% - Accent2 27 3 2" xfId="619"/>
    <cellStyle name="20% - Accent2 27 4" xfId="620"/>
    <cellStyle name="20% - Accent2 27_RH et QS" xfId="621"/>
    <cellStyle name="20% - Accent2 28" xfId="622"/>
    <cellStyle name="20% - Accent2 28 2" xfId="623"/>
    <cellStyle name="20% - Accent2 28 2 2" xfId="624"/>
    <cellStyle name="20% - Accent2 28 2 2 2" xfId="625"/>
    <cellStyle name="20% - Accent2 28 2 3" xfId="626"/>
    <cellStyle name="20% - Accent2 28 3" xfId="627"/>
    <cellStyle name="20% - Accent2 28 3 2" xfId="628"/>
    <cellStyle name="20% - Accent2 28 4" xfId="629"/>
    <cellStyle name="20% - Accent2 28_RH et QS" xfId="630"/>
    <cellStyle name="20% - Accent2 2_RH et QS" xfId="631"/>
    <cellStyle name="20% - Accent2 3" xfId="632"/>
    <cellStyle name="20% - Accent2 3 2" xfId="633"/>
    <cellStyle name="20% - Accent2 3 2 2" xfId="634"/>
    <cellStyle name="20% - Accent2 3 2 2 2" xfId="635"/>
    <cellStyle name="20% - Accent2 3 2 3" xfId="636"/>
    <cellStyle name="20% - Accent2 3 3" xfId="637"/>
    <cellStyle name="20% - Accent2 3 3 2" xfId="638"/>
    <cellStyle name="20% - Accent2 3 4" xfId="639"/>
    <cellStyle name="20% - Accent2 3_RH et QS" xfId="640"/>
    <cellStyle name="20% - Accent2 4" xfId="641"/>
    <cellStyle name="20% - Accent2 4 2" xfId="642"/>
    <cellStyle name="20% - Accent2 4 2 2" xfId="643"/>
    <cellStyle name="20% - Accent2 4 2 2 2" xfId="644"/>
    <cellStyle name="20% - Accent2 4 2 3" xfId="645"/>
    <cellStyle name="20% - Accent2 4 3" xfId="646"/>
    <cellStyle name="20% - Accent2 4 3 2" xfId="647"/>
    <cellStyle name="20% - Accent2 4 4" xfId="648"/>
    <cellStyle name="20% - Accent2 4_RH et QS" xfId="649"/>
    <cellStyle name="20% - Accent2 5" xfId="650"/>
    <cellStyle name="20% - Accent2 5 2" xfId="651"/>
    <cellStyle name="20% - Accent2 5 2 2" xfId="652"/>
    <cellStyle name="20% - Accent2 5 2 2 2" xfId="653"/>
    <cellStyle name="20% - Accent2 5 2 3" xfId="654"/>
    <cellStyle name="20% - Accent2 5 3" xfId="655"/>
    <cellStyle name="20% - Accent2 5 3 2" xfId="656"/>
    <cellStyle name="20% - Accent2 5 4" xfId="657"/>
    <cellStyle name="20% - Accent2 5_RH et QS" xfId="658"/>
    <cellStyle name="20% - Accent2 6" xfId="659"/>
    <cellStyle name="20% - Accent2 6 2" xfId="660"/>
    <cellStyle name="20% - Accent2 6 2 2" xfId="661"/>
    <cellStyle name="20% - Accent2 6 2 2 2" xfId="662"/>
    <cellStyle name="20% - Accent2 6 2 3" xfId="663"/>
    <cellStyle name="20% - Accent2 6 3" xfId="664"/>
    <cellStyle name="20% - Accent2 6 3 2" xfId="665"/>
    <cellStyle name="20% - Accent2 6 4" xfId="666"/>
    <cellStyle name="20% - Accent2 6_RH et QS" xfId="667"/>
    <cellStyle name="20% - Accent2 7" xfId="668"/>
    <cellStyle name="20% - Accent2 7 2" xfId="669"/>
    <cellStyle name="20% - Accent2 7 2 2" xfId="670"/>
    <cellStyle name="20% - Accent2 7 2 2 2" xfId="671"/>
    <cellStyle name="20% - Accent2 7 2 3" xfId="672"/>
    <cellStyle name="20% - Accent2 7 3" xfId="673"/>
    <cellStyle name="20% - Accent2 7 3 2" xfId="674"/>
    <cellStyle name="20% - Accent2 7 4" xfId="675"/>
    <cellStyle name="20% - Accent2 7_RH et QS" xfId="676"/>
    <cellStyle name="20% - Accent2 8" xfId="677"/>
    <cellStyle name="20% - Accent2 8 2" xfId="678"/>
    <cellStyle name="20% - Accent2 8 2 2" xfId="679"/>
    <cellStyle name="20% - Accent2 8 2 2 2" xfId="680"/>
    <cellStyle name="20% - Accent2 8 2 3" xfId="681"/>
    <cellStyle name="20% - Accent2 8 3" xfId="682"/>
    <cellStyle name="20% - Accent2 8 3 2" xfId="683"/>
    <cellStyle name="20% - Accent2 8 4" xfId="684"/>
    <cellStyle name="20% - Accent2 8_RH et QS" xfId="685"/>
    <cellStyle name="20% - Accent2 9" xfId="686"/>
    <cellStyle name="20% - Accent2 9 2" xfId="687"/>
    <cellStyle name="20% - Accent2 9 2 2" xfId="688"/>
    <cellStyle name="20% - Accent2 9 2 2 2" xfId="689"/>
    <cellStyle name="20% - Accent2 9 2 3" xfId="690"/>
    <cellStyle name="20% - Accent2 9 3" xfId="691"/>
    <cellStyle name="20% - Accent2 9 3 2" xfId="692"/>
    <cellStyle name="20% - Accent2 9 4" xfId="693"/>
    <cellStyle name="20% - Accent2 9_RH et QS" xfId="694"/>
    <cellStyle name="20% - Accent3 10" xfId="695"/>
    <cellStyle name="20% - Accent3 10 2" xfId="696"/>
    <cellStyle name="20% - Accent3 10 2 2" xfId="697"/>
    <cellStyle name="20% - Accent3 10 2 2 2" xfId="698"/>
    <cellStyle name="20% - Accent3 10 2 3" xfId="699"/>
    <cellStyle name="20% - Accent3 10 3" xfId="700"/>
    <cellStyle name="20% - Accent3 10 3 2" xfId="701"/>
    <cellStyle name="20% - Accent3 10 4" xfId="702"/>
    <cellStyle name="20% - Accent3 10_RH et QS" xfId="703"/>
    <cellStyle name="20% - Accent3 11" xfId="704"/>
    <cellStyle name="20% - Accent3 11 2" xfId="705"/>
    <cellStyle name="20% - Accent3 11 2 2" xfId="706"/>
    <cellStyle name="20% - Accent3 11 2 2 2" xfId="707"/>
    <cellStyle name="20% - Accent3 11 2 3" xfId="708"/>
    <cellStyle name="20% - Accent3 11 3" xfId="709"/>
    <cellStyle name="20% - Accent3 11 3 2" xfId="710"/>
    <cellStyle name="20% - Accent3 11 4" xfId="711"/>
    <cellStyle name="20% - Accent3 11_RH et QS" xfId="712"/>
    <cellStyle name="20% - Accent3 12" xfId="713"/>
    <cellStyle name="20% - Accent3 12 2" xfId="714"/>
    <cellStyle name="20% - Accent3 12 2 2" xfId="715"/>
    <cellStyle name="20% - Accent3 12 2 2 2" xfId="716"/>
    <cellStyle name="20% - Accent3 12 2 3" xfId="717"/>
    <cellStyle name="20% - Accent3 12 3" xfId="718"/>
    <cellStyle name="20% - Accent3 12 3 2" xfId="719"/>
    <cellStyle name="20% - Accent3 12 4" xfId="720"/>
    <cellStyle name="20% - Accent3 12_RH et QS" xfId="721"/>
    <cellStyle name="20% - Accent3 13" xfId="722"/>
    <cellStyle name="20% - Accent3 13 2" xfId="723"/>
    <cellStyle name="20% - Accent3 13 2 2" xfId="724"/>
    <cellStyle name="20% - Accent3 13 2 2 2" xfId="725"/>
    <cellStyle name="20% - Accent3 13 2 3" xfId="726"/>
    <cellStyle name="20% - Accent3 13 3" xfId="727"/>
    <cellStyle name="20% - Accent3 13 3 2" xfId="728"/>
    <cellStyle name="20% - Accent3 13 4" xfId="729"/>
    <cellStyle name="20% - Accent3 13_RH et QS" xfId="730"/>
    <cellStyle name="20% - Accent3 14" xfId="731"/>
    <cellStyle name="20% - Accent3 14 2" xfId="732"/>
    <cellStyle name="20% - Accent3 14 2 2" xfId="733"/>
    <cellStyle name="20% - Accent3 14 2 2 2" xfId="734"/>
    <cellStyle name="20% - Accent3 14 2 3" xfId="735"/>
    <cellStyle name="20% - Accent3 14 3" xfId="736"/>
    <cellStyle name="20% - Accent3 14 3 2" xfId="737"/>
    <cellStyle name="20% - Accent3 14 4" xfId="738"/>
    <cellStyle name="20% - Accent3 14_RH et QS" xfId="739"/>
    <cellStyle name="20% - Accent3 15" xfId="740"/>
    <cellStyle name="20% - Accent3 15 2" xfId="741"/>
    <cellStyle name="20% - Accent3 15 2 2" xfId="742"/>
    <cellStyle name="20% - Accent3 15 2 2 2" xfId="743"/>
    <cellStyle name="20% - Accent3 15 2 3" xfId="744"/>
    <cellStyle name="20% - Accent3 15 3" xfId="745"/>
    <cellStyle name="20% - Accent3 15 3 2" xfId="746"/>
    <cellStyle name="20% - Accent3 15 4" xfId="747"/>
    <cellStyle name="20% - Accent3 15_RH et QS" xfId="748"/>
    <cellStyle name="20% - Accent3 16" xfId="749"/>
    <cellStyle name="20% - Accent3 16 2" xfId="750"/>
    <cellStyle name="20% - Accent3 16 2 2" xfId="751"/>
    <cellStyle name="20% - Accent3 16 2 2 2" xfId="752"/>
    <cellStyle name="20% - Accent3 16 2 3" xfId="753"/>
    <cellStyle name="20% - Accent3 16 3" xfId="754"/>
    <cellStyle name="20% - Accent3 16 3 2" xfId="755"/>
    <cellStyle name="20% - Accent3 16 4" xfId="756"/>
    <cellStyle name="20% - Accent3 16_RH et QS" xfId="757"/>
    <cellStyle name="20% - Accent3 17" xfId="758"/>
    <cellStyle name="20% - Accent3 17 2" xfId="759"/>
    <cellStyle name="20% - Accent3 17 2 2" xfId="760"/>
    <cellStyle name="20% - Accent3 17 2 2 2" xfId="761"/>
    <cellStyle name="20% - Accent3 17 2 3" xfId="762"/>
    <cellStyle name="20% - Accent3 17 3" xfId="763"/>
    <cellStyle name="20% - Accent3 17 3 2" xfId="764"/>
    <cellStyle name="20% - Accent3 17 4" xfId="765"/>
    <cellStyle name="20% - Accent3 17_RH et QS" xfId="766"/>
    <cellStyle name="20% - Accent3 18" xfId="767"/>
    <cellStyle name="20% - Accent3 18 2" xfId="768"/>
    <cellStyle name="20% - Accent3 18 2 2" xfId="769"/>
    <cellStyle name="20% - Accent3 18 2 2 2" xfId="770"/>
    <cellStyle name="20% - Accent3 18 2 3" xfId="771"/>
    <cellStyle name="20% - Accent3 18 3" xfId="772"/>
    <cellStyle name="20% - Accent3 18 3 2" xfId="773"/>
    <cellStyle name="20% - Accent3 18 4" xfId="774"/>
    <cellStyle name="20% - Accent3 18_RH et QS" xfId="775"/>
    <cellStyle name="20% - Accent3 19" xfId="776"/>
    <cellStyle name="20% - Accent3 19 2" xfId="777"/>
    <cellStyle name="20% - Accent3 19 2 2" xfId="778"/>
    <cellStyle name="20% - Accent3 19 2 2 2" xfId="779"/>
    <cellStyle name="20% - Accent3 19 2 3" xfId="780"/>
    <cellStyle name="20% - Accent3 19 3" xfId="781"/>
    <cellStyle name="20% - Accent3 19 3 2" xfId="782"/>
    <cellStyle name="20% - Accent3 19 4" xfId="783"/>
    <cellStyle name="20% - Accent3 19_RH et QS" xfId="784"/>
    <cellStyle name="20% - Accent3 2" xfId="785"/>
    <cellStyle name="20% - Accent3 2 2" xfId="786"/>
    <cellStyle name="20% - Accent3 2 2 2" xfId="787"/>
    <cellStyle name="20% - Accent3 2 2 2 2" xfId="788"/>
    <cellStyle name="20% - Accent3 2 2 3" xfId="789"/>
    <cellStyle name="20% - Accent3 2 3" xfId="790"/>
    <cellStyle name="20% - Accent3 2 3 2" xfId="791"/>
    <cellStyle name="20% - Accent3 2 4" xfId="792"/>
    <cellStyle name="20% - Accent3 20" xfId="793"/>
    <cellStyle name="20% - Accent3 20 2" xfId="794"/>
    <cellStyle name="20% - Accent3 20 2 2" xfId="795"/>
    <cellStyle name="20% - Accent3 20 2 2 2" xfId="796"/>
    <cellStyle name="20% - Accent3 20 2 3" xfId="797"/>
    <cellStyle name="20% - Accent3 20 3" xfId="798"/>
    <cellStyle name="20% - Accent3 20 3 2" xfId="799"/>
    <cellStyle name="20% - Accent3 20 4" xfId="800"/>
    <cellStyle name="20% - Accent3 20_RH et QS" xfId="801"/>
    <cellStyle name="20% - Accent3 21" xfId="802"/>
    <cellStyle name="20% - Accent3 21 2" xfId="803"/>
    <cellStyle name="20% - Accent3 21 2 2" xfId="804"/>
    <cellStyle name="20% - Accent3 21 2 2 2" xfId="805"/>
    <cellStyle name="20% - Accent3 21 2 3" xfId="806"/>
    <cellStyle name="20% - Accent3 21 3" xfId="807"/>
    <cellStyle name="20% - Accent3 21 3 2" xfId="808"/>
    <cellStyle name="20% - Accent3 21 4" xfId="809"/>
    <cellStyle name="20% - Accent3 21_RH et QS" xfId="810"/>
    <cellStyle name="20% - Accent3 22" xfId="811"/>
    <cellStyle name="20% - Accent3 22 2" xfId="812"/>
    <cellStyle name="20% - Accent3 22 2 2" xfId="813"/>
    <cellStyle name="20% - Accent3 22 2 2 2" xfId="814"/>
    <cellStyle name="20% - Accent3 22 2 3" xfId="815"/>
    <cellStyle name="20% - Accent3 22 3" xfId="816"/>
    <cellStyle name="20% - Accent3 22 3 2" xfId="817"/>
    <cellStyle name="20% - Accent3 22 4" xfId="818"/>
    <cellStyle name="20% - Accent3 22_RH et QS" xfId="819"/>
    <cellStyle name="20% - Accent3 23" xfId="820"/>
    <cellStyle name="20% - Accent3 23 2" xfId="821"/>
    <cellStyle name="20% - Accent3 23 2 2" xfId="822"/>
    <cellStyle name="20% - Accent3 23 2 2 2" xfId="823"/>
    <cellStyle name="20% - Accent3 23 2 3" xfId="824"/>
    <cellStyle name="20% - Accent3 23 3" xfId="825"/>
    <cellStyle name="20% - Accent3 23 3 2" xfId="826"/>
    <cellStyle name="20% - Accent3 23 4" xfId="827"/>
    <cellStyle name="20% - Accent3 23_RH et QS" xfId="828"/>
    <cellStyle name="20% - Accent3 24" xfId="829"/>
    <cellStyle name="20% - Accent3 24 2" xfId="830"/>
    <cellStyle name="20% - Accent3 24 2 2" xfId="831"/>
    <cellStyle name="20% - Accent3 24 2 2 2" xfId="832"/>
    <cellStyle name="20% - Accent3 24 2 3" xfId="833"/>
    <cellStyle name="20% - Accent3 24 3" xfId="834"/>
    <cellStyle name="20% - Accent3 24 3 2" xfId="835"/>
    <cellStyle name="20% - Accent3 24 4" xfId="836"/>
    <cellStyle name="20% - Accent3 24_RH et QS" xfId="837"/>
    <cellStyle name="20% - Accent3 25" xfId="838"/>
    <cellStyle name="20% - Accent3 25 2" xfId="839"/>
    <cellStyle name="20% - Accent3 25 2 2" xfId="840"/>
    <cellStyle name="20% - Accent3 25 2 2 2" xfId="841"/>
    <cellStyle name="20% - Accent3 25 2 3" xfId="842"/>
    <cellStyle name="20% - Accent3 25 3" xfId="843"/>
    <cellStyle name="20% - Accent3 25 3 2" xfId="844"/>
    <cellStyle name="20% - Accent3 25 4" xfId="845"/>
    <cellStyle name="20% - Accent3 25_RH et QS" xfId="846"/>
    <cellStyle name="20% - Accent3 26" xfId="847"/>
    <cellStyle name="20% - Accent3 26 2" xfId="848"/>
    <cellStyle name="20% - Accent3 26 2 2" xfId="849"/>
    <cellStyle name="20% - Accent3 26 2 2 2" xfId="850"/>
    <cellStyle name="20% - Accent3 26 2 3" xfId="851"/>
    <cellStyle name="20% - Accent3 26 3" xfId="852"/>
    <cellStyle name="20% - Accent3 26 3 2" xfId="853"/>
    <cellStyle name="20% - Accent3 26 4" xfId="854"/>
    <cellStyle name="20% - Accent3 26_RH et QS" xfId="855"/>
    <cellStyle name="20% - Accent3 27" xfId="856"/>
    <cellStyle name="20% - Accent3 27 2" xfId="857"/>
    <cellStyle name="20% - Accent3 27 2 2" xfId="858"/>
    <cellStyle name="20% - Accent3 27 2 2 2" xfId="859"/>
    <cellStyle name="20% - Accent3 27 2 3" xfId="860"/>
    <cellStyle name="20% - Accent3 27 3" xfId="861"/>
    <cellStyle name="20% - Accent3 27 3 2" xfId="862"/>
    <cellStyle name="20% - Accent3 27 4" xfId="863"/>
    <cellStyle name="20% - Accent3 27_RH et QS" xfId="864"/>
    <cellStyle name="20% - Accent3 28" xfId="865"/>
    <cellStyle name="20% - Accent3 28 2" xfId="866"/>
    <cellStyle name="20% - Accent3 28 2 2" xfId="867"/>
    <cellStyle name="20% - Accent3 28 2 2 2" xfId="868"/>
    <cellStyle name="20% - Accent3 28 2 3" xfId="869"/>
    <cellStyle name="20% - Accent3 28 3" xfId="870"/>
    <cellStyle name="20% - Accent3 28 3 2" xfId="871"/>
    <cellStyle name="20% - Accent3 28 4" xfId="872"/>
    <cellStyle name="20% - Accent3 28_RH et QS" xfId="873"/>
    <cellStyle name="20% - Accent3 2_RH et QS" xfId="874"/>
    <cellStyle name="20% - Accent3 3" xfId="875"/>
    <cellStyle name="20% - Accent3 3 2" xfId="876"/>
    <cellStyle name="20% - Accent3 3 2 2" xfId="877"/>
    <cellStyle name="20% - Accent3 3 2 2 2" xfId="878"/>
    <cellStyle name="20% - Accent3 3 2 3" xfId="879"/>
    <cellStyle name="20% - Accent3 3 3" xfId="880"/>
    <cellStyle name="20% - Accent3 3 3 2" xfId="881"/>
    <cellStyle name="20% - Accent3 3 4" xfId="882"/>
    <cellStyle name="20% - Accent3 3_RH et QS" xfId="883"/>
    <cellStyle name="20% - Accent3 4" xfId="884"/>
    <cellStyle name="20% - Accent3 4 2" xfId="885"/>
    <cellStyle name="20% - Accent3 4 2 2" xfId="886"/>
    <cellStyle name="20% - Accent3 4 2 2 2" xfId="887"/>
    <cellStyle name="20% - Accent3 4 2 3" xfId="888"/>
    <cellStyle name="20% - Accent3 4 3" xfId="889"/>
    <cellStyle name="20% - Accent3 4 3 2" xfId="890"/>
    <cellStyle name="20% - Accent3 4 4" xfId="891"/>
    <cellStyle name="20% - Accent3 4_RH et QS" xfId="892"/>
    <cellStyle name="20% - Accent3 5" xfId="893"/>
    <cellStyle name="20% - Accent3 5 2" xfId="894"/>
    <cellStyle name="20% - Accent3 5 2 2" xfId="895"/>
    <cellStyle name="20% - Accent3 5 2 2 2" xfId="896"/>
    <cellStyle name="20% - Accent3 5 2 3" xfId="897"/>
    <cellStyle name="20% - Accent3 5 3" xfId="898"/>
    <cellStyle name="20% - Accent3 5 3 2" xfId="899"/>
    <cellStyle name="20% - Accent3 5 4" xfId="900"/>
    <cellStyle name="20% - Accent3 5_RH et QS" xfId="901"/>
    <cellStyle name="20% - Accent3 6" xfId="902"/>
    <cellStyle name="20% - Accent3 6 2" xfId="903"/>
    <cellStyle name="20% - Accent3 6 2 2" xfId="904"/>
    <cellStyle name="20% - Accent3 6 2 2 2" xfId="905"/>
    <cellStyle name="20% - Accent3 6 2 3" xfId="906"/>
    <cellStyle name="20% - Accent3 6 3" xfId="907"/>
    <cellStyle name="20% - Accent3 6 3 2" xfId="908"/>
    <cellStyle name="20% - Accent3 6 4" xfId="909"/>
    <cellStyle name="20% - Accent3 6_RH et QS" xfId="910"/>
    <cellStyle name="20% - Accent3 7" xfId="911"/>
    <cellStyle name="20% - Accent3 7 2" xfId="912"/>
    <cellStyle name="20% - Accent3 7 2 2" xfId="913"/>
    <cellStyle name="20% - Accent3 7 2 2 2" xfId="914"/>
    <cellStyle name="20% - Accent3 7 2 3" xfId="915"/>
    <cellStyle name="20% - Accent3 7 3" xfId="916"/>
    <cellStyle name="20% - Accent3 7 3 2" xfId="917"/>
    <cellStyle name="20% - Accent3 7 4" xfId="918"/>
    <cellStyle name="20% - Accent3 7_RH et QS" xfId="919"/>
    <cellStyle name="20% - Accent3 8" xfId="920"/>
    <cellStyle name="20% - Accent3 8 2" xfId="921"/>
    <cellStyle name="20% - Accent3 8 2 2" xfId="922"/>
    <cellStyle name="20% - Accent3 8 2 2 2" xfId="923"/>
    <cellStyle name="20% - Accent3 8 2 3" xfId="924"/>
    <cellStyle name="20% - Accent3 8 3" xfId="925"/>
    <cellStyle name="20% - Accent3 8 3 2" xfId="926"/>
    <cellStyle name="20% - Accent3 8 4" xfId="927"/>
    <cellStyle name="20% - Accent3 8_RH et QS" xfId="928"/>
    <cellStyle name="20% - Accent3 9" xfId="929"/>
    <cellStyle name="20% - Accent3 9 2" xfId="930"/>
    <cellStyle name="20% - Accent3 9 2 2" xfId="931"/>
    <cellStyle name="20% - Accent3 9 2 2 2" xfId="932"/>
    <cellStyle name="20% - Accent3 9 2 3" xfId="933"/>
    <cellStyle name="20% - Accent3 9 3" xfId="934"/>
    <cellStyle name="20% - Accent3 9 3 2" xfId="935"/>
    <cellStyle name="20% - Accent3 9 4" xfId="936"/>
    <cellStyle name="20% - Accent3 9_RH et QS" xfId="937"/>
    <cellStyle name="20% - Accent4 10" xfId="938"/>
    <cellStyle name="20% - Accent4 10 2" xfId="939"/>
    <cellStyle name="20% - Accent4 10 2 2" xfId="940"/>
    <cellStyle name="20% - Accent4 10 2 2 2" xfId="941"/>
    <cellStyle name="20% - Accent4 10 2 3" xfId="942"/>
    <cellStyle name="20% - Accent4 10 3" xfId="943"/>
    <cellStyle name="20% - Accent4 10 3 2" xfId="944"/>
    <cellStyle name="20% - Accent4 10 4" xfId="945"/>
    <cellStyle name="20% - Accent4 10_RH et QS" xfId="946"/>
    <cellStyle name="20% - Accent4 11" xfId="947"/>
    <cellStyle name="20% - Accent4 11 2" xfId="948"/>
    <cellStyle name="20% - Accent4 11 2 2" xfId="949"/>
    <cellStyle name="20% - Accent4 11 2 2 2" xfId="950"/>
    <cellStyle name="20% - Accent4 11 2 3" xfId="951"/>
    <cellStyle name="20% - Accent4 11 3" xfId="952"/>
    <cellStyle name="20% - Accent4 11 3 2" xfId="953"/>
    <cellStyle name="20% - Accent4 11 4" xfId="954"/>
    <cellStyle name="20% - Accent4 11_RH et QS" xfId="955"/>
    <cellStyle name="20% - Accent4 12" xfId="956"/>
    <cellStyle name="20% - Accent4 12 2" xfId="957"/>
    <cellStyle name="20% - Accent4 12 2 2" xfId="958"/>
    <cellStyle name="20% - Accent4 12 2 2 2" xfId="959"/>
    <cellStyle name="20% - Accent4 12 2 3" xfId="960"/>
    <cellStyle name="20% - Accent4 12 3" xfId="961"/>
    <cellStyle name="20% - Accent4 12 3 2" xfId="962"/>
    <cellStyle name="20% - Accent4 12 4" xfId="963"/>
    <cellStyle name="20% - Accent4 12_RH et QS" xfId="964"/>
    <cellStyle name="20% - Accent4 13" xfId="965"/>
    <cellStyle name="20% - Accent4 13 2" xfId="966"/>
    <cellStyle name="20% - Accent4 13 2 2" xfId="967"/>
    <cellStyle name="20% - Accent4 13 2 2 2" xfId="968"/>
    <cellStyle name="20% - Accent4 13 2 3" xfId="969"/>
    <cellStyle name="20% - Accent4 13 3" xfId="970"/>
    <cellStyle name="20% - Accent4 13 3 2" xfId="971"/>
    <cellStyle name="20% - Accent4 13 4" xfId="972"/>
    <cellStyle name="20% - Accent4 13_RH et QS" xfId="973"/>
    <cellStyle name="20% - Accent4 14" xfId="974"/>
    <cellStyle name="20% - Accent4 14 2" xfId="975"/>
    <cellStyle name="20% - Accent4 14 2 2" xfId="976"/>
    <cellStyle name="20% - Accent4 14 2 2 2" xfId="977"/>
    <cellStyle name="20% - Accent4 14 2 3" xfId="978"/>
    <cellStyle name="20% - Accent4 14 3" xfId="979"/>
    <cellStyle name="20% - Accent4 14 3 2" xfId="980"/>
    <cellStyle name="20% - Accent4 14 4" xfId="981"/>
    <cellStyle name="20% - Accent4 14_RH et QS" xfId="982"/>
    <cellStyle name="20% - Accent4 15" xfId="983"/>
    <cellStyle name="20% - Accent4 15 2" xfId="984"/>
    <cellStyle name="20% - Accent4 15 2 2" xfId="985"/>
    <cellStyle name="20% - Accent4 15 2 2 2" xfId="986"/>
    <cellStyle name="20% - Accent4 15 2 3" xfId="987"/>
    <cellStyle name="20% - Accent4 15 3" xfId="988"/>
    <cellStyle name="20% - Accent4 15 3 2" xfId="989"/>
    <cellStyle name="20% - Accent4 15 4" xfId="990"/>
    <cellStyle name="20% - Accent4 15_RH et QS" xfId="991"/>
    <cellStyle name="20% - Accent4 16" xfId="992"/>
    <cellStyle name="20% - Accent4 16 2" xfId="993"/>
    <cellStyle name="20% - Accent4 16 2 2" xfId="994"/>
    <cellStyle name="20% - Accent4 16 2 2 2" xfId="995"/>
    <cellStyle name="20% - Accent4 16 2 3" xfId="996"/>
    <cellStyle name="20% - Accent4 16 3" xfId="997"/>
    <cellStyle name="20% - Accent4 16 3 2" xfId="998"/>
    <cellStyle name="20% - Accent4 16 4" xfId="999"/>
    <cellStyle name="20% - Accent4 16_RH et QS" xfId="1000"/>
    <cellStyle name="20% - Accent4 17" xfId="1001"/>
    <cellStyle name="20% - Accent4 17 2" xfId="1002"/>
    <cellStyle name="20% - Accent4 17 2 2" xfId="1003"/>
    <cellStyle name="20% - Accent4 17 2 2 2" xfId="1004"/>
    <cellStyle name="20% - Accent4 17 2 3" xfId="1005"/>
    <cellStyle name="20% - Accent4 17 3" xfId="1006"/>
    <cellStyle name="20% - Accent4 17 3 2" xfId="1007"/>
    <cellStyle name="20% - Accent4 17 4" xfId="1008"/>
    <cellStyle name="20% - Accent4 17_RH et QS" xfId="1009"/>
    <cellStyle name="20% - Accent4 18" xfId="1010"/>
    <cellStyle name="20% - Accent4 18 2" xfId="1011"/>
    <cellStyle name="20% - Accent4 18 2 2" xfId="1012"/>
    <cellStyle name="20% - Accent4 18 2 2 2" xfId="1013"/>
    <cellStyle name="20% - Accent4 18 2 3" xfId="1014"/>
    <cellStyle name="20% - Accent4 18 3" xfId="1015"/>
    <cellStyle name="20% - Accent4 18 3 2" xfId="1016"/>
    <cellStyle name="20% - Accent4 18 4" xfId="1017"/>
    <cellStyle name="20% - Accent4 18_RH et QS" xfId="1018"/>
    <cellStyle name="20% - Accent4 19" xfId="1019"/>
    <cellStyle name="20% - Accent4 19 2" xfId="1020"/>
    <cellStyle name="20% - Accent4 19 2 2" xfId="1021"/>
    <cellStyle name="20% - Accent4 19 2 2 2" xfId="1022"/>
    <cellStyle name="20% - Accent4 19 2 3" xfId="1023"/>
    <cellStyle name="20% - Accent4 19 3" xfId="1024"/>
    <cellStyle name="20% - Accent4 19 3 2" xfId="1025"/>
    <cellStyle name="20% - Accent4 19 4" xfId="1026"/>
    <cellStyle name="20% - Accent4 19_RH et QS" xfId="1027"/>
    <cellStyle name="20% - Accent4 2" xfId="1028"/>
    <cellStyle name="20% - Accent4 2 2" xfId="1029"/>
    <cellStyle name="20% - Accent4 2 2 2" xfId="1030"/>
    <cellStyle name="20% - Accent4 2 2 2 2" xfId="1031"/>
    <cellStyle name="20% - Accent4 2 2 3" xfId="1032"/>
    <cellStyle name="20% - Accent4 2 3" xfId="1033"/>
    <cellStyle name="20% - Accent4 2 3 2" xfId="1034"/>
    <cellStyle name="20% - Accent4 2 4" xfId="1035"/>
    <cellStyle name="20% - Accent4 20" xfId="1036"/>
    <cellStyle name="20% - Accent4 20 2" xfId="1037"/>
    <cellStyle name="20% - Accent4 20 2 2" xfId="1038"/>
    <cellStyle name="20% - Accent4 20 2 2 2" xfId="1039"/>
    <cellStyle name="20% - Accent4 20 2 3" xfId="1040"/>
    <cellStyle name="20% - Accent4 20 3" xfId="1041"/>
    <cellStyle name="20% - Accent4 20 3 2" xfId="1042"/>
    <cellStyle name="20% - Accent4 20 4" xfId="1043"/>
    <cellStyle name="20% - Accent4 20_RH et QS" xfId="1044"/>
    <cellStyle name="20% - Accent4 21" xfId="1045"/>
    <cellStyle name="20% - Accent4 21 2" xfId="1046"/>
    <cellStyle name="20% - Accent4 21 2 2" xfId="1047"/>
    <cellStyle name="20% - Accent4 21 2 2 2" xfId="1048"/>
    <cellStyle name="20% - Accent4 21 2 3" xfId="1049"/>
    <cellStyle name="20% - Accent4 21 3" xfId="1050"/>
    <cellStyle name="20% - Accent4 21 3 2" xfId="1051"/>
    <cellStyle name="20% - Accent4 21 4" xfId="1052"/>
    <cellStyle name="20% - Accent4 21_RH et QS" xfId="1053"/>
    <cellStyle name="20% - Accent4 22" xfId="1054"/>
    <cellStyle name="20% - Accent4 22 2" xfId="1055"/>
    <cellStyle name="20% - Accent4 22 2 2" xfId="1056"/>
    <cellStyle name="20% - Accent4 22 2 2 2" xfId="1057"/>
    <cellStyle name="20% - Accent4 22 2 3" xfId="1058"/>
    <cellStyle name="20% - Accent4 22 3" xfId="1059"/>
    <cellStyle name="20% - Accent4 22 3 2" xfId="1060"/>
    <cellStyle name="20% - Accent4 22 4" xfId="1061"/>
    <cellStyle name="20% - Accent4 22_RH et QS" xfId="1062"/>
    <cellStyle name="20% - Accent4 23" xfId="1063"/>
    <cellStyle name="20% - Accent4 23 2" xfId="1064"/>
    <cellStyle name="20% - Accent4 23 2 2" xfId="1065"/>
    <cellStyle name="20% - Accent4 23 2 2 2" xfId="1066"/>
    <cellStyle name="20% - Accent4 23 2 3" xfId="1067"/>
    <cellStyle name="20% - Accent4 23 3" xfId="1068"/>
    <cellStyle name="20% - Accent4 23 3 2" xfId="1069"/>
    <cellStyle name="20% - Accent4 23 4" xfId="1070"/>
    <cellStyle name="20% - Accent4 23_RH et QS" xfId="1071"/>
    <cellStyle name="20% - Accent4 24" xfId="1072"/>
    <cellStyle name="20% - Accent4 24 2" xfId="1073"/>
    <cellStyle name="20% - Accent4 24 2 2" xfId="1074"/>
    <cellStyle name="20% - Accent4 24 2 2 2" xfId="1075"/>
    <cellStyle name="20% - Accent4 24 2 3" xfId="1076"/>
    <cellStyle name="20% - Accent4 24 3" xfId="1077"/>
    <cellStyle name="20% - Accent4 24 3 2" xfId="1078"/>
    <cellStyle name="20% - Accent4 24 4" xfId="1079"/>
    <cellStyle name="20% - Accent4 24_RH et QS" xfId="1080"/>
    <cellStyle name="20% - Accent4 25" xfId="1081"/>
    <cellStyle name="20% - Accent4 25 2" xfId="1082"/>
    <cellStyle name="20% - Accent4 25 2 2" xfId="1083"/>
    <cellStyle name="20% - Accent4 25 2 2 2" xfId="1084"/>
    <cellStyle name="20% - Accent4 25 2 3" xfId="1085"/>
    <cellStyle name="20% - Accent4 25 3" xfId="1086"/>
    <cellStyle name="20% - Accent4 25 3 2" xfId="1087"/>
    <cellStyle name="20% - Accent4 25 4" xfId="1088"/>
    <cellStyle name="20% - Accent4 25_RH et QS" xfId="1089"/>
    <cellStyle name="20% - Accent4 26" xfId="1090"/>
    <cellStyle name="20% - Accent4 26 2" xfId="1091"/>
    <cellStyle name="20% - Accent4 26 2 2" xfId="1092"/>
    <cellStyle name="20% - Accent4 26 2 2 2" xfId="1093"/>
    <cellStyle name="20% - Accent4 26 2 3" xfId="1094"/>
    <cellStyle name="20% - Accent4 26 3" xfId="1095"/>
    <cellStyle name="20% - Accent4 26 3 2" xfId="1096"/>
    <cellStyle name="20% - Accent4 26 4" xfId="1097"/>
    <cellStyle name="20% - Accent4 26_RH et QS" xfId="1098"/>
    <cellStyle name="20% - Accent4 27" xfId="1099"/>
    <cellStyle name="20% - Accent4 27 2" xfId="1100"/>
    <cellStyle name="20% - Accent4 27 2 2" xfId="1101"/>
    <cellStyle name="20% - Accent4 27 2 2 2" xfId="1102"/>
    <cellStyle name="20% - Accent4 27 2 3" xfId="1103"/>
    <cellStyle name="20% - Accent4 27 3" xfId="1104"/>
    <cellStyle name="20% - Accent4 27 3 2" xfId="1105"/>
    <cellStyle name="20% - Accent4 27 4" xfId="1106"/>
    <cellStyle name="20% - Accent4 27_RH et QS" xfId="1107"/>
    <cellStyle name="20% - Accent4 28" xfId="1108"/>
    <cellStyle name="20% - Accent4 28 2" xfId="1109"/>
    <cellStyle name="20% - Accent4 28 2 2" xfId="1110"/>
    <cellStyle name="20% - Accent4 28 2 2 2" xfId="1111"/>
    <cellStyle name="20% - Accent4 28 2 3" xfId="1112"/>
    <cellStyle name="20% - Accent4 28 3" xfId="1113"/>
    <cellStyle name="20% - Accent4 28 3 2" xfId="1114"/>
    <cellStyle name="20% - Accent4 28 4" xfId="1115"/>
    <cellStyle name="20% - Accent4 28_RH et QS" xfId="1116"/>
    <cellStyle name="20% - Accent4 2_RH et QS" xfId="1117"/>
    <cellStyle name="20% - Accent4 3" xfId="1118"/>
    <cellStyle name="20% - Accent4 3 2" xfId="1119"/>
    <cellStyle name="20% - Accent4 3 2 2" xfId="1120"/>
    <cellStyle name="20% - Accent4 3 2 2 2" xfId="1121"/>
    <cellStyle name="20% - Accent4 3 2 3" xfId="1122"/>
    <cellStyle name="20% - Accent4 3 3" xfId="1123"/>
    <cellStyle name="20% - Accent4 3 3 2" xfId="1124"/>
    <cellStyle name="20% - Accent4 3 4" xfId="1125"/>
    <cellStyle name="20% - Accent4 3_RH et QS" xfId="1126"/>
    <cellStyle name="20% - Accent4 4" xfId="1127"/>
    <cellStyle name="20% - Accent4 4 2" xfId="1128"/>
    <cellStyle name="20% - Accent4 4 2 2" xfId="1129"/>
    <cellStyle name="20% - Accent4 4 2 2 2" xfId="1130"/>
    <cellStyle name="20% - Accent4 4 2 3" xfId="1131"/>
    <cellStyle name="20% - Accent4 4 3" xfId="1132"/>
    <cellStyle name="20% - Accent4 4 3 2" xfId="1133"/>
    <cellStyle name="20% - Accent4 4 4" xfId="1134"/>
    <cellStyle name="20% - Accent4 4_RH et QS" xfId="1135"/>
    <cellStyle name="20% - Accent4 5" xfId="1136"/>
    <cellStyle name="20% - Accent4 5 2" xfId="1137"/>
    <cellStyle name="20% - Accent4 5 2 2" xfId="1138"/>
    <cellStyle name="20% - Accent4 5 2 2 2" xfId="1139"/>
    <cellStyle name="20% - Accent4 5 2 3" xfId="1140"/>
    <cellStyle name="20% - Accent4 5 3" xfId="1141"/>
    <cellStyle name="20% - Accent4 5 3 2" xfId="1142"/>
    <cellStyle name="20% - Accent4 5 4" xfId="1143"/>
    <cellStyle name="20% - Accent4 5_RH et QS" xfId="1144"/>
    <cellStyle name="20% - Accent4 6" xfId="1145"/>
    <cellStyle name="20% - Accent4 6 2" xfId="1146"/>
    <cellStyle name="20% - Accent4 6 2 2" xfId="1147"/>
    <cellStyle name="20% - Accent4 6 2 2 2" xfId="1148"/>
    <cellStyle name="20% - Accent4 6 2 3" xfId="1149"/>
    <cellStyle name="20% - Accent4 6 3" xfId="1150"/>
    <cellStyle name="20% - Accent4 6 3 2" xfId="1151"/>
    <cellStyle name="20% - Accent4 6 4" xfId="1152"/>
    <cellStyle name="20% - Accent4 6_RH et QS" xfId="1153"/>
    <cellStyle name="20% - Accent4 7" xfId="1154"/>
    <cellStyle name="20% - Accent4 7 2" xfId="1155"/>
    <cellStyle name="20% - Accent4 7 2 2" xfId="1156"/>
    <cellStyle name="20% - Accent4 7 2 2 2" xfId="1157"/>
    <cellStyle name="20% - Accent4 7 2 3" xfId="1158"/>
    <cellStyle name="20% - Accent4 7 3" xfId="1159"/>
    <cellStyle name="20% - Accent4 7 3 2" xfId="1160"/>
    <cellStyle name="20% - Accent4 7 4" xfId="1161"/>
    <cellStyle name="20% - Accent4 7_RH et QS" xfId="1162"/>
    <cellStyle name="20% - Accent4 8" xfId="1163"/>
    <cellStyle name="20% - Accent4 8 2" xfId="1164"/>
    <cellStyle name="20% - Accent4 8 2 2" xfId="1165"/>
    <cellStyle name="20% - Accent4 8 2 2 2" xfId="1166"/>
    <cellStyle name="20% - Accent4 8 2 3" xfId="1167"/>
    <cellStyle name="20% - Accent4 8 3" xfId="1168"/>
    <cellStyle name="20% - Accent4 8 3 2" xfId="1169"/>
    <cellStyle name="20% - Accent4 8 4" xfId="1170"/>
    <cellStyle name="20% - Accent4 8_RH et QS" xfId="1171"/>
    <cellStyle name="20% - Accent4 9" xfId="1172"/>
    <cellStyle name="20% - Accent4 9 2" xfId="1173"/>
    <cellStyle name="20% - Accent4 9 2 2" xfId="1174"/>
    <cellStyle name="20% - Accent4 9 2 2 2" xfId="1175"/>
    <cellStyle name="20% - Accent4 9 2 3" xfId="1176"/>
    <cellStyle name="20% - Accent4 9 3" xfId="1177"/>
    <cellStyle name="20% - Accent4 9 3 2" xfId="1178"/>
    <cellStyle name="20% - Accent4 9 4" xfId="1179"/>
    <cellStyle name="20% - Accent4 9_RH et QS" xfId="1180"/>
    <cellStyle name="20% - Accent5 10" xfId="1181"/>
    <cellStyle name="20% - Accent5 10 2" xfId="1182"/>
    <cellStyle name="20% - Accent5 10 2 2" xfId="1183"/>
    <cellStyle name="20% - Accent5 10 2 2 2" xfId="1184"/>
    <cellStyle name="20% - Accent5 10 2 3" xfId="1185"/>
    <cellStyle name="20% - Accent5 10 3" xfId="1186"/>
    <cellStyle name="20% - Accent5 10 3 2" xfId="1187"/>
    <cellStyle name="20% - Accent5 10 4" xfId="1188"/>
    <cellStyle name="20% - Accent5 10_RH et QS" xfId="1189"/>
    <cellStyle name="20% - Accent5 11" xfId="1190"/>
    <cellStyle name="20% - Accent5 11 2" xfId="1191"/>
    <cellStyle name="20% - Accent5 11 2 2" xfId="1192"/>
    <cellStyle name="20% - Accent5 11 2 2 2" xfId="1193"/>
    <cellStyle name="20% - Accent5 11 2 3" xfId="1194"/>
    <cellStyle name="20% - Accent5 11 3" xfId="1195"/>
    <cellStyle name="20% - Accent5 11 3 2" xfId="1196"/>
    <cellStyle name="20% - Accent5 11 4" xfId="1197"/>
    <cellStyle name="20% - Accent5 11_RH et QS" xfId="1198"/>
    <cellStyle name="20% - Accent5 12" xfId="1199"/>
    <cellStyle name="20% - Accent5 12 2" xfId="1200"/>
    <cellStyle name="20% - Accent5 12 2 2" xfId="1201"/>
    <cellStyle name="20% - Accent5 12 2 2 2" xfId="1202"/>
    <cellStyle name="20% - Accent5 12 2 3" xfId="1203"/>
    <cellStyle name="20% - Accent5 12 3" xfId="1204"/>
    <cellStyle name="20% - Accent5 12 3 2" xfId="1205"/>
    <cellStyle name="20% - Accent5 12 4" xfId="1206"/>
    <cellStyle name="20% - Accent5 12_RH et QS" xfId="1207"/>
    <cellStyle name="20% - Accent5 13" xfId="1208"/>
    <cellStyle name="20% - Accent5 13 2" xfId="1209"/>
    <cellStyle name="20% - Accent5 13 2 2" xfId="1210"/>
    <cellStyle name="20% - Accent5 13 2 2 2" xfId="1211"/>
    <cellStyle name="20% - Accent5 13 2 3" xfId="1212"/>
    <cellStyle name="20% - Accent5 13 3" xfId="1213"/>
    <cellStyle name="20% - Accent5 13 3 2" xfId="1214"/>
    <cellStyle name="20% - Accent5 13 4" xfId="1215"/>
    <cellStyle name="20% - Accent5 13_RH et QS" xfId="1216"/>
    <cellStyle name="20% - Accent5 14" xfId="1217"/>
    <cellStyle name="20% - Accent5 14 2" xfId="1218"/>
    <cellStyle name="20% - Accent5 14 2 2" xfId="1219"/>
    <cellStyle name="20% - Accent5 14 2 2 2" xfId="1220"/>
    <cellStyle name="20% - Accent5 14 2 3" xfId="1221"/>
    <cellStyle name="20% - Accent5 14 3" xfId="1222"/>
    <cellStyle name="20% - Accent5 14 3 2" xfId="1223"/>
    <cellStyle name="20% - Accent5 14 4" xfId="1224"/>
    <cellStyle name="20% - Accent5 14_RH et QS" xfId="1225"/>
    <cellStyle name="20% - Accent5 15" xfId="1226"/>
    <cellStyle name="20% - Accent5 15 2" xfId="1227"/>
    <cellStyle name="20% - Accent5 15 2 2" xfId="1228"/>
    <cellStyle name="20% - Accent5 15 2 2 2" xfId="1229"/>
    <cellStyle name="20% - Accent5 15 2 3" xfId="1230"/>
    <cellStyle name="20% - Accent5 15 3" xfId="1231"/>
    <cellStyle name="20% - Accent5 15 3 2" xfId="1232"/>
    <cellStyle name="20% - Accent5 15 4" xfId="1233"/>
    <cellStyle name="20% - Accent5 15_RH et QS" xfId="1234"/>
    <cellStyle name="20% - Accent5 16" xfId="1235"/>
    <cellStyle name="20% - Accent5 16 2" xfId="1236"/>
    <cellStyle name="20% - Accent5 16 2 2" xfId="1237"/>
    <cellStyle name="20% - Accent5 16 2 2 2" xfId="1238"/>
    <cellStyle name="20% - Accent5 16 2 3" xfId="1239"/>
    <cellStyle name="20% - Accent5 16 3" xfId="1240"/>
    <cellStyle name="20% - Accent5 16 3 2" xfId="1241"/>
    <cellStyle name="20% - Accent5 16 4" xfId="1242"/>
    <cellStyle name="20% - Accent5 16_RH et QS" xfId="1243"/>
    <cellStyle name="20% - Accent5 17" xfId="1244"/>
    <cellStyle name="20% - Accent5 17 2" xfId="1245"/>
    <cellStyle name="20% - Accent5 17 2 2" xfId="1246"/>
    <cellStyle name="20% - Accent5 17 2 2 2" xfId="1247"/>
    <cellStyle name="20% - Accent5 17 2 3" xfId="1248"/>
    <cellStyle name="20% - Accent5 17 3" xfId="1249"/>
    <cellStyle name="20% - Accent5 17 3 2" xfId="1250"/>
    <cellStyle name="20% - Accent5 17 4" xfId="1251"/>
    <cellStyle name="20% - Accent5 17_RH et QS" xfId="1252"/>
    <cellStyle name="20% - Accent5 18" xfId="1253"/>
    <cellStyle name="20% - Accent5 18 2" xfId="1254"/>
    <cellStyle name="20% - Accent5 18 2 2" xfId="1255"/>
    <cellStyle name="20% - Accent5 18 2 2 2" xfId="1256"/>
    <cellStyle name="20% - Accent5 18 2 3" xfId="1257"/>
    <cellStyle name="20% - Accent5 18 3" xfId="1258"/>
    <cellStyle name="20% - Accent5 18 3 2" xfId="1259"/>
    <cellStyle name="20% - Accent5 18 4" xfId="1260"/>
    <cellStyle name="20% - Accent5 18_RH et QS" xfId="1261"/>
    <cellStyle name="20% - Accent5 19" xfId="1262"/>
    <cellStyle name="20% - Accent5 19 2" xfId="1263"/>
    <cellStyle name="20% - Accent5 19 2 2" xfId="1264"/>
    <cellStyle name="20% - Accent5 19 2 2 2" xfId="1265"/>
    <cellStyle name="20% - Accent5 19 2 3" xfId="1266"/>
    <cellStyle name="20% - Accent5 19 3" xfId="1267"/>
    <cellStyle name="20% - Accent5 19 3 2" xfId="1268"/>
    <cellStyle name="20% - Accent5 19 4" xfId="1269"/>
    <cellStyle name="20% - Accent5 19_RH et QS" xfId="1270"/>
    <cellStyle name="20% - Accent5 2" xfId="1271"/>
    <cellStyle name="20% - Accent5 2 2" xfId="1272"/>
    <cellStyle name="20% - Accent5 2 2 2" xfId="1273"/>
    <cellStyle name="20% - Accent5 2 2 2 2" xfId="1274"/>
    <cellStyle name="20% - Accent5 2 2 3" xfId="1275"/>
    <cellStyle name="20% - Accent5 2 3" xfId="1276"/>
    <cellStyle name="20% - Accent5 2 3 2" xfId="1277"/>
    <cellStyle name="20% - Accent5 2 4" xfId="1278"/>
    <cellStyle name="20% - Accent5 20" xfId="1279"/>
    <cellStyle name="20% - Accent5 20 2" xfId="1280"/>
    <cellStyle name="20% - Accent5 20 2 2" xfId="1281"/>
    <cellStyle name="20% - Accent5 20 2 2 2" xfId="1282"/>
    <cellStyle name="20% - Accent5 20 2 3" xfId="1283"/>
    <cellStyle name="20% - Accent5 20 3" xfId="1284"/>
    <cellStyle name="20% - Accent5 20 3 2" xfId="1285"/>
    <cellStyle name="20% - Accent5 20 4" xfId="1286"/>
    <cellStyle name="20% - Accent5 20_RH et QS" xfId="1287"/>
    <cellStyle name="20% - Accent5 21" xfId="1288"/>
    <cellStyle name="20% - Accent5 21 2" xfId="1289"/>
    <cellStyle name="20% - Accent5 21 2 2" xfId="1290"/>
    <cellStyle name="20% - Accent5 21 2 2 2" xfId="1291"/>
    <cellStyle name="20% - Accent5 21 2 3" xfId="1292"/>
    <cellStyle name="20% - Accent5 21 3" xfId="1293"/>
    <cellStyle name="20% - Accent5 21 3 2" xfId="1294"/>
    <cellStyle name="20% - Accent5 21 4" xfId="1295"/>
    <cellStyle name="20% - Accent5 21_RH et QS" xfId="1296"/>
    <cellStyle name="20% - Accent5 22" xfId="1297"/>
    <cellStyle name="20% - Accent5 22 2" xfId="1298"/>
    <cellStyle name="20% - Accent5 22 2 2" xfId="1299"/>
    <cellStyle name="20% - Accent5 22 2 2 2" xfId="1300"/>
    <cellStyle name="20% - Accent5 22 2 3" xfId="1301"/>
    <cellStyle name="20% - Accent5 22 3" xfId="1302"/>
    <cellStyle name="20% - Accent5 22 3 2" xfId="1303"/>
    <cellStyle name="20% - Accent5 22 4" xfId="1304"/>
    <cellStyle name="20% - Accent5 22_RH et QS" xfId="1305"/>
    <cellStyle name="20% - Accent5 23" xfId="1306"/>
    <cellStyle name="20% - Accent5 23 2" xfId="1307"/>
    <cellStyle name="20% - Accent5 23 2 2" xfId="1308"/>
    <cellStyle name="20% - Accent5 23 2 2 2" xfId="1309"/>
    <cellStyle name="20% - Accent5 23 2 3" xfId="1310"/>
    <cellStyle name="20% - Accent5 23 3" xfId="1311"/>
    <cellStyle name="20% - Accent5 23 3 2" xfId="1312"/>
    <cellStyle name="20% - Accent5 23 4" xfId="1313"/>
    <cellStyle name="20% - Accent5 23_RH et QS" xfId="1314"/>
    <cellStyle name="20% - Accent5 24" xfId="1315"/>
    <cellStyle name="20% - Accent5 24 2" xfId="1316"/>
    <cellStyle name="20% - Accent5 24 2 2" xfId="1317"/>
    <cellStyle name="20% - Accent5 24 2 2 2" xfId="1318"/>
    <cellStyle name="20% - Accent5 24 2 3" xfId="1319"/>
    <cellStyle name="20% - Accent5 24 3" xfId="1320"/>
    <cellStyle name="20% - Accent5 24 3 2" xfId="1321"/>
    <cellStyle name="20% - Accent5 24 4" xfId="1322"/>
    <cellStyle name="20% - Accent5 24_RH et QS" xfId="1323"/>
    <cellStyle name="20% - Accent5 25" xfId="1324"/>
    <cellStyle name="20% - Accent5 25 2" xfId="1325"/>
    <cellStyle name="20% - Accent5 25 2 2" xfId="1326"/>
    <cellStyle name="20% - Accent5 25 2 2 2" xfId="1327"/>
    <cellStyle name="20% - Accent5 25 2 3" xfId="1328"/>
    <cellStyle name="20% - Accent5 25 3" xfId="1329"/>
    <cellStyle name="20% - Accent5 25 3 2" xfId="1330"/>
    <cellStyle name="20% - Accent5 25 4" xfId="1331"/>
    <cellStyle name="20% - Accent5 25_RH et QS" xfId="1332"/>
    <cellStyle name="20% - Accent5 26" xfId="1333"/>
    <cellStyle name="20% - Accent5 26 2" xfId="1334"/>
    <cellStyle name="20% - Accent5 26 2 2" xfId="1335"/>
    <cellStyle name="20% - Accent5 26 2 2 2" xfId="1336"/>
    <cellStyle name="20% - Accent5 26 2 3" xfId="1337"/>
    <cellStyle name="20% - Accent5 26 3" xfId="1338"/>
    <cellStyle name="20% - Accent5 26 3 2" xfId="1339"/>
    <cellStyle name="20% - Accent5 26 4" xfId="1340"/>
    <cellStyle name="20% - Accent5 26_RH et QS" xfId="1341"/>
    <cellStyle name="20% - Accent5 27" xfId="1342"/>
    <cellStyle name="20% - Accent5 27 2" xfId="1343"/>
    <cellStyle name="20% - Accent5 27 2 2" xfId="1344"/>
    <cellStyle name="20% - Accent5 27 2 2 2" xfId="1345"/>
    <cellStyle name="20% - Accent5 27 2 3" xfId="1346"/>
    <cellStyle name="20% - Accent5 27 3" xfId="1347"/>
    <cellStyle name="20% - Accent5 27 3 2" xfId="1348"/>
    <cellStyle name="20% - Accent5 27 4" xfId="1349"/>
    <cellStyle name="20% - Accent5 27_RH et QS" xfId="1350"/>
    <cellStyle name="20% - Accent5 28" xfId="1351"/>
    <cellStyle name="20% - Accent5 28 2" xfId="1352"/>
    <cellStyle name="20% - Accent5 28 2 2" xfId="1353"/>
    <cellStyle name="20% - Accent5 28 2 2 2" xfId="1354"/>
    <cellStyle name="20% - Accent5 28 2 3" xfId="1355"/>
    <cellStyle name="20% - Accent5 28 3" xfId="1356"/>
    <cellStyle name="20% - Accent5 28 3 2" xfId="1357"/>
    <cellStyle name="20% - Accent5 28 4" xfId="1358"/>
    <cellStyle name="20% - Accent5 28_RH et QS" xfId="1359"/>
    <cellStyle name="20% - Accent5 2_RH et QS" xfId="1360"/>
    <cellStyle name="20% - Accent5 3" xfId="1361"/>
    <cellStyle name="20% - Accent5 3 2" xfId="1362"/>
    <cellStyle name="20% - Accent5 3 2 2" xfId="1363"/>
    <cellStyle name="20% - Accent5 3 2 2 2" xfId="1364"/>
    <cellStyle name="20% - Accent5 3 2 3" xfId="1365"/>
    <cellStyle name="20% - Accent5 3 3" xfId="1366"/>
    <cellStyle name="20% - Accent5 3 3 2" xfId="1367"/>
    <cellStyle name="20% - Accent5 3 4" xfId="1368"/>
    <cellStyle name="20% - Accent5 3_RH et QS" xfId="1369"/>
    <cellStyle name="20% - Accent5 4" xfId="1370"/>
    <cellStyle name="20% - Accent5 4 2" xfId="1371"/>
    <cellStyle name="20% - Accent5 4 2 2" xfId="1372"/>
    <cellStyle name="20% - Accent5 4 2 2 2" xfId="1373"/>
    <cellStyle name="20% - Accent5 4 2 3" xfId="1374"/>
    <cellStyle name="20% - Accent5 4 3" xfId="1375"/>
    <cellStyle name="20% - Accent5 4 3 2" xfId="1376"/>
    <cellStyle name="20% - Accent5 4 4" xfId="1377"/>
    <cellStyle name="20% - Accent5 4_RH et QS" xfId="1378"/>
    <cellStyle name="20% - Accent5 5" xfId="1379"/>
    <cellStyle name="20% - Accent5 5 2" xfId="1380"/>
    <cellStyle name="20% - Accent5 5 2 2" xfId="1381"/>
    <cellStyle name="20% - Accent5 5 2 2 2" xfId="1382"/>
    <cellStyle name="20% - Accent5 5 2 3" xfId="1383"/>
    <cellStyle name="20% - Accent5 5 3" xfId="1384"/>
    <cellStyle name="20% - Accent5 5 3 2" xfId="1385"/>
    <cellStyle name="20% - Accent5 5 4" xfId="1386"/>
    <cellStyle name="20% - Accent5 5_RH et QS" xfId="1387"/>
    <cellStyle name="20% - Accent5 6" xfId="1388"/>
    <cellStyle name="20% - Accent5 6 2" xfId="1389"/>
    <cellStyle name="20% - Accent5 6 2 2" xfId="1390"/>
    <cellStyle name="20% - Accent5 6 2 2 2" xfId="1391"/>
    <cellStyle name="20% - Accent5 6 2 3" xfId="1392"/>
    <cellStyle name="20% - Accent5 6 3" xfId="1393"/>
    <cellStyle name="20% - Accent5 6 3 2" xfId="1394"/>
    <cellStyle name="20% - Accent5 6 4" xfId="1395"/>
    <cellStyle name="20% - Accent5 6_RH et QS" xfId="1396"/>
    <cellStyle name="20% - Accent5 7" xfId="1397"/>
    <cellStyle name="20% - Accent5 7 2" xfId="1398"/>
    <cellStyle name="20% - Accent5 7 2 2" xfId="1399"/>
    <cellStyle name="20% - Accent5 7 2 2 2" xfId="1400"/>
    <cellStyle name="20% - Accent5 7 2 3" xfId="1401"/>
    <cellStyle name="20% - Accent5 7 3" xfId="1402"/>
    <cellStyle name="20% - Accent5 7 3 2" xfId="1403"/>
    <cellStyle name="20% - Accent5 7 4" xfId="1404"/>
    <cellStyle name="20% - Accent5 7_RH et QS" xfId="1405"/>
    <cellStyle name="20% - Accent5 8" xfId="1406"/>
    <cellStyle name="20% - Accent5 8 2" xfId="1407"/>
    <cellStyle name="20% - Accent5 8 2 2" xfId="1408"/>
    <cellStyle name="20% - Accent5 8 2 2 2" xfId="1409"/>
    <cellStyle name="20% - Accent5 8 2 3" xfId="1410"/>
    <cellStyle name="20% - Accent5 8 3" xfId="1411"/>
    <cellStyle name="20% - Accent5 8 3 2" xfId="1412"/>
    <cellStyle name="20% - Accent5 8 4" xfId="1413"/>
    <cellStyle name="20% - Accent5 8_RH et QS" xfId="1414"/>
    <cellStyle name="20% - Accent5 9" xfId="1415"/>
    <cellStyle name="20% - Accent5 9 2" xfId="1416"/>
    <cellStyle name="20% - Accent5 9 2 2" xfId="1417"/>
    <cellStyle name="20% - Accent5 9 2 2 2" xfId="1418"/>
    <cellStyle name="20% - Accent5 9 2 3" xfId="1419"/>
    <cellStyle name="20% - Accent5 9 3" xfId="1420"/>
    <cellStyle name="20% - Accent5 9 3 2" xfId="1421"/>
    <cellStyle name="20% - Accent5 9 4" xfId="1422"/>
    <cellStyle name="20% - Accent5 9_RH et QS" xfId="1423"/>
    <cellStyle name="20% - Accent6 10" xfId="1424"/>
    <cellStyle name="20% - Accent6 10 2" xfId="1425"/>
    <cellStyle name="20% - Accent6 10 2 2" xfId="1426"/>
    <cellStyle name="20% - Accent6 10 2 2 2" xfId="1427"/>
    <cellStyle name="20% - Accent6 10 2 3" xfId="1428"/>
    <cellStyle name="20% - Accent6 10 3" xfId="1429"/>
    <cellStyle name="20% - Accent6 10 3 2" xfId="1430"/>
    <cellStyle name="20% - Accent6 10 4" xfId="1431"/>
    <cellStyle name="20% - Accent6 10_RH et QS" xfId="1432"/>
    <cellStyle name="20% - Accent6 11" xfId="1433"/>
    <cellStyle name="20% - Accent6 11 2" xfId="1434"/>
    <cellStyle name="20% - Accent6 11 2 2" xfId="1435"/>
    <cellStyle name="20% - Accent6 11 2 2 2" xfId="1436"/>
    <cellStyle name="20% - Accent6 11 2 3" xfId="1437"/>
    <cellStyle name="20% - Accent6 11 3" xfId="1438"/>
    <cellStyle name="20% - Accent6 11 3 2" xfId="1439"/>
    <cellStyle name="20% - Accent6 11 4" xfId="1440"/>
    <cellStyle name="20% - Accent6 11_RH et QS" xfId="1441"/>
    <cellStyle name="20% - Accent6 12" xfId="1442"/>
    <cellStyle name="20% - Accent6 12 2" xfId="1443"/>
    <cellStyle name="20% - Accent6 12 2 2" xfId="1444"/>
    <cellStyle name="20% - Accent6 12 2 2 2" xfId="1445"/>
    <cellStyle name="20% - Accent6 12 2 3" xfId="1446"/>
    <cellStyle name="20% - Accent6 12 3" xfId="1447"/>
    <cellStyle name="20% - Accent6 12 3 2" xfId="1448"/>
    <cellStyle name="20% - Accent6 12 4" xfId="1449"/>
    <cellStyle name="20% - Accent6 12_RH et QS" xfId="1450"/>
    <cellStyle name="20% - Accent6 13" xfId="1451"/>
    <cellStyle name="20% - Accent6 13 2" xfId="1452"/>
    <cellStyle name="20% - Accent6 13 2 2" xfId="1453"/>
    <cellStyle name="20% - Accent6 13 2 2 2" xfId="1454"/>
    <cellStyle name="20% - Accent6 13 2 3" xfId="1455"/>
    <cellStyle name="20% - Accent6 13 3" xfId="1456"/>
    <cellStyle name="20% - Accent6 13 3 2" xfId="1457"/>
    <cellStyle name="20% - Accent6 13 4" xfId="1458"/>
    <cellStyle name="20% - Accent6 13_RH et QS" xfId="1459"/>
    <cellStyle name="20% - Accent6 14" xfId="1460"/>
    <cellStyle name="20% - Accent6 14 2" xfId="1461"/>
    <cellStyle name="20% - Accent6 14 2 2" xfId="1462"/>
    <cellStyle name="20% - Accent6 14 2 2 2" xfId="1463"/>
    <cellStyle name="20% - Accent6 14 2 3" xfId="1464"/>
    <cellStyle name="20% - Accent6 14 3" xfId="1465"/>
    <cellStyle name="20% - Accent6 14 3 2" xfId="1466"/>
    <cellStyle name="20% - Accent6 14 4" xfId="1467"/>
    <cellStyle name="20% - Accent6 14_RH et QS" xfId="1468"/>
    <cellStyle name="20% - Accent6 15" xfId="1469"/>
    <cellStyle name="20% - Accent6 15 2" xfId="1470"/>
    <cellStyle name="20% - Accent6 15 2 2" xfId="1471"/>
    <cellStyle name="20% - Accent6 15 2 2 2" xfId="1472"/>
    <cellStyle name="20% - Accent6 15 2 3" xfId="1473"/>
    <cellStyle name="20% - Accent6 15 3" xfId="1474"/>
    <cellStyle name="20% - Accent6 15 3 2" xfId="1475"/>
    <cellStyle name="20% - Accent6 15 4" xfId="1476"/>
    <cellStyle name="20% - Accent6 15_RH et QS" xfId="1477"/>
    <cellStyle name="20% - Accent6 16" xfId="1478"/>
    <cellStyle name="20% - Accent6 16 2" xfId="1479"/>
    <cellStyle name="20% - Accent6 16 2 2" xfId="1480"/>
    <cellStyle name="20% - Accent6 16 2 2 2" xfId="1481"/>
    <cellStyle name="20% - Accent6 16 2 3" xfId="1482"/>
    <cellStyle name="20% - Accent6 16 3" xfId="1483"/>
    <cellStyle name="20% - Accent6 16 3 2" xfId="1484"/>
    <cellStyle name="20% - Accent6 16 4" xfId="1485"/>
    <cellStyle name="20% - Accent6 16_RH et QS" xfId="1486"/>
    <cellStyle name="20% - Accent6 17" xfId="1487"/>
    <cellStyle name="20% - Accent6 17 2" xfId="1488"/>
    <cellStyle name="20% - Accent6 17 2 2" xfId="1489"/>
    <cellStyle name="20% - Accent6 17 2 2 2" xfId="1490"/>
    <cellStyle name="20% - Accent6 17 2 3" xfId="1491"/>
    <cellStyle name="20% - Accent6 17 3" xfId="1492"/>
    <cellStyle name="20% - Accent6 17 3 2" xfId="1493"/>
    <cellStyle name="20% - Accent6 17 4" xfId="1494"/>
    <cellStyle name="20% - Accent6 17_RH et QS" xfId="1495"/>
    <cellStyle name="20% - Accent6 18" xfId="1496"/>
    <cellStyle name="20% - Accent6 18 2" xfId="1497"/>
    <cellStyle name="20% - Accent6 18 2 2" xfId="1498"/>
    <cellStyle name="20% - Accent6 18 2 2 2" xfId="1499"/>
    <cellStyle name="20% - Accent6 18 2 3" xfId="1500"/>
    <cellStyle name="20% - Accent6 18 3" xfId="1501"/>
    <cellStyle name="20% - Accent6 18 3 2" xfId="1502"/>
    <cellStyle name="20% - Accent6 18 4" xfId="1503"/>
    <cellStyle name="20% - Accent6 18_RH et QS" xfId="1504"/>
    <cellStyle name="20% - Accent6 19" xfId="1505"/>
    <cellStyle name="20% - Accent6 19 2" xfId="1506"/>
    <cellStyle name="20% - Accent6 19 2 2" xfId="1507"/>
    <cellStyle name="20% - Accent6 19 2 2 2" xfId="1508"/>
    <cellStyle name="20% - Accent6 19 2 3" xfId="1509"/>
    <cellStyle name="20% - Accent6 19 3" xfId="1510"/>
    <cellStyle name="20% - Accent6 19 3 2" xfId="1511"/>
    <cellStyle name="20% - Accent6 19 4" xfId="1512"/>
    <cellStyle name="20% - Accent6 19_RH et QS" xfId="1513"/>
    <cellStyle name="20% - Accent6 2" xfId="1514"/>
    <cellStyle name="20% - Accent6 2 2" xfId="1515"/>
    <cellStyle name="20% - Accent6 2 2 2" xfId="1516"/>
    <cellStyle name="20% - Accent6 2 2 2 2" xfId="1517"/>
    <cellStyle name="20% - Accent6 2 2 3" xfId="1518"/>
    <cellStyle name="20% - Accent6 2 3" xfId="1519"/>
    <cellStyle name="20% - Accent6 2 3 2" xfId="1520"/>
    <cellStyle name="20% - Accent6 2 4" xfId="1521"/>
    <cellStyle name="20% - Accent6 20" xfId="1522"/>
    <cellStyle name="20% - Accent6 20 2" xfId="1523"/>
    <cellStyle name="20% - Accent6 20 2 2" xfId="1524"/>
    <cellStyle name="20% - Accent6 20 2 2 2" xfId="1525"/>
    <cellStyle name="20% - Accent6 20 2 3" xfId="1526"/>
    <cellStyle name="20% - Accent6 20 3" xfId="1527"/>
    <cellStyle name="20% - Accent6 20 3 2" xfId="1528"/>
    <cellStyle name="20% - Accent6 20 4" xfId="1529"/>
    <cellStyle name="20% - Accent6 20_RH et QS" xfId="1530"/>
    <cellStyle name="20% - Accent6 21" xfId="1531"/>
    <cellStyle name="20% - Accent6 21 2" xfId="1532"/>
    <cellStyle name="20% - Accent6 21 2 2" xfId="1533"/>
    <cellStyle name="20% - Accent6 21 2 2 2" xfId="1534"/>
    <cellStyle name="20% - Accent6 21 2 3" xfId="1535"/>
    <cellStyle name="20% - Accent6 21 3" xfId="1536"/>
    <cellStyle name="20% - Accent6 21 3 2" xfId="1537"/>
    <cellStyle name="20% - Accent6 21 4" xfId="1538"/>
    <cellStyle name="20% - Accent6 21_RH et QS" xfId="1539"/>
    <cellStyle name="20% - Accent6 22" xfId="1540"/>
    <cellStyle name="20% - Accent6 22 2" xfId="1541"/>
    <cellStyle name="20% - Accent6 22 2 2" xfId="1542"/>
    <cellStyle name="20% - Accent6 22 2 2 2" xfId="1543"/>
    <cellStyle name="20% - Accent6 22 2 3" xfId="1544"/>
    <cellStyle name="20% - Accent6 22 3" xfId="1545"/>
    <cellStyle name="20% - Accent6 22 3 2" xfId="1546"/>
    <cellStyle name="20% - Accent6 22 4" xfId="1547"/>
    <cellStyle name="20% - Accent6 22_RH et QS" xfId="1548"/>
    <cellStyle name="20% - Accent6 23" xfId="1549"/>
    <cellStyle name="20% - Accent6 23 2" xfId="1550"/>
    <cellStyle name="20% - Accent6 23 2 2" xfId="1551"/>
    <cellStyle name="20% - Accent6 23 2 2 2" xfId="1552"/>
    <cellStyle name="20% - Accent6 23 2 3" xfId="1553"/>
    <cellStyle name="20% - Accent6 23 3" xfId="1554"/>
    <cellStyle name="20% - Accent6 23 3 2" xfId="1555"/>
    <cellStyle name="20% - Accent6 23 4" xfId="0"/>
    <cellStyle name="20% - Accent6 23_RH et QS" xfId="0"/>
    <cellStyle name="20% - Accent6 24" xfId="0"/>
    <cellStyle name="20% - Accent6 24 2" xfId="0"/>
    <cellStyle name="20% - Accent6 24 2 2" xfId="0"/>
    <cellStyle name="20% - Accent6 24 2 2 2" xfId="0"/>
    <cellStyle name="20% - Accent6 24 2 3" xfId="0"/>
    <cellStyle name="20% - Accent6 24 3" xfId="0"/>
    <cellStyle name="20% - Accent6 24 3 2" xfId="0"/>
    <cellStyle name="20% - Accent6 24 4" xfId="0"/>
    <cellStyle name="20% - Accent6 24_RH et QS" xfId="0"/>
    <cellStyle name="20% - Accent6 25" xfId="0"/>
    <cellStyle name="20% - Accent6 25 2" xfId="0"/>
    <cellStyle name="20% - Accent6 25 2 2" xfId="0"/>
    <cellStyle name="20% - Accent6 25 2 2 2" xfId="0"/>
    <cellStyle name="20% - Accent6 25 2 3" xfId="0"/>
    <cellStyle name="20% - Accent6 25 3" xfId="0"/>
    <cellStyle name="20% - Accent6 25 3 2" xfId="0"/>
    <cellStyle name="20% - Accent6 25 4" xfId="0"/>
    <cellStyle name="20% - Accent6 25_RH et QS" xfId="0"/>
    <cellStyle name="20% - Accent6 26" xfId="0"/>
    <cellStyle name="20% - Accent6 26 2" xfId="0"/>
    <cellStyle name="20% - Accent6 26 2 2" xfId="0"/>
    <cellStyle name="20% - Accent6 26 2 2 2" xfId="0"/>
    <cellStyle name="20% - Accent6 26 2 3" xfId="0"/>
    <cellStyle name="20% - Accent6 26 3" xfId="0"/>
    <cellStyle name="20% - Accent6 26 3 2" xfId="0"/>
    <cellStyle name="20% - Accent6 26 4" xfId="0"/>
    <cellStyle name="20% - Accent6 26_RH et QS" xfId="0"/>
    <cellStyle name="20% - Accent6 27" xfId="0"/>
    <cellStyle name="20% - Accent6 27 2" xfId="0"/>
    <cellStyle name="20% - Accent6 27 2 2" xfId="0"/>
    <cellStyle name="20% - Accent6 27 2 2 2" xfId="0"/>
    <cellStyle name="20% - Accent6 27 2 3" xfId="0"/>
    <cellStyle name="20% - Accent6 27 3" xfId="0"/>
    <cellStyle name="20% - Accent6 27 3 2" xfId="0"/>
    <cellStyle name="20% - Accent6 27 4" xfId="0"/>
    <cellStyle name="20% - Accent6 27_RH et QS" xfId="0"/>
    <cellStyle name="20% - Accent6 28" xfId="0"/>
    <cellStyle name="20% - Accent6 28 2" xfId="0"/>
    <cellStyle name="20% - Accent6 28 2 2" xfId="0"/>
    <cellStyle name="20% - Accent6 28 2 2 2" xfId="0"/>
    <cellStyle name="20% - Accent6 28 2 3" xfId="0"/>
    <cellStyle name="20% - Accent6 28 3" xfId="0"/>
    <cellStyle name="20% - Accent6 28 3 2" xfId="0"/>
    <cellStyle name="20% - Accent6 28 4" xfId="0"/>
    <cellStyle name="20% - Accent6 28_RH et QS" xfId="0"/>
    <cellStyle name="20% - Accent6 2_RH et QS" xfId="0"/>
    <cellStyle name="20% - Accent6 3" xfId="0"/>
    <cellStyle name="20% - Accent6 3 2" xfId="0"/>
    <cellStyle name="20% - Accent6 3 2 2" xfId="0"/>
    <cellStyle name="20% - Accent6 3 2 2 2" xfId="0"/>
    <cellStyle name="20% - Accent6 3 2 3" xfId="0"/>
    <cellStyle name="20% - Accent6 3 3" xfId="0"/>
    <cellStyle name="20% - Accent6 3 3 2" xfId="0"/>
    <cellStyle name="20% - Accent6 3 4" xfId="0"/>
    <cellStyle name="20% - Accent6 3_RH et QS" xfId="0"/>
    <cellStyle name="20% - Accent6 4" xfId="0"/>
    <cellStyle name="20% - Accent6 4 2" xfId="0"/>
    <cellStyle name="20% - Accent6 4 2 2" xfId="0"/>
    <cellStyle name="20% - Accent6 4 2 2 2" xfId="0"/>
    <cellStyle name="20% - Accent6 4 2 3" xfId="0"/>
    <cellStyle name="20% - Accent6 4 3" xfId="0"/>
    <cellStyle name="20% - Accent6 4 3 2" xfId="0"/>
    <cellStyle name="20% - Accent6 4 4" xfId="0"/>
    <cellStyle name="20% - Accent6 4_RH et QS" xfId="0"/>
    <cellStyle name="20% - Accent6 5" xfId="0"/>
    <cellStyle name="20% - Accent6 5 2" xfId="0"/>
    <cellStyle name="20% - Accent6 5 2 2" xfId="0"/>
    <cellStyle name="20% - Accent6 5 2 2 2" xfId="0"/>
    <cellStyle name="20% - Accent6 5 2 3" xfId="0"/>
    <cellStyle name="20% - Accent6 5 3" xfId="0"/>
    <cellStyle name="20% - Accent6 5 3 2" xfId="0"/>
    <cellStyle name="20% - Accent6 5 4" xfId="0"/>
    <cellStyle name="20% - Accent6 5_RH et QS" xfId="0"/>
    <cellStyle name="20% - Accent6 6" xfId="0"/>
    <cellStyle name="20% - Accent6 6 2" xfId="0"/>
    <cellStyle name="20% - Accent6 6 2 2" xfId="0"/>
    <cellStyle name="20% - Accent6 6 2 2 2" xfId="0"/>
    <cellStyle name="20% - Accent6 6 2 3" xfId="0"/>
    <cellStyle name="20% - Accent6 6 3" xfId="0"/>
    <cellStyle name="20% - Accent6 6 3 2" xfId="0"/>
    <cellStyle name="20% - Accent6 6 4" xfId="0"/>
    <cellStyle name="20% - Accent6 6_RH et QS" xfId="0"/>
    <cellStyle name="20% - Accent6 7" xfId="0"/>
    <cellStyle name="20% - Accent6 7 2" xfId="0"/>
    <cellStyle name="20% - Accent6 7 2 2" xfId="0"/>
    <cellStyle name="20% - Accent6 7 2 2 2" xfId="0"/>
    <cellStyle name="20% - Accent6 7 2 3" xfId="0"/>
    <cellStyle name="20% - Accent6 7 3" xfId="0"/>
    <cellStyle name="20% - Accent6 7 3 2" xfId="0"/>
    <cellStyle name="20% - Accent6 7 4" xfId="0"/>
    <cellStyle name="20% - Accent6 7_RH et QS" xfId="0"/>
    <cellStyle name="20% - Accent6 8" xfId="0"/>
    <cellStyle name="20% - Accent6 8 2" xfId="0"/>
    <cellStyle name="20% - Accent6 8 2 2" xfId="0"/>
    <cellStyle name="20% - Accent6 8 2 2 2" xfId="0"/>
    <cellStyle name="20% - Accent6 8 2 3" xfId="0"/>
    <cellStyle name="20% - Accent6 8 3" xfId="0"/>
    <cellStyle name="20% - Accent6 8 3 2" xfId="0"/>
    <cellStyle name="20% - Accent6 8 4" xfId="0"/>
    <cellStyle name="20% - Accent6 8_RH et QS" xfId="0"/>
    <cellStyle name="20% - Accent6 9" xfId="0"/>
    <cellStyle name="20% - Accent6 9 2" xfId="0"/>
    <cellStyle name="20% - Accent6 9 2 2" xfId="0"/>
    <cellStyle name="20% - Accent6 9 2 2 2" xfId="0"/>
    <cellStyle name="20% - Accent6 9 2 3" xfId="0"/>
    <cellStyle name="20% - Accent6 9 3" xfId="0"/>
    <cellStyle name="20% - Accent6 9 3 2" xfId="0"/>
    <cellStyle name="20% - Accent6 9 4" xfId="0"/>
    <cellStyle name="20% - Accent6 9_RH et QS" xfId="0"/>
    <cellStyle name="20 % - Accent1 10" xfId="0"/>
    <cellStyle name="20 % - Accent1 10 2" xfId="0"/>
    <cellStyle name="20 % - Accent1 10 2 2" xfId="0"/>
    <cellStyle name="20 % - Accent1 10 2 2 2" xfId="0"/>
    <cellStyle name="20 % - Accent1 10 2 2 2 2" xfId="0"/>
    <cellStyle name="20 % - Accent1 10 2 2 3" xfId="0"/>
    <cellStyle name="20 % - Accent1 10 2 3" xfId="0"/>
    <cellStyle name="20 % - Accent1 10 2 3 2" xfId="0"/>
    <cellStyle name="20 % - Accent1 10 2 4" xfId="0"/>
    <cellStyle name="20 % - Accent1 10 2_RH et QS" xfId="0"/>
    <cellStyle name="20 % - Accent1 10 3" xfId="0"/>
    <cellStyle name="20 % - Accent1 10 3 2" xfId="0"/>
    <cellStyle name="20 % - Accent1 10 3 2 2" xfId="0"/>
    <cellStyle name="20 % - Accent1 10 3 2 2 2" xfId="0"/>
    <cellStyle name="20 % - Accent1 10 3 2 3" xfId="0"/>
    <cellStyle name="20 % - Accent1 10 3 3" xfId="0"/>
    <cellStyle name="20 % - Accent1 10 3 3 2" xfId="0"/>
    <cellStyle name="20 % - Accent1 10 3 4" xfId="0"/>
    <cellStyle name="20 % - Accent1 10 3_RH et QS" xfId="0"/>
    <cellStyle name="20 % - Accent1 10 4" xfId="0"/>
    <cellStyle name="20 % - Accent1 10 4 2" xfId="0"/>
    <cellStyle name="20 % - Accent1 10 4 2 2" xfId="0"/>
    <cellStyle name="20 % - Accent1 10 4 3" xfId="0"/>
    <cellStyle name="20 % - Accent1 10 5" xfId="0"/>
    <cellStyle name="20 % - Accent1 10 5 2" xfId="0"/>
    <cellStyle name="20 % - Accent1 10 6" xfId="0"/>
    <cellStyle name="20 % - Accent1 10_RH et QS" xfId="0"/>
    <cellStyle name="20 % - Accent1 11" xfId="0"/>
    <cellStyle name="20 % - Accent1 11 2" xfId="0"/>
    <cellStyle name="20 % - Accent1 11 2 2" xfId="0"/>
    <cellStyle name="20 % - Accent1 11 2 2 2" xfId="0"/>
    <cellStyle name="20 % - Accent1 11 2 3" xfId="0"/>
    <cellStyle name="20 % - Accent1 11 3" xfId="0"/>
    <cellStyle name="20 % - Accent1 11 3 2" xfId="0"/>
    <cellStyle name="20 % - Accent1 11 4" xfId="0"/>
    <cellStyle name="20 % - Accent1 11_RH et QS" xfId="0"/>
    <cellStyle name="20 % - Accent1 12" xfId="0"/>
    <cellStyle name="20 % - Accent1 12 2" xfId="0"/>
    <cellStyle name="20 % - Accent1 12 2 2" xfId="0"/>
    <cellStyle name="20 % - Accent1 12 2 2 2" xfId="0"/>
    <cellStyle name="20 % - Accent1 12 2 3" xfId="0"/>
    <cellStyle name="20 % - Accent1 12 3" xfId="0"/>
    <cellStyle name="20 % - Accent1 12 3 2" xfId="0"/>
    <cellStyle name="20 % - Accent1 12 4" xfId="0"/>
    <cellStyle name="20 % - Accent1 12_RH et QS" xfId="0"/>
    <cellStyle name="20 % - Accent1 13" xfId="0"/>
    <cellStyle name="20 % - Accent1 13 2" xfId="0"/>
    <cellStyle name="20 % - Accent1 13 2 2" xfId="0"/>
    <cellStyle name="20 % - Accent1 13 2 2 2" xfId="0"/>
    <cellStyle name="20 % - Accent1 13 2 3" xfId="0"/>
    <cellStyle name="20 % - Accent1 13 3" xfId="0"/>
    <cellStyle name="20 % - Accent1 13 3 2" xfId="0"/>
    <cellStyle name="20 % - Accent1 13 4" xfId="0"/>
    <cellStyle name="20 % - Accent1 13_RH et QS" xfId="0"/>
    <cellStyle name="20 % - Accent1 14" xfId="0"/>
    <cellStyle name="20 % - Accent1 14 2" xfId="0"/>
    <cellStyle name="20 % - Accent1 15" xfId="0"/>
    <cellStyle name="20 % - Accent1 2" xfId="0"/>
    <cellStyle name="20 % - Accent1 2 2" xfId="0"/>
    <cellStyle name="20 % - Accent1 2 2 2" xfId="0"/>
    <cellStyle name="20 % - Accent1 2 2 3" xfId="0"/>
    <cellStyle name="20 % - Accent1 2 2_Parc Mobile" xfId="0"/>
    <cellStyle name="20 % - Accent1 2 3" xfId="0"/>
    <cellStyle name="20 % - Accent1 2 4" xfId="0"/>
    <cellStyle name="20 % - Accent1 2 5" xfId="0"/>
    <cellStyle name="20 % - Accent1 2_CA Fixe" xfId="0"/>
    <cellStyle name="20 % - Accent1 3" xfId="0"/>
    <cellStyle name="20 % - Accent1 3 2" xfId="0"/>
    <cellStyle name="20 % - Accent1 3 2 2" xfId="0"/>
    <cellStyle name="20 % - Accent1 3 2_Parc Mobile" xfId="0"/>
    <cellStyle name="20 % - Accent1 3 3" xfId="0"/>
    <cellStyle name="20 % - Accent1 3 4" xfId="0"/>
    <cellStyle name="20 % - Accent1 3 5" xfId="0"/>
    <cellStyle name="20 % - Accent1 3_CA Fixe" xfId="0"/>
    <cellStyle name="20 % - Accent1 4" xfId="0"/>
    <cellStyle name="20 % - Accent1 4 2" xfId="0"/>
    <cellStyle name="20 % - Accent1 4 2 2" xfId="0"/>
    <cellStyle name="20 % - Accent1 4 2_Parc Mobile" xfId="0"/>
    <cellStyle name="20 % - Accent1 4 3" xfId="0"/>
    <cellStyle name="20 % - Accent1 4 4" xfId="0"/>
    <cellStyle name="20 % - Accent1 4 5" xfId="0"/>
    <cellStyle name="20 % - Accent1 4_CA Fixe" xfId="0"/>
    <cellStyle name="20 % - Accent1 5" xfId="0"/>
    <cellStyle name="20 % - Accent1 5 2" xfId="0"/>
    <cellStyle name="20 % - Accent1 6" xfId="0"/>
    <cellStyle name="20 % - Accent1 6 2" xfId="0"/>
    <cellStyle name="20 % - Accent1 7" xfId="0"/>
    <cellStyle name="20 % - Accent1 7 2" xfId="0"/>
    <cellStyle name="20 % - Accent1 7 2 2" xfId="0"/>
    <cellStyle name="20 % - Accent1 7 2 2 2" xfId="0"/>
    <cellStyle name="20 % - Accent1 7 2 2 2 2" xfId="0"/>
    <cellStyle name="20 % - Accent1 7 2 2 3" xfId="0"/>
    <cellStyle name="20 % - Accent1 7 2 3" xfId="0"/>
    <cellStyle name="20 % - Accent1 7 2 3 2" xfId="0"/>
    <cellStyle name="20 % - Accent1 7 2 4" xfId="0"/>
    <cellStyle name="20 % - Accent1 7 2_RH et QS" xfId="0"/>
    <cellStyle name="20 % - Accent1 7 3" xfId="0"/>
    <cellStyle name="20 % - Accent1 7 3 2" xfId="0"/>
    <cellStyle name="20 % - Accent1 7 3 2 2" xfId="0"/>
    <cellStyle name="20 % - Accent1 7 3 2 2 2" xfId="0"/>
    <cellStyle name="20 % - Accent1 7 3 2 3" xfId="0"/>
    <cellStyle name="20 % - Accent1 7 3 3" xfId="0"/>
    <cellStyle name="20 % - Accent1 7 3 3 2" xfId="0"/>
    <cellStyle name="20 % - Accent1 7 3 4" xfId="0"/>
    <cellStyle name="20 % - Accent1 7 3_RH et QS" xfId="0"/>
    <cellStyle name="20 % - Accent1 7 4" xfId="0"/>
    <cellStyle name="20 % - Accent1 7 4 2" xfId="0"/>
    <cellStyle name="20 % - Accent1 7 4 2 2" xfId="0"/>
    <cellStyle name="20 % - Accent1 7 4 3" xfId="0"/>
    <cellStyle name="20 % - Accent1 7 5" xfId="0"/>
    <cellStyle name="20 % - Accent1 7 5 2" xfId="0"/>
    <cellStyle name="20 % - Accent1 7 6" xfId="0"/>
    <cellStyle name="20 % - Accent1 7_RH et QS" xfId="0"/>
    <cellStyle name="20 % - Accent1 8" xfId="0"/>
    <cellStyle name="20 % - Accent1 8 2" xfId="0"/>
    <cellStyle name="20 % - Accent1 8 2 2" xfId="0"/>
    <cellStyle name="20 % - Accent1 8 2 2 2" xfId="0"/>
    <cellStyle name="20 % - Accent1 8 2 2 2 2" xfId="0"/>
    <cellStyle name="20 % - Accent1 8 2 2 3" xfId="0"/>
    <cellStyle name="20 % - Accent1 8 2 3" xfId="0"/>
    <cellStyle name="20 % - Accent1 8 2 3 2" xfId="0"/>
    <cellStyle name="20 % - Accent1 8 2 4" xfId="0"/>
    <cellStyle name="20 % - Accent1 8 2_RH et QS" xfId="0"/>
    <cellStyle name="20 % - Accent1 8 3" xfId="0"/>
    <cellStyle name="20 % - Accent1 8 3 2" xfId="0"/>
    <cellStyle name="20 % - Accent1 8 3 2 2" xfId="0"/>
    <cellStyle name="20 % - Accent1 8 3 2 2 2" xfId="0"/>
    <cellStyle name="20 % - Accent1 8 3 2 3" xfId="0"/>
    <cellStyle name="20 % - Accent1 8 3 3" xfId="0"/>
    <cellStyle name="20 % - Accent1 8 3 3 2" xfId="0"/>
    <cellStyle name="20 % - Accent1 8 3 4" xfId="0"/>
    <cellStyle name="20 % - Accent1 8 3_RH et QS" xfId="0"/>
    <cellStyle name="20 % - Accent1 8 4" xfId="0"/>
    <cellStyle name="20 % - Accent1 8 4 2" xfId="0"/>
    <cellStyle name="20 % - Accent1 8 4 2 2" xfId="0"/>
    <cellStyle name="20 % - Accent1 8 4 3" xfId="0"/>
    <cellStyle name="20 % - Accent1 8 5" xfId="0"/>
    <cellStyle name="20 % - Accent1 8 5 2" xfId="0"/>
    <cellStyle name="20 % - Accent1 8 6" xfId="0"/>
    <cellStyle name="20 % - Accent1 8_RH et QS" xfId="0"/>
    <cellStyle name="20 % - Accent1 9" xfId="0"/>
    <cellStyle name="20 % - Accent1 9 2" xfId="0"/>
    <cellStyle name="20 % - Accent1 9 2 2" xfId="0"/>
    <cellStyle name="20 % - Accent1 9 2 2 2" xfId="0"/>
    <cellStyle name="20 % - Accent1 9 2 2 2 2" xfId="0"/>
    <cellStyle name="20 % - Accent1 9 2 2 3" xfId="0"/>
    <cellStyle name="20 % - Accent1 9 2 3" xfId="0"/>
    <cellStyle name="20 % - Accent1 9 2 3 2" xfId="0"/>
    <cellStyle name="20 % - Accent1 9 2 4" xfId="0"/>
    <cellStyle name="20 % - Accent1 9 2_RH et QS" xfId="0"/>
    <cellStyle name="20 % - Accent1 9 3" xfId="0"/>
    <cellStyle name="20 % - Accent1 9 3 2" xfId="0"/>
    <cellStyle name="20 % - Accent1 9 3 2 2" xfId="0"/>
    <cellStyle name="20 % - Accent1 9 3 2 2 2" xfId="0"/>
    <cellStyle name="20 % - Accent1 9 3 2 3" xfId="0"/>
    <cellStyle name="20 % - Accent1 9 3 3" xfId="0"/>
    <cellStyle name="20 % - Accent1 9 3 3 2" xfId="0"/>
    <cellStyle name="20 % - Accent1 9 3 4" xfId="0"/>
    <cellStyle name="20 % - Accent1 9 3_RH et QS" xfId="0"/>
    <cellStyle name="20 % - Accent1 9 4" xfId="0"/>
    <cellStyle name="20 % - Accent1 9 4 2" xfId="0"/>
    <cellStyle name="20 % - Accent1 9 4 2 2" xfId="0"/>
    <cellStyle name="20 % - Accent1 9 4 3" xfId="0"/>
    <cellStyle name="20 % - Accent1 9 5" xfId="0"/>
    <cellStyle name="20 % - Accent1 9 5 2" xfId="0"/>
    <cellStyle name="20 % - Accent1 9 6" xfId="0"/>
    <cellStyle name="20 % - Accent1 9_RH et QS" xfId="0"/>
    <cellStyle name="20 % - Accent2 10" xfId="0"/>
    <cellStyle name="20 % - Accent2 10 2" xfId="0"/>
    <cellStyle name="20 % - Accent2 10 2 2" xfId="0"/>
    <cellStyle name="20 % - Accent2 10 2 2 2" xfId="0"/>
    <cellStyle name="20 % - Accent2 10 2 2 2 2" xfId="0"/>
    <cellStyle name="20 % - Accent2 10 2 2 3" xfId="0"/>
    <cellStyle name="20 % - Accent2 10 2 3" xfId="0"/>
    <cellStyle name="20 % - Accent2 10 2 3 2" xfId="0"/>
    <cellStyle name="20 % - Accent2 10 2 4" xfId="0"/>
    <cellStyle name="20 % - Accent2 10 2_RH et QS" xfId="0"/>
    <cellStyle name="20 % - Accent2 10 3" xfId="0"/>
    <cellStyle name="20 % - Accent2 10 3 2" xfId="0"/>
    <cellStyle name="20 % - Accent2 10 3 2 2" xfId="0"/>
    <cellStyle name="20 % - Accent2 10 3 2 2 2" xfId="0"/>
    <cellStyle name="20 % - Accent2 10 3 2 3" xfId="0"/>
    <cellStyle name="20 % - Accent2 10 3 3" xfId="0"/>
    <cellStyle name="20 % - Accent2 10 3 3 2" xfId="0"/>
    <cellStyle name="20 % - Accent2 10 3 4" xfId="0"/>
    <cellStyle name="20 % - Accent2 10 3_RH et QS" xfId="0"/>
    <cellStyle name="20 % - Accent2 10 4" xfId="0"/>
    <cellStyle name="20 % - Accent2 10 4 2" xfId="0"/>
    <cellStyle name="20 % - Accent2 10 4 2 2" xfId="0"/>
    <cellStyle name="20 % - Accent2 10 4 3" xfId="0"/>
    <cellStyle name="20 % - Accent2 10 5" xfId="0"/>
    <cellStyle name="20 % - Accent2 10 5 2" xfId="0"/>
    <cellStyle name="20 % - Accent2 10 6" xfId="0"/>
    <cellStyle name="20 % - Accent2 10_RH et QS" xfId="0"/>
    <cellStyle name="20 % - Accent2 11" xfId="0"/>
    <cellStyle name="20 % - Accent2 11 2" xfId="0"/>
    <cellStyle name="20 % - Accent2 11 2 2" xfId="0"/>
    <cellStyle name="20 % - Accent2 11 2 2 2" xfId="0"/>
    <cellStyle name="20 % - Accent2 11 2 3" xfId="0"/>
    <cellStyle name="20 % - Accent2 11 3" xfId="0"/>
    <cellStyle name="20 % - Accent2 11 3 2" xfId="0"/>
    <cellStyle name="20 % - Accent2 11 4" xfId="0"/>
    <cellStyle name="20 % - Accent2 11_RH et QS" xfId="0"/>
    <cellStyle name="20 % - Accent2 12" xfId="0"/>
    <cellStyle name="20 % - Accent2 12 2" xfId="0"/>
    <cellStyle name="20 % - Accent2 12 2 2" xfId="0"/>
    <cellStyle name="20 % - Accent2 12 2 2 2" xfId="0"/>
    <cellStyle name="20 % - Accent2 12 2 3" xfId="0"/>
    <cellStyle name="20 % - Accent2 12 3" xfId="0"/>
    <cellStyle name="20 % - Accent2 12 3 2" xfId="0"/>
    <cellStyle name="20 % - Accent2 12 4" xfId="0"/>
    <cellStyle name="20 % - Accent2 12_RH et QS" xfId="0"/>
    <cellStyle name="20 % - Accent2 13" xfId="0"/>
    <cellStyle name="20 % - Accent2 13 2" xfId="0"/>
    <cellStyle name="20 % - Accent2 13 2 2" xfId="0"/>
    <cellStyle name="20 % - Accent2 13 2 2 2" xfId="0"/>
    <cellStyle name="20 % - Accent2 13 2 3" xfId="0"/>
    <cellStyle name="20 % - Accent2 13 3" xfId="0"/>
    <cellStyle name="20 % - Accent2 13 3 2" xfId="0"/>
    <cellStyle name="20 % - Accent2 13 4" xfId="0"/>
    <cellStyle name="20 % - Accent2 13_RH et QS" xfId="0"/>
    <cellStyle name="20 % - Accent2 14" xfId="0"/>
    <cellStyle name="20 % - Accent2 14 2" xfId="0"/>
    <cellStyle name="20 % - Accent2 15" xfId="0"/>
    <cellStyle name="20 % - Accent2 2" xfId="0"/>
    <cellStyle name="20 % - Accent2 2 2" xfId="0"/>
    <cellStyle name="20 % - Accent2 2 2 2" xfId="0"/>
    <cellStyle name="20 % - Accent2 2 2 3" xfId="0"/>
    <cellStyle name="20 % - Accent2 2 2_Parc Mobile" xfId="0"/>
    <cellStyle name="20 % - Accent2 2 3" xfId="0"/>
    <cellStyle name="20 % - Accent2 2 4" xfId="0"/>
    <cellStyle name="20 % - Accent2 2 5" xfId="0"/>
    <cellStyle name="20 % - Accent2 2_CA Fixe" xfId="0"/>
    <cellStyle name="20 % - Accent2 3" xfId="0"/>
    <cellStyle name="20 % - Accent2 3 2" xfId="0"/>
    <cellStyle name="20 % - Accent2 3 2 2" xfId="0"/>
    <cellStyle name="20 % - Accent2 3 2_Parc Mobile" xfId="0"/>
    <cellStyle name="20 % - Accent2 3 3" xfId="0"/>
    <cellStyle name="20 % - Accent2 3 4" xfId="0"/>
    <cellStyle name="20 % - Accent2 3 5" xfId="0"/>
    <cellStyle name="20 % - Accent2 3_CA Fixe" xfId="0"/>
    <cellStyle name="20 % - Accent2 4" xfId="0"/>
    <cellStyle name="20 % - Accent2 4 2" xfId="0"/>
    <cellStyle name="20 % - Accent2 4 2 2" xfId="0"/>
    <cellStyle name="20 % - Accent2 4 2_Parc Mobile" xfId="0"/>
    <cellStyle name="20 % - Accent2 4 3" xfId="0"/>
    <cellStyle name="20 % - Accent2 4 4" xfId="0"/>
    <cellStyle name="20 % - Accent2 4 5" xfId="0"/>
    <cellStyle name="20 % - Accent2 4_CA Fixe" xfId="0"/>
    <cellStyle name="20 % - Accent2 5" xfId="0"/>
    <cellStyle name="20 % - Accent2 5 2" xfId="0"/>
    <cellStyle name="20 % - Accent2 6" xfId="0"/>
    <cellStyle name="20 % - Accent2 6 2" xfId="0"/>
    <cellStyle name="20 % - Accent2 7" xfId="0"/>
    <cellStyle name="20 % - Accent2 7 2" xfId="0"/>
    <cellStyle name="20 % - Accent2 7 2 2" xfId="0"/>
    <cellStyle name="20 % - Accent2 7 2 2 2" xfId="0"/>
    <cellStyle name="20 % - Accent2 7 2 2 2 2" xfId="0"/>
    <cellStyle name="20 % - Accent2 7 2 2 3" xfId="0"/>
    <cellStyle name="20 % - Accent2 7 2 3" xfId="0"/>
    <cellStyle name="20 % - Accent2 7 2 3 2" xfId="0"/>
    <cellStyle name="20 % - Accent2 7 2 4" xfId="0"/>
    <cellStyle name="20 % - Accent2 7 2_RH et QS" xfId="0"/>
    <cellStyle name="20 % - Accent2 7 3" xfId="0"/>
    <cellStyle name="20 % - Accent2 7 3 2" xfId="0"/>
    <cellStyle name="20 % - Accent2 7 3 2 2" xfId="0"/>
    <cellStyle name="20 % - Accent2 7 3 2 2 2" xfId="0"/>
    <cellStyle name="20 % - Accent2 7 3 2 3" xfId="0"/>
    <cellStyle name="20 % - Accent2 7 3 3" xfId="0"/>
    <cellStyle name="20 % - Accent2 7 3 3 2" xfId="0"/>
    <cellStyle name="20 % - Accent2 7 3 4" xfId="0"/>
    <cellStyle name="20 % - Accent2 7 3_RH et QS" xfId="0"/>
    <cellStyle name="20 % - Accent2 7 4" xfId="0"/>
    <cellStyle name="20 % - Accent2 7 4 2" xfId="0"/>
    <cellStyle name="20 % - Accent2 7 4 2 2" xfId="0"/>
    <cellStyle name="20 % - Accent2 7 4 3" xfId="0"/>
    <cellStyle name="20 % - Accent2 7 5" xfId="0"/>
    <cellStyle name="20 % - Accent2 7 5 2" xfId="0"/>
    <cellStyle name="20 % - Accent2 7 6" xfId="0"/>
    <cellStyle name="20 % - Accent2 7_RH et QS" xfId="0"/>
    <cellStyle name="20 % - Accent2 8" xfId="0"/>
    <cellStyle name="20 % - Accent2 8 2" xfId="0"/>
    <cellStyle name="20 % - Accent2 8 2 2" xfId="0"/>
    <cellStyle name="20 % - Accent2 8 2 2 2" xfId="0"/>
    <cellStyle name="20 % - Accent2 8 2 2 2 2" xfId="0"/>
    <cellStyle name="20 % - Accent2 8 2 2 3" xfId="0"/>
    <cellStyle name="20 % - Accent2 8 2 3" xfId="0"/>
    <cellStyle name="20 % - Accent2 8 2 3 2" xfId="0"/>
    <cellStyle name="20 % - Accent2 8 2 4" xfId="0"/>
    <cellStyle name="20 % - Accent2 8 2_RH et QS" xfId="0"/>
    <cellStyle name="20 % - Accent2 8 3" xfId="0"/>
    <cellStyle name="20 % - Accent2 8 3 2" xfId="0"/>
    <cellStyle name="20 % - Accent2 8 3 2 2" xfId="0"/>
    <cellStyle name="20 % - Accent2 8 3 2 2 2" xfId="0"/>
    <cellStyle name="20 % - Accent2 8 3 2 3" xfId="0"/>
    <cellStyle name="20 % - Accent2 8 3 3" xfId="0"/>
    <cellStyle name="20 % - Accent2 8 3 3 2" xfId="0"/>
    <cellStyle name="20 % - Accent2 8 3 4" xfId="0"/>
    <cellStyle name="20 % - Accent2 8 3_RH et QS" xfId="0"/>
    <cellStyle name="20 % - Accent2 8 4" xfId="0"/>
    <cellStyle name="20 % - Accent2 8 4 2" xfId="0"/>
    <cellStyle name="20 % - Accent2 8 4 2 2" xfId="0"/>
    <cellStyle name="20 % - Accent2 8 4 3" xfId="0"/>
    <cellStyle name="20 % - Accent2 8 5" xfId="0"/>
    <cellStyle name="20 % - Accent2 8 5 2" xfId="0"/>
    <cellStyle name="20 % - Accent2 8 6" xfId="0"/>
    <cellStyle name="20 % - Accent2 8_RH et QS" xfId="0"/>
    <cellStyle name="20 % - Accent2 9" xfId="0"/>
    <cellStyle name="20 % - Accent2 9 2" xfId="0"/>
    <cellStyle name="20 % - Accent2 9 2 2" xfId="0"/>
    <cellStyle name="20 % - Accent2 9 2 2 2" xfId="0"/>
    <cellStyle name="20 % - Accent2 9 2 2 2 2" xfId="0"/>
    <cellStyle name="20 % - Accent2 9 2 2 3" xfId="0"/>
    <cellStyle name="20 % - Accent2 9 2 3" xfId="0"/>
    <cellStyle name="20 % - Accent2 9 2 3 2" xfId="0"/>
    <cellStyle name="20 % - Accent2 9 2 4" xfId="0"/>
    <cellStyle name="20 % - Accent2 9 2_RH et QS" xfId="0"/>
    <cellStyle name="20 % - Accent2 9 3" xfId="0"/>
    <cellStyle name="20 % - Accent2 9 3 2" xfId="0"/>
    <cellStyle name="20 % - Accent2 9 3 2 2" xfId="0"/>
    <cellStyle name="20 % - Accent2 9 3 2 2 2" xfId="0"/>
    <cellStyle name="20 % - Accent2 9 3 2 3" xfId="0"/>
    <cellStyle name="20 % - Accent2 9 3 3" xfId="0"/>
    <cellStyle name="20 % - Accent2 9 3 3 2" xfId="0"/>
    <cellStyle name="20 % - Accent2 9 3 4" xfId="0"/>
    <cellStyle name="20 % - Accent2 9 3_RH et QS" xfId="0"/>
    <cellStyle name="20 % - Accent2 9 4" xfId="0"/>
    <cellStyle name="20 % - Accent2 9 4 2" xfId="0"/>
    <cellStyle name="20 % - Accent2 9 4 2 2" xfId="0"/>
    <cellStyle name="20 % - Accent2 9 4 3" xfId="0"/>
    <cellStyle name="20 % - Accent2 9 5" xfId="0"/>
    <cellStyle name="20 % - Accent2 9 5 2" xfId="0"/>
    <cellStyle name="20 % - Accent2 9 6" xfId="0"/>
    <cellStyle name="20 % - Accent2 9_RH et QS" xfId="0"/>
    <cellStyle name="20 % - Accent3 10" xfId="0"/>
    <cellStyle name="20 % - Accent3 10 2" xfId="0"/>
    <cellStyle name="20 % - Accent3 10 2 2" xfId="0"/>
    <cellStyle name="20 % - Accent3 10 2 2 2" xfId="0"/>
    <cellStyle name="20 % - Accent3 10 2 2 2 2" xfId="0"/>
    <cellStyle name="20 % - Accent3 10 2 2 3" xfId="0"/>
    <cellStyle name="20 % - Accent3 10 2 3" xfId="0"/>
    <cellStyle name="20 % - Accent3 10 2 3 2" xfId="0"/>
    <cellStyle name="20 % - Accent3 10 2 4" xfId="0"/>
    <cellStyle name="20 % - Accent3 10 2_RH et QS" xfId="0"/>
    <cellStyle name="20 % - Accent3 10 3" xfId="0"/>
    <cellStyle name="20 % - Accent3 10 3 2" xfId="0"/>
    <cellStyle name="20 % - Accent3 10 3 2 2" xfId="0"/>
    <cellStyle name="20 % - Accent3 10 3 2 2 2" xfId="0"/>
    <cellStyle name="20 % - Accent3 10 3 2 3" xfId="0"/>
    <cellStyle name="20 % - Accent3 10 3 3" xfId="0"/>
    <cellStyle name="20 % - Accent3 10 3 3 2" xfId="0"/>
    <cellStyle name="20 % - Accent3 10 3 4" xfId="0"/>
    <cellStyle name="20 % - Accent3 10 3_RH et QS" xfId="0"/>
    <cellStyle name="20 % - Accent3 10 4" xfId="0"/>
    <cellStyle name="20 % - Accent3 10 4 2" xfId="0"/>
    <cellStyle name="20 % - Accent3 10 4 2 2" xfId="0"/>
    <cellStyle name="20 % - Accent3 10 4 3" xfId="0"/>
    <cellStyle name="20 % - Accent3 10 5" xfId="0"/>
    <cellStyle name="20 % - Accent3 10 5 2" xfId="0"/>
    <cellStyle name="20 % - Accent3 10 6" xfId="0"/>
    <cellStyle name="20 % - Accent3 10_RH et QS" xfId="0"/>
    <cellStyle name="20 % - Accent3 11" xfId="0"/>
    <cellStyle name="20 % - Accent3 11 2" xfId="0"/>
    <cellStyle name="20 % - Accent3 11 2 2" xfId="0"/>
    <cellStyle name="20 % - Accent3 11 2 2 2" xfId="0"/>
    <cellStyle name="20 % - Accent3 11 2 3" xfId="0"/>
    <cellStyle name="20 % - Accent3 11 3" xfId="0"/>
    <cellStyle name="20 % - Accent3 11 3 2" xfId="0"/>
    <cellStyle name="20 % - Accent3 11 4" xfId="0"/>
    <cellStyle name="20 % - Accent3 11_RH et QS" xfId="0"/>
    <cellStyle name="20 % - Accent3 12" xfId="0"/>
    <cellStyle name="20 % - Accent3 12 2" xfId="0"/>
    <cellStyle name="20 % - Accent3 12 2 2" xfId="0"/>
    <cellStyle name="20 % - Accent3 12 2 2 2" xfId="0"/>
    <cellStyle name="20 % - Accent3 12 2 3" xfId="0"/>
    <cellStyle name="20 % - Accent3 12 3" xfId="0"/>
    <cellStyle name="20 % - Accent3 12 3 2" xfId="0"/>
    <cellStyle name="20 % - Accent3 12 4" xfId="0"/>
    <cellStyle name="20 % - Accent3 12_RH et QS" xfId="0"/>
    <cellStyle name="20 % - Accent3 13" xfId="0"/>
    <cellStyle name="20 % - Accent3 13 2" xfId="0"/>
    <cellStyle name="20 % - Accent3 13 2 2" xfId="0"/>
    <cellStyle name="20 % - Accent3 13 2 2 2" xfId="0"/>
    <cellStyle name="20 % - Accent3 13 2 3" xfId="0"/>
    <cellStyle name="20 % - Accent3 13 3" xfId="0"/>
    <cellStyle name="20 % - Accent3 13 3 2" xfId="0"/>
    <cellStyle name="20 % - Accent3 13 4" xfId="0"/>
    <cellStyle name="20 % - Accent3 13_RH et QS" xfId="0"/>
    <cellStyle name="20 % - Accent3 14" xfId="0"/>
    <cellStyle name="20 % - Accent3 14 2" xfId="0"/>
    <cellStyle name="20 % - Accent3 15" xfId="0"/>
    <cellStyle name="20 % - Accent3 2" xfId="0"/>
    <cellStyle name="20 % - Accent3 2 2" xfId="0"/>
    <cellStyle name="20 % - Accent3 2 2 2" xfId="0"/>
    <cellStyle name="20 % - Accent3 2 2 3" xfId="0"/>
    <cellStyle name="20 % - Accent3 2 2_Parc Mobile" xfId="0"/>
    <cellStyle name="20 % - Accent3 2 3" xfId="0"/>
    <cellStyle name="20 % - Accent3 2 4" xfId="0"/>
    <cellStyle name="20 % - Accent3 2 5" xfId="0"/>
    <cellStyle name="20 % - Accent3 2_CA Fixe" xfId="0"/>
    <cellStyle name="20 % - Accent3 3" xfId="0"/>
    <cellStyle name="20 % - Accent3 3 2" xfId="0"/>
    <cellStyle name="20 % - Accent3 3 2 2" xfId="0"/>
    <cellStyle name="20 % - Accent3 3 2_Parc Mobile" xfId="0"/>
    <cellStyle name="20 % - Accent3 3 3" xfId="0"/>
    <cellStyle name="20 % - Accent3 3 4" xfId="0"/>
    <cellStyle name="20 % - Accent3 3 5" xfId="0"/>
    <cellStyle name="20 % - Accent3 3_CA Fixe" xfId="0"/>
    <cellStyle name="20 % - Accent3 4" xfId="0"/>
    <cellStyle name="20 % - Accent3 4 2" xfId="0"/>
    <cellStyle name="20 % - Accent3 4 2 2" xfId="0"/>
    <cellStyle name="20 % - Accent3 4 2_Parc Mobile" xfId="0"/>
    <cellStyle name="20 % - Accent3 4 3" xfId="0"/>
    <cellStyle name="20 % - Accent3 4 4" xfId="0"/>
    <cellStyle name="20 % - Accent3 4 5" xfId="0"/>
    <cellStyle name="20 % - Accent3 4_CA Fixe" xfId="0"/>
    <cellStyle name="20 % - Accent3 5" xfId="0"/>
    <cellStyle name="20 % - Accent3 5 2" xfId="0"/>
    <cellStyle name="20 % - Accent3 6" xfId="0"/>
    <cellStyle name="20 % - Accent3 6 2" xfId="0"/>
    <cellStyle name="20 % - Accent3 7" xfId="0"/>
    <cellStyle name="20 % - Accent3 7 2" xfId="0"/>
    <cellStyle name="20 % - Accent3 7 2 2" xfId="0"/>
    <cellStyle name="20 % - Accent3 7 2 2 2" xfId="0"/>
    <cellStyle name="20 % - Accent3 7 2 2 2 2" xfId="0"/>
    <cellStyle name="20 % - Accent3 7 2 2 3" xfId="0"/>
    <cellStyle name="20 % - Accent3 7 2 3" xfId="0"/>
    <cellStyle name="20 % - Accent3 7 2 3 2" xfId="0"/>
    <cellStyle name="20 % - Accent3 7 2 4" xfId="0"/>
    <cellStyle name="20 % - Accent3 7 2_RH et QS" xfId="0"/>
    <cellStyle name="20 % - Accent3 7 3" xfId="0"/>
    <cellStyle name="20 % - Accent3 7 3 2" xfId="0"/>
    <cellStyle name="20 % - Accent3 7 3 2 2" xfId="0"/>
    <cellStyle name="20 % - Accent3 7 3 2 2 2" xfId="0"/>
    <cellStyle name="20 % - Accent3 7 3 2 3" xfId="0"/>
    <cellStyle name="20 % - Accent3 7 3 3" xfId="0"/>
    <cellStyle name="20 % - Accent3 7 3 3 2" xfId="0"/>
    <cellStyle name="20 % - Accent3 7 3 4" xfId="0"/>
    <cellStyle name="20 % - Accent3 7 3_RH et QS" xfId="0"/>
    <cellStyle name="20 % - Accent3 7 4" xfId="0"/>
    <cellStyle name="20 % - Accent3 7 4 2" xfId="0"/>
    <cellStyle name="20 % - Accent3 7 4 2 2" xfId="0"/>
    <cellStyle name="20 % - Accent3 7 4 3" xfId="0"/>
    <cellStyle name="20 % - Accent3 7 5" xfId="0"/>
    <cellStyle name="20 % - Accent3 7 5 2" xfId="0"/>
    <cellStyle name="20 % - Accent3 7 6" xfId="0"/>
    <cellStyle name="20 % - Accent3 7_RH et QS" xfId="0"/>
    <cellStyle name="20 % - Accent3 8" xfId="0"/>
    <cellStyle name="20 % - Accent3 8 2" xfId="0"/>
    <cellStyle name="20 % - Accent3 8 2 2" xfId="0"/>
    <cellStyle name="20 % - Accent3 8 2 2 2" xfId="0"/>
    <cellStyle name="20 % - Accent3 8 2 2 2 2" xfId="0"/>
    <cellStyle name="20 % - Accent3 8 2 2 3" xfId="0"/>
    <cellStyle name="20 % - Accent3 8 2 3" xfId="0"/>
    <cellStyle name="20 % - Accent3 8 2 3 2" xfId="0"/>
    <cellStyle name="20 % - Accent3 8 2 4" xfId="0"/>
    <cellStyle name="20 % - Accent3 8 2_RH et QS" xfId="0"/>
    <cellStyle name="20 % - Accent3 8 3" xfId="0"/>
    <cellStyle name="20 % - Accent3 8 3 2" xfId="0"/>
    <cellStyle name="20 % - Accent3 8 3 2 2" xfId="0"/>
    <cellStyle name="20 % - Accent3 8 3 2 2 2" xfId="0"/>
    <cellStyle name="20 % - Accent3 8 3 2 3" xfId="0"/>
    <cellStyle name="20 % - Accent3 8 3 3" xfId="0"/>
    <cellStyle name="20 % - Accent3 8 3 3 2" xfId="0"/>
    <cellStyle name="20 % - Accent3 8 3 4" xfId="0"/>
    <cellStyle name="20 % - Accent3 8 3_RH et QS" xfId="0"/>
    <cellStyle name="20 % - Accent3 8 4" xfId="0"/>
    <cellStyle name="20 % - Accent3 8 4 2" xfId="0"/>
    <cellStyle name="20 % - Accent3 8 4 2 2" xfId="0"/>
    <cellStyle name="20 % - Accent3 8 4 3" xfId="0"/>
    <cellStyle name="20 % - Accent3 8 5" xfId="0"/>
    <cellStyle name="20 % - Accent3 8 5 2" xfId="0"/>
    <cellStyle name="20 % - Accent3 8 6" xfId="0"/>
    <cellStyle name="20 % - Accent3 8_RH et QS" xfId="0"/>
    <cellStyle name="20 % - Accent3 9" xfId="0"/>
    <cellStyle name="20 % - Accent3 9 2" xfId="0"/>
    <cellStyle name="20 % - Accent3 9 2 2" xfId="0"/>
    <cellStyle name="20 % - Accent3 9 2 2 2" xfId="0"/>
    <cellStyle name="20 % - Accent3 9 2 2 2 2" xfId="0"/>
    <cellStyle name="20 % - Accent3 9 2 2 3" xfId="0"/>
    <cellStyle name="20 % - Accent3 9 2 3" xfId="0"/>
    <cellStyle name="20 % - Accent3 9 2 3 2" xfId="0"/>
    <cellStyle name="20 % - Accent3 9 2 4" xfId="0"/>
    <cellStyle name="20 % - Accent3 9 2_RH et QS" xfId="0"/>
    <cellStyle name="20 % - Accent3 9 3" xfId="0"/>
    <cellStyle name="20 % - Accent3 9 3 2" xfId="0"/>
    <cellStyle name="20 % - Accent3 9 3 2 2" xfId="0"/>
    <cellStyle name="20 % - Accent3 9 3 2 2 2" xfId="0"/>
    <cellStyle name="20 % - Accent3 9 3 2 3" xfId="0"/>
    <cellStyle name="20 % - Accent3 9 3 3" xfId="0"/>
    <cellStyle name="20 % - Accent3 9 3 3 2" xfId="0"/>
    <cellStyle name="20 % - Accent3 9 3 4" xfId="0"/>
    <cellStyle name="20 % - Accent3 9 3_RH et QS" xfId="0"/>
    <cellStyle name="20 % - Accent3 9 4" xfId="0"/>
    <cellStyle name="20 % - Accent3 9 4 2" xfId="0"/>
    <cellStyle name="20 % - Accent3 9 4 2 2" xfId="0"/>
    <cellStyle name="20 % - Accent3 9 4 3" xfId="0"/>
    <cellStyle name="20 % - Accent3 9 5" xfId="0"/>
    <cellStyle name="20 % - Accent3 9 5 2" xfId="0"/>
    <cellStyle name="20 % - Accent3 9 6" xfId="0"/>
    <cellStyle name="20 % - Accent3 9_RH et QS" xfId="0"/>
    <cellStyle name="20 % - Accent4 10" xfId="0"/>
    <cellStyle name="20 % - Accent4 10 2" xfId="0"/>
    <cellStyle name="20 % - Accent4 10 2 2" xfId="0"/>
    <cellStyle name="20 % - Accent4 10 2 2 2" xfId="0"/>
    <cellStyle name="20 % - Accent4 10 2 2 2 2" xfId="0"/>
    <cellStyle name="20 % - Accent4 10 2 2 3" xfId="0"/>
    <cellStyle name="20 % - Accent4 10 2 3" xfId="0"/>
    <cellStyle name="20 % - Accent4 10 2 3 2" xfId="0"/>
    <cellStyle name="20 % - Accent4 10 2 4" xfId="0"/>
    <cellStyle name="20 % - Accent4 10 2_RH et QS" xfId="0"/>
    <cellStyle name="20 % - Accent4 10 3" xfId="0"/>
    <cellStyle name="20 % - Accent4 10 3 2" xfId="0"/>
    <cellStyle name="20 % - Accent4 10 3 2 2" xfId="0"/>
    <cellStyle name="20 % - Accent4 10 3 2 2 2" xfId="0"/>
    <cellStyle name="20 % - Accent4 10 3 2 3" xfId="0"/>
    <cellStyle name="20 % - Accent4 10 3 3" xfId="0"/>
    <cellStyle name="20 % - Accent4 10 3 3 2" xfId="0"/>
    <cellStyle name="20 % - Accent4 10 3 4" xfId="0"/>
    <cellStyle name="20 % - Accent4 10 3_RH et QS" xfId="0"/>
    <cellStyle name="20 % - Accent4 10 4" xfId="0"/>
    <cellStyle name="20 % - Accent4 10 4 2" xfId="0"/>
    <cellStyle name="20 % - Accent4 10 4 2 2" xfId="0"/>
    <cellStyle name="20 % - Accent4 10 4 3" xfId="0"/>
    <cellStyle name="20 % - Accent4 10 5" xfId="0"/>
    <cellStyle name="20 % - Accent4 10 5 2" xfId="0"/>
    <cellStyle name="20 % - Accent4 10 6" xfId="0"/>
    <cellStyle name="20 % - Accent4 10_RH et QS" xfId="0"/>
    <cellStyle name="20 % - Accent4 11" xfId="0"/>
    <cellStyle name="20 % - Accent4 11 2" xfId="0"/>
    <cellStyle name="20 % - Accent4 11 2 2" xfId="0"/>
    <cellStyle name="20 % - Accent4 11 2 2 2" xfId="0"/>
    <cellStyle name="20 % - Accent4 11 2 3" xfId="0"/>
    <cellStyle name="20 % - Accent4 11 3" xfId="0"/>
    <cellStyle name="20 % - Accent4 11 3 2" xfId="0"/>
    <cellStyle name="20 % - Accent4 11 4" xfId="0"/>
    <cellStyle name="20 % - Accent4 11_RH et QS" xfId="0"/>
    <cellStyle name="20 % - Accent4 12" xfId="0"/>
    <cellStyle name="20 % - Accent4 12 2" xfId="0"/>
    <cellStyle name="20 % - Accent4 12 2 2" xfId="0"/>
    <cellStyle name="20 % - Accent4 12 2 2 2" xfId="0"/>
    <cellStyle name="20 % - Accent4 12 2 3" xfId="0"/>
    <cellStyle name="20 % - Accent4 12 3" xfId="0"/>
    <cellStyle name="20 % - Accent4 12 3 2" xfId="0"/>
    <cellStyle name="20 % - Accent4 12 4" xfId="0"/>
    <cellStyle name="20 % - Accent4 12_RH et QS" xfId="0"/>
    <cellStyle name="20 % - Accent4 13" xfId="0"/>
    <cellStyle name="20 % - Accent4 13 2" xfId="0"/>
    <cellStyle name="20 % - Accent4 13 2 2" xfId="0"/>
    <cellStyle name="20 % - Accent4 13 2 2 2" xfId="0"/>
    <cellStyle name="20 % - Accent4 13 2 3" xfId="0"/>
    <cellStyle name="20 % - Accent4 13 3" xfId="0"/>
    <cellStyle name="20 % - Accent4 13 3 2" xfId="0"/>
    <cellStyle name="20 % - Accent4 13 4" xfId="0"/>
    <cellStyle name="20 % - Accent4 13_RH et QS" xfId="0"/>
    <cellStyle name="20 % - Accent4 14" xfId="0"/>
    <cellStyle name="20 % - Accent4 14 2" xfId="0"/>
    <cellStyle name="20 % - Accent4 15" xfId="0"/>
    <cellStyle name="20 % - Accent4 2" xfId="0"/>
    <cellStyle name="20 % - Accent4 2 2" xfId="0"/>
    <cellStyle name="20 % - Accent4 2 2 2" xfId="0"/>
    <cellStyle name="20 % - Accent4 2 2 3" xfId="0"/>
    <cellStyle name="20 % - Accent4 2 2_Parc Mobile" xfId="0"/>
    <cellStyle name="20 % - Accent4 2 3" xfId="0"/>
    <cellStyle name="20 % - Accent4 2 4" xfId="0"/>
    <cellStyle name="20 % - Accent4 2 5" xfId="0"/>
    <cellStyle name="20 % - Accent4 2_CA Fixe" xfId="0"/>
    <cellStyle name="20 % - Accent4 3" xfId="0"/>
    <cellStyle name="20 % - Accent4 3 2" xfId="0"/>
    <cellStyle name="20 % - Accent4 3 2 2" xfId="0"/>
    <cellStyle name="20 % - Accent4 3 2_Parc Mobile" xfId="0"/>
    <cellStyle name="20 % - Accent4 3 3" xfId="0"/>
    <cellStyle name="20 % - Accent4 3 4" xfId="0"/>
    <cellStyle name="20 % - Accent4 3 5" xfId="0"/>
    <cellStyle name="20 % - Accent4 3_CA Fixe" xfId="0"/>
    <cellStyle name="20 % - Accent4 4" xfId="0"/>
    <cellStyle name="20 % - Accent4 4 2" xfId="0"/>
    <cellStyle name="20 % - Accent4 4 2 2" xfId="0"/>
    <cellStyle name="20 % - Accent4 4 2_Parc Mobile" xfId="0"/>
    <cellStyle name="20 % - Accent4 4 3" xfId="0"/>
    <cellStyle name="20 % - Accent4 4 4" xfId="0"/>
    <cellStyle name="20 % - Accent4 4 5" xfId="0"/>
    <cellStyle name="20 % - Accent4 4_CA Fixe" xfId="0"/>
    <cellStyle name="20 % - Accent4 5" xfId="0"/>
    <cellStyle name="20 % - Accent4 5 2" xfId="0"/>
    <cellStyle name="20 % - Accent4 6" xfId="0"/>
    <cellStyle name="20 % - Accent4 6 2" xfId="0"/>
    <cellStyle name="20 % - Accent4 7" xfId="0"/>
    <cellStyle name="20 % - Accent4 7 2" xfId="0"/>
    <cellStyle name="20 % - Accent4 7 2 2" xfId="0"/>
    <cellStyle name="20 % - Accent4 7 2 2 2" xfId="0"/>
    <cellStyle name="20 % - Accent4 7 2 2 2 2" xfId="0"/>
    <cellStyle name="20 % - Accent4 7 2 2 3" xfId="0"/>
    <cellStyle name="20 % - Accent4 7 2 3" xfId="0"/>
    <cellStyle name="20 % - Accent4 7 2 3 2" xfId="0"/>
    <cellStyle name="20 % - Accent4 7 2 4" xfId="0"/>
    <cellStyle name="20 % - Accent4 7 2_RH et QS" xfId="0"/>
    <cellStyle name="20 % - Accent4 7 3" xfId="0"/>
    <cellStyle name="20 % - Accent4 7 3 2" xfId="0"/>
    <cellStyle name="20 % - Accent4 7 3 2 2" xfId="0"/>
    <cellStyle name="20 % - Accent4 7 3 2 2 2" xfId="0"/>
    <cellStyle name="20 % - Accent4 7 3 2 3" xfId="0"/>
    <cellStyle name="20 % - Accent4 7 3 3" xfId="0"/>
    <cellStyle name="20 % - Accent4 7 3 3 2" xfId="0"/>
    <cellStyle name="20 % - Accent4 7 3 4" xfId="0"/>
    <cellStyle name="20 % - Accent4 7 3_RH et QS" xfId="0"/>
    <cellStyle name="20 % - Accent4 7 4" xfId="0"/>
    <cellStyle name="20 % - Accent4 7 4 2" xfId="0"/>
    <cellStyle name="20 % - Accent4 7 4 2 2" xfId="0"/>
    <cellStyle name="20 % - Accent4 7 4 3" xfId="0"/>
    <cellStyle name="20 % - Accent4 7 5" xfId="0"/>
    <cellStyle name="20 % - Accent4 7 5 2" xfId="0"/>
    <cellStyle name="20 % - Accent4 7 6" xfId="0"/>
    <cellStyle name="20 % - Accent4 7_RH et QS" xfId="0"/>
    <cellStyle name="20 % - Accent4 8" xfId="0"/>
    <cellStyle name="20 % - Accent4 8 2" xfId="0"/>
    <cellStyle name="20 % - Accent4 8 2 2" xfId="0"/>
    <cellStyle name="20 % - Accent4 8 2 2 2" xfId="0"/>
    <cellStyle name="20 % - Accent4 8 2 2 2 2" xfId="0"/>
    <cellStyle name="20 % - Accent4 8 2 2 3" xfId="0"/>
    <cellStyle name="20 % - Accent4 8 2 3" xfId="0"/>
    <cellStyle name="20 % - Accent4 8 2 3 2" xfId="0"/>
    <cellStyle name="20 % - Accent4 8 2 4" xfId="0"/>
    <cellStyle name="20 % - Accent4 8 2_RH et QS" xfId="0"/>
    <cellStyle name="20 % - Accent4 8 3" xfId="0"/>
    <cellStyle name="20 % - Accent4 8 3 2" xfId="0"/>
    <cellStyle name="20 % - Accent4 8 3 2 2" xfId="0"/>
    <cellStyle name="20 % - Accent4 8 3 2 2 2" xfId="0"/>
    <cellStyle name="20 % - Accent4 8 3 2 3" xfId="0"/>
    <cellStyle name="20 % - Accent4 8 3 3" xfId="0"/>
    <cellStyle name="20 % - Accent4 8 3 3 2" xfId="0"/>
    <cellStyle name="20 % - Accent4 8 3 4" xfId="0"/>
    <cellStyle name="20 % - Accent4 8 3_RH et QS" xfId="0"/>
    <cellStyle name="20 % - Accent4 8 4" xfId="0"/>
    <cellStyle name="20 % - Accent4 8 4 2" xfId="0"/>
    <cellStyle name="20 % - Accent4 8 4 2 2" xfId="0"/>
    <cellStyle name="20 % - Accent4 8 4 3" xfId="0"/>
    <cellStyle name="20 % - Accent4 8 5" xfId="0"/>
    <cellStyle name="20 % - Accent4 8 5 2" xfId="0"/>
    <cellStyle name="20 % - Accent4 8 6" xfId="0"/>
    <cellStyle name="20 % - Accent4 8_RH et QS" xfId="0"/>
    <cellStyle name="20 % - Accent4 9" xfId="0"/>
    <cellStyle name="20 % - Accent4 9 2" xfId="0"/>
    <cellStyle name="20 % - Accent4 9 2 2" xfId="0"/>
    <cellStyle name="20 % - Accent4 9 2 2 2" xfId="0"/>
    <cellStyle name="20 % - Accent4 9 2 2 2 2" xfId="0"/>
    <cellStyle name="20 % - Accent4 9 2 2 3" xfId="0"/>
    <cellStyle name="20 % - Accent4 9 2 3" xfId="0"/>
    <cellStyle name="20 % - Accent4 9 2 3 2" xfId="0"/>
    <cellStyle name="20 % - Accent4 9 2 4" xfId="0"/>
    <cellStyle name="20 % - Accent4 9 2_RH et QS" xfId="0"/>
    <cellStyle name="20 % - Accent4 9 3" xfId="0"/>
    <cellStyle name="20 % - Accent4 9 3 2" xfId="0"/>
    <cellStyle name="20 % - Accent4 9 3 2 2" xfId="0"/>
    <cellStyle name="20 % - Accent4 9 3 2 2 2" xfId="0"/>
    <cellStyle name="20 % - Accent4 9 3 2 3" xfId="0"/>
    <cellStyle name="20 % - Accent4 9 3 3" xfId="0"/>
    <cellStyle name="20 % - Accent4 9 3 3 2" xfId="0"/>
    <cellStyle name="20 % - Accent4 9 3 4" xfId="0"/>
    <cellStyle name="20 % - Accent4 9 3_RH et QS" xfId="0"/>
    <cellStyle name="20 % - Accent4 9 4" xfId="0"/>
    <cellStyle name="20 % - Accent4 9 4 2" xfId="0"/>
    <cellStyle name="20 % - Accent4 9 4 2 2" xfId="0"/>
    <cellStyle name="20 % - Accent4 9 4 3" xfId="0"/>
    <cellStyle name="20 % - Accent4 9 5" xfId="0"/>
    <cellStyle name="20 % - Accent4 9 5 2" xfId="0"/>
    <cellStyle name="20 % - Accent4 9 6" xfId="0"/>
    <cellStyle name="20 % - Accent4 9_RH et QS" xfId="0"/>
    <cellStyle name="20 % - Accent5 10" xfId="0"/>
    <cellStyle name="20 % - Accent5 10 2" xfId="0"/>
    <cellStyle name="20 % - Accent5 10 2 2" xfId="0"/>
    <cellStyle name="20 % - Accent5 10 2 2 2" xfId="0"/>
    <cellStyle name="20 % - Accent5 10 2 2 2 2" xfId="0"/>
    <cellStyle name="20 % - Accent5 10 2 2 3" xfId="0"/>
    <cellStyle name="20 % - Accent5 10 2 3" xfId="0"/>
    <cellStyle name="20 % - Accent5 10 2 3 2" xfId="0"/>
    <cellStyle name="20 % - Accent5 10 2 4" xfId="0"/>
    <cellStyle name="20 % - Accent5 10 2_RH et QS" xfId="0"/>
    <cellStyle name="20 % - Accent5 10 3" xfId="0"/>
    <cellStyle name="20 % - Accent5 10 3 2" xfId="0"/>
    <cellStyle name="20 % - Accent5 10 3 2 2" xfId="0"/>
    <cellStyle name="20 % - Accent5 10 3 2 2 2" xfId="0"/>
    <cellStyle name="20 % - Accent5 10 3 2 3" xfId="0"/>
    <cellStyle name="20 % - Accent5 10 3 3" xfId="0"/>
    <cellStyle name="20 % - Accent5 10 3 3 2" xfId="0"/>
    <cellStyle name="20 % - Accent5 10 3 4" xfId="0"/>
    <cellStyle name="20 % - Accent5 10 3_RH et QS" xfId="0"/>
    <cellStyle name="20 % - Accent5 10 4" xfId="0"/>
    <cellStyle name="20 % - Accent5 10 4 2" xfId="0"/>
    <cellStyle name="20 % - Accent5 10 4 2 2" xfId="0"/>
    <cellStyle name="20 % - Accent5 10 4 3" xfId="0"/>
    <cellStyle name="20 % - Accent5 10 5" xfId="0"/>
    <cellStyle name="20 % - Accent5 10 5 2" xfId="0"/>
    <cellStyle name="20 % - Accent5 10 6" xfId="0"/>
    <cellStyle name="20 % - Accent5 10_RH et QS" xfId="0"/>
    <cellStyle name="20 % - Accent5 11" xfId="0"/>
    <cellStyle name="20 % - Accent5 11 2" xfId="0"/>
    <cellStyle name="20 % - Accent5 11 2 2" xfId="0"/>
    <cellStyle name="20 % - Accent5 11 2 2 2" xfId="0"/>
    <cellStyle name="20 % - Accent5 11 2 3" xfId="0"/>
    <cellStyle name="20 % - Accent5 11 3" xfId="0"/>
    <cellStyle name="20 % - Accent5 11 3 2" xfId="0"/>
    <cellStyle name="20 % - Accent5 11 4" xfId="0"/>
    <cellStyle name="20 % - Accent5 11_RH et QS" xfId="0"/>
    <cellStyle name="20 % - Accent5 12" xfId="0"/>
    <cellStyle name="20 % - Accent5 12 2" xfId="0"/>
    <cellStyle name="20 % - Accent5 12 2 2" xfId="0"/>
    <cellStyle name="20 % - Accent5 12 2 2 2" xfId="0"/>
    <cellStyle name="20 % - Accent5 12 2 3" xfId="0"/>
    <cellStyle name="20 % - Accent5 12 3" xfId="0"/>
    <cellStyle name="20 % - Accent5 12 3 2" xfId="0"/>
    <cellStyle name="20 % - Accent5 12 4" xfId="0"/>
    <cellStyle name="20 % - Accent5 12_RH et QS" xfId="0"/>
    <cellStyle name="20 % - Accent5 13" xfId="0"/>
    <cellStyle name="20 % - Accent5 13 2" xfId="0"/>
    <cellStyle name="20 % - Accent5 13 2 2" xfId="0"/>
    <cellStyle name="20 % - Accent5 13 2 2 2" xfId="0"/>
    <cellStyle name="20 % - Accent5 13 2 3" xfId="0"/>
    <cellStyle name="20 % - Accent5 13 3" xfId="0"/>
    <cellStyle name="20 % - Accent5 13 3 2" xfId="0"/>
    <cellStyle name="20 % - Accent5 13 4" xfId="0"/>
    <cellStyle name="20 % - Accent5 13_RH et QS" xfId="0"/>
    <cellStyle name="20 % - Accent5 14" xfId="0"/>
    <cellStyle name="20 % - Accent5 14 2" xfId="0"/>
    <cellStyle name="20 % - Accent5 15" xfId="0"/>
    <cellStyle name="20 % - Accent5 2" xfId="0"/>
    <cellStyle name="20 % - Accent5 2 2" xfId="0"/>
    <cellStyle name="20 % - Accent5 2 2 2" xfId="0"/>
    <cellStyle name="20 % - Accent5 2 2_Parc Mobile" xfId="0"/>
    <cellStyle name="20 % - Accent5 2 3" xfId="0"/>
    <cellStyle name="20 % - Accent5 2 4" xfId="0"/>
    <cellStyle name="20 % - Accent5 2 5" xfId="0"/>
    <cellStyle name="20 % - Accent5 2_CA Fixe" xfId="0"/>
    <cellStyle name="20 % - Accent5 3" xfId="0"/>
    <cellStyle name="20 % - Accent5 3 2" xfId="0"/>
    <cellStyle name="20 % - Accent5 3 2 2" xfId="0"/>
    <cellStyle name="20 % - Accent5 3 2_Parc Mobile" xfId="0"/>
    <cellStyle name="20 % - Accent5 3 3" xfId="0"/>
    <cellStyle name="20 % - Accent5 3 4" xfId="0"/>
    <cellStyle name="20 % - Accent5 3 5" xfId="0"/>
    <cellStyle name="20 % - Accent5 3_CA Fixe" xfId="0"/>
    <cellStyle name="20 % - Accent5 4" xfId="0"/>
    <cellStyle name="20 % - Accent5 4 2" xfId="0"/>
    <cellStyle name="20 % - Accent5 4 2 2" xfId="0"/>
    <cellStyle name="20 % - Accent5 4 2_Parc Mobile" xfId="0"/>
    <cellStyle name="20 % - Accent5 4 3" xfId="0"/>
    <cellStyle name="20 % - Accent5 4 4" xfId="0"/>
    <cellStyle name="20 % - Accent5 4_CA Fixe" xfId="0"/>
    <cellStyle name="20 % - Accent5 5" xfId="0"/>
    <cellStyle name="20 % - Accent5 5 2" xfId="0"/>
    <cellStyle name="20 % - Accent5 6" xfId="0"/>
    <cellStyle name="20 % - Accent5 6 2" xfId="0"/>
    <cellStyle name="20 % - Accent5 7" xfId="0"/>
    <cellStyle name="20 % - Accent5 7 2" xfId="0"/>
    <cellStyle name="20 % - Accent5 7 2 2" xfId="0"/>
    <cellStyle name="20 % - Accent5 7 2 2 2" xfId="0"/>
    <cellStyle name="20 % - Accent5 7 2 2 2 2" xfId="0"/>
    <cellStyle name="20 % - Accent5 7 2 2 3" xfId="0"/>
    <cellStyle name="20 % - Accent5 7 2 3" xfId="0"/>
    <cellStyle name="20 % - Accent5 7 2 3 2" xfId="0"/>
    <cellStyle name="20 % - Accent5 7 2 4" xfId="0"/>
    <cellStyle name="20 % - Accent5 7 2_RH et QS" xfId="0"/>
    <cellStyle name="20 % - Accent5 7 3" xfId="0"/>
    <cellStyle name="20 % - Accent5 7 3 2" xfId="0"/>
    <cellStyle name="20 % - Accent5 7 3 2 2" xfId="0"/>
    <cellStyle name="20 % - Accent5 7 3 2 2 2" xfId="0"/>
    <cellStyle name="20 % - Accent5 7 3 2 3" xfId="0"/>
    <cellStyle name="20 % - Accent5 7 3 3" xfId="0"/>
    <cellStyle name="20 % - Accent5 7 3 3 2" xfId="0"/>
    <cellStyle name="20 % - Accent5 7 3 4" xfId="0"/>
    <cellStyle name="20 % - Accent5 7 3_RH et QS" xfId="0"/>
    <cellStyle name="20 % - Accent5 7 4" xfId="0"/>
    <cellStyle name="20 % - Accent5 7 4 2" xfId="0"/>
    <cellStyle name="20 % - Accent5 7 4 2 2" xfId="0"/>
    <cellStyle name="20 % - Accent5 7 4 3" xfId="0"/>
    <cellStyle name="20 % - Accent5 7 5" xfId="0"/>
    <cellStyle name="20 % - Accent5 7 5 2" xfId="0"/>
    <cellStyle name="20 % - Accent5 7 6" xfId="0"/>
    <cellStyle name="20 % - Accent5 7_RH et QS" xfId="0"/>
    <cellStyle name="20 % - Accent5 8" xfId="0"/>
    <cellStyle name="20 % - Accent5 8 2" xfId="0"/>
    <cellStyle name="20 % - Accent5 8 2 2" xfId="0"/>
    <cellStyle name="20 % - Accent5 8 2 2 2" xfId="0"/>
    <cellStyle name="20 % - Accent5 8 2 2 2 2" xfId="0"/>
    <cellStyle name="20 % - Accent5 8 2 2 3" xfId="0"/>
    <cellStyle name="20 % - Accent5 8 2 3" xfId="0"/>
    <cellStyle name="20 % - Accent5 8 2 3 2" xfId="0"/>
    <cellStyle name="20 % - Accent5 8 2 4" xfId="0"/>
    <cellStyle name="20 % - Accent5 8 2_RH et QS" xfId="0"/>
    <cellStyle name="20 % - Accent5 8 3" xfId="0"/>
    <cellStyle name="20 % - Accent5 8 3 2" xfId="0"/>
    <cellStyle name="20 % - Accent5 8 3 2 2" xfId="0"/>
    <cellStyle name="20 % - Accent5 8 3 2 2 2" xfId="0"/>
    <cellStyle name="20 % - Accent5 8 3 2 3" xfId="0"/>
    <cellStyle name="20 % - Accent5 8 3 3" xfId="0"/>
    <cellStyle name="20 % - Accent5 8 3 3 2" xfId="0"/>
    <cellStyle name="20 % - Accent5 8 3 4" xfId="0"/>
    <cellStyle name="20 % - Accent5 8 3_RH et QS" xfId="0"/>
    <cellStyle name="20 % - Accent5 8 4" xfId="0"/>
    <cellStyle name="20 % - Accent5 8 4 2" xfId="0"/>
    <cellStyle name="20 % - Accent5 8 4 2 2" xfId="0"/>
    <cellStyle name="20 % - Accent5 8 4 3" xfId="0"/>
    <cellStyle name="20 % - Accent5 8 5" xfId="0"/>
    <cellStyle name="20 % - Accent5 8 5 2" xfId="0"/>
    <cellStyle name="20 % - Accent5 8 6" xfId="0"/>
    <cellStyle name="20 % - Accent5 8_RH et QS" xfId="0"/>
    <cellStyle name="20 % - Accent5 9" xfId="0"/>
    <cellStyle name="20 % - Accent5 9 2" xfId="0"/>
    <cellStyle name="20 % - Accent5 9 2 2" xfId="0"/>
    <cellStyle name="20 % - Accent5 9 2 2 2" xfId="0"/>
    <cellStyle name="20 % - Accent5 9 2 2 2 2" xfId="0"/>
    <cellStyle name="20 % - Accent5 9 2 2 3" xfId="0"/>
    <cellStyle name="20 % - Accent5 9 2 3" xfId="0"/>
    <cellStyle name="20 % - Accent5 9 2 3 2" xfId="0"/>
    <cellStyle name="20 % - Accent5 9 2 4" xfId="0"/>
    <cellStyle name="20 % - Accent5 9 2_RH et QS" xfId="0"/>
    <cellStyle name="20 % - Accent5 9 3" xfId="0"/>
    <cellStyle name="20 % - Accent5 9 3 2" xfId="0"/>
    <cellStyle name="20 % - Accent5 9 3 2 2" xfId="0"/>
    <cellStyle name="20 % - Accent5 9 3 2 2 2" xfId="0"/>
    <cellStyle name="20 % - Accent5 9 3 2 3" xfId="0"/>
    <cellStyle name="20 % - Accent5 9 3 3" xfId="0"/>
    <cellStyle name="20 % - Accent5 9 3 3 2" xfId="0"/>
    <cellStyle name="20 % - Accent5 9 3 4" xfId="0"/>
    <cellStyle name="20 % - Accent5 9 3_RH et QS" xfId="0"/>
    <cellStyle name="20 % - Accent5 9 4" xfId="0"/>
    <cellStyle name="20 % - Accent5 9 4 2" xfId="0"/>
    <cellStyle name="20 % - Accent5 9 4 2 2" xfId="0"/>
    <cellStyle name="20 % - Accent5 9 4 3" xfId="0"/>
    <cellStyle name="20 % - Accent5 9 5" xfId="0"/>
    <cellStyle name="20 % - Accent5 9 5 2" xfId="0"/>
    <cellStyle name="20 % - Accent5 9 6" xfId="0"/>
    <cellStyle name="20 % - Accent5 9_RH et QS" xfId="0"/>
    <cellStyle name="20 % - Accent6 10" xfId="0"/>
    <cellStyle name="20 % - Accent6 10 2" xfId="0"/>
    <cellStyle name="20 % - Accent6 10 2 2" xfId="0"/>
    <cellStyle name="20 % - Accent6 10 2 2 2" xfId="0"/>
    <cellStyle name="20 % - Accent6 10 2 2 2 2" xfId="0"/>
    <cellStyle name="20 % - Accent6 10 2 2 3" xfId="0"/>
    <cellStyle name="20 % - Accent6 10 2 3" xfId="0"/>
    <cellStyle name="20 % - Accent6 10 2 3 2" xfId="0"/>
    <cellStyle name="20 % - Accent6 10 2 4" xfId="0"/>
    <cellStyle name="20 % - Accent6 10 2_RH et QS" xfId="0"/>
    <cellStyle name="20 % - Accent6 10 3" xfId="0"/>
    <cellStyle name="20 % - Accent6 10 3 2" xfId="0"/>
    <cellStyle name="20 % - Accent6 10 3 2 2" xfId="0"/>
    <cellStyle name="20 % - Accent6 10 3 2 2 2" xfId="0"/>
    <cellStyle name="20 % - Accent6 10 3 2 3" xfId="0"/>
    <cellStyle name="20 % - Accent6 10 3 3" xfId="0"/>
    <cellStyle name="20 % - Accent6 10 3 3 2" xfId="0"/>
    <cellStyle name="20 % - Accent6 10 3 4" xfId="0"/>
    <cellStyle name="20 % - Accent6 10 3_RH et QS" xfId="0"/>
    <cellStyle name="20 % - Accent6 10 4" xfId="0"/>
    <cellStyle name="20 % - Accent6 10 4 2" xfId="0"/>
    <cellStyle name="20 % - Accent6 10 4 2 2" xfId="0"/>
    <cellStyle name="20 % - Accent6 10 4 3" xfId="0"/>
    <cellStyle name="20 % - Accent6 10 5" xfId="0"/>
    <cellStyle name="20 % - Accent6 10 5 2" xfId="0"/>
    <cellStyle name="20 % - Accent6 10 6" xfId="0"/>
    <cellStyle name="20 % - Accent6 10_RH et QS" xfId="0"/>
    <cellStyle name="20 % - Accent6 11" xfId="0"/>
    <cellStyle name="20 % - Accent6 11 2" xfId="0"/>
    <cellStyle name="20 % - Accent6 11 2 2" xfId="0"/>
    <cellStyle name="20 % - Accent6 11 2 2 2" xfId="0"/>
    <cellStyle name="20 % - Accent6 11 2 3" xfId="0"/>
    <cellStyle name="20 % - Accent6 11 3" xfId="0"/>
    <cellStyle name="20 % - Accent6 11 3 2" xfId="0"/>
    <cellStyle name="20 % - Accent6 11 4" xfId="0"/>
    <cellStyle name="20 % - Accent6 11_RH et QS" xfId="0"/>
    <cellStyle name="20 % - Accent6 12" xfId="0"/>
    <cellStyle name="20 % - Accent6 12 2" xfId="0"/>
    <cellStyle name="20 % - Accent6 12 2 2" xfId="0"/>
    <cellStyle name="20 % - Accent6 12 2 2 2" xfId="0"/>
    <cellStyle name="20 % - Accent6 12 2 3" xfId="0"/>
    <cellStyle name="20 % - Accent6 12 3" xfId="0"/>
    <cellStyle name="20 % - Accent6 12 3 2" xfId="0"/>
    <cellStyle name="20 % - Accent6 12 4" xfId="0"/>
    <cellStyle name="20 % - Accent6 12_RH et QS" xfId="0"/>
    <cellStyle name="20 % - Accent6 13" xfId="0"/>
    <cellStyle name="20 % - Accent6 13 2" xfId="0"/>
    <cellStyle name="20 % - Accent6 13 2 2" xfId="0"/>
    <cellStyle name="20 % - Accent6 13 2 2 2" xfId="0"/>
    <cellStyle name="20 % - Accent6 13 2 3" xfId="0"/>
    <cellStyle name="20 % - Accent6 13 3" xfId="0"/>
    <cellStyle name="20 % - Accent6 13 3 2" xfId="0"/>
    <cellStyle name="20 % - Accent6 13 4" xfId="0"/>
    <cellStyle name="20 % - Accent6 13_RH et QS" xfId="0"/>
    <cellStyle name="20 % - Accent6 14" xfId="0"/>
    <cellStyle name="20 % - Accent6 14 2" xfId="0"/>
    <cellStyle name="20 % - Accent6 15" xfId="0"/>
    <cellStyle name="20 % - Accent6 2" xfId="0"/>
    <cellStyle name="20 % - Accent6 2 2" xfId="0"/>
    <cellStyle name="20 % - Accent6 2 2 2" xfId="0"/>
    <cellStyle name="20 % - Accent6 2 2 3" xfId="0"/>
    <cellStyle name="20 % - Accent6 2 2_Parc Mobile" xfId="0"/>
    <cellStyle name="20 % - Accent6 2 3" xfId="0"/>
    <cellStyle name="20 % - Accent6 2 4" xfId="0"/>
    <cellStyle name="20 % - Accent6 2 5" xfId="0"/>
    <cellStyle name="20 % - Accent6 2_CA Fixe" xfId="0"/>
    <cellStyle name="20 % - Accent6 3" xfId="0"/>
    <cellStyle name="20 % - Accent6 3 2" xfId="0"/>
    <cellStyle name="20 % - Accent6 3 2 2" xfId="0"/>
    <cellStyle name="20 % - Accent6 3 2_Parc Mobile" xfId="0"/>
    <cellStyle name="20 % - Accent6 3 3" xfId="0"/>
    <cellStyle name="20 % - Accent6 3 4" xfId="0"/>
    <cellStyle name="20 % - Accent6 3 5" xfId="0"/>
    <cellStyle name="20 % - Accent6 3_CA Fixe" xfId="0"/>
    <cellStyle name="20 % - Accent6 4" xfId="0"/>
    <cellStyle name="20 % - Accent6 4 2" xfId="0"/>
    <cellStyle name="20 % - Accent6 4 2 2" xfId="0"/>
    <cellStyle name="20 % - Accent6 4 2_Parc Mobile" xfId="0"/>
    <cellStyle name="20 % - Accent6 4 3" xfId="0"/>
    <cellStyle name="20 % - Accent6 4 4" xfId="0"/>
    <cellStyle name="20 % - Accent6 4 5" xfId="0"/>
    <cellStyle name="20 % - Accent6 4_CA Fixe" xfId="0"/>
    <cellStyle name="20 % - Accent6 5" xfId="0"/>
    <cellStyle name="20 % - Accent6 5 2" xfId="0"/>
    <cellStyle name="20 % - Accent6 6" xfId="0"/>
    <cellStyle name="20 % - Accent6 6 2" xfId="0"/>
    <cellStyle name="20 % - Accent6 7" xfId="0"/>
    <cellStyle name="20 % - Accent6 7 2" xfId="0"/>
    <cellStyle name="20 % - Accent6 7 2 2" xfId="0"/>
    <cellStyle name="20 % - Accent6 7 2 2 2" xfId="0"/>
    <cellStyle name="20 % - Accent6 7 2 2 2 2" xfId="0"/>
    <cellStyle name="20 % - Accent6 7 2 2 3" xfId="0"/>
    <cellStyle name="20 % - Accent6 7 2 3" xfId="0"/>
    <cellStyle name="20 % - Accent6 7 2 3 2" xfId="0"/>
    <cellStyle name="20 % - Accent6 7 2 4" xfId="0"/>
    <cellStyle name="20 % - Accent6 7 2_RH et QS" xfId="0"/>
    <cellStyle name="20 % - Accent6 7 3" xfId="0"/>
    <cellStyle name="20 % - Accent6 7 3 2" xfId="0"/>
    <cellStyle name="20 % - Accent6 7 3 2 2" xfId="0"/>
    <cellStyle name="20 % - Accent6 7 3 2 2 2" xfId="0"/>
    <cellStyle name="20 % - Accent6 7 3 2 3" xfId="0"/>
    <cellStyle name="20 % - Accent6 7 3 3" xfId="0"/>
    <cellStyle name="20 % - Accent6 7 3 3 2" xfId="0"/>
    <cellStyle name="20 % - Accent6 7 3 4" xfId="0"/>
    <cellStyle name="20 % - Accent6 7 3_RH et QS" xfId="0"/>
    <cellStyle name="20 % - Accent6 7 4" xfId="0"/>
    <cellStyle name="20 % - Accent6 7 4 2" xfId="0"/>
    <cellStyle name="20 % - Accent6 7 4 2 2" xfId="0"/>
    <cellStyle name="20 % - Accent6 7 4 3" xfId="0"/>
    <cellStyle name="20 % - Accent6 7 5" xfId="0"/>
    <cellStyle name="20 % - Accent6 7 5 2" xfId="0"/>
    <cellStyle name="20 % - Accent6 7 6" xfId="0"/>
    <cellStyle name="20 % - Accent6 7_RH et QS" xfId="0"/>
    <cellStyle name="20 % - Accent6 8" xfId="0"/>
    <cellStyle name="20 % - Accent6 8 2" xfId="0"/>
    <cellStyle name="20 % - Accent6 8 2 2" xfId="0"/>
    <cellStyle name="20 % - Accent6 8 2 2 2" xfId="0"/>
    <cellStyle name="20 % - Accent6 8 2 2 2 2" xfId="0"/>
    <cellStyle name="20 % - Accent6 8 2 2 3" xfId="0"/>
    <cellStyle name="20 % - Accent6 8 2 3" xfId="0"/>
    <cellStyle name="20 % - Accent6 8 2 3 2" xfId="0"/>
    <cellStyle name="20 % - Accent6 8 2 4" xfId="0"/>
    <cellStyle name="20 % - Accent6 8 2_RH et QS" xfId="0"/>
    <cellStyle name="20 % - Accent6 8 3" xfId="0"/>
    <cellStyle name="20 % - Accent6 8 3 2" xfId="0"/>
    <cellStyle name="20 % - Accent6 8 3 2 2" xfId="0"/>
    <cellStyle name="20 % - Accent6 8 3 2 2 2" xfId="0"/>
    <cellStyle name="20 % - Accent6 8 3 2 3" xfId="0"/>
    <cellStyle name="20 % - Accent6 8 3 3" xfId="0"/>
    <cellStyle name="20 % - Accent6 8 3 3 2" xfId="0"/>
    <cellStyle name="20 % - Accent6 8 3 4" xfId="0"/>
    <cellStyle name="20 % - Accent6 8 3_RH et QS" xfId="0"/>
    <cellStyle name="20 % - Accent6 8 4" xfId="0"/>
    <cellStyle name="20 % - Accent6 8 4 2" xfId="0"/>
    <cellStyle name="20 % - Accent6 8 4 2 2" xfId="0"/>
    <cellStyle name="20 % - Accent6 8 4 3" xfId="0"/>
    <cellStyle name="20 % - Accent6 8 5" xfId="0"/>
    <cellStyle name="20 % - Accent6 8 5 2" xfId="0"/>
    <cellStyle name="20 % - Accent6 8 6" xfId="0"/>
    <cellStyle name="20 % - Accent6 8_RH et QS" xfId="0"/>
    <cellStyle name="20 % - Accent6 9" xfId="0"/>
    <cellStyle name="20 % - Accent6 9 2" xfId="0"/>
    <cellStyle name="20 % - Accent6 9 2 2" xfId="0"/>
    <cellStyle name="20 % - Accent6 9 2 2 2" xfId="0"/>
    <cellStyle name="20 % - Accent6 9 2 2 2 2" xfId="0"/>
    <cellStyle name="20 % - Accent6 9 2 2 3" xfId="0"/>
    <cellStyle name="20 % - Accent6 9 2 3" xfId="0"/>
    <cellStyle name="20 % - Accent6 9 2 3 2" xfId="0"/>
    <cellStyle name="20 % - Accent6 9 2 4" xfId="0"/>
    <cellStyle name="20 % - Accent6 9 2_RH et QS" xfId="0"/>
    <cellStyle name="20 % - Accent6 9 3" xfId="0"/>
    <cellStyle name="20 % - Accent6 9 3 2" xfId="0"/>
    <cellStyle name="20 % - Accent6 9 3 2 2" xfId="0"/>
    <cellStyle name="20 % - Accent6 9 3 2 2 2" xfId="0"/>
    <cellStyle name="20 % - Accent6 9 3 2 3" xfId="0"/>
    <cellStyle name="20 % - Accent6 9 3 3" xfId="0"/>
    <cellStyle name="20 % - Accent6 9 3 3 2" xfId="0"/>
    <cellStyle name="20 % - Accent6 9 3 4" xfId="0"/>
    <cellStyle name="20 % - Accent6 9 3_RH et QS" xfId="0"/>
    <cellStyle name="20 % - Accent6 9 4" xfId="0"/>
    <cellStyle name="20 % - Accent6 9 4 2" xfId="0"/>
    <cellStyle name="20 % - Accent6 9 4 2 2" xfId="0"/>
    <cellStyle name="20 % - Accent6 9 4 3" xfId="0"/>
    <cellStyle name="20 % - Accent6 9 5" xfId="0"/>
    <cellStyle name="20 % - Accent6 9 5 2" xfId="0"/>
    <cellStyle name="20 % - Accent6 9 6" xfId="0"/>
    <cellStyle name="20 % - Accent6 9_RH et QS" xfId="0"/>
    <cellStyle name="40% - Accent1 10" xfId="0"/>
    <cellStyle name="40% - Accent1 10 2" xfId="0"/>
    <cellStyle name="40% - Accent1 10 2 2" xfId="0"/>
    <cellStyle name="40% - Accent1 10 2 2 2" xfId="0"/>
    <cellStyle name="40% - Accent1 10 2 3" xfId="0"/>
    <cellStyle name="40% - Accent1 10 3" xfId="0"/>
    <cellStyle name="40% - Accent1 10 3 2" xfId="0"/>
    <cellStyle name="40% - Accent1 10 4" xfId="0"/>
    <cellStyle name="40% - Accent1 10_RH et QS" xfId="0"/>
    <cellStyle name="40% - Accent1 11" xfId="0"/>
    <cellStyle name="40% - Accent1 11 2" xfId="0"/>
    <cellStyle name="40% - Accent1 11 2 2" xfId="0"/>
    <cellStyle name="40% - Accent1 11 2 2 2" xfId="0"/>
    <cellStyle name="40% - Accent1 11 2 3" xfId="0"/>
    <cellStyle name="40% - Accent1 11 3" xfId="0"/>
    <cellStyle name="40% - Accent1 11 3 2" xfId="0"/>
    <cellStyle name="40% - Accent1 11 4" xfId="0"/>
    <cellStyle name="40% - Accent1 11_RH et QS" xfId="0"/>
    <cellStyle name="40% - Accent1 12" xfId="0"/>
    <cellStyle name="40% - Accent1 12 2" xfId="0"/>
    <cellStyle name="40% - Accent1 12 2 2" xfId="0"/>
    <cellStyle name="40% - Accent1 12 2 2 2" xfId="0"/>
    <cellStyle name="40% - Accent1 12 2 3" xfId="0"/>
    <cellStyle name="40% - Accent1 12 3" xfId="0"/>
    <cellStyle name="40% - Accent1 12 3 2" xfId="0"/>
    <cellStyle name="40% - Accent1 12 4" xfId="0"/>
    <cellStyle name="40% - Accent1 12_RH et QS" xfId="0"/>
    <cellStyle name="40% - Accent1 13" xfId="0"/>
    <cellStyle name="40% - Accent1 13 2" xfId="0"/>
    <cellStyle name="40% - Accent1 13 2 2" xfId="0"/>
    <cellStyle name="40% - Accent1 13 2 2 2" xfId="0"/>
    <cellStyle name="40% - Accent1 13 2 3" xfId="0"/>
    <cellStyle name="40% - Accent1 13 3" xfId="0"/>
    <cellStyle name="40% - Accent1 13 3 2" xfId="0"/>
    <cellStyle name="40% - Accent1 13 4" xfId="0"/>
    <cellStyle name="40% - Accent1 13_RH et QS" xfId="0"/>
    <cellStyle name="40% - Accent1 14" xfId="0"/>
    <cellStyle name="40% - Accent1 14 2" xfId="0"/>
    <cellStyle name="40% - Accent1 14 2 2" xfId="0"/>
    <cellStyle name="40% - Accent1 14 2 2 2" xfId="0"/>
    <cellStyle name="40% - Accent1 14 2 3" xfId="0"/>
    <cellStyle name="40% - Accent1 14 3" xfId="0"/>
    <cellStyle name="40% - Accent1 14 3 2" xfId="0"/>
    <cellStyle name="40% - Accent1 14 4" xfId="0"/>
    <cellStyle name="40% - Accent1 14_RH et QS" xfId="0"/>
    <cellStyle name="40% - Accent1 15" xfId="0"/>
    <cellStyle name="40% - Accent1 15 2" xfId="0"/>
    <cellStyle name="40% - Accent1 15 2 2" xfId="0"/>
    <cellStyle name="40% - Accent1 15 2 2 2" xfId="0"/>
    <cellStyle name="40% - Accent1 15 2 3" xfId="0"/>
    <cellStyle name="40% - Accent1 15 3" xfId="0"/>
    <cellStyle name="40% - Accent1 15 3 2" xfId="0"/>
    <cellStyle name="40% - Accent1 15 4" xfId="0"/>
    <cellStyle name="40% - Accent1 15_RH et QS" xfId="0"/>
    <cellStyle name="40% - Accent1 16" xfId="0"/>
    <cellStyle name="40% - Accent1 16 2" xfId="0"/>
    <cellStyle name="40% - Accent1 16 2 2" xfId="0"/>
    <cellStyle name="40% - Accent1 16 2 2 2" xfId="0"/>
    <cellStyle name="40% - Accent1 16 2 3" xfId="0"/>
    <cellStyle name="40% - Accent1 16 3" xfId="0"/>
    <cellStyle name="40% - Accent1 16 3 2" xfId="0"/>
    <cellStyle name="40% - Accent1 16 4" xfId="0"/>
    <cellStyle name="40% - Accent1 16_RH et QS" xfId="0"/>
    <cellStyle name="40% - Accent1 17" xfId="0"/>
    <cellStyle name="40% - Accent1 17 2" xfId="0"/>
    <cellStyle name="40% - Accent1 17 2 2" xfId="0"/>
    <cellStyle name="40% - Accent1 17 2 2 2" xfId="0"/>
    <cellStyle name="40% - Accent1 17 2 3" xfId="0"/>
    <cellStyle name="40% - Accent1 17 3" xfId="0"/>
    <cellStyle name="40% - Accent1 17 3 2" xfId="0"/>
    <cellStyle name="40% - Accent1 17 4" xfId="0"/>
    <cellStyle name="40% - Accent1 17_RH et QS" xfId="0"/>
    <cellStyle name="40% - Accent1 18" xfId="0"/>
    <cellStyle name="40% - Accent1 18 2" xfId="0"/>
    <cellStyle name="40% - Accent1 18 2 2" xfId="0"/>
    <cellStyle name="40% - Accent1 18 2 2 2" xfId="0"/>
    <cellStyle name="40% - Accent1 18 2 3" xfId="0"/>
    <cellStyle name="40% - Accent1 18 3" xfId="0"/>
    <cellStyle name="40% - Accent1 18 3 2" xfId="0"/>
    <cellStyle name="40% - Accent1 18 4" xfId="0"/>
    <cellStyle name="40% - Accent1 18_RH et QS" xfId="0"/>
    <cellStyle name="40% - Accent1 19" xfId="0"/>
    <cellStyle name="40% - Accent1 19 2" xfId="0"/>
    <cellStyle name="40% - Accent1 19 2 2" xfId="0"/>
    <cellStyle name="40% - Accent1 19 2 2 2" xfId="0"/>
    <cellStyle name="40% - Accent1 19 2 3" xfId="0"/>
    <cellStyle name="40% - Accent1 19 3" xfId="0"/>
    <cellStyle name="40% - Accent1 19 3 2" xfId="0"/>
    <cellStyle name="40% - Accent1 19 4" xfId="0"/>
    <cellStyle name="40% - Accent1 19_RH et QS" xfId="0"/>
    <cellStyle name="40% - Accent1 2" xfId="0"/>
    <cellStyle name="40% - Accent1 2 2" xfId="0"/>
    <cellStyle name="40% - Accent1 2 2 2" xfId="0"/>
    <cellStyle name="40% - Accent1 2 2 2 2" xfId="0"/>
    <cellStyle name="40% - Accent1 2 2 3" xfId="0"/>
    <cellStyle name="40% - Accent1 2 3" xfId="0"/>
    <cellStyle name="40% - Accent1 2 3 2" xfId="0"/>
    <cellStyle name="40% - Accent1 2 4" xfId="0"/>
    <cellStyle name="40% - Accent1 20" xfId="0"/>
    <cellStyle name="40% - Accent1 20 2" xfId="0"/>
    <cellStyle name="40% - Accent1 20 2 2" xfId="0"/>
    <cellStyle name="40% - Accent1 20 2 2 2" xfId="0"/>
    <cellStyle name="40% - Accent1 20 2 3" xfId="0"/>
    <cellStyle name="40% - Accent1 20 3" xfId="0"/>
    <cellStyle name="40% - Accent1 20 3 2" xfId="0"/>
    <cellStyle name="40% - Accent1 20 4" xfId="0"/>
    <cellStyle name="40% - Accent1 20_RH et QS" xfId="0"/>
    <cellStyle name="40% - Accent1 21" xfId="0"/>
    <cellStyle name="40% - Accent1 21 2" xfId="0"/>
    <cellStyle name="40% - Accent1 21 2 2" xfId="0"/>
    <cellStyle name="40% - Accent1 21 2 2 2" xfId="0"/>
    <cellStyle name="40% - Accent1 21 2 3" xfId="0"/>
    <cellStyle name="40% - Accent1 21 3" xfId="0"/>
    <cellStyle name="40% - Accent1 21 3 2" xfId="0"/>
    <cellStyle name="40% - Accent1 21 4" xfId="0"/>
    <cellStyle name="40% - Accent1 21_RH et QS" xfId="0"/>
    <cellStyle name="40% - Accent1 22" xfId="0"/>
    <cellStyle name="40% - Accent1 22 2" xfId="0"/>
    <cellStyle name="40% - Accent1 22 2 2" xfId="0"/>
    <cellStyle name="40% - Accent1 22 2 2 2" xfId="0"/>
    <cellStyle name="40% - Accent1 22 2 3" xfId="0"/>
    <cellStyle name="40% - Accent1 22 3" xfId="0"/>
    <cellStyle name="40% - Accent1 22 3 2" xfId="0"/>
    <cellStyle name="40% - Accent1 22 4" xfId="0"/>
    <cellStyle name="40% - Accent1 22_RH et QS" xfId="0"/>
    <cellStyle name="40% - Accent1 23" xfId="0"/>
    <cellStyle name="40% - Accent1 23 2" xfId="0"/>
    <cellStyle name="40% - Accent1 23 2 2" xfId="0"/>
    <cellStyle name="40% - Accent1 23 2 2 2" xfId="0"/>
    <cellStyle name="40% - Accent1 23 2 3" xfId="0"/>
    <cellStyle name="40% - Accent1 23 3" xfId="0"/>
    <cellStyle name="40% - Accent1 23 3 2" xfId="0"/>
    <cellStyle name="40% - Accent1 23 4" xfId="0"/>
    <cellStyle name="40% - Accent1 23_RH et QS" xfId="0"/>
    <cellStyle name="40% - Accent1 24" xfId="0"/>
    <cellStyle name="40% - Accent1 24 2" xfId="0"/>
    <cellStyle name="40% - Accent1 24 2 2" xfId="0"/>
    <cellStyle name="40% - Accent1 24 2 2 2" xfId="0"/>
    <cellStyle name="40% - Accent1 24 2 3" xfId="0"/>
    <cellStyle name="40% - Accent1 24 3" xfId="0"/>
    <cellStyle name="40% - Accent1 24 3 2" xfId="0"/>
    <cellStyle name="40% - Accent1 24 4" xfId="0"/>
    <cellStyle name="40% - Accent1 24_RH et QS" xfId="0"/>
    <cellStyle name="40% - Accent1 25" xfId="0"/>
    <cellStyle name="40% - Accent1 25 2" xfId="0"/>
    <cellStyle name="40% - Accent1 25 2 2" xfId="0"/>
    <cellStyle name="40% - Accent1 25 2 2 2" xfId="0"/>
    <cellStyle name="40% - Accent1 25 2 3" xfId="0"/>
    <cellStyle name="40% - Accent1 25 3" xfId="0"/>
    <cellStyle name="40% - Accent1 25 3 2" xfId="0"/>
    <cellStyle name="40% - Accent1 25 4" xfId="0"/>
    <cellStyle name="40% - Accent1 25_RH et QS" xfId="0"/>
    <cellStyle name="40% - Accent1 26" xfId="0"/>
    <cellStyle name="40% - Accent1 26 2" xfId="0"/>
    <cellStyle name="40% - Accent1 26 2 2" xfId="0"/>
    <cellStyle name="40% - Accent1 26 2 2 2" xfId="0"/>
    <cellStyle name="40% - Accent1 26 2 3" xfId="0"/>
    <cellStyle name="40% - Accent1 26 3" xfId="0"/>
    <cellStyle name="40% - Accent1 26 3 2" xfId="0"/>
    <cellStyle name="40% - Accent1 26 4" xfId="0"/>
    <cellStyle name="40% - Accent1 26_RH et QS" xfId="0"/>
    <cellStyle name="40% - Accent1 27" xfId="0"/>
    <cellStyle name="40% - Accent1 27 2" xfId="0"/>
    <cellStyle name="40% - Accent1 27 2 2" xfId="0"/>
    <cellStyle name="40% - Accent1 27 2 2 2" xfId="0"/>
    <cellStyle name="40% - Accent1 27 2 3" xfId="0"/>
    <cellStyle name="40% - Accent1 27 3" xfId="0"/>
    <cellStyle name="40% - Accent1 27 3 2" xfId="0"/>
    <cellStyle name="40% - Accent1 27 4" xfId="0"/>
    <cellStyle name="40% - Accent1 27_RH et QS" xfId="0"/>
    <cellStyle name="40% - Accent1 28" xfId="0"/>
    <cellStyle name="40% - Accent1 28 2" xfId="0"/>
    <cellStyle name="40% - Accent1 28 2 2" xfId="0"/>
    <cellStyle name="40% - Accent1 28 2 2 2" xfId="0"/>
    <cellStyle name="40% - Accent1 28 2 3" xfId="0"/>
    <cellStyle name="40% - Accent1 28 3" xfId="0"/>
    <cellStyle name="40% - Accent1 28 3 2" xfId="0"/>
    <cellStyle name="40% - Accent1 28 4" xfId="0"/>
    <cellStyle name="40% - Accent1 28_RH et QS" xfId="0"/>
    <cellStyle name="40% - Accent1 2_RH et QS" xfId="0"/>
    <cellStyle name="40% - Accent1 3" xfId="0"/>
    <cellStyle name="40% - Accent1 3 2" xfId="0"/>
    <cellStyle name="40% - Accent1 3 2 2" xfId="0"/>
    <cellStyle name="40% - Accent1 3 2 2 2" xfId="0"/>
    <cellStyle name="40% - Accent1 3 2 3" xfId="0"/>
    <cellStyle name="40% - Accent1 3 3" xfId="0"/>
    <cellStyle name="40% - Accent1 3 3 2" xfId="0"/>
    <cellStyle name="40% - Accent1 3 4" xfId="0"/>
    <cellStyle name="40% - Accent1 3_RH et QS" xfId="0"/>
    <cellStyle name="40% - Accent1 4" xfId="0"/>
    <cellStyle name="40% - Accent1 4 2" xfId="0"/>
    <cellStyle name="40% - Accent1 4 2 2" xfId="0"/>
    <cellStyle name="40% - Accent1 4 2 2 2" xfId="0"/>
    <cellStyle name="40% - Accent1 4 2 3" xfId="0"/>
    <cellStyle name="40% - Accent1 4 3" xfId="0"/>
    <cellStyle name="40% - Accent1 4 3 2" xfId="0"/>
    <cellStyle name="40% - Accent1 4 4" xfId="0"/>
    <cellStyle name="40% - Accent1 4_RH et QS" xfId="0"/>
    <cellStyle name="40% - Accent1 5" xfId="0"/>
    <cellStyle name="40% - Accent1 5 2" xfId="0"/>
    <cellStyle name="40% - Accent1 5 2 2" xfId="0"/>
    <cellStyle name="40% - Accent1 5 2 2 2" xfId="0"/>
    <cellStyle name="40% - Accent1 5 2 3" xfId="0"/>
    <cellStyle name="40% - Accent1 5 3" xfId="0"/>
    <cellStyle name="40% - Accent1 5 3 2" xfId="0"/>
    <cellStyle name="40% - Accent1 5 4" xfId="0"/>
    <cellStyle name="40% - Accent1 5_RH et QS" xfId="0"/>
    <cellStyle name="40% - Accent1 6" xfId="0"/>
    <cellStyle name="40% - Accent1 6 2" xfId="0"/>
    <cellStyle name="40% - Accent1 6 2 2" xfId="0"/>
    <cellStyle name="40% - Accent1 6 2 2 2" xfId="0"/>
    <cellStyle name="40% - Accent1 6 2 3" xfId="0"/>
    <cellStyle name="40% - Accent1 6 3" xfId="0"/>
    <cellStyle name="40% - Accent1 6 3 2" xfId="0"/>
    <cellStyle name="40% - Accent1 6 4" xfId="0"/>
    <cellStyle name="40% - Accent1 6_RH et QS" xfId="0"/>
    <cellStyle name="40% - Accent1 7" xfId="0"/>
    <cellStyle name="40% - Accent1 7 2" xfId="0"/>
    <cellStyle name="40% - Accent1 7 2 2" xfId="0"/>
    <cellStyle name="40% - Accent1 7 2 2 2" xfId="0"/>
    <cellStyle name="40% - Accent1 7 2 3" xfId="0"/>
    <cellStyle name="40% - Accent1 7 3" xfId="0"/>
    <cellStyle name="40% - Accent1 7 3 2" xfId="0"/>
    <cellStyle name="40% - Accent1 7 4" xfId="0"/>
    <cellStyle name="40% - Accent1 7_RH et QS" xfId="0"/>
    <cellStyle name="40% - Accent1 8" xfId="0"/>
    <cellStyle name="40% - Accent1 8 2" xfId="0"/>
    <cellStyle name="40% - Accent1 8 2 2" xfId="0"/>
    <cellStyle name="40% - Accent1 8 2 2 2" xfId="0"/>
    <cellStyle name="40% - Accent1 8 2 3" xfId="0"/>
    <cellStyle name="40% - Accent1 8 3" xfId="0"/>
    <cellStyle name="40% - Accent1 8 3 2" xfId="0"/>
    <cellStyle name="40% - Accent1 8 4" xfId="0"/>
    <cellStyle name="40% - Accent1 8_RH et QS" xfId="0"/>
    <cellStyle name="40% - Accent1 9" xfId="0"/>
    <cellStyle name="40% - Accent1 9 2" xfId="0"/>
    <cellStyle name="40% - Accent1 9 2 2" xfId="0"/>
    <cellStyle name="40% - Accent1 9 2 2 2" xfId="0"/>
    <cellStyle name="40% - Accent1 9 2 3" xfId="0"/>
    <cellStyle name="40% - Accent1 9 3" xfId="0"/>
    <cellStyle name="40% - Accent1 9 3 2" xfId="0"/>
    <cellStyle name="40% - Accent1 9 4" xfId="0"/>
    <cellStyle name="40% - Accent1 9_RH et QS" xfId="0"/>
    <cellStyle name="40% - Accent2 10" xfId="0"/>
    <cellStyle name="40% - Accent2 10 2" xfId="0"/>
    <cellStyle name="40% - Accent2 10 2 2" xfId="0"/>
    <cellStyle name="40% - Accent2 10 2 2 2" xfId="0"/>
    <cellStyle name="40% - Accent2 10 2 3" xfId="0"/>
    <cellStyle name="40% - Accent2 10 3" xfId="0"/>
    <cellStyle name="40% - Accent2 10 3 2" xfId="0"/>
    <cellStyle name="40% - Accent2 10 4" xfId="0"/>
    <cellStyle name="40% - Accent2 10_RH et QS" xfId="0"/>
    <cellStyle name="40% - Accent2 11" xfId="0"/>
    <cellStyle name="40% - Accent2 11 2" xfId="0"/>
    <cellStyle name="40% - Accent2 11 2 2" xfId="0"/>
    <cellStyle name="40% - Accent2 11 2 2 2" xfId="0"/>
    <cellStyle name="40% - Accent2 11 2 3" xfId="0"/>
    <cellStyle name="40% - Accent2 11 3" xfId="0"/>
    <cellStyle name="40% - Accent2 11 3 2" xfId="0"/>
    <cellStyle name="40% - Accent2 11 4" xfId="0"/>
    <cellStyle name="40% - Accent2 11_RH et QS" xfId="0"/>
    <cellStyle name="40% - Accent2 12" xfId="0"/>
    <cellStyle name="40% - Accent2 12 2" xfId="0"/>
    <cellStyle name="40% - Accent2 12 2 2" xfId="0"/>
    <cellStyle name="40% - Accent2 12 2 2 2" xfId="0"/>
    <cellStyle name="40% - Accent2 12 2 3" xfId="0"/>
    <cellStyle name="40% - Accent2 12 3" xfId="0"/>
    <cellStyle name="40% - Accent2 12 3 2" xfId="0"/>
    <cellStyle name="40% - Accent2 12 4" xfId="0"/>
    <cellStyle name="40% - Accent2 12_RH et QS" xfId="0"/>
    <cellStyle name="40% - Accent2 13" xfId="0"/>
    <cellStyle name="40% - Accent2 13 2" xfId="0"/>
    <cellStyle name="40% - Accent2 13 2 2" xfId="0"/>
    <cellStyle name="40% - Accent2 13 2 2 2" xfId="0"/>
    <cellStyle name="40% - Accent2 13 2 3" xfId="0"/>
    <cellStyle name="40% - Accent2 13 3" xfId="0"/>
    <cellStyle name="40% - Accent2 13 3 2" xfId="0"/>
    <cellStyle name="40% - Accent2 13 4" xfId="0"/>
    <cellStyle name="40% - Accent2 13_RH et QS" xfId="0"/>
    <cellStyle name="40% - Accent2 14" xfId="0"/>
    <cellStyle name="40% - Accent2 14 2" xfId="0"/>
    <cellStyle name="40% - Accent2 14 2 2" xfId="0"/>
    <cellStyle name="40% - Accent2 14 2 2 2" xfId="0"/>
    <cellStyle name="40% - Accent2 14 2 3" xfId="0"/>
    <cellStyle name="40% - Accent2 14 3" xfId="0"/>
    <cellStyle name="40% - Accent2 14 3 2" xfId="0"/>
    <cellStyle name="40% - Accent2 14 4" xfId="0"/>
    <cellStyle name="40% - Accent2 14_RH et QS" xfId="0"/>
    <cellStyle name="40% - Accent2 15" xfId="0"/>
    <cellStyle name="40% - Accent2 15 2" xfId="0"/>
    <cellStyle name="40% - Accent2 15 2 2" xfId="0"/>
    <cellStyle name="40% - Accent2 15 2 2 2" xfId="0"/>
    <cellStyle name="40% - Accent2 15 2 3" xfId="0"/>
    <cellStyle name="40% - Accent2 15 3" xfId="0"/>
    <cellStyle name="40% - Accent2 15 3 2" xfId="0"/>
    <cellStyle name="40% - Accent2 15 4" xfId="0"/>
    <cellStyle name="40% - Accent2 15_RH et QS" xfId="0"/>
    <cellStyle name="40% - Accent2 16" xfId="0"/>
    <cellStyle name="40% - Accent2 16 2" xfId="0"/>
    <cellStyle name="40% - Accent2 16 2 2" xfId="0"/>
    <cellStyle name="40% - Accent2 16 2 2 2" xfId="0"/>
    <cellStyle name="40% - Accent2 16 2 3" xfId="0"/>
    <cellStyle name="40% - Accent2 16 3" xfId="0"/>
    <cellStyle name="40% - Accent2 16 3 2" xfId="0"/>
    <cellStyle name="40% - Accent2 16 4" xfId="0"/>
    <cellStyle name="40% - Accent2 16_RH et QS" xfId="0"/>
    <cellStyle name="40% - Accent2 17" xfId="0"/>
    <cellStyle name="40% - Accent2 17 2" xfId="0"/>
    <cellStyle name="40% - Accent2 17 2 2" xfId="0"/>
    <cellStyle name="40% - Accent2 17 2 2 2" xfId="0"/>
    <cellStyle name="40% - Accent2 17 2 3" xfId="0"/>
    <cellStyle name="40% - Accent2 17 3" xfId="0"/>
    <cellStyle name="40% - Accent2 17 3 2" xfId="0"/>
    <cellStyle name="40% - Accent2 17 4" xfId="0"/>
    <cellStyle name="40% - Accent2 17_RH et QS" xfId="0"/>
    <cellStyle name="40% - Accent2 18" xfId="0"/>
    <cellStyle name="40% - Accent2 18 2" xfId="0"/>
    <cellStyle name="40% - Accent2 18 2 2" xfId="0"/>
    <cellStyle name="40% - Accent2 18 2 2 2" xfId="0"/>
    <cellStyle name="40% - Accent2 18 2 3" xfId="0"/>
    <cellStyle name="40% - Accent2 18 3" xfId="0"/>
    <cellStyle name="40% - Accent2 18 3 2" xfId="0"/>
    <cellStyle name="40% - Accent2 18 4" xfId="0"/>
    <cellStyle name="40% - Accent2 18_RH et QS" xfId="0"/>
    <cellStyle name="40% - Accent2 19" xfId="0"/>
    <cellStyle name="40% - Accent2 19 2" xfId="0"/>
    <cellStyle name="40% - Accent2 19 2 2" xfId="0"/>
    <cellStyle name="40% - Accent2 19 2 2 2" xfId="0"/>
    <cellStyle name="40% - Accent2 19 2 3" xfId="0"/>
    <cellStyle name="40% - Accent2 19 3" xfId="0"/>
    <cellStyle name="40% - Accent2 19 3 2" xfId="0"/>
    <cellStyle name="40% - Accent2 19 4" xfId="0"/>
    <cellStyle name="40% - Accent2 19_RH et QS" xfId="0"/>
    <cellStyle name="40% - Accent2 2" xfId="0"/>
    <cellStyle name="40% - Accent2 2 2" xfId="0"/>
    <cellStyle name="40% - Accent2 2 2 2" xfId="0"/>
    <cellStyle name="40% - Accent2 2 2 2 2" xfId="0"/>
    <cellStyle name="40% - Accent2 2 2 3" xfId="0"/>
    <cellStyle name="40% - Accent2 2 3" xfId="0"/>
    <cellStyle name="40% - Accent2 2 3 2" xfId="0"/>
    <cellStyle name="40% - Accent2 2 4" xfId="0"/>
    <cellStyle name="40% - Accent2 20" xfId="0"/>
    <cellStyle name="40% - Accent2 20 2" xfId="0"/>
    <cellStyle name="40% - Accent2 20 2 2" xfId="0"/>
    <cellStyle name="40% - Accent2 20 2 2 2" xfId="0"/>
    <cellStyle name="40% - Accent2 20 2 3" xfId="0"/>
    <cellStyle name="40% - Accent2 20 3" xfId="0"/>
    <cellStyle name="40% - Accent2 20 3 2" xfId="0"/>
    <cellStyle name="40% - Accent2 20 4" xfId="0"/>
    <cellStyle name="40% - Accent2 20_RH et QS" xfId="0"/>
    <cellStyle name="40% - Accent2 21" xfId="0"/>
    <cellStyle name="40% - Accent2 21 2" xfId="0"/>
    <cellStyle name="40% - Accent2 21 2 2" xfId="0"/>
    <cellStyle name="40% - Accent2 21 2 2 2" xfId="0"/>
    <cellStyle name="40% - Accent2 21 2 3" xfId="0"/>
    <cellStyle name="40% - Accent2 21 3" xfId="0"/>
    <cellStyle name="40% - Accent2 21 3 2" xfId="0"/>
    <cellStyle name="40% - Accent2 21 4" xfId="0"/>
    <cellStyle name="40% - Accent2 21_RH et QS" xfId="0"/>
    <cellStyle name="40% - Accent2 22" xfId="0"/>
    <cellStyle name="40% - Accent2 22 2" xfId="0"/>
    <cellStyle name="40% - Accent2 22 2 2" xfId="0"/>
    <cellStyle name="40% - Accent2 22 2 2 2" xfId="0"/>
    <cellStyle name="40% - Accent2 22 2 3" xfId="0"/>
    <cellStyle name="40% - Accent2 22 3" xfId="0"/>
    <cellStyle name="40% - Accent2 22 3 2" xfId="0"/>
    <cellStyle name="40% - Accent2 22 4" xfId="0"/>
    <cellStyle name="40% - Accent2 22_RH et QS" xfId="0"/>
    <cellStyle name="40% - Accent2 23" xfId="0"/>
    <cellStyle name="40% - Accent2 23 2" xfId="0"/>
    <cellStyle name="40% - Accent2 23 2 2" xfId="0"/>
    <cellStyle name="40% - Accent2 23 2 2 2" xfId="0"/>
    <cellStyle name="40% - Accent2 23 2 3" xfId="0"/>
    <cellStyle name="40% - Accent2 23 3" xfId="0"/>
    <cellStyle name="40% - Accent2 23 3 2" xfId="0"/>
    <cellStyle name="40% - Accent2 23 4" xfId="0"/>
    <cellStyle name="40% - Accent2 23_RH et QS" xfId="0"/>
    <cellStyle name="40% - Accent2 24" xfId="0"/>
    <cellStyle name="40% - Accent2 24 2" xfId="0"/>
    <cellStyle name="40% - Accent2 24 2 2" xfId="0"/>
    <cellStyle name="40% - Accent2 24 2 2 2" xfId="0"/>
    <cellStyle name="40% - Accent2 24 2 3" xfId="0"/>
    <cellStyle name="40% - Accent2 24 3" xfId="0"/>
    <cellStyle name="40% - Accent2 24 3 2" xfId="0"/>
    <cellStyle name="40% - Accent2 24 4" xfId="0"/>
    <cellStyle name="40% - Accent2 24_RH et QS" xfId="0"/>
    <cellStyle name="40% - Accent2 25" xfId="0"/>
    <cellStyle name="40% - Accent2 25 2" xfId="0"/>
    <cellStyle name="40% - Accent2 25 2 2" xfId="0"/>
    <cellStyle name="40% - Accent2 25 2 2 2" xfId="0"/>
    <cellStyle name="40% - Accent2 25 2 3" xfId="0"/>
    <cellStyle name="40% - Accent2 25 3" xfId="0"/>
    <cellStyle name="40% - Accent2 25 3 2" xfId="0"/>
    <cellStyle name="40% - Accent2 25 4" xfId="0"/>
    <cellStyle name="40% - Accent2 25_RH et QS" xfId="0"/>
    <cellStyle name="40% - Accent2 26" xfId="0"/>
    <cellStyle name="40% - Accent2 26 2" xfId="0"/>
    <cellStyle name="40% - Accent2 26 2 2" xfId="0"/>
    <cellStyle name="40% - Accent2 26 2 2 2" xfId="0"/>
    <cellStyle name="40% - Accent2 26 2 3" xfId="0"/>
    <cellStyle name="40% - Accent2 26 3" xfId="0"/>
    <cellStyle name="40% - Accent2 26 3 2" xfId="0"/>
    <cellStyle name="40% - Accent2 26 4" xfId="0"/>
    <cellStyle name="40% - Accent2 26_RH et QS" xfId="0"/>
    <cellStyle name="40% - Accent2 27" xfId="0"/>
    <cellStyle name="40% - Accent2 27 2" xfId="0"/>
    <cellStyle name="40% - Accent2 27 2 2" xfId="0"/>
    <cellStyle name="40% - Accent2 27 2 2 2" xfId="0"/>
    <cellStyle name="40% - Accent2 27 2 3" xfId="0"/>
    <cellStyle name="40% - Accent2 27 3" xfId="0"/>
    <cellStyle name="40% - Accent2 27 3 2" xfId="0"/>
    <cellStyle name="40% - Accent2 27 4" xfId="0"/>
    <cellStyle name="40% - Accent2 27_RH et QS" xfId="0"/>
    <cellStyle name="40% - Accent2 28" xfId="0"/>
    <cellStyle name="40% - Accent2 28 2" xfId="0"/>
    <cellStyle name="40% - Accent2 28 2 2" xfId="0"/>
    <cellStyle name="40% - Accent2 28 2 2 2" xfId="0"/>
    <cellStyle name="40% - Accent2 28 2 3" xfId="0"/>
    <cellStyle name="40% - Accent2 28 3" xfId="0"/>
    <cellStyle name="40% - Accent2 28 3 2" xfId="0"/>
    <cellStyle name="40% - Accent2 28 4" xfId="0"/>
    <cellStyle name="40% - Accent2 28_RH et QS" xfId="0"/>
    <cellStyle name="40% - Accent2 2_RH et QS" xfId="0"/>
    <cellStyle name="40% - Accent2 3" xfId="0"/>
    <cellStyle name="40% - Accent2 3 2" xfId="0"/>
    <cellStyle name="40% - Accent2 3 2 2" xfId="0"/>
    <cellStyle name="40% - Accent2 3 2 2 2" xfId="0"/>
    <cellStyle name="40% - Accent2 3 2 3" xfId="0"/>
    <cellStyle name="40% - Accent2 3 3" xfId="0"/>
    <cellStyle name="40% - Accent2 3 3 2" xfId="0"/>
    <cellStyle name="40% - Accent2 3 4" xfId="0"/>
    <cellStyle name="40% - Accent2 3_RH et QS" xfId="0"/>
    <cellStyle name="40% - Accent2 4" xfId="0"/>
    <cellStyle name="40% - Accent2 4 2" xfId="0"/>
    <cellStyle name="40% - Accent2 4 2 2" xfId="0"/>
    <cellStyle name="40% - Accent2 4 2 2 2" xfId="0"/>
    <cellStyle name="40% - Accent2 4 2 3" xfId="0"/>
    <cellStyle name="40% - Accent2 4 3" xfId="0"/>
    <cellStyle name="40% - Accent2 4 3 2" xfId="0"/>
    <cellStyle name="40% - Accent2 4 4" xfId="0"/>
    <cellStyle name="40% - Accent2 4_RH et QS" xfId="0"/>
    <cellStyle name="40% - Accent2 5" xfId="0"/>
    <cellStyle name="40% - Accent2 5 2" xfId="0"/>
    <cellStyle name="40% - Accent2 5 2 2" xfId="0"/>
    <cellStyle name="40% - Accent2 5 2 2 2" xfId="0"/>
    <cellStyle name="40% - Accent2 5 2 3" xfId="0"/>
    <cellStyle name="40% - Accent2 5 3" xfId="0"/>
    <cellStyle name="40% - Accent2 5 3 2" xfId="0"/>
    <cellStyle name="40% - Accent2 5 4" xfId="0"/>
    <cellStyle name="40% - Accent2 5_RH et QS" xfId="0"/>
    <cellStyle name="40% - Accent2 6" xfId="0"/>
    <cellStyle name="40% - Accent2 6 2" xfId="0"/>
    <cellStyle name="40% - Accent2 6 2 2" xfId="0"/>
    <cellStyle name="40% - Accent2 6 2 2 2" xfId="0"/>
    <cellStyle name="40% - Accent2 6 2 3" xfId="0"/>
    <cellStyle name="40% - Accent2 6 3" xfId="0"/>
    <cellStyle name="40% - Accent2 6 3 2" xfId="0"/>
    <cellStyle name="40% - Accent2 6 4" xfId="0"/>
    <cellStyle name="40% - Accent2 6_RH et QS" xfId="0"/>
    <cellStyle name="40% - Accent2 7" xfId="0"/>
    <cellStyle name="40% - Accent2 7 2" xfId="0"/>
    <cellStyle name="40% - Accent2 7 2 2" xfId="0"/>
    <cellStyle name="40% - Accent2 7 2 2 2" xfId="0"/>
    <cellStyle name="40% - Accent2 7 2 3" xfId="0"/>
    <cellStyle name="40% - Accent2 7 3" xfId="0"/>
    <cellStyle name="40% - Accent2 7 3 2" xfId="0"/>
    <cellStyle name="40% - Accent2 7 4" xfId="0"/>
    <cellStyle name="40% - Accent2 7_RH et QS" xfId="0"/>
    <cellStyle name="40% - Accent2 8" xfId="0"/>
    <cellStyle name="40% - Accent2 8 2" xfId="0"/>
    <cellStyle name="40% - Accent2 8 2 2" xfId="0"/>
    <cellStyle name="40% - Accent2 8 2 2 2" xfId="0"/>
    <cellStyle name="40% - Accent2 8 2 3" xfId="0"/>
    <cellStyle name="40% - Accent2 8 3" xfId="0"/>
    <cellStyle name="40% - Accent2 8 3 2" xfId="0"/>
    <cellStyle name="40% - Accent2 8 4" xfId="0"/>
    <cellStyle name="40% - Accent2 8_RH et QS" xfId="0"/>
    <cellStyle name="40% - Accent2 9" xfId="0"/>
    <cellStyle name="40% - Accent2 9 2" xfId="0"/>
    <cellStyle name="40% - Accent2 9 2 2" xfId="0"/>
    <cellStyle name="40% - Accent2 9 2 2 2" xfId="0"/>
    <cellStyle name="40% - Accent2 9 2 3" xfId="0"/>
    <cellStyle name="40% - Accent2 9 3" xfId="0"/>
    <cellStyle name="40% - Accent2 9 3 2" xfId="0"/>
    <cellStyle name="40% - Accent2 9 4" xfId="0"/>
    <cellStyle name="40% - Accent2 9_RH et QS" xfId="0"/>
    <cellStyle name="40% - Accent3 10" xfId="0"/>
    <cellStyle name="40% - Accent3 10 2" xfId="0"/>
    <cellStyle name="40% - Accent3 10 2 2" xfId="0"/>
    <cellStyle name="40% - Accent3 10 2 2 2" xfId="0"/>
    <cellStyle name="40% - Accent3 10 2 3" xfId="0"/>
    <cellStyle name="40% - Accent3 10 3" xfId="0"/>
    <cellStyle name="40% - Accent3 10 3 2" xfId="0"/>
    <cellStyle name="40% - Accent3 10 4" xfId="0"/>
    <cellStyle name="40% - Accent3 10_RH et QS" xfId="0"/>
    <cellStyle name="40% - Accent3 11" xfId="0"/>
    <cellStyle name="40% - Accent3 11 2" xfId="0"/>
    <cellStyle name="40% - Accent3 11 2 2" xfId="0"/>
    <cellStyle name="40% - Accent3 11 2 2 2" xfId="0"/>
    <cellStyle name="40% - Accent3 11 2 3" xfId="0"/>
    <cellStyle name="40% - Accent3 11 3" xfId="0"/>
    <cellStyle name="40% - Accent3 11 3 2" xfId="0"/>
    <cellStyle name="40% - Accent3 11 4" xfId="0"/>
    <cellStyle name="40% - Accent3 11_RH et QS" xfId="0"/>
    <cellStyle name="40% - Accent3 12" xfId="0"/>
    <cellStyle name="40% - Accent3 12 2" xfId="0"/>
    <cellStyle name="40% - Accent3 12 2 2" xfId="0"/>
    <cellStyle name="40% - Accent3 12 2 2 2" xfId="0"/>
    <cellStyle name="40% - Accent3 12 2 3" xfId="0"/>
    <cellStyle name="40% - Accent3 12 3" xfId="0"/>
    <cellStyle name="40% - Accent3 12 3 2" xfId="0"/>
    <cellStyle name="40% - Accent3 12 4" xfId="0"/>
    <cellStyle name="40% - Accent3 12_RH et QS" xfId="0"/>
    <cellStyle name="40% - Accent3 13" xfId="0"/>
    <cellStyle name="40% - Accent3 13 2" xfId="0"/>
    <cellStyle name="40% - Accent3 13 2 2" xfId="0"/>
    <cellStyle name="40% - Accent3 13 2 2 2" xfId="0"/>
    <cellStyle name="40% - Accent3 13 2 3" xfId="0"/>
    <cellStyle name="40% - Accent3 13 3" xfId="0"/>
    <cellStyle name="40% - Accent3 13 3 2" xfId="0"/>
    <cellStyle name="40% - Accent3 13 4" xfId="0"/>
    <cellStyle name="40% - Accent3 13_RH et QS" xfId="0"/>
    <cellStyle name="40% - Accent3 14" xfId="0"/>
    <cellStyle name="40% - Accent3 14 2" xfId="0"/>
    <cellStyle name="40% - Accent3 14 2 2" xfId="0"/>
    <cellStyle name="40% - Accent3 14 2 2 2" xfId="0"/>
    <cellStyle name="40% - Accent3 14 2 3" xfId="0"/>
    <cellStyle name="40% - Accent3 14 3" xfId="0"/>
    <cellStyle name="40% - Accent3 14 3 2" xfId="0"/>
    <cellStyle name="40% - Accent3 14 4" xfId="0"/>
    <cellStyle name="40% - Accent3 14_RH et QS" xfId="0"/>
    <cellStyle name="40% - Accent3 15" xfId="0"/>
    <cellStyle name="40% - Accent3 15 2" xfId="0"/>
    <cellStyle name="40% - Accent3 15 2 2" xfId="0"/>
    <cellStyle name="40% - Accent3 15 2 2 2" xfId="0"/>
    <cellStyle name="40% - Accent3 15 2 3" xfId="0"/>
    <cellStyle name="40% - Accent3 15 3" xfId="0"/>
    <cellStyle name="40% - Accent3 15 3 2" xfId="0"/>
    <cellStyle name="40% - Accent3 15 4" xfId="0"/>
    <cellStyle name="40% - Accent3 15_RH et QS" xfId="0"/>
    <cellStyle name="40% - Accent3 16" xfId="0"/>
    <cellStyle name="40% - Accent3 16 2" xfId="0"/>
    <cellStyle name="40% - Accent3 16 2 2" xfId="0"/>
    <cellStyle name="40% - Accent3 16 2 2 2" xfId="0"/>
    <cellStyle name="40% - Accent3 16 2 3" xfId="0"/>
    <cellStyle name="40% - Accent3 16 3" xfId="0"/>
    <cellStyle name="40% - Accent3 16 3 2" xfId="0"/>
    <cellStyle name="40% - Accent3 16 4" xfId="0"/>
    <cellStyle name="40% - Accent3 16_RH et QS" xfId="0"/>
    <cellStyle name="40% - Accent3 17" xfId="0"/>
    <cellStyle name="40% - Accent3 17 2" xfId="0"/>
    <cellStyle name="40% - Accent3 17 2 2" xfId="0"/>
    <cellStyle name="40% - Accent3 17 2 2 2" xfId="0"/>
    <cellStyle name="40% - Accent3 17 2 3" xfId="0"/>
    <cellStyle name="40% - Accent3 17 3" xfId="0"/>
    <cellStyle name="40% - Accent3 17 3 2" xfId="0"/>
    <cellStyle name="40% - Accent3 17 4" xfId="0"/>
    <cellStyle name="40% - Accent3 17_RH et QS" xfId="0"/>
    <cellStyle name="40% - Accent3 18" xfId="0"/>
    <cellStyle name="40% - Accent3 18 2" xfId="0"/>
    <cellStyle name="40% - Accent3 18 2 2" xfId="0"/>
    <cellStyle name="40% - Accent3 18 2 2 2" xfId="0"/>
    <cellStyle name="40% - Accent3 18 2 3" xfId="0"/>
    <cellStyle name="40% - Accent3 18 3" xfId="0"/>
    <cellStyle name="40% - Accent3 18 3 2" xfId="0"/>
    <cellStyle name="40% - Accent3 18 4" xfId="0"/>
    <cellStyle name="40% - Accent3 18_RH et QS" xfId="0"/>
    <cellStyle name="40% - Accent3 19" xfId="0"/>
    <cellStyle name="40% - Accent3 19 2" xfId="0"/>
    <cellStyle name="40% - Accent3 19 2 2" xfId="0"/>
    <cellStyle name="40% - Accent3 19 2 2 2" xfId="0"/>
    <cellStyle name="40% - Accent3 19 2 3" xfId="0"/>
    <cellStyle name="40% - Accent3 19 3" xfId="0"/>
    <cellStyle name="40% - Accent3 19 3 2" xfId="0"/>
    <cellStyle name="40% - Accent3 19 4" xfId="0"/>
    <cellStyle name="40% - Accent3 19_RH et QS" xfId="0"/>
    <cellStyle name="40% - Accent3 2" xfId="0"/>
    <cellStyle name="40% - Accent3 2 2" xfId="0"/>
    <cellStyle name="40% - Accent3 2 2 2" xfId="0"/>
    <cellStyle name="40% - Accent3 2 2 2 2" xfId="0"/>
    <cellStyle name="40% - Accent3 2 2 3" xfId="0"/>
    <cellStyle name="40% - Accent3 2 3" xfId="0"/>
    <cellStyle name="40% - Accent3 2 3 2" xfId="0"/>
    <cellStyle name="40% - Accent3 2 4" xfId="0"/>
    <cellStyle name="40% - Accent3 20" xfId="0"/>
    <cellStyle name="40% - Accent3 20 2" xfId="0"/>
    <cellStyle name="40% - Accent3 20 2 2" xfId="0"/>
    <cellStyle name="40% - Accent3 20 2 2 2" xfId="0"/>
    <cellStyle name="40% - Accent3 20 2 3" xfId="0"/>
    <cellStyle name="40% - Accent3 20 3" xfId="0"/>
    <cellStyle name="40% - Accent3 20 3 2" xfId="0"/>
    <cellStyle name="40% - Accent3 20 4" xfId="0"/>
    <cellStyle name="40% - Accent3 20_RH et QS" xfId="0"/>
    <cellStyle name="40% - Accent3 21" xfId="0"/>
    <cellStyle name="40% - Accent3 21 2" xfId="0"/>
    <cellStyle name="40% - Accent3 21 2 2" xfId="0"/>
    <cellStyle name="40% - Accent3 21 2 2 2" xfId="0"/>
    <cellStyle name="40% - Accent3 21 2 3" xfId="0"/>
    <cellStyle name="40% - Accent3 21 3" xfId="0"/>
    <cellStyle name="40% - Accent3 21 3 2" xfId="0"/>
    <cellStyle name="40% - Accent3 21 4" xfId="0"/>
    <cellStyle name="40% - Accent3 21_RH et QS" xfId="0"/>
    <cellStyle name="40% - Accent3 22" xfId="0"/>
    <cellStyle name="40% - Accent3 22 2" xfId="0"/>
    <cellStyle name="40% - Accent3 22 2 2" xfId="0"/>
    <cellStyle name="40% - Accent3 22 2 2 2" xfId="0"/>
    <cellStyle name="40% - Accent3 22 2 3" xfId="0"/>
    <cellStyle name="40% - Accent3 22 3" xfId="0"/>
    <cellStyle name="40% - Accent3 22 3 2" xfId="0"/>
    <cellStyle name="40% - Accent3 22 4" xfId="0"/>
    <cellStyle name="40% - Accent3 22_RH et QS" xfId="0"/>
    <cellStyle name="40% - Accent3 23" xfId="0"/>
    <cellStyle name="40% - Accent3 23 2" xfId="0"/>
    <cellStyle name="40% - Accent3 23 2 2" xfId="0"/>
    <cellStyle name="40% - Accent3 23 2 2 2" xfId="0"/>
    <cellStyle name="40% - Accent3 23 2 3" xfId="0"/>
    <cellStyle name="40% - Accent3 23 3" xfId="0"/>
    <cellStyle name="40% - Accent3 23 3 2" xfId="0"/>
    <cellStyle name="40% - Accent3 23 4" xfId="0"/>
    <cellStyle name="40% - Accent3 23_RH et QS" xfId="0"/>
    <cellStyle name="40% - Accent3 24" xfId="0"/>
    <cellStyle name="40% - Accent3 24 2" xfId="0"/>
    <cellStyle name="40% - Accent3 24 2 2" xfId="0"/>
    <cellStyle name="40% - Accent3 24 2 2 2" xfId="0"/>
    <cellStyle name="40% - Accent3 24 2 3" xfId="0"/>
    <cellStyle name="40% - Accent3 24 3" xfId="0"/>
    <cellStyle name="40% - Accent3 24 3 2" xfId="0"/>
    <cellStyle name="40% - Accent3 24 4" xfId="0"/>
    <cellStyle name="40% - Accent3 24_RH et QS" xfId="0"/>
    <cellStyle name="40% - Accent3 25" xfId="0"/>
    <cellStyle name="40% - Accent3 25 2" xfId="0"/>
    <cellStyle name="40% - Accent3 25 2 2" xfId="0"/>
    <cellStyle name="40% - Accent3 25 2 2 2" xfId="0"/>
    <cellStyle name="40% - Accent3 25 2 3" xfId="0"/>
    <cellStyle name="40% - Accent3 25 3" xfId="0"/>
    <cellStyle name="40% - Accent3 25 3 2" xfId="0"/>
    <cellStyle name="40% - Accent3 25 4" xfId="0"/>
    <cellStyle name="40% - Accent3 25_RH et QS" xfId="0"/>
    <cellStyle name="40% - Accent3 26" xfId="0"/>
    <cellStyle name="40% - Accent3 26 2" xfId="0"/>
    <cellStyle name="40% - Accent3 26 2 2" xfId="0"/>
    <cellStyle name="40% - Accent3 26 2 2 2" xfId="0"/>
    <cellStyle name="40% - Accent3 26 2 3" xfId="0"/>
    <cellStyle name="40% - Accent3 26 3" xfId="0"/>
    <cellStyle name="40% - Accent3 26 3 2" xfId="0"/>
    <cellStyle name="40% - Accent3 26 4" xfId="0"/>
    <cellStyle name="40% - Accent3 26_RH et QS" xfId="0"/>
    <cellStyle name="40% - Accent3 27" xfId="0"/>
    <cellStyle name="40% - Accent3 27 2" xfId="0"/>
    <cellStyle name="40% - Accent3 27 2 2" xfId="0"/>
    <cellStyle name="40% - Accent3 27 2 2 2" xfId="0"/>
    <cellStyle name="40% - Accent3 27 2 3" xfId="0"/>
    <cellStyle name="40% - Accent3 27 3" xfId="0"/>
    <cellStyle name="40% - Accent3 27 3 2" xfId="0"/>
    <cellStyle name="40% - Accent3 27 4" xfId="0"/>
    <cellStyle name="40% - Accent3 27_RH et QS" xfId="0"/>
    <cellStyle name="40% - Accent3 28" xfId="0"/>
    <cellStyle name="40% - Accent3 28 2" xfId="0"/>
    <cellStyle name="40% - Accent3 28 2 2" xfId="0"/>
    <cellStyle name="40% - Accent3 28 2 2 2" xfId="0"/>
    <cellStyle name="40% - Accent3 28 2 3" xfId="0"/>
    <cellStyle name="40% - Accent3 28 3" xfId="0"/>
    <cellStyle name="40% - Accent3 28 3 2" xfId="0"/>
    <cellStyle name="40% - Accent3 28 4" xfId="0"/>
    <cellStyle name="40% - Accent3 28_RH et QS" xfId="0"/>
    <cellStyle name="40% - Accent3 2_RH et QS" xfId="0"/>
    <cellStyle name="40% - Accent3 3" xfId="0"/>
    <cellStyle name="40% - Accent3 3 2" xfId="0"/>
    <cellStyle name="40% - Accent3 3 2 2" xfId="0"/>
    <cellStyle name="40% - Accent3 3 2 2 2" xfId="0"/>
    <cellStyle name="40% - Accent3 3 2 3" xfId="0"/>
    <cellStyle name="40% - Accent3 3 3" xfId="0"/>
    <cellStyle name="40% - Accent3 3 3 2" xfId="0"/>
    <cellStyle name="40% - Accent3 3 4" xfId="0"/>
    <cellStyle name="40% - Accent3 3_RH et QS" xfId="0"/>
    <cellStyle name="40% - Accent3 4" xfId="0"/>
    <cellStyle name="40% - Accent3 4 2" xfId="0"/>
    <cellStyle name="40% - Accent3 4 2 2" xfId="0"/>
    <cellStyle name="40% - Accent3 4 2 2 2" xfId="0"/>
    <cellStyle name="40% - Accent3 4 2 3" xfId="0"/>
    <cellStyle name="40% - Accent3 4 3" xfId="0"/>
    <cellStyle name="40% - Accent3 4 3 2" xfId="0"/>
    <cellStyle name="40% - Accent3 4 4" xfId="0"/>
    <cellStyle name="40% - Accent3 4_RH et QS" xfId="0"/>
    <cellStyle name="40% - Accent3 5" xfId="0"/>
    <cellStyle name="40% - Accent3 5 2" xfId="0"/>
    <cellStyle name="40% - Accent3 5 2 2" xfId="0"/>
    <cellStyle name="40% - Accent3 5 2 2 2" xfId="0"/>
    <cellStyle name="40% - Accent3 5 2 3" xfId="0"/>
    <cellStyle name="40% - Accent3 5 3" xfId="0"/>
    <cellStyle name="40% - Accent3 5 3 2" xfId="0"/>
    <cellStyle name="40% - Accent3 5 4" xfId="0"/>
    <cellStyle name="40% - Accent3 5_RH et QS" xfId="0"/>
    <cellStyle name="40% - Accent3 6" xfId="0"/>
    <cellStyle name="40% - Accent3 6 2" xfId="0"/>
    <cellStyle name="40% - Accent3 6 2 2" xfId="0"/>
    <cellStyle name="40% - Accent3 6 2 2 2" xfId="0"/>
    <cellStyle name="40% - Accent3 6 2 3" xfId="0"/>
    <cellStyle name="40% - Accent3 6 3" xfId="0"/>
    <cellStyle name="40% - Accent3 6 3 2" xfId="0"/>
    <cellStyle name="40% - Accent3 6 4" xfId="0"/>
    <cellStyle name="40% - Accent3 6_RH et QS" xfId="0"/>
    <cellStyle name="40% - Accent3 7" xfId="0"/>
    <cellStyle name="40% - Accent3 7 2" xfId="0"/>
    <cellStyle name="40% - Accent3 7 2 2" xfId="0"/>
    <cellStyle name="40% - Accent3 7 2 2 2" xfId="0"/>
    <cellStyle name="40% - Accent3 7 2 3" xfId="0"/>
    <cellStyle name="40% - Accent3 7 3" xfId="0"/>
    <cellStyle name="40% - Accent3 7 3 2" xfId="0"/>
    <cellStyle name="40% - Accent3 7 4" xfId="0"/>
    <cellStyle name="40% - Accent3 7_RH et QS" xfId="0"/>
    <cellStyle name="40% - Accent3 8" xfId="0"/>
    <cellStyle name="40% - Accent3 8 2" xfId="0"/>
    <cellStyle name="40% - Accent3 8 2 2" xfId="0"/>
    <cellStyle name="40% - Accent3 8 2 2 2" xfId="0"/>
    <cellStyle name="40% - Accent3 8 2 3" xfId="0"/>
    <cellStyle name="40% - Accent3 8 3" xfId="0"/>
    <cellStyle name="40% - Accent3 8 3 2" xfId="0"/>
    <cellStyle name="40% - Accent3 8 4" xfId="0"/>
    <cellStyle name="40% - Accent3 8_RH et QS" xfId="0"/>
    <cellStyle name="40% - Accent3 9" xfId="0"/>
    <cellStyle name="40% - Accent3 9 2" xfId="0"/>
    <cellStyle name="40% - Accent3 9 2 2" xfId="0"/>
    <cellStyle name="40% - Accent3 9 2 2 2" xfId="0"/>
    <cellStyle name="40% - Accent3 9 2 3" xfId="0"/>
    <cellStyle name="40% - Accent3 9 3" xfId="0"/>
    <cellStyle name="40% - Accent3 9 3 2" xfId="0"/>
    <cellStyle name="40% - Accent3 9 4" xfId="0"/>
    <cellStyle name="40% - Accent3 9_RH et QS" xfId="0"/>
    <cellStyle name="40% - Accent4 10" xfId="0"/>
    <cellStyle name="40% - Accent4 10 2" xfId="0"/>
    <cellStyle name="40% - Accent4 10 2 2" xfId="0"/>
    <cellStyle name="40% - Accent4 10 2 2 2" xfId="0"/>
    <cellStyle name="40% - Accent4 10 2 3" xfId="0"/>
    <cellStyle name="40% - Accent4 10 3" xfId="0"/>
    <cellStyle name="40% - Accent4 10 3 2" xfId="0"/>
    <cellStyle name="40% - Accent4 10 4" xfId="0"/>
    <cellStyle name="40% - Accent4 10_RH et QS" xfId="0"/>
    <cellStyle name="40% - Accent4 11" xfId="0"/>
    <cellStyle name="40% - Accent4 11 2" xfId="0"/>
    <cellStyle name="40% - Accent4 11 2 2" xfId="0"/>
    <cellStyle name="40% - Accent4 11 2 2 2" xfId="0"/>
    <cellStyle name="40% - Accent4 11 2 3" xfId="0"/>
    <cellStyle name="40% - Accent4 11 3" xfId="0"/>
    <cellStyle name="40% - Accent4 11 3 2" xfId="0"/>
    <cellStyle name="40% - Accent4 11 4" xfId="0"/>
    <cellStyle name="40% - Accent4 11_RH et QS" xfId="0"/>
    <cellStyle name="40% - Accent4 12" xfId="0"/>
    <cellStyle name="40% - Accent4 12 2" xfId="0"/>
    <cellStyle name="40% - Accent4 12 2 2" xfId="0"/>
    <cellStyle name="40% - Accent4 12 2 2 2" xfId="0"/>
    <cellStyle name="40% - Accent4 12 2 3" xfId="0"/>
    <cellStyle name="40% - Accent4 12 3" xfId="0"/>
    <cellStyle name="40% - Accent4 12 3 2" xfId="0"/>
    <cellStyle name="40% - Accent4 12 4" xfId="0"/>
    <cellStyle name="40% - Accent4 12_RH et QS" xfId="0"/>
    <cellStyle name="40% - Accent4 13" xfId="0"/>
    <cellStyle name="40% - Accent4 13 2" xfId="0"/>
    <cellStyle name="40% - Accent4 13 2 2" xfId="0"/>
    <cellStyle name="40% - Accent4 13 2 2 2" xfId="0"/>
    <cellStyle name="40% - Accent4 13 2 3" xfId="0"/>
    <cellStyle name="40% - Accent4 13 3" xfId="0"/>
    <cellStyle name="40% - Accent4 13 3 2" xfId="0"/>
    <cellStyle name="40% - Accent4 13 4" xfId="0"/>
    <cellStyle name="40% - Accent4 13_RH et QS" xfId="0"/>
    <cellStyle name="40% - Accent4 14" xfId="0"/>
    <cellStyle name="40% - Accent4 14 2" xfId="0"/>
    <cellStyle name="40% - Accent4 14 2 2" xfId="0"/>
    <cellStyle name="40% - Accent4 14 2 2 2" xfId="0"/>
    <cellStyle name="40% - Accent4 14 2 3" xfId="0"/>
    <cellStyle name="40% - Accent4 14 3" xfId="0"/>
    <cellStyle name="40% - Accent4 14 3 2" xfId="0"/>
    <cellStyle name="40% - Accent4 14 4" xfId="0"/>
    <cellStyle name="40% - Accent4 14_RH et QS" xfId="0"/>
    <cellStyle name="40% - Accent4 15" xfId="0"/>
    <cellStyle name="40% - Accent4 15 2" xfId="0"/>
    <cellStyle name="40% - Accent4 15 2 2" xfId="0"/>
    <cellStyle name="40% - Accent4 15 2 2 2" xfId="0"/>
    <cellStyle name="40% - Accent4 15 2 3" xfId="0"/>
    <cellStyle name="40% - Accent4 15 3" xfId="0"/>
    <cellStyle name="40% - Accent4 15 3 2" xfId="0"/>
    <cellStyle name="40% - Accent4 15 4" xfId="0"/>
    <cellStyle name="40% - Accent4 15_RH et QS" xfId="0"/>
    <cellStyle name="40% - Accent4 16" xfId="0"/>
    <cellStyle name="40% - Accent4 16 2" xfId="0"/>
    <cellStyle name="40% - Accent4 16 2 2" xfId="0"/>
    <cellStyle name="40% - Accent4 16 2 2 2" xfId="0"/>
    <cellStyle name="40% - Accent4 16 2 3" xfId="0"/>
    <cellStyle name="40% - Accent4 16 3" xfId="0"/>
    <cellStyle name="40% - Accent4 16 3 2" xfId="0"/>
    <cellStyle name="40% - Accent4 16 4" xfId="0"/>
    <cellStyle name="40% - Accent4 16_RH et QS" xfId="0"/>
    <cellStyle name="40% - Accent4 17" xfId="0"/>
    <cellStyle name="40% - Accent4 17 2" xfId="0"/>
    <cellStyle name="40% - Accent4 17 2 2" xfId="0"/>
    <cellStyle name="40% - Accent4 17 2 2 2" xfId="0"/>
    <cellStyle name="40% - Accent4 17 2 3" xfId="0"/>
    <cellStyle name="40% - Accent4 17 3" xfId="0"/>
    <cellStyle name="40% - Accent4 17 3 2" xfId="0"/>
    <cellStyle name="40% - Accent4 17 4" xfId="0"/>
    <cellStyle name="40% - Accent4 17_RH et QS" xfId="0"/>
    <cellStyle name="40% - Accent4 18" xfId="0"/>
    <cellStyle name="40% - Accent4 18 2" xfId="0"/>
    <cellStyle name="40% - Accent4 18 2 2" xfId="0"/>
    <cellStyle name="40% - Accent4 18 2 2 2" xfId="0"/>
    <cellStyle name="40% - Accent4 18 2 3" xfId="0"/>
    <cellStyle name="40% - Accent4 18 3" xfId="0"/>
    <cellStyle name="40% - Accent4 18 3 2" xfId="0"/>
    <cellStyle name="40% - Accent4 18 4" xfId="0"/>
    <cellStyle name="40% - Accent4 18_RH et QS" xfId="0"/>
    <cellStyle name="40% - Accent4 19" xfId="0"/>
    <cellStyle name="40% - Accent4 19 2" xfId="0"/>
    <cellStyle name="40% - Accent4 19 2 2" xfId="0"/>
    <cellStyle name="40% - Accent4 19 2 2 2" xfId="0"/>
    <cellStyle name="40% - Accent4 19 2 3" xfId="0"/>
    <cellStyle name="40% - Accent4 19 3" xfId="0"/>
    <cellStyle name="40% - Accent4 19 3 2" xfId="0"/>
    <cellStyle name="40% - Accent4 19 4" xfId="0"/>
    <cellStyle name="40% - Accent4 19_RH et QS" xfId="0"/>
    <cellStyle name="40% - Accent4 2" xfId="0"/>
    <cellStyle name="40% - Accent4 2 2" xfId="0"/>
    <cellStyle name="40% - Accent4 2 2 2" xfId="0"/>
    <cellStyle name="40% - Accent4 2 2 2 2" xfId="0"/>
    <cellStyle name="40% - Accent4 2 2 3" xfId="0"/>
    <cellStyle name="40% - Accent4 2 3" xfId="0"/>
    <cellStyle name="40% - Accent4 2 3 2" xfId="0"/>
    <cellStyle name="40% - Accent4 2 4" xfId="0"/>
    <cellStyle name="40% - Accent4 20" xfId="0"/>
    <cellStyle name="40% - Accent4 20 2" xfId="0"/>
    <cellStyle name="40% - Accent4 20 2 2" xfId="0"/>
    <cellStyle name="40% - Accent4 20 2 2 2" xfId="0"/>
    <cellStyle name="40% - Accent4 20 2 3" xfId="0"/>
    <cellStyle name="40% - Accent4 20 3" xfId="0"/>
    <cellStyle name="40% - Accent4 20 3 2" xfId="0"/>
    <cellStyle name="40% - Accent4 20 4" xfId="0"/>
    <cellStyle name="40% - Accent4 20_RH et QS" xfId="0"/>
    <cellStyle name="40% - Accent4 21" xfId="0"/>
    <cellStyle name="40% - Accent4 21 2" xfId="0"/>
    <cellStyle name="40% - Accent4 21 2 2" xfId="0"/>
    <cellStyle name="40% - Accent4 21 2 2 2" xfId="0"/>
    <cellStyle name="40% - Accent4 21 2 3" xfId="0"/>
    <cellStyle name="40% - Accent4 21 3" xfId="0"/>
    <cellStyle name="40% - Accent4 21 3 2" xfId="0"/>
    <cellStyle name="40% - Accent4 21 4" xfId="0"/>
    <cellStyle name="40% - Accent4 21_RH et QS" xfId="0"/>
    <cellStyle name="40% - Accent4 22" xfId="0"/>
    <cellStyle name="40% - Accent4 22 2" xfId="0"/>
    <cellStyle name="40% - Accent4 22 2 2" xfId="0"/>
    <cellStyle name="40% - Accent4 22 2 2 2" xfId="0"/>
    <cellStyle name="40% - Accent4 22 2 3" xfId="0"/>
    <cellStyle name="40% - Accent4 22 3" xfId="0"/>
    <cellStyle name="40% - Accent4 22 3 2" xfId="0"/>
    <cellStyle name="40% - Accent4 22 4" xfId="0"/>
    <cellStyle name="40% - Accent4 22_RH et QS" xfId="0"/>
    <cellStyle name="40% - Accent4 23" xfId="0"/>
    <cellStyle name="40% - Accent4 23 2" xfId="0"/>
    <cellStyle name="40% - Accent4 23 2 2" xfId="0"/>
    <cellStyle name="40% - Accent4 23 2 2 2" xfId="0"/>
    <cellStyle name="40% - Accent4 23 2 3" xfId="0"/>
    <cellStyle name="40% - Accent4 23 3" xfId="0"/>
    <cellStyle name="40% - Accent4 23 3 2" xfId="0"/>
    <cellStyle name="40% - Accent4 23 4" xfId="0"/>
    <cellStyle name="40% - Accent4 23_RH et QS" xfId="0"/>
    <cellStyle name="40% - Accent4 24" xfId="0"/>
    <cellStyle name="40% - Accent4 24 2" xfId="0"/>
    <cellStyle name="40% - Accent4 24 2 2" xfId="0"/>
    <cellStyle name="40% - Accent4 24 2 2 2" xfId="0"/>
    <cellStyle name="40% - Accent4 24 2 3" xfId="0"/>
    <cellStyle name="40% - Accent4 24 3" xfId="0"/>
    <cellStyle name="40% - Accent4 24 3 2" xfId="0"/>
    <cellStyle name="40% - Accent4 24 4" xfId="0"/>
    <cellStyle name="40% - Accent4 24_RH et QS" xfId="0"/>
    <cellStyle name="40% - Accent4 25" xfId="0"/>
    <cellStyle name="40% - Accent4 25 2" xfId="0"/>
    <cellStyle name="40% - Accent4 25 2 2" xfId="0"/>
    <cellStyle name="40% - Accent4 25 2 2 2" xfId="0"/>
    <cellStyle name="40% - Accent4 25 2 3" xfId="0"/>
    <cellStyle name="40% - Accent4 25 3" xfId="0"/>
    <cellStyle name="40% - Accent4 25 3 2" xfId="0"/>
    <cellStyle name="40% - Accent4 25 4" xfId="0"/>
    <cellStyle name="40% - Accent4 25_RH et QS" xfId="0"/>
    <cellStyle name="40% - Accent4 26" xfId="0"/>
    <cellStyle name="40% - Accent4 26 2" xfId="0"/>
    <cellStyle name="40% - Accent4 26 2 2" xfId="0"/>
    <cellStyle name="40% - Accent4 26 2 2 2" xfId="0"/>
    <cellStyle name="40% - Accent4 26 2 3" xfId="0"/>
    <cellStyle name="40% - Accent4 26 3" xfId="0"/>
    <cellStyle name="40% - Accent4 26 3 2" xfId="0"/>
    <cellStyle name="40% - Accent4 26 4" xfId="0"/>
    <cellStyle name="40% - Accent4 26_RH et QS" xfId="0"/>
    <cellStyle name="40% - Accent4 27" xfId="0"/>
    <cellStyle name="40% - Accent4 27 2" xfId="0"/>
    <cellStyle name="40% - Accent4 27 2 2" xfId="0"/>
    <cellStyle name="40% - Accent4 27 2 2 2" xfId="0"/>
    <cellStyle name="40% - Accent4 27 2 3" xfId="0"/>
    <cellStyle name="40% - Accent4 27 3" xfId="0"/>
    <cellStyle name="40% - Accent4 27 3 2" xfId="0"/>
    <cellStyle name="40% - Accent4 27 4" xfId="0"/>
    <cellStyle name="40% - Accent4 27_RH et QS" xfId="0"/>
    <cellStyle name="40% - Accent4 28" xfId="0"/>
    <cellStyle name="40% - Accent4 28 2" xfId="0"/>
    <cellStyle name="40% - Accent4 28 2 2" xfId="0"/>
    <cellStyle name="40% - Accent4 28 2 2 2" xfId="0"/>
    <cellStyle name="40% - Accent4 28 2 3" xfId="0"/>
    <cellStyle name="40% - Accent4 28 3" xfId="0"/>
    <cellStyle name="40% - Accent4 28 3 2" xfId="0"/>
    <cellStyle name="40% - Accent4 28 4" xfId="0"/>
    <cellStyle name="40% - Accent4 28_RH et QS" xfId="0"/>
    <cellStyle name="40% - Accent4 2_RH et QS" xfId="0"/>
    <cellStyle name="40% - Accent4 3" xfId="0"/>
    <cellStyle name="40% - Accent4 3 2" xfId="0"/>
    <cellStyle name="40% - Accent4 3 2 2" xfId="0"/>
    <cellStyle name="40% - Accent4 3 2 2 2" xfId="0"/>
    <cellStyle name="40% - Accent4 3 2 3" xfId="0"/>
    <cellStyle name="40% - Accent4 3 3" xfId="0"/>
    <cellStyle name="40% - Accent4 3 3 2" xfId="0"/>
    <cellStyle name="40% - Accent4 3 4" xfId="0"/>
    <cellStyle name="40% - Accent4 3_RH et QS" xfId="0"/>
    <cellStyle name="40% - Accent4 4" xfId="0"/>
    <cellStyle name="40% - Accent4 4 2" xfId="0"/>
    <cellStyle name="40% - Accent4 4 2 2" xfId="0"/>
    <cellStyle name="40% - Accent4 4 2 2 2" xfId="0"/>
    <cellStyle name="40% - Accent4 4 2 3" xfId="0"/>
    <cellStyle name="40% - Accent4 4 3" xfId="0"/>
    <cellStyle name="40% - Accent4 4 3 2" xfId="0"/>
    <cellStyle name="40% - Accent4 4 4" xfId="0"/>
    <cellStyle name="40% - Accent4 4_RH et QS" xfId="0"/>
    <cellStyle name="40% - Accent4 5" xfId="0"/>
    <cellStyle name="40% - Accent4 5 2" xfId="0"/>
    <cellStyle name="40% - Accent4 5 2 2" xfId="0"/>
    <cellStyle name="40% - Accent4 5 2 2 2" xfId="0"/>
    <cellStyle name="40% - Accent4 5 2 3" xfId="0"/>
    <cellStyle name="40% - Accent4 5 3" xfId="0"/>
    <cellStyle name="40% - Accent4 5 3 2" xfId="0"/>
    <cellStyle name="40% - Accent4 5 4" xfId="0"/>
    <cellStyle name="40% - Accent4 5_RH et QS" xfId="0"/>
    <cellStyle name="40% - Accent4 6" xfId="0"/>
    <cellStyle name="40% - Accent4 6 2" xfId="0"/>
    <cellStyle name="40% - Accent4 6 2 2" xfId="0"/>
    <cellStyle name="40% - Accent4 6 2 2 2" xfId="0"/>
    <cellStyle name="40% - Accent4 6 2 3" xfId="0"/>
    <cellStyle name="40% - Accent4 6 3" xfId="0"/>
    <cellStyle name="40% - Accent4 6 3 2" xfId="0"/>
    <cellStyle name="40% - Accent4 6 4" xfId="0"/>
    <cellStyle name="40% - Accent4 6_RH et QS" xfId="0"/>
    <cellStyle name="40% - Accent4 7" xfId="0"/>
    <cellStyle name="40% - Accent4 7 2" xfId="0"/>
    <cellStyle name="40% - Accent4 7 2 2" xfId="0"/>
    <cellStyle name="40% - Accent4 7 2 2 2" xfId="0"/>
    <cellStyle name="40% - Accent4 7 2 3" xfId="0"/>
    <cellStyle name="40% - Accent4 7 3" xfId="0"/>
    <cellStyle name="40% - Accent4 7 3 2" xfId="0"/>
    <cellStyle name="40% - Accent4 7 4" xfId="0"/>
    <cellStyle name="40% - Accent4 7_RH et QS" xfId="0"/>
    <cellStyle name="40% - Accent4 8" xfId="0"/>
    <cellStyle name="40% - Accent4 8 2" xfId="0"/>
    <cellStyle name="40% - Accent4 8 2 2" xfId="0"/>
    <cellStyle name="40% - Accent4 8 2 2 2" xfId="0"/>
    <cellStyle name="40% - Accent4 8 2 3" xfId="0"/>
    <cellStyle name="40% - Accent4 8 3" xfId="0"/>
    <cellStyle name="40% - Accent4 8 3 2" xfId="0"/>
    <cellStyle name="40% - Accent4 8 4" xfId="0"/>
    <cellStyle name="40% - Accent4 8_RH et QS" xfId="0"/>
    <cellStyle name="40% - Accent4 9" xfId="0"/>
    <cellStyle name="40% - Accent4 9 2" xfId="0"/>
    <cellStyle name="40% - Accent4 9 2 2" xfId="0"/>
    <cellStyle name="40% - Accent4 9 2 2 2" xfId="0"/>
    <cellStyle name="40% - Accent4 9 2 3" xfId="0"/>
    <cellStyle name="40% - Accent4 9 3" xfId="0"/>
    <cellStyle name="40% - Accent4 9 3 2" xfId="0"/>
    <cellStyle name="40% - Accent4 9 4" xfId="0"/>
    <cellStyle name="40% - Accent4 9_RH et QS" xfId="0"/>
    <cellStyle name="40% - Accent5 10" xfId="0"/>
    <cellStyle name="40% - Accent5 10 2" xfId="0"/>
    <cellStyle name="40% - Accent5 10 2 2" xfId="0"/>
    <cellStyle name="40% - Accent5 10 2 2 2" xfId="0"/>
    <cellStyle name="40% - Accent5 10 2 3" xfId="0"/>
    <cellStyle name="40% - Accent5 10 3" xfId="0"/>
    <cellStyle name="40% - Accent5 10 3 2" xfId="0"/>
    <cellStyle name="40% - Accent5 10 4" xfId="0"/>
    <cellStyle name="40% - Accent5 10_RH et QS" xfId="0"/>
    <cellStyle name="40% - Accent5 11" xfId="0"/>
    <cellStyle name="40% - Accent5 11 2" xfId="0"/>
    <cellStyle name="40% - Accent5 11 2 2" xfId="0"/>
    <cellStyle name="40% - Accent5 11 2 2 2" xfId="0"/>
    <cellStyle name="40% - Accent5 11 2 3" xfId="0"/>
    <cellStyle name="40% - Accent5 11 3" xfId="0"/>
    <cellStyle name="40% - Accent5 11 3 2" xfId="0"/>
    <cellStyle name="40% - Accent5 11 4" xfId="0"/>
    <cellStyle name="40% - Accent5 11_RH et QS" xfId="0"/>
    <cellStyle name="40% - Accent5 12" xfId="0"/>
    <cellStyle name="40% - Accent5 12 2" xfId="0"/>
    <cellStyle name="40% - Accent5 12 2 2" xfId="0"/>
    <cellStyle name="40% - Accent5 12 2 2 2" xfId="0"/>
    <cellStyle name="40% - Accent5 12 2 3" xfId="0"/>
    <cellStyle name="40% - Accent5 12 3" xfId="0"/>
    <cellStyle name="40% - Accent5 12 3 2" xfId="0"/>
    <cellStyle name="40% - Accent5 12 4" xfId="0"/>
    <cellStyle name="40% - Accent5 12_RH et QS" xfId="0"/>
    <cellStyle name="40% - Accent5 13" xfId="0"/>
    <cellStyle name="40% - Accent5 13 2" xfId="0"/>
    <cellStyle name="40% - Accent5 13 2 2" xfId="0"/>
    <cellStyle name="40% - Accent5 13 2 2 2" xfId="0"/>
    <cellStyle name="40% - Accent5 13 2 3" xfId="0"/>
    <cellStyle name="40% - Accent5 13 3" xfId="0"/>
    <cellStyle name="40% - Accent5 13 3 2" xfId="0"/>
    <cellStyle name="40% - Accent5 13 4" xfId="0"/>
    <cellStyle name="40% - Accent5 13_RH et QS" xfId="0"/>
    <cellStyle name="40% - Accent5 14" xfId="0"/>
    <cellStyle name="40% - Accent5 14 2" xfId="0"/>
    <cellStyle name="40% - Accent5 14 2 2" xfId="0"/>
    <cellStyle name="40% - Accent5 14 2 2 2" xfId="0"/>
    <cellStyle name="40% - Accent5 14 2 3" xfId="0"/>
    <cellStyle name="40% - Accent5 14 3" xfId="0"/>
    <cellStyle name="40% - Accent5 14 3 2" xfId="0"/>
    <cellStyle name="40% - Accent5 14 4" xfId="0"/>
    <cellStyle name="40% - Accent5 14_RH et QS" xfId="0"/>
    <cellStyle name="40% - Accent5 15" xfId="0"/>
    <cellStyle name="40% - Accent5 15 2" xfId="0"/>
    <cellStyle name="40% - Accent5 15 2 2" xfId="0"/>
    <cellStyle name="40% - Accent5 15 2 2 2" xfId="0"/>
    <cellStyle name="40% - Accent5 15 2 3" xfId="0"/>
    <cellStyle name="40% - Accent5 15 3" xfId="0"/>
    <cellStyle name="40% - Accent5 15 3 2" xfId="0"/>
    <cellStyle name="40% - Accent5 15 4" xfId="0"/>
    <cellStyle name="40% - Accent5 15_RH et QS" xfId="0"/>
    <cellStyle name="40% - Accent5 16" xfId="0"/>
    <cellStyle name="40% - Accent5 16 2" xfId="0"/>
    <cellStyle name="40% - Accent5 16 2 2" xfId="0"/>
    <cellStyle name="40% - Accent5 16 2 2 2" xfId="0"/>
    <cellStyle name="40% - Accent5 16 2 3" xfId="0"/>
    <cellStyle name="40% - Accent5 16 3" xfId="0"/>
    <cellStyle name="40% - Accent5 16 3 2" xfId="0"/>
    <cellStyle name="40% - Accent5 16 4" xfId="0"/>
    <cellStyle name="40% - Accent5 16_RH et QS" xfId="0"/>
    <cellStyle name="40% - Accent5 17" xfId="0"/>
    <cellStyle name="40% - Accent5 17 2" xfId="0"/>
    <cellStyle name="40% - Accent5 17 2 2" xfId="0"/>
    <cellStyle name="40% - Accent5 17 2 2 2" xfId="0"/>
    <cellStyle name="40% - Accent5 17 2 3" xfId="0"/>
    <cellStyle name="40% - Accent5 17 3" xfId="0"/>
    <cellStyle name="40% - Accent5 17 3 2" xfId="0"/>
    <cellStyle name="40% - Accent5 17 4" xfId="0"/>
    <cellStyle name="40% - Accent5 17_RH et QS" xfId="0"/>
    <cellStyle name="40% - Accent5 18" xfId="0"/>
    <cellStyle name="40% - Accent5 18 2" xfId="0"/>
    <cellStyle name="40% - Accent5 18 2 2" xfId="0"/>
    <cellStyle name="40% - Accent5 18 2 2 2" xfId="0"/>
    <cellStyle name="40% - Accent5 18 2 3" xfId="0"/>
    <cellStyle name="40% - Accent5 18 3" xfId="0"/>
    <cellStyle name="40% - Accent5 18 3 2" xfId="0"/>
    <cellStyle name="40% - Accent5 18 4" xfId="0"/>
    <cellStyle name="40% - Accent5 18_RH et QS" xfId="0"/>
    <cellStyle name="40% - Accent5 19" xfId="0"/>
    <cellStyle name="40% - Accent5 19 2" xfId="0"/>
    <cellStyle name="40% - Accent5 19 2 2" xfId="0"/>
    <cellStyle name="40% - Accent5 19 2 2 2" xfId="0"/>
    <cellStyle name="40% - Accent5 19 2 3" xfId="0"/>
    <cellStyle name="40% - Accent5 19 3" xfId="0"/>
    <cellStyle name="40% - Accent5 19 3 2" xfId="0"/>
    <cellStyle name="40% - Accent5 19 4" xfId="0"/>
    <cellStyle name="40% - Accent5 19_RH et QS" xfId="0"/>
    <cellStyle name="40% - Accent5 2" xfId="0"/>
    <cellStyle name="40% - Accent5 2 2" xfId="0"/>
    <cellStyle name="40% - Accent5 2 2 2" xfId="0"/>
    <cellStyle name="40% - Accent5 2 2 2 2" xfId="0"/>
    <cellStyle name="40% - Accent5 2 2 3" xfId="0"/>
    <cellStyle name="40% - Accent5 2 3" xfId="0"/>
    <cellStyle name="40% - Accent5 2 3 2" xfId="0"/>
    <cellStyle name="40% - Accent5 2 4" xfId="0"/>
    <cellStyle name="40% - Accent5 20" xfId="0"/>
    <cellStyle name="40% - Accent5 20 2" xfId="0"/>
    <cellStyle name="40% - Accent5 20 2 2" xfId="0"/>
    <cellStyle name="40% - Accent5 20 2 2 2" xfId="0"/>
    <cellStyle name="40% - Accent5 20 2 3" xfId="0"/>
    <cellStyle name="40% - Accent5 20 3" xfId="0"/>
    <cellStyle name="40% - Accent5 20 3 2" xfId="0"/>
    <cellStyle name="40% - Accent5 20 4" xfId="0"/>
    <cellStyle name="40% - Accent5 20_RH et QS" xfId="0"/>
    <cellStyle name="40% - Accent5 21" xfId="0"/>
    <cellStyle name="40% - Accent5 21 2" xfId="0"/>
    <cellStyle name="40% - Accent5 21 2 2" xfId="0"/>
    <cellStyle name="40% - Accent5 21 2 2 2" xfId="0"/>
    <cellStyle name="40% - Accent5 21 2 3" xfId="0"/>
    <cellStyle name="40% - Accent5 21 3" xfId="0"/>
    <cellStyle name="40% - Accent5 21 3 2" xfId="0"/>
    <cellStyle name="40% - Accent5 21 4" xfId="0"/>
    <cellStyle name="40% - Accent5 21_RH et QS" xfId="0"/>
    <cellStyle name="40% - Accent5 22" xfId="0"/>
    <cellStyle name="40% - Accent5 22 2" xfId="0"/>
    <cellStyle name="40% - Accent5 22 2 2" xfId="0"/>
    <cellStyle name="40% - Accent5 22 2 2 2" xfId="0"/>
    <cellStyle name="40% - Accent5 22 2 3" xfId="0"/>
    <cellStyle name="40% - Accent5 22 3" xfId="0"/>
    <cellStyle name="40% - Accent5 22 3 2" xfId="0"/>
    <cellStyle name="40% - Accent5 22 4" xfId="0"/>
    <cellStyle name="40% - Accent5 22_RH et QS" xfId="0"/>
    <cellStyle name="40% - Accent5 23" xfId="0"/>
    <cellStyle name="40% - Accent5 23 2" xfId="0"/>
    <cellStyle name="40% - Accent5 23 2 2" xfId="0"/>
    <cellStyle name="40% - Accent5 23 2 2 2" xfId="0"/>
    <cellStyle name="40% - Accent5 23 2 3" xfId="0"/>
    <cellStyle name="40% - Accent5 23 3" xfId="0"/>
    <cellStyle name="40% - Accent5 23 3 2" xfId="0"/>
    <cellStyle name="40% - Accent5 23 4" xfId="0"/>
    <cellStyle name="40% - Accent5 23_RH et QS" xfId="0"/>
    <cellStyle name="40% - Accent5 24" xfId="0"/>
    <cellStyle name="40% - Accent5 24 2" xfId="0"/>
    <cellStyle name="40% - Accent5 24 2 2" xfId="0"/>
    <cellStyle name="40% - Accent5 24 2 2 2" xfId="0"/>
    <cellStyle name="40% - Accent5 24 2 3" xfId="0"/>
    <cellStyle name="40% - Accent5 24 3" xfId="0"/>
    <cellStyle name="40% - Accent5 24 3 2" xfId="0"/>
    <cellStyle name="40% - Accent5 24 4" xfId="0"/>
    <cellStyle name="40% - Accent5 24_RH et QS" xfId="0"/>
    <cellStyle name="40% - Accent5 25" xfId="0"/>
    <cellStyle name="40% - Accent5 25 2" xfId="0"/>
    <cellStyle name="40% - Accent5 25 2 2" xfId="0"/>
    <cellStyle name="40% - Accent5 25 2 2 2" xfId="0"/>
    <cellStyle name="40% - Accent5 25 2 3" xfId="0"/>
    <cellStyle name="40% - Accent5 25 3" xfId="0"/>
    <cellStyle name="40% - Accent5 25 3 2" xfId="0"/>
    <cellStyle name="40% - Accent5 25 4" xfId="0"/>
    <cellStyle name="40% - Accent5 25_RH et QS" xfId="0"/>
    <cellStyle name="40% - Accent5 26" xfId="0"/>
    <cellStyle name="40% - Accent5 26 2" xfId="0"/>
    <cellStyle name="40% - Accent5 26 2 2" xfId="0"/>
    <cellStyle name="40% - Accent5 26 2 2 2" xfId="0"/>
    <cellStyle name="40% - Accent5 26 2 3" xfId="0"/>
    <cellStyle name="40% - Accent5 26 3" xfId="0"/>
    <cellStyle name="40% - Accent5 26 3 2" xfId="0"/>
    <cellStyle name="40% - Accent5 26 4" xfId="0"/>
    <cellStyle name="40% - Accent5 26_RH et QS" xfId="0"/>
    <cellStyle name="40% - Accent5 27" xfId="0"/>
    <cellStyle name="40% - Accent5 27 2" xfId="0"/>
    <cellStyle name="40% - Accent5 27 2 2" xfId="0"/>
    <cellStyle name="40% - Accent5 27 2 2 2" xfId="0"/>
    <cellStyle name="40% - Accent5 27 2 3" xfId="0"/>
    <cellStyle name="40% - Accent5 27 3" xfId="0"/>
    <cellStyle name="40% - Accent5 27 3 2" xfId="0"/>
    <cellStyle name="40% - Accent5 27 4" xfId="0"/>
    <cellStyle name="40% - Accent5 27_RH et QS" xfId="0"/>
    <cellStyle name="40% - Accent5 28" xfId="0"/>
    <cellStyle name="40% - Accent5 28 2" xfId="0"/>
    <cellStyle name="40% - Accent5 28 2 2" xfId="0"/>
    <cellStyle name="40% - Accent5 28 2 2 2" xfId="0"/>
    <cellStyle name="40% - Accent5 28 2 3" xfId="0"/>
    <cellStyle name="40% - Accent5 28 3" xfId="0"/>
    <cellStyle name="40% - Accent5 28 3 2" xfId="0"/>
    <cellStyle name="40% - Accent5 28 4" xfId="0"/>
    <cellStyle name="40% - Accent5 28_RH et QS" xfId="0"/>
    <cellStyle name="40% - Accent5 2_RH et QS" xfId="0"/>
    <cellStyle name="40% - Accent5 3" xfId="0"/>
    <cellStyle name="40% - Accent5 3 2" xfId="0"/>
    <cellStyle name="40% - Accent5 3 2 2" xfId="0"/>
    <cellStyle name="40% - Accent5 3 2 2 2" xfId="0"/>
    <cellStyle name="40% - Accent5 3 2 3" xfId="0"/>
    <cellStyle name="40% - Accent5 3 3" xfId="0"/>
    <cellStyle name="40% - Accent5 3 3 2" xfId="0"/>
    <cellStyle name="40% - Accent5 3 4" xfId="0"/>
    <cellStyle name="40% - Accent5 3_RH et QS" xfId="0"/>
    <cellStyle name="40% - Accent5 4" xfId="0"/>
    <cellStyle name="40% - Accent5 4 2" xfId="0"/>
    <cellStyle name="40% - Accent5 4 2 2" xfId="0"/>
    <cellStyle name="40% - Accent5 4 2 2 2" xfId="0"/>
    <cellStyle name="40% - Accent5 4 2 3" xfId="0"/>
    <cellStyle name="40% - Accent5 4 3" xfId="0"/>
    <cellStyle name="40% - Accent5 4 3 2" xfId="0"/>
    <cellStyle name="40% - Accent5 4 4" xfId="0"/>
    <cellStyle name="40% - Accent5 4_RH et QS" xfId="0"/>
    <cellStyle name="40% - Accent5 5" xfId="0"/>
    <cellStyle name="40% - Accent5 5 2" xfId="0"/>
    <cellStyle name="40% - Accent5 5 2 2" xfId="0"/>
    <cellStyle name="40% - Accent5 5 2 2 2" xfId="0"/>
    <cellStyle name="40% - Accent5 5 2 3" xfId="0"/>
    <cellStyle name="40% - Accent5 5 3" xfId="0"/>
    <cellStyle name="40% - Accent5 5 3 2" xfId="0"/>
    <cellStyle name="40% - Accent5 5 4" xfId="0"/>
    <cellStyle name="40% - Accent5 5_RH et QS" xfId="0"/>
    <cellStyle name="40% - Accent5 6" xfId="0"/>
    <cellStyle name="40% - Accent5 6 2" xfId="0"/>
    <cellStyle name="40% - Accent5 6 2 2" xfId="0"/>
    <cellStyle name="40% - Accent5 6 2 2 2" xfId="0"/>
    <cellStyle name="40% - Accent5 6 2 3" xfId="0"/>
    <cellStyle name="40% - Accent5 6 3" xfId="0"/>
    <cellStyle name="40% - Accent5 6 3 2" xfId="0"/>
    <cellStyle name="40% - Accent5 6 4" xfId="0"/>
    <cellStyle name="40% - Accent5 6_RH et QS" xfId="0"/>
    <cellStyle name="40% - Accent5 7" xfId="0"/>
    <cellStyle name="40% - Accent5 7 2" xfId="0"/>
    <cellStyle name="40% - Accent5 7 2 2" xfId="0"/>
    <cellStyle name="40% - Accent5 7 2 2 2" xfId="0"/>
    <cellStyle name="40% - Accent5 7 2 3" xfId="0"/>
    <cellStyle name="40% - Accent5 7 3" xfId="0"/>
    <cellStyle name="40% - Accent5 7 3 2" xfId="0"/>
    <cellStyle name="40% - Accent5 7 4" xfId="0"/>
    <cellStyle name="40% - Accent5 7_RH et QS" xfId="0"/>
    <cellStyle name="40% - Accent5 8" xfId="0"/>
    <cellStyle name="40% - Accent5 8 2" xfId="0"/>
    <cellStyle name="40% - Accent5 8 2 2" xfId="0"/>
    <cellStyle name="40% - Accent5 8 2 2 2" xfId="0"/>
    <cellStyle name="40% - Accent5 8 2 3" xfId="0"/>
    <cellStyle name="40% - Accent5 8 3" xfId="0"/>
    <cellStyle name="40% - Accent5 8 3 2" xfId="0"/>
    <cellStyle name="40% - Accent5 8 4" xfId="0"/>
    <cellStyle name="40% - Accent5 8_RH et QS" xfId="0"/>
    <cellStyle name="40% - Accent5 9" xfId="0"/>
    <cellStyle name="40% - Accent5 9 2" xfId="0"/>
    <cellStyle name="40% - Accent5 9 2 2" xfId="0"/>
    <cellStyle name="40% - Accent5 9 2 2 2" xfId="0"/>
    <cellStyle name="40% - Accent5 9 2 3" xfId="0"/>
    <cellStyle name="40% - Accent5 9 3" xfId="0"/>
    <cellStyle name="40% - Accent5 9 3 2" xfId="0"/>
    <cellStyle name="40% - Accent5 9 4" xfId="0"/>
    <cellStyle name="40% - Accent5 9_RH et QS" xfId="0"/>
    <cellStyle name="40% - Accent6 10" xfId="0"/>
    <cellStyle name="40% - Accent6 10 2" xfId="0"/>
    <cellStyle name="40% - Accent6 10 2 2" xfId="0"/>
    <cellStyle name="40% - Accent6 10 2 2 2" xfId="0"/>
    <cellStyle name="40% - Accent6 10 2 3" xfId="0"/>
    <cellStyle name="40% - Accent6 10 3" xfId="0"/>
    <cellStyle name="40% - Accent6 10 3 2" xfId="0"/>
    <cellStyle name="40% - Accent6 10 4" xfId="0"/>
    <cellStyle name="40% - Accent6 10_RH et QS" xfId="0"/>
    <cellStyle name="40% - Accent6 11" xfId="0"/>
    <cellStyle name="40% - Accent6 11 2" xfId="0"/>
    <cellStyle name="40% - Accent6 11 2 2" xfId="0"/>
    <cellStyle name="40% - Accent6 11 2 2 2" xfId="0"/>
    <cellStyle name="40% - Accent6 11 2 3" xfId="0"/>
    <cellStyle name="40% - Accent6 11 3" xfId="0"/>
    <cellStyle name="40% - Accent6 11 3 2" xfId="0"/>
    <cellStyle name="40% - Accent6 11 4" xfId="0"/>
    <cellStyle name="40% - Accent6 11_RH et QS" xfId="0"/>
    <cellStyle name="40% - Accent6 12" xfId="0"/>
    <cellStyle name="40% - Accent6 12 2" xfId="0"/>
    <cellStyle name="40% - Accent6 12 2 2" xfId="0"/>
    <cellStyle name="40% - Accent6 12 2 2 2" xfId="0"/>
    <cellStyle name="40% - Accent6 12 2 3" xfId="0"/>
    <cellStyle name="40% - Accent6 12 3" xfId="0"/>
    <cellStyle name="40% - Accent6 12 3 2" xfId="0"/>
    <cellStyle name="40% - Accent6 12 4" xfId="0"/>
    <cellStyle name="40% - Accent6 12_RH et QS" xfId="0"/>
    <cellStyle name="40% - Accent6 13" xfId="0"/>
    <cellStyle name="40% - Accent6 13 2" xfId="0"/>
    <cellStyle name="40% - Accent6 13 2 2" xfId="0"/>
    <cellStyle name="40% - Accent6 13 2 2 2" xfId="0"/>
    <cellStyle name="40% - Accent6 13 2 3" xfId="0"/>
    <cellStyle name="40% - Accent6 13 3" xfId="0"/>
    <cellStyle name="40% - Accent6 13 3 2" xfId="0"/>
    <cellStyle name="40% - Accent6 13 4" xfId="0"/>
    <cellStyle name="40% - Accent6 13_RH et QS" xfId="0"/>
    <cellStyle name="40% - Accent6 14" xfId="0"/>
    <cellStyle name="40% - Accent6 14 2" xfId="0"/>
    <cellStyle name="40% - Accent6 14 2 2" xfId="0"/>
    <cellStyle name="40% - Accent6 14 2 2 2" xfId="0"/>
    <cellStyle name="40% - Accent6 14 2 3" xfId="0"/>
    <cellStyle name="40% - Accent6 14 3" xfId="0"/>
    <cellStyle name="40% - Accent6 14 3 2" xfId="0"/>
    <cellStyle name="40% - Accent6 14 4" xfId="0"/>
    <cellStyle name="40% - Accent6 14_RH et QS" xfId="0"/>
    <cellStyle name="40% - Accent6 15" xfId="0"/>
    <cellStyle name="40% - Accent6 15 2" xfId="0"/>
    <cellStyle name="40% - Accent6 15 2 2" xfId="0"/>
    <cellStyle name="40% - Accent6 15 2 2 2" xfId="0"/>
    <cellStyle name="40% - Accent6 15 2 3" xfId="0"/>
    <cellStyle name="40% - Accent6 15 3" xfId="0"/>
    <cellStyle name="40% - Accent6 15 3 2" xfId="0"/>
    <cellStyle name="40% - Accent6 15 4" xfId="0"/>
    <cellStyle name="40% - Accent6 15_RH et QS" xfId="0"/>
    <cellStyle name="40% - Accent6 16" xfId="0"/>
    <cellStyle name="40% - Accent6 16 2" xfId="0"/>
    <cellStyle name="40% - Accent6 16 2 2" xfId="0"/>
    <cellStyle name="40% - Accent6 16 2 2 2" xfId="0"/>
    <cellStyle name="40% - Accent6 16 2 3" xfId="0"/>
    <cellStyle name="40% - Accent6 16 3" xfId="0"/>
    <cellStyle name="40% - Accent6 16 3 2" xfId="0"/>
    <cellStyle name="40% - Accent6 16 4" xfId="0"/>
    <cellStyle name="40% - Accent6 16_RH et QS" xfId="0"/>
    <cellStyle name="40% - Accent6 17" xfId="0"/>
    <cellStyle name="40% - Accent6 17 2" xfId="0"/>
    <cellStyle name="40% - Accent6 17 2 2" xfId="0"/>
    <cellStyle name="40% - Accent6 17 2 2 2" xfId="0"/>
    <cellStyle name="40% - Accent6 17 2 3" xfId="0"/>
    <cellStyle name="40% - Accent6 17 3" xfId="0"/>
    <cellStyle name="40% - Accent6 17 3 2" xfId="0"/>
    <cellStyle name="40% - Accent6 17 4" xfId="0"/>
    <cellStyle name="40% - Accent6 17_RH et QS" xfId="0"/>
    <cellStyle name="40% - Accent6 18" xfId="0"/>
    <cellStyle name="40% - Accent6 18 2" xfId="0"/>
    <cellStyle name="40% - Accent6 18 2 2" xfId="0"/>
    <cellStyle name="40% - Accent6 18 2 2 2" xfId="0"/>
    <cellStyle name="40% - Accent6 18 2 3" xfId="0"/>
    <cellStyle name="40% - Accent6 18 3" xfId="0"/>
    <cellStyle name="40% - Accent6 18 3 2" xfId="0"/>
    <cellStyle name="40% - Accent6 18 4" xfId="0"/>
    <cellStyle name="40% - Accent6 18_RH et QS" xfId="0"/>
    <cellStyle name="40% - Accent6 19" xfId="0"/>
    <cellStyle name="40% - Accent6 19 2" xfId="0"/>
    <cellStyle name="40% - Accent6 19 2 2" xfId="0"/>
    <cellStyle name="40% - Accent6 19 2 2 2" xfId="0"/>
    <cellStyle name="40% - Accent6 19 2 3" xfId="0"/>
    <cellStyle name="40% - Accent6 19 3" xfId="0"/>
    <cellStyle name="40% - Accent6 19 3 2" xfId="0"/>
    <cellStyle name="40% - Accent6 19 4" xfId="0"/>
    <cellStyle name="40% - Accent6 19_RH et QS" xfId="0"/>
    <cellStyle name="40% - Accent6 2" xfId="0"/>
    <cellStyle name="40% - Accent6 2 2" xfId="0"/>
    <cellStyle name="40% - Accent6 2 2 2" xfId="0"/>
    <cellStyle name="40% - Accent6 2 2 2 2" xfId="0"/>
    <cellStyle name="40% - Accent6 2 2 3" xfId="0"/>
    <cellStyle name="40% - Accent6 2 3" xfId="0"/>
    <cellStyle name="40% - Accent6 2 3 2" xfId="0"/>
    <cellStyle name="40% - Accent6 2 4" xfId="0"/>
    <cellStyle name="40% - Accent6 20" xfId="0"/>
    <cellStyle name="40% - Accent6 20 2" xfId="0"/>
    <cellStyle name="40% - Accent6 20 2 2" xfId="0"/>
    <cellStyle name="40% - Accent6 20 2 2 2" xfId="0"/>
    <cellStyle name="40% - Accent6 20 2 3" xfId="0"/>
    <cellStyle name="40% - Accent6 20 3" xfId="0"/>
    <cellStyle name="40% - Accent6 20 3 2" xfId="0"/>
    <cellStyle name="40% - Accent6 20 4" xfId="0"/>
    <cellStyle name="40% - Accent6 20_RH et QS" xfId="0"/>
    <cellStyle name="40% - Accent6 21" xfId="0"/>
    <cellStyle name="40% - Accent6 21 2" xfId="0"/>
    <cellStyle name="40% - Accent6 21 2 2" xfId="0"/>
    <cellStyle name="40% - Accent6 21 2 2 2" xfId="0"/>
    <cellStyle name="40% - Accent6 21 2 3" xfId="0"/>
    <cellStyle name="40% - Accent6 21 3" xfId="0"/>
    <cellStyle name="40% - Accent6 21 3 2" xfId="0"/>
    <cellStyle name="40% - Accent6 21 4" xfId="0"/>
    <cellStyle name="40% - Accent6 21_RH et QS" xfId="0"/>
    <cellStyle name="40% - Accent6 22" xfId="0"/>
    <cellStyle name="40% - Accent6 22 2" xfId="0"/>
    <cellStyle name="40% - Accent6 22 2 2" xfId="0"/>
    <cellStyle name="40% - Accent6 22 2 2 2" xfId="0"/>
    <cellStyle name="40% - Accent6 22 2 3" xfId="0"/>
    <cellStyle name="40% - Accent6 22 3" xfId="0"/>
    <cellStyle name="40% - Accent6 22 3 2" xfId="0"/>
    <cellStyle name="40% - Accent6 22 4" xfId="0"/>
    <cellStyle name="40% - Accent6 22_RH et QS" xfId="0"/>
    <cellStyle name="40% - Accent6 23" xfId="0"/>
    <cellStyle name="40% - Accent6 23 2" xfId="0"/>
    <cellStyle name="40% - Accent6 23 2 2" xfId="0"/>
    <cellStyle name="40% - Accent6 23 2 2 2" xfId="0"/>
    <cellStyle name="40% - Accent6 23 2 3" xfId="0"/>
    <cellStyle name="40% - Accent6 23 3" xfId="0"/>
    <cellStyle name="40% - Accent6 23 3 2" xfId="0"/>
    <cellStyle name="40% - Accent6 23 4" xfId="0"/>
    <cellStyle name="40% - Accent6 23_RH et QS" xfId="0"/>
    <cellStyle name="40% - Accent6 24" xfId="0"/>
    <cellStyle name="40% - Accent6 24 2" xfId="0"/>
    <cellStyle name="40% - Accent6 24 2 2" xfId="0"/>
    <cellStyle name="40% - Accent6 24 2 2 2" xfId="0"/>
    <cellStyle name="40% - Accent6 24 2 3" xfId="0"/>
    <cellStyle name="40% - Accent6 24 3" xfId="0"/>
    <cellStyle name="40% - Accent6 24 3 2" xfId="0"/>
    <cellStyle name="40% - Accent6 24 4" xfId="0"/>
    <cellStyle name="40% - Accent6 24_RH et QS" xfId="0"/>
    <cellStyle name="40% - Accent6 25" xfId="0"/>
    <cellStyle name="40% - Accent6 25 2" xfId="0"/>
    <cellStyle name="40% - Accent6 25 2 2" xfId="0"/>
    <cellStyle name="40% - Accent6 25 2 2 2" xfId="0"/>
    <cellStyle name="40% - Accent6 25 2 3" xfId="0"/>
    <cellStyle name="40% - Accent6 25 3" xfId="0"/>
    <cellStyle name="40% - Accent6 25 3 2" xfId="0"/>
    <cellStyle name="40% - Accent6 25 4" xfId="0"/>
    <cellStyle name="40% - Accent6 25_RH et QS" xfId="0"/>
    <cellStyle name="40% - Accent6 26" xfId="0"/>
    <cellStyle name="40% - Accent6 26 2" xfId="0"/>
    <cellStyle name="40% - Accent6 26 2 2" xfId="0"/>
    <cellStyle name="40% - Accent6 26 2 2 2" xfId="0"/>
    <cellStyle name="40% - Accent6 26 2 3" xfId="0"/>
    <cellStyle name="40% - Accent6 26 3" xfId="0"/>
    <cellStyle name="40% - Accent6 26 3 2" xfId="0"/>
    <cellStyle name="40% - Accent6 26 4" xfId="0"/>
    <cellStyle name="40% - Accent6 26_RH et QS" xfId="0"/>
    <cellStyle name="40% - Accent6 27" xfId="0"/>
    <cellStyle name="40% - Accent6 27 2" xfId="0"/>
    <cellStyle name="40% - Accent6 27 2 2" xfId="0"/>
    <cellStyle name="40% - Accent6 27 2 2 2" xfId="0"/>
    <cellStyle name="40% - Accent6 27 2 3" xfId="0"/>
    <cellStyle name="40% - Accent6 27 3" xfId="0"/>
    <cellStyle name="40% - Accent6 27 3 2" xfId="0"/>
    <cellStyle name="40% - Accent6 27 4" xfId="0"/>
    <cellStyle name="40% - Accent6 27_RH et QS" xfId="0"/>
    <cellStyle name="40% - Accent6 28" xfId="0"/>
    <cellStyle name="40% - Accent6 28 2" xfId="0"/>
    <cellStyle name="40% - Accent6 28 2 2" xfId="0"/>
    <cellStyle name="40% - Accent6 28 2 2 2" xfId="0"/>
    <cellStyle name="40% - Accent6 28 2 3" xfId="0"/>
    <cellStyle name="40% - Accent6 28 3" xfId="0"/>
    <cellStyle name="40% - Accent6 28 3 2" xfId="0"/>
    <cellStyle name="40% - Accent6 28 4" xfId="0"/>
    <cellStyle name="40% - Accent6 28_RH et QS" xfId="0"/>
    <cellStyle name="40% - Accent6 2_RH et QS" xfId="0"/>
    <cellStyle name="40% - Accent6 3" xfId="0"/>
    <cellStyle name="40% - Accent6 3 2" xfId="0"/>
    <cellStyle name="40% - Accent6 3 2 2" xfId="0"/>
    <cellStyle name="40% - Accent6 3 2 2 2" xfId="0"/>
    <cellStyle name="40% - Accent6 3 2 3" xfId="0"/>
    <cellStyle name="40% - Accent6 3 3" xfId="0"/>
    <cellStyle name="40% - Accent6 3 3 2" xfId="0"/>
    <cellStyle name="40% - Accent6 3 4" xfId="0"/>
    <cellStyle name="40% - Accent6 3_RH et QS" xfId="0"/>
    <cellStyle name="40% - Accent6 4" xfId="0"/>
    <cellStyle name="40% - Accent6 4 2" xfId="0"/>
    <cellStyle name="40% - Accent6 4 2 2" xfId="0"/>
    <cellStyle name="40% - Accent6 4 2 2 2" xfId="0"/>
    <cellStyle name="40% - Accent6 4 2 3" xfId="0"/>
    <cellStyle name="40% - Accent6 4 3" xfId="0"/>
    <cellStyle name="40% - Accent6 4 3 2" xfId="0"/>
    <cellStyle name="40% - Accent6 4 4" xfId="0"/>
    <cellStyle name="40% - Accent6 4_RH et QS" xfId="0"/>
    <cellStyle name="40% - Accent6 5" xfId="0"/>
    <cellStyle name="40% - Accent6 5 2" xfId="0"/>
    <cellStyle name="40% - Accent6 5 2 2" xfId="0"/>
    <cellStyle name="40% - Accent6 5 2 2 2" xfId="0"/>
    <cellStyle name="40% - Accent6 5 2 3" xfId="0"/>
    <cellStyle name="40% - Accent6 5 3" xfId="0"/>
    <cellStyle name="40% - Accent6 5 3 2" xfId="0"/>
    <cellStyle name="40% - Accent6 5 4" xfId="0"/>
    <cellStyle name="40% - Accent6 5_RH et QS" xfId="0"/>
    <cellStyle name="40% - Accent6 6" xfId="0"/>
    <cellStyle name="40% - Accent6 6 2" xfId="0"/>
    <cellStyle name="40% - Accent6 6 2 2" xfId="0"/>
    <cellStyle name="40% - Accent6 6 2 2 2" xfId="0"/>
    <cellStyle name="40% - Accent6 6 2 3" xfId="0"/>
    <cellStyle name="40% - Accent6 6 3" xfId="0"/>
    <cellStyle name="40% - Accent6 6 3 2" xfId="0"/>
    <cellStyle name="40% - Accent6 6 4" xfId="0"/>
    <cellStyle name="40% - Accent6 6_RH et QS" xfId="0"/>
    <cellStyle name="40% - Accent6 7" xfId="0"/>
    <cellStyle name="40% - Accent6 7 2" xfId="0"/>
    <cellStyle name="40% - Accent6 7 2 2" xfId="0"/>
    <cellStyle name="40% - Accent6 7 2 2 2" xfId="0"/>
    <cellStyle name="40% - Accent6 7 2 3" xfId="0"/>
    <cellStyle name="40% - Accent6 7 3" xfId="0"/>
    <cellStyle name="40% - Accent6 7 3 2" xfId="0"/>
    <cellStyle name="40% - Accent6 7 4" xfId="0"/>
    <cellStyle name="40% - Accent6 7_RH et QS" xfId="0"/>
    <cellStyle name="40% - Accent6 8" xfId="0"/>
    <cellStyle name="40% - Accent6 8 2" xfId="0"/>
    <cellStyle name="40% - Accent6 8 2 2" xfId="0"/>
    <cellStyle name="40% - Accent6 8 2 2 2" xfId="0"/>
    <cellStyle name="40% - Accent6 8 2 3" xfId="0"/>
    <cellStyle name="40% - Accent6 8 3" xfId="0"/>
    <cellStyle name="40% - Accent6 8 3 2" xfId="0"/>
    <cellStyle name="40% - Accent6 8 4" xfId="0"/>
    <cellStyle name="40% - Accent6 8_RH et QS" xfId="0"/>
    <cellStyle name="40% - Accent6 9" xfId="0"/>
    <cellStyle name="40% - Accent6 9 2" xfId="0"/>
    <cellStyle name="40% - Accent6 9 2 2" xfId="0"/>
    <cellStyle name="40% - Accent6 9 2 2 2" xfId="0"/>
    <cellStyle name="40% - Accent6 9 2 3" xfId="0"/>
    <cellStyle name="40% - Accent6 9 3" xfId="0"/>
    <cellStyle name="40% - Accent6 9 3 2" xfId="0"/>
    <cellStyle name="40% - Accent6 9 4" xfId="0"/>
    <cellStyle name="40% - Accent6 9_RH et QS" xfId="0"/>
    <cellStyle name="40 % - Accent1 10" xfId="0"/>
    <cellStyle name="40 % - Accent1 10 2" xfId="0"/>
    <cellStyle name="40 % - Accent1 10 2 2" xfId="0"/>
    <cellStyle name="40 % - Accent1 10 2 2 2" xfId="0"/>
    <cellStyle name="40 % - Accent1 10 2 2 2 2" xfId="0"/>
    <cellStyle name="40 % - Accent1 10 2 2 3" xfId="0"/>
    <cellStyle name="40 % - Accent1 10 2 3" xfId="0"/>
    <cellStyle name="40 % - Accent1 10 2 3 2" xfId="0"/>
    <cellStyle name="40 % - Accent1 10 2 4" xfId="0"/>
    <cellStyle name="40 % - Accent1 10 2_RH et QS" xfId="0"/>
    <cellStyle name="40 % - Accent1 10 3" xfId="0"/>
    <cellStyle name="40 % - Accent1 10 3 2" xfId="0"/>
    <cellStyle name="40 % - Accent1 10 3 2 2" xfId="0"/>
    <cellStyle name="40 % - Accent1 10 3 2 2 2" xfId="0"/>
    <cellStyle name="40 % - Accent1 10 3 2 3" xfId="0"/>
    <cellStyle name="40 % - Accent1 10 3 3" xfId="0"/>
    <cellStyle name="40 % - Accent1 10 3 3 2" xfId="0"/>
    <cellStyle name="40 % - Accent1 10 3 4" xfId="0"/>
    <cellStyle name="40 % - Accent1 10 3_RH et QS" xfId="0"/>
    <cellStyle name="40 % - Accent1 10 4" xfId="0"/>
    <cellStyle name="40 % - Accent1 10 4 2" xfId="0"/>
    <cellStyle name="40 % - Accent1 10 4 2 2" xfId="0"/>
    <cellStyle name="40 % - Accent1 10 4 3" xfId="0"/>
    <cellStyle name="40 % - Accent1 10 5" xfId="0"/>
    <cellStyle name="40 % - Accent1 10 5 2" xfId="0"/>
    <cellStyle name="40 % - Accent1 10 6" xfId="0"/>
    <cellStyle name="40 % - Accent1 10_RH et QS" xfId="0"/>
    <cellStyle name="40 % - Accent1 11" xfId="0"/>
    <cellStyle name="40 % - Accent1 11 2" xfId="0"/>
    <cellStyle name="40 % - Accent1 11 2 2" xfId="0"/>
    <cellStyle name="40 % - Accent1 11 2 2 2" xfId="0"/>
    <cellStyle name="40 % - Accent1 11 2 3" xfId="0"/>
    <cellStyle name="40 % - Accent1 11 3" xfId="0"/>
    <cellStyle name="40 % - Accent1 11 3 2" xfId="0"/>
    <cellStyle name="40 % - Accent1 11 4" xfId="0"/>
    <cellStyle name="40 % - Accent1 11_RH et QS" xfId="0"/>
    <cellStyle name="40 % - Accent1 12" xfId="0"/>
    <cellStyle name="40 % - Accent1 12 2" xfId="0"/>
    <cellStyle name="40 % - Accent1 12 2 2" xfId="0"/>
    <cellStyle name="40 % - Accent1 12 2 2 2" xfId="0"/>
    <cellStyle name="40 % - Accent1 12 2 3" xfId="0"/>
    <cellStyle name="40 % - Accent1 12 3" xfId="0"/>
    <cellStyle name="40 % - Accent1 12 3 2" xfId="0"/>
    <cellStyle name="40 % - Accent1 12 4" xfId="0"/>
    <cellStyle name="40 % - Accent1 12_RH et QS" xfId="0"/>
    <cellStyle name="40 % - Accent1 13" xfId="0"/>
    <cellStyle name="40 % - Accent1 13 2" xfId="0"/>
    <cellStyle name="40 % - Accent1 13 2 2" xfId="0"/>
    <cellStyle name="40 % - Accent1 13 2 2 2" xfId="0"/>
    <cellStyle name="40 % - Accent1 13 2 3" xfId="0"/>
    <cellStyle name="40 % - Accent1 13 3" xfId="0"/>
    <cellStyle name="40 % - Accent1 13 3 2" xfId="0"/>
    <cellStyle name="40 % - Accent1 13 4" xfId="0"/>
    <cellStyle name="40 % - Accent1 13_RH et QS" xfId="0"/>
    <cellStyle name="40 % - Accent1 14" xfId="0"/>
    <cellStyle name="40 % - Accent1 14 2" xfId="0"/>
    <cellStyle name="40 % - Accent1 15" xfId="0"/>
    <cellStyle name="40 % - Accent1 2" xfId="0"/>
    <cellStyle name="40 % - Accent1 2 2" xfId="0"/>
    <cellStyle name="40 % - Accent1 2 2 2" xfId="0"/>
    <cellStyle name="40 % - Accent1 2 2 3" xfId="0"/>
    <cellStyle name="40 % - Accent1 2 2_Parc Mobile" xfId="0"/>
    <cellStyle name="40 % - Accent1 2 3" xfId="0"/>
    <cellStyle name="40 % - Accent1 2 4" xfId="0"/>
    <cellStyle name="40 % - Accent1 2 5" xfId="0"/>
    <cellStyle name="40 % - Accent1 2_CA Fixe" xfId="0"/>
    <cellStyle name="40 % - Accent1 3" xfId="0"/>
    <cellStyle name="40 % - Accent1 3 2" xfId="0"/>
    <cellStyle name="40 % - Accent1 3 2 2" xfId="0"/>
    <cellStyle name="40 % - Accent1 3 2_Parc Mobile" xfId="0"/>
    <cellStyle name="40 % - Accent1 3 3" xfId="0"/>
    <cellStyle name="40 % - Accent1 3 4" xfId="0"/>
    <cellStyle name="40 % - Accent1 3 5" xfId="0"/>
    <cellStyle name="40 % - Accent1 3_CA Fixe" xfId="0"/>
    <cellStyle name="40 % - Accent1 4" xfId="0"/>
    <cellStyle name="40 % - Accent1 4 2" xfId="0"/>
    <cellStyle name="40 % - Accent1 4 2 2" xfId="0"/>
    <cellStyle name="40 % - Accent1 4 2_Parc Mobile" xfId="0"/>
    <cellStyle name="40 % - Accent1 4 3" xfId="0"/>
    <cellStyle name="40 % - Accent1 4 4" xfId="0"/>
    <cellStyle name="40 % - Accent1 4 5" xfId="0"/>
    <cellStyle name="40 % - Accent1 4_CA Fixe" xfId="0"/>
    <cellStyle name="40 % - Accent1 5" xfId="0"/>
    <cellStyle name="40 % - Accent1 5 2" xfId="0"/>
    <cellStyle name="40 % - Accent1 6" xfId="0"/>
    <cellStyle name="40 % - Accent1 6 2" xfId="0"/>
    <cellStyle name="40 % - Accent1 7" xfId="0"/>
    <cellStyle name="40 % - Accent1 7 2" xfId="0"/>
    <cellStyle name="40 % - Accent1 7 2 2" xfId="0"/>
    <cellStyle name="40 % - Accent1 7 2 2 2" xfId="0"/>
    <cellStyle name="40 % - Accent1 7 2 2 2 2" xfId="0"/>
    <cellStyle name="40 % - Accent1 7 2 2 3" xfId="0"/>
    <cellStyle name="40 % - Accent1 7 2 3" xfId="0"/>
    <cellStyle name="40 % - Accent1 7 2 3 2" xfId="0"/>
    <cellStyle name="40 % - Accent1 7 2 4" xfId="0"/>
    <cellStyle name="40 % - Accent1 7 2_RH et QS" xfId="0"/>
    <cellStyle name="40 % - Accent1 7 3" xfId="0"/>
    <cellStyle name="40 % - Accent1 7 3 2" xfId="0"/>
    <cellStyle name="40 % - Accent1 7 3 2 2" xfId="0"/>
    <cellStyle name="40 % - Accent1 7 3 2 2 2" xfId="0"/>
    <cellStyle name="40 % - Accent1 7 3 2 3" xfId="0"/>
    <cellStyle name="40 % - Accent1 7 3 3" xfId="0"/>
    <cellStyle name="40 % - Accent1 7 3 3 2" xfId="0"/>
    <cellStyle name="40 % - Accent1 7 3 4" xfId="0"/>
    <cellStyle name="40 % - Accent1 7 3_RH et QS" xfId="0"/>
    <cellStyle name="40 % - Accent1 7 4" xfId="0"/>
    <cellStyle name="40 % - Accent1 7 4 2" xfId="0"/>
    <cellStyle name="40 % - Accent1 7 4 2 2" xfId="0"/>
    <cellStyle name="40 % - Accent1 7 4 3" xfId="0"/>
    <cellStyle name="40 % - Accent1 7 5" xfId="0"/>
    <cellStyle name="40 % - Accent1 7 5 2" xfId="0"/>
    <cellStyle name="40 % - Accent1 7 6" xfId="0"/>
    <cellStyle name="40 % - Accent1 7_RH et QS" xfId="0"/>
    <cellStyle name="40 % - Accent1 8" xfId="0"/>
    <cellStyle name="40 % - Accent1 8 2" xfId="0"/>
    <cellStyle name="40 % - Accent1 8 2 2" xfId="0"/>
    <cellStyle name="40 % - Accent1 8 2 2 2" xfId="0"/>
    <cellStyle name="40 % - Accent1 8 2 2 2 2" xfId="0"/>
    <cellStyle name="40 % - Accent1 8 2 2 3" xfId="0"/>
    <cellStyle name="40 % - Accent1 8 2 3" xfId="0"/>
    <cellStyle name="40 % - Accent1 8 2 3 2" xfId="0"/>
    <cellStyle name="40 % - Accent1 8 2 4" xfId="0"/>
    <cellStyle name="40 % - Accent1 8 2_RH et QS" xfId="0"/>
    <cellStyle name="40 % - Accent1 8 3" xfId="0"/>
    <cellStyle name="40 % - Accent1 8 3 2" xfId="0"/>
    <cellStyle name="40 % - Accent1 8 3 2 2" xfId="0"/>
    <cellStyle name="40 % - Accent1 8 3 2 2 2" xfId="0"/>
    <cellStyle name="40 % - Accent1 8 3 2 3" xfId="0"/>
    <cellStyle name="40 % - Accent1 8 3 3" xfId="0"/>
    <cellStyle name="40 % - Accent1 8 3 3 2" xfId="0"/>
    <cellStyle name="40 % - Accent1 8 3 4" xfId="0"/>
    <cellStyle name="40 % - Accent1 8 3_RH et QS" xfId="0"/>
    <cellStyle name="40 % - Accent1 8 4" xfId="0"/>
    <cellStyle name="40 % - Accent1 8 4 2" xfId="0"/>
    <cellStyle name="40 % - Accent1 8 4 2 2" xfId="0"/>
    <cellStyle name="40 % - Accent1 8 4 3" xfId="0"/>
    <cellStyle name="40 % - Accent1 8 5" xfId="0"/>
    <cellStyle name="40 % - Accent1 8 5 2" xfId="0"/>
    <cellStyle name="40 % - Accent1 8 6" xfId="0"/>
    <cellStyle name="40 % - Accent1 8_RH et QS" xfId="0"/>
    <cellStyle name="40 % - Accent1 9" xfId="0"/>
    <cellStyle name="40 % - Accent1 9 2" xfId="0"/>
    <cellStyle name="40 % - Accent1 9 2 2" xfId="0"/>
    <cellStyle name="40 % - Accent1 9 2 2 2" xfId="0"/>
    <cellStyle name="40 % - Accent1 9 2 2 2 2" xfId="0"/>
    <cellStyle name="40 % - Accent1 9 2 2 3" xfId="0"/>
    <cellStyle name="40 % - Accent1 9 2 3" xfId="0"/>
    <cellStyle name="40 % - Accent1 9 2 3 2" xfId="0"/>
    <cellStyle name="40 % - Accent1 9 2 4" xfId="0"/>
    <cellStyle name="40 % - Accent1 9 2_RH et QS" xfId="0"/>
    <cellStyle name="40 % - Accent1 9 3" xfId="0"/>
    <cellStyle name="40 % - Accent1 9 3 2" xfId="0"/>
    <cellStyle name="40 % - Accent1 9 3 2 2" xfId="0"/>
    <cellStyle name="40 % - Accent1 9 3 2 2 2" xfId="0"/>
    <cellStyle name="40 % - Accent1 9 3 2 3" xfId="0"/>
    <cellStyle name="40 % - Accent1 9 3 3" xfId="0"/>
    <cellStyle name="40 % - Accent1 9 3 3 2" xfId="0"/>
    <cellStyle name="40 % - Accent1 9 3 4" xfId="0"/>
    <cellStyle name="40 % - Accent1 9 3_RH et QS" xfId="0"/>
    <cellStyle name="40 % - Accent1 9 4" xfId="0"/>
    <cellStyle name="40 % - Accent1 9 4 2" xfId="0"/>
    <cellStyle name="40 % - Accent1 9 4 2 2" xfId="0"/>
    <cellStyle name="40 % - Accent1 9 4 3" xfId="0"/>
    <cellStyle name="40 % - Accent1 9 5" xfId="0"/>
    <cellStyle name="40 % - Accent1 9 5 2" xfId="0"/>
    <cellStyle name="40 % - Accent1 9 6" xfId="0"/>
    <cellStyle name="40 % - Accent1 9_RH et QS" xfId="0"/>
    <cellStyle name="40 % - Accent2 10" xfId="0"/>
    <cellStyle name="40 % - Accent2 10 2" xfId="0"/>
    <cellStyle name="40 % - Accent2 10 2 2" xfId="0"/>
    <cellStyle name="40 % - Accent2 10 2 2 2" xfId="0"/>
    <cellStyle name="40 % - Accent2 10 2 2 2 2" xfId="0"/>
    <cellStyle name="40 % - Accent2 10 2 2 3" xfId="0"/>
    <cellStyle name="40 % - Accent2 10 2 3" xfId="0"/>
    <cellStyle name="40 % - Accent2 10 2 3 2" xfId="0"/>
    <cellStyle name="40 % - Accent2 10 2 4" xfId="0"/>
    <cellStyle name="40 % - Accent2 10 2_RH et QS" xfId="0"/>
    <cellStyle name="40 % - Accent2 10 3" xfId="0"/>
    <cellStyle name="40 % - Accent2 10 3 2" xfId="0"/>
    <cellStyle name="40 % - Accent2 10 3 2 2" xfId="0"/>
    <cellStyle name="40 % - Accent2 10 3 2 2 2" xfId="0"/>
    <cellStyle name="40 % - Accent2 10 3 2 3" xfId="0"/>
    <cellStyle name="40 % - Accent2 10 3 3" xfId="0"/>
    <cellStyle name="40 % - Accent2 10 3 3 2" xfId="0"/>
    <cellStyle name="40 % - Accent2 10 3 4" xfId="0"/>
    <cellStyle name="40 % - Accent2 10 3_RH et QS" xfId="0"/>
    <cellStyle name="40 % - Accent2 10 4" xfId="0"/>
    <cellStyle name="40 % - Accent2 10 4 2" xfId="0"/>
    <cellStyle name="40 % - Accent2 10 4 2 2" xfId="0"/>
    <cellStyle name="40 % - Accent2 10 4 3" xfId="0"/>
    <cellStyle name="40 % - Accent2 10 5" xfId="0"/>
    <cellStyle name="40 % - Accent2 10 5 2" xfId="0"/>
    <cellStyle name="40 % - Accent2 10 6" xfId="0"/>
    <cellStyle name="40 % - Accent2 10_RH et QS" xfId="0"/>
    <cellStyle name="40 % - Accent2 11" xfId="0"/>
    <cellStyle name="40 % - Accent2 11 2" xfId="0"/>
    <cellStyle name="40 % - Accent2 11 2 2" xfId="0"/>
    <cellStyle name="40 % - Accent2 11 2 2 2" xfId="0"/>
    <cellStyle name="40 % - Accent2 11 2 3" xfId="0"/>
    <cellStyle name="40 % - Accent2 11 3" xfId="0"/>
    <cellStyle name="40 % - Accent2 11 3 2" xfId="0"/>
    <cellStyle name="40 % - Accent2 11 4" xfId="0"/>
    <cellStyle name="40 % - Accent2 11_RH et QS" xfId="0"/>
    <cellStyle name="40 % - Accent2 12" xfId="0"/>
    <cellStyle name="40 % - Accent2 12 2" xfId="0"/>
    <cellStyle name="40 % - Accent2 12 2 2" xfId="0"/>
    <cellStyle name="40 % - Accent2 12 2 2 2" xfId="0"/>
    <cellStyle name="40 % - Accent2 12 2 3" xfId="0"/>
    <cellStyle name="40 % - Accent2 12 3" xfId="0"/>
    <cellStyle name="40 % - Accent2 12 3 2" xfId="0"/>
    <cellStyle name="40 % - Accent2 12 4" xfId="0"/>
    <cellStyle name="40 % - Accent2 12_RH et QS" xfId="0"/>
    <cellStyle name="40 % - Accent2 13" xfId="0"/>
    <cellStyle name="40 % - Accent2 13 2" xfId="0"/>
    <cellStyle name="40 % - Accent2 13 2 2" xfId="0"/>
    <cellStyle name="40 % - Accent2 13 2 2 2" xfId="0"/>
    <cellStyle name="40 % - Accent2 13 2 3" xfId="0"/>
    <cellStyle name="40 % - Accent2 13 3" xfId="0"/>
    <cellStyle name="40 % - Accent2 13 3 2" xfId="0"/>
    <cellStyle name="40 % - Accent2 13 4" xfId="0"/>
    <cellStyle name="40 % - Accent2 13_RH et QS" xfId="0"/>
    <cellStyle name="40 % - Accent2 14" xfId="0"/>
    <cellStyle name="40 % - Accent2 14 2" xfId="0"/>
    <cellStyle name="40 % - Accent2 15" xfId="0"/>
    <cellStyle name="40 % - Accent2 2" xfId="0"/>
    <cellStyle name="40 % - Accent2 2 2" xfId="0"/>
    <cellStyle name="40 % - Accent2 2 2 2" xfId="0"/>
    <cellStyle name="40 % - Accent2 2 2_Parc Mobile" xfId="0"/>
    <cellStyle name="40 % - Accent2 2 3" xfId="0"/>
    <cellStyle name="40 % - Accent2 2 4" xfId="0"/>
    <cellStyle name="40 % - Accent2 2 5" xfId="0"/>
    <cellStyle name="40 % - Accent2 2_CA Fixe" xfId="0"/>
    <cellStyle name="40 % - Accent2 3" xfId="0"/>
    <cellStyle name="40 % - Accent2 3 2" xfId="0"/>
    <cellStyle name="40 % - Accent2 3 2 2" xfId="0"/>
    <cellStyle name="40 % - Accent2 3 2_Parc Mobile" xfId="0"/>
    <cellStyle name="40 % - Accent2 3 3" xfId="0"/>
    <cellStyle name="40 % - Accent2 3 4" xfId="0"/>
    <cellStyle name="40 % - Accent2 3 5" xfId="0"/>
    <cellStyle name="40 % - Accent2 3_CA Fixe" xfId="0"/>
    <cellStyle name="40 % - Accent2 4" xfId="0"/>
    <cellStyle name="40 % - Accent2 4 2" xfId="0"/>
    <cellStyle name="40 % - Accent2 4 2 2" xfId="0"/>
    <cellStyle name="40 % - Accent2 4 2_Parc Mobile" xfId="0"/>
    <cellStyle name="40 % - Accent2 4 3" xfId="0"/>
    <cellStyle name="40 % - Accent2 4 4" xfId="0"/>
    <cellStyle name="40 % - Accent2 4_CA Fixe" xfId="0"/>
    <cellStyle name="40 % - Accent2 5" xfId="0"/>
    <cellStyle name="40 % - Accent2 5 2" xfId="0"/>
    <cellStyle name="40 % - Accent2 6" xfId="0"/>
    <cellStyle name="40 % - Accent2 6 2" xfId="0"/>
    <cellStyle name="40 % - Accent2 7" xfId="0"/>
    <cellStyle name="40 % - Accent2 7 2" xfId="0"/>
    <cellStyle name="40 % - Accent2 7 2 2" xfId="0"/>
    <cellStyle name="40 % - Accent2 7 2 2 2" xfId="0"/>
    <cellStyle name="40 % - Accent2 7 2 2 2 2" xfId="0"/>
    <cellStyle name="40 % - Accent2 7 2 2 3" xfId="0"/>
    <cellStyle name="40 % - Accent2 7 2 3" xfId="0"/>
    <cellStyle name="40 % - Accent2 7 2 3 2" xfId="0"/>
    <cellStyle name="40 % - Accent2 7 2 4" xfId="0"/>
    <cellStyle name="40 % - Accent2 7 2_RH et QS" xfId="0"/>
    <cellStyle name="40 % - Accent2 7 3" xfId="0"/>
    <cellStyle name="40 % - Accent2 7 3 2" xfId="0"/>
    <cellStyle name="40 % - Accent2 7 3 2 2" xfId="0"/>
    <cellStyle name="40 % - Accent2 7 3 2 2 2" xfId="0"/>
    <cellStyle name="40 % - Accent2 7 3 2 3" xfId="0"/>
    <cellStyle name="40 % - Accent2 7 3 3" xfId="0"/>
    <cellStyle name="40 % - Accent2 7 3 3 2" xfId="0"/>
    <cellStyle name="40 % - Accent2 7 3 4" xfId="0"/>
    <cellStyle name="40 % - Accent2 7 3_RH et QS" xfId="0"/>
    <cellStyle name="40 % - Accent2 7 4" xfId="0"/>
    <cellStyle name="40 % - Accent2 7 4 2" xfId="0"/>
    <cellStyle name="40 % - Accent2 7 4 2 2" xfId="0"/>
    <cellStyle name="40 % - Accent2 7 4 3" xfId="0"/>
    <cellStyle name="40 % - Accent2 7 5" xfId="0"/>
    <cellStyle name="40 % - Accent2 7 5 2" xfId="0"/>
    <cellStyle name="40 % - Accent2 7 6" xfId="0"/>
    <cellStyle name="40 % - Accent2 7_RH et QS" xfId="0"/>
    <cellStyle name="40 % - Accent2 8" xfId="0"/>
    <cellStyle name="40 % - Accent2 8 2" xfId="0"/>
    <cellStyle name="40 % - Accent2 8 2 2" xfId="0"/>
    <cellStyle name="40 % - Accent2 8 2 2 2" xfId="0"/>
    <cellStyle name="40 % - Accent2 8 2 2 2 2" xfId="0"/>
    <cellStyle name="40 % - Accent2 8 2 2 3" xfId="0"/>
    <cellStyle name="40 % - Accent2 8 2 3" xfId="0"/>
    <cellStyle name="40 % - Accent2 8 2 3 2" xfId="0"/>
    <cellStyle name="40 % - Accent2 8 2 4" xfId="0"/>
    <cellStyle name="40 % - Accent2 8 2_RH et QS" xfId="0"/>
    <cellStyle name="40 % - Accent2 8 3" xfId="0"/>
    <cellStyle name="40 % - Accent2 8 3 2" xfId="0"/>
    <cellStyle name="40 % - Accent2 8 3 2 2" xfId="0"/>
    <cellStyle name="40 % - Accent2 8 3 2 2 2" xfId="0"/>
    <cellStyle name="40 % - Accent2 8 3 2 3" xfId="0"/>
    <cellStyle name="40 % - Accent2 8 3 3" xfId="0"/>
    <cellStyle name="40 % - Accent2 8 3 3 2" xfId="0"/>
    <cellStyle name="40 % - Accent2 8 3 4" xfId="0"/>
    <cellStyle name="40 % - Accent2 8 3_RH et QS" xfId="0"/>
    <cellStyle name="40 % - Accent2 8 4" xfId="0"/>
    <cellStyle name="40 % - Accent2 8 4 2" xfId="0"/>
    <cellStyle name="40 % - Accent2 8 4 2 2" xfId="0"/>
    <cellStyle name="40 % - Accent2 8 4 3" xfId="0"/>
    <cellStyle name="40 % - Accent2 8 5" xfId="0"/>
    <cellStyle name="40 % - Accent2 8 5 2" xfId="0"/>
    <cellStyle name="40 % - Accent2 8 6" xfId="0"/>
    <cellStyle name="40 % - Accent2 8_RH et QS" xfId="0"/>
    <cellStyle name="40 % - Accent2 9" xfId="0"/>
    <cellStyle name="40 % - Accent2 9 2" xfId="0"/>
    <cellStyle name="40 % - Accent2 9 2 2" xfId="0"/>
    <cellStyle name="40 % - Accent2 9 2 2 2" xfId="0"/>
    <cellStyle name="40 % - Accent2 9 2 2 2 2" xfId="0"/>
    <cellStyle name="40 % - Accent2 9 2 2 3" xfId="0"/>
    <cellStyle name="40 % - Accent2 9 2 3" xfId="0"/>
    <cellStyle name="40 % - Accent2 9 2 3 2" xfId="0"/>
    <cellStyle name="40 % - Accent2 9 2 4" xfId="0"/>
    <cellStyle name="40 % - Accent2 9 2_RH et QS" xfId="0"/>
    <cellStyle name="40 % - Accent2 9 3" xfId="0"/>
    <cellStyle name="40 % - Accent2 9 3 2" xfId="0"/>
    <cellStyle name="40 % - Accent2 9 3 2 2" xfId="0"/>
    <cellStyle name="40 % - Accent2 9 3 2 2 2" xfId="0"/>
    <cellStyle name="40 % - Accent2 9 3 2 3" xfId="0"/>
    <cellStyle name="40 % - Accent2 9 3 3" xfId="0"/>
    <cellStyle name="40 % - Accent2 9 3 3 2" xfId="0"/>
    <cellStyle name="40 % - Accent2 9 3 4" xfId="0"/>
    <cellStyle name="40 % - Accent2 9 3_RH et QS" xfId="0"/>
    <cellStyle name="40 % - Accent2 9 4" xfId="0"/>
    <cellStyle name="40 % - Accent2 9 4 2" xfId="0"/>
    <cellStyle name="40 % - Accent2 9 4 2 2" xfId="0"/>
    <cellStyle name="40 % - Accent2 9 4 3" xfId="0"/>
    <cellStyle name="40 % - Accent2 9 5" xfId="0"/>
    <cellStyle name="40 % - Accent2 9 5 2" xfId="0"/>
    <cellStyle name="40 % - Accent2 9 6" xfId="0"/>
    <cellStyle name="40 % - Accent2 9_RH et QS" xfId="0"/>
    <cellStyle name="40 % - Accent3 10" xfId="0"/>
    <cellStyle name="40 % - Accent3 10 2" xfId="0"/>
    <cellStyle name="40 % - Accent3 10 2 2" xfId="0"/>
    <cellStyle name="40 % - Accent3 10 2 2 2" xfId="0"/>
    <cellStyle name="40 % - Accent3 10 2 2 2 2" xfId="0"/>
    <cellStyle name="40 % - Accent3 10 2 2 3" xfId="0"/>
    <cellStyle name="40 % - Accent3 10 2 3" xfId="0"/>
    <cellStyle name="40 % - Accent3 10 2 3 2" xfId="0"/>
    <cellStyle name="40 % - Accent3 10 2 4" xfId="0"/>
    <cellStyle name="40 % - Accent3 10 2_RH et QS" xfId="0"/>
    <cellStyle name="40 % - Accent3 10 3" xfId="0"/>
    <cellStyle name="40 % - Accent3 10 3 2" xfId="0"/>
    <cellStyle name="40 % - Accent3 10 3 2 2" xfId="0"/>
    <cellStyle name="40 % - Accent3 10 3 2 2 2" xfId="0"/>
    <cellStyle name="40 % - Accent3 10 3 2 3" xfId="0"/>
    <cellStyle name="40 % - Accent3 10 3 3" xfId="0"/>
    <cellStyle name="40 % - Accent3 10 3 3 2" xfId="0"/>
    <cellStyle name="40 % - Accent3 10 3 4" xfId="0"/>
    <cellStyle name="40 % - Accent3 10 3_RH et QS" xfId="0"/>
    <cellStyle name="40 % - Accent3 10 4" xfId="0"/>
    <cellStyle name="40 % - Accent3 10 4 2" xfId="0"/>
    <cellStyle name="40 % - Accent3 10 4 2 2" xfId="0"/>
    <cellStyle name="40 % - Accent3 10 4 3" xfId="0"/>
    <cellStyle name="40 % - Accent3 10 5" xfId="0"/>
    <cellStyle name="40 % - Accent3 10 5 2" xfId="0"/>
    <cellStyle name="40 % - Accent3 10 6" xfId="0"/>
    <cellStyle name="40 % - Accent3 10_RH et QS" xfId="0"/>
    <cellStyle name="40 % - Accent3 11" xfId="0"/>
    <cellStyle name="40 % - Accent3 11 2" xfId="0"/>
    <cellStyle name="40 % - Accent3 11 2 2" xfId="0"/>
    <cellStyle name="40 % - Accent3 11 2 2 2" xfId="0"/>
    <cellStyle name="40 % - Accent3 11 2 3" xfId="0"/>
    <cellStyle name="40 % - Accent3 11 3" xfId="0"/>
    <cellStyle name="40 % - Accent3 11 3 2" xfId="0"/>
    <cellStyle name="40 % - Accent3 11 4" xfId="0"/>
    <cellStyle name="40 % - Accent3 11_RH et QS" xfId="0"/>
    <cellStyle name="40 % - Accent3 12" xfId="0"/>
    <cellStyle name="40 % - Accent3 12 2" xfId="0"/>
    <cellStyle name="40 % - Accent3 12 2 2" xfId="0"/>
    <cellStyle name="40 % - Accent3 12 2 2 2" xfId="0"/>
    <cellStyle name="40 % - Accent3 12 2 3" xfId="0"/>
    <cellStyle name="40 % - Accent3 12 3" xfId="0"/>
    <cellStyle name="40 % - Accent3 12 3 2" xfId="0"/>
    <cellStyle name="40 % - Accent3 12 4" xfId="0"/>
    <cellStyle name="40 % - Accent3 12_RH et QS" xfId="0"/>
    <cellStyle name="40 % - Accent3 13" xfId="0"/>
    <cellStyle name="40 % - Accent3 13 2" xfId="0"/>
    <cellStyle name="40 % - Accent3 13 2 2" xfId="0"/>
    <cellStyle name="40 % - Accent3 13 2 2 2" xfId="0"/>
    <cellStyle name="40 % - Accent3 13 2 3" xfId="0"/>
    <cellStyle name="40 % - Accent3 13 3" xfId="0"/>
    <cellStyle name="40 % - Accent3 13 3 2" xfId="0"/>
    <cellStyle name="40 % - Accent3 13 4" xfId="0"/>
    <cellStyle name="40 % - Accent3 13_RH et QS" xfId="0"/>
    <cellStyle name="40 % - Accent3 14" xfId="0"/>
    <cellStyle name="40 % - Accent3 14 2" xfId="0"/>
    <cellStyle name="40 % - Accent3 15" xfId="0"/>
    <cellStyle name="40 % - Accent3 2" xfId="0"/>
    <cellStyle name="40 % - Accent3 2 2" xfId="0"/>
    <cellStyle name="40 % - Accent3 2 2 2" xfId="0"/>
    <cellStyle name="40 % - Accent3 2 2 3" xfId="0"/>
    <cellStyle name="40 % - Accent3 2 2_Parc Mobile" xfId="0"/>
    <cellStyle name="40 % - Accent3 2 3" xfId="0"/>
    <cellStyle name="40 % - Accent3 2 4" xfId="0"/>
    <cellStyle name="40 % - Accent3 2 5" xfId="0"/>
    <cellStyle name="40 % - Accent3 2_CA Fixe" xfId="0"/>
    <cellStyle name="40 % - Accent3 3" xfId="0"/>
    <cellStyle name="40 % - Accent3 3 2" xfId="0"/>
    <cellStyle name="40 % - Accent3 3 2 2" xfId="0"/>
    <cellStyle name="40 % - Accent3 3 2_Parc Mobile" xfId="0"/>
    <cellStyle name="40 % - Accent3 3 3" xfId="0"/>
    <cellStyle name="40 % - Accent3 3 4" xfId="0"/>
    <cellStyle name="40 % - Accent3 3 5" xfId="0"/>
    <cellStyle name="40 % - Accent3 3_CA Fixe" xfId="0"/>
    <cellStyle name="40 % - Accent3 4" xfId="0"/>
    <cellStyle name="40 % - Accent3 4 2" xfId="0"/>
    <cellStyle name="40 % - Accent3 4 2 2" xfId="0"/>
    <cellStyle name="40 % - Accent3 4 2_Parc Mobile" xfId="0"/>
    <cellStyle name="40 % - Accent3 4 3" xfId="0"/>
    <cellStyle name="40 % - Accent3 4 4" xfId="0"/>
    <cellStyle name="40 % - Accent3 4 5" xfId="0"/>
    <cellStyle name="40 % - Accent3 4_CA Fixe" xfId="0"/>
    <cellStyle name="40 % - Accent3 5" xfId="0"/>
    <cellStyle name="40 % - Accent3 5 2" xfId="0"/>
    <cellStyle name="40 % - Accent3 6" xfId="0"/>
    <cellStyle name="40 % - Accent3 6 2" xfId="0"/>
    <cellStyle name="40 % - Accent3 7" xfId="0"/>
    <cellStyle name="40 % - Accent3 7 2" xfId="0"/>
    <cellStyle name="40 % - Accent3 7 2 2" xfId="0"/>
    <cellStyle name="40 % - Accent3 7 2 2 2" xfId="0"/>
    <cellStyle name="40 % - Accent3 7 2 2 2 2" xfId="0"/>
    <cellStyle name="40 % - Accent3 7 2 2 3" xfId="0"/>
    <cellStyle name="40 % - Accent3 7 2 3" xfId="0"/>
    <cellStyle name="40 % - Accent3 7 2 3 2" xfId="0"/>
    <cellStyle name="40 % - Accent3 7 2 4" xfId="0"/>
    <cellStyle name="40 % - Accent3 7 2_RH et QS" xfId="0"/>
    <cellStyle name="40 % - Accent3 7 3" xfId="0"/>
    <cellStyle name="40 % - Accent3 7 3 2" xfId="0"/>
    <cellStyle name="40 % - Accent3 7 3 2 2" xfId="0"/>
    <cellStyle name="40 % - Accent3 7 3 2 2 2" xfId="0"/>
    <cellStyle name="40 % - Accent3 7 3 2 3" xfId="0"/>
    <cellStyle name="40 % - Accent3 7 3 3" xfId="0"/>
    <cellStyle name="40 % - Accent3 7 3 3 2" xfId="0"/>
    <cellStyle name="40 % - Accent3 7 3 4" xfId="0"/>
    <cellStyle name="40 % - Accent3 7 3_RH et QS" xfId="0"/>
    <cellStyle name="40 % - Accent3 7 4" xfId="0"/>
    <cellStyle name="40 % - Accent3 7 4 2" xfId="0"/>
    <cellStyle name="40 % - Accent3 7 4 2 2" xfId="0"/>
    <cellStyle name="40 % - Accent3 7 4 3" xfId="0"/>
    <cellStyle name="40 % - Accent3 7 5" xfId="0"/>
    <cellStyle name="40 % - Accent3 7 5 2" xfId="0"/>
    <cellStyle name="40 % - Accent3 7 6" xfId="0"/>
    <cellStyle name="40 % - Accent3 7_RH et QS" xfId="0"/>
    <cellStyle name="40 % - Accent3 8" xfId="0"/>
    <cellStyle name="40 % - Accent3 8 2" xfId="0"/>
    <cellStyle name="40 % - Accent3 8 2 2" xfId="0"/>
    <cellStyle name="40 % - Accent3 8 2 2 2" xfId="0"/>
    <cellStyle name="40 % - Accent3 8 2 2 2 2" xfId="0"/>
    <cellStyle name="40 % - Accent3 8 2 2 3" xfId="0"/>
    <cellStyle name="40 % - Accent3 8 2 3" xfId="0"/>
    <cellStyle name="40 % - Accent3 8 2 3 2" xfId="0"/>
    <cellStyle name="40 % - Accent3 8 2 4" xfId="0"/>
    <cellStyle name="40 % - Accent3 8 2_RH et QS" xfId="0"/>
    <cellStyle name="40 % - Accent3 8 3" xfId="0"/>
    <cellStyle name="40 % - Accent3 8 3 2" xfId="0"/>
    <cellStyle name="40 % - Accent3 8 3 2 2" xfId="0"/>
    <cellStyle name="40 % - Accent3 8 3 2 2 2" xfId="0"/>
    <cellStyle name="40 % - Accent3 8 3 2 3" xfId="0"/>
    <cellStyle name="40 % - Accent3 8 3 3" xfId="0"/>
    <cellStyle name="40 % - Accent3 8 3 3 2" xfId="0"/>
    <cellStyle name="40 % - Accent3 8 3 4" xfId="0"/>
    <cellStyle name="40 % - Accent3 8 3_RH et QS" xfId="0"/>
    <cellStyle name="40 % - Accent3 8 4" xfId="0"/>
    <cellStyle name="40 % - Accent3 8 4 2" xfId="0"/>
    <cellStyle name="40 % - Accent3 8 4 2 2" xfId="0"/>
    <cellStyle name="40 % - Accent3 8 4 3" xfId="0"/>
    <cellStyle name="40 % - Accent3 8 5" xfId="0"/>
    <cellStyle name="40 % - Accent3 8 5 2" xfId="0"/>
    <cellStyle name="40 % - Accent3 8 6" xfId="0"/>
    <cellStyle name="40 % - Accent3 8_RH et QS" xfId="0"/>
    <cellStyle name="40 % - Accent3 9" xfId="0"/>
    <cellStyle name="40 % - Accent3 9 2" xfId="0"/>
    <cellStyle name="40 % - Accent3 9 2 2" xfId="0"/>
    <cellStyle name="40 % - Accent3 9 2 2 2" xfId="0"/>
    <cellStyle name="40 % - Accent3 9 2 2 2 2" xfId="0"/>
    <cellStyle name="40 % - Accent3 9 2 2 3" xfId="0"/>
    <cellStyle name="40 % - Accent3 9 2 3" xfId="0"/>
    <cellStyle name="40 % - Accent3 9 2 3 2" xfId="0"/>
    <cellStyle name="40 % - Accent3 9 2 4" xfId="0"/>
    <cellStyle name="40 % - Accent3 9 2_RH et QS" xfId="0"/>
    <cellStyle name="40 % - Accent3 9 3" xfId="0"/>
    <cellStyle name="40 % - Accent3 9 3 2" xfId="0"/>
    <cellStyle name="40 % - Accent3 9 3 2 2" xfId="0"/>
    <cellStyle name="40 % - Accent3 9 3 2 2 2" xfId="0"/>
    <cellStyle name="40 % - Accent3 9 3 2 3" xfId="0"/>
    <cellStyle name="40 % - Accent3 9 3 3" xfId="0"/>
    <cellStyle name="40 % - Accent3 9 3 3 2" xfId="0"/>
    <cellStyle name="40 % - Accent3 9 3 4" xfId="0"/>
    <cellStyle name="40 % - Accent3 9 3_RH et QS" xfId="0"/>
    <cellStyle name="40 % - Accent3 9 4" xfId="0"/>
    <cellStyle name="40 % - Accent3 9 4 2" xfId="0"/>
    <cellStyle name="40 % - Accent3 9 4 2 2" xfId="0"/>
    <cellStyle name="40 % - Accent3 9 4 3" xfId="0"/>
    <cellStyle name="40 % - Accent3 9 5" xfId="0"/>
    <cellStyle name="40 % - Accent3 9 5 2" xfId="0"/>
    <cellStyle name="40 % - Accent3 9 6" xfId="0"/>
    <cellStyle name="40 % - Accent3 9_RH et QS" xfId="0"/>
    <cellStyle name="40 % - Accent4 10" xfId="0"/>
    <cellStyle name="40 % - Accent4 10 2" xfId="0"/>
    <cellStyle name="40 % - Accent4 10 2 2" xfId="0"/>
    <cellStyle name="40 % - Accent4 10 2 2 2" xfId="0"/>
    <cellStyle name="40 % - Accent4 10 2 2 2 2" xfId="0"/>
    <cellStyle name="40 % - Accent4 10 2 2 3" xfId="0"/>
    <cellStyle name="40 % - Accent4 10 2 3" xfId="0"/>
    <cellStyle name="40 % - Accent4 10 2 3 2" xfId="0"/>
    <cellStyle name="40 % - Accent4 10 2 4" xfId="0"/>
    <cellStyle name="40 % - Accent4 10 2_RH et QS" xfId="0"/>
    <cellStyle name="40 % - Accent4 10 3" xfId="0"/>
    <cellStyle name="40 % - Accent4 10 3 2" xfId="0"/>
    <cellStyle name="40 % - Accent4 10 3 2 2" xfId="0"/>
    <cellStyle name="40 % - Accent4 10 3 2 2 2" xfId="0"/>
    <cellStyle name="40 % - Accent4 10 3 2 3" xfId="0"/>
    <cellStyle name="40 % - Accent4 10 3 3" xfId="0"/>
    <cellStyle name="40 % - Accent4 10 3 3 2" xfId="0"/>
    <cellStyle name="40 % - Accent4 10 3 4" xfId="0"/>
    <cellStyle name="40 % - Accent4 10 3_RH et QS" xfId="0"/>
    <cellStyle name="40 % - Accent4 10 4" xfId="0"/>
    <cellStyle name="40 % - Accent4 10 4 2" xfId="0"/>
    <cellStyle name="40 % - Accent4 10 4 2 2" xfId="0"/>
    <cellStyle name="40 % - Accent4 10 4 3" xfId="0"/>
    <cellStyle name="40 % - Accent4 10 5" xfId="0"/>
    <cellStyle name="40 % - Accent4 10 5 2" xfId="0"/>
    <cellStyle name="40 % - Accent4 10 6" xfId="0"/>
    <cellStyle name="40 % - Accent4 10_RH et QS" xfId="0"/>
    <cellStyle name="40 % - Accent4 11" xfId="0"/>
    <cellStyle name="40 % - Accent4 11 2" xfId="0"/>
    <cellStyle name="40 % - Accent4 11 2 2" xfId="0"/>
    <cellStyle name="40 % - Accent4 11 2 2 2" xfId="0"/>
    <cellStyle name="40 % - Accent4 11 2 3" xfId="0"/>
    <cellStyle name="40 % - Accent4 11 3" xfId="0"/>
    <cellStyle name="40 % - Accent4 11 3 2" xfId="0"/>
    <cellStyle name="40 % - Accent4 11 4" xfId="0"/>
    <cellStyle name="40 % - Accent4 11_RH et QS" xfId="0"/>
    <cellStyle name="40 % - Accent4 12" xfId="0"/>
    <cellStyle name="40 % - Accent4 12 2" xfId="0"/>
    <cellStyle name="40 % - Accent4 12 2 2" xfId="0"/>
    <cellStyle name="40 % - Accent4 12 2 2 2" xfId="0"/>
    <cellStyle name="40 % - Accent4 12 2 3" xfId="0"/>
    <cellStyle name="40 % - Accent4 12 3" xfId="0"/>
    <cellStyle name="40 % - Accent4 12 3 2" xfId="0"/>
    <cellStyle name="40 % - Accent4 12 4" xfId="0"/>
    <cellStyle name="40 % - Accent4 12_RH et QS" xfId="0"/>
    <cellStyle name="40 % - Accent4 13" xfId="0"/>
    <cellStyle name="40 % - Accent4 13 2" xfId="0"/>
    <cellStyle name="40 % - Accent4 13 2 2" xfId="0"/>
    <cellStyle name="40 % - Accent4 13 2 2 2" xfId="0"/>
    <cellStyle name="40 % - Accent4 13 2 3" xfId="0"/>
    <cellStyle name="40 % - Accent4 13 3" xfId="0"/>
    <cellStyle name="40 % - Accent4 13 3 2" xfId="0"/>
    <cellStyle name="40 % - Accent4 13 4" xfId="0"/>
    <cellStyle name="40 % - Accent4 13_RH et QS" xfId="0"/>
    <cellStyle name="40 % - Accent4 14" xfId="0"/>
    <cellStyle name="40 % - Accent4 14 2" xfId="0"/>
    <cellStyle name="40 % - Accent4 15" xfId="0"/>
    <cellStyle name="40 % - Accent4 2" xfId="0"/>
    <cellStyle name="40 % - Accent4 2 2" xfId="0"/>
    <cellStyle name="40 % - Accent4 2 2 2" xfId="0"/>
    <cellStyle name="40 % - Accent4 2 2 3" xfId="0"/>
    <cellStyle name="40 % - Accent4 2 2_Parc Mobile" xfId="0"/>
    <cellStyle name="40 % - Accent4 2 3" xfId="0"/>
    <cellStyle name="40 % - Accent4 2 4" xfId="0"/>
    <cellStyle name="40 % - Accent4 2 5" xfId="0"/>
    <cellStyle name="40 % - Accent4 2_CA Fixe" xfId="0"/>
    <cellStyle name="40 % - Accent4 3" xfId="0"/>
    <cellStyle name="40 % - Accent4 3 2" xfId="0"/>
    <cellStyle name="40 % - Accent4 3 2 2" xfId="0"/>
    <cellStyle name="40 % - Accent4 3 2_Parc Mobile" xfId="0"/>
    <cellStyle name="40 % - Accent4 3 3" xfId="0"/>
    <cellStyle name="40 % - Accent4 3 4" xfId="0"/>
    <cellStyle name="40 % - Accent4 3 5" xfId="0"/>
    <cellStyle name="40 % - Accent4 3_CA Fixe" xfId="0"/>
    <cellStyle name="40 % - Accent4 4" xfId="0"/>
    <cellStyle name="40 % - Accent4 4 2" xfId="0"/>
    <cellStyle name="40 % - Accent4 4 2 2" xfId="0"/>
    <cellStyle name="40 % - Accent4 4 2_Parc Mobile" xfId="0"/>
    <cellStyle name="40 % - Accent4 4 3" xfId="0"/>
    <cellStyle name="40 % - Accent4 4 4" xfId="0"/>
    <cellStyle name="40 % - Accent4 4 5" xfId="0"/>
    <cellStyle name="40 % - Accent4 4_CA Fixe" xfId="0"/>
    <cellStyle name="40 % - Accent4 5" xfId="0"/>
    <cellStyle name="40 % - Accent4 5 2" xfId="0"/>
    <cellStyle name="40 % - Accent4 6" xfId="0"/>
    <cellStyle name="40 % - Accent4 6 2" xfId="0"/>
    <cellStyle name="40 % - Accent4 7" xfId="0"/>
    <cellStyle name="40 % - Accent4 7 2" xfId="0"/>
    <cellStyle name="40 % - Accent4 7 2 2" xfId="0"/>
    <cellStyle name="40 % - Accent4 7 2 2 2" xfId="0"/>
    <cellStyle name="40 % - Accent4 7 2 2 2 2" xfId="0"/>
    <cellStyle name="40 % - Accent4 7 2 2 3" xfId="0"/>
    <cellStyle name="40 % - Accent4 7 2 3" xfId="0"/>
    <cellStyle name="40 % - Accent4 7 2 3 2" xfId="0"/>
    <cellStyle name="40 % - Accent4 7 2 4" xfId="0"/>
    <cellStyle name="40 % - Accent4 7 2_RH et QS" xfId="0"/>
    <cellStyle name="40 % - Accent4 7 3" xfId="0"/>
    <cellStyle name="40 % - Accent4 7 3 2" xfId="0"/>
    <cellStyle name="40 % - Accent4 7 3 2 2" xfId="0"/>
    <cellStyle name="40 % - Accent4 7 3 2 2 2" xfId="0"/>
    <cellStyle name="40 % - Accent4 7 3 2 3" xfId="0"/>
    <cellStyle name="40 % - Accent4 7 3 3" xfId="0"/>
    <cellStyle name="40 % - Accent4 7 3 3 2" xfId="0"/>
    <cellStyle name="40 % - Accent4 7 3 4" xfId="0"/>
    <cellStyle name="40 % - Accent4 7 3_RH et QS" xfId="0"/>
    <cellStyle name="40 % - Accent4 7 4" xfId="0"/>
    <cellStyle name="40 % - Accent4 7 4 2" xfId="0"/>
    <cellStyle name="40 % - Accent4 7 4 2 2" xfId="0"/>
    <cellStyle name="40 % - Accent4 7 4 3" xfId="0"/>
    <cellStyle name="40 % - Accent4 7 5" xfId="0"/>
    <cellStyle name="40 % - Accent4 7 5 2" xfId="0"/>
    <cellStyle name="40 % - Accent4 7 6" xfId="0"/>
    <cellStyle name="40 % - Accent4 7_RH et QS" xfId="0"/>
    <cellStyle name="40 % - Accent4 8" xfId="0"/>
    <cellStyle name="40 % - Accent4 8 2" xfId="0"/>
    <cellStyle name="40 % - Accent4 8 2 2" xfId="0"/>
    <cellStyle name="40 % - Accent4 8 2 2 2" xfId="0"/>
    <cellStyle name="40 % - Accent4 8 2 2 2 2" xfId="0"/>
    <cellStyle name="40 % - Accent4 8 2 2 3" xfId="0"/>
    <cellStyle name="40 % - Accent4 8 2 3" xfId="0"/>
    <cellStyle name="40 % - Accent4 8 2 3 2" xfId="0"/>
    <cellStyle name="40 % - Accent4 8 2 4" xfId="0"/>
    <cellStyle name="40 % - Accent4 8 2_RH et QS" xfId="0"/>
    <cellStyle name="40 % - Accent4 8 3" xfId="0"/>
    <cellStyle name="40 % - Accent4 8 3 2" xfId="0"/>
    <cellStyle name="40 % - Accent4 8 3 2 2" xfId="0"/>
    <cellStyle name="40 % - Accent4 8 3 2 2 2" xfId="0"/>
    <cellStyle name="40 % - Accent4 8 3 2 3" xfId="0"/>
    <cellStyle name="40 % - Accent4 8 3 3" xfId="0"/>
    <cellStyle name="40 % - Accent4 8 3 3 2" xfId="0"/>
    <cellStyle name="40 % - Accent4 8 3 4" xfId="0"/>
    <cellStyle name="40 % - Accent4 8 3_RH et QS" xfId="0"/>
    <cellStyle name="40 % - Accent4 8 4" xfId="0"/>
    <cellStyle name="40 % - Accent4 8 4 2" xfId="0"/>
    <cellStyle name="40 % - Accent4 8 4 2 2" xfId="0"/>
    <cellStyle name="40 % - Accent4 8 4 3" xfId="0"/>
    <cellStyle name="40 % - Accent4 8 5" xfId="0"/>
    <cellStyle name="40 % - Accent4 8 5 2" xfId="0"/>
    <cellStyle name="40 % - Accent4 8 6" xfId="0"/>
    <cellStyle name="40 % - Accent4 8_RH et QS" xfId="0"/>
    <cellStyle name="40 % - Accent4 9" xfId="0"/>
    <cellStyle name="40 % - Accent4 9 2" xfId="0"/>
    <cellStyle name="40 % - Accent4 9 2 2" xfId="0"/>
    <cellStyle name="40 % - Accent4 9 2 2 2" xfId="0"/>
    <cellStyle name="40 % - Accent4 9 2 2 2 2" xfId="0"/>
    <cellStyle name="40 % - Accent4 9 2 2 3" xfId="0"/>
    <cellStyle name="40 % - Accent4 9 2 3" xfId="0"/>
    <cellStyle name="40 % - Accent4 9 2 3 2" xfId="0"/>
    <cellStyle name="40 % - Accent4 9 2 4" xfId="0"/>
    <cellStyle name="40 % - Accent4 9 2_RH et QS" xfId="0"/>
    <cellStyle name="40 % - Accent4 9 3" xfId="0"/>
    <cellStyle name="40 % - Accent4 9 3 2" xfId="0"/>
    <cellStyle name="40 % - Accent4 9 3 2 2" xfId="0"/>
    <cellStyle name="40 % - Accent4 9 3 2 2 2" xfId="0"/>
    <cellStyle name="40 % - Accent4 9 3 2 3" xfId="0"/>
    <cellStyle name="40 % - Accent4 9 3 3" xfId="0"/>
    <cellStyle name="40 % - Accent4 9 3 3 2" xfId="0"/>
    <cellStyle name="40 % - Accent4 9 3 4" xfId="0"/>
    <cellStyle name="40 % - Accent4 9 3_RH et QS" xfId="0"/>
    <cellStyle name="40 % - Accent4 9 4" xfId="0"/>
    <cellStyle name="40 % - Accent4 9 4 2" xfId="0"/>
    <cellStyle name="40 % - Accent4 9 4 2 2" xfId="0"/>
    <cellStyle name="40 % - Accent4 9 4 3" xfId="0"/>
    <cellStyle name="40 % - Accent4 9 5" xfId="0"/>
    <cellStyle name="40 % - Accent4 9 5 2" xfId="0"/>
    <cellStyle name="40 % - Accent4 9 6" xfId="0"/>
    <cellStyle name="40 % - Accent4 9_RH et QS" xfId="0"/>
    <cellStyle name="40 % - Accent5 10" xfId="0"/>
    <cellStyle name="40 % - Accent5 10 2" xfId="0"/>
    <cellStyle name="40 % - Accent5 10 2 2" xfId="0"/>
    <cellStyle name="40 % - Accent5 10 2 2 2" xfId="0"/>
    <cellStyle name="40 % - Accent5 10 2 2 2 2" xfId="0"/>
    <cellStyle name="40 % - Accent5 10 2 2 3" xfId="0"/>
    <cellStyle name="40 % - Accent5 10 2 3" xfId="0"/>
    <cellStyle name="40 % - Accent5 10 2 3 2" xfId="0"/>
    <cellStyle name="40 % - Accent5 10 2 4" xfId="0"/>
    <cellStyle name="40 % - Accent5 10 2_RH et QS" xfId="0"/>
    <cellStyle name="40 % - Accent5 10 3" xfId="0"/>
    <cellStyle name="40 % - Accent5 10 3 2" xfId="0"/>
    <cellStyle name="40 % - Accent5 10 3 2 2" xfId="0"/>
    <cellStyle name="40 % - Accent5 10 3 2 2 2" xfId="0"/>
    <cellStyle name="40 % - Accent5 10 3 2 3" xfId="0"/>
    <cellStyle name="40 % - Accent5 10 3 3" xfId="0"/>
    <cellStyle name="40 % - Accent5 10 3 3 2" xfId="0"/>
    <cellStyle name="40 % - Accent5 10 3 4" xfId="0"/>
    <cellStyle name="40 % - Accent5 10 3_RH et QS" xfId="0"/>
    <cellStyle name="40 % - Accent5 10 4" xfId="0"/>
    <cellStyle name="40 % - Accent5 10 4 2" xfId="0"/>
    <cellStyle name="40 % - Accent5 10 4 2 2" xfId="0"/>
    <cellStyle name="40 % - Accent5 10 4 3" xfId="0"/>
    <cellStyle name="40 % - Accent5 10 5" xfId="0"/>
    <cellStyle name="40 % - Accent5 10 5 2" xfId="0"/>
    <cellStyle name="40 % - Accent5 10 6" xfId="0"/>
    <cellStyle name="40 % - Accent5 10_RH et QS" xfId="0"/>
    <cellStyle name="40 % - Accent5 11" xfId="0"/>
    <cellStyle name="40 % - Accent5 11 2" xfId="0"/>
    <cellStyle name="40 % - Accent5 11 2 2" xfId="0"/>
    <cellStyle name="40 % - Accent5 11 2 2 2" xfId="0"/>
    <cellStyle name="40 % - Accent5 11 2 3" xfId="0"/>
    <cellStyle name="40 % - Accent5 11 3" xfId="0"/>
    <cellStyle name="40 % - Accent5 11 3 2" xfId="0"/>
    <cellStyle name="40 % - Accent5 11 4" xfId="0"/>
    <cellStyle name="40 % - Accent5 11_RH et QS" xfId="0"/>
    <cellStyle name="40 % - Accent5 12" xfId="0"/>
    <cellStyle name="40 % - Accent5 12 2" xfId="0"/>
    <cellStyle name="40 % - Accent5 12 2 2" xfId="0"/>
    <cellStyle name="40 % - Accent5 12 2 2 2" xfId="0"/>
    <cellStyle name="40 % - Accent5 12 2 3" xfId="0"/>
    <cellStyle name="40 % - Accent5 12 3" xfId="0"/>
    <cellStyle name="40 % - Accent5 12 3 2" xfId="0"/>
    <cellStyle name="40 % - Accent5 12 4" xfId="0"/>
    <cellStyle name="40 % - Accent5 12_RH et QS" xfId="0"/>
    <cellStyle name="40 % - Accent5 13" xfId="0"/>
    <cellStyle name="40 % - Accent5 13 2" xfId="0"/>
    <cellStyle name="40 % - Accent5 13 2 2" xfId="0"/>
    <cellStyle name="40 % - Accent5 13 2 2 2" xfId="0"/>
    <cellStyle name="40 % - Accent5 13 2 3" xfId="0"/>
    <cellStyle name="40 % - Accent5 13 3" xfId="0"/>
    <cellStyle name="40 % - Accent5 13 3 2" xfId="0"/>
    <cellStyle name="40 % - Accent5 13 4" xfId="0"/>
    <cellStyle name="40 % - Accent5 13_RH et QS" xfId="0"/>
    <cellStyle name="40 % - Accent5 14" xfId="0"/>
    <cellStyle name="40 % - Accent5 14 2" xfId="0"/>
    <cellStyle name="40 % - Accent5 15" xfId="0"/>
    <cellStyle name="40 % - Accent5 2" xfId="0"/>
    <cellStyle name="40 % - Accent5 2 2" xfId="0"/>
    <cellStyle name="40 % - Accent5 2 2 2" xfId="0"/>
    <cellStyle name="40 % - Accent5 2 2 3" xfId="0"/>
    <cellStyle name="40 % - Accent5 2 2_Parc Mobile" xfId="0"/>
    <cellStyle name="40 % - Accent5 2 3" xfId="0"/>
    <cellStyle name="40 % - Accent5 2 4" xfId="0"/>
    <cellStyle name="40 % - Accent5 2 5" xfId="0"/>
    <cellStyle name="40 % - Accent5 2_CA Fixe" xfId="0"/>
    <cellStyle name="40 % - Accent5 3" xfId="0"/>
    <cellStyle name="40 % - Accent5 3 2" xfId="0"/>
    <cellStyle name="40 % - Accent5 3 2 2" xfId="0"/>
    <cellStyle name="40 % - Accent5 3 2_Parc Mobile" xfId="0"/>
    <cellStyle name="40 % - Accent5 3 3" xfId="0"/>
    <cellStyle name="40 % - Accent5 3 4" xfId="0"/>
    <cellStyle name="40 % - Accent5 3 5" xfId="0"/>
    <cellStyle name="40 % - Accent5 3_CA Fixe" xfId="0"/>
    <cellStyle name="40 % - Accent5 4" xfId="0"/>
    <cellStyle name="40 % - Accent5 4 2" xfId="0"/>
    <cellStyle name="40 % - Accent5 4 2 2" xfId="0"/>
    <cellStyle name="40 % - Accent5 4 2_Parc Mobile" xfId="0"/>
    <cellStyle name="40 % - Accent5 4 3" xfId="0"/>
    <cellStyle name="40 % - Accent5 4 4" xfId="0"/>
    <cellStyle name="40 % - Accent5 4 5" xfId="0"/>
    <cellStyle name="40 % - Accent5 4_CA Fixe" xfId="0"/>
    <cellStyle name="40 % - Accent5 5" xfId="0"/>
    <cellStyle name="40 % - Accent5 5 2" xfId="0"/>
    <cellStyle name="40 % - Accent5 6" xfId="0"/>
    <cellStyle name="40 % - Accent5 6 2" xfId="0"/>
    <cellStyle name="40 % - Accent5 7" xfId="0"/>
    <cellStyle name="40 % - Accent5 7 2" xfId="0"/>
    <cellStyle name="40 % - Accent5 7 2 2" xfId="0"/>
    <cellStyle name="40 % - Accent5 7 2 2 2" xfId="0"/>
    <cellStyle name="40 % - Accent5 7 2 2 2 2" xfId="0"/>
    <cellStyle name="40 % - Accent5 7 2 2 3" xfId="0"/>
    <cellStyle name="40 % - Accent5 7 2 3" xfId="0"/>
    <cellStyle name="40 % - Accent5 7 2 3 2" xfId="0"/>
    <cellStyle name="40 % - Accent5 7 2 4" xfId="0"/>
    <cellStyle name="40 % - Accent5 7 2_RH et QS" xfId="0"/>
    <cellStyle name="40 % - Accent5 7 3" xfId="0"/>
    <cellStyle name="40 % - Accent5 7 3 2" xfId="0"/>
    <cellStyle name="40 % - Accent5 7 3 2 2" xfId="0"/>
    <cellStyle name="40 % - Accent5 7 3 2 2 2" xfId="0"/>
    <cellStyle name="40 % - Accent5 7 3 2 3" xfId="0"/>
    <cellStyle name="40 % - Accent5 7 3 3" xfId="0"/>
    <cellStyle name="40 % - Accent5 7 3 3 2" xfId="0"/>
    <cellStyle name="40 % - Accent5 7 3 4" xfId="0"/>
    <cellStyle name="40 % - Accent5 7 3_RH et QS" xfId="0"/>
    <cellStyle name="40 % - Accent5 7 4" xfId="0"/>
    <cellStyle name="40 % - Accent5 7 4 2" xfId="0"/>
    <cellStyle name="40 % - Accent5 7 4 2 2" xfId="0"/>
    <cellStyle name="40 % - Accent5 7 4 3" xfId="0"/>
    <cellStyle name="40 % - Accent5 7 5" xfId="0"/>
    <cellStyle name="40 % - Accent5 7 5 2" xfId="0"/>
    <cellStyle name="40 % - Accent5 7 6" xfId="0"/>
    <cellStyle name="40 % - Accent5 7_RH et QS" xfId="0"/>
    <cellStyle name="40 % - Accent5 8" xfId="0"/>
    <cellStyle name="40 % - Accent5 8 2" xfId="0"/>
    <cellStyle name="40 % - Accent5 8 2 2" xfId="0"/>
    <cellStyle name="40 % - Accent5 8 2 2 2" xfId="0"/>
    <cellStyle name="40 % - Accent5 8 2 2 2 2" xfId="0"/>
    <cellStyle name="40 % - Accent5 8 2 2 3" xfId="0"/>
    <cellStyle name="40 % - Accent5 8 2 3" xfId="0"/>
    <cellStyle name="40 % - Accent5 8 2 3 2" xfId="0"/>
    <cellStyle name="40 % - Accent5 8 2 4" xfId="0"/>
    <cellStyle name="40 % - Accent5 8 2_RH et QS" xfId="0"/>
    <cellStyle name="40 % - Accent5 8 3" xfId="0"/>
    <cellStyle name="40 % - Accent5 8 3 2" xfId="0"/>
    <cellStyle name="40 % - Accent5 8 3 2 2" xfId="0"/>
    <cellStyle name="40 % - Accent5 8 3 2 2 2" xfId="0"/>
    <cellStyle name="40 % - Accent5 8 3 2 3" xfId="0"/>
    <cellStyle name="40 % - Accent5 8 3 3" xfId="0"/>
    <cellStyle name="40 % - Accent5 8 3 3 2" xfId="0"/>
    <cellStyle name="40 % - Accent5 8 3 4" xfId="0"/>
    <cellStyle name="40 % - Accent5 8 3_RH et QS" xfId="0"/>
    <cellStyle name="40 % - Accent5 8 4" xfId="0"/>
    <cellStyle name="40 % - Accent5 8 4 2" xfId="0"/>
    <cellStyle name="40 % - Accent5 8 4 2 2" xfId="0"/>
    <cellStyle name="40 % - Accent5 8 4 3" xfId="0"/>
    <cellStyle name="40 % - Accent5 8 5" xfId="0"/>
    <cellStyle name="40 % - Accent5 8 5 2" xfId="0"/>
    <cellStyle name="40 % - Accent5 8 6" xfId="0"/>
    <cellStyle name="40 % - Accent5 8_RH et QS" xfId="0"/>
    <cellStyle name="40 % - Accent5 9" xfId="0"/>
    <cellStyle name="40 % - Accent5 9 2" xfId="0"/>
    <cellStyle name="40 % - Accent5 9 2 2" xfId="0"/>
    <cellStyle name="40 % - Accent5 9 2 2 2" xfId="0"/>
    <cellStyle name="40 % - Accent5 9 2 2 2 2" xfId="0"/>
    <cellStyle name="40 % - Accent5 9 2 2 3" xfId="0"/>
    <cellStyle name="40 % - Accent5 9 2 3" xfId="0"/>
    <cellStyle name="40 % - Accent5 9 2 3 2" xfId="0"/>
    <cellStyle name="40 % - Accent5 9 2 4" xfId="0"/>
    <cellStyle name="40 % - Accent5 9 2_RH et QS" xfId="0"/>
    <cellStyle name="40 % - Accent5 9 3" xfId="0"/>
    <cellStyle name="40 % - Accent5 9 3 2" xfId="0"/>
    <cellStyle name="40 % - Accent5 9 3 2 2" xfId="0"/>
    <cellStyle name="40 % - Accent5 9 3 2 2 2" xfId="0"/>
    <cellStyle name="40 % - Accent5 9 3 2 3" xfId="0"/>
    <cellStyle name="40 % - Accent5 9 3 3" xfId="0"/>
    <cellStyle name="40 % - Accent5 9 3 3 2" xfId="0"/>
    <cellStyle name="40 % - Accent5 9 3 4" xfId="0"/>
    <cellStyle name="40 % - Accent5 9 3_RH et QS" xfId="0"/>
    <cellStyle name="40 % - Accent5 9 4" xfId="0"/>
    <cellStyle name="40 % - Accent5 9 4 2" xfId="0"/>
    <cellStyle name="40 % - Accent5 9 4 2 2" xfId="0"/>
    <cellStyle name="40 % - Accent5 9 4 3" xfId="0"/>
    <cellStyle name="40 % - Accent5 9 5" xfId="0"/>
    <cellStyle name="40 % - Accent5 9 5 2" xfId="0"/>
    <cellStyle name="40 % - Accent5 9 6" xfId="0"/>
    <cellStyle name="40 % - Accent5 9_RH et QS" xfId="0"/>
    <cellStyle name="40 % - Accent6 10" xfId="0"/>
    <cellStyle name="40 % - Accent6 10 2" xfId="0"/>
    <cellStyle name="40 % - Accent6 10 2 2" xfId="0"/>
    <cellStyle name="40 % - Accent6 10 2 2 2" xfId="0"/>
    <cellStyle name="40 % - Accent6 10 2 2 2 2" xfId="0"/>
    <cellStyle name="40 % - Accent6 10 2 2 3" xfId="0"/>
    <cellStyle name="40 % - Accent6 10 2 3" xfId="0"/>
    <cellStyle name="40 % - Accent6 10 2 3 2" xfId="0"/>
    <cellStyle name="40 % - Accent6 10 2 4" xfId="0"/>
    <cellStyle name="40 % - Accent6 10 2_RH et QS" xfId="0"/>
    <cellStyle name="40 % - Accent6 10 3" xfId="0"/>
    <cellStyle name="40 % - Accent6 10 3 2" xfId="0"/>
    <cellStyle name="40 % - Accent6 10 3 2 2" xfId="0"/>
    <cellStyle name="40 % - Accent6 10 3 2 2 2" xfId="0"/>
    <cellStyle name="40 % - Accent6 10 3 2 3" xfId="0"/>
    <cellStyle name="40 % - Accent6 10 3 3" xfId="0"/>
    <cellStyle name="40 % - Accent6 10 3 3 2" xfId="0"/>
    <cellStyle name="40 % - Accent6 10 3 4" xfId="0"/>
    <cellStyle name="40 % - Accent6 10 3_RH et QS" xfId="0"/>
    <cellStyle name="40 % - Accent6 10 4" xfId="0"/>
    <cellStyle name="40 % - Accent6 10 4 2" xfId="0"/>
    <cellStyle name="40 % - Accent6 10 4 2 2" xfId="0"/>
    <cellStyle name="40 % - Accent6 10 4 3" xfId="0"/>
    <cellStyle name="40 % - Accent6 10 5" xfId="0"/>
    <cellStyle name="40 % - Accent6 10 5 2" xfId="0"/>
    <cellStyle name="40 % - Accent6 10 6" xfId="0"/>
    <cellStyle name="40 % - Accent6 10_RH et QS" xfId="0"/>
    <cellStyle name="40 % - Accent6 11" xfId="0"/>
    <cellStyle name="40 % - Accent6 11 2" xfId="0"/>
    <cellStyle name="40 % - Accent6 11 2 2" xfId="0"/>
    <cellStyle name="40 % - Accent6 11 2 2 2" xfId="0"/>
    <cellStyle name="40 % - Accent6 11 2 3" xfId="0"/>
    <cellStyle name="40 % - Accent6 11 3" xfId="0"/>
    <cellStyle name="40 % - Accent6 11 3 2" xfId="0"/>
    <cellStyle name="40 % - Accent6 11 4" xfId="0"/>
    <cellStyle name="40 % - Accent6 11_RH et QS" xfId="0"/>
    <cellStyle name="40 % - Accent6 12" xfId="0"/>
    <cellStyle name="40 % - Accent6 12 2" xfId="0"/>
    <cellStyle name="40 % - Accent6 12 2 2" xfId="0"/>
    <cellStyle name="40 % - Accent6 12 2 2 2" xfId="0"/>
    <cellStyle name="40 % - Accent6 12 2 3" xfId="0"/>
    <cellStyle name="40 % - Accent6 12 3" xfId="0"/>
    <cellStyle name="40 % - Accent6 12 3 2" xfId="0"/>
    <cellStyle name="40 % - Accent6 12 4" xfId="0"/>
    <cellStyle name="40 % - Accent6 12_RH et QS" xfId="0"/>
    <cellStyle name="40 % - Accent6 13" xfId="0"/>
    <cellStyle name="40 % - Accent6 13 2" xfId="0"/>
    <cellStyle name="40 % - Accent6 13 2 2" xfId="0"/>
    <cellStyle name="40 % - Accent6 13 2 2 2" xfId="0"/>
    <cellStyle name="40 % - Accent6 13 2 3" xfId="0"/>
    <cellStyle name="40 % - Accent6 13 3" xfId="0"/>
    <cellStyle name="40 % - Accent6 13 3 2" xfId="0"/>
    <cellStyle name="40 % - Accent6 13 4" xfId="0"/>
    <cellStyle name="40 % - Accent6 13_RH et QS" xfId="0"/>
    <cellStyle name="40 % - Accent6 14" xfId="0"/>
    <cellStyle name="40 % - Accent6 14 2" xfId="0"/>
    <cellStyle name="40 % - Accent6 15" xfId="0"/>
    <cellStyle name="40 % - Accent6 2" xfId="0"/>
    <cellStyle name="40 % - Accent6 2 2" xfId="0"/>
    <cellStyle name="40 % - Accent6 2 2 2" xfId="0"/>
    <cellStyle name="40 % - Accent6 2 2 3" xfId="0"/>
    <cellStyle name="40 % - Accent6 2 2_Parc Mobile" xfId="0"/>
    <cellStyle name="40 % - Accent6 2 3" xfId="0"/>
    <cellStyle name="40 % - Accent6 2 4" xfId="0"/>
    <cellStyle name="40 % - Accent6 2 5" xfId="0"/>
    <cellStyle name="40 % - Accent6 2_CA Fixe" xfId="0"/>
    <cellStyle name="40 % - Accent6 3" xfId="0"/>
    <cellStyle name="40 % - Accent6 3 2" xfId="0"/>
    <cellStyle name="40 % - Accent6 3 2 2" xfId="0"/>
    <cellStyle name="40 % - Accent6 3 2_Parc Mobile" xfId="0"/>
    <cellStyle name="40 % - Accent6 3 3" xfId="0"/>
    <cellStyle name="40 % - Accent6 3 4" xfId="0"/>
    <cellStyle name="40 % - Accent6 3 5" xfId="0"/>
    <cellStyle name="40 % - Accent6 3_CA Fixe" xfId="0"/>
    <cellStyle name="40 % - Accent6 4" xfId="0"/>
    <cellStyle name="40 % - Accent6 4 2" xfId="0"/>
    <cellStyle name="40 % - Accent6 4 2 2" xfId="0"/>
    <cellStyle name="40 % - Accent6 4 2_Parc Mobile" xfId="0"/>
    <cellStyle name="40 % - Accent6 4 3" xfId="0"/>
    <cellStyle name="40 % - Accent6 4 4" xfId="0"/>
    <cellStyle name="40 % - Accent6 4 5" xfId="0"/>
    <cellStyle name="40 % - Accent6 4_CA Fixe" xfId="0"/>
    <cellStyle name="40 % - Accent6 5" xfId="0"/>
    <cellStyle name="40 % - Accent6 5 2" xfId="0"/>
    <cellStyle name="40 % - Accent6 6" xfId="0"/>
    <cellStyle name="40 % - Accent6 6 2" xfId="0"/>
    <cellStyle name="40 % - Accent6 7" xfId="0"/>
    <cellStyle name="40 % - Accent6 7 2" xfId="0"/>
    <cellStyle name="40 % - Accent6 7 2 2" xfId="0"/>
    <cellStyle name="40 % - Accent6 7 2 2 2" xfId="0"/>
    <cellStyle name="40 % - Accent6 7 2 2 2 2" xfId="0"/>
    <cellStyle name="40 % - Accent6 7 2 2 3" xfId="0"/>
    <cellStyle name="40 % - Accent6 7 2 3" xfId="0"/>
    <cellStyle name="40 % - Accent6 7 2 3 2" xfId="0"/>
    <cellStyle name="40 % - Accent6 7 2 4" xfId="0"/>
    <cellStyle name="40 % - Accent6 7 2_RH et QS" xfId="0"/>
    <cellStyle name="40 % - Accent6 7 3" xfId="0"/>
    <cellStyle name="40 % - Accent6 7 3 2" xfId="0"/>
    <cellStyle name="40 % - Accent6 7 3 2 2" xfId="0"/>
    <cellStyle name="40 % - Accent6 7 3 2 2 2" xfId="0"/>
    <cellStyle name="40 % - Accent6 7 3 2 3" xfId="0"/>
    <cellStyle name="40 % - Accent6 7 3 3" xfId="0"/>
    <cellStyle name="40 % - Accent6 7 3 3 2" xfId="0"/>
    <cellStyle name="40 % - Accent6 7 3 4" xfId="0"/>
    <cellStyle name="40 % - Accent6 7 3_RH et QS" xfId="0"/>
    <cellStyle name="40 % - Accent6 7 4" xfId="0"/>
    <cellStyle name="40 % - Accent6 7 4 2" xfId="0"/>
    <cellStyle name="40 % - Accent6 7 4 2 2" xfId="0"/>
    <cellStyle name="40 % - Accent6 7 4 3" xfId="0"/>
    <cellStyle name="40 % - Accent6 7 5" xfId="0"/>
    <cellStyle name="40 % - Accent6 7 5 2" xfId="0"/>
    <cellStyle name="40 % - Accent6 7 6" xfId="0"/>
    <cellStyle name="40 % - Accent6 7_RH et QS" xfId="0"/>
    <cellStyle name="40 % - Accent6 8" xfId="0"/>
    <cellStyle name="40 % - Accent6 8 2" xfId="0"/>
    <cellStyle name="40 % - Accent6 8 2 2" xfId="0"/>
    <cellStyle name="40 % - Accent6 8 2 2 2" xfId="0"/>
    <cellStyle name="40 % - Accent6 8 2 2 2 2" xfId="0"/>
    <cellStyle name="40 % - Accent6 8 2 2 3" xfId="0"/>
    <cellStyle name="40 % - Accent6 8 2 3" xfId="0"/>
    <cellStyle name="40 % - Accent6 8 2 3 2" xfId="0"/>
    <cellStyle name="40 % - Accent6 8 2 4" xfId="0"/>
    <cellStyle name="40 % - Accent6 8 2_RH et QS" xfId="0"/>
    <cellStyle name="40 % - Accent6 8 3" xfId="0"/>
    <cellStyle name="40 % - Accent6 8 3 2" xfId="0"/>
    <cellStyle name="40 % - Accent6 8 3 2 2" xfId="0"/>
    <cellStyle name="40 % - Accent6 8 3 2 2 2" xfId="0"/>
    <cellStyle name="40 % - Accent6 8 3 2 3" xfId="0"/>
    <cellStyle name="40 % - Accent6 8 3 3" xfId="0"/>
    <cellStyle name="40 % - Accent6 8 3 3 2" xfId="0"/>
    <cellStyle name="40 % - Accent6 8 3 4" xfId="0"/>
    <cellStyle name="40 % - Accent6 8 3_RH et QS" xfId="0"/>
    <cellStyle name="40 % - Accent6 8 4" xfId="0"/>
    <cellStyle name="40 % - Accent6 8 4 2" xfId="0"/>
    <cellStyle name="40 % - Accent6 8 4 2 2" xfId="0"/>
    <cellStyle name="40 % - Accent6 8 4 3" xfId="0"/>
    <cellStyle name="40 % - Accent6 8 5" xfId="0"/>
    <cellStyle name="40 % - Accent6 8 5 2" xfId="0"/>
    <cellStyle name="40 % - Accent6 8 6" xfId="0"/>
    <cellStyle name="40 % - Accent6 8_RH et QS" xfId="0"/>
    <cellStyle name="40 % - Accent6 9" xfId="0"/>
    <cellStyle name="40 % - Accent6 9 2" xfId="0"/>
    <cellStyle name="40 % - Accent6 9 2 2" xfId="0"/>
    <cellStyle name="40 % - Accent6 9 2 2 2" xfId="0"/>
    <cellStyle name="40 % - Accent6 9 2 2 2 2" xfId="0"/>
    <cellStyle name="40 % - Accent6 9 2 2 3" xfId="0"/>
    <cellStyle name="40 % - Accent6 9 2 3" xfId="0"/>
    <cellStyle name="40 % - Accent6 9 2 3 2" xfId="0"/>
    <cellStyle name="40 % - Accent6 9 2 4" xfId="0"/>
    <cellStyle name="40 % - Accent6 9 2_RH et QS" xfId="0"/>
    <cellStyle name="40 % - Accent6 9 3" xfId="0"/>
    <cellStyle name="40 % - Accent6 9 3 2" xfId="0"/>
    <cellStyle name="40 % - Accent6 9 3 2 2" xfId="0"/>
    <cellStyle name="40 % - Accent6 9 3 2 2 2" xfId="0"/>
    <cellStyle name="40 % - Accent6 9 3 2 3" xfId="0"/>
    <cellStyle name="40 % - Accent6 9 3 3" xfId="0"/>
    <cellStyle name="40 % - Accent6 9 3 3 2" xfId="0"/>
    <cellStyle name="40 % - Accent6 9 3 4" xfId="0"/>
    <cellStyle name="40 % - Accent6 9 3_RH et QS" xfId="0"/>
    <cellStyle name="40 % - Accent6 9 4" xfId="0"/>
    <cellStyle name="40 % - Accent6 9 4 2" xfId="0"/>
    <cellStyle name="40 % - Accent6 9 4 2 2" xfId="0"/>
    <cellStyle name="40 % - Accent6 9 4 3" xfId="0"/>
    <cellStyle name="40 % - Accent6 9 5" xfId="0"/>
    <cellStyle name="40 % - Accent6 9 5 2" xfId="0"/>
    <cellStyle name="40 % - Accent6 9 6" xfId="0"/>
    <cellStyle name="40 % - Accent6 9_RH et QS" xfId="0"/>
    <cellStyle name="60% - Accent1 10" xfId="0"/>
    <cellStyle name="60% - Accent1 11" xfId="0"/>
    <cellStyle name="60% - Accent1 12" xfId="0"/>
    <cellStyle name="60% - Accent1 13" xfId="0"/>
    <cellStyle name="60% - Accent1 14" xfId="0"/>
    <cellStyle name="60% - Accent1 15" xfId="0"/>
    <cellStyle name="60% - Accent1 16" xfId="0"/>
    <cellStyle name="60% - Accent1 17" xfId="0"/>
    <cellStyle name="60% - Accent1 18" xfId="0"/>
    <cellStyle name="60% - Accent1 19" xfId="0"/>
    <cellStyle name="60% - Accent1 2" xfId="0"/>
    <cellStyle name="60% - Accent1 20" xfId="0"/>
    <cellStyle name="60% - Accent1 21" xfId="0"/>
    <cellStyle name="60% - Accent1 22" xfId="0"/>
    <cellStyle name="60% - Accent1 23" xfId="0"/>
    <cellStyle name="60% - Accent1 24" xfId="0"/>
    <cellStyle name="60% - Accent1 25" xfId="0"/>
    <cellStyle name="60% - Accent1 26" xfId="0"/>
    <cellStyle name="60% - Accent1 27" xfId="0"/>
    <cellStyle name="60% - Accent1 28" xfId="0"/>
    <cellStyle name="60% - Accent1 3" xfId="0"/>
    <cellStyle name="60% - Accent1 4" xfId="0"/>
    <cellStyle name="60% - Accent1 5" xfId="0"/>
    <cellStyle name="60% - Accent1 6" xfId="0"/>
    <cellStyle name="60% - Accent1 7" xfId="0"/>
    <cellStyle name="60% - Accent1 8" xfId="0"/>
    <cellStyle name="60% - Accent1 9" xfId="0"/>
    <cellStyle name="60% - Accent2 10" xfId="0"/>
    <cellStyle name="60% - Accent2 11" xfId="0"/>
    <cellStyle name="60% - Accent2 12" xfId="0"/>
    <cellStyle name="60% - Accent2 13" xfId="0"/>
    <cellStyle name="60% - Accent2 14" xfId="0"/>
    <cellStyle name="60% - Accent2 15" xfId="0"/>
    <cellStyle name="60% - Accent2 16" xfId="0"/>
    <cellStyle name="60% - Accent2 17" xfId="0"/>
    <cellStyle name="60% - Accent2 18" xfId="0"/>
    <cellStyle name="60% - Accent2 19" xfId="0"/>
    <cellStyle name="60% - Accent2 2" xfId="0"/>
    <cellStyle name="60% - Accent2 20" xfId="0"/>
    <cellStyle name="60% - Accent2 21" xfId="0"/>
    <cellStyle name="60% - Accent2 22" xfId="0"/>
    <cellStyle name="60% - Accent2 23" xfId="0"/>
    <cellStyle name="60% - Accent2 24" xfId="0"/>
    <cellStyle name="60% - Accent2 25" xfId="0"/>
    <cellStyle name="60% - Accent2 26" xfId="0"/>
    <cellStyle name="60% - Accent2 27" xfId="0"/>
    <cellStyle name="60% - Accent2 28" xfId="0"/>
    <cellStyle name="60% - Accent2 3" xfId="0"/>
    <cellStyle name="60% - Accent2 4" xfId="0"/>
    <cellStyle name="60% - Accent2 5" xfId="0"/>
    <cellStyle name="60% - Accent2 6" xfId="0"/>
    <cellStyle name="60% - Accent2 7" xfId="0"/>
    <cellStyle name="60% - Accent2 8" xfId="0"/>
    <cellStyle name="60% - Accent2 9" xfId="0"/>
    <cellStyle name="60% - Accent3 10" xfId="0"/>
    <cellStyle name="60% - Accent3 11" xfId="0"/>
    <cellStyle name="60% - Accent3 12" xfId="0"/>
    <cellStyle name="60% - Accent3 13" xfId="0"/>
    <cellStyle name="60% - Accent3 14" xfId="0"/>
    <cellStyle name="60% - Accent3 15" xfId="0"/>
    <cellStyle name="60% - Accent3 16" xfId="0"/>
    <cellStyle name="60% - Accent3 17" xfId="0"/>
    <cellStyle name="60% - Accent3 18" xfId="0"/>
    <cellStyle name="60% - Accent3 19" xfId="0"/>
    <cellStyle name="60% - Accent3 2" xfId="0"/>
    <cellStyle name="60% - Accent3 20" xfId="0"/>
    <cellStyle name="60% - Accent3 21" xfId="0"/>
    <cellStyle name="60% - Accent3 22" xfId="0"/>
    <cellStyle name="60% - Accent3 23" xfId="0"/>
    <cellStyle name="60% - Accent3 24" xfId="0"/>
    <cellStyle name="60% - Accent3 25" xfId="0"/>
    <cellStyle name="60% - Accent3 26" xfId="0"/>
    <cellStyle name="60% - Accent3 27" xfId="0"/>
    <cellStyle name="60% - Accent3 28" xfId="0"/>
    <cellStyle name="60% - Accent3 3" xfId="0"/>
    <cellStyle name="60% - Accent3 4" xfId="0"/>
    <cellStyle name="60% - Accent3 5" xfId="0"/>
    <cellStyle name="60% - Accent3 6" xfId="0"/>
    <cellStyle name="60% - Accent3 7" xfId="0"/>
    <cellStyle name="60% - Accent3 8" xfId="0"/>
    <cellStyle name="60% - Accent3 9" xfId="0"/>
    <cellStyle name="60% - Accent4 10" xfId="0"/>
    <cellStyle name="60% - Accent4 11" xfId="0"/>
    <cellStyle name="60% - Accent4 12" xfId="0"/>
    <cellStyle name="60% - Accent4 13" xfId="0"/>
    <cellStyle name="60% - Accent4 14" xfId="0"/>
    <cellStyle name="60% - Accent4 15" xfId="0"/>
    <cellStyle name="60% - Accent4 16" xfId="0"/>
    <cellStyle name="60% - Accent4 17" xfId="0"/>
    <cellStyle name="60% - Accent4 18" xfId="0"/>
    <cellStyle name="60% - Accent4 19" xfId="0"/>
    <cellStyle name="60% - Accent4 2" xfId="0"/>
    <cellStyle name="60% - Accent4 20" xfId="0"/>
    <cellStyle name="60% - Accent4 21" xfId="0"/>
    <cellStyle name="60% - Accent4 22" xfId="0"/>
    <cellStyle name="60% - Accent4 23" xfId="0"/>
    <cellStyle name="60% - Accent4 24" xfId="0"/>
    <cellStyle name="60% - Accent4 25" xfId="0"/>
    <cellStyle name="60% - Accent4 26" xfId="0"/>
    <cellStyle name="60% - Accent4 27" xfId="0"/>
    <cellStyle name="60% - Accent4 28" xfId="0"/>
    <cellStyle name="60% - Accent4 3" xfId="0"/>
    <cellStyle name="60% - Accent4 4" xfId="0"/>
    <cellStyle name="60% - Accent4 5" xfId="0"/>
    <cellStyle name="60% - Accent4 6" xfId="0"/>
    <cellStyle name="60% - Accent4 7" xfId="0"/>
    <cellStyle name="60% - Accent4 8" xfId="0"/>
    <cellStyle name="60% - Accent4 9" xfId="0"/>
    <cellStyle name="60% - Accent5 10" xfId="0"/>
    <cellStyle name="60% - Accent5 11" xfId="0"/>
    <cellStyle name="60% - Accent5 12" xfId="0"/>
    <cellStyle name="60% - Accent5 13" xfId="0"/>
    <cellStyle name="60% - Accent5 14" xfId="0"/>
    <cellStyle name="60% - Accent5 15" xfId="0"/>
    <cellStyle name="60% - Accent5 16" xfId="0"/>
    <cellStyle name="60% - Accent5 17" xfId="0"/>
    <cellStyle name="60% - Accent5 18" xfId="0"/>
    <cellStyle name="60% - Accent5 19" xfId="0"/>
    <cellStyle name="60% - Accent5 2" xfId="0"/>
    <cellStyle name="60% - Accent5 20" xfId="0"/>
    <cellStyle name="60% - Accent5 21" xfId="0"/>
    <cellStyle name="60% - Accent5 22" xfId="0"/>
    <cellStyle name="60% - Accent5 23" xfId="0"/>
    <cellStyle name="60% - Accent5 24" xfId="0"/>
    <cellStyle name="60% - Accent5 25" xfId="0"/>
    <cellStyle name="60% - Accent5 26" xfId="0"/>
    <cellStyle name="60% - Accent5 27" xfId="0"/>
    <cellStyle name="60% - Accent5 28" xfId="0"/>
    <cellStyle name="60% - Accent5 3" xfId="0"/>
    <cellStyle name="60% - Accent5 4" xfId="0"/>
    <cellStyle name="60% - Accent5 5" xfId="0"/>
    <cellStyle name="60% - Accent5 6" xfId="0"/>
    <cellStyle name="60% - Accent5 7" xfId="0"/>
    <cellStyle name="60% - Accent5 8" xfId="0"/>
    <cellStyle name="60% - Accent5 9" xfId="0"/>
    <cellStyle name="60% - Accent6 10" xfId="0"/>
    <cellStyle name="60% - Accent6 11" xfId="0"/>
    <cellStyle name="60% - Accent6 12" xfId="0"/>
    <cellStyle name="60% - Accent6 13" xfId="0"/>
    <cellStyle name="60% - Accent6 14" xfId="0"/>
    <cellStyle name="60% - Accent6 15" xfId="0"/>
    <cellStyle name="60% - Accent6 16" xfId="0"/>
    <cellStyle name="60% - Accent6 17" xfId="0"/>
    <cellStyle name="60% - Accent6 18" xfId="0"/>
    <cellStyle name="60% - Accent6 19" xfId="0"/>
    <cellStyle name="60% - Accent6 2" xfId="0"/>
    <cellStyle name="60% - Accent6 20" xfId="0"/>
    <cellStyle name="60% - Accent6 21" xfId="0"/>
    <cellStyle name="60% - Accent6 22" xfId="0"/>
    <cellStyle name="60% - Accent6 23" xfId="0"/>
    <cellStyle name="60% - Accent6 24" xfId="0"/>
    <cellStyle name="60% - Accent6 25" xfId="0"/>
    <cellStyle name="60% - Accent6 26" xfId="0"/>
    <cellStyle name="60% - Accent6 27" xfId="0"/>
    <cellStyle name="60% - Accent6 28" xfId="0"/>
    <cellStyle name="60% - Accent6 3" xfId="0"/>
    <cellStyle name="60% - Accent6 4" xfId="0"/>
    <cellStyle name="60% - Accent6 5" xfId="0"/>
    <cellStyle name="60% - Accent6 6" xfId="0"/>
    <cellStyle name="60% - Accent6 7" xfId="0"/>
    <cellStyle name="60% - Accent6 8" xfId="0"/>
    <cellStyle name="60% - Accent6 9" xfId="0"/>
    <cellStyle name="60 % - Accent1 2" xfId="0"/>
    <cellStyle name="60 % - Accent1 2 2" xfId="0"/>
    <cellStyle name="60 % - Accent1 2 2 2" xfId="0"/>
    <cellStyle name="60 % - Accent1 2 2_Parc Mobile" xfId="0"/>
    <cellStyle name="60 % - Accent1 3" xfId="0"/>
    <cellStyle name="60 % - Accent1 3 2" xfId="0"/>
    <cellStyle name="60 % - Accent1 4" xfId="0"/>
    <cellStyle name="60 % - Accent1 4 2" xfId="0"/>
    <cellStyle name="60 % - Accent1 5" xfId="0"/>
    <cellStyle name="60 % - Accent1 5 2" xfId="0"/>
    <cellStyle name="60 % - Accent1 6" xfId="0"/>
    <cellStyle name="60 % - Accent1 6 2" xfId="0"/>
    <cellStyle name="60 % - Accent1 7 2" xfId="0"/>
    <cellStyle name="60 % - Accent1 8 2" xfId="0"/>
    <cellStyle name="60 % - Accent2 2" xfId="0"/>
    <cellStyle name="60 % - Accent2 2 2" xfId="0"/>
    <cellStyle name="60 % - Accent2 2 2 2" xfId="0"/>
    <cellStyle name="60 % - Accent2 2 2_Parc Mobile" xfId="0"/>
    <cellStyle name="60 % - Accent2 3" xfId="0"/>
    <cellStyle name="60 % - Accent2 3 2" xfId="0"/>
    <cellStyle name="60 % - Accent2 4" xfId="0"/>
    <cellStyle name="60 % - Accent2 4 2" xfId="0"/>
    <cellStyle name="60 % - Accent2 5" xfId="0"/>
    <cellStyle name="60 % - Accent2 5 2" xfId="0"/>
    <cellStyle name="60 % - Accent2 6" xfId="0"/>
    <cellStyle name="60 % - Accent2 6 2" xfId="0"/>
    <cellStyle name="60 % - Accent2 7 2" xfId="0"/>
    <cellStyle name="60 % - Accent2 8 2" xfId="0"/>
    <cellStyle name="60 % - Accent3 2" xfId="0"/>
    <cellStyle name="60 % - Accent3 2 2" xfId="0"/>
    <cellStyle name="60 % - Accent3 2 2 2" xfId="0"/>
    <cellStyle name="60 % - Accent3 2 2_Parc Mobile" xfId="0"/>
    <cellStyle name="60 % - Accent3 3" xfId="0"/>
    <cellStyle name="60 % - Accent3 3 2" xfId="0"/>
    <cellStyle name="60 % - Accent3 4" xfId="0"/>
    <cellStyle name="60 % - Accent3 4 2" xfId="0"/>
    <cellStyle name="60 % - Accent3 5" xfId="0"/>
    <cellStyle name="60 % - Accent3 5 2" xfId="0"/>
    <cellStyle name="60 % - Accent3 6" xfId="0"/>
    <cellStyle name="60 % - Accent3 6 2" xfId="0"/>
    <cellStyle name="60 % - Accent3 7 2" xfId="0"/>
    <cellStyle name="60 % - Accent3 8 2" xfId="0"/>
    <cellStyle name="60 % - Accent4 2" xfId="0"/>
    <cellStyle name="60 % - Accent4 2 2" xfId="0"/>
    <cellStyle name="60 % - Accent4 2 2 2" xfId="0"/>
    <cellStyle name="60 % - Accent4 2 2_Parc Mobile" xfId="0"/>
    <cellStyle name="60 % - Accent4 3" xfId="0"/>
    <cellStyle name="60 % - Accent4 3 2" xfId="0"/>
    <cellStyle name="60 % - Accent4 4" xfId="0"/>
    <cellStyle name="60 % - Accent4 4 2" xfId="0"/>
    <cellStyle name="60 % - Accent4 5" xfId="0"/>
    <cellStyle name="60 % - Accent4 5 2" xfId="0"/>
    <cellStyle name="60 % - Accent4 6" xfId="0"/>
    <cellStyle name="60 % - Accent4 6 2" xfId="0"/>
    <cellStyle name="60 % - Accent4 7 2" xfId="0"/>
    <cellStyle name="60 % - Accent4 8 2" xfId="0"/>
    <cellStyle name="60 % - Accent5 2" xfId="0"/>
    <cellStyle name="60 % - Accent5 2 2" xfId="0"/>
    <cellStyle name="60 % - Accent5 2 2 2" xfId="0"/>
    <cellStyle name="60 % - Accent5 2 2_Parc Mobile" xfId="0"/>
    <cellStyle name="60 % - Accent5 3" xfId="0"/>
    <cellStyle name="60 % - Accent5 3 2" xfId="0"/>
    <cellStyle name="60 % - Accent5 4" xfId="0"/>
    <cellStyle name="60 % - Accent5 4 2" xfId="0"/>
    <cellStyle name="60 % - Accent5 5" xfId="0"/>
    <cellStyle name="60 % - Accent5 5 2" xfId="0"/>
    <cellStyle name="60 % - Accent5 6" xfId="0"/>
    <cellStyle name="60 % - Accent5 6 2" xfId="0"/>
    <cellStyle name="60 % - Accent5 7 2" xfId="0"/>
    <cellStyle name="60 % - Accent5 8 2" xfId="0"/>
    <cellStyle name="60 % - Accent6 2" xfId="0"/>
    <cellStyle name="60 % - Accent6 2 2" xfId="0"/>
    <cellStyle name="60 % - Accent6 2 2 2" xfId="0"/>
    <cellStyle name="60 % - Accent6 2 2_Parc Mobile" xfId="0"/>
    <cellStyle name="60 % - Accent6 3" xfId="0"/>
    <cellStyle name="60 % - Accent6 3 2" xfId="0"/>
    <cellStyle name="60 % - Accent6 4" xfId="0"/>
    <cellStyle name="60 % - Accent6 4 2" xfId="0"/>
    <cellStyle name="60 % - Accent6 5" xfId="0"/>
    <cellStyle name="60 % - Accent6 5 2" xfId="0"/>
    <cellStyle name="60 % - Accent6 6" xfId="0"/>
    <cellStyle name="60 % - Accent6 6 2" xfId="0"/>
    <cellStyle name="60 % - Accent6 7 2" xfId="0"/>
    <cellStyle name="60 % - Accent6 8 2" xfId="0"/>
    <cellStyle name="=C:\WINDOWS\SYSTEM32\COMMAND.COM" xfId="0"/>
    <cellStyle name="=C:\WINNT35\SYSTEM32\COMMAND.COM" xfId="0"/>
    <cellStyle name="=C:\WINNT\SYSTEM32\COMMAND.COM" xfId="0"/>
    <cellStyle name="=F:\WINNT\SYSTEM32\COMMAND.COM" xfId="0"/>
    <cellStyle name="??" xfId="0"/>
    <cellStyle name="?? [0]_BINV" xfId="0"/>
    <cellStyle name="???[0]_BINV" xfId="0"/>
    <cellStyle name="???_BINV" xfId="0"/>
    <cellStyle name="??[0]_laroux" xfId="0"/>
    <cellStyle name="??_BINV" xfId="0"/>
    <cellStyle name="\" xfId="0"/>
    <cellStyle name="\_Budget 09_CF conso Onatel" xfId="0"/>
    <cellStyle name="\_Capex Fixe" xfId="0"/>
    <cellStyle name="\_Tableau de Bord de Gestion ONATEL 2011" xfId="0"/>
    <cellStyle name="_%(SignOnly)" xfId="0"/>
    <cellStyle name="_%(SignOnly)_BLS2q_salesforce" xfId="0"/>
    <cellStyle name="_%(SignSpaceOnly)" xfId="0"/>
    <cellStyle name="_%(SignSpaceOnly)_BLS2q_salesforce" xfId="0"/>
    <cellStyle name="_9thFeb_1350_capex model" xfId="0"/>
    <cellStyle name="_9thFeb_1350_capex model_F2.7A" xfId="0"/>
    <cellStyle name="_Access Charges - Unit wise Feb 04" xfId="0"/>
    <cellStyle name="_Access Charges Infotel" xfId="0"/>
    <cellStyle name="_Access Charges Mobility" xfId="0"/>
    <cellStyle name="_Access KPI_Nov 04" xfId="0"/>
    <cellStyle name="_actu3 2007 GT" xfId="0"/>
    <cellStyle name="_BFR 1009v1" xfId="0"/>
    <cellStyle name="_BPA 17Jan" xfId="0"/>
    <cellStyle name="_BPA 17Jan_F2.7A" xfId="0"/>
    <cellStyle name="_BTVL Consolidated" xfId="0"/>
    <cellStyle name="_BTVL consolidation format_new V 2.7" xfId="0"/>
    <cellStyle name="_BTVL F&amp;F - 2+10 - For circulation" xfId="0"/>
    <cellStyle name="_BTVL Format" xfId="0"/>
    <cellStyle name="_Budget 2004-05 V 2.7" xfId="0"/>
    <cellStyle name="_Budget HR 2004-05" xfId="0"/>
    <cellStyle name="_Budget ver2" xfId="0"/>
    <cellStyle name="_CAPEX Août 07 (3)" xfId="0"/>
    <cellStyle name="_CAPEX Août 07 (3)_Classeur1 (2)" xfId="0"/>
    <cellStyle name="_CAPEX Pole Réseaux  fevrier 2007" xfId="0"/>
    <cellStyle name="_CAPEX Pole Réseaux  Mars 2007" xfId="0"/>
    <cellStyle name="_CAPEX RFE 2007-2008-Actu12008 (2)" xfId="0"/>
    <cellStyle name="_CIP Commercial DRM 30-10-05" xfId="0"/>
    <cellStyle name="_Classeur2" xfId="0"/>
    <cellStyle name="_Classeur2 2" xfId="0"/>
    <cellStyle name="_Classeur2 3" xfId="0"/>
    <cellStyle name="_Classeur4" xfId="0"/>
    <cellStyle name="_Comma" xfId="0"/>
    <cellStyle name="_Comma_BLS2q_salesforce" xfId="0"/>
    <cellStyle name="_Comma_Contribution of assets into USAi_02" xfId="0"/>
    <cellStyle name="_Comma_credit - newco_6_18" xfId="0"/>
    <cellStyle name="_Comma_CSC Cable makers 060502" xfId="0"/>
    <cellStyle name="_Comma_Final Pages 8-20" xfId="0"/>
    <cellStyle name="_Comma_Final Pages 8-20_BLS2q_salesforce" xfId="0"/>
    <cellStyle name="_Comma_further analysis on comparables" xfId="0"/>
    <cellStyle name="_Comma_further analysis on comparables_BLS2q_salesforce" xfId="0"/>
    <cellStyle name="_Comma_NBC-5 yearDCF-Final from Vivendi modified" xfId="0"/>
    <cellStyle name="_Comma_Training Model Shell" xfId="0"/>
    <cellStyle name="_Comma_Update 08-27-01-3" xfId="0"/>
    <cellStyle name="_conso v3 bis" xfId="0"/>
    <cellStyle name="_CONSOLIDATION DES PRODUITS COMMERCIAUX-31-10-05" xfId="0"/>
    <cellStyle name="_Copy of QoQ Access Charges" xfId="0"/>
    <cellStyle name="_Currency" xfId="0"/>
    <cellStyle name="_Currency_BLS2q_salesforce" xfId="0"/>
    <cellStyle name="_Currency_Contribution of assets into USAi_02" xfId="0"/>
    <cellStyle name="_Currency_credit - newco_6_18" xfId="0"/>
    <cellStyle name="_Currency_credit - newco_6_18_BLS2q_salesforce" xfId="0"/>
    <cellStyle name="_Currency_CSC Cable makers 060502" xfId="0"/>
    <cellStyle name="_Currency_Final Pages 8-20" xfId="0"/>
    <cellStyle name="_Currency_Final Pages 8-20_BLS2q_salesforce" xfId="0"/>
    <cellStyle name="_Currency_further analysis on comparables" xfId="0"/>
    <cellStyle name="_Currency_further analysis on comparables_BLS2q_salesforce" xfId="0"/>
    <cellStyle name="_Currency_NBC-5 yearDCF-Final from Vivendi modified" xfId="0"/>
    <cellStyle name="_Currency_Pirelli Valo" xfId="0"/>
    <cellStyle name="_Currency_Preliminary Model 30 06 00" xfId="0"/>
    <cellStyle name="_Currency_Training Model Shell" xfId="0"/>
    <cellStyle name="_Currency_Training Model Shell_BLS2q_salesforce" xfId="0"/>
    <cellStyle name="_Currency_Update 08-27-01-3" xfId="0"/>
    <cellStyle name="_Currency_Update 08-27-01-3_BLS2q_salesforce" xfId="0"/>
    <cellStyle name="_Currency_Warrants Valuation Model" xfId="0"/>
    <cellStyle name="_CurrencySpace" xfId="0"/>
    <cellStyle name="_CurrencySpace_BLS2q_salesforce" xfId="0"/>
    <cellStyle name="_CurrencySpace_Contribution of assets into USAi_02" xfId="0"/>
    <cellStyle name="_CurrencySpace_credit - newco_6_18" xfId="0"/>
    <cellStyle name="_CurrencySpace_CSC Cable makers 060502" xfId="0"/>
    <cellStyle name="_CurrencySpace_Final Pages 8-20" xfId="0"/>
    <cellStyle name="_CurrencySpace_Final Pages 8-20_BLS2q_salesforce" xfId="0"/>
    <cellStyle name="_CurrencySpace_further analysis on comparables" xfId="0"/>
    <cellStyle name="_CurrencySpace_further analysis on comparables_BLS2q_salesforce" xfId="0"/>
    <cellStyle name="_CurrencySpace_NBC-5 yearDCF-Final from Vivendi modified" xfId="0"/>
    <cellStyle name="_CurrencySpace_Training Model Shell" xfId="0"/>
    <cellStyle name="_CurrencySpace_Update 08-27-01-3" xfId="0"/>
    <cellStyle name="_CWNs - HAR" xfId="0"/>
    <cellStyle name="_CWNs - HAR_BP&amp;A Bulletin - 05- 2008-09-MAPA (draft)" xfId="0"/>
    <cellStyle name="_CWNs - HAR_BP&amp;A Bulletin - 05- 2008-09-MAPA (Post review)" xfId="0"/>
    <cellStyle name="_CWNs - MOBILITY" xfId="0"/>
    <cellStyle name="_CWNs - MOBILITY1" xfId="0"/>
    <cellStyle name="_CWNs - MOBILITY1_BP&amp;A Bulletin - 05- 2008-09-MAPA (draft)" xfId="0"/>
    <cellStyle name="_CWNs - MOBILITY1_BP&amp;A Bulletin - 05- 2008-09-MAPA (Post review)" xfId="0"/>
    <cellStyle name="_CWNs - MOBILITY_BP&amp;A Bulletin - 05- 2008-09-MAPA (draft)" xfId="0"/>
    <cellStyle name="_CWNs - MOBILITY_BP&amp;A Bulletin - 05- 2008-09-MAPA (Post review)" xfId="0"/>
    <cellStyle name="_Delhi - CAPEX - updated Dec 30" xfId="0"/>
    <cellStyle name="_Delhi - CAPEX - updated Dec 30_BP&amp;A Bulletin - 05- 2008-09-MAPA (draft)" xfId="0"/>
    <cellStyle name="_Delhi - CAPEX - updated Dec 30_BP&amp;A Bulletin - 05- 2008-09-MAPA (Post review)" xfId="0"/>
    <cellStyle name="_Données du 11 octobre" xfId="0"/>
    <cellStyle name="_DSL profitability- Feb '04_Access" xfId="0"/>
    <cellStyle name="_DV CAPEX 2008" xfId="0"/>
    <cellStyle name="_EBITDA Margin Analysis" xfId="0"/>
    <cellStyle name="_EtatADSL-10-01-2007- estimation PdM" xfId="0"/>
    <cellStyle name="_EtatADSL-10-01-2007- estimation PdM_BUDGET ONATEL 2010 v5" xfId="0"/>
    <cellStyle name="_EtatADSL-10-01-2007- estimation PdM_CAPEX BUDGET2010" xfId="0"/>
    <cellStyle name="_Euro" xfId="0"/>
    <cellStyle name="_Euro_BLS2q_salesforce" xfId="0"/>
    <cellStyle name="_Expense variation" xfId="0"/>
    <cellStyle name="_Flash KPI Consol" xfId="0"/>
    <cellStyle name="_Frais d'actes  Contentieux 2009" xfId="0"/>
    <cellStyle name="_frs 112009v1" xfId="0"/>
    <cellStyle name="_Heading" xfId="0"/>
    <cellStyle name="_Heading_01 VU Liquidity 171202" xfId="0"/>
    <cellStyle name="_Heading_210302 VU Liquidity new figures" xfId="0"/>
    <cellStyle name="_Heading_210302 VU Liquidity new figures 2" xfId="0"/>
    <cellStyle name="_Heading_210302 VU Liquidity new figures_BUDGET ONATEL 2010 v5" xfId="0"/>
    <cellStyle name="_Heading_210302 VU Liquidity new figures_CAPEX BUDGET2010" xfId="0"/>
    <cellStyle name="_Heading_210302 VU Liquidity new figures_Classeur1" xfId="0"/>
    <cellStyle name="_Heading_210302 VU Liquidity new figures_Classeur1 (2)" xfId="0"/>
    <cellStyle name="_Heading_210302 VU Liquidity new figures_Commentaire activité Fixe  mobile ONATEL Nov 2009" xfId="0"/>
    <cellStyle name="_Heading_210302 VU Liquidity new figures_COMMENTAIRES" xfId="0"/>
    <cellStyle name="_Heading_210302 VU Liquidity new figures_commentaires fixe  internet Déc 08" xfId="0"/>
    <cellStyle name="_Heading_210302 VU Liquidity new figures_Commentaires Janvier 2010" xfId="0"/>
    <cellStyle name="_Heading_210302 VU Liquidity new figures_commentaires_fixe__internet_nov_08(2)" xfId="0"/>
    <cellStyle name="_Heading_210302 VU Liquidity new figures_Copie de Flash du mois d' avril 2009 corrigé par NAIMI" xfId="0"/>
    <cellStyle name="_Heading_210302 VU Liquidity new figures_Copie de Flash du mois de Décembre 2008 v2 (3)" xfId="0"/>
    <cellStyle name="_Heading_210302 VU Liquidity new figures_FAITS MARQUANTS DE SEPTEMBRE 2009" xfId="0"/>
    <cellStyle name="_Heading_210302 VU Liquidity new figures_Feuil1" xfId="0"/>
    <cellStyle name="_Heading_210302 VU Liquidity new figures_Flash du mois d' avril 2009" xfId="0"/>
    <cellStyle name="_Heading_210302 VU Liquidity new figures_Flash du mois de Décembre 2009 V3 (2)" xfId="0"/>
    <cellStyle name="_Heading_210302 VU Liquidity new figures_Flash du mois de mai 2009" xfId="0"/>
    <cellStyle name="_Heading_210302 VU Liquidity new figures_Flash du mois de Novembre V2" xfId="0"/>
    <cellStyle name="_Heading_210302 VU Liquidity new figures_Flash du mois de septembre 2009 (2) (version 1)" xfId="0"/>
    <cellStyle name="_Heading_210302 VU Liquidity new figures_FLASH ONATEL DU MOIS DE FEVRIER 2010 V2" xfId="0"/>
    <cellStyle name="_Heading_210302 VU Liquidity new figures_Flash_du_mois_de_Décembre_2008_v2(2)" xfId="0"/>
    <cellStyle name="_Heading_210302 VU Liquidity new figures_Flux Financiers Conso" xfId="0"/>
    <cellStyle name="_Heading_210302 VU Liquidity new figures_P-L Fixe" xfId="0"/>
    <cellStyle name="_Heading_210302 VU Liquidity new figures_Reporting Consolidé ONATEL 04.2009" xfId="0"/>
    <cellStyle name="_Heading_210302 VU Liquidity new figures_Reporting Onatel Avril 2009 V0" xfId="0"/>
    <cellStyle name="_Heading_210302 VU Liquidity new figures_Reporting Onatel Avril 2009 V0 2" xfId="0"/>
    <cellStyle name="_Heading_210302 VU Liquidity new figures_Reporting Onatel Avril 2009 V0_Classeur1" xfId="0"/>
    <cellStyle name="_Heading_210302 VU Liquidity new figures_Reporting Onatel Avril 2009 V0_Commentaire activité Fixe  mobile ONATEL Nov 2009" xfId="0"/>
    <cellStyle name="_Heading_210302 VU Liquidity new figures_Reporting Onatel Avril 2009 V0_COMMENTAIRES" xfId="0"/>
    <cellStyle name="_Heading_210302 VU Liquidity new figures_Reporting Onatel Avril 2009 V0_Commentaires Janvier 2010" xfId="0"/>
    <cellStyle name="_Heading_210302 VU Liquidity new figures_Reporting Onatel Avril 2009 V0_FAITS MARQUANTS DE SEPTEMBRE 2009" xfId="0"/>
    <cellStyle name="_Heading_210302 VU Liquidity new figures_Reporting Onatel Avril 2009 V0_Flash du mois de Décembre 2009 V3 (2)" xfId="0"/>
    <cellStyle name="_Heading_210302 VU Liquidity new figures_Reporting Onatel Avril 2009 V0_Flash du mois de Novembre V2" xfId="0"/>
    <cellStyle name="_Heading_210302 VU Liquidity new figures_Reporting Onatel Avril 2009 V0_Flash du mois de septembre 2009 (2) (version 1)" xfId="0"/>
    <cellStyle name="_Heading_210302 VU Liquidity new figures_Reporting Onatel Avril 2009 V0_Flash du mois de septembre 2009 (2) (version 1) 2" xfId="0"/>
    <cellStyle name="_Heading_210302 VU Liquidity new figures_Reporting Onatel Avril 2009 V0_Flash du mois de septembre 2009 (2) (version 1)_Classeur1" xfId="0"/>
    <cellStyle name="_Heading_210302 VU Liquidity new figures_Reporting Onatel Avril 2009 V0_Flash du mois de septembre 2009 (2) (version 1)_Commentaire activité Fixe  mobile ONATEL Nov 2009" xfId="0"/>
    <cellStyle name="_Heading_210302 VU Liquidity new figures_Reporting Onatel Avril 2009 V0_Flash du mois de septembre 2009 (2) (version 1)_COMMENTAIRES" xfId="0"/>
    <cellStyle name="_Heading_210302 VU Liquidity new figures_Reporting Onatel Avril 2009 V0_Flash du mois de septembre 2009 (2) (version 1)_Commentaires Janvier 2010" xfId="0"/>
    <cellStyle name="_Heading_210302 VU Liquidity new figures_Reporting Onatel Avril 2009 V0_Flash du mois de septembre 2009 (2) (version 1)_Flash du mois de Décembre 2009 V3 (2)" xfId="0"/>
    <cellStyle name="_Heading_210302 VU Liquidity new figures_Reporting Onatel Avril 2009 V0_Flash du mois de septembre 2009 (2) (version 1)_Flash du mois de Novembre V2" xfId="0"/>
    <cellStyle name="_Heading_210302 VU Liquidity new figures_Reporting Onatel Avril 2009 V0_Flash du mois de septembre 2009 (2) (version 1)_FLASH ONATEL DU MOIS DE FEVRIER 2010 V2" xfId="0"/>
    <cellStyle name="_Heading_210302 VU Liquidity new figures_Reporting Onatel Avril 2009 V0_Flash du mois de septembre 2009 (2) (version 1)_Reporting Onatel septembre  2009 V1 (4)" xfId="0"/>
    <cellStyle name="_Heading_210302 VU Liquidity new figures_Reporting Onatel Avril 2009 V0_FLASH ONATEL DU MOIS DE FEVRIER 2010 V2" xfId="0"/>
    <cellStyle name="_Heading_210302 VU Liquidity new figures_Reporting Onatel Avril 2009 V0_Reporting Consolidé ONATEL 04.2009" xfId="0"/>
    <cellStyle name="_Heading_210302 VU Liquidity new figures_Reporting Onatel Avril 2009 V0_Reporting Onatel septembre  2009 préparé" xfId="0"/>
    <cellStyle name="_Heading_210302 VU Liquidity new figures_Reporting Onatel Avril 2009 V0_Reporting Onatel septembre  2009 V1 (4)" xfId="0"/>
    <cellStyle name="_Heading_210302 VU Liquidity new figures_Reporting Onatel Mai 2009 V 0" xfId="0"/>
    <cellStyle name="_Heading_210302 VU Liquidity new figures_Reporting Onatel Mai 2009 V 0 2" xfId="0"/>
    <cellStyle name="_Heading_210302 VU Liquidity new figures_Reporting Onatel Mai 2009 V 0 A ENVOYE" xfId="0"/>
    <cellStyle name="_Heading_210302 VU Liquidity new figures_Reporting Onatel Mai 2009 V 0 A ENVOYE 2" xfId="0"/>
    <cellStyle name="_Heading_210302 VU Liquidity new figures_Reporting Onatel Mai 2009 V 0 A ENVOYE_Classeur1" xfId="0"/>
    <cellStyle name="_Heading_210302 VU Liquidity new figures_Reporting Onatel Mai 2009 V 0 A ENVOYE_Commentaire activité Fixe  mobile ONATEL Nov 2009" xfId="0"/>
    <cellStyle name="_Heading_210302 VU Liquidity new figures_Reporting Onatel Mai 2009 V 0 A ENVOYE_COMMENTAIRES" xfId="0"/>
    <cellStyle name="_Heading_210302 VU Liquidity new figures_Reporting Onatel Mai 2009 V 0 A ENVOYE_Commentaires Janvier 2010" xfId="0"/>
    <cellStyle name="_Heading_210302 VU Liquidity new figures_Reporting Onatel Mai 2009 V 0 A ENVOYE_FAITS MARQUANTS DE SEPTEMBRE 2009" xfId="0"/>
    <cellStyle name="_Heading_210302 VU Liquidity new figures_Reporting Onatel Mai 2009 V 0 A ENVOYE_Flash du mois de Décembre 2009 V3 (2)" xfId="0"/>
    <cellStyle name="_Heading_210302 VU Liquidity new figures_Reporting Onatel Mai 2009 V 0 A ENVOYE_Flash du mois de Novembre V2" xfId="0"/>
    <cellStyle name="_Heading_210302 VU Liquidity new figures_Reporting Onatel Mai 2009 V 0 A ENVOYE_Flash du mois de septembre 2009 (2) (version 1)" xfId="0"/>
    <cellStyle name="_Heading_210302 VU Liquidity new figures_Reporting Onatel Mai 2009 V 0 A ENVOYE_Flash du mois de septembre 2009 (2) (version 1) 2" xfId="0"/>
    <cellStyle name="_Heading_210302 VU Liquidity new figures_Reporting Onatel Mai 2009 V 0 A ENVOYE_Flash du mois de septembre 2009 (2) (version 1)_Classeur1" xfId="0"/>
    <cellStyle name="_Heading_210302 VU Liquidity new figures_Reporting Onatel Mai 2009 V 0 A ENVOYE_Flash du mois de septembre 2009 (2) (version 1)_Commentaire activité Fixe  mobile ONATEL Nov 2009" xfId="0"/>
    <cellStyle name="_Heading_210302 VU Liquidity new figures_Reporting Onatel Mai 2009 V 0 A ENVOYE_Flash du mois de septembre 2009 (2) (version 1)_COMMENTAIRES" xfId="0"/>
    <cellStyle name="_Heading_210302 VU Liquidity new figures_Reporting Onatel Mai 2009 V 0 A ENVOYE_Flash du mois de septembre 2009 (2) (version 1)_Commentaires Janvier 2010" xfId="0"/>
    <cellStyle name="_Heading_210302 VU Liquidity new figures_Reporting Onatel Mai 2009 V 0 A ENVOYE_Flash du mois de septembre 2009 (2) (version 1)_Flash du mois de Décembre 2009 V3 (2)" xfId="0"/>
    <cellStyle name="_Heading_210302 VU Liquidity new figures_Reporting Onatel Mai 2009 V 0 A ENVOYE_Flash du mois de septembre 2009 (2) (version 1)_Flash du mois de Novembre V2" xfId="0"/>
    <cellStyle name="_Heading_210302 VU Liquidity new figures_Reporting Onatel Mai 2009 V 0 A ENVOYE_Flash du mois de septembre 2009 (2) (version 1)_FLASH ONATEL DU MOIS DE FEVRIER 2010 V2" xfId="0"/>
    <cellStyle name="_Heading_210302 VU Liquidity new figures_Reporting Onatel Mai 2009 V 0 A ENVOYE_Flash du mois de septembre 2009 (2) (version 1)_Reporting Onatel septembre  2009 V1 (4)" xfId="0"/>
    <cellStyle name="_Heading_210302 VU Liquidity new figures_Reporting Onatel Mai 2009 V 0 A ENVOYE_FLASH ONATEL DU MOIS DE FEVRIER 2010 V2" xfId="0"/>
    <cellStyle name="_Heading_210302 VU Liquidity new figures_Reporting Onatel Mai 2009 V 0 A ENVOYE_Reporting Onatel septembre  2009 préparé" xfId="0"/>
    <cellStyle name="_Heading_210302 VU Liquidity new figures_Reporting Onatel Mai 2009 V 0 A ENVOYE_Reporting Onatel septembre  2009 V1 (4)" xfId="0"/>
    <cellStyle name="_Heading_210302 VU Liquidity new figures_Reporting Onatel Mai 2009 V 0_Classeur1" xfId="0"/>
    <cellStyle name="_Heading_210302 VU Liquidity new figures_Reporting Onatel Mai 2009 V 0_Commentaire activité Fixe  mobile ONATEL Nov 2009" xfId="0"/>
    <cellStyle name="_Heading_210302 VU Liquidity new figures_Reporting Onatel Mai 2009 V 0_COMMENTAIRES" xfId="0"/>
    <cellStyle name="_Heading_210302 VU Liquidity new figures_Reporting Onatel Mai 2009 V 0_Commentaires Janvier 2010" xfId="0"/>
    <cellStyle name="_Heading_210302 VU Liquidity new figures_Reporting Onatel Mai 2009 V 0_FAITS MARQUANTS DE SEPTEMBRE 2009" xfId="0"/>
    <cellStyle name="_Heading_210302 VU Liquidity new figures_Reporting Onatel Mai 2009 V 0_Flash du mois de Décembre 2009 V3 (2)" xfId="0"/>
    <cellStyle name="_Heading_210302 VU Liquidity new figures_Reporting Onatel Mai 2009 V 0_Flash du mois de Novembre V2" xfId="0"/>
    <cellStyle name="_Heading_210302 VU Liquidity new figures_Reporting Onatel Mai 2009 V 0_Flash du mois de septembre 2009 (2) (version 1)" xfId="0"/>
    <cellStyle name="_Heading_210302 VU Liquidity new figures_Reporting Onatel Mai 2009 V 0_Flash du mois de septembre 2009 (2) (version 1) 2" xfId="0"/>
    <cellStyle name="_Heading_210302 VU Liquidity new figures_Reporting Onatel Mai 2009 V 0_Flash du mois de septembre 2009 (2) (version 1)_Classeur1" xfId="0"/>
    <cellStyle name="_Heading_210302 VU Liquidity new figures_Reporting Onatel Mai 2009 V 0_Flash du mois de septembre 2009 (2) (version 1)_Commentaire activité Fixe  mobile ONATEL Nov 2009" xfId="0"/>
    <cellStyle name="_Heading_210302 VU Liquidity new figures_Reporting Onatel Mai 2009 V 0_Flash du mois de septembre 2009 (2) (version 1)_COMMENTAIRES" xfId="0"/>
    <cellStyle name="_Heading_210302 VU Liquidity new figures_Reporting Onatel Mai 2009 V 0_Flash du mois de septembre 2009 (2) (version 1)_Commentaires Janvier 2010" xfId="0"/>
    <cellStyle name="_Heading_210302 VU Liquidity new figures_Reporting Onatel Mai 2009 V 0_Flash du mois de septembre 2009 (2) (version 1)_Flash du mois de Décembre 2009 V3 (2)" xfId="0"/>
    <cellStyle name="_Heading_210302 VU Liquidity new figures_Reporting Onatel Mai 2009 V 0_Flash du mois de septembre 2009 (2) (version 1)_Flash du mois de Novembre V2" xfId="0"/>
    <cellStyle name="_Heading_210302 VU Liquidity new figures_Reporting Onatel Mai 2009 V 0_Flash du mois de septembre 2009 (2) (version 1)_FLASH ONATEL DU MOIS DE FEVRIER 2010 V2" xfId="0"/>
    <cellStyle name="_Heading_210302 VU Liquidity new figures_Reporting Onatel Mai 2009 V 0_Flash du mois de septembre 2009 (2) (version 1)_Reporting Onatel septembre  2009 V1 (4)" xfId="0"/>
    <cellStyle name="_Heading_210302 VU Liquidity new figures_Reporting Onatel Mai 2009 V 0_FLASH ONATEL DU MOIS DE FEVRIER 2010 V2" xfId="0"/>
    <cellStyle name="_Heading_210302 VU Liquidity new figures_Reporting Onatel Mai 2009 V 0_Reporting Onatel septembre  2009 préparé" xfId="0"/>
    <cellStyle name="_Heading_210302 VU Liquidity new figures_Reporting Onatel Mai 2009 V 0_Reporting Onatel septembre  2009 V1 (4)" xfId="0"/>
    <cellStyle name="_Heading_210302 VU Liquidity new figures_Reporting Onatel septembre  2009 préparé" xfId="0"/>
    <cellStyle name="_Heading_210302 VU Liquidity new figures_Reporting Onatel septembre  2009 V1 (4)" xfId="0"/>
    <cellStyle name="_Heading_210302 VU Liquidity new figures_Sotelma réctifié5" xfId="0"/>
    <cellStyle name="_Heading_prestemp" xfId="0"/>
    <cellStyle name="_Heading_prestemp 2" xfId="0"/>
    <cellStyle name="_Heading_prestemp_BUDGET ONATEL 2010 v5" xfId="0"/>
    <cellStyle name="_Heading_prestemp_Classeur1" xfId="0"/>
    <cellStyle name="_Heading_prestemp_Classeur1 (2)" xfId="0"/>
    <cellStyle name="_Heading_prestemp_Commentaire activité Fixe  mobile ONATEL Nov 2009" xfId="0"/>
    <cellStyle name="_Heading_prestemp_COMMENTAIRES" xfId="0"/>
    <cellStyle name="_Heading_prestemp_commentaires fixe  internet Déc 08" xfId="0"/>
    <cellStyle name="_Heading_prestemp_Commentaires Janvier 2010" xfId="0"/>
    <cellStyle name="_Heading_prestemp_commentaires_fixe__internet_nov_08(2)" xfId="0"/>
    <cellStyle name="_Heading_prestemp_Copie de Flash du mois d' avril 2009 corrigé par NAIMI" xfId="0"/>
    <cellStyle name="_Heading_prestemp_Copie de Flash du mois de Décembre 2008 v2 (3)" xfId="0"/>
    <cellStyle name="_Heading_prestemp_FAITS MARQUANTS DE SEPTEMBRE 2009" xfId="0"/>
    <cellStyle name="_Heading_prestemp_Feuil1" xfId="0"/>
    <cellStyle name="_Heading_prestemp_Flash du mois d' avril 2009" xfId="0"/>
    <cellStyle name="_Heading_prestemp_Flash du mois de Décembre 2009 V3 (2)" xfId="0"/>
    <cellStyle name="_Heading_prestemp_Flash du mois de mai 2009" xfId="0"/>
    <cellStyle name="_Heading_prestemp_Flash du mois de Novembre V2" xfId="0"/>
    <cellStyle name="_Heading_prestemp_Flash du mois de septembre 2009 (2) (version 1)" xfId="0"/>
    <cellStyle name="_Heading_prestemp_FLASH ONATEL DU MOIS DE FEVRIER 2010 V2" xfId="0"/>
    <cellStyle name="_Heading_prestemp_Flash_du_mois_de_Décembre_2008_v2(2)" xfId="0"/>
    <cellStyle name="_Heading_prestemp_Flux Financiers Conso" xfId="0"/>
    <cellStyle name="_Heading_prestemp_Reporting Consolidé ONATEL 04.2009" xfId="0"/>
    <cellStyle name="_Heading_prestemp_Reporting Onatel Avril 2009 V0" xfId="0"/>
    <cellStyle name="_Heading_prestemp_Reporting Onatel Avril 2009 V0 2" xfId="0"/>
    <cellStyle name="_Heading_prestemp_Reporting Onatel Avril 2009 V0_Classeur1" xfId="0"/>
    <cellStyle name="_Heading_prestemp_Reporting Onatel Avril 2009 V0_Commentaire activité Fixe  mobile ONATEL Nov 2009" xfId="0"/>
    <cellStyle name="_Heading_prestemp_Reporting Onatel Avril 2009 V0_COMMENTAIRES" xfId="0"/>
    <cellStyle name="_Heading_prestemp_Reporting Onatel Avril 2009 V0_Commentaires Janvier 2010" xfId="0"/>
    <cellStyle name="_Heading_prestemp_Reporting Onatel Avril 2009 V0_FAITS MARQUANTS DE SEPTEMBRE 2009" xfId="0"/>
    <cellStyle name="_Heading_prestemp_Reporting Onatel Avril 2009 V0_Flash du mois de Décembre 2009 V3 (2)" xfId="0"/>
    <cellStyle name="_Heading_prestemp_Reporting Onatel Avril 2009 V0_Flash du mois de Novembre V2" xfId="0"/>
    <cellStyle name="_Heading_prestemp_Reporting Onatel Avril 2009 V0_Flash du mois de septembre 2009 (2) (version 1)" xfId="0"/>
    <cellStyle name="_Heading_prestemp_Reporting Onatel Avril 2009 V0_Flash du mois de septembre 2009 (2) (version 1) 2" xfId="0"/>
    <cellStyle name="_Heading_prestemp_Reporting Onatel Avril 2009 V0_Flash du mois de septembre 2009 (2) (version 1)_Classeur1" xfId="0"/>
    <cellStyle name="_Heading_prestemp_Reporting Onatel Avril 2009 V0_Flash du mois de septembre 2009 (2) (version 1)_Commentaire activité Fixe  mobile ONATEL Nov 2009" xfId="0"/>
    <cellStyle name="_Heading_prestemp_Reporting Onatel Avril 2009 V0_Flash du mois de septembre 2009 (2) (version 1)_COMMENTAIRES" xfId="0"/>
    <cellStyle name="_Heading_prestemp_Reporting Onatel Avril 2009 V0_Flash du mois de septembre 2009 (2) (version 1)_Commentaires Janvier 2010" xfId="0"/>
    <cellStyle name="_Heading_prestemp_Reporting Onatel Avril 2009 V0_Flash du mois de septembre 2009 (2) (version 1)_Flash du mois de Décembre 2009 V3 (2)" xfId="0"/>
    <cellStyle name="_Heading_prestemp_Reporting Onatel Avril 2009 V0_Flash du mois de septembre 2009 (2) (version 1)_Flash du mois de Novembre V2" xfId="0"/>
    <cellStyle name="_Heading_prestemp_Reporting Onatel Avril 2009 V0_Flash du mois de septembre 2009 (2) (version 1)_FLASH ONATEL DU MOIS DE FEVRIER 2010 V2" xfId="0"/>
    <cellStyle name="_Heading_prestemp_Reporting Onatel Avril 2009 V0_Flash du mois de septembre 2009 (2) (version 1)_Reporting Onatel septembre  2009 V1 (4)" xfId="0"/>
    <cellStyle name="_Heading_prestemp_Reporting Onatel Avril 2009 V0_FLASH ONATEL DU MOIS DE FEVRIER 2010 V2" xfId="0"/>
    <cellStyle name="_Heading_prestemp_Reporting Onatel Avril 2009 V0_Reporting Consolidé ONATEL 04.2009" xfId="0"/>
    <cellStyle name="_Heading_prestemp_Reporting Onatel Avril 2009 V0_Reporting Onatel septembre  2009 préparé" xfId="0"/>
    <cellStyle name="_Heading_prestemp_Reporting Onatel Avril 2009 V0_Reporting Onatel septembre  2009 V1 (4)" xfId="0"/>
    <cellStyle name="_Heading_prestemp_Reporting Onatel Mai 2009 V 0" xfId="0"/>
    <cellStyle name="_Heading_prestemp_Reporting Onatel Mai 2009 V 0 2" xfId="0"/>
    <cellStyle name="_Heading_prestemp_Reporting Onatel Mai 2009 V 0 A ENVOYE" xfId="0"/>
    <cellStyle name="_Heading_prestemp_Reporting Onatel Mai 2009 V 0 A ENVOYE 2" xfId="0"/>
    <cellStyle name="_Heading_prestemp_Reporting Onatel Mai 2009 V 0 A ENVOYE_Classeur1" xfId="0"/>
    <cellStyle name="_Heading_prestemp_Reporting Onatel Mai 2009 V 0 A ENVOYE_Commentaire activité Fixe  mobile ONATEL Nov 2009" xfId="0"/>
    <cellStyle name="_Heading_prestemp_Reporting Onatel Mai 2009 V 0 A ENVOYE_COMMENTAIRES" xfId="0"/>
    <cellStyle name="_Heading_prestemp_Reporting Onatel Mai 2009 V 0 A ENVOYE_Commentaires Janvier 2010" xfId="0"/>
    <cellStyle name="_Heading_prestemp_Reporting Onatel Mai 2009 V 0 A ENVOYE_FAITS MARQUANTS DE SEPTEMBRE 2009" xfId="0"/>
    <cellStyle name="_Heading_prestemp_Reporting Onatel Mai 2009 V 0 A ENVOYE_Flash du mois de Décembre 2009 V3 (2)" xfId="0"/>
    <cellStyle name="_Heading_prestemp_Reporting Onatel Mai 2009 V 0 A ENVOYE_Flash du mois de Novembre V2" xfId="0"/>
    <cellStyle name="_Heading_prestemp_Reporting Onatel Mai 2009 V 0 A ENVOYE_Flash du mois de septembre 2009 (2) (version 1)" xfId="0"/>
    <cellStyle name="_Heading_prestemp_Reporting Onatel Mai 2009 V 0 A ENVOYE_Flash du mois de septembre 2009 (2) (version 1) 2" xfId="0"/>
    <cellStyle name="_Heading_prestemp_Reporting Onatel Mai 2009 V 0 A ENVOYE_Flash du mois de septembre 2009 (2) (version 1)_Classeur1" xfId="0"/>
    <cellStyle name="_Heading_prestemp_Reporting Onatel Mai 2009 V 0 A ENVOYE_Flash du mois de septembre 2009 (2) (version 1)_Commentaire activité Fixe  mobile ONATEL Nov 2009" xfId="0"/>
    <cellStyle name="_Heading_prestemp_Reporting Onatel Mai 2009 V 0 A ENVOYE_Flash du mois de septembre 2009 (2) (version 1)_COMMENTAIRES" xfId="0"/>
    <cellStyle name="_Heading_prestemp_Reporting Onatel Mai 2009 V 0 A ENVOYE_Flash du mois de septembre 2009 (2) (version 1)_Commentaires Janvier 2010" xfId="0"/>
    <cellStyle name="_Heading_prestemp_Reporting Onatel Mai 2009 V 0 A ENVOYE_Flash du mois de septembre 2009 (2) (version 1)_Flash du mois de Décembre 2009 V3 (2)" xfId="0"/>
    <cellStyle name="_Heading_prestemp_Reporting Onatel Mai 2009 V 0 A ENVOYE_Flash du mois de septembre 2009 (2) (version 1)_Flash du mois de Novembre V2" xfId="0"/>
    <cellStyle name="_Heading_prestemp_Reporting Onatel Mai 2009 V 0 A ENVOYE_Flash du mois de septembre 2009 (2) (version 1)_FLASH ONATEL DU MOIS DE FEVRIER 2010 V2" xfId="0"/>
    <cellStyle name="_Heading_prestemp_Reporting Onatel Mai 2009 V 0 A ENVOYE_Flash du mois de septembre 2009 (2) (version 1)_Reporting Onatel septembre  2009 V1 (4)" xfId="0"/>
    <cellStyle name="_Heading_prestemp_Reporting Onatel Mai 2009 V 0 A ENVOYE_FLASH ONATEL DU MOIS DE FEVRIER 2010 V2" xfId="0"/>
    <cellStyle name="_Heading_prestemp_Reporting Onatel Mai 2009 V 0 A ENVOYE_Reporting Onatel septembre  2009 préparé" xfId="0"/>
    <cellStyle name="_Heading_prestemp_Reporting Onatel Mai 2009 V 0 A ENVOYE_Reporting Onatel septembre  2009 V1 (4)" xfId="0"/>
    <cellStyle name="_Heading_prestemp_Reporting Onatel Mai 2009 V 0_Classeur1" xfId="0"/>
    <cellStyle name="_Heading_prestemp_Reporting Onatel Mai 2009 V 0_COMMENTAIRES" xfId="0"/>
    <cellStyle name="_Heading_prestemp_Reporting Onatel Mai 2009 V 0_Commentaires Janvier 2010" xfId="0"/>
    <cellStyle name="_Heading_prestemp_Reporting Onatel Mai 2009 V 0_FAITS MARQUANTS DE SEPTEMBRE 2009" xfId="0"/>
    <cellStyle name="_Heading_prestemp_Reporting Onatel Mai 2009 V 0_Flash du mois de Décembre 2009 V3 (2)" xfId="0"/>
    <cellStyle name="_Heading_prestemp_Reporting Onatel Mai 2009 V 0_Flash du mois de septembre 2009 (2) (version 1)" xfId="0"/>
    <cellStyle name="_Heading_prestemp_Reporting Onatel Mai 2009 V 0_Flash du mois de septembre 2009 (2) (version 1) 2" xfId="0"/>
    <cellStyle name="_Heading_prestemp_Reporting Onatel Mai 2009 V 0_Flash du mois de septembre 2009 (2) (version 1)_Classeur1" xfId="0"/>
    <cellStyle name="_Heading_prestemp_Reporting Onatel Mai 2009 V 0_Flash du mois de septembre 2009 (2) (version 1)_Commentaires Janvier 2010" xfId="0"/>
    <cellStyle name="_Heading_prestemp_Reporting Onatel Mai 2009 V 0_Flash du mois de septembre 2009 (2) (version 1)_Flash du mois de Décembre 2009 V3 (2)" xfId="0"/>
    <cellStyle name="_Heading_prestemp_Reporting Onatel Mai 2009 V 0_Flash du mois de septembre 2009 (2) (version 1)_FLASH ONATEL DU MOIS DE FEVRIER 2010 V2" xfId="0"/>
    <cellStyle name="_Heading_prestemp_Reporting Onatel Mai 2009 V 0_Flash du mois de septembre 2009 (2) (version 1)_Reporting Onatel septembre  2009 V1 (4)" xfId="0"/>
    <cellStyle name="_Heading_prestemp_Reporting Onatel Mai 2009 V 0_FLASH ONATEL DU MOIS DE FEVRIER 2010 V2" xfId="0"/>
    <cellStyle name="_Heading_prestemp_Reporting Onatel Mai 2009 V 0_Reporting Onatel septembre  2009 préparé" xfId="0"/>
    <cellStyle name="_Heading_prestemp_Reporting Onatel Mai 2009 V 0_Reporting Onatel septembre  2009 V1 (4)" xfId="0"/>
    <cellStyle name="_Heading_prestemp_Reporting Onatel septembre  2009 préparé" xfId="0"/>
    <cellStyle name="_Heading_prestemp_Reporting Onatel septembre  2009 V1 (4)" xfId="0"/>
    <cellStyle name="_Heading_prestemp_Sotelma réctifié5" xfId="0"/>
    <cellStyle name="_Headline" xfId="0"/>
    <cellStyle name="_Highlight" xfId="0"/>
    <cellStyle name="_ILD MAPA Format" xfId="0"/>
    <cellStyle name="_ILD MAPA Format_BP&amp;A Bulletin - 05- 2008-09-MAPA (draft)" xfId="0"/>
    <cellStyle name="_ILD MAPA Format_BP&amp;A Bulletin - 05- 2008-09-MAPA (Post review)" xfId="0"/>
    <cellStyle name="_Immo BLO _global" xfId="0"/>
    <cellStyle name="_Indicateurs BFR Régions 03 2008 vesrion finale (2) (2)" xfId="0"/>
    <cellStyle name="_Indicateurs BFR Régions 06 2008 (3)" xfId="0"/>
    <cellStyle name="_Indicateurs BFR Régions 06 2008 (5)" xfId="0"/>
    <cellStyle name="_Indicateurs BFR Régions 08 2008" xfId="0"/>
    <cellStyle name="_Indicateurs BFR Régions 08 2008 (2)" xfId="0"/>
    <cellStyle name="_Indicateurs BFR Régions 092008" xfId="0"/>
    <cellStyle name="_Indicateurs BFR Régions 102008" xfId="0"/>
    <cellStyle name="_Indicateurs BFR Régions 122008" xfId="0"/>
    <cellStyle name="_indicateurs BFR régions TBG 06 08" xfId="0"/>
    <cellStyle name="_indicateurs BFR régions TBG 06 08_Classeur1 (2)" xfId="0"/>
    <cellStyle name="_indicateurs fournisseurs" xfId="0"/>
    <cellStyle name="_Infotel KPI's Cover page" xfId="0"/>
    <cellStyle name="_IR Pack first cut" xfId="0"/>
    <cellStyle name="_IR Pack first cut_BP&amp;A Bulletin - 05- 2008-09-MAPA (draft)" xfId="0"/>
    <cellStyle name="_IR Pack first cut_BP&amp;A Bulletin - 05- 2008-09-MAPA (Post review)" xfId="0"/>
    <cellStyle name="_Justifs Actu1" xfId="0"/>
    <cellStyle name="_KPI BBNL" xfId="0"/>
    <cellStyle name="_KPI BBNL_BP&amp;A Bulletin - 05- 2008-09-MAPA (draft)" xfId="0"/>
    <cellStyle name="_KPI BBNL_BP&amp;A Bulletin - 05- 2008-09-MAPA (Post review)" xfId="0"/>
    <cellStyle name="_KPI Consolidation version 8" xfId="0"/>
    <cellStyle name="_KPI definitions_Draft" xfId="0"/>
    <cellStyle name="_KPI definitions_Draft_BP&amp;A Bulletin - 05- 2008-09-MAPA (draft)" xfId="0"/>
    <cellStyle name="_KPI definitions_Draft_BP&amp;A Bulletin - 05- 2008-09-MAPA (Post review)" xfId="0"/>
    <cellStyle name="_MAPA-Nov 04" xfId="0"/>
    <cellStyle name="_MAPA-Nov 04_BP&amp;A Bulletin - 05- 2008-09-MAPA (draft)" xfId="0"/>
    <cellStyle name="_MAPA-Nov 04_BP&amp;A Bulletin - 05- 2008-09-MAPA (Post review)" xfId="0"/>
    <cellStyle name="_Mobility QonQ1" xfId="0"/>
    <cellStyle name="_Mobility QonQ1_F2.7A" xfId="0"/>
    <cellStyle name="_MT-trim-mail2007-int" xfId="0"/>
    <cellStyle name="_MT-trim-mail2007-int_Classeur1 (2)" xfId="0"/>
    <cellStyle name="_MT-trim-mail2007-int_Feuil1" xfId="0"/>
    <cellStyle name="_MT-trim-mail2007-int_Sotelma réctifié5" xfId="0"/>
    <cellStyle name="_MT-trim-mail2007-int_TBG nov 09 - v5" xfId="0"/>
    <cellStyle name="_MT-trim-mail2007-int_TBG Oct 2009 - v1" xfId="0"/>
    <cellStyle name="_MT-trim-mail2007-int_xSAP 8-12v1" xfId="0"/>
    <cellStyle name="_Multiple" xfId="0"/>
    <cellStyle name="_Multiple_02 Pfd Valuation" xfId="0"/>
    <cellStyle name="_Multiple_Contribution of assets into USAi_02" xfId="0"/>
    <cellStyle name="_Multiple_credit - newco_6_18" xfId="0"/>
    <cellStyle name="_Multiple_credit - newco_6_18_BLS2q_salesforce" xfId="0"/>
    <cellStyle name="_Multiple_CSC Cable makers 060502" xfId="0"/>
    <cellStyle name="_Multiple_Final Pages 8-20" xfId="0"/>
    <cellStyle name="_Multiple_further analysis on comparables" xfId="0"/>
    <cellStyle name="_Multiple_NBC-5 yearDCF-Final from Vivendi modified" xfId="0"/>
    <cellStyle name="_Multiple_Training Model Shell" xfId="0"/>
    <cellStyle name="_Multiple_Training Model Shell_BLS2q_salesforce" xfId="0"/>
    <cellStyle name="_Multiple_Update 08-27-01-3" xfId="0"/>
    <cellStyle name="_Multiple_Update 08-27-01-3_BLS2q_salesforce" xfId="0"/>
    <cellStyle name="_Multiple_USA Ownership" xfId="0"/>
    <cellStyle name="_MultipleSpace" xfId="0"/>
    <cellStyle name="_MultipleSpace_02 Pfd Valuation" xfId="0"/>
    <cellStyle name="_MultipleSpace_BLS2q_salesforce" xfId="0"/>
    <cellStyle name="_MultipleSpace_Contribution of assets into USAi_02" xfId="0"/>
    <cellStyle name="_MultipleSpace_credit - newco_6_18" xfId="0"/>
    <cellStyle name="_MultipleSpace_credit - newco_6_18_BLS2q_salesforce" xfId="0"/>
    <cellStyle name="_MultipleSpace_CSC Cable makers 060502" xfId="0"/>
    <cellStyle name="_MultipleSpace_EBITDA Multiple_3" xfId="0"/>
    <cellStyle name="_MultipleSpace_Final Pages 8-20" xfId="0"/>
    <cellStyle name="_MultipleSpace_Final Pages 8-20_BLS2q_salesforce" xfId="0"/>
    <cellStyle name="_MultipleSpace_further analysis on comparables" xfId="0"/>
    <cellStyle name="_MultipleSpace_further analysis on comparables_BLS2q_salesforce" xfId="0"/>
    <cellStyle name="_MultipleSpace_NBC-5 yearDCF-Final from Vivendi modified" xfId="0"/>
    <cellStyle name="_MultipleSpace_Training Model Shell" xfId="0"/>
    <cellStyle name="_MultipleSpace_Training Model Shell_BLS2q_salesforce" xfId="0"/>
    <cellStyle name="_MultipleSpace_Update 08-27-01-3" xfId="0"/>
    <cellStyle name="_MultipleSpace_Update 08-27-01-3_BLS2q_salesforce" xfId="0"/>
    <cellStyle name="_MultipleSpace_USA Ownership" xfId="0"/>
    <cellStyle name="_MultipleSpace_VU Valuation-top down approach 02" xfId="0"/>
    <cellStyle name="_Network Capex &amp; Opex Module - Circle" xfId="0"/>
    <cellStyle name="_Network Capex &amp; Opex Module - Circle_F2.7A" xfId="0"/>
    <cellStyle name="_Opex_11" xfId="0"/>
    <cellStyle name="_OUJDA fixe detail 29-05-2005" xfId="0"/>
    <cellStyle name="_P&amp;L consolidé q1 2007 V1 bis" xfId="0"/>
    <cellStyle name="_P&amp;LMobility" xfId="0"/>
    <cellStyle name="_P&amp;LMobility_BP&amp;A Bulletin - 05- 2008-09-MAPA (draft)" xfId="0"/>
    <cellStyle name="_P&amp;LMobility_BP&amp;A Bulletin - 05- 2008-09-MAPA (Post review)" xfId="0"/>
    <cellStyle name="_Percent" xfId="0"/>
    <cellStyle name="_Percent_02 Pfd Valuation" xfId="0"/>
    <cellStyle name="_Percent_BLS2q_salesforce" xfId="0"/>
    <cellStyle name="_Percent_USA Ownership" xfId="0"/>
    <cellStyle name="_PercentSpace" xfId="0"/>
    <cellStyle name="_PercentSpace_02 Pfd Valuation" xfId="0"/>
    <cellStyle name="_PercentSpace_BLS2q_salesforce" xfId="0"/>
    <cellStyle name="_PercentSpace_USA Ownership" xfId="0"/>
    <cellStyle name="_POI working" xfId="0"/>
    <cellStyle name="_POI working_F2.7A" xfId="0"/>
    <cellStyle name="_Presentation DL Ver.5" xfId="0"/>
    <cellStyle name="_Presentation DL Ver.5_BP&amp;A Bulletin - 05- 2008-09-MAPA (draft)" xfId="0"/>
    <cellStyle name="_Presentation DL Ver.5_BP&amp;A Bulletin - 05- 2008-09-MAPA (Post review)" xfId="0"/>
    <cellStyle name="_QoQ Access Charegs" xfId="0"/>
    <cellStyle name="_QoQ Access Charges" xfId="0"/>
    <cellStyle name="_Rapport_Mez_GSR7TRX" xfId="0"/>
    <cellStyle name="_Rapport_Mez_GSR7TRX (2)" xfId="0"/>
    <cellStyle name="_RECAP_NEGO_BSS 2008_17 03 08 " xfId="0"/>
    <cellStyle name="_RECAP_NEGO_BSS 2008_17 03 08 _Classeur1 (2)" xfId="0"/>
    <cellStyle name="_RECAPFLUXMES2004" xfId="0"/>
    <cellStyle name="_Retenu  Projets exceptionnels" xfId="0"/>
    <cellStyle name="_Retenu  Projets exceptionnels_Classeur1 (2)" xfId="0"/>
    <cellStyle name="_réel avril07" xfId="0"/>
    <cellStyle name="_Réel CAPEX" xfId="0"/>
    <cellStyle name="_Réel CAPEX_Classeur1 (2)" xfId="0"/>
    <cellStyle name="_SI" xfId="0"/>
    <cellStyle name="_SI_Classeur1 (2)" xfId="0"/>
    <cellStyle name="_Situation des projets FTK_BSS_Envrt_02-10-07" xfId="0"/>
    <cellStyle name="_Situation des projets FTK_BSS_Envrt_02-10-07_DRC" xfId="0"/>
    <cellStyle name="_Situation des projets FTK_BSS_Envrt_02-10-07_Feuil1" xfId="0"/>
    <cellStyle name="_Situation des projets FTK_BSS_Envrt_02-10-07_PPO_3G_2009 Propos DR &amp; Scénarios Mktg 12-12" xfId="0"/>
    <cellStyle name="_Situation des projets FTK_BSS_Envrt_02-10-07_PPO_3G_2009 Propos DR &amp; Scénarios Mktg 12-12_Feuil1" xfId="0"/>
    <cellStyle name="_Situation des projets FTK_BSS_Envrt_02-10-07_PPO_3G_2009 Propos DR &amp; Scénarios Mktg 12-12_Sotelma- P&amp;L MAD " xfId="0"/>
    <cellStyle name="_Situation des projets FTK_BSS_Envrt_02-10-07_PPO_3G_2009 Propos DR &amp; Scénarios Mktg 12-12_TBG nov 09 - v5" xfId="0"/>
    <cellStyle name="_Situation des projets FTK_BSS_Envrt_02-10-07_PPO_3G_2009 Propos DR &amp; Scénarios Mktg 12-12_TBG Oct 2009 - v1" xfId="0"/>
    <cellStyle name="_Situation des projets FTK_BSS_Envrt_02-10-07_Sotelma- P&amp;L MAD " xfId="0"/>
    <cellStyle name="_Situation des projets FTK_BSS_Envrt_02-10-07_Tableau de bord 3G" xfId="0"/>
    <cellStyle name="_Situation des projets FTK_BSS_Envrt_02-10-07_Tableau de bord 3G_Feuil1" xfId="0"/>
    <cellStyle name="_Situation des projets FTK_BSS_Envrt_02-10-07_Tableau de bord 3G_Sotelma- P&amp;L MAD " xfId="0"/>
    <cellStyle name="_Situation des projets FTK_BSS_Envrt_02-10-07_Tableau de bord 3G_TBG nov 09 - v5" xfId="0"/>
    <cellStyle name="_Situation des projets FTK_BSS_Envrt_02-10-07_Tableau de bord 3G_TBG Oct 2009 - v1" xfId="0"/>
    <cellStyle name="_Situation des projets FTK_BSS_Envrt_02-10-07_Tableau de bord-PPO_3G_2009 (3)" xfId="0"/>
    <cellStyle name="_Situation des projets FTK_BSS_Envrt_02-10-07_TBG nov 09 - v5" xfId="0"/>
    <cellStyle name="_Situation des projets FTK_BSS_Envrt_02-10-07_TBG Oct 2009 - v1" xfId="0"/>
    <cellStyle name="_Situation des projets FTK_BSS_Envrt_18-10-05" xfId="0"/>
    <cellStyle name="_Situation des projets FTK_BSS_Envrt_18-10-05_DRC" xfId="0"/>
    <cellStyle name="_Situation des projets FTK_BSS_Envrt_18-10-05_Feuil1" xfId="0"/>
    <cellStyle name="_Situation des projets FTK_BSS_Envrt_18-10-05_PPO_3G_2009 Propos DR &amp; Scénarios Mktg 12-12" xfId="0"/>
    <cellStyle name="_Situation des projets FTK_BSS_Envrt_18-10-05_PPO_3G_2009 Propos DR &amp; Scénarios Mktg 12-12_Feuil1" xfId="0"/>
    <cellStyle name="_Situation des projets FTK_BSS_Envrt_18-10-05_PPO_3G_2009 Propos DR &amp; Scénarios Mktg 12-12_Sotelma- P&amp;L MAD " xfId="0"/>
    <cellStyle name="_Situation des projets FTK_BSS_Envrt_18-10-05_PPO_3G_2009 Propos DR &amp; Scénarios Mktg 12-12_TBG nov 09 - v5" xfId="0"/>
    <cellStyle name="_Situation des projets FTK_BSS_Envrt_18-10-05_PPO_3G_2009 Propos DR &amp; Scénarios Mktg 12-12_TBG Oct 2009 - v1" xfId="0"/>
    <cellStyle name="_Situation des projets FTK_BSS_Envrt_18-10-05_Sotelma- P&amp;L MAD " xfId="0"/>
    <cellStyle name="_Situation des projets FTK_BSS_Envrt_18-10-05_Tableau de bord 3G" xfId="0"/>
    <cellStyle name="_Situation des projets FTK_BSS_Envrt_18-10-05_Tableau de bord 3G_Feuil1" xfId="0"/>
    <cellStyle name="_Situation des projets FTK_BSS_Envrt_18-10-05_Tableau de bord 3G_Sotelma- P&amp;L MAD " xfId="0"/>
    <cellStyle name="_Situation des projets FTK_BSS_Envrt_18-10-05_Tableau de bord 3G_TBG nov 09 - v5" xfId="0"/>
    <cellStyle name="_Situation des projets FTK_BSS_Envrt_18-10-05_Tableau de bord 3G_TBG Oct 2009 - v1" xfId="0"/>
    <cellStyle name="_Situation des projets FTK_BSS_Envrt_18-10-05_Tableau de bord-PPO_3G_2009 (3)" xfId="0"/>
    <cellStyle name="_Situation des projets FTK_BSS_Envrt_18-10-05_TBG nov 09 - v5" xfId="0"/>
    <cellStyle name="_Situation des projets FTK_BSS_Envrt_18-10-05_TBG Oct 2009 - v1" xfId="0"/>
    <cellStyle name="_SubHeading" xfId="0"/>
    <cellStyle name="_SubHeading_01 VU Liquidity 171202" xfId="0"/>
    <cellStyle name="_SubHeading_210302 VU Liquidity new figures" xfId="0"/>
    <cellStyle name="_SubHeading_210302 VU Liquidity new figures 2" xfId="0"/>
    <cellStyle name="_SubHeading_210302 VU Liquidity new figures_BUDGET ONATEL 2010 v5" xfId="0"/>
    <cellStyle name="_SubHeading_210302 VU Liquidity new figures_Classeur1" xfId="0"/>
    <cellStyle name="_SubHeading_210302 VU Liquidity new figures_Classeur1 (2)" xfId="0"/>
    <cellStyle name="_SubHeading_210302 VU Liquidity new figures_commentaires fixe  internet Déc 08" xfId="0"/>
    <cellStyle name="_SubHeading_210302 VU Liquidity new figures_Commentaires Janvier 2010" xfId="0"/>
    <cellStyle name="_SubHeading_210302 VU Liquidity new figures_Copie de Flash du mois d' avril 2009 corrigé par NAIMI" xfId="0"/>
    <cellStyle name="_SubHeading_210302 VU Liquidity new figures_Copie de Flash du mois de Décembre 2008 v2 (3)" xfId="0"/>
    <cellStyle name="_SubHeading_210302 VU Liquidity new figures_FAITS MARQUANTS DE SEPTEMBRE 2009" xfId="0"/>
    <cellStyle name="_SubHeading_210302 VU Liquidity new figures_Feuil1" xfId="0"/>
    <cellStyle name="_SubHeading_210302 VU Liquidity new figures_Flash du mois d' avril 2009" xfId="0"/>
    <cellStyle name="_SubHeading_210302 VU Liquidity new figures_Flash du mois de Décembre 2009 V3 (2)" xfId="0"/>
    <cellStyle name="_SubHeading_210302 VU Liquidity new figures_Flash du mois de mai 2009" xfId="0"/>
    <cellStyle name="_SubHeading_210302 VU Liquidity new figures_Flash du mois de septembre 2009 (2) (version 1)" xfId="0"/>
    <cellStyle name="_SubHeading_210302 VU Liquidity new figures_FLASH ONATEL DU MOIS DE FEVRIER 2010 V2" xfId="0"/>
    <cellStyle name="_SubHeading_210302 VU Liquidity new figures_Flash_du_mois_de_Décembre_2008_v2(2)" xfId="0"/>
    <cellStyle name="_SubHeading_210302 VU Liquidity new figures_Flux Financiers Conso" xfId="0"/>
    <cellStyle name="_SubHeading_210302 VU Liquidity new figures_Reporting Consolidé ONATEL 04.2009" xfId="0"/>
    <cellStyle name="_SubHeading_210302 VU Liquidity new figures_Reporting Onatel Avril 2009 V0" xfId="0"/>
    <cellStyle name="_SubHeading_210302 VU Liquidity new figures_Reporting Onatel Avril 2009 V0 2" xfId="0"/>
    <cellStyle name="_SubHeading_210302 VU Liquidity new figures_Reporting Onatel Avril 2009 V0_Classeur1" xfId="0"/>
    <cellStyle name="_SubHeading_210302 VU Liquidity new figures_Reporting Onatel Avril 2009 V0_Commentaires Janvier 2010" xfId="0"/>
    <cellStyle name="_SubHeading_210302 VU Liquidity new figures_Reporting Onatel Avril 2009 V0_FAITS MARQUANTS DE SEPTEMBRE 2009" xfId="0"/>
    <cellStyle name="_SubHeading_210302 VU Liquidity new figures_Reporting Onatel Avril 2009 V0_Flash du mois de Décembre 2009 V3 (2)" xfId="0"/>
    <cellStyle name="_SubHeading_210302 VU Liquidity new figures_Reporting Onatel Avril 2009 V0_Flash du mois de septembre 2009 (2) (version 1)" xfId="0"/>
    <cellStyle name="_SubHeading_210302 VU Liquidity new figures_Reporting Onatel Avril 2009 V0_Flash du mois de septembre 2009 (2) (version 1) 2" xfId="0"/>
    <cellStyle name="_SubHeading_210302 VU Liquidity new figures_Reporting Onatel Avril 2009 V0_Flash du mois de septembre 2009 (2) (version 1)_Classeur1" xfId="0"/>
    <cellStyle name="_SubHeading_210302 VU Liquidity new figures_Reporting Onatel Avril 2009 V0_Flash du mois de septembre 2009 (2) (version 1)_Commentaires Janvier 2010" xfId="0"/>
    <cellStyle name="_SubHeading_210302 VU Liquidity new figures_Reporting Onatel Avril 2009 V0_Flash du mois de septembre 2009 (2) (version 1)_Flash du mois de Décembre 2009 V3 (2)" xfId="0"/>
    <cellStyle name="_SubHeading_210302 VU Liquidity new figures_Reporting Onatel Avril 2009 V0_Flash du mois de septembre 2009 (2) (version 1)_FLASH ONATEL DU MOIS DE FEVRIER 2010 V2" xfId="0"/>
    <cellStyle name="_SubHeading_210302 VU Liquidity new figures_Reporting Onatel Avril 2009 V0_Flash du mois de septembre 2009 (2) (version 1)_Reporting Onatel septembre  2009 V1 (4)" xfId="0"/>
    <cellStyle name="_SubHeading_210302 VU Liquidity new figures_Reporting Onatel Avril 2009 V0_FLASH ONATEL DU MOIS DE FEVRIER 2010 V2" xfId="0"/>
    <cellStyle name="_SubHeading_210302 VU Liquidity new figures_Reporting Onatel Avril 2009 V0_Reporting Consolidé ONATEL 04.2009" xfId="0"/>
    <cellStyle name="_SubHeading_210302 VU Liquidity new figures_Reporting Onatel Avril 2009 V0_Reporting Onatel septembre  2009 préparé" xfId="0"/>
    <cellStyle name="_SubHeading_210302 VU Liquidity new figures_Reporting Onatel Avril 2009 V0_Reporting Onatel septembre  2009 V1 (4)" xfId="0"/>
    <cellStyle name="_SubHeading_210302 VU Liquidity new figures_Reporting Onatel Mai 2009 V 0" xfId="0"/>
    <cellStyle name="_SubHeading_210302 VU Liquidity new figures_Reporting Onatel Mai 2009 V 0 2" xfId="0"/>
    <cellStyle name="_SubHeading_210302 VU Liquidity new figures_Reporting Onatel Mai 2009 V 0 A ENVOYE" xfId="0"/>
    <cellStyle name="_SubHeading_210302 VU Liquidity new figures_Reporting Onatel Mai 2009 V 0 A ENVOYE 2" xfId="0"/>
    <cellStyle name="_SubHeading_210302 VU Liquidity new figures_Reporting Onatel Mai 2009 V 0 A ENVOYE_Classeur1" xfId="0"/>
    <cellStyle name="_SubHeading_210302 VU Liquidity new figures_Reporting Onatel Mai 2009 V 0 A ENVOYE_Commentaires Janvier 2010" xfId="0"/>
    <cellStyle name="_SubHeading_210302 VU Liquidity new figures_Reporting Onatel Mai 2009 V 0 A ENVOYE_FAITS MARQUANTS DE SEPTEMBRE 2009" xfId="0"/>
    <cellStyle name="_SubHeading_210302 VU Liquidity new figures_Reporting Onatel Mai 2009 V 0 A ENVOYE_Flash du mois de Décembre 2009 V3 (2)" xfId="0"/>
    <cellStyle name="_SubHeading_210302 VU Liquidity new figures_Reporting Onatel Mai 2009 V 0 A ENVOYE_Flash du mois de septembre 2009 (2) (version 1)" xfId="0"/>
    <cellStyle name="_SubHeading_210302 VU Liquidity new figures_Reporting Onatel Mai 2009 V 0 A ENVOYE_Flash du mois de septembre 2009 (2) (version 1) 2" xfId="0"/>
    <cellStyle name="_SubHeading_210302 VU Liquidity new figures_Reporting Onatel Mai 2009 V 0 A ENVOYE_Flash du mois de septembre 2009 (2) (version 1)_Classeur1" xfId="0"/>
    <cellStyle name="_SubHeading_210302 VU Liquidity new figures_Reporting Onatel Mai 2009 V 0 A ENVOYE_Flash du mois de septembre 2009 (2) (version 1)_Commentaires Janvier 2010" xfId="0"/>
    <cellStyle name="_SubHeading_210302 VU Liquidity new figures_Reporting Onatel Mai 2009 V 0 A ENVOYE_Flash du mois de septembre 2009 (2) (version 1)_Flash du mois de Décembre 2009 V3 (2)" xfId="0"/>
    <cellStyle name="_SubHeading_210302 VU Liquidity new figures_Reporting Onatel Mai 2009 V 0 A ENVOYE_Flash du mois de septembre 2009 (2) (version 1)_FLASH ONATEL DU MOIS DE FEVRIER 2010 V2" xfId="0"/>
    <cellStyle name="_SubHeading_210302 VU Liquidity new figures_Reporting Onatel Mai 2009 V 0 A ENVOYE_Flash du mois de septembre 2009 (2) (version 1)_Reporting Onatel septembre  2009 V1 (4)" xfId="0"/>
    <cellStyle name="_SubHeading_210302 VU Liquidity new figures_Reporting Onatel Mai 2009 V 0 A ENVOYE_FLASH ONATEL DU MOIS DE FEVRIER 2010 V2" xfId="0"/>
    <cellStyle name="_SubHeading_210302 VU Liquidity new figures_Reporting Onatel Mai 2009 V 0 A ENVOYE_Reporting Onatel septembre  2009 préparé" xfId="0"/>
    <cellStyle name="_SubHeading_210302 VU Liquidity new figures_Reporting Onatel Mai 2009 V 0 A ENVOYE_Reporting Onatel septembre  2009 V1 (4)" xfId="0"/>
    <cellStyle name="_SubHeading_210302 VU Liquidity new figures_Reporting Onatel Mai 2009 V 0_Classeur1" xfId="0"/>
    <cellStyle name="_SubHeading_210302 VU Liquidity new figures_Reporting Onatel Mai 2009 V 0_Commentaires Janvier 2010" xfId="0"/>
    <cellStyle name="_SubHeading_210302 VU Liquidity new figures_Reporting Onatel Mai 2009 V 0_FAITS MARQUANTS DE SEPTEMBRE 2009" xfId="0"/>
    <cellStyle name="_SubHeading_210302 VU Liquidity new figures_Reporting Onatel Mai 2009 V 0_Flash du mois de Décembre 2009 V3 (2)" xfId="0"/>
    <cellStyle name="_SubHeading_210302 VU Liquidity new figures_Reporting Onatel Mai 2009 V 0_Flash du mois de septembre 2009 (2) (version 1)" xfId="0"/>
    <cellStyle name="_SubHeading_210302 VU Liquidity new figures_Reporting Onatel Mai 2009 V 0_Flash du mois de septembre 2009 (2) (version 1) 2" xfId="0"/>
    <cellStyle name="_SubHeading_210302 VU Liquidity new figures_Reporting Onatel Mai 2009 V 0_Flash du mois de septembre 2009 (2) (version 1)_Classeur1" xfId="0"/>
    <cellStyle name="_SubHeading_210302 VU Liquidity new figures_Reporting Onatel Mai 2009 V 0_Flash du mois de septembre 2009 (2) (version 1)_Commentaires Janvier 2010" xfId="0"/>
    <cellStyle name="_SubHeading_210302 VU Liquidity new figures_Reporting Onatel Mai 2009 V 0_Flash du mois de septembre 2009 (2) (version 1)_Flash du mois de Décembre 2009 V3 (2)" xfId="0"/>
    <cellStyle name="_SubHeading_210302 VU Liquidity new figures_Reporting Onatel Mai 2009 V 0_Flash du mois de septembre 2009 (2) (version 1)_FLASH ONATEL DU MOIS DE FEVRIER 2010 V2" xfId="0"/>
    <cellStyle name="_SubHeading_210302 VU Liquidity new figures_Reporting Onatel Mai 2009 V 0_Flash du mois de septembre 2009 (2) (version 1)_Reporting Onatel septembre  2009 V1 (4)" xfId="0"/>
    <cellStyle name="_SubHeading_210302 VU Liquidity new figures_Reporting Onatel Mai 2009 V 0_FLASH ONATEL DU MOIS DE FEVRIER 2010 V2" xfId="0"/>
    <cellStyle name="_SubHeading_210302 VU Liquidity new figures_Reporting Onatel Mai 2009 V 0_Reporting Onatel septembre  2009 préparé" xfId="0"/>
    <cellStyle name="_SubHeading_210302 VU Liquidity new figures_Reporting Onatel Mai 2009 V 0_Reporting Onatel septembre  2009 V1 (4)" xfId="0"/>
    <cellStyle name="_SubHeading_210302 VU Liquidity new figures_Reporting Onatel septembre  2009 préparé" xfId="0"/>
    <cellStyle name="_SubHeading_210302 VU Liquidity new figures_Reporting Onatel septembre  2009 V1 (4)" xfId="0"/>
    <cellStyle name="_SubHeading_210302 VU Liquidity new figures_Sotelma réctifié5" xfId="0"/>
    <cellStyle name="_SubHeading_Contribution of assets into USAi_02" xfId="0"/>
    <cellStyle name="_SubHeading_NBC-5 yearDCF-Final from Vivendi modified" xfId="0"/>
    <cellStyle name="_SubHeading_prestemp" xfId="0"/>
    <cellStyle name="_SubHeading_prestemp 2" xfId="0"/>
    <cellStyle name="_SubHeading_prestemp_BUDGET ONATEL 2010 v5" xfId="0"/>
    <cellStyle name="_SubHeading_prestemp_Classeur1" xfId="0"/>
    <cellStyle name="_SubHeading_prestemp_Classeur1 (2)" xfId="0"/>
    <cellStyle name="_SubHeading_prestemp_commentaires fixe  internet Déc 08" xfId="0"/>
    <cellStyle name="_SubHeading_prestemp_Commentaires Janvier 2010" xfId="0"/>
    <cellStyle name="_SubHeading_prestemp_Copie de Flash du mois d' avril 2009 corrigé par NAIMI" xfId="0"/>
    <cellStyle name="_SubHeading_prestemp_Copie de Flash du mois de Décembre 2008 v2 (3)" xfId="0"/>
    <cellStyle name="_SubHeading_prestemp_FAITS MARQUANTS DE SEPTEMBRE 2009" xfId="0"/>
    <cellStyle name="_SubHeading_prestemp_Feuil1" xfId="0"/>
    <cellStyle name="_SubHeading_prestemp_Flash du mois d' avril 2009" xfId="0"/>
    <cellStyle name="_SubHeading_prestemp_Flash du mois de Décembre 2009 V3 (2)" xfId="0"/>
    <cellStyle name="_SubHeading_prestemp_Flash du mois de mai 2009" xfId="0"/>
    <cellStyle name="_SubHeading_prestemp_Flash du mois de septembre 2009 (2) (version 1)" xfId="0"/>
    <cellStyle name="_SubHeading_prestemp_FLASH ONATEL DU MOIS DE FEVRIER 2010 V2" xfId="0"/>
    <cellStyle name="_SubHeading_prestemp_Flash_du_mois_de_Décembre_2008_v2(2)" xfId="0"/>
    <cellStyle name="_SubHeading_prestemp_Flux Financiers Conso" xfId="0"/>
    <cellStyle name="_SubHeading_prestemp_Reporting Consolidé ONATEL 04.2009" xfId="0"/>
    <cellStyle name="_SubHeading_prestemp_Reporting Onatel Avril 2009 V0" xfId="0"/>
    <cellStyle name="_SubHeading_prestemp_Reporting Onatel Avril 2009 V0 2" xfId="0"/>
    <cellStyle name="_SubHeading_prestemp_Reporting Onatel Avril 2009 V0_Classeur1" xfId="0"/>
    <cellStyle name="_SubHeading_prestemp_Reporting Onatel Avril 2009 V0_Commentaires Janvier 2010" xfId="0"/>
    <cellStyle name="_SubHeading_prestemp_Reporting Onatel Avril 2009 V0_FAITS MARQUANTS DE SEPTEMBRE 2009" xfId="0"/>
    <cellStyle name="_SubHeading_prestemp_Reporting Onatel Avril 2009 V0_Flash du mois de Décembre 2009 V3 (2)" xfId="0"/>
    <cellStyle name="_SubHeading_prestemp_Reporting Onatel Avril 2009 V0_Flash du mois de septembre 2009 (2) (version 1)" xfId="0"/>
    <cellStyle name="_SubHeading_prestemp_Reporting Onatel Avril 2009 V0_Flash du mois de septembre 2009 (2) (version 1) 2" xfId="0"/>
    <cellStyle name="_SubHeading_prestemp_Reporting Onatel Avril 2009 V0_Flash du mois de septembre 2009 (2) (version 1)_Classeur1" xfId="0"/>
    <cellStyle name="_SubHeading_prestemp_Reporting Onatel Avril 2009 V0_Flash du mois de septembre 2009 (2) (version 1)_Commentaires Janvier 2010" xfId="0"/>
    <cellStyle name="_SubHeading_prestemp_Reporting Onatel Avril 2009 V0_Flash du mois de septembre 2009 (2) (version 1)_Flash du mois de Décembre 2009 V3 (2)" xfId="0"/>
    <cellStyle name="_SubHeading_prestemp_Reporting Onatel Avril 2009 V0_Flash du mois de septembre 2009 (2) (version 1)_FLASH ONATEL DU MOIS DE FEVRIER 2010 V2" xfId="0"/>
    <cellStyle name="_SubHeading_prestemp_Reporting Onatel Avril 2009 V0_Flash du mois de septembre 2009 (2) (version 1)_Reporting Onatel septembre  2009 V1 (4)" xfId="0"/>
    <cellStyle name="_SubHeading_prestemp_Reporting Onatel Avril 2009 V0_FLASH ONATEL DU MOIS DE FEVRIER 2010 V2" xfId="0"/>
    <cellStyle name="_SubHeading_prestemp_Reporting Onatel Avril 2009 V0_Reporting Consolidé ONATEL 04.2009" xfId="0"/>
    <cellStyle name="_SubHeading_prestemp_Reporting Onatel Avril 2009 V0_Reporting Onatel septembre  2009 préparé" xfId="0"/>
    <cellStyle name="_SubHeading_prestemp_Reporting Onatel Avril 2009 V0_Reporting Onatel septembre  2009 V1 (4)" xfId="0"/>
    <cellStyle name="_SubHeading_prestemp_Reporting Onatel Mai 2009 V 0" xfId="0"/>
    <cellStyle name="_SubHeading_prestemp_Reporting Onatel Mai 2009 V 0 2" xfId="0"/>
    <cellStyle name="_SubHeading_prestemp_Reporting Onatel Mai 2009 V 0 A ENVOYE" xfId="0"/>
    <cellStyle name="_SubHeading_prestemp_Reporting Onatel Mai 2009 V 0 A ENVOYE 2" xfId="0"/>
    <cellStyle name="_SubHeading_prestemp_Reporting Onatel Mai 2009 V 0 A ENVOYE_Classeur1" xfId="0"/>
    <cellStyle name="_SubHeading_prestemp_Reporting Onatel Mai 2009 V 0 A ENVOYE_Commentaires Janvier 2010" xfId="0"/>
    <cellStyle name="_SubHeading_prestemp_Reporting Onatel Mai 2009 V 0 A ENVOYE_FAITS MARQUANTS DE SEPTEMBRE 2009" xfId="0"/>
    <cellStyle name="_SubHeading_prestemp_Reporting Onatel Mai 2009 V 0 A ENVOYE_Flash du mois de Décembre 2009 V3 (2)" xfId="0"/>
    <cellStyle name="_SubHeading_prestemp_Reporting Onatel Mai 2009 V 0 A ENVOYE_Flash du mois de septembre 2009 (2) (version 1)" xfId="0"/>
    <cellStyle name="_SubHeading_prestemp_Reporting Onatel Mai 2009 V 0 A ENVOYE_Flash du mois de septembre 2009 (2) (version 1) 2" xfId="0"/>
    <cellStyle name="_SubHeading_prestemp_Reporting Onatel Mai 2009 V 0 A ENVOYE_Flash du mois de septembre 2009 (2) (version 1)_Classeur1" xfId="0"/>
    <cellStyle name="_SubHeading_prestemp_Reporting Onatel Mai 2009 V 0 A ENVOYE_Flash du mois de septembre 2009 (2) (version 1)_Commentaires Janvier 2010" xfId="0"/>
    <cellStyle name="_SubHeading_prestemp_Reporting Onatel Mai 2009 V 0 A ENVOYE_Flash du mois de septembre 2009 (2) (version 1)_Flash du mois de Décembre 2009 V3 (2)" xfId="0"/>
    <cellStyle name="_SubHeading_prestemp_Reporting Onatel Mai 2009 V 0 A ENVOYE_Flash du mois de septembre 2009 (2) (version 1)_FLASH ONATEL DU MOIS DE FEVRIER 2010 V2" xfId="0"/>
    <cellStyle name="_SubHeading_prestemp_Reporting Onatel Mai 2009 V 0 A ENVOYE_Flash du mois de septembre 2009 (2) (version 1)_Reporting Onatel septembre  2009 V1 (4)" xfId="0"/>
    <cellStyle name="_SubHeading_prestemp_Reporting Onatel Mai 2009 V 0 A ENVOYE_FLASH ONATEL DU MOIS DE FEVRIER 2010 V2" xfId="0"/>
    <cellStyle name="_SubHeading_prestemp_Reporting Onatel Mai 2009 V 0 A ENVOYE_Reporting Onatel septembre  2009 préparé" xfId="0"/>
    <cellStyle name="_SubHeading_prestemp_Reporting Onatel Mai 2009 V 0 A ENVOYE_Reporting Onatel septembre  2009 V1 (4)" xfId="0"/>
    <cellStyle name="_SubHeading_prestemp_Reporting Onatel Mai 2009 V 0_Classeur1" xfId="0"/>
    <cellStyle name="_SubHeading_prestemp_Reporting Onatel Mai 2009 V 0_Commentaires Janvier 2010" xfId="0"/>
    <cellStyle name="_SubHeading_prestemp_Reporting Onatel Mai 2009 V 0_FAITS MARQUANTS DE SEPTEMBRE 2009" xfId="0"/>
    <cellStyle name="_SubHeading_prestemp_Reporting Onatel Mai 2009 V 0_Flash du mois de Décembre 2009 V3 (2)" xfId="0"/>
    <cellStyle name="_SubHeading_prestemp_Reporting Onatel Mai 2009 V 0_Flash du mois de septembre 2009 (2) (version 1)" xfId="0"/>
    <cellStyle name="_SubHeading_prestemp_Reporting Onatel Mai 2009 V 0_Flash du mois de septembre 2009 (2) (version 1) 2" xfId="0"/>
    <cellStyle name="_SubHeading_prestemp_Reporting Onatel Mai 2009 V 0_Flash du mois de septembre 2009 (2) (version 1)_Classeur1" xfId="0"/>
    <cellStyle name="_SubHeading_prestemp_Reporting Onatel Mai 2009 V 0_Flash du mois de septembre 2009 (2) (version 1)_Commentaires Janvier 2010" xfId="0"/>
    <cellStyle name="_SubHeading_prestemp_Reporting Onatel Mai 2009 V 0_Flash du mois de septembre 2009 (2) (version 1)_Flash du mois de Décembre 2009 V3 (2)" xfId="0"/>
    <cellStyle name="_SubHeading_prestemp_Reporting Onatel Mai 2009 V 0_Flash du mois de septembre 2009 (2) (version 1)_FLASH ONATEL DU MOIS DE FEVRIER 2010 V2" xfId="0"/>
    <cellStyle name="_SubHeading_prestemp_Reporting Onatel Mai 2009 V 0_Flash du mois de septembre 2009 (2) (version 1)_Reporting Onatel septembre  2009 V1 (4)" xfId="0"/>
    <cellStyle name="_SubHeading_prestemp_Reporting Onatel Mai 2009 V 0_FLASH ONATEL DU MOIS DE FEVRIER 2010 V2" xfId="0"/>
    <cellStyle name="_SubHeading_prestemp_Reporting Onatel Mai 2009 V 0_Reporting Onatel septembre  2009 préparé" xfId="0"/>
    <cellStyle name="_SubHeading_prestemp_Reporting Onatel Mai 2009 V 0_Reporting Onatel septembre  2009 V1 (4)" xfId="0"/>
    <cellStyle name="_SubHeading_prestemp_Reporting Onatel septembre  2009 préparé" xfId="0"/>
    <cellStyle name="_SubHeading_prestemp_Reporting Onatel septembre  2009 V1 (4)" xfId="0"/>
    <cellStyle name="_SubHeading_prestemp_Sotelma réctifié5" xfId="0"/>
    <cellStyle name="_SubHeading_prestemp_USAi Warrants Valuation 1" xfId="0"/>
    <cellStyle name="_Ta" xfId="0"/>
    <cellStyle name="_Ta 2" xfId="0"/>
    <cellStyle name="_Ta 2 2" xfId="0"/>
    <cellStyle name="_Ta 3" xfId="0"/>
    <cellStyle name="_tab indicat" xfId="0"/>
    <cellStyle name="_tab indicat_Classeur1 (2)" xfId="0"/>
    <cellStyle name="_Tabl" xfId="0"/>
    <cellStyle name="_Tabl 2" xfId="0"/>
    <cellStyle name="_Tabl 2 2" xfId="0"/>
    <cellStyle name="_Tabl 3" xfId="0"/>
    <cellStyle name="_Table" xfId="0"/>
    <cellStyle name="_Table_" xfId="0"/>
    <cellStyle name="_Table_ 2" xfId="0"/>
    <cellStyle name="_Table_ 2 2" xfId="0"/>
    <cellStyle name="_Table_ 3" xfId="0"/>
    <cellStyle name="_Table_02 " xfId="0"/>
    <cellStyle name="_Table_02  2" xfId="0"/>
    <cellStyle name="_Table_02  2 2" xfId="0"/>
    <cellStyle name="_Table_02  3" xfId="0"/>
    <cellStyle name="_Table_02 Pfd Valuation" xfId="0"/>
    <cellStyle name="_Table_02 Pfd Valuation 2" xfId="0"/>
    <cellStyle name="_Table_02 Pfd Valuation 2 2" xfId="0"/>
    <cellStyle name="_Table_02 Pfd Valuation 3" xfId="0"/>
    <cellStyle name="_Table_02 Pfd Valuation_Budget Telmob 2011" xfId="0"/>
    <cellStyle name="_Table_02 Pfd Valuation_Budget Telmob 2011 2" xfId="0"/>
    <cellStyle name="_Table_02 Pfd Valuation_Budget Telmob 2011 2 2" xfId="0"/>
    <cellStyle name="_Table_02 Pfd Valuation_Budget Telmob 2011 3" xfId="0"/>
    <cellStyle name="_Table_02 Pfd Valuation_Capex- Mobile" xfId="0"/>
    <cellStyle name="_Table_02 Pfd Valuation_Capex- Mobile 2" xfId="0"/>
    <cellStyle name="_Table_02 Pfd Valuation_Capex- Mobile 2 2" xfId="0"/>
    <cellStyle name="_Table_02 Pfd Valuation_Capex- Mobile 3" xfId="0"/>
    <cellStyle name="_Table_02 Pfd Valuation_commentaires fixe  internet Déc 08" xfId="0"/>
    <cellStyle name="_Table_02 Pfd Valuation_commentaires fixe  internet Déc 08 2" xfId="0"/>
    <cellStyle name="_Table_02 Pfd Valuation_commentaires fixe  internet Déc 08 2 2" xfId="0"/>
    <cellStyle name="_Table_02 Pfd Valuation_commentaires fixe  internet Déc 08 3" xfId="0"/>
    <cellStyle name="_Table_02 Pfd Valuation_commentaires fixe  internet Déc 08_Budget Telmob 2011" xfId="0"/>
    <cellStyle name="_Table_02 Pfd Valuation_commentaires fixe  internet Déc 08_Budget Telmob 2011 2" xfId="0"/>
    <cellStyle name="_Table_02 Pfd Valuation_commentaires fixe  internet Déc 08_Budget Telmob 2011 2 2" xfId="0"/>
    <cellStyle name="_Table_02 Pfd Valuation_commentaires fixe  internet Déc 08_Budget Telmob 2011 3" xfId="0"/>
    <cellStyle name="_Table_02 Pfd Valuation_commentaires fixe  internet Déc 08_Capex- Mobile" xfId="0"/>
    <cellStyle name="_Table_02 Pfd Valuation_commentaires fixe  internet Déc 08_Capex- Mobile 2" xfId="0"/>
    <cellStyle name="_Table_02 Pfd Valuation_commentaires fixe  internet Déc 08_Capex- Mobile 2 2" xfId="0"/>
    <cellStyle name="_Table_02 Pfd Valuation_commentaires fixe  internet Déc 08_Capex- Mobile 3" xfId="0"/>
    <cellStyle name="_Table_02 Pfd Valuation_commentaires fixe  internet Déc 08_Commentaires TBG mars" xfId="0"/>
    <cellStyle name="_Table_02 Pfd Valuation_commentaires fixe  internet Déc 08_Commentaires TBG mars 2" xfId="0"/>
    <cellStyle name="_Table_02 Pfd Valuation_commentaires fixe  internet Déc 08_Commentaires TBG mars 2 2" xfId="0"/>
    <cellStyle name="_Table_02 Pfd Valuation_commentaires fixe  internet Déc 08_Commentaires TBG mars 3" xfId="0"/>
    <cellStyle name="_Table_02 Pfd Valuation_commentaires fixe  internet Déc 08_Commentaires TBG mars_Budget Telmob 2011" xfId="0"/>
    <cellStyle name="_Table_02 Pfd Valuation_commentaires fixe  internet Déc 08_Commentaires TBG mars_Budget Telmob 2011 2" xfId="0"/>
    <cellStyle name="_Table_02 Pfd Valuation_commentaires fixe  internet Déc 08_Commentaires TBG mars_Budget Telmob 2011 2 2" xfId="0"/>
    <cellStyle name="_Table_02 Pfd Valuation_commentaires fixe  internet Déc 08_Commentaires TBG mars_Budget Telmob 2011 3" xfId="0"/>
    <cellStyle name="_Table_02 Pfd Valuation_commentaires fixe  internet Déc 08_Commentaires TBG mars_Capex- Mobile" xfId="0"/>
    <cellStyle name="_Table_02 Pfd Valuation_commentaires fixe  internet Déc 08_Commentaires TBG mars_Capex- Mobile 2" xfId="0"/>
    <cellStyle name="_Table_02 Pfd Valuation_commentaires fixe  internet Déc 08_Commentaires TBG mars_Capex- Mobile 2 2" xfId="0"/>
    <cellStyle name="_Table_02 Pfd Valuation_commentaires fixe  internet Déc 08_Commentaires TBG mars_Capex- Mobile 3" xfId="0"/>
    <cellStyle name="_Table_02 Pfd Valuation_commentaires fixe  internet Déc 08_Commentaires TBG mars_Copie de Flash du mois d' avril 2009 corrigé par NAIMI" xfId="0"/>
    <cellStyle name="_Table_02 Pfd Valuation_commentaires fixe  internet Déc 08_Commentaires TBG mars_Copie de Flash du mois d' avril 2009 corrigé par NAIMI 2" xfId="0"/>
    <cellStyle name="_Table_02 Pfd Valuation_commentaires fixe  internet Déc 08_Commentaires TBG mars_Copie de Flash du mois d' avril 2009 corrigé par NAIMI 2 2" xfId="0"/>
    <cellStyle name="_Table_02 Pfd Valuation_commentaires fixe  internet Déc 08_Commentaires TBG mars_Copie de Flash du mois d' avril 2009 corrigé par NAIMI 3" xfId="0"/>
    <cellStyle name="_Table_02 Pfd Valuation_commentaires fixe  internet Déc 08_Commentaires TBG mars_Copie de Flash du mois d' avril 2009 corrigé par NAIMI_Budget Telmob 2011" xfId="0"/>
    <cellStyle name="_Table_02 Pfd Valuation_commentaires fixe  internet Déc 08_Commentaires TBG mars_Copie de Flash du mois d' avril 2009 corrigé par NAIMI_Budget Telmob 2011 2" xfId="0"/>
    <cellStyle name="_Table_02 Pfd Valuation_commentaires fixe  internet Déc 08_Commentaires TBG mars_Copie de Flash du mois d' avril 2009 corrigé par NAIMI_Budget Telmob 2011 2 2" xfId="0"/>
    <cellStyle name="_Table_02 Pfd Valuation_commentaires fixe  internet Déc 08_Commentaires TBG mars_Copie de Flash du mois d' avril 2009 corrigé par NAIMI_Budget Telmob 2011 3" xfId="0"/>
    <cellStyle name="_Table_02 Pfd Valuation_commentaires fixe  internet Déc 08_Commentaires TBG mars_Copie de Flash du mois d' avril 2009 corrigé par NAIMI_Capex- Mobile" xfId="0"/>
    <cellStyle name="_Table_02 Pfd Valuation_commentaires fixe  internet Déc 08_Commentaires TBG mars_Copie de Flash du mois d' avril 2009 corrigé par NAIMI_Capex- Mobile 2" xfId="0"/>
    <cellStyle name="_Table_02 Pfd Valuation_commentaires fixe  internet Déc 08_Commentaires TBG mars_Copie de Flash du mois d' avril 2009 corrigé par NAIMI_Capex- Mobile 2 2" xfId="0"/>
    <cellStyle name="_Table_02 Pfd Valuation_commentaires fixe  internet Déc 08_Commentaires TBG mars_Copie de Flash du mois d' avril 2009 corrigé par NAIMI_Capex- Mobile 3" xfId="0"/>
    <cellStyle name="_Table_02 Pfd Valuation_commentaires fixe  internet Déc 08_Commentaires TBG mars_Copie de Flash du mois d' avril 2009 corrigé par NAIMI_Flash du mois de mai 2009" xfId="0"/>
    <cellStyle name="_Table_02 Pfd Valuation_commentaires fixe  internet Déc 08_Commentaires TBG mars_Copie de Flash du mois d' avril 2009 corrigé par NAIMI_Flash du mois de mai 2009 2" xfId="0"/>
    <cellStyle name="_Table_02 Pfd Valuation_commentaires fixe  internet Déc 08_Commentaires TBG mars_Copie de Flash du mois d' avril 2009 corrigé par NAIMI_Flash du mois de mai 2009 2 2" xfId="0"/>
    <cellStyle name="_Table_02 Pfd Valuation_commentaires fixe  internet Déc 08_Commentaires TBG mars_Copie de Flash du mois d' avril 2009 corrigé par NAIMI_Flash du mois de mai 2009 3" xfId="0"/>
    <cellStyle name="_Table_02 Pfd Valuation_commentaires fixe  internet Déc 08_Commentaires TBG mars_Copie de Flash du mois d' avril 2009 corrigé par NAIMI_Flash du mois de mai 2009_Budget Telmob 2011" xfId="0"/>
    <cellStyle name="_Table_02 Pfd Valuation_commentaires fixe  internet Déc 08_Commentaires TBG mars_Copie de Flash du mois d' avril 2009 corrigé par NAIMI_Flash du mois de mai 2009_Budget Telmob 2011 2" xfId="0"/>
    <cellStyle name="_Table_02 Pfd Valuation_commentaires fixe  internet Déc 08_Commentaires TBG mars_Copie de Flash du mois d' avril 2009 corrigé par NAIMI_Flash du mois de mai 2009_Budget Telmob 2011 2 2" xfId="0"/>
    <cellStyle name="_Table_02 Pfd Valuation_commentaires fixe  internet Déc 08_Commentaires TBG mars_Copie de Flash du mois d' avril 2009 corrigé par NAIMI_Flash du mois de mai 2009_Budget Telmob 2011 3" xfId="0"/>
    <cellStyle name="_Table_02 Pfd Valuation_commentaires fixe  internet Déc 08_Commentaires TBG mars_Copie de Flash du mois d' avril 2009 corrigé par NAIMI_Flash du mois de mai 2009_Capex- Mobile" xfId="0"/>
    <cellStyle name="_Table_02 Pfd Valuation_commentaires fixe  internet Déc 08_Commentaires TBG mars_Copie de Flash du mois d' avril 2009 corrigé par NAIMI_Flash du mois de mai 2009_Capex- Mobile 2" xfId="0"/>
    <cellStyle name="_Table_02 Pfd Valuation_commentaires fixe  internet Déc 08_Commentaires TBG mars_Copie de Flash du mois d' avril 2009 corrigé par NAIMI_Flash du mois de mai 2009_Capex- Mobile 2 2" xfId="0"/>
    <cellStyle name="_Table_02 Pfd Valuation_commentaires fixe  internet Déc 08_Commentaires TBG mars_Copie de Flash du mois d' avril 2009 corrigé par NAIMI_Flash du mois de mai 2009_Capex- Mobile 3" xfId="0"/>
    <cellStyle name="_Table_02 Pfd Valuation_commentaires fixe  internet Déc 08_Commentaires TBG mars_Copie de Flash du mois d' avril 2009 corrigé par NAIMI_Flash du mois de septembre 2009 (2) (version 1)" xfId="0"/>
    <cellStyle name="_Table_02 Pfd Valuation_commentaires fixe  internet Déc 08_Commentaires TBG mars_Copie de Flash du mois d' avril 2009 corrigé par NAIMI_Flash du mois de septembre 2009 (2) (version 1) 2" xfId="0"/>
    <cellStyle name="_Table_02 Pfd Valuation_commentaires fixe  internet Déc 08_Commentaires TBG mars_Copie de Flash du mois d' avril 2009 corrigé par NAIMI_Flash du mois de septembre 2009 (2) (version 1) 2 2" xfId="0"/>
    <cellStyle name="_Table_02 Pfd Valuation_commentaires fixe  internet Déc 08_Commentaires TBG mars_Copie de Flash du mois d' avril 2009 corrigé par NAIMI_Flash du mois de septembre 2009 (2) (version 1) 3" xfId="0"/>
    <cellStyle name="_Table_02 Pfd Valuation_commentaires fixe  internet Déc 08_Commentaires TBG mars_Copie de Flash du mois d' avril 2009 corrigé par NAIMI_Flash du mois de septembre 2009 (2) (version 1)_Budget Telmob 2011" xfId="0"/>
    <cellStyle name="_Table_02 Pfd Valuation_commentaires fixe  internet Déc 08_Commentaires TBG mars_Copie de Flash du mois d' avril 2009 corrigé par NAIMI_Flash du mois de septembre 2009 (2) (version 1)_Budget Telmob 2011 2" xfId="0"/>
    <cellStyle name="_Table_02 Pfd Valuation_commentaires fixe  internet Déc 08_Commentaires TBG mars_Copie de Flash du mois d' avril 2009 corrigé par NAIMI_Flash du mois de septembre 2009 (2) (version 1)_Budget Telmob 2011 2 2" xfId="0"/>
    <cellStyle name="_Table_02 Pfd Valuation_commentaires fixe  internet Déc 08_Commentaires TBG mars_Copie de Flash du mois d' avril 2009 corrigé par NAIMI_Flash du mois de septembre 2009 (2) (version 1)_Budget Telmob 2011 3" xfId="0"/>
    <cellStyle name="_Table_02 Pfd Valuation_commentaires fixe  internet Déc 08_Commentaires TBG mars_Copie de Flash du mois d' avril 2009 corrigé par NAIMI_Flash du mois de septembre 2009 (2) (version 1)_Capex- Mobile" xfId="0"/>
    <cellStyle name="_Table_02 Pfd Valuation_commentaires fixe  internet Déc 08_Commentaires TBG mars_Copie de Flash du mois d' avril 2009 corrigé par NAIMI_Flash du mois de septembre 2009 (2) (version 1)_Capex- Mobile 2" xfId="0"/>
    <cellStyle name="_Table_02 Pfd Valuation_commentaires fixe  internet Déc 08_Commentaires TBG mars_Copie de Flash du mois d' avril 2009 corrigé par NAIMI_Flash du mois de septembre 2009 (2) (version 1)_Capex- Mobile 2 2" xfId="0"/>
    <cellStyle name="_Table_02 Pfd Valuation_commentaires fixe  internet Déc 08_Commentaires TBG mars_Copie de Flash du mois d' avril 2009 corrigé par NAIMI_Flash du mois de septembre 2009 (2) (version 1)_Capex- Mobile 3" xfId="0"/>
    <cellStyle name="_Table_02 Pfd Valuation_commentaires fixe  internet Déc 08_Commentaires TBG mars_Copie de Flash du mois d' avril 2009 corrigé par NAIMI_Reporting Onatel Mai 2009 V 0" xfId="0"/>
    <cellStyle name="_Table_02 Pfd Valuation_commentaires fixe  internet Déc 08_Commentaires TBG mars_Copie de Flash du mois d' avril 2009 corrigé par NAIMI_Reporting Onatel Mai 2009 V 0 2" xfId="0"/>
    <cellStyle name="_Table_02 Pfd Valuation_commentaires fixe  internet Déc 08_Commentaires TBG mars_Copie de Flash du mois d' avril 2009 corrigé par NAIMI_Reporting Onatel Mai 2009 V 0 2 2" xfId="0"/>
    <cellStyle name="_Table_02 Pfd Valuation_commentaires fixe  internet Déc 08_Commentaires TBG mars_Copie de Flash du mois d' avril 2009 corrigé par NAIMI_Reporting Onatel Mai 2009 V 0 3" xfId="0"/>
    <cellStyle name="_Table_02 Pfd Valuation_commentaires fixe  internet Déc 08_Commentaires TBG mars_Copie de Flash du mois d' avril 2009 corrigé par NAIMI_Reporting Onatel Mai 2009 V 0_Budget Telmob 2011" xfId="0"/>
    <cellStyle name="_Table_02 Pfd Valuation_commentaires fixe  internet Déc 08_Commentaires TBG mars_Copie de Flash du mois d' avril 2009 corrigé par NAIMI_Reporting Onatel Mai 2009 V 0_Budget Telmob 2011 2" xfId="0"/>
    <cellStyle name="_Table_02 Pfd Valuation_commentaires fixe  internet Déc 08_Commentaires TBG mars_Copie de Flash du mois d' avril 2009 corrigé par NAIMI_Reporting Onatel Mai 2009 V 0_Budget Telmob 2011 2 2" xfId="0"/>
    <cellStyle name="_Table_02 Pfd Valuation_commentaires fixe  internet Déc 08_Commentaires TBG mars_Copie de Flash du mois d' avril 2009 corrigé par NAIMI_Reporting Onatel Mai 2009 V 0_Budget Telmob 2011 3" xfId="0"/>
    <cellStyle name="_Table_02 Pfd Valuation_commentaires fixe  internet Déc 08_Commentaires TBG mars_Copie de Flash du mois d' avril 2009 corrigé par NAIMI_Reporting Onatel Mai 2009 V 0_Capex- Mobile" xfId="0"/>
    <cellStyle name="_Table_02 Pfd Valuation_commentaires fixe  internet Déc 08_Commentaires TBG mars_Copie de Flash du mois d' avril 2009 corrigé par NAIMI_Reporting Onatel Mai 2009 V 0_Capex- Mobile 2" xfId="0"/>
    <cellStyle name="_Table_02 Pfd Valuation_commentaires fixe  internet Déc 08_Commentaires TBG mars_Copie de Flash du mois d' avril 2009 corrigé par NAIMI_Reporting Onatel Mai 2009 V 0_Capex- Mobile 2 2" xfId="0"/>
    <cellStyle name="_Table_02 Pfd Valuation_commentaires fixe  internet Déc 08_Commentaires TBG mars_Copie de Flash du mois d' avril 2009 corrigé par NAIMI_Reporting Onatel Mai 2009 V 0_Capex- Mobile 3" xfId="0"/>
    <cellStyle name="_Table_02 Pfd Valuation_commentaires fixe  internet Déc 08_Commentaires TBG mars_Copie de Flash du mois d' avril 2009 corrigé par NAIMI_Reporting Onatel Mai 2009 V 0_Flash du mois de septembre 2009 (2) (version 1)" xfId="0"/>
    <cellStyle name="_Table_02 Pfd Valuation_commentaires fixe  internet Déc 08_Commentaires TBG mars_Copie de Flash du mois d' avril 2009 corrigé par NAIMI_Reporting Onatel Mai 2009 V 0_Flash du mois de septembre 2009 (2) (version 1) 2" xfId="0"/>
    <cellStyle name="_Table_02 Pfd Valuation_commentaires fixe  internet Déc 08_Commentaires TBG mars_Copie de Flash du mois d' avril 2009 corrigé par NAIMI_Reporting Onatel Mai 2009 V 0_Flash du mois de septembre 2009 (2) (version 1) 2 2" xfId="0"/>
    <cellStyle name="_Table_02 Pfd Valuation_commentaires fixe  internet Déc 08_Commentaires TBG mars_Copie de Flash du mois d' avril 2009 corrigé par NAIMI_Reporting Onatel Mai 2009 V 0_Flash du mois de septembre 2009 (2) (version 1) 3" xfId="0"/>
    <cellStyle name="_Table_02 Pfd Valuation_commentaires fixe  internet Déc 08_Commentaires TBG mars_Copie de Flash du mois d' avril 2009 corrigé par NAIMI_Reporting Onatel Mai 2009 V 0_Flash du mois de septembre 2009 (2) (version 1)_Budget Telmob 2011" xfId="0"/>
    <cellStyle name="_Table_02 Pfd Valuation_commentaires fixe  internet Déc 08_Commentaires TBG mars_Copie de Flash du mois d' avril 2009 corrigé par NAIMI_Reporting Onatel Mai 2009 V 0_Flash du mois de septembre 2009 (2) (version 1)_Budget Telmob 2011 2" xfId="0"/>
    <cellStyle name="_Table_02 Pfd Valuation_commentaires fixe  internet Déc 08_Commentaires TBG mars_Copie de Flash du mois d' avril 2009 corrigé par NAIMI_Reporting Onatel Mai 2009 V 0_Flash du mois de septembre 2009 (2) (version 1)_Budget Telmob 2011 2 2" xfId="0"/>
    <cellStyle name="_Table_02 Pfd Valuation_commentaires fixe  internet Déc 08_Commentaires TBG mars_Copie de Flash du mois d' avril 2009 corrigé par NAIMI_Reporting Onatel Mai 2009 V 0_Flash du mois de septembre 2009 (2) (version 1)_Budget Telmob 2011 3" xfId="0"/>
    <cellStyle name="_Table_02 Pfd Valuation_commentaires fixe  internet Déc 08_Commentaires TBG mars_Copie de Flash du mois d' avril 2009 corrigé par NAIMI_Reporting Onatel Mai 2009 V 0_Flash du mois de septembre 2009 (2) (version 1)_Capex- Mobile" xfId="0"/>
    <cellStyle name="_Table_02 Pfd Valuation_commentaires fixe  internet Déc 08_Commentaires TBG mars_Copie de Flash du mois d' avril 2009 corrigé par NAIMI_Reporting Onatel Mai 2009 V 0_Flash du mois de septembre 2009 (2) (version 1)_Capex- Mobile 2" xfId="0"/>
    <cellStyle name="_Table_02 Pfd Valuation_commentaires fixe  internet Déc 08_Commentaires TBG mars_Copie de Flash du mois d' avril 2009 corrigé par NAIMI_Reporting Onatel Mai 2009 V 0_Flash du mois de septembre 2009 (2) (version 1)_Capex- Mobile 2 2" xfId="0"/>
    <cellStyle name="_Table_02 Pfd Valuation_commentaires fixe  internet Déc 08_Commentaires TBG mars_Copie de Flash du mois d' avril 2009 corrigé par NAIMI_Reporting Onatel Mai 2009 V 0_Flash du mois de septembre 2009 (2) (version 1)_Capex- Mobile 3" xfId="0"/>
    <cellStyle name="_Table_02 Pfd Valuation_commentaires fixe  internet Déc 08_Commentaires TBG mars_Copie de Flash du mois d' avril 2009 corrigé par NAIMI_Reporting Onatel Mai 2009 V 0_Reporting Onatel septembre  2009 préparé" xfId="0"/>
    <cellStyle name="_Table_02 Pfd Valuation_commentaires fixe  internet Déc 08_Commentaires TBG mars_Copie de Flash du mois d' avril 2009 corrigé par NAIMI_Reporting Onatel Mai 2009 V 0_Reporting Onatel septembre  2009 préparé 2" xfId="0"/>
    <cellStyle name="_Table_02 Pfd Valuation_commentaires fixe  internet Déc 08_Commentaires TBG mars_Copie de Flash du mois d' avril 2009 corrigé par NAIMI_Reporting Onatel Mai 2009 V 0_Reporting Onatel septembre  2009 préparé 2 2" xfId="0"/>
    <cellStyle name="_Table_02 Pfd Valuation_commentaires fixe  internet Déc 08_Commentaires TBG mars_Copie de Flash du mois d' avril 2009 corrigé par NAIMI_Reporting Onatel Mai 2009 V 0_Reporting Onatel septembre  2009 préparé 3" xfId="0"/>
    <cellStyle name="_Table_02 Pfd Valuation_commentaires fixe  internet Déc 08_Commentaires TBG mars_Copie de Flash du mois d' avril 2009 corrigé par NAIMI_Reporting Onatel Mai 2009 V 0_Reporting Onatel septembre  2009 préparé_Budget Telmob 2011" xfId="0"/>
    <cellStyle name="_Table_02 Pfd Valuation_commentaires fixe  internet Déc 08_Commentaires TBG mars_Copie de Flash du mois d' avril 2009 corrigé par NAIMI_Reporting Onatel Mai 2009 V 0_Reporting Onatel septembre  2009 préparé_Budget Telmob 2011 2" xfId="0"/>
    <cellStyle name="_Table_02 Pfd Valuation_commentaires fixe  internet Déc 08_Commentaires TBG mars_Copie de Flash du mois d' avril 2009 corrigé par NAIMI_Reporting Onatel Mai 2009 V 0_Reporting Onatel septembre  2009 préparé_Budget Telmob 2011 2 2" xfId="0"/>
    <cellStyle name="_Table_02 Pfd Valuation_commentaires fixe  internet Déc 08_Commentaires TBG mars_Copie de Flash du mois d' avril 2009 corrigé par NAIMI_Reporting Onatel Mai 2009 V 0_Reporting Onatel septembre  2009 préparé_Budget Telmob 2011 3" xfId="0"/>
    <cellStyle name="_Table_02 Pfd Valuation_commentaires fixe  internet Déc 08_Commentaires TBG mars_Copie de Flash du mois d' avril 2009 corrigé par NAIMI_Reporting Onatel Mai 2009 V 0_Reporting Onatel septembre  2009 préparé_Capex- Mobile" xfId="0"/>
    <cellStyle name="_Table_02 Pfd Valuation_commentaires fixe  internet Déc 08_Commentaires TBG mars_Copie de Flash du mois d' avril 2009 corrigé par NAIMI_Reporting Onatel Mai 2009 V 0_Reporting Onatel septembre  2009 préparé_Capex- Mobile 2" xfId="0"/>
    <cellStyle name="_Table_02 Pfd Valuation_commentaires fixe  internet Déc 08_Commentaires TBG mars_Copie de Flash du mois d' avril 2009 corrigé par NAIMI_Reporting Onatel Mai 2009 V 0_Reporting Onatel septembre  2009 préparé_Capex- Mobile 2 2" xfId="0"/>
    <cellStyle name="_Table_02 Pfd Valuation_commentaires fixe  internet Déc 08_Commentaires TBG mars_Copie de Flash du mois d' avril 2009 corrigé par NAIMI_Reporting Onatel Mai 2009 V 0_Reporting Onatel septembre  2009 préparé_Capex- Mobile 3" xfId="0"/>
    <cellStyle name="_Table_02 Pfd Valuation_commentaires fixe  internet Déc 08_Commentaires TBG mars_Copie de Flash du mois d' avril 2009 corrigé par NAIMI_Reporting Onatel septembre  2009 préparé" xfId="0"/>
    <cellStyle name="_Table_02 Pfd Valuation_commentaires fixe  internet Déc 08_Commentaires TBG mars_Copie de Flash du mois d' avril 2009 corrigé par NAIMI_Reporting Onatel septembre  2009 préparé 2" xfId="0"/>
    <cellStyle name="_Table_02 Pfd Valuation_commentaires fixe  internet Déc 08_Commentaires TBG mars_Copie de Flash du mois d' avril 2009 corrigé par NAIMI_Reporting Onatel septembre  2009 préparé 2 2" xfId="0"/>
    <cellStyle name="_Table_02 Pfd Valuation_commentaires fixe  internet Déc 08_Commentaires TBG mars_Copie de Flash du mois d' avril 2009 corrigé par NAIMI_Reporting Onatel septembre  2009 préparé 3" xfId="0"/>
    <cellStyle name="_Table_02 Pfd Valuation_commentaires fixe  internet Déc 08_Commentaires TBG mars_Copie de Flash du mois d' avril 2009 corrigé par NAIMI_Reporting Onatel septembre  2009 préparé_Budget Telmob 2011" xfId="0"/>
    <cellStyle name="_Table_02 Pfd Valuation_commentaires fixe  internet Déc 08_Commentaires TBG mars_Copie de Flash du mois d' avril 2009 corrigé par NAIMI_Reporting Onatel septembre  2009 préparé_Budget Telmob 2011 2" xfId="0"/>
    <cellStyle name="_Table_02 Pfd Valuation_commentaires fixe  internet Déc 08_Commentaires TBG mars_Copie de Flash du mois d' avril 2009 corrigé par NAIMI_Reporting Onatel septembre  2009 préparé_Budget Telmob 2011 2 2" xfId="0"/>
    <cellStyle name="_Table_02 Pfd Valuation_commentaires fixe  internet Déc 08_Commentaires TBG mars_Copie de Flash du mois d' avril 2009 corrigé par NAIMI_Reporting Onatel septembre  2009 préparé_Budget Telmob 2011 3" xfId="0"/>
    <cellStyle name="_Table_02 Pfd Valuation_commentaires fixe  internet Déc 08_Commentaires TBG mars_Copie de Flash du mois d' avril 2009 corrigé par NAIMI_Reporting Onatel septembre  2009 préparé_Capex- Mobile" xfId="0"/>
    <cellStyle name="_Table_02 Pfd Valuation_commentaires fixe  internet Déc 08_Commentaires TBG mars_Copie de Flash du mois d' avril 2009 corrigé par NAIMI_Reporting Onatel septembre  2009 préparé_Capex- Mobile 2" xfId="0"/>
    <cellStyle name="_Table_02 Pfd Valuation_commentaires fixe  internet Déc 08_Commentaires TBG mars_Copie de Flash du mois d' avril 2009 corrigé par NAIMI_Reporting Onatel septembre  2009 préparé_Capex- Mobile 2 2" xfId="0"/>
    <cellStyle name="_Table_02 Pfd Valuation_commentaires fixe  internet Déc 08_Commentaires TBG mars_Copie de Flash du mois d' avril 2009 corrigé par NAIMI_Reporting Onatel septembre  2009 préparé_Capex- Mobile 3" xfId="0"/>
    <cellStyle name="_Table_02 Pfd Valuation_commentaires fixe  internet Déc 08_Commentaires TBG mars_Flash du mois d' avril 2009" xfId="0"/>
    <cellStyle name="_Table_02 Pfd Valuation_commentaires fixe  internet Déc 08_Commentaires TBG mars_Flash du mois d' avril 2009 2" xfId="0"/>
    <cellStyle name="_Table_02 Pfd Valuation_commentaires fixe  internet Déc 08_Commentaires TBG mars_Flash du mois d' avril 2009 2 2" xfId="0"/>
    <cellStyle name="_Table_02 Pfd Valuation_commentaires fixe  internet Déc 08_Commentaires TBG mars_Flash du mois d' avril 2009 3" xfId="0"/>
    <cellStyle name="_Table_02 Pfd Valuation_commentaires fixe  internet Déc 08_Commentaires TBG mars_Flash du mois d' avril 2009_Budget Telmob 2011" xfId="0"/>
    <cellStyle name="_Table_02 Pfd Valuation_commentaires fixe  internet Déc 08_Commentaires TBG mars_Flash du mois d' avril 2009_Budget Telmob 2011 2" xfId="0"/>
    <cellStyle name="_Table_02 Pfd Valuation_commentaires fixe  internet Déc 08_Commentaires TBG mars_Flash du mois d' avril 2009_Budget Telmob 2011 2 2" xfId="0"/>
    <cellStyle name="_Table_02 Pfd Valuation_commentaires fixe  internet Déc 08_Commentaires TBG mars_Flash du mois d' avril 2009_Budget Telmob 2011 3" xfId="0"/>
    <cellStyle name="_Table_02 Pfd Valuation_commentaires fixe  internet Déc 08_Commentaires TBG mars_Flash du mois d' avril 2009_Capex- Mobile" xfId="0"/>
    <cellStyle name="_Table_02 Pfd Valuation_commentaires fixe  internet Déc 08_Commentaires TBG mars_Flash du mois d' avril 2009_Capex- Mobile 2" xfId="0"/>
    <cellStyle name="_Table_02 Pfd Valuation_commentaires fixe  internet Déc 08_Commentaires TBG mars_Flash du mois d' avril 2009_Capex- Mobile 2 2" xfId="0"/>
    <cellStyle name="_Table_02 Pfd Valuation_commentaires fixe  internet Déc 08_Commentaires TBG mars_Flash du mois d' avril 2009_Capex- Mobile 3" xfId="0"/>
    <cellStyle name="_Table_02 Pfd Valuation_commentaires fixe  internet Déc 08_Commentaires TBG mars_Flash du mois d' avril 2009_Flash du mois de mai 2009" xfId="0"/>
    <cellStyle name="_Table_02 Pfd Valuation_commentaires fixe  internet Déc 08_Commentaires TBG mars_Flash du mois d' avril 2009_Flash du mois de mai 2009 2" xfId="0"/>
    <cellStyle name="_Table_02 Pfd Valuation_commentaires fixe  internet Déc 08_Commentaires TBG mars_Flash du mois d' avril 2009_Flash du mois de mai 2009 2 2" xfId="0"/>
    <cellStyle name="_Table_02 Pfd Valuation_commentaires fixe  internet Déc 08_Commentaires TBG mars_Flash du mois d' avril 2009_Flash du mois de mai 2009 3" xfId="0"/>
    <cellStyle name="_Table_02 Pfd Valuation_commentaires fixe  internet Déc 08_Commentaires TBG mars_Flash du mois d' avril 2009_Flash du mois de mai 2009_Budget Telmob 2011" xfId="0"/>
    <cellStyle name="_Table_02 Pfd Valuation_commentaires fixe  internet Déc 08_Commentaires TBG mars_Flash du mois d' avril 2009_Flash du mois de mai 2009_Budget Telmob 2011 2" xfId="0"/>
    <cellStyle name="_Table_02 Pfd Valuation_commentaires fixe  internet Déc 08_Commentaires TBG mars_Flash du mois d' avril 2009_Flash du mois de mai 2009_Budget Telmob 2011 2 2" xfId="0"/>
    <cellStyle name="_Table_02 Pfd Valuation_commentaires fixe  internet Déc 08_Commentaires TBG mars_Flash du mois d' avril 2009_Flash du mois de mai 2009_Budget Telmob 2011 3" xfId="0"/>
    <cellStyle name="_Table_02 Pfd Valuation_commentaires fixe  internet Déc 08_Commentaires TBG mars_Flash du mois d' avril 2009_Flash du mois de mai 2009_Capex- Mobile" xfId="0"/>
    <cellStyle name="_Table_02 Pfd Valuation_commentaires fixe  internet Déc 08_Commentaires TBG mars_Flash du mois d' avril 2009_Flash du mois de mai 2009_Capex- Mobile 2" xfId="0"/>
    <cellStyle name="_Table_02 Pfd Valuation_commentaires fixe  internet Déc 08_Commentaires TBG mars_Flash du mois d' avril 2009_Flash du mois de mai 2009_Capex- Mobile 2 2" xfId="0"/>
    <cellStyle name="_Table_02 Pfd Valuation_commentaires fixe  internet Déc 08_Commentaires TBG mars_Flash du mois d' avril 2009_Flash du mois de mai 2009_Capex- Mobile 3" xfId="0"/>
    <cellStyle name="_Table_02 Pfd Valuation_commentaires fixe  internet Déc 08_Commentaires TBG mars_Flash du mois d' avril 2009_Flash du mois de septembre 2009 (2) (version 1)" xfId="0"/>
    <cellStyle name="_Table_02 Pfd Valuation_commentaires fixe  internet Déc 08_Commentaires TBG mars_Flash du mois d' avril 2009_Flash du mois de septembre 2009 (2) (version 1) 2" xfId="0"/>
    <cellStyle name="_Table_02 Pfd Valuation_commentaires fixe  internet Déc 08_Commentaires TBG mars_Flash du mois d' avril 2009_Flash du mois de septembre 2009 (2) (version 1) 2 2" xfId="0"/>
    <cellStyle name="_Table_02 Pfd Valuation_commentaires fixe  internet Déc 08_Commentaires TBG mars_Flash du mois d' avril 2009_Flash du mois de septembre 2009 (2) (version 1) 3" xfId="0"/>
    <cellStyle name="_Table_02 Pfd Valuation_commentaires fixe  internet Déc 08_Commentaires TBG mars_Flash du mois d' avril 2009_Flash du mois de septembre 2009 (2) (version 1)_Budget Telmob 2011" xfId="0"/>
    <cellStyle name="_Table_02 Pfd Valuation_commentaires fixe  internet Déc 08_Commentaires TBG mars_Flash du mois d' avril 2009_Flash du mois de septembre 2009 (2) (version 1)_Budget Telmob 2011 2" xfId="0"/>
    <cellStyle name="_Table_02 Pfd Valuation_commentaires fixe  internet Déc 08_Commentaires TBG mars_Flash du mois d' avril 2009_Flash du mois de septembre 2009 (2) (version 1)_Budget Telmob 2011 2 2" xfId="0"/>
    <cellStyle name="_Table_02 Pfd Valuation_commentaires fixe  internet Déc 08_Commentaires TBG mars_Flash du mois d' avril 2009_Flash du mois de septembre 2009 (2) (version 1)_Budget Telmob 2011 3" xfId="0"/>
    <cellStyle name="_Table_02 Pfd Valuation_commentaires fixe  internet Déc 08_Commentaires TBG mars_Flash du mois d' avril 2009_Flash du mois de septembre 2009 (2) (version 1)_Capex- Mobile" xfId="0"/>
    <cellStyle name="_Table_02 Pfd Valuation_commentaires fixe  internet Déc 08_Commentaires TBG mars_Flash du mois d' avril 2009_Flash du mois de septembre 2009 (2) (version 1)_Capex- Mobile 2" xfId="0"/>
    <cellStyle name="_Table_02 Pfd Valuation_commentaires fixe  internet Déc 08_Commentaires TBG mars_Flash du mois d' avril 2009_Flash du mois de septembre 2009 (2) (version 1)_Capex- Mobile 2 2" xfId="0"/>
    <cellStyle name="_Table_02 Pfd Valuation_commentaires fixe  internet Déc 08_Commentaires TBG mars_Flash du mois d' avril 2009_Flash du mois de septembre 2009 (2) (version 1)_Capex- Mobile 3" xfId="0"/>
    <cellStyle name="_Table_02 Pfd Valuation_commentaires fixe  internet Déc 08_Commentaires TBG mars_Flash du mois d' avril 2009_Reporting Onatel Mai 2009 V 0" xfId="0"/>
    <cellStyle name="_Table_02 Pfd Valuation_commentaires fixe  internet Déc 08_Commentaires TBG mars_Flash du mois d' avril 2009_Reporting Onatel Mai 2009 V 0 2" xfId="0"/>
    <cellStyle name="_Table_02 Pfd Valuation_commentaires fixe  internet Déc 08_Commentaires TBG mars_Flash du mois d' avril 2009_Reporting Onatel Mai 2009 V 0 2 2" xfId="0"/>
    <cellStyle name="_Table_02 Pfd Valuation_commentaires fixe  internet Déc 08_Commentaires TBG mars_Flash du mois d' avril 2009_Reporting Onatel Mai 2009 V 0 3" xfId="0"/>
    <cellStyle name="_Table_02 Pfd Valuation_commentaires fixe  internet Déc 08_Commentaires TBG mars_Flash du mois d' avril 2009_Reporting Onatel Mai 2009 V 0_Budget Telmob 2011" xfId="0"/>
    <cellStyle name="_Table_02 Pfd Valuation_commentaires fixe  internet Déc 08_Commentaires TBG mars_Flash du mois d' avril 2009_Reporting Onatel Mai 2009 V 0_Budget Telmob 2011 2" xfId="0"/>
    <cellStyle name="_Table_02 Pfd Valuation_commentaires fixe  internet Déc 08_Commentaires TBG mars_Flash du mois d' avril 2009_Reporting Onatel Mai 2009 V 0_Budget Telmob 2011 2 2" xfId="0"/>
    <cellStyle name="_Table_02 Pfd Valuation_commentaires fixe  internet Déc 08_Commentaires TBG mars_Flash du mois d' avril 2009_Reporting Onatel Mai 2009 V 0_Budget Telmob 2011 3" xfId="0"/>
    <cellStyle name="_Table_02 Pfd Valuation_commentaires fixe  internet Déc 08_Commentaires TBG mars_Flash du mois d' avril 2009_Reporting Onatel Mai 2009 V 0_Capex- Mobile" xfId="0"/>
    <cellStyle name="_Table_02 Pfd Valuation_commentaires fixe  internet Déc 08_Commentaires TBG mars_Flash du mois d' avril 2009_Reporting Onatel Mai 2009 V 0_Capex- Mobile 2" xfId="0"/>
    <cellStyle name="_Table_02 Pfd Valuation_commentaires fixe  internet Déc 08_Commentaires TBG mars_Flash du mois d' avril 2009_Reporting Onatel Mai 2009 V 0_Capex- Mobile 2 2" xfId="0"/>
    <cellStyle name="_Table_02 Pfd Valuation_commentaires fixe  internet Déc 08_Commentaires TBG mars_Flash du mois d' avril 2009_Reporting Onatel Mai 2009 V 0_Capex- Mobile 3" xfId="0"/>
    <cellStyle name="_Table_02 Pfd Valuation_commentaires fixe  internet Déc 08_Commentaires TBG mars_Flash du mois d' avril 2009_Reporting Onatel septembre  2009 préparé" xfId="0"/>
    <cellStyle name="_Table_02 Pfd Valuation_commentaires fixe  internet Déc 08_Commentaires TBG mars_Flash du mois d' avril 2009_Reporting Onatel septembre  2009 préparé 2" xfId="0"/>
    <cellStyle name="_Table_02 Pfd Valuation_commentaires fixe  internet Déc 08_Commentaires TBG mars_Flash du mois d' avril 2009_Reporting Onatel septembre  2009 préparé 2 2" xfId="0"/>
    <cellStyle name="_Table_02 Pfd Valuation_commentaires fixe  internet Déc 08_Commentaires TBG mars_Flash du mois d' avril 2009_Reporting Onatel septembre  2009 préparé 3" xfId="0"/>
    <cellStyle name="_Table_02 Pfd Valuation_commentaires fixe  internet Déc 08_Commentaires TBG mars_Flash du mois d' avril 2009_Reporting Onatel septembre  2009 préparé_Budget Telmob 2011" xfId="0"/>
    <cellStyle name="_Table_02 Pfd Valuation_commentaires fixe  internet Déc 08_Commentaires TBG mars_Flash du mois d' avril 2009_Reporting Onatel septembre  2009 préparé_Budget Telmob 2011 2" xfId="0"/>
    <cellStyle name="_Table_02 Pfd Valuation_commentaires fixe  internet Déc 08_Commentaires TBG mars_Flash du mois d' avril 2009_Reporting Onatel septembre  2009 préparé_Budget Telmob 2011 2 2" xfId="0"/>
    <cellStyle name="_Table_02 Pfd Valuation_commentaires fixe  internet Déc 08_Commentaires TBG mars_Flash du mois d' avril 2009_Reporting Onatel septembre  2009 préparé_Budget Telmob 2011 3" xfId="0"/>
    <cellStyle name="_Table_02 Pfd Valuation_commentaires fixe  internet Déc 08_Commentaires TBG mars_Flash du mois d' avril 2009_Reporting Onatel septembre  2009 préparé_Capex- Mobile" xfId="0"/>
    <cellStyle name="_Table_02 Pfd Valuation_commentaires fixe  internet Déc 08_Commentaires TBG mars_Flash du mois d' avril 2009_Reporting Onatel septembre  2009 préparé_Capex- Mobile 2" xfId="0"/>
    <cellStyle name="_Table_02 Pfd Valuation_commentaires fixe  internet Déc 08_Commentaires TBG mars_Flash du mois d' avril 2009_Reporting Onatel septembre  2009 préparé_Capex- Mobile 2 2" xfId="0"/>
    <cellStyle name="_Table_02 Pfd Valuation_commentaires fixe  internet Déc 08_Commentaires TBG mars_Flash du mois d' avril 2009_Reporting Onatel septembre  2009 préparé_Capex- Mobile 3" xfId="0"/>
    <cellStyle name="_Table_02 Pfd Valuation_commentaires fixe  internet Déc 08_Commentaires TBG mars_Flash du mois de mai 2009" xfId="0"/>
    <cellStyle name="_Table_02 Pfd Valuation_commentaires fixe  internet Déc 08_Commentaires TBG mars_Flash du mois de mai 2009 2" xfId="0"/>
    <cellStyle name="_Table_02 Pfd Valuation_commentaires fixe  internet Déc 08_Commentaires TBG mars_Flash du mois de mai 2009 2 2" xfId="0"/>
    <cellStyle name="_Table_02 Pfd Valuation_commentaires fixe  internet Déc 08_Commentaires TBG mars_Flash du mois de mai 2009 3" xfId="0"/>
    <cellStyle name="_Table_02 Pfd Valuation_commentaires fixe  internet Déc 08_Commentaires TBG mars_Flash du mois de mai 2009_Budget Telmob 2011" xfId="0"/>
    <cellStyle name="_Table_02 Pfd Valuation_commentaires fixe  internet Déc 08_Commentaires TBG mars_Flash du mois de mai 2009_Budget Telmob 2011 2" xfId="0"/>
    <cellStyle name="_Table_02 Pfd Valuation_commentaires fixe  internet Déc 08_Commentaires TBG mars_Flash du mois de mai 2009_Budget Telmob 2011 2 2" xfId="0"/>
    <cellStyle name="_Table_02 Pfd Valuation_commentaires fixe  internet Déc 08_Commentaires TBG mars_Flash du mois de mai 2009_Budget Telmob 2011 3" xfId="0"/>
    <cellStyle name="_Table_02 Pfd Valuation_commentaires fixe  internet Déc 08_Commentaires TBG mars_Flash du mois de mai 2009_Capex- Mobile" xfId="0"/>
    <cellStyle name="_Table_02 Pfd Valuation_commentaires fixe  internet Déc 08_Commentaires TBG mars_Flash du mois de mai 2009_Capex- Mobile 2" xfId="0"/>
    <cellStyle name="_Table_02 Pfd Valuation_commentaires fixe  internet Déc 08_Commentaires TBG mars_Flash du mois de mai 2009_Capex- Mobile 2 2" xfId="0"/>
    <cellStyle name="_Table_02 Pfd Valuation_commentaires fixe  internet Déc 08_Commentaires TBG mars_Flash du mois de mai 2009_Capex- Mobile 3" xfId="0"/>
    <cellStyle name="_Table_02 Pfd Valuation_commentaires fixe  internet Déc 08_Commentaires TBG mars_Flash du mois de septembre 2009 (2) (version 1)" xfId="0"/>
    <cellStyle name="_Table_02 Pfd Valuation_commentaires fixe  internet Déc 08_Commentaires TBG mars_Flash du mois de septembre 2009 (2) (version 1) 2" xfId="0"/>
    <cellStyle name="_Table_02 Pfd Valuation_commentaires fixe  internet Déc 08_Commentaires TBG mars_Flash du mois de septembre 2009 (2) (version 1) 2 2" xfId="0"/>
    <cellStyle name="_Table_02 Pfd Valuation_commentaires fixe  internet Déc 08_Commentaires TBG mars_Flash du mois de septembre 2009 (2) (version 1) 3" xfId="0"/>
    <cellStyle name="_Table_02 Pfd Valuation_commentaires fixe  internet Déc 08_Commentaires TBG mars_Flash du mois de septembre 2009 (2) (version 1)_Budget Telmob 2011" xfId="0"/>
    <cellStyle name="_Table_02 Pfd Valuation_commentaires fixe  internet Déc 08_Commentaires TBG mars_Flash du mois de septembre 2009 (2) (version 1)_Budget Telmob 2011 2" xfId="0"/>
    <cellStyle name="_Table_02 Pfd Valuation_commentaires fixe  internet Déc 08_Commentaires TBG mars_Flash du mois de septembre 2009 (2) (version 1)_Budget Telmob 2011 2 2" xfId="0"/>
    <cellStyle name="_Table_02 Pfd Valuation_commentaires fixe  internet Déc 08_Commentaires TBG mars_Flash du mois de septembre 2009 (2) (version 1)_Budget Telmob 2011 3" xfId="0"/>
    <cellStyle name="_Table_02 Pfd Valuation_commentaires fixe  internet Déc 08_Commentaires TBG mars_Flash du mois de septembre 2009 (2) (version 1)_Capex- Mobile" xfId="0"/>
    <cellStyle name="_Table_02 Pfd Valuation_commentaires fixe  internet Déc 08_Commentaires TBG mars_Flash du mois de septembre 2009 (2) (version 1)_Capex- Mobile 2" xfId="0"/>
    <cellStyle name="_Table_02 Pfd Valuation_commentaires fixe  internet Déc 08_Commentaires TBG mars_Flash du mois de septembre 2009 (2) (version 1)_Capex- Mobile 2 2" xfId="0"/>
    <cellStyle name="_Table_02 Pfd Valuation_commentaires fixe  internet Déc 08_Commentaires TBG mars_Flash du mois de septembre 2009 (2) (version 1)_Capex- Mobile 3" xfId="0"/>
    <cellStyle name="_Table_02 Pfd Valuation_commentaires fixe  internet Déc 08_Commentaires TBG mars_Reporting Onatel Mai 2009 V 0" xfId="0"/>
    <cellStyle name="_Table_02 Pfd Valuation_commentaires fixe  internet Déc 08_Commentaires TBG mars_Reporting Onatel Mai 2009 V 0 2" xfId="0"/>
    <cellStyle name="_Table_02 Pfd Valuation_commentaires fixe  internet Déc 08_Commentaires TBG mars_Reporting Onatel Mai 2009 V 0 2 2" xfId="0"/>
    <cellStyle name="_Table_02 Pfd Valuation_commentaires fixe  internet Déc 08_Commentaires TBG mars_Reporting Onatel Mai 2009 V 0 3" xfId="0"/>
    <cellStyle name="_Table_02 Pfd Valuation_commentaires fixe  internet Déc 08_Commentaires TBG mars_Reporting Onatel Mai 2009 V 0_Budget Telmob 2011" xfId="0"/>
    <cellStyle name="_Table_02 Pfd Valuation_commentaires fixe  internet Déc 08_Commentaires TBG mars_Reporting Onatel Mai 2009 V 0_Budget Telmob 2011 2" xfId="0"/>
    <cellStyle name="_Table_02 Pfd Valuation_commentaires fixe  internet Déc 08_Commentaires TBG mars_Reporting Onatel Mai 2009 V 0_Budget Telmob 2011 2 2" xfId="0"/>
    <cellStyle name="_Table_02 Pfd Valuation_commentaires fixe  internet Déc 08_Commentaires TBG mars_Reporting Onatel Mai 2009 V 0_Budget Telmob 2011 3" xfId="0"/>
    <cellStyle name="_Table_02 Pfd Valuation_commentaires fixe  internet Déc 08_Commentaires TBG mars_Reporting Onatel Mai 2009 V 0_Capex- Mobile" xfId="0"/>
    <cellStyle name="_Table_02 Pfd Valuation_commentaires fixe  internet Déc 08_Commentaires TBG mars_Reporting Onatel Mai 2009 V 0_Capex- Mobile 2" xfId="0"/>
    <cellStyle name="_Table_02 Pfd Valuation_commentaires fixe  internet Déc 08_Commentaires TBG mars_Reporting Onatel Mai 2009 V 0_Capex- Mobile 2 2" xfId="0"/>
    <cellStyle name="_Table_02 Pfd Valuation_commentaires fixe  internet Déc 08_Commentaires TBG mars_Reporting Onatel Mai 2009 V 0_Capex- Mobile 3" xfId="0"/>
    <cellStyle name="_Table_02 Pfd Valuation_commentaires fixe  internet Déc 08_Commentaires TBG mars_Reporting Onatel septembre  2009 préparé" xfId="0"/>
    <cellStyle name="_Table_02 Pfd Valuation_commentaires fixe  internet Déc 08_Commentaires TBG mars_Reporting Onatel septembre  2009 préparé 2" xfId="0"/>
    <cellStyle name="_Table_02 Pfd Valuation_commentaires fixe  internet Déc 08_Commentaires TBG mars_Reporting Onatel septembre  2009 préparé 2 2" xfId="0"/>
    <cellStyle name="_Table_02 Pfd Valuation_commentaires fixe  internet Déc 08_Commentaires TBG mars_Reporting Onatel septembre  2009 préparé 3" xfId="0"/>
    <cellStyle name="_Table_02 Pfd Valuation_commentaires fixe  internet Déc 08_Commentaires TBG mars_Reporting Onatel septembre  2009 préparé_Budget Telmob 2011" xfId="0"/>
    <cellStyle name="_Table_02 Pfd Valuation_commentaires fixe  internet Déc 08_Commentaires TBG mars_Reporting Onatel septembre  2009 préparé_Budget Telmob 2011 2" xfId="0"/>
    <cellStyle name="_Table_02 Pfd Valuation_commentaires fixe  internet Déc 08_Commentaires TBG mars_Reporting Onatel septembre  2009 préparé_Budget Telmob 2011 2 2" xfId="0"/>
    <cellStyle name="_Table_02 Pfd Valuation_commentaires fixe  internet Déc 08_Commentaires TBG mars_Reporting Onatel septembre  2009 préparé_Budget Telmob 2011 3" xfId="0"/>
    <cellStyle name="_Table_02 Pfd Valuation_commentaires fixe  internet Déc 08_Commentaires TBG mars_Reporting Onatel septembre  2009 préparé_Capex- Mobile" xfId="0"/>
    <cellStyle name="_Table_02 Pfd Valuation_commentaires fixe  internet Déc 08_Commentaires TBG mars_Reporting Onatel septembre  2009 préparé_Capex- Mobile 2" xfId="0"/>
    <cellStyle name="_Table_02 Pfd Valuation_commentaires fixe  internet Déc 08_Commentaires TBG mars_Reporting Onatel septembre  2009 préparé_Capex- Mobile 2 2" xfId="0"/>
    <cellStyle name="_Table_02 Pfd Valuation_commentaires fixe  internet Déc 08_Commentaires TBG mars_Reporting Onatel septembre  2009 préparé_Capex- Mobile 3" xfId="0"/>
    <cellStyle name="_Table_02 Pfd Valuation_commentaires fixe  internet Déc 08_Copie de Flash du mois d' avril 2009 corrigé par NAIMI" xfId="0"/>
    <cellStyle name="_Table_02 Pfd Valuation_commentaires fixe  internet Déc 08_Copie de Flash du mois d' avril 2009 corrigé par NAIMI 2" xfId="0"/>
    <cellStyle name="_Table_02 Pfd Valuation_commentaires fixe  internet Déc 08_Copie de Flash du mois d' avril 2009 corrigé par NAIMI 2 2" xfId="0"/>
    <cellStyle name="_Table_02 Pfd Valuation_commentaires fixe  internet Déc 08_Copie de Flash du mois d' avril 2009 corrigé par NAIMI 3" xfId="0"/>
    <cellStyle name="_Table_02 Pfd Valuation_commentaires fixe  internet Déc 08_Copie de Flash du mois d' avril 2009 corrigé par NAIMI_Budget Telmob 2011" xfId="0"/>
    <cellStyle name="_Table_02 Pfd Valuation_commentaires fixe  internet Déc 08_Copie de Flash du mois d' avril 2009 corrigé par NAIMI_Budget Telmob 2011 2" xfId="0"/>
    <cellStyle name="_Table_02 Pfd Valuation_commentaires fixe  internet Déc 08_Copie de Flash du mois d' avril 2009 corrigé par NAIMI_Budget Telmob 2011 2 2" xfId="0"/>
    <cellStyle name="_Table_02 Pfd Valuation_commentaires fixe  internet Déc 08_Copie de Flash du mois d' avril 2009 corrigé par NAIMI_Budget Telmob 2011 3" xfId="0"/>
    <cellStyle name="_Table_02 Pfd Valuation_commentaires fixe  internet Déc 08_Copie de Flash du mois d' avril 2009 corrigé par NAIMI_Capex- Mobile" xfId="0"/>
    <cellStyle name="_Table_02 Pfd Valuation_commentaires fixe  internet Déc 08_Copie de Flash du mois d' avril 2009 corrigé par NAIMI_Capex- Mobile 2" xfId="0"/>
    <cellStyle name="_Table_02 Pfd Valuation_commentaires fixe  internet Déc 08_Copie de Flash du mois d' avril 2009 corrigé par NAIMI_Capex- Mobile 2 2" xfId="0"/>
    <cellStyle name="_Table_02 Pfd Valuation_commentaires fixe  internet Déc 08_Copie de Flash du mois d' avril 2009 corrigé par NAIMI_Capex- Mobile 3" xfId="0"/>
    <cellStyle name="_Table_02 Pfd Valuation_commentaires fixe  internet Déc 08_Copie de Flash du mois d' avril 2009 corrigé par NAIMI_Flash du mois de mai 2009" xfId="0"/>
    <cellStyle name="_Table_02 Pfd Valuation_commentaires fixe  internet Déc 08_Copie de Flash du mois d' avril 2009 corrigé par NAIMI_Flash du mois de mai 2009 2" xfId="0"/>
    <cellStyle name="_Table_02 Pfd Valuation_commentaires fixe  internet Déc 08_Copie de Flash du mois d' avril 2009 corrigé par NAIMI_Flash du mois de mai 2009 2 2" xfId="0"/>
    <cellStyle name="_Table_02 Pfd Valuation_commentaires fixe  internet Déc 08_Copie de Flash du mois d' avril 2009 corrigé par NAIMI_Flash du mois de mai 2009 3" xfId="0"/>
    <cellStyle name="_Table_02 Pfd Valuation_commentaires fixe  internet Déc 08_Copie de Flash du mois d' avril 2009 corrigé par NAIMI_Flash du mois de mai 2009_Budget Telmob 2011" xfId="0"/>
    <cellStyle name="_Table_02 Pfd Valuation_commentaires fixe  internet Déc 08_Copie de Flash du mois d' avril 2009 corrigé par NAIMI_Flash du mois de mai 2009_Budget Telmob 2011 2" xfId="0"/>
    <cellStyle name="_Table_02 Pfd Valuation_commentaires fixe  internet Déc 08_Copie de Flash du mois d' avril 2009 corrigé par NAIMI_Flash du mois de mai 2009_Budget Telmob 2011 2 2" xfId="0"/>
    <cellStyle name="_Table_02 Pfd Valuation_commentaires fixe  internet Déc 08_Copie de Flash du mois d' avril 2009 corrigé par NAIMI_Flash du mois de mai 2009_Budget Telmob 2011 3" xfId="0"/>
    <cellStyle name="_Table_02 Pfd Valuation_commentaires fixe  internet Déc 08_Copie de Flash du mois d' avril 2009 corrigé par NAIMI_Flash du mois de mai 2009_Capex- Mobile" xfId="0"/>
    <cellStyle name="_Table_02 Pfd Valuation_commentaires fixe  internet Déc 08_Copie de Flash du mois d' avril 2009 corrigé par NAIMI_Flash du mois de mai 2009_Capex- Mobile 2" xfId="0"/>
    <cellStyle name="_Table_02 Pfd Valuation_commentaires fixe  internet Déc 08_Copie de Flash du mois d' avril 2009 corrigé par NAIMI_Flash du mois de mai 2009_Capex- Mobile 2 2" xfId="0"/>
    <cellStyle name="_Table_02 Pfd Valuation_commentaires fixe  internet Déc 08_Copie de Flash du mois d' avril 2009 corrigé par NAIMI_Flash du mois de mai 2009_Capex- Mobile 3" xfId="0"/>
    <cellStyle name="_Table_02 Pfd Valuation_commentaires fixe  internet Déc 08_Copie de Flash du mois d' avril 2009 corrigé par NAIMI_Flash du mois de septembre 2009 (2) (version 1)" xfId="0"/>
    <cellStyle name="_Table_02 Pfd Valuation_commentaires fixe  internet Déc 08_Copie de Flash du mois d' avril 2009 corrigé par NAIMI_Flash du mois de septembre 2009 (2) (version 1) 2" xfId="0"/>
    <cellStyle name="_Table_02 Pfd Valuation_commentaires fixe  internet Déc 08_Copie de Flash du mois d' avril 2009 corrigé par NAIMI_Flash du mois de septembre 2009 (2) (version 1) 2 2" xfId="0"/>
    <cellStyle name="_Table_02 Pfd Valuation_commentaires fixe  internet Déc 08_Copie de Flash du mois d' avril 2009 corrigé par NAIMI_Flash du mois de septembre 2009 (2) (version 1) 3" xfId="0"/>
    <cellStyle name="_Table_02 Pfd Valuation_commentaires fixe  internet Déc 08_Copie de Flash du mois d' avril 2009 corrigé par NAIMI_Flash du mois de septembre 2009 (2) (version 1)_Budget Telmob 2011" xfId="0"/>
    <cellStyle name="_Table_02 Pfd Valuation_commentaires fixe  internet Déc 08_Copie de Flash du mois d' avril 2009 corrigé par NAIMI_Flash du mois de septembre 2009 (2) (version 1)_Budget Telmob 2011 2" xfId="0"/>
    <cellStyle name="_Table_02 Pfd Valuation_commentaires fixe  internet Déc 08_Copie de Flash du mois d' avril 2009 corrigé par NAIMI_Flash du mois de septembre 2009 (2) (version 1)_Budget Telmob 2011 2 2" xfId="0"/>
    <cellStyle name="_Table_02 Pfd Valuation_commentaires fixe  internet Déc 08_Copie de Flash du mois d' avril 2009 corrigé par NAIMI_Flash du mois de septembre 2009 (2) (version 1)_Budget Telmob 2011 3" xfId="0"/>
    <cellStyle name="_Table_02 Pfd Valuation_commentaires fixe  internet Déc 08_Copie de Flash du mois d' avril 2009 corrigé par NAIMI_Flash du mois de septembre 2009 (2) (version 1)_Capex- Mobile" xfId="0"/>
    <cellStyle name="_Table_02 Pfd Valuation_commentaires fixe  internet Déc 08_Copie de Flash du mois d' avril 2009 corrigé par NAIMI_Flash du mois de septembre 2009 (2) (version 1)_Capex- Mobile 2" xfId="0"/>
    <cellStyle name="_Table_02 Pfd Valuation_commentaires fixe  internet Déc 08_Copie de Flash du mois d' avril 2009 corrigé par NAIMI_Flash du mois de septembre 2009 (2) (version 1)_Capex- Mobile 2 2" xfId="0"/>
    <cellStyle name="_Table_02 Pfd Valuation_commentaires fixe  internet Déc 08_Copie de Flash du mois d' avril 2009 corrigé par NAIMI_Flash du mois de septembre 2009 (2) (version 1)_Capex- Mobile 3" xfId="0"/>
    <cellStyle name="_Table_02 Pfd Valuation_commentaires fixe  internet Déc 08_Copie de Flash du mois d' avril 2009 corrigé par NAIMI_Reporting Onatel Mai 2009 V 0" xfId="0"/>
    <cellStyle name="_Table_02 Pfd Valuation_commentaires fixe  internet Déc 08_Copie de Flash du mois d' avril 2009 corrigé par NAIMI_Reporting Onatel Mai 2009 V 0 2" xfId="0"/>
    <cellStyle name="_Table_02 Pfd Valuation_commentaires fixe  internet Déc 08_Copie de Flash du mois d' avril 2009 corrigé par NAIMI_Reporting Onatel Mai 2009 V 0 2 2" xfId="0"/>
    <cellStyle name="_Table_02 Pfd Valuation_commentaires fixe  internet Déc 08_Copie de Flash du mois d' avril 2009 corrigé par NAIMI_Reporting Onatel Mai 2009 V 0 3" xfId="0"/>
    <cellStyle name="_Table_02 Pfd Valuation_commentaires fixe  internet Déc 08_Copie de Flash du mois d' avril 2009 corrigé par NAIMI_Reporting Onatel Mai 2009 V 0_Budget Telmob 2011" xfId="0"/>
    <cellStyle name="_Table_02 Pfd Valuation_commentaires fixe  internet Déc 08_Copie de Flash du mois d' avril 2009 corrigé par NAIMI_Reporting Onatel Mai 2009 V 0_Budget Telmob 2011 2" xfId="0"/>
    <cellStyle name="_Table_02 Pfd Valuation_commentaires fixe  internet Déc 08_Copie de Flash du mois d' avril 2009 corrigé par NAIMI_Reporting Onatel Mai 2009 V 0_Budget Telmob 2011 2 2" xfId="0"/>
    <cellStyle name="_Table_02 Pfd Valuation_commentaires fixe  internet Déc 08_Copie de Flash du mois d' avril 2009 corrigé par NAIMI_Reporting Onatel Mai 2009 V 0_Budget Telmob 2011 3" xfId="0"/>
    <cellStyle name="_Table_02 Pfd Valuation_commentaires fixe  internet Déc 08_Copie de Flash du mois d' avril 2009 corrigé par NAIMI_Reporting Onatel Mai 2009 V 0_Capex- Mobile" xfId="0"/>
    <cellStyle name="_Table_02 Pfd Valuation_commentaires fixe  internet Déc 08_Copie de Flash du mois d' avril 2009 corrigé par NAIMI_Reporting Onatel Mai 2009 V 0_Capex- Mobile 2" xfId="0"/>
    <cellStyle name="_Table_02 Pfd Valuation_commentaires fixe  internet Déc 08_Copie de Flash du mois d' avril 2009 corrigé par NAIMI_Reporting Onatel Mai 2009 V 0_Capex- Mobile 2 2" xfId="0"/>
    <cellStyle name="_Table_02 Pfd Valuation_commentaires fixe  internet Déc 08_Copie de Flash du mois d' avril 2009 corrigé par NAIMI_Reporting Onatel Mai 2009 V 0_Capex- Mobile 3" xfId="0"/>
    <cellStyle name="_Table_02 Pfd Valuation_commentaires fixe  internet Déc 08_Copie de Flash du mois d' avril 2009 corrigé par NAIMI_Reporting Onatel Mai 2009 V 0_Flash du mois de septembre 2009 (2) (version 1)" xfId="0"/>
    <cellStyle name="_Table_02 Pfd Valuation_commentaires fixe  internet Déc 08_Copie de Flash du mois d' avril 2009 corrigé par NAIMI_Reporting Onatel Mai 2009 V 0_Flash du mois de septembre 2009 (2) (version 1) 2" xfId="0"/>
    <cellStyle name="_Table_02 Pfd Valuation_commentaires fixe  internet Déc 08_Copie de Flash du mois d' avril 2009 corrigé par NAIMI_Reporting Onatel Mai 2009 V 0_Flash du mois de septembre 2009 (2) (version 1) 2 2" xfId="0"/>
    <cellStyle name="_Table_02 Pfd Valuation_commentaires fixe  internet Déc 08_Copie de Flash du mois d' avril 2009 corrigé par NAIMI_Reporting Onatel Mai 2009 V 0_Flash du mois de septembre 2009 (2) (version 1) 3" xfId="0"/>
    <cellStyle name="_Table_02 Pfd Valuation_commentaires fixe  internet Déc 08_Copie de Flash du mois d' avril 2009 corrigé par NAIMI_Reporting Onatel Mai 2009 V 0_Flash du mois de septembre 2009 (2) (version 1)_Budget Telmob 2011" xfId="0"/>
    <cellStyle name="_Table_02 Pfd Valuation_commentaires fixe  internet Déc 08_Copie de Flash du mois d' avril 2009 corrigé par NAIMI_Reporting Onatel Mai 2009 V 0_Flash du mois de septembre 2009 (2) (version 1)_Budget Telmob 2011 2" xfId="0"/>
    <cellStyle name="_Table_02 Pfd Valuation_commentaires fixe  internet Déc 08_Copie de Flash du mois d' avril 2009 corrigé par NAIMI_Reporting Onatel Mai 2009 V 0_Flash du mois de septembre 2009 (2) (version 1)_Budget Telmob 2011 2 2" xfId="0"/>
    <cellStyle name="_Table_02 Pfd Valuation_commentaires fixe  internet Déc 08_Copie de Flash du mois d' avril 2009 corrigé par NAIMI_Reporting Onatel Mai 2009 V 0_Flash du mois de septembre 2009 (2) (version 1)_Budget Telmob 2011 3" xfId="0"/>
    <cellStyle name="_Table_02 Pfd Valuation_commentaires fixe  internet Déc 08_Copie de Flash du mois d' avril 2009 corrigé par NAIMI_Reporting Onatel Mai 2009 V 0_Flash du mois de septembre 2009 (2) (version 1)_Capex- Mobile" xfId="0"/>
    <cellStyle name="_Table_02 Pfd Valuation_commentaires fixe  internet Déc 08_Copie de Flash du mois d' avril 2009 corrigé par NAIMI_Reporting Onatel Mai 2009 V 0_Flash du mois de septembre 2009 (2) (version 1)_Capex- Mobile 2" xfId="0"/>
    <cellStyle name="_Table_02 Pfd Valuation_commentaires fixe  internet Déc 08_Copie de Flash du mois d' avril 2009 corrigé par NAIMI_Reporting Onatel Mai 2009 V 0_Flash du mois de septembre 2009 (2) (version 1)_Capex- Mobile 2 2" xfId="0"/>
    <cellStyle name="_Table_02 Pfd Valuation_commentaires fixe  internet Déc 08_Copie de Flash du mois d' avril 2009 corrigé par NAIMI_Reporting Onatel Mai 2009 V 0_Flash du mois de septembre 2009 (2) (version 1)_Capex- Mobile 3" xfId="0"/>
    <cellStyle name="_Table_02 Pfd Valuation_commentaires fixe  internet Déc 08_Copie de Flash du mois d' avril 2009 corrigé par NAIMI_Reporting Onatel Mai 2009 V 0_Reporting Onatel septembre  2009 préparé" xfId="0"/>
    <cellStyle name="_Table_02 Pfd Valuation_commentaires fixe  internet Déc 08_Copie de Flash du mois d' avril 2009 corrigé par NAIMI_Reporting Onatel Mai 2009 V 0_Reporting Onatel septembre  2009 préparé 2" xfId="0"/>
    <cellStyle name="_Table_02 Pfd Valuation_commentaires fixe  internet Déc 08_Copie de Flash du mois d' avril 2009 corrigé par NAIMI_Reporting Onatel Mai 2009 V 0_Reporting Onatel septembre  2009 préparé 2 2" xfId="0"/>
    <cellStyle name="_Table_02 Pfd Valuation_commentaires fixe  internet Déc 08_Copie de Flash du mois d' avril 2009 corrigé par NAIMI_Reporting Onatel Mai 2009 V 0_Reporting Onatel septembre  2009 préparé 3" xfId="0"/>
    <cellStyle name="_Table_02 Pfd Valuation_commentaires fixe  internet Déc 08_Copie de Flash du mois d' avril 2009 corrigé par NAIMI_Reporting Onatel Mai 2009 V 0_Reporting Onatel septembre  2009 préparé_Budget Telmob 2011" xfId="0"/>
    <cellStyle name="_Table_02 Pfd Valuation_commentaires fixe  internet Déc 08_Copie de Flash du mois d' avril 2009 corrigé par NAIMI_Reporting Onatel Mai 2009 V 0_Reporting Onatel septembre  2009 préparé_Budget Telmob 2011 2" xfId="0"/>
    <cellStyle name="_Table_02 Pfd Valuation_commentaires fixe  internet Déc 08_Copie de Flash du mois d' avril 2009 corrigé par NAIMI_Reporting Onatel Mai 2009 V 0_Reporting Onatel septembre  2009 préparé_Budget Telmob 2011 2 2" xfId="0"/>
    <cellStyle name="_Table_02 Pfd Valuation_commentaires fixe  internet Déc 08_Copie de Flash du mois d' avril 2009 corrigé par NAIMI_Reporting Onatel Mai 2009 V 0_Reporting Onatel septembre  2009 préparé_Budget Telmob 2011 3" xfId="0"/>
    <cellStyle name="_Table_02 Pfd Valuation_commentaires fixe  internet Déc 08_Copie de Flash du mois d' avril 2009 corrigé par NAIMI_Reporting Onatel Mai 2009 V 0_Reporting Onatel septembre  2009 préparé_Capex- Mobile" xfId="0"/>
    <cellStyle name="_Table_02 Pfd Valuation_commentaires fixe  internet Déc 08_Copie de Flash du mois d' avril 2009 corrigé par NAIMI_Reporting Onatel Mai 2009 V 0_Reporting Onatel septembre  2009 préparé_Capex- Mobile 2" xfId="0"/>
    <cellStyle name="_Table_02 Pfd Valuation_commentaires fixe  internet Déc 08_Copie de Flash du mois d' avril 2009 corrigé par NAIMI_Reporting Onatel Mai 2009 V 0_Reporting Onatel septembre  2009 préparé_Capex- Mobile 2 2" xfId="0"/>
    <cellStyle name="_Table_02 Pfd Valuation_commentaires fixe  internet Déc 08_Copie de Flash du mois d' avril 2009 corrigé par NAIMI_Reporting Onatel Mai 2009 V 0_Reporting Onatel septembre  2009 préparé_Capex- Mobile 3" xfId="0"/>
    <cellStyle name="_Table_02 Pfd Valuation_commentaires fixe  internet Déc 08_Copie de Flash du mois d' avril 2009 corrigé par NAIMI_Reporting Onatel septembre  2009 préparé" xfId="0"/>
    <cellStyle name="_Table_02 Pfd Valuation_commentaires fixe  internet Déc 08_Copie de Flash du mois d' avril 2009 corrigé par NAIMI_Reporting Onatel septembre  2009 préparé 2" xfId="0"/>
    <cellStyle name="_Table_02 Pfd Valuation_commentaires fixe  internet Déc 08_Copie de Flash du mois d' avril 2009 corrigé par NAIMI_Reporting Onatel septembre  2009 préparé 2 2" xfId="0"/>
    <cellStyle name="_Table_02 Pfd Valuation_commentaires fixe  internet Déc 08_Copie de Flash du mois d' avril 2009 corrigé par NAIMI_Reporting Onatel septembre  2009 préparé 3" xfId="0"/>
    <cellStyle name="_Table_02 Pfd Valuation_commentaires fixe  internet Déc 08_Copie de Flash du mois d' avril 2009 corrigé par NAIMI_Reporting Onatel septembre  2009 préparé_Budget Telmob 2011" xfId="0"/>
    <cellStyle name="_Table_02 Pfd Valuation_commentaires fixe  internet Déc 08_Copie de Flash du mois d' avril 2009 corrigé par NAIMI_Reporting Onatel septembre  2009 préparé_Budget Telmob 2011 2" xfId="0"/>
    <cellStyle name="_Table_02 Pfd Valuation_commentaires fixe  internet Déc 08_Copie de Flash du mois d' avril 2009 corrigé par NAIMI_Reporting Onatel septembre  2009 préparé_Budget Telmob 2011 2 2" xfId="0"/>
    <cellStyle name="_Table_02 Pfd Valuation_commentaires fixe  internet Déc 08_Copie de Flash du mois d' avril 2009 corrigé par NAIMI_Reporting Onatel septembre  2009 préparé_Budget Telmob 2011 3" xfId="0"/>
    <cellStyle name="_Table_02 Pfd Valuation_commentaires fixe  internet Déc 08_Copie de Flash du mois d' avril 2009 corrigé par NAIMI_Reporting Onatel septembre  2009 préparé_Capex- Mobile" xfId="0"/>
    <cellStyle name="_Table_02 Pfd Valuation_commentaires fixe  internet Déc 08_Copie de Flash du mois d' avril 2009 corrigé par NAIMI_Reporting Onatel septembre  2009 préparé_Capex- Mobile 2" xfId="0"/>
    <cellStyle name="_Table_02 Pfd Valuation_commentaires fixe  internet Déc 08_Copie de Flash du mois d' avril 2009 corrigé par NAIMI_Reporting Onatel septembre  2009 préparé_Capex- Mobile 2 2" xfId="0"/>
    <cellStyle name="_Table_02 Pfd Valuation_commentaires fixe  internet Déc 08_Copie de Flash du mois d' avril 2009 corrigé par NAIMI_Reporting Onatel septembre  2009 préparé_Capex- Mobile 3" xfId="0"/>
    <cellStyle name="_Table_02 Pfd Valuation_commentaires fixe  internet Déc 08_Flash du mois d' avril 2009" xfId="0"/>
    <cellStyle name="_Table_02 Pfd Valuation_commentaires fixe  internet Déc 08_Flash du mois d' avril 2009 2" xfId="0"/>
    <cellStyle name="_Table_02 Pfd Valuation_commentaires fixe  internet Déc 08_Flash du mois d' avril 2009 2 2" xfId="0"/>
    <cellStyle name="_Table_02 Pfd Valuation_commentaires fixe  internet Déc 08_Flash du mois d' avril 2009 3" xfId="0"/>
    <cellStyle name="_Table_02 Pfd Valuation_commentaires fixe  internet Déc 08_Flash du mois d' avril 2009_Budget Telmob 2011" xfId="0"/>
    <cellStyle name="_Table_02 Pfd Valuation_commentaires fixe  internet Déc 08_Flash du mois d' avril 2009_Budget Telmob 2011 2" xfId="0"/>
    <cellStyle name="_Table_02 Pfd Valuation_commentaires fixe  internet Déc 08_Flash du mois d' avril 2009_Budget Telmob 2011 2 2" xfId="0"/>
    <cellStyle name="_Table_02 Pfd Valuation_commentaires fixe  internet Déc 08_Flash du mois d' avril 2009_Budget Telmob 2011 3" xfId="0"/>
    <cellStyle name="_Table_02 Pfd Valuation_commentaires fixe  internet Déc 08_Flash du mois d' avril 2009_Capex- Mobile" xfId="0"/>
    <cellStyle name="_Table_02 Pfd Valuation_commentaires fixe  internet Déc 08_Flash du mois d' avril 2009_Capex- Mobile 2" xfId="0"/>
    <cellStyle name="_Table_02 Pfd Valuation_commentaires fixe  internet Déc 08_Flash du mois d' avril 2009_Capex- Mobile 2 2" xfId="0"/>
    <cellStyle name="_Table_02 Pfd Valuation_commentaires fixe  internet Déc 08_Flash du mois d' avril 2009_Capex- Mobile 3" xfId="0"/>
    <cellStyle name="_Table_02 Pfd Valuation_commentaires fixe  internet Déc 08_Flash du mois d' avril 2009_Flash du mois de mai 2009" xfId="0"/>
    <cellStyle name="_Table_02 Pfd Valuation_commentaires fixe  internet Déc 08_Flash du mois d' avril 2009_Flash du mois de mai 2009 2" xfId="0"/>
    <cellStyle name="_Table_02 Pfd Valuation_commentaires fixe  internet Déc 08_Flash du mois d' avril 2009_Flash du mois de mai 2009 2 2" xfId="0"/>
    <cellStyle name="_Table_02 Pfd Valuation_commentaires fixe  internet Déc 08_Flash du mois d' avril 2009_Flash du mois de mai 2009 3" xfId="0"/>
    <cellStyle name="_Table_02 Pfd Valuation_commentaires fixe  internet Déc 08_Flash du mois d' avril 2009_Flash du mois de mai 2009_Budget Telmob 2011" xfId="0"/>
    <cellStyle name="_Table_02 Pfd Valuation_commentaires fixe  internet Déc 08_Flash du mois d' avril 2009_Flash du mois de mai 2009_Budget Telmob 2011 2" xfId="0"/>
    <cellStyle name="_Table_02 Pfd Valuation_commentaires fixe  internet Déc 08_Flash du mois d' avril 2009_Flash du mois de mai 2009_Budget Telmob 2011 2 2" xfId="0"/>
    <cellStyle name="_Table_02 Pfd Valuation_commentaires fixe  internet Déc 08_Flash du mois d' avril 2009_Flash du mois de mai 2009_Budget Telmob 2011 3" xfId="0"/>
    <cellStyle name="_Table_02 Pfd Valuation_commentaires fixe  internet Déc 08_Flash du mois d' avril 2009_Flash du mois de mai 2009_Capex- Mobile" xfId="0"/>
    <cellStyle name="_Table_02 Pfd Valuation_commentaires fixe  internet Déc 08_Flash du mois d' avril 2009_Flash du mois de mai 2009_Capex- Mobile 2" xfId="0"/>
    <cellStyle name="_Table_02 Pfd Valuation_commentaires fixe  internet Déc 08_Flash du mois d' avril 2009_Flash du mois de mai 2009_Capex- Mobile 2 2" xfId="0"/>
    <cellStyle name="_Table_02 Pfd Valuation_commentaires fixe  internet Déc 08_Flash du mois d' avril 2009_Flash du mois de mai 2009_Capex- Mobile 3" xfId="0"/>
    <cellStyle name="_Table_02 Pfd Valuation_commentaires fixe  internet Déc 08_Flash du mois d' avril 2009_Flash du mois de septembre 2009 (2) (version 1)" xfId="0"/>
    <cellStyle name="_Table_02 Pfd Valuation_commentaires fixe  internet Déc 08_Flash du mois d' avril 2009_Flash du mois de septembre 2009 (2) (version 1) 2" xfId="0"/>
    <cellStyle name="_Table_02 Pfd Valuation_commentaires fixe  internet Déc 08_Flash du mois d' avril 2009_Flash du mois de septembre 2009 (2) (version 1) 2 2" xfId="0"/>
    <cellStyle name="_Table_02 Pfd Valuation_commentaires fixe  internet Déc 08_Flash du mois d' avril 2009_Flash du mois de septembre 2009 (2) (version 1) 3" xfId="0"/>
    <cellStyle name="_Table_02 Pfd Valuation_commentaires fixe  internet Déc 08_Flash du mois d' avril 2009_Flash du mois de septembre 2009 (2) (version 1)_Budget Telmob 2011" xfId="0"/>
    <cellStyle name="_Table_02 Pfd Valuation_commentaires fixe  internet Déc 08_Flash du mois d' avril 2009_Flash du mois de septembre 2009 (2) (version 1)_Budget Telmob 2011 2" xfId="0"/>
    <cellStyle name="_Table_02 Pfd Valuation_commentaires fixe  internet Déc 08_Flash du mois d' avril 2009_Flash du mois de septembre 2009 (2) (version 1)_Budget Telmob 2011 2 2" xfId="0"/>
    <cellStyle name="_Table_02 Pfd Valuation_commentaires fixe  internet Déc 08_Flash du mois d' avril 2009_Flash du mois de septembre 2009 (2) (version 1)_Budget Telmob 2011 3" xfId="0"/>
    <cellStyle name="_Table_02 Pfd Valuation_commentaires fixe  internet Déc 08_Flash du mois d' avril 2009_Flash du mois de septembre 2009 (2) (version 1)_Capex- Mobile" xfId="0"/>
    <cellStyle name="_Table_02 Pfd Valuation_commentaires fixe  internet Déc 08_Flash du mois d' avril 2009_Flash du mois de septembre 2009 (2) (version 1)_Capex- Mobile 2" xfId="0"/>
    <cellStyle name="_Table_02 Pfd Valuation_commentaires fixe  internet Déc 08_Flash du mois d' avril 2009_Flash du mois de septembre 2009 (2) (version 1)_Capex- Mobile 2 2" xfId="0"/>
    <cellStyle name="_Table_02 Pfd Valuation_commentaires fixe  internet Déc 08_Flash du mois d' avril 2009_Flash du mois de septembre 2009 (2) (version 1)_Capex- Mobile 3" xfId="0"/>
    <cellStyle name="_Table_02 Pfd Valuation_commentaires fixe  internet Déc 08_Flash du mois d' avril 2009_Reporting Onatel Mai 2009 V 0" xfId="0"/>
    <cellStyle name="_Table_02 Pfd Valuation_commentaires fixe  internet Déc 08_Flash du mois d' avril 2009_Reporting Onatel Mai 2009 V 0 2" xfId="0"/>
    <cellStyle name="_Table_02 Pfd Valuation_commentaires fixe  internet Déc 08_Flash du mois d' avril 2009_Reporting Onatel Mai 2009 V 0 2 2" xfId="0"/>
    <cellStyle name="_Table_02 Pfd Valuation_commentaires fixe  internet Déc 08_Flash du mois d' avril 2009_Reporting Onatel Mai 2009 V 0 3" xfId="0"/>
    <cellStyle name="_Table_02 Pfd Valuation_commentaires fixe  internet Déc 08_Flash du mois d' avril 2009_Reporting Onatel Mai 2009 V 0_Budget Telmob 2011" xfId="0"/>
    <cellStyle name="_Table_02 Pfd Valuation_commentaires fixe  internet Déc 08_Flash du mois d' avril 2009_Reporting Onatel Mai 2009 V 0_Budget Telmob 2011 2" xfId="0"/>
    <cellStyle name="_Table_02 Pfd Valuation_commentaires fixe  internet Déc 08_Flash du mois d' avril 2009_Reporting Onatel Mai 2009 V 0_Budget Telmob 2011 2 2" xfId="0"/>
    <cellStyle name="_Table_02 Pfd Valuation_commentaires fixe  internet Déc 08_Flash du mois d' avril 2009_Reporting Onatel Mai 2009 V 0_Budget Telmob 2011 3" xfId="0"/>
    <cellStyle name="_Table_02 Pfd Valuation_commentaires fixe  internet Déc 08_Flash du mois d' avril 2009_Reporting Onatel Mai 2009 V 0_Capex- Mobile" xfId="0"/>
    <cellStyle name="_Table_02 Pfd Valuation_commentaires fixe  internet Déc 08_Flash du mois d' avril 2009_Reporting Onatel Mai 2009 V 0_Capex- Mobile 2" xfId="0"/>
    <cellStyle name="_Table_02 Pfd Valuation_commentaires fixe  internet Déc 08_Flash du mois d' avril 2009_Reporting Onatel Mai 2009 V 0_Capex- Mobile 2 2" xfId="0"/>
    <cellStyle name="_Table_02 Pfd Valuation_commentaires fixe  internet Déc 08_Flash du mois d' avril 2009_Reporting Onatel Mai 2009 V 0_Capex- Mobile 3" xfId="0"/>
    <cellStyle name="_Table_02 Pfd Valuation_commentaires fixe  internet Déc 08_Flash du mois d' avril 2009_Reporting Onatel septembre  2009 préparé" xfId="0"/>
    <cellStyle name="_Table_02 Pfd Valuation_commentaires fixe  internet Déc 08_Flash du mois d' avril 2009_Reporting Onatel septembre  2009 préparé 2" xfId="0"/>
    <cellStyle name="_Table_02 Pfd Valuation_commentaires fixe  internet Déc 08_Flash du mois d' avril 2009_Reporting Onatel septembre  2009 préparé 2 2" xfId="0"/>
    <cellStyle name="_Table_02 Pfd Valuation_commentaires fixe  internet Déc 08_Flash du mois d' avril 2009_Reporting Onatel septembre  2009 préparé 3" xfId="0"/>
    <cellStyle name="_Table_02 Pfd Valuation_commentaires fixe  internet Déc 08_Flash du mois d' avril 2009_Reporting Onatel septembre  2009 préparé_Budget Telmob 2011" xfId="0"/>
    <cellStyle name="_Table_02 Pfd Valuation_commentaires fixe  internet Déc 08_Flash du mois d' avril 2009_Reporting Onatel septembre  2009 préparé_Budget Telmob 2011 2" xfId="0"/>
    <cellStyle name="_Table_02 Pfd Valuation_commentaires fixe  internet Déc 08_Flash du mois d' avril 2009_Reporting Onatel septembre  2009 préparé_Budget Telmob 2011 2 2" xfId="0"/>
    <cellStyle name="_Table_02 Pfd Valuation_commentaires fixe  internet Déc 08_Flash du mois d' avril 2009_Reporting Onatel septembre  2009 préparé_Budget Telmob 2011 3" xfId="0"/>
    <cellStyle name="_Table_02 Pfd Valuation_commentaires fixe  internet Déc 08_Flash du mois d' avril 2009_Reporting Onatel septembre  2009 préparé_Capex- Mobile" xfId="0"/>
    <cellStyle name="_Table_02 Pfd Valuation_commentaires fixe  internet Déc 08_Flash du mois d' avril 2009_Reporting Onatel septembre  2009 préparé_Capex- Mobile 2" xfId="0"/>
    <cellStyle name="_Table_02 Pfd Valuation_commentaires fixe  internet Déc 08_Flash du mois d' avril 2009_Reporting Onatel septembre  2009 préparé_Capex- Mobile 2 2" xfId="0"/>
    <cellStyle name="_Table_02 Pfd Valuation_commentaires fixe  internet Déc 08_Flash du mois d' avril 2009_Reporting Onatel septembre  2009 préparé_Capex- Mobile 3" xfId="0"/>
    <cellStyle name="_Table_02 Pfd Valuation_commentaires fixe  internet Déc 08_Flash du mois de mai 2009" xfId="0"/>
    <cellStyle name="_Table_02 Pfd Valuation_commentaires fixe  internet Déc 08_Flash du mois de mai 2009 2" xfId="0"/>
    <cellStyle name="_Table_02 Pfd Valuation_commentaires fixe  internet Déc 08_Flash du mois de mai 2009 2 2" xfId="0"/>
    <cellStyle name="_Table_02 Pfd Valuation_commentaires fixe  internet Déc 08_Flash du mois de mai 2009 3" xfId="0"/>
    <cellStyle name="_Table_02 Pfd Valuation_commentaires fixe  internet Déc 08_Flash du mois de mai 2009_Budget Telmob 2011" xfId="0"/>
    <cellStyle name="_Table_02 Pfd Valuation_commentaires fixe  internet Déc 08_Flash du mois de mai 2009_Budget Telmob 2011 2" xfId="0"/>
    <cellStyle name="_Table_02 Pfd Valuation_commentaires fixe  internet Déc 08_Flash du mois de mai 2009_Budget Telmob 2011 2 2" xfId="0"/>
    <cellStyle name="_Table_02 Pfd Valuation_commentaires fixe  internet Déc 08_Flash du mois de mai 2009_Budget Telmob 2011 3" xfId="0"/>
    <cellStyle name="_Table_02 Pfd Valuation_commentaires fixe  internet Déc 08_Flash du mois de mai 2009_Capex- Mobile" xfId="0"/>
    <cellStyle name="_Table_02 Pfd Valuation_commentaires fixe  internet Déc 08_Flash du mois de mai 2009_Capex- Mobile 2" xfId="0"/>
    <cellStyle name="_Table_02 Pfd Valuation_commentaires fixe  internet Déc 08_Flash du mois de mai 2009_Capex- Mobile 2 2" xfId="0"/>
    <cellStyle name="_Table_02 Pfd Valuation_commentaires fixe  internet Déc 08_Flash du mois de mai 2009_Capex- Mobile 3" xfId="0"/>
    <cellStyle name="_Table_02 Pfd Valuation_commentaires fixe  internet Déc 08_Flash du mois de septembre 2009 (2) (version 1)" xfId="0"/>
    <cellStyle name="_Table_02 Pfd Valuation_commentaires fixe  internet Déc 08_Flash du mois de septembre 2009 (2) (version 1) 2" xfId="0"/>
    <cellStyle name="_Table_02 Pfd Valuation_commentaires fixe  internet Déc 08_Flash du mois de septembre 2009 (2) (version 1) 2 2" xfId="0"/>
    <cellStyle name="_Table_02 Pfd Valuation_commentaires fixe  internet Déc 08_Flash du mois de septembre 2009 (2) (version 1) 3" xfId="0"/>
    <cellStyle name="_Table_02 Pfd Valuation_commentaires fixe  internet Déc 08_Flash du mois de septembre 2009 (2) (version 1)_Budget Telmob 2011" xfId="0"/>
    <cellStyle name="_Table_02 Pfd Valuation_commentaires fixe  internet Déc 08_Flash du mois de septembre 2009 (2) (version 1)_Budget Telmob 2011 2" xfId="0"/>
    <cellStyle name="_Table_02 Pfd Valuation_commentaires fixe  internet Déc 08_Flash du mois de septembre 2009 (2) (version 1)_Budget Telmob 2011 2 2" xfId="0"/>
    <cellStyle name="_Table_02 Pfd Valuation_commentaires fixe  internet Déc 08_Flash du mois de septembre 2009 (2) (version 1)_Budget Telmob 2011 3" xfId="0"/>
    <cellStyle name="_Table_02 Pfd Valuation_commentaires fixe  internet Déc 08_Flash du mois de septembre 2009 (2) (version 1)_Capex- Mobile" xfId="0"/>
    <cellStyle name="_Table_02 Pfd Valuation_commentaires fixe  internet Déc 08_Flash du mois de septembre 2009 (2) (version 1)_Capex- Mobile 2" xfId="0"/>
    <cellStyle name="_Table_02 Pfd Valuation_commentaires fixe  internet Déc 08_Flash du mois de septembre 2009 (2) (version 1)_Capex- Mobile 2 2" xfId="0"/>
    <cellStyle name="_Table_02 Pfd Valuation_commentaires fixe  internet Déc 08_Flash du mois de septembre 2009 (2) (version 1)_Capex- Mobile 3" xfId="0"/>
    <cellStyle name="_Table_02 Pfd Valuation_commentaires fixe  internet Déc 08_Reporting Onatel Avril 2009 V0" xfId="0"/>
    <cellStyle name="_Table_02 Pfd Valuation_commentaires fixe  internet Déc 08_Reporting Onatel Avril 2009 V0 2" xfId="0"/>
    <cellStyle name="_Table_02 Pfd Valuation_commentaires fixe  internet Déc 08_Reporting Onatel Avril 2009 V0 2 2" xfId="0"/>
    <cellStyle name="_Table_02 Pfd Valuation_commentaires fixe  internet Déc 08_Reporting Onatel Avril 2009 V0 3" xfId="0"/>
    <cellStyle name="_Table_02 Pfd Valuation_commentaires fixe  internet Déc 08_Reporting Onatel Avril 2009 V0_Budget Telmob 2011" xfId="0"/>
    <cellStyle name="_Table_02 Pfd Valuation_commentaires fixe  internet Déc 08_Reporting Onatel Avril 2009 V0_Budget Telmob 2011 2" xfId="0"/>
    <cellStyle name="_Table_02 Pfd Valuation_commentaires fixe  internet Déc 08_Reporting Onatel Avril 2009 V0_Budget Telmob 2011 2 2" xfId="0"/>
    <cellStyle name="_Table_02 Pfd Valuation_commentaires fixe  internet Déc 08_Reporting Onatel Avril 2009 V0_Budget Telmob 2011 3" xfId="0"/>
    <cellStyle name="_Table_02 Pfd Valuation_commentaires fixe  internet Déc 08_Reporting Onatel Avril 2009 V0_Capex- Mobile" xfId="0"/>
    <cellStyle name="_Table_02 Pfd Valuation_commentaires fixe  internet Déc 08_Reporting Onatel Avril 2009 V0_Capex- Mobile 2" xfId="0"/>
    <cellStyle name="_Table_02 Pfd Valuation_commentaires fixe  internet Déc 08_Reporting Onatel Avril 2009 V0_Capex- Mobile 2 2" xfId="0"/>
    <cellStyle name="_Table_02 Pfd Valuation_commentaires fixe  internet Déc 08_Reporting Onatel Avril 2009 V0_Capex- Mobile 3" xfId="0"/>
    <cellStyle name="_Table_02 Pfd Valuation_commentaires fixe  internet Déc 08_Reporting Onatel Avril 2009 V0_Copie de Flash du mois d' avril 2009 corrigé par NAIMI" xfId="0"/>
    <cellStyle name="_Table_02 Pfd Valuation_commentaires fixe  internet Déc 08_Reporting Onatel Avril 2009 V0_Copie de Flash du mois d' avril 2009 corrigé par NAIMI 2" xfId="0"/>
    <cellStyle name="_Table_02 Pfd Valuation_commentaires fixe  internet Déc 08_Reporting Onatel Avril 2009 V0_Copie de Flash du mois d' avril 2009 corrigé par NAIMI 2 2" xfId="0"/>
    <cellStyle name="_Table_02 Pfd Valuation_commentaires fixe  internet Déc 08_Reporting Onatel Avril 2009 V0_Copie de Flash du mois d' avril 2009 corrigé par NAIMI 3" xfId="0"/>
    <cellStyle name="_Table_02 Pfd Valuation_commentaires fixe  internet Déc 08_Reporting Onatel Avril 2009 V0_Copie de Flash du mois d' avril 2009 corrigé par NAIMI_Budget Telmob 2011" xfId="0"/>
    <cellStyle name="_Table_02 Pfd Valuation_commentaires fixe  internet Déc 08_Reporting Onatel Avril 2009 V0_Copie de Flash du mois d' avril 2009 corrigé par NAIMI_Budget Telmob 2011 2" xfId="0"/>
    <cellStyle name="_Table_02 Pfd Valuation_commentaires fixe  internet Déc 08_Reporting Onatel Avril 2009 V0_Copie de Flash du mois d' avril 2009 corrigé par NAIMI_Budget Telmob 2011 2 2" xfId="0"/>
    <cellStyle name="_Table_02 Pfd Valuation_commentaires fixe  internet Déc 08_Reporting Onatel Avril 2009 V0_Copie de Flash du mois d' avril 2009 corrigé par NAIMI_Budget Telmob 2011 3" xfId="0"/>
    <cellStyle name="_Table_02 Pfd Valuation_commentaires fixe  internet Déc 08_Reporting Onatel Avril 2009 V0_Copie de Flash du mois d' avril 2009 corrigé par NAIMI_Capex- Mobile" xfId="0"/>
    <cellStyle name="_Table_02 Pfd Valuation_commentaires fixe  internet Déc 08_Reporting Onatel Avril 2009 V0_Copie de Flash du mois d' avril 2009 corrigé par NAIMI_Capex- Mobile 2" xfId="0"/>
    <cellStyle name="_Table_02 Pfd Valuation_commentaires fixe  internet Déc 08_Reporting Onatel Avril 2009 V0_Copie de Flash du mois d' avril 2009 corrigé par NAIMI_Capex- Mobile 2 2" xfId="0"/>
    <cellStyle name="_Table_02 Pfd Valuation_commentaires fixe  internet Déc 08_Reporting Onatel Avril 2009 V0_Copie de Flash du mois d' avril 2009 corrigé par NAIMI_Capex- Mobile 3" xfId="0"/>
    <cellStyle name="_Table_02 Pfd Valuation_commentaires fixe  internet Déc 08_Reporting Onatel Avril 2009 V0_Copie de Flash du mois d' avril 2009 corrigé par NAIMI_Flash du mois de mai 2009" xfId="0"/>
    <cellStyle name="_Table_02 Pfd Valuation_commentaires fixe  internet Déc 08_Reporting Onatel Avril 2009 V0_Copie de Flash du mois d' avril 2009 corrigé par NAIMI_Flash du mois de mai 2009 2" xfId="0"/>
    <cellStyle name="_Table_02 Pfd Valuation_commentaires fixe  internet Déc 08_Reporting Onatel Avril 2009 V0_Copie de Flash du mois d' avril 2009 corrigé par NAIMI_Flash du mois de mai 2009 2 2" xfId="0"/>
    <cellStyle name="_Table_02 Pfd Valuation_commentaires fixe  internet Déc 08_Reporting Onatel Avril 2009 V0_Copie de Flash du mois d' avril 2009 corrigé par NAIMI_Flash du mois de mai 2009 3" xfId="0"/>
    <cellStyle name="_Table_02 Pfd Valuation_commentaires fixe  internet Déc 08_Reporting Onatel Avril 2009 V0_Copie de Flash du mois d' avril 2009 corrigé par NAIMI_Flash du mois de mai 2009_Budget Telmob 2011" xfId="0"/>
    <cellStyle name="_Table_02 Pfd Valuation_commentaires fixe  internet Déc 08_Reporting Onatel Avril 2009 V0_Copie de Flash du mois d' avril 2009 corrigé par NAIMI_Flash du mois de mai 2009_Budget Telmob 2011 2" xfId="0"/>
    <cellStyle name="_Table_02 Pfd Valuation_commentaires fixe  internet Déc 08_Reporting Onatel Avril 2009 V0_Copie de Flash du mois d' avril 2009 corrigé par NAIMI_Flash du mois de mai 2009_Budget Telmob 2011 2 2" xfId="0"/>
    <cellStyle name="_Table_02 Pfd Valuation_commentaires fixe  internet Déc 08_Reporting Onatel Avril 2009 V0_Copie de Flash du mois d' avril 2009 corrigé par NAIMI_Flash du mois de mai 2009_Budget Telmob 2011 3" xfId="0"/>
    <cellStyle name="_Table_02 Pfd Valuation_commentaires fixe  internet Déc 08_Reporting Onatel Avril 2009 V0_Copie de Flash du mois d' avril 2009 corrigé par NAIMI_Flash du mois de mai 2009_Capex- Mobile" xfId="0"/>
    <cellStyle name="_Table_02 Pfd Valuation_commentaires fixe  internet Déc 08_Reporting Onatel Avril 2009 V0_Copie de Flash du mois d' avril 2009 corrigé par NAIMI_Flash du mois de mai 2009_Capex- Mobile 2" xfId="0"/>
    <cellStyle name="_Table_02 Pfd Valuation_commentaires fixe  internet Déc 08_Reporting Onatel Avril 2009 V0_Copie de Flash du mois d' avril 2009 corrigé par NAIMI_Flash du mois de mai 2009_Capex- Mobile 2 2" xfId="0"/>
    <cellStyle name="_Table_02 Pfd Valuation_commentaires fixe  internet Déc 08_Reporting Onatel Avril 2009 V0_Copie de Flash du mois d' avril 2009 corrigé par NAIMI_Flash du mois de mai 2009_Capex- Mobile 3" xfId="0"/>
    <cellStyle name="_Table_02 Pfd Valuation_commentaires fixe  internet Déc 08_Reporting Onatel Avril 2009 V0_Copie de Flash du mois d' avril 2009 corrigé par NAIMI_Flash du mois de septembre 2009 (2) (version 1)" xfId="0"/>
    <cellStyle name="_Table_02 Pfd Valuation_commentaires fixe  internet Déc 08_Reporting Onatel Avril 2009 V0_Copie de Flash du mois d' avril 2009 corrigé par NAIMI_Flash du mois de septembre 2009 (2) (version 1) 2" xfId="0"/>
    <cellStyle name="_Table_02 Pfd Valuation_commentaires fixe  internet Déc 08_Reporting Onatel Avril 2009 V0_Copie de Flash du mois d' avril 2009 corrigé par NAIMI_Flash du mois de septembre 2009 (2) (version 1) 2 2" xfId="0"/>
    <cellStyle name="_Table_02 Pfd Valuation_commentaires fixe  internet Déc 08_Reporting Onatel Avril 2009 V0_Copie de Flash du mois d' avril 2009 corrigé par NAIMI_Flash du mois de septembre 2009 (2) (version 1) 3" xfId="0"/>
    <cellStyle name="_Table_02 Pfd Valuation_commentaires fixe  internet Déc 08_Reporting Onatel Avril 2009 V0_Copie de Flash du mois d' avril 2009 corrigé par NAIMI_Flash du mois de septembre 2009 (2) (version 1)_Budget Telmob 2011" xfId="0"/>
    <cellStyle name="_Table_02 Pfd Valuation_commentaires fixe  internet Déc 08_Reporting Onatel Avril 2009 V0_Copie de Flash du mois d' avril 2009 corrigé par NAIMI_Flash du mois de septembre 2009 (2) (version 1)_Budget Telmob 2011 2" xfId="0"/>
    <cellStyle name="_Table_02 Pfd Valuation_commentaires fixe  internet Déc 08_Reporting Onatel Avril 2009 V0_Copie de Flash du mois d' avril 2009 corrigé par NAIMI_Flash du mois de septembre 2009 (2) (version 1)_Budget Telmob 2011 2 2" xfId="0"/>
    <cellStyle name="_Table_02 Pfd Valuation_commentaires fixe  internet Déc 08_Reporting Onatel Avril 2009 V0_Copie de Flash du mois d' avril 2009 corrigé par NAIMI_Flash du mois de septembre 2009 (2) (version 1)_Budget Telmob 2011 3" xfId="0"/>
    <cellStyle name="_Table_02 Pfd Valuation_commentaires fixe  internet Déc 08_Reporting Onatel Avril 2009 V0_Copie de Flash du mois d' avril 2009 corrigé par NAIMI_Flash du mois de septembre 2009 (2) (version 1)_Capex- Mobile" xfId="0"/>
    <cellStyle name="_Table_02 Pfd Valuation_commentaires fixe  internet Déc 08_Reporting Onatel Avril 2009 V0_Copie de Flash du mois d' avril 2009 corrigé par NAIMI_Flash du mois de septembre 2009 (2) (version 1)_Capex- Mobile 2" xfId="0"/>
    <cellStyle name="_Table_02 Pfd Valuation_commentaires fixe  internet Déc 08_Reporting Onatel Avril 2009 V0_Copie de Flash du mois d' avril 2009 corrigé par NAIMI_Flash du mois de septembre 2009 (2) (version 1)_Capex- Mobile 2 2" xfId="0"/>
    <cellStyle name="_Table_02 Pfd Valuation_commentaires fixe  internet Déc 08_Reporting Onatel Avril 2009 V0_Copie de Flash du mois d' avril 2009 corrigé par NAIMI_Flash du mois de septembre 2009 (2) (version 1)_Capex- Mobile 3" xfId="0"/>
    <cellStyle name="_Table_02 Pfd Valuation_commentaires fixe  internet Déc 08_Reporting Onatel Avril 2009 V0_Copie de Flash du mois d' avril 2009 corrigé par NAIMI_Reporting Onatel Mai 2009 V 0" xfId="0"/>
    <cellStyle name="_Table_02 Pfd Valuation_commentaires fixe  internet Déc 08_Reporting Onatel Avril 2009 V0_Copie de Flash du mois d' avril 2009 corrigé par NAIMI_Reporting Onatel Mai 2009 V 0 2" xfId="0"/>
    <cellStyle name="_Table_02 Pfd Valuation_commentaires fixe  internet Déc 08_Reporting Onatel Avril 2009 V0_Copie de Flash du mois d' avril 2009 corrigé par NAIMI_Reporting Onatel Mai 2009 V 0 2 2" xfId="0"/>
    <cellStyle name="_Table_02 Pfd Valuation_commentaires fixe  internet Déc 08_Reporting Onatel Avril 2009 V0_Copie de Flash du mois d' avril 2009 corrigé par NAIMI_Reporting Onatel Mai 2009 V 0 3" xfId="0"/>
    <cellStyle name="_Table_02 Pfd Valuation_commentaires fixe  internet Déc 08_Reporting Onatel Avril 2009 V0_Copie de Flash du mois d' avril 2009 corrigé par NAIMI_Reporting Onatel Mai 2009 V 0_Budget Telmob 2011" xfId="0"/>
    <cellStyle name="_Table_02 Pfd Valuation_commentaires fixe  internet Déc 08_Reporting Onatel Avril 2009 V0_Copie de Flash du mois d' avril 2009 corrigé par NAIMI_Reporting Onatel Mai 2009 V 0_Budget Telmob 2011 2" xfId="0"/>
    <cellStyle name="_Table_02 Pfd Valuation_commentaires fixe  internet Déc 08_Reporting Onatel Avril 2009 V0_Copie de Flash du mois d' avril 2009 corrigé par NAIMI_Reporting Onatel Mai 2009 V 0_Budget Telmob 2011 2 2" xfId="0"/>
    <cellStyle name="_Table_02 Pfd Valuation_commentaires fixe  internet Déc 08_Reporting Onatel Avril 2009 V0_Copie de Flash du mois d' avril 2009 corrigé par NAIMI_Reporting Onatel Mai 2009 V 0_Budget Telmob 2011 3" xfId="0"/>
    <cellStyle name="_Table_02 Pfd Valuation_commentaires fixe  internet Déc 08_Reporting Onatel Avril 2009 V0_Copie de Flash du mois d' avril 2009 corrigé par NAIMI_Reporting Onatel Mai 2009 V 0_Capex- Mobile" xfId="0"/>
    <cellStyle name="_Table_02 Pfd Valuation_commentaires fixe  internet Déc 08_Reporting Onatel Avril 2009 V0_Copie de Flash du mois d' avril 2009 corrigé par NAIMI_Reporting Onatel Mai 2009 V 0_Capex- Mobile 2" xfId="0"/>
    <cellStyle name="_Table_02 Pfd Valuation_commentaires fixe  internet Déc 08_Reporting Onatel Avril 2009 V0_Copie de Flash du mois d' avril 2009 corrigé par NAIMI_Reporting Onatel Mai 2009 V 0_Capex- Mobile 2 2" xfId="0"/>
    <cellStyle name="_Table_02 Pfd Valuation_commentaires fixe  internet Déc 08_Reporting Onatel Avril 2009 V0_Copie de Flash du mois d' avril 2009 corrigé par NAIMI_Reporting Onatel Mai 2009 V 0_Capex- Mobile 3" xfId="0"/>
    <cellStyle name="_Table_02 Pfd Valuation_commentaires fixe  internet Déc 08_Reporting Onatel Avril 2009 V0_Copie de Flash du mois d' avril 2009 corrigé par NAIMI_Reporting Onatel Mai 2009 V 0_Flash du mois de septembre 2009 (2) (version 1)" xfId="0"/>
    <cellStyle name="_Table_02 Pfd Valuation_commentaires fixe  internet Déc 08_Reporting Onatel Avril 2009 V0_Copie de Flash du mois d' avril 2009 corrigé par NAIMI_Reporting Onatel Mai 2009 V 0_Flash du mois de septembre 2009 (2) (version 1) 2" xfId="0"/>
    <cellStyle name="_Table_02 Pfd Valuation_commentaires fixe  internet Déc 08_Reporting Onatel Avril 2009 V0_Copie de Flash du mois d' avril 2009 corrigé par NAIMI_Reporting Onatel Mai 2009 V 0_Flash du mois de septembre 2009 (2) (version 1) 2 2" xfId="0"/>
    <cellStyle name="_Table_02 Pfd Valuation_commentaires fixe  internet Déc 08_Reporting Onatel Avril 2009 V0_Copie de Flash du mois d' avril 2009 corrigé par NAIMI_Reporting Onatel Mai 2009 V 0_Flash du mois de septembre 2009 (2) (version 1) 3" xfId="0"/>
    <cellStyle name="_Table_02 Pfd Valuation_commentaires fixe  internet Déc 08_Reporting Onatel Avril 2009 V0_Copie de Flash du mois d' avril 2009 corrigé par NAIMI_Reporting Onatel Mai 2009 V 0_Flash du mois de septembre 2009 (2) (version 1)_Budget Telmob 2011" xfId="0"/>
    <cellStyle name="_Table_02 Pfd Valuation_commentaires fixe  internet Déc 08_Reporting Onatel Avril 2009 V0_Copie de Flash du mois d' avril 2009 corrigé par NAIMI_Reporting Onatel Mai 2009 V 0_Flash du mois de septembre 2009 (2) (version 1)_Budget Telmob 2011 2" xfId="0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0"/>
    <cellStyle name="_Table_02 Pfd Valuation_commentaires fixe  internet Déc 08_Reporting Onatel Avril 2009 V0_Copie de Flash du mois d' avril 2009 corrigé par NAIMI_Reporting Onatel Mai 2009 V 0_Flash du mois de septembre 2009 (2) (version 1)_Budget Telmob 2011 3" xfId="0"/>
    <cellStyle name="_Table_02 Pfd Valuation_commentaires fixe  internet Déc 08_Reporting Onatel Avril 2009 V0_Copie de Flash du mois d' avril 2009 corrigé par NAIMI_Reporting Onatel Mai 2009 V 0_Flash du mois de septembre 2009 (2) (version 1)_Capex- Mobile" xfId="0"/>
    <cellStyle name="_Table_02 Pfd Valuation_commentaires fixe  internet Déc 08_Reporting Onatel Avril 2009 V0_Copie de Flash du mois d' avril 2009 corrigé par NAIMI_Reporting Onatel Mai 2009 V 0_Flash du mois de septembre 2009 (2) (version 1)_Capex- Mobile 2" xfId="0"/>
    <cellStyle name="_Table_02 Pfd Valuation_commentaires fixe  internet Déc 08_Reporting Onatel Avril 2009 V0_Copie de Flash du mois d' avril 2009 corrigé par NAIMI_Reporting Onatel Mai 2009 V 0_Flash du mois de septembre 2009 (2) (version 1)_Capex- Mobile 2 2" xfId="0"/>
    <cellStyle name="_Table_02 Pfd Valuation_commentaires fixe  internet Déc 08_Reporting Onatel Avril 2009 V0_Copie de Flash du mois d' avril 2009 corrigé par NAIMI_Reporting Onatel Mai 2009 V 0_Flash du mois de septembre 2009 (2) (version 1)_Capex- Mobile 3" xfId="0"/>
    <cellStyle name="_Table_02 Pfd Valuation_commentaires fixe  internet Déc 08_Reporting Onatel Avril 2009 V0_Copie de Flash du mois d' avril 2009 corrigé par NAIMI_Reporting Onatel Mai 2009 V 0_Reporting Onatel septembre  2009 préparé" xfId="0"/>
    <cellStyle name="_Table_02 Pfd Valuation_commentaires fixe  internet Déc 08_Reporting Onatel Avril 2009 V0_Copie de Flash du mois d' avril 2009 corrigé par NAIMI_Reporting Onatel Mai 2009 V 0_Reporting Onatel septembre  2009 préparé 2" xfId="0"/>
    <cellStyle name="_Table_02 Pfd Valuation_commentaires fixe  internet Déc 08_Reporting Onatel Avril 2009 V0_Copie de Flash du mois d' avril 2009 corrigé par NAIMI_Reporting Onatel Mai 2009 V 0_Reporting Onatel septembre  2009 préparé 2 2" xfId="0"/>
    <cellStyle name="_Table_02 Pfd Valuation_commentaires fixe  internet Déc 08_Reporting Onatel Avril 2009 V0_Copie de Flash du mois d' avril 2009 corrigé par NAIMI_Reporting Onatel Mai 2009 V 0_Reporting Onatel septembre  2009 préparé 3" xfId="0"/>
    <cellStyle name="_Table_02 Pfd Valuation_commentaires fixe  internet Déc 08_Reporting Onatel Avril 2009 V0_Copie de Flash du mois d' avril 2009 corrigé par NAIMI_Reporting Onatel Mai 2009 V 0_Reporting Onatel septembre  2009 préparé_Budget Telmob 2011" xfId="0"/>
    <cellStyle name="_Table_02 Pfd Valuation_commentaires fixe  internet Déc 08_Reporting Onatel Avril 2009 V0_Copie de Flash du mois d' avril 2009 corrigé par NAIMI_Reporting Onatel Mai 2009 V 0_Reporting Onatel septembre  2009 préparé_Budget Telmob 2011 2" xfId="0"/>
    <cellStyle name="_Table_02 Pfd Valuation_commentaires fixe  internet Déc 08_Reporting Onatel Avril 2009 V0_Copie de Flash du mois d' avril 2009 corrigé par NAIMI_Reporting Onatel Mai 2009 V 0_Reporting Onatel septembre  2009 préparé_Budget Telmob 2011 2 2" xfId="0"/>
    <cellStyle name="_Table_02 Pfd Valuation_commentaires fixe  internet Déc 08_Reporting Onatel Avril 2009 V0_Copie de Flash du mois d' avril 2009 corrigé par NAIMI_Reporting Onatel Mai 2009 V 0_Reporting Onatel septembre  2009 préparé_Budget Telmob 2011 3" xfId="0"/>
    <cellStyle name="_Table_02 Pfd Valuation_commentaires fixe  internet Déc 08_Reporting Onatel Avril 2009 V0_Copie de Flash du mois d' avril 2009 corrigé par NAIMI_Reporting Onatel Mai 2009 V 0_Reporting Onatel septembre  2009 préparé_Capex- Mobile" xfId="0"/>
    <cellStyle name="_Table_02 Pfd Valuation_commentaires fixe  internet Déc 08_Reporting Onatel Avril 2009 V0_Copie de Flash du mois d' avril 2009 corrigé par NAIMI_Reporting Onatel Mai 2009 V 0_Reporting Onatel septembre  2009 préparé_Capex- Mobile 2" xfId="0"/>
    <cellStyle name="_Table_02 Pfd Valuation_commentaires fixe  internet Déc 08_Reporting Onatel Avril 2009 V0_Copie de Flash du mois d' avril 2009 corrigé par NAIMI_Reporting Onatel Mai 2009 V 0_Reporting Onatel septembre  2009 préparé_Capex- Mobile 2 2" xfId="0"/>
    <cellStyle name="_Table_02 Pfd Valuation_commentaires fixe  internet Déc 08_Reporting Onatel Avril 2009 V0_Copie de Flash du mois d' avril 2009 corrigé par NAIMI_Reporting Onatel Mai 2009 V 0_Reporting Onatel septembre  2009 préparé_Capex- Mobile 3" xfId="0"/>
    <cellStyle name="_Table_02 Pfd Valuation_commentaires fixe  internet Déc 08_Reporting Onatel Avril 2009 V0_Copie de Flash du mois d' avril 2009 corrigé par NAIMI_Reporting Onatel septembre  2009 préparé" xfId="0"/>
    <cellStyle name="_Table_02 Pfd Valuation_commentaires fixe  internet Déc 08_Reporting Onatel Avril 2009 V0_Copie de Flash du mois d' avril 2009 corrigé par NAIMI_Reporting Onatel septembre  2009 préparé 2" xfId="0"/>
    <cellStyle name="_Table_02 Pfd Valuation_commentaires fixe  internet Déc 08_Reporting Onatel Avril 2009 V0_Copie de Flash du mois d' avril 2009 corrigé par NAIMI_Reporting Onatel septembre  2009 préparé 2 2" xfId="0"/>
    <cellStyle name="_Table_02 Pfd Valuation_commentaires fixe  internet Déc 08_Reporting Onatel Avril 2009 V0_Copie de Flash du mois d' avril 2009 corrigé par NAIMI_Reporting Onatel septembre  2009 préparé 3" xfId="0"/>
    <cellStyle name="_Table_02 Pfd Valuation_commentaires fixe  internet Déc 08_Reporting Onatel Avril 2009 V0_Copie de Flash du mois d' avril 2009 corrigé par NAIMI_Reporting Onatel septembre  2009 préparé_Budget Telmob 2011" xfId="0"/>
    <cellStyle name="_Table_02 Pfd Valuation_commentaires fixe  internet Déc 08_Reporting Onatel Avril 2009 V0_Copie de Flash du mois d' avril 2009 corrigé par NAIMI_Reporting Onatel septembre  2009 préparé_Budget Telmob 2011 2" xfId="0"/>
    <cellStyle name="_Table_02 Pfd Valuation_commentaires fixe  internet Déc 08_Reporting Onatel Avril 2009 V0_Copie de Flash du mois d' avril 2009 corrigé par NAIMI_Reporting Onatel septembre  2009 préparé_Budget Telmob 2011 2 2" xfId="0"/>
    <cellStyle name="_Table_02 Pfd Valuation_commentaires fixe  internet Déc 08_Reporting Onatel Avril 2009 V0_Copie de Flash du mois d' avril 2009 corrigé par NAIMI_Reporting Onatel septembre  2009 préparé_Budget Telmob 2011 3" xfId="0"/>
    <cellStyle name="_Table_02 Pfd Valuation_commentaires fixe  internet Déc 08_Reporting Onatel Avril 2009 V0_Copie de Flash du mois d' avril 2009 corrigé par NAIMI_Reporting Onatel septembre  2009 préparé_Capex- Mobile" xfId="0"/>
    <cellStyle name="_Table_02 Pfd Valuation_commentaires fixe  internet Déc 08_Reporting Onatel Avril 2009 V0_Copie de Flash du mois d' avril 2009 corrigé par NAIMI_Reporting Onatel septembre  2009 préparé_Capex- Mobile 2" xfId="0"/>
    <cellStyle name="_Table_02 Pfd Valuation_commentaires fixe  internet Déc 08_Reporting Onatel Avril 2009 V0_Copie de Flash du mois d' avril 2009 corrigé par NAIMI_Reporting Onatel septembre  2009 préparé_Capex- Mobile 2 2" xfId="0"/>
    <cellStyle name="_Table_02 Pfd Valuation_commentaires fixe  internet Déc 08_Reporting Onatel Avril 2009 V0_Copie de Flash du mois d' avril 2009 corrigé par NAIMI_Reporting Onatel septembre  2009 préparé_Capex- Mobile 3" xfId="0"/>
    <cellStyle name="_Table_02 Pfd Valuation_commentaires fixe  internet Déc 08_Reporting Onatel Avril 2009 V0_Flash du mois de mai 2009" xfId="0"/>
    <cellStyle name="_Table_02 Pfd Valuation_commentaires fixe  internet Déc 08_Reporting Onatel Avril 2009 V0_Flash du mois de mai 2009 2" xfId="0"/>
    <cellStyle name="_Table_02 Pfd Valuation_commentaires fixe  internet Déc 08_Reporting Onatel Avril 2009 V0_Flash du mois de mai 2009 2 2" xfId="0"/>
    <cellStyle name="_Table_02 Pfd Valuation_commentaires fixe  internet Déc 08_Reporting Onatel Avril 2009 V0_Flash du mois de mai 2009 3" xfId="0"/>
    <cellStyle name="_Table_02 Pfd Valuation_commentaires fixe  internet Déc 08_Reporting Onatel Avril 2009 V0_Flash du mois de mai 2009_Budget Telmob 2011" xfId="0"/>
    <cellStyle name="_Table_02 Pfd Valuation_commentaires fixe  internet Déc 08_Reporting Onatel Avril 2009 V0_Flash du mois de mai 2009_Budget Telmob 2011 2" xfId="0"/>
    <cellStyle name="_Table_02 Pfd Valuation_commentaires fixe  internet Déc 08_Reporting Onatel Avril 2009 V0_Flash du mois de mai 2009_Budget Telmob 2011 2 2" xfId="0"/>
    <cellStyle name="_Table_02 Pfd Valuation_commentaires fixe  internet Déc 08_Reporting Onatel Avril 2009 V0_Flash du mois de mai 2009_Budget Telmob 2011 3" xfId="0"/>
    <cellStyle name="_Table_02 Pfd Valuation_commentaires fixe  internet Déc 08_Reporting Onatel Avril 2009 V0_Flash du mois de mai 2009_Capex- Mobile" xfId="0"/>
    <cellStyle name="_Table_02 Pfd Valuation_commentaires fixe  internet Déc 08_Reporting Onatel Avril 2009 V0_Flash du mois de mai 2009_Capex- Mobile 2" xfId="0"/>
    <cellStyle name="_Table_02 Pfd Valuation_commentaires fixe  internet Déc 08_Reporting Onatel Avril 2009 V0_Flash du mois de mai 2009_Capex- Mobile 2 2" xfId="0"/>
    <cellStyle name="_Table_02 Pfd Valuation_commentaires fixe  internet Déc 08_Reporting Onatel Avril 2009 V0_Flash du mois de mai 2009_Capex- Mobile 3" xfId="0"/>
    <cellStyle name="_Table_02 Pfd Valuation_commentaires fixe  internet Déc 08_Reporting Onatel Avril 2009 V0_Flash du mois de septembre 2009 (2) (version 1)" xfId="0"/>
    <cellStyle name="_Table_02 Pfd Valuation_commentaires fixe  internet Déc 08_Reporting Onatel Avril 2009 V0_Flash du mois de septembre 2009 (2) (version 1) 2" xfId="0"/>
    <cellStyle name="_Table_02 Pfd Valuation_commentaires fixe  internet Déc 08_Reporting Onatel Avril 2009 V0_Flash du mois de septembre 2009 (2) (version 1) 2 2" xfId="0"/>
    <cellStyle name="_Table_02 Pfd Valuation_commentaires fixe  internet Déc 08_Reporting Onatel Avril 2009 V0_Flash du mois de septembre 2009 (2) (version 1) 3" xfId="0"/>
    <cellStyle name="_Table_02 Pfd Valuation_commentaires fixe  internet Déc 08_Reporting Onatel Avril 2009 V0_Flash du mois de septembre 2009 (2) (version 1)_Budget Telmob 2011" xfId="0"/>
    <cellStyle name="_Table_02 Pfd Valuation_commentaires fixe  internet Déc 08_Reporting Onatel Avril 2009 V0_Flash du mois de septembre 2009 (2) (version 1)_Budget Telmob 2011 2" xfId="0"/>
    <cellStyle name="_Table_02 Pfd Valuation_commentaires fixe  internet Déc 08_Reporting Onatel Avril 2009 V0_Flash du mois de septembre 2009 (2) (version 1)_Budget Telmob 2011 2 2" xfId="0"/>
    <cellStyle name="_Table_02 Pfd Valuation_commentaires fixe  internet Déc 08_Reporting Onatel Avril 2009 V0_Flash du mois de septembre 2009 (2) (version 1)_Budget Telmob 2011 3" xfId="0"/>
    <cellStyle name="_Table_02 Pfd Valuation_commentaires fixe  internet Déc 08_Reporting Onatel Avril 2009 V0_Flash du mois de septembre 2009 (2) (version 1)_Capex- Mobile" xfId="0"/>
    <cellStyle name="_Table_02 Pfd Valuation_commentaires fixe  internet Déc 08_Reporting Onatel Avril 2009 V0_Flash du mois de septembre 2009 (2) (version 1)_Capex- Mobile 2" xfId="0"/>
    <cellStyle name="_Table_02 Pfd Valuation_commentaires fixe  internet Déc 08_Reporting Onatel Avril 2009 V0_Flash du mois de septembre 2009 (2) (version 1)_Capex- Mobile 2 2" xfId="0"/>
    <cellStyle name="_Table_02 Pfd Valuation_commentaires fixe  internet Déc 08_Reporting Onatel Avril 2009 V0_Flash du mois de septembre 2009 (2) (version 1)_Capex- Mobile 3" xfId="0"/>
    <cellStyle name="_Table_02 Pfd Valuation_commentaires fixe  internet Déc 08_Reporting Onatel Avril 2009 V0_Reporting Onatel Mai 2009 V 0" xfId="0"/>
    <cellStyle name="_Table_02 Pfd Valuation_commentaires fixe  internet Déc 08_Reporting Onatel Avril 2009 V0_Reporting Onatel Mai 2009 V 0 2" xfId="0"/>
    <cellStyle name="_Table_02 Pfd Valuation_commentaires fixe  internet Déc 08_Reporting Onatel Avril 2009 V0_Reporting Onatel Mai 2009 V 0 2 2" xfId="0"/>
    <cellStyle name="_Table_02 Pfd Valuation_commentaires fixe  internet Déc 08_Reporting Onatel Avril 2009 V0_Reporting Onatel Mai 2009 V 0 3" xfId="0"/>
    <cellStyle name="_Table_02 Pfd Valuation_commentaires fixe  internet Déc 08_Reporting Onatel Avril 2009 V0_Reporting Onatel Mai 2009 V 0_Budget Telmob 2011" xfId="0"/>
    <cellStyle name="_Table_02 Pfd Valuation_commentaires fixe  internet Déc 08_Reporting Onatel Avril 2009 V0_Reporting Onatel Mai 2009 V 0_Budget Telmob 2011 2" xfId="0"/>
    <cellStyle name="_Table_02 Pfd Valuation_commentaires fixe  internet Déc 08_Reporting Onatel Avril 2009 V0_Reporting Onatel Mai 2009 V 0_Budget Telmob 2011 2 2" xfId="0"/>
    <cellStyle name="_Table_02 Pfd Valuation_commentaires fixe  internet Déc 08_Reporting Onatel Avril 2009 V0_Reporting Onatel Mai 2009 V 0_Budget Telmob 2011 3" xfId="0"/>
    <cellStyle name="_Table_02 Pfd Valuation_commentaires fixe  internet Déc 08_Reporting Onatel Avril 2009 V0_Reporting Onatel Mai 2009 V 0_Capex- Mobile" xfId="0"/>
    <cellStyle name="_Table_02 Pfd Valuation_commentaires fixe  internet Déc 08_Reporting Onatel Avril 2009 V0_Reporting Onatel Mai 2009 V 0_Capex- Mobile 2" xfId="0"/>
    <cellStyle name="_Table_02 Pfd Valuation_commentaires fixe  internet Déc 08_Reporting Onatel Avril 2009 V0_Reporting Onatel Mai 2009 V 0_Capex- Mobile 2 2" xfId="0"/>
    <cellStyle name="_Table_02 Pfd Valuation_commentaires fixe  internet Déc 08_Reporting Onatel Avril 2009 V0_Reporting Onatel Mai 2009 V 0_Capex- Mobile 3" xfId="0"/>
    <cellStyle name="_Table_02 Pfd Valuation_commentaires fixe  internet Déc 08_Reporting Onatel Avril 2009 V0_Reporting Onatel septembre  2009 préparé" xfId="0"/>
    <cellStyle name="_Table_02 Pfd Valuation_commentaires fixe  internet Déc 08_Reporting Onatel Avril 2009 V0_Reporting Onatel septembre  2009 préparé 2" xfId="0"/>
    <cellStyle name="_Table_02 Pfd Valuation_commentaires fixe  internet Déc 08_Reporting Onatel Avril 2009 V0_Reporting Onatel septembre  2009 préparé 2 2" xfId="0"/>
    <cellStyle name="_Table_02 Pfd Valuation_commentaires fixe  internet Déc 08_Reporting Onatel Avril 2009 V0_Reporting Onatel septembre  2009 préparé 3" xfId="0"/>
    <cellStyle name="_Table_02 Pfd Valuation_commentaires fixe  internet Déc 08_Reporting Onatel Avril 2009 V0_Reporting Onatel septembre  2009 préparé_Budget Telmob 2011" xfId="0"/>
    <cellStyle name="_Table_02 Pfd Valuation_commentaires fixe  internet Déc 08_Reporting Onatel Avril 2009 V0_Reporting Onatel septembre  2009 préparé_Budget Telmob 2011 2" xfId="0"/>
    <cellStyle name="_Table_02 Pfd Valuation_commentaires fixe  internet Déc 08_Reporting Onatel Avril 2009 V0_Reporting Onatel septembre  2009 préparé_Budget Telmob 2011 2 2" xfId="0"/>
    <cellStyle name="_Table_02 Pfd Valuation_commentaires fixe  internet Déc 08_Reporting Onatel Avril 2009 V0_Reporting Onatel septembre  2009 préparé_Budget Telmob 2011 3" xfId="0"/>
    <cellStyle name="_Table_02 Pfd Valuation_commentaires fixe  internet Déc 08_Reporting Onatel Avril 2009 V0_Reporting Onatel septembre  2009 préparé_Capex- Mobile" xfId="0"/>
    <cellStyle name="_Table_02 Pfd Valuation_commentaires fixe  internet Déc 08_Reporting Onatel Avril 2009 V0_Reporting Onatel septembre  2009 préparé_Capex- Mobile 2" xfId="0"/>
    <cellStyle name="_Table_02 Pfd Valuation_commentaires fixe  internet Déc 08_Reporting Onatel Avril 2009 V0_Reporting Onatel septembre  2009 préparé_Capex- Mobile 2 2" xfId="0"/>
    <cellStyle name="_Table_02 Pfd Valuation_commentaires fixe  internet Déc 08_Reporting Onatel Avril 2009 V0_Reporting Onatel septembre  2009 préparé_Capex- Mobile 3" xfId="0"/>
    <cellStyle name="_Table_02 Pfd Valuation_commentaires fixe  internet Déc 08_Reporting Onatel Mai 2009 V 0" xfId="0"/>
    <cellStyle name="_Table_02 Pfd Valuation_commentaires fixe  internet Déc 08_Reporting Onatel Mai 2009 V 0 2" xfId="0"/>
    <cellStyle name="_Table_02 Pfd Valuation_commentaires fixe  internet Déc 08_Reporting Onatel Mai 2009 V 0 2 2" xfId="0"/>
    <cellStyle name="_Table_02 Pfd Valuation_commentaires fixe  internet Déc 08_Reporting Onatel Mai 2009 V 0 3" xfId="0"/>
    <cellStyle name="_Table_02 Pfd Valuation_commentaires fixe  internet Déc 08_Reporting Onatel Mai 2009 V 0 A ENVOYE" xfId="0"/>
    <cellStyle name="_Table_02 Pfd Valuation_commentaires fixe  internet Déc 08_Reporting Onatel Mai 2009 V 0 A ENVOYE 2" xfId="0"/>
    <cellStyle name="_Table_02 Pfd Valuation_commentaires fixe  internet Déc 08_Reporting Onatel Mai 2009 V 0 A ENVOYE 2 2" xfId="0"/>
    <cellStyle name="_Table_02 Pfd Valuation_commentaires fixe  internet Déc 08_Reporting Onatel Mai 2009 V 0 A ENVOYE 3" xfId="0"/>
    <cellStyle name="_Table_02 Pfd Valuation_commentaires fixe  internet Déc 08_Reporting Onatel Mai 2009 V 0 A ENVOYE_Budget Telmob 2011" xfId="0"/>
    <cellStyle name="_Table_02 Pfd Valuation_commentaires fixe  internet Déc 08_Reporting Onatel Mai 2009 V 0 A ENVOYE_Budget Telmob 2011 2" xfId="0"/>
    <cellStyle name="_Table_02 Pfd Valuation_commentaires fixe  internet Déc 08_Reporting Onatel Mai 2009 V 0 A ENVOYE_Budget Telmob 2011 2 2" xfId="0"/>
    <cellStyle name="_Table_02 Pfd Valuation_commentaires fixe  internet Déc 08_Reporting Onatel Mai 2009 V 0 A ENVOYE_Budget Telmob 2011 3" xfId="0"/>
    <cellStyle name="_Table_02 Pfd Valuation_commentaires fixe  internet Déc 08_Reporting Onatel Mai 2009 V 0 A ENVOYE_Capex- Mobile" xfId="0"/>
    <cellStyle name="_Table_02 Pfd Valuation_commentaires fixe  internet Déc 08_Reporting Onatel Mai 2009 V 0 A ENVOYE_Capex- Mobile 2" xfId="0"/>
    <cellStyle name="_Table_02 Pfd Valuation_commentaires fixe  internet Déc 08_Reporting Onatel Mai 2009 V 0 A ENVOYE_Capex- Mobile 2 2" xfId="0"/>
    <cellStyle name="_Table_02 Pfd Valuation_commentaires fixe  internet Déc 08_Reporting Onatel Mai 2009 V 0 A ENVOYE_Capex- Mobile 3" xfId="0"/>
    <cellStyle name="_Table_02 Pfd Valuation_commentaires fixe  internet Déc 08_Reporting Onatel Mai 2009 V 0 A ENVOYE_Flash du mois de septembre 2009 (2) (version 1)" xfId="0"/>
    <cellStyle name="_Table_02 Pfd Valuation_commentaires fixe  internet Déc 08_Reporting Onatel Mai 2009 V 0 A ENVOYE_Flash du mois de septembre 2009 (2) (version 1) 2" xfId="0"/>
    <cellStyle name="_Table_02 Pfd Valuation_commentaires fixe  internet Déc 08_Reporting Onatel Mai 2009 V 0 A ENVOYE_Flash du mois de septembre 2009 (2) (version 1) 2 2" xfId="0"/>
    <cellStyle name="_Table_02 Pfd Valuation_commentaires fixe  internet Déc 08_Reporting Onatel Mai 2009 V 0 A ENVOYE_Flash du mois de septembre 2009 (2) (version 1) 3" xfId="0"/>
    <cellStyle name="_Table_02 Pfd Valuation_commentaires fixe  internet Déc 08_Reporting Onatel Mai 2009 V 0 A ENVOYE_Flash du mois de septembre 2009 (2) (version 1)_Budget Telmob 2011" xfId="0"/>
    <cellStyle name="_Table_02 Pfd Valuation_commentaires fixe  internet Déc 08_Reporting Onatel Mai 2009 V 0 A ENVOYE_Flash du mois de septembre 2009 (2) (version 1)_Budget Telmob 2011 2" xfId="0"/>
    <cellStyle name="_Table_02 Pfd Valuation_commentaires fixe  internet Déc 08_Reporting Onatel Mai 2009 V 0 A ENVOYE_Flash du mois de septembre 2009 (2) (version 1)_Budget Telmob 2011 2 2" xfId="0"/>
    <cellStyle name="_Table_02 Pfd Valuation_commentaires fixe  internet Déc 08_Reporting Onatel Mai 2009 V 0 A ENVOYE_Flash du mois de septembre 2009 (2) (version 1)_Budget Telmob 2011 3" xfId="0"/>
    <cellStyle name="_Table_02 Pfd Valuation_commentaires fixe  internet Déc 08_Reporting Onatel Mai 2009 V 0 A ENVOYE_Flash du mois de septembre 2009 (2) (version 1)_Capex- Mobile" xfId="0"/>
    <cellStyle name="_Table_02 Pfd Valuation_commentaires fixe  internet Déc 08_Reporting Onatel Mai 2009 V 0 A ENVOYE_Flash du mois de septembre 2009 (2) (version 1)_Capex- Mobile 2" xfId="0"/>
    <cellStyle name="_Table_02 Pfd Valuation_commentaires fixe  internet Déc 08_Reporting Onatel Mai 2009 V 0 A ENVOYE_Flash du mois de septembre 2009 (2) (version 1)_Capex- Mobile 2 2" xfId="0"/>
    <cellStyle name="_Table_02 Pfd Valuation_commentaires fixe  internet Déc 08_Reporting Onatel Mai 2009 V 0 A ENVOYE_Flash du mois de septembre 2009 (2) (version 1)_Capex- Mobile 3" xfId="0"/>
    <cellStyle name="_Table_02 Pfd Valuation_commentaires fixe  internet Déc 08_Reporting Onatel Mai 2009 V 0 A ENVOYE_Reporting Onatel septembre  2009 préparé" xfId="0"/>
    <cellStyle name="_Table_02 Pfd Valuation_commentaires fixe  internet Déc 08_Reporting Onatel Mai 2009 V 0 A ENVOYE_Reporting Onatel septembre  2009 préparé 2" xfId="0"/>
    <cellStyle name="_Table_02 Pfd Valuation_commentaires fixe  internet Déc 08_Reporting Onatel Mai 2009 V 0 A ENVOYE_Reporting Onatel septembre  2009 préparé 2 2" xfId="0"/>
    <cellStyle name="_Table_02 Pfd Valuation_commentaires fixe  internet Déc 08_Reporting Onatel Mai 2009 V 0 A ENVOYE_Reporting Onatel septembre  2009 préparé 3" xfId="0"/>
    <cellStyle name="_Table_02 Pfd Valuation_commentaires fixe  internet Déc 08_Reporting Onatel Mai 2009 V 0 A ENVOYE_Reporting Onatel septembre  2009 préparé_Budget Telmob 2011" xfId="0"/>
    <cellStyle name="_Table_02 Pfd Valuation_commentaires fixe  internet Déc 08_Reporting Onatel Mai 2009 V 0 A ENVOYE_Reporting Onatel septembre  2009 préparé_Budget Telmob 2011 2" xfId="0"/>
    <cellStyle name="_Table_02 Pfd Valuation_commentaires fixe  internet Déc 08_Reporting Onatel Mai 2009 V 0 A ENVOYE_Reporting Onatel septembre  2009 préparé_Budget Telmob 2011 2 2" xfId="0"/>
    <cellStyle name="_Table_02 Pfd Valuation_commentaires fixe  internet Déc 08_Reporting Onatel Mai 2009 V 0 A ENVOYE_Reporting Onatel septembre  2009 préparé_Budget Telmob 2011 3" xfId="0"/>
    <cellStyle name="_Table_02 Pfd Valuation_commentaires fixe  internet Déc 08_Reporting Onatel Mai 2009 V 0 A ENVOYE_Reporting Onatel septembre  2009 préparé_Capex- Mobile" xfId="0"/>
    <cellStyle name="_Table_02 Pfd Valuation_commentaires fixe  internet Déc 08_Reporting Onatel Mai 2009 V 0 A ENVOYE_Reporting Onatel septembre  2009 préparé_Capex- Mobile 2" xfId="0"/>
    <cellStyle name="_Table_02 Pfd Valuation_commentaires fixe  internet Déc 08_Reporting Onatel Mai 2009 V 0 A ENVOYE_Reporting Onatel septembre  2009 préparé_Capex- Mobile 2 2" xfId="0"/>
    <cellStyle name="_Table_02 Pfd Valuation_commentaires fixe  internet Déc 08_Reporting Onatel Mai 2009 V 0 A ENVOYE_Reporting Onatel septembre  2009 préparé_Capex- Mobile 3" xfId="0"/>
    <cellStyle name="_Table_02 Pfd Valuation_commentaires fixe  internet Déc 08_Reporting Onatel Mai 2009 V 0_Budget Telmob 2011" xfId="0"/>
    <cellStyle name="_Table_02 Pfd Valuation_commentaires fixe  internet Déc 08_Reporting Onatel Mai 2009 V 0_Budget Telmob 2011 2" xfId="0"/>
    <cellStyle name="_Table_02 Pfd Valuation_commentaires fixe  internet Déc 08_Reporting Onatel Mai 2009 V 0_Budget Telmob 2011 2 2" xfId="0"/>
    <cellStyle name="_Table_02 Pfd Valuation_commentaires fixe  internet Déc 08_Reporting Onatel Mai 2009 V 0_Budget Telmob 2011 3" xfId="0"/>
    <cellStyle name="_Table_02 Pfd Valuation_commentaires fixe  internet Déc 08_Reporting Onatel Mai 2009 V 0_Capex- Mobile" xfId="0"/>
    <cellStyle name="_Table_02 Pfd Valuation_commentaires fixe  internet Déc 08_Reporting Onatel Mai 2009 V 0_Capex- Mobile 2" xfId="0"/>
    <cellStyle name="_Table_02 Pfd Valuation_commentaires fixe  internet Déc 08_Reporting Onatel Mai 2009 V 0_Capex- Mobile 2 2" xfId="0"/>
    <cellStyle name="_Table_02 Pfd Valuation_commentaires fixe  internet Déc 08_Reporting Onatel Mai 2009 V 0_Capex- Mobile 3" xfId="0"/>
    <cellStyle name="_Table_02 Pfd Valuation_commentaires fixe  internet Déc 08_Reporting Onatel septembre  2009 préparé" xfId="0"/>
    <cellStyle name="_Table_02 Pfd Valuation_commentaires fixe  internet Déc 08_Reporting Onatel septembre  2009 préparé 2" xfId="0"/>
    <cellStyle name="_Table_02 Pfd Valuation_commentaires fixe  internet Déc 08_Reporting Onatel septembre  2009 préparé 2 2" xfId="0"/>
    <cellStyle name="_Table_02 Pfd Valuation_commentaires fixe  internet Déc 08_Reporting Onatel septembre  2009 préparé 3" xfId="0"/>
    <cellStyle name="_Table_02 Pfd Valuation_commentaires fixe  internet Déc 08_Reporting Onatel septembre  2009 préparé_Budget Telmob 2011" xfId="0"/>
    <cellStyle name="_Table_02 Pfd Valuation_commentaires fixe  internet Déc 08_Reporting Onatel septembre  2009 préparé_Budget Telmob 2011 2" xfId="0"/>
    <cellStyle name="_Table_02 Pfd Valuation_commentaires fixe  internet Déc 08_Reporting Onatel septembre  2009 préparé_Budget Telmob 2011 2 2" xfId="0"/>
    <cellStyle name="_Table_02 Pfd Valuation_commentaires fixe  internet Déc 08_Reporting Onatel septembre  2009 préparé_Budget Telmob 2011 3" xfId="0"/>
    <cellStyle name="_Table_02 Pfd Valuation_commentaires fixe  internet Déc 08_Reporting Onatel septembre  2009 préparé_Capex- Mobile" xfId="0"/>
    <cellStyle name="_Table_02 Pfd Valuation_commentaires fixe  internet Déc 08_Reporting Onatel septembre  2009 préparé_Capex- Mobile 2" xfId="0"/>
    <cellStyle name="_Table_02 Pfd Valuation_commentaires fixe  internet Déc 08_Reporting Onatel septembre  2009 préparé_Capex- Mobile 2 2" xfId="0"/>
    <cellStyle name="_Table_02 Pfd Valuation_commentaires fixe  internet Déc 08_Reporting Onatel septembre  2009 préparé_Capex- Mobile 3" xfId="0"/>
    <cellStyle name="_Table_02 Pfd Valuation_commentaires fixe  internet Déc 08_TBG Onatel Février  2009  Vtbg V3" xfId="0"/>
    <cellStyle name="_Table_02 Pfd Valuation_commentaires fixe  internet Déc 08_TBG Onatel Février  2009  Vtbg V3 2" xfId="0"/>
    <cellStyle name="_Table_02 Pfd Valuation_commentaires fixe  internet Déc 08_TBG Onatel Février  2009  Vtbg V3 2 2" xfId="0"/>
    <cellStyle name="_Table_02 Pfd Valuation_commentaires fixe  internet Déc 08_TBG Onatel Février  2009  Vtbg V3 3" xfId="0"/>
    <cellStyle name="_Table_02 Pfd Valuation_commentaires fixe  internet Déc 08_TBG Onatel Février  2009  Vtbg V3_Budget Telmob 2011" xfId="0"/>
    <cellStyle name="_Table_02 Pfd Valuation_commentaires fixe  internet Déc 08_TBG Onatel Février  2009  Vtbg V3_Budget Telmob 2011 2" xfId="0"/>
    <cellStyle name="_Table_02 Pfd Valuation_commentaires fixe  internet Déc 08_TBG Onatel Février  2009  Vtbg V3_Budget Telmob 2011 2 2" xfId="0"/>
    <cellStyle name="_Table_02 Pfd Valuation_commentaires fixe  internet Déc 08_TBG Onatel Février  2009  Vtbg V3_Budget Telmob 2011 3" xfId="0"/>
    <cellStyle name="_Table_02 Pfd Valuation_commentaires fixe  internet Déc 08_TBG Onatel Février  2009  Vtbg V3_Capex- Mobile" xfId="0"/>
    <cellStyle name="_Table_02 Pfd Valuation_commentaires fixe  internet Déc 08_TBG Onatel Février  2009  Vtbg V3_Capex- Mobile 2" xfId="0"/>
    <cellStyle name="_Table_02 Pfd Valuation_commentaires fixe  internet Déc 08_TBG Onatel Février  2009  Vtbg V3_Capex- Mobile 2 2" xfId="0"/>
    <cellStyle name="_Table_02 Pfd Valuation_commentaires fixe  internet Déc 08_TBG Onatel Février  2009  Vtbg V3_Capex- Mobile 3" xfId="0"/>
    <cellStyle name="_Table_02 Pfd Valuation_commentaires fixe  internet Déc 08_TBG Onatel Février  2009  Vtbg V3_Commentaires TBG mars" xfId="0"/>
    <cellStyle name="_Table_02 Pfd Valuation_commentaires fixe  internet Déc 08_TBG Onatel Février  2009  Vtbg V3_Commentaires TBG mars 2" xfId="0"/>
    <cellStyle name="_Table_02 Pfd Valuation_commentaires fixe  internet Déc 08_TBG Onatel Février  2009  Vtbg V3_Commentaires TBG mars 2 2" xfId="0"/>
    <cellStyle name="_Table_02 Pfd Valuation_commentaires fixe  internet Déc 08_TBG Onatel Février  2009  Vtbg V3_Commentaires TBG mars 3" xfId="0"/>
    <cellStyle name="_Table_02 Pfd Valuation_commentaires fixe  internet Déc 08_TBG Onatel Février  2009  Vtbg V3_Commentaires TBG mars_Budget Telmob 2011" xfId="0"/>
    <cellStyle name="_Table_02 Pfd Valuation_commentaires fixe  internet Déc 08_TBG Onatel Février  2009  Vtbg V3_Commentaires TBG mars_Budget Telmob 2011 2" xfId="0"/>
    <cellStyle name="_Table_02 Pfd Valuation_commentaires fixe  internet Déc 08_TBG Onatel Février  2009  Vtbg V3_Commentaires TBG mars_Budget Telmob 2011 2 2" xfId="0"/>
    <cellStyle name="_Table_02 Pfd Valuation_commentaires fixe  internet Déc 08_TBG Onatel Février  2009  Vtbg V3_Commentaires TBG mars_Budget Telmob 2011 3" xfId="0"/>
    <cellStyle name="_Table_02 Pfd Valuation_commentaires fixe  internet Déc 08_TBG Onatel Février  2009  Vtbg V3_Commentaires TBG mars_Capex- Mobile" xfId="0"/>
    <cellStyle name="_Table_02 Pfd Valuation_commentaires fixe  internet Déc 08_TBG Onatel Février  2009  Vtbg V3_Commentaires TBG mars_Capex- Mobile 2" xfId="0"/>
    <cellStyle name="_Table_02 Pfd Valuation_commentaires fixe  internet Déc 08_TBG Onatel Février  2009  Vtbg V3_Commentaires TBG mars_Capex- Mobile 2 2" xfId="0"/>
    <cellStyle name="_Table_02 Pfd Valuation_commentaires fixe  internet Déc 08_TBG Onatel Février  2009  Vtbg V3_Commentaires TBG mars_Capex- Mobile 3" xfId="0"/>
    <cellStyle name="_Table_02 Pfd Valuation_commentaires fixe  internet Déc 08_TBG Onatel Février  2009  Vtbg V3_Commentaires TBG mars_Copie de Flash du mois d' avril 2009 corrigé par NAIMI" xfId="0"/>
    <cellStyle name="_Table_02 Pfd Valuation_commentaires fixe  internet Déc 08_TBG Onatel Février  2009  Vtbg V3_Commentaires TBG mars_Copie de Flash du mois d' avril 2009 corrigé par NAIMI 2" xfId="0"/>
    <cellStyle name="_Table_02 Pfd Valuation_commentaires fixe  internet Déc 08_TBG Onatel Février  2009  Vtbg V3_Commentaires TBG mars_Copie de Flash du mois d' avril 2009 corrigé par NAIMI 2 2" xfId="0"/>
    <cellStyle name="_Table_02 Pfd Valuation_commentaires fixe  internet Déc 08_TBG Onatel Février  2009  Vtbg V3_Commentaires TBG mars_Copie de Flash du mois d' avril 2009 corrigé par NAIMI 3" xfId="0"/>
    <cellStyle name="_Table_02 Pfd Valuation_commentaires fixe  internet Déc 08_TBG Onatel Février  2009  Vtbg V3_Commentaires TBG mars_Copie de Flash du mois d' avril 2009 corrigé par NAIMI_Budget Telmob 2011" xfId="0"/>
    <cellStyle name="_Table_02 Pfd Valuation_commentaires fixe  internet Déc 08_TBG Onatel Février  2009  Vtbg V3_Commentaires TBG mars_Copie de Flash du mois d' avril 2009 corrigé par NAIMI_Budget Telmob 2011 2" xfId="0"/>
    <cellStyle name="_Table_02 Pfd Valuation_commentaires fixe  internet Déc 08_TBG Onatel Février  2009  Vtbg V3_Commentaires TBG mars_Copie de Flash du mois d' avril 2009 corrigé par NAIMI_Budget Telmob 2011 2 2" xfId="0"/>
    <cellStyle name="_Table_02 Pfd Valuation_commentaires fixe  internet Déc 08_TBG Onatel Février  2009  Vtbg V3_Commentaires TBG mars_Copie de Flash du mois d' avril 2009 corrigé par NAIMI_Budget Telmob 2011 3" xfId="0"/>
    <cellStyle name="_Table_02 Pfd Valuation_commentaires fixe  internet Déc 08_TBG Onatel Février  2009  Vtbg V3_Commentaires TBG mars_Copie de Flash du mois d' avril 2009 corrigé par NAIMI_Capex- Mobile" xfId="0"/>
    <cellStyle name="_Table_02 Pfd Valuation_commentaires fixe  internet Déc 08_TBG Onatel Février  2009  Vtbg V3_Commentaires TBG mars_Copie de Flash du mois d' avril 2009 corrigé par NAIMI_Capex- Mobile 2" xfId="0"/>
    <cellStyle name="_Table_02 Pfd Valuation_commentaires fixe  internet Déc 08_TBG Onatel Février  2009  Vtbg V3_Commentaires TBG mars_Copie de Flash du mois d' avril 2009 corrigé par NAIMI_Capex- Mobile 2 2" xfId="0"/>
    <cellStyle name="_Table_02 Pfd Valuation_commentaires fixe  internet Déc 08_TBG Onatel Février  2009  Vtbg V3_Commentaires TBG mars_Copie de Flash du mois d' avril 2009 corrigé par NAIMI_Capex- Mobile 3" xfId="0"/>
    <cellStyle name="_Table_02 Pfd Valuation_commentaires fixe  internet Déc 08_TBG Onatel Février  2009  Vtbg V3_Commentaires TBG mars_Copie de Flash du mois d' avril 2009 corrigé par NAIMI_Flash du mois de mai 2009" xfId="0"/>
    <cellStyle name="_Table_02 Pfd Valuation_commentaires fixe  internet Déc 08_TBG Onatel Février  2009  Vtbg V3_Commentaires TBG mars_Copie de Flash du mois d' avril 2009 corrigé par NAIMI_Flash du mois de mai 2009 2" xfId="0"/>
    <cellStyle name="_Table_02 Pfd Valuation_commentaires fixe  internet Déc 08_TBG Onatel Février  2009  Vtbg V3_Commentaires TBG mars_Copie de Flash du mois d' avril 2009 corrigé par NAIMI_Flash du mois de mai 2009 2 2" xfId="0"/>
    <cellStyle name="_Table_02 Pfd Valuation_commentaires fixe  internet Déc 08_TBG Onatel Février  2009  Vtbg V3_Commentaires TBG mars_Copie de Flash du mois d' avril 2009 corrigé par NAIMI_Flash du mois de mai 2009 3" xfId="0"/>
    <cellStyle name="_Table_02 Pfd Valuation_commentaires fixe  internet Déc 08_TBG Onatel Février  2009  Vtbg V3_Commentaires TBG mars_Copie de Flash du mois d' avril 2009 corrigé par NAIMI_Flash du mois de mai 2009_Budget Telmob 2011" xfId="0"/>
    <cellStyle name="_Table_02 Pfd Valuation_commentaires fixe  internet Déc 08_TBG Onatel Février  2009  Vtbg V3_Commentaires TBG mars_Copie de Flash du mois d' avril 2009 corrigé par NAIMI_Flash du mois de mai 2009_Budget Telmob 2011 2" xfId="0"/>
    <cellStyle name="_Table_02 Pfd Valuation_commentaires fixe  internet Déc 08_TBG Onatel Février  2009  Vtbg V3_Commentaires TBG mars_Copie de Flash du mois d' avril 2009 corrigé par NAIMI_Flash du mois de mai 2009_Budget Telmob 2011 2 2" xfId="0"/>
    <cellStyle name="_Table_02 Pfd Valuation_commentaires fixe  internet Déc 08_TBG Onatel Février  2009  Vtbg V3_Commentaires TBG mars_Copie de Flash du mois d' avril 2009 corrigé par NAIMI_Flash du mois de mai 2009_Budget Telmob 2011 3" xfId="0"/>
    <cellStyle name="_Table_02 Pfd Valuation_commentaires fixe  internet Déc 08_TBG Onatel Février  2009  Vtbg V3_Commentaires TBG mars_Copie de Flash du mois d' avril 2009 corrigé par NAIMI_Flash du mois de mai 2009_Capex- Mobile" xfId="0"/>
    <cellStyle name="_Table_02 Pfd Valuation_commentaires fixe  internet Déc 08_TBG Onatel Février  2009  Vtbg V3_Commentaires TBG mars_Copie de Flash du mois d' avril 2009 corrigé par NAIMI_Flash du mois de mai 2009_Capex- Mobile 2" xfId="0"/>
    <cellStyle name="_Table_02 Pfd Valuation_commentaires fixe  internet Déc 08_TBG Onatel Février  2009  Vtbg V3_Commentaires TBG mars_Copie de Flash du mois d' avril 2009 corrigé par NAIMI_Flash du mois de mai 2009_Capex- Mobile 2 2" xfId="0"/>
    <cellStyle name="_Table_02 Pfd Valuation_commentaires fixe  internet Déc 08_TBG Onatel Février  2009  Vtbg V3_Commentaires TBG mars_Copie de Flash du mois d' avril 2009 corrigé par NAIMI_Flash du mois de mai 2009_Capex- Mobile 3" xfId="0"/>
    <cellStyle name="_Table_02 Pfd Valuation_commentaires fixe  internet Déc 08_TBG Onatel Février  2009  Vtbg V3_Commentaires TBG mars_Copie de Flash du mois d' avril 2009 corrigé par NAIMI_Flash du mois de septembre 2009 (2) (version 1)" xfId="0"/>
    <cellStyle name="_Table_02 Pfd Valuation_commentaires fixe  internet Déc 08_TBG Onatel Février  2009  Vtbg V3_Commentaires TBG mars_Copie de Flash du mois d' avril 2009 corrigé par NAIMI_Flash du mois de septembre 2009 (2) (version 1) 2" xfId="0"/>
    <cellStyle name="_Table_02 Pfd Valuation_commentaires fixe  internet Déc 08_TBG Onatel Février  2009  Vtbg V3_Commentaires TBG mars_Copie de Flash du mois d' avril 2009 corrigé par NAIMI_Flash du mois de septembre 2009 (2) (version 1) 2 2" xfId="0"/>
    <cellStyle name="_Table_02 Pfd Valuation_commentaires fixe  internet Déc 08_TBG Onatel Février  2009  Vtbg V3_Commentaires TBG mars_Copie de Flash du mois d' avril 2009 corrigé par NAIMI_Flash du mois de septembre 2009 (2) (version 1) 3" xfId="0"/>
    <cellStyle name="_Table_02 Pfd Valuation_commentaires fixe  internet Déc 08_TBG Onatel Février  2009  Vtbg V3_Commentaires TBG mars_Copie de Flash du mois d' avril 2009 corrigé par NAIMI_Flash du mois de septembre 2009 (2) (version 1)_Budget Telmob 2011" xfId="0"/>
    <cellStyle name="_Table_02 Pfd Valuation_commentaires fixe  internet Déc 08_TBG Onatel Février  2009  Vtbg V3_Commentaires TBG mars_Copie de Flash du mois d' avril 2009 corrigé par NAIMI_Flash du mois de septembre 2009 (2) (version 1)_Budget Telmob 2011 2" xfId="0"/>
    <cellStyle name="_Table_02 Pfd Valuation_commentaires fixe  internet Déc 08_TBG Onatel Février  2009  Vtbg V3_Commentaires TBG mars_Copie de Flash du mois d' avril 2009 corrigé par NAIMI_Flash du mois de septembre 2009 (2) (version 1)_Budget Telmob 2011 2 2" xfId="0"/>
    <cellStyle name="_Table_02 Pfd Valuation_commentaires fixe  internet Déc 08_TBG Onatel Février  2009  Vtbg V3_Commentaires TBG mars_Copie de Flash du mois d' avril 2009 corrigé par NAIMI_Flash du mois de septembre 2009 (2) (version 1)_Budget Telmob 2011 3" xfId="0"/>
    <cellStyle name="_Table_02 Pfd Valuation_commentaires fixe  internet Déc 08_TBG Onatel Février  2009  Vtbg V3_Commentaires TBG mars_Copie de Flash du mois d' avril 2009 corrigé par NAIMI_Flash du mois de septembre 2009 (2) (version 1)_Capex- Mobile" xfId="0"/>
    <cellStyle name="_Table_02 Pfd Valuation_commentaires fixe  internet Déc 08_TBG Onatel Février  2009  Vtbg V3_Commentaires TBG mars_Copie de Flash du mois d' avril 2009 corrigé par NAIMI_Flash du mois de septembre 2009 (2) (version 1)_Capex- Mobile 2" xfId="0"/>
    <cellStyle name="_Table_02 Pfd Valuation_commentaires fixe  internet Déc 08_TBG Onatel Février  2009  Vtbg V3_Commentaires TBG mars_Copie de Flash du mois d' avril 2009 corrigé par NAIMI_Flash du mois de septembre 2009 (2) (version 1)_Capex- Mobile 2 2" xfId="0"/>
    <cellStyle name="_Table_02 Pfd Valuation_commentaires fixe  internet Déc 08_TBG Onatel Février  2009  Vtbg V3_Commentaires TBG mars_Copie de Flash du mois d' avril 2009 corrigé par NAIMI_Flash du mois de septembre 2009 (2) (version 1)_Capex- Mobile 3" xfId="0"/>
    <cellStyle name="_Table_02 Pfd Valuation_commentaires fixe  internet Déc 08_TBG Onatel Février  2009  Vtbg V3_Commentaires TBG mars_Copie de Flash du mois d' avril 2009 corrigé par NAIMI_Reporting Onatel Mai 2009 V 0" xfId="0"/>
    <cellStyle name="_Table_02 Pfd Valuation_commentaires fixe  internet Déc 08_TBG Onatel Février  2009  Vtbg V3_Commentaires TBG mars_Copie de Flash du mois d' avril 2009 corrigé par NAIMI_Reporting Onatel Mai 2009 V 0 2" xfId="0"/>
    <cellStyle name="_Table_02 Pfd Valuation_commentaires fixe  internet Déc 08_TBG Onatel Février  2009  Vtbg V3_Commentaires TBG mars_Copie de Flash du mois d' avril 2009 corrigé par NAIMI_Reporting Onatel Mai 2009 V 0 2 2" xfId="0"/>
    <cellStyle name="_Table_02 Pfd Valuation_commentaires fixe  internet Déc 08_TBG Onatel Février  2009  Vtbg V3_Commentaires TBG mars_Copie de Flash du mois d' avril 2009 corrigé par NAIMI_Reporting Onatel Mai 2009 V 0 3" xfId="0"/>
    <cellStyle name="_Table_02 Pfd Valuation_commentaires fixe  internet Déc 08_TBG Onatel Février  2009  Vtbg V3_Commentaires TBG mars_Copie de Flash du mois d' avril 2009 corrigé par NAIMI_Reporting Onatel Mai 2009 V 0_Budget Telmob 2011" xfId="0"/>
    <cellStyle name="_Table_02 Pfd Valuation_commentaires fixe  internet Déc 08_TBG Onatel Février  2009  Vtbg V3_Commentaires TBG mars_Copie de Flash du mois d' avril 2009 corrigé par NAIMI_Reporting Onatel Mai 2009 V 0_Budget Telmob 2011 2" xfId="0"/>
    <cellStyle name="_Table_02 Pfd Valuation_commentaires fixe  internet Déc 08_TBG Onatel Février  2009  Vtbg V3_Commentaires TBG mars_Copie de Flash du mois d' avril 2009 corrigé par NAIMI_Reporting Onatel Mai 2009 V 0_Budget Telmob 2011 2 2" xfId="0"/>
    <cellStyle name="_Table_02 Pfd Valuation_commentaires fixe  internet Déc 08_TBG Onatel Février  2009  Vtbg V3_Commentaires TBG mars_Copie de Flash du mois d' avril 2009 corrigé par NAIMI_Reporting Onatel Mai 2009 V 0_Budget Telmob 2011 3" xfId="0"/>
    <cellStyle name="_Table_02 Pfd Valuation_commentaires fixe  internet Déc 08_TBG Onatel Février  2009  Vtbg V3_Commentaires TBG mars_Copie de Flash du mois d' avril 2009 corrigé par NAIMI_Reporting Onatel Mai 2009 V 0_Capex- Mobile" xfId="0"/>
    <cellStyle name="_Table_02 Pfd Valuation_commentaires fixe  internet Déc 08_TBG Onatel Février  2009  Vtbg V3_Commentaires TBG mars_Copie de Flash du mois d' avril 2009 corrigé par NAIMI_Reporting Onatel Mai 2009 V 0_Capex- Mobile 2" xfId="0"/>
    <cellStyle name="_Table_02 Pfd Valuation_commentaires fixe  internet Déc 08_TBG Onatel Février  2009  Vtbg V3_Commentaires TBG mars_Copie de Flash du mois d' avril 2009 corrigé par NAIMI_Reporting Onatel Mai 2009 V 0_Capex- Mobile 2 2" xfId="0"/>
    <cellStyle name="_Table_02 Pfd Valuation_commentaires fixe  internet Déc 08_TBG Onatel Février  2009  Vtbg V3_Commentaires TBG mars_Copie de Flash du mois d' avril 2009 corrigé par NAIMI_Reporting Onatel Mai 2009 V 0_Capex- Mobile 3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0"/>
    <cellStyle name="_Table_02 Pfd Valuation_commentaires fixe  internet Déc 08_TBG Onatel Février  2009  Vtbg V3_Commentaires TBG mars_Copie de Flash du mois d' avril 2009 corrigé par NAIMI_Reporting Onatel Mai 2009 V 0_Reporting Onatel septembre  2009 préparé" xfId="0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0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0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0"/>
    <cellStyle name="_Table_02 Pfd Valuation_commentaires fixe  internet Déc 08_TBG Onatel Février  2009  Vtbg V3_Commentaires TBG mars_Copie de Flash du mois d' avril 2009 corrigé par NAIMI_Reporting Onatel septembre  2009 préparé" xfId="0"/>
    <cellStyle name="_Table_02 Pfd Valuation_commentaires fixe  internet Déc 08_TBG Onatel Février  2009  Vtbg V3_Commentaires TBG mars_Copie de Flash du mois d' avril 2009 corrigé par NAIMI_Reporting Onatel septembre  2009 préparé 2" xfId="0"/>
    <cellStyle name="_Table_02 Pfd Valuation_commentaires fixe  internet Déc 08_TBG Onatel Février  2009  Vtbg V3_Commentaires TBG mars_Copie de Flash du mois d' avril 2009 corrigé par NAIMI_Reporting Onatel septembre  2009 préparé 2 2" xfId="0"/>
    <cellStyle name="_Table_02 Pfd Valuation_commentaires fixe  internet Déc 08_TBG Onatel Février  2009  Vtbg V3_Commentaires TBG mars_Copie de Flash du mois d' avril 2009 corrigé par NAIMI_Reporting Onatel septembre  2009 préparé 3" xfId="0"/>
    <cellStyle name="_Table_02 Pfd Valuation_commentaires fixe  internet Déc 08_TBG Onatel Février  2009  Vtbg V3_Commentaires TBG mars_Copie de Flash du mois d' avril 2009 corrigé par NAIMI_Reporting Onatel septembre  2009 préparé_Budget Telmob 2011" xfId="0"/>
    <cellStyle name="_Table_02 Pfd Valuation_commentaires fixe  internet Déc 08_TBG Onatel Février  2009  Vtbg V3_Commentaires TBG mars_Copie de Flash du mois d' avril 2009 corrigé par NAIMI_Reporting Onatel septembre  2009 préparé_Budget Telmob 2011 2" xfId="0"/>
    <cellStyle name="_Table_02 Pfd Valuation_commentaires fixe  internet Déc 08_TBG Onatel Février  2009  Vtbg V3_Commentaires TBG mars_Copie de Flash du mois d' avril 2009 corrigé par NAIMI_Reporting Onatel septembre  2009 préparé_Budget Telmob 2011 2 2" xfId="0"/>
    <cellStyle name="_Table_02 Pfd Valuation_commentaires fixe  internet Déc 08_TBG Onatel Février  2009  Vtbg V3_Commentaires TBG mars_Copie de Flash du mois d' avril 2009 corrigé par NAIMI_Reporting Onatel septembre  2009 préparé_Budget Telmob 2011 3" xfId="0"/>
    <cellStyle name="_Table_02 Pfd Valuation_commentaires fixe  internet Déc 08_TBG Onatel Février  2009  Vtbg V3_Commentaires TBG mars_Copie de Flash du mois d' avril 2009 corrigé par NAIMI_Reporting Onatel septembre  2009 préparé_Capex- Mobile" xfId="0"/>
    <cellStyle name="_Table_02 Pfd Valuation_commentaires fixe  internet Déc 08_TBG Onatel Février  2009  Vtbg V3_Commentaires TBG mars_Copie de Flash du mois d' avril 2009 corrigé par NAIMI_Reporting Onatel septembre  2009 préparé_Capex- Mobile 2" xfId="0"/>
    <cellStyle name="_Table_02 Pfd Valuation_commentaires fixe  internet Déc 08_TBG Onatel Février  2009  Vtbg V3_Commentaires TBG mars_Copie de Flash du mois d' avril 2009 corrigé par NAIMI_Reporting Onatel septembre  2009 préparé_Capex- Mobile 2 2" xfId="0"/>
    <cellStyle name="_Table_02 Pfd Valuation_commentaires fixe  internet Déc 08_TBG Onatel Février  2009  Vtbg V3_Commentaires TBG mars_Copie de Flash du mois d' avril 2009 corrigé par NAIMI_Reporting Onatel septembre  2009 préparé_Capex- Mobile 3" xfId="0"/>
    <cellStyle name="_Table_02 Pfd Valuation_commentaires fixe  internet Déc 08_TBG Onatel Février  2009  Vtbg V3_Commentaires TBG mars_Flash du mois d' avril 2009" xfId="0"/>
    <cellStyle name="_Table_02 Pfd Valuation_commentaires fixe  internet Déc 08_TBG Onatel Février  2009  Vtbg V3_Commentaires TBG mars_Flash du mois d' avril 2009 2" xfId="0"/>
    <cellStyle name="_Table_02 Pfd Valuation_commentaires fixe  internet Déc 08_TBG Onatel Février  2009  Vtbg V3_Commentaires TBG mars_Flash du mois d' avril 2009 2 2" xfId="0"/>
    <cellStyle name="_Table_02 Pfd Valuation_commentaires fixe  internet Déc 08_TBG Onatel Février  2009  Vtbg V3_Commentaires TBG mars_Flash du mois d' avril 2009 3" xfId="0"/>
    <cellStyle name="_Table_02 Pfd Valuation_commentaires fixe  internet Déc 08_TBG Onatel Février  2009  Vtbg V3_Commentaires TBG mars_Flash du mois d' avril 2009_Budget Telmob 2011" xfId="0"/>
    <cellStyle name="_Table_02 Pfd Valuation_commentaires fixe  internet Déc 08_TBG Onatel Février  2009  Vtbg V3_Commentaires TBG mars_Flash du mois d' avril 2009_Budget Telmob 2011 2" xfId="0"/>
    <cellStyle name="_Table_02 Pfd Valuation_commentaires fixe  internet Déc 08_TBG Onatel Février  2009  Vtbg V3_Commentaires TBG mars_Flash du mois d' avril 2009_Budget Telmob 2011 2 2" xfId="0"/>
    <cellStyle name="_Table_02 Pfd Valuation_commentaires fixe  internet Déc 08_TBG Onatel Février  2009  Vtbg V3_Commentaires TBG mars_Flash du mois d' avril 2009_Budget Telmob 2011 3" xfId="0"/>
    <cellStyle name="_Table_02 Pfd Valuation_commentaires fixe  internet Déc 08_TBG Onatel Février  2009  Vtbg V3_Commentaires TBG mars_Flash du mois d' avril 2009_Capex- Mobile" xfId="0"/>
    <cellStyle name="_Table_02 Pfd Valuation_commentaires fixe  internet Déc 08_TBG Onatel Février  2009  Vtbg V3_Commentaires TBG mars_Flash du mois d' avril 2009_Capex- Mobile 2" xfId="0"/>
    <cellStyle name="_Table_02 Pfd Valuation_commentaires fixe  internet Déc 08_TBG Onatel Février  2009  Vtbg V3_Commentaires TBG mars_Flash du mois d' avril 2009_Capex- Mobile 2 2" xfId="0"/>
    <cellStyle name="_Table_02 Pfd Valuation_commentaires fixe  internet Déc 08_TBG Onatel Février  2009  Vtbg V3_Commentaires TBG mars_Flash du mois d' avril 2009_Capex- Mobile 3" xfId="0"/>
    <cellStyle name="_Table_02 Pfd Valuation_commentaires fixe  internet Déc 08_TBG Onatel Février  2009  Vtbg V3_Commentaires TBG mars_Flash du mois d' avril 2009_Flash du mois de mai 2009" xfId="0"/>
    <cellStyle name="_Table_02 Pfd Valuation_commentaires fixe  internet Déc 08_TBG Onatel Février  2009  Vtbg V3_Commentaires TBG mars_Flash du mois d' avril 2009_Flash du mois de mai 2009 2" xfId="0"/>
    <cellStyle name="_Table_02 Pfd Valuation_commentaires fixe  internet Déc 08_TBG Onatel Février  2009  Vtbg V3_Commentaires TBG mars_Flash du mois d' avril 2009_Flash du mois de mai 2009 2 2" xfId="0"/>
    <cellStyle name="_Table_02 Pfd Valuation_commentaires fixe  internet Déc 08_TBG Onatel Février  2009  Vtbg V3_Commentaires TBG mars_Flash du mois d' avril 2009_Flash du mois de mai 2009 3" xfId="0"/>
    <cellStyle name="_Table_02 Pfd Valuation_commentaires fixe  internet Déc 08_TBG Onatel Février  2009  Vtbg V3_Commentaires TBG mars_Flash du mois d' avril 2009_Flash du mois de mai 2009_Budget Telmob 2011" xfId="0"/>
    <cellStyle name="_Table_02 Pfd Valuation_commentaires fixe  internet Déc 08_TBG Onatel Février  2009  Vtbg V3_Commentaires TBG mars_Flash du mois d' avril 2009_Flash du mois de mai 2009_Budget Telmob 2011 2" xfId="0"/>
    <cellStyle name="_Table_02 Pfd Valuation_commentaires fixe  internet Déc 08_TBG Onatel Février  2009  Vtbg V3_Commentaires TBG mars_Flash du mois d' avril 2009_Flash du mois de mai 2009_Budget Telmob 2011 2 2" xfId="0"/>
    <cellStyle name="_Table_02 Pfd Valuation_commentaires fixe  internet Déc 08_TBG Onatel Février  2009  Vtbg V3_Commentaires TBG mars_Flash du mois d' avril 2009_Flash du mois de mai 2009_Budget Telmob 2011 3" xfId="0"/>
    <cellStyle name="_Table_02 Pfd Valuation_commentaires fixe  internet Déc 08_TBG Onatel Février  2009  Vtbg V3_Commentaires TBG mars_Flash du mois d' avril 2009_Flash du mois de mai 2009_Capex- Mobile" xfId="0"/>
    <cellStyle name="_Table_02 Pfd Valuation_commentaires fixe  internet Déc 08_TBG Onatel Février  2009  Vtbg V3_Commentaires TBG mars_Flash du mois d' avril 2009_Flash du mois de mai 2009_Capex- Mobile 2" xfId="0"/>
    <cellStyle name="_Table_02 Pfd Valuation_commentaires fixe  internet Déc 08_TBG Onatel Février  2009  Vtbg V3_Commentaires TBG mars_Flash du mois d' avril 2009_Flash du mois de mai 2009_Capex- Mobile 2 2" xfId="0"/>
    <cellStyle name="_Table_02 Pfd Valuation_commentaires fixe  internet Déc 08_TBG Onatel Février  2009  Vtbg V3_Commentaires TBG mars_Flash du mois d' avril 2009_Flash du mois de mai 2009_Capex- Mobile 3" xfId="0"/>
    <cellStyle name="_Table_02 Pfd Valuation_commentaires fixe  internet Déc 08_TBG Onatel Février  2009  Vtbg V3_Commentaires TBG mars_Flash du mois d' avril 2009_Flash du mois de septembre 2009 (2) (version 1)" xfId="0"/>
    <cellStyle name="_Table_02 Pfd Valuation_commentaires fixe  internet Déc 08_TBG Onatel Février  2009  Vtbg V3_Commentaires TBG mars_Flash du mois d' avril 2009_Flash du mois de septembre 2009 (2) (version 1) 2" xfId="0"/>
    <cellStyle name="_Table_02 Pfd Valuation_commentaires fixe  internet Déc 08_TBG Onatel Février  2009  Vtbg V3_Commentaires TBG mars_Flash du mois d' avril 2009_Flash du mois de septembre 2009 (2) (version 1) 2 2" xfId="0"/>
    <cellStyle name="_Table_02 Pfd Valuation_commentaires fixe  internet Déc 08_TBG Onatel Février  2009  Vtbg V3_Commentaires TBG mars_Flash du mois d' avril 2009_Flash du mois de septembre 2009 (2) (version 1) 3" xfId="0"/>
    <cellStyle name="_Table_02 Pfd Valuation_commentaires fixe  internet Déc 08_TBG Onatel Février  2009  Vtbg V3_Commentaires TBG mars_Flash du mois d' avril 2009_Flash du mois de septembre 2009 (2) (version 1)_Budget Telmob 2011" xfId="0"/>
    <cellStyle name="_Table_02 Pfd Valuation_commentaires fixe  internet Déc 08_TBG Onatel Février  2009  Vtbg V3_Commentaires TBG mars_Flash du mois d' avril 2009_Flash du mois de septembre 2009 (2) (version 1)_Budget Telmob 2011 2" xfId="0"/>
    <cellStyle name="_Table_02 Pfd Valuation_commentaires fixe  internet Déc 08_TBG Onatel Février  2009  Vtbg V3_Commentaires TBG mars_Flash du mois d' avril 2009_Flash du mois de septembre 2009 (2) (version 1)_Budget Telmob 2011 2 2" xfId="0"/>
    <cellStyle name="_Table_02 Pfd Valuation_commentaires fixe  internet Déc 08_TBG Onatel Février  2009  Vtbg V3_Commentaires TBG mars_Flash du mois d' avril 2009_Flash du mois de septembre 2009 (2) (version 1)_Budget Telmob 2011 3" xfId="0"/>
    <cellStyle name="_Table_02 Pfd Valuation_commentaires fixe  internet Déc 08_TBG Onatel Février  2009  Vtbg V3_Commentaires TBG mars_Flash du mois d' avril 2009_Flash du mois de septembre 2009 (2) (version 1)_Capex- Mobile" xfId="0"/>
    <cellStyle name="_Table_02 Pfd Valuation_commentaires fixe  internet Déc 08_TBG Onatel Février  2009  Vtbg V3_Commentaires TBG mars_Flash du mois d' avril 2009_Flash du mois de septembre 2009 (2) (version 1)_Capex- Mobile 2" xfId="0"/>
    <cellStyle name="_Table_02 Pfd Valuation_commentaires fixe  internet Déc 08_TBG Onatel Février  2009  Vtbg V3_Commentaires TBG mars_Flash du mois d' avril 2009_Flash du mois de septembre 2009 (2) (version 1)_Capex- Mobile 2 2" xfId="0"/>
    <cellStyle name="_Table_02 Pfd Valuation_commentaires fixe  internet Déc 08_TBG Onatel Février  2009  Vtbg V3_Commentaires TBG mars_Flash du mois d' avril 2009_Flash du mois de septembre 2009 (2) (version 1)_Capex- Mobile 3" xfId="0"/>
    <cellStyle name="_Table_02 Pfd Valuation_commentaires fixe  internet Déc 08_TBG Onatel Février  2009  Vtbg V3_Commentaires TBG mars_Flash du mois d' avril 2009_Reporting Onatel Mai 2009 V 0" xfId="0"/>
    <cellStyle name="_Table_02 Pfd Valuation_commentaires fixe  internet Déc 08_TBG Onatel Février  2009  Vtbg V3_Commentaires TBG mars_Flash du mois d' avril 2009_Reporting Onatel Mai 2009 V 0 2" xfId="0"/>
    <cellStyle name="_Table_02 Pfd Valuation_commentaires fixe  internet Déc 08_TBG Onatel Février  2009  Vtbg V3_Commentaires TBG mars_Flash du mois d' avril 2009_Reporting Onatel Mai 2009 V 0 2 2" xfId="0"/>
    <cellStyle name="_Table_02 Pfd Valuation_commentaires fixe  internet Déc 08_TBG Onatel Février  2009  Vtbg V3_Commentaires TBG mars_Flash du mois d' avril 2009_Reporting Onatel Mai 2009 V 0 3" xfId="0"/>
    <cellStyle name="_Table_02 Pfd Valuation_commentaires fixe  internet Déc 08_TBG Onatel Février  2009  Vtbg V3_Commentaires TBG mars_Flash du mois d' avril 2009_Reporting Onatel Mai 2009 V 0_Budget Telmob 2011" xfId="0"/>
    <cellStyle name="_Table_02 Pfd Valuation_commentaires fixe  internet Déc 08_TBG Onatel Février  2009  Vtbg V3_Commentaires TBG mars_Flash du mois d' avril 2009_Reporting Onatel Mai 2009 V 0_Budget Telmob 2011 2" xfId="0"/>
    <cellStyle name="_Table_02 Pfd Valuation_commentaires fixe  internet Déc 08_TBG Onatel Février  2009  Vtbg V3_Commentaires TBG mars_Flash du mois d' avril 2009_Reporting Onatel Mai 2009 V 0_Budget Telmob 2011 2 2" xfId="0"/>
    <cellStyle name="_Table_02 Pfd Valuation_commentaires fixe  internet Déc 08_TBG Onatel Février  2009  Vtbg V3_Commentaires TBG mars_Flash du mois d' avril 2009_Reporting Onatel Mai 2009 V 0_Budget Telmob 2011 3" xfId="0"/>
    <cellStyle name="_Table_02 Pfd Valuation_commentaires fixe  internet Déc 08_TBG Onatel Février  2009  Vtbg V3_Commentaires TBG mars_Flash du mois d' avril 2009_Reporting Onatel Mai 2009 V 0_Capex- Mobile" xfId="0"/>
    <cellStyle name="_Table_02 Pfd Valuation_commentaires fixe  internet Déc 08_TBG Onatel Février  2009  Vtbg V3_Commentaires TBG mars_Flash du mois d' avril 2009_Reporting Onatel Mai 2009 V 0_Capex- Mobile 2" xfId="0"/>
    <cellStyle name="_Table_02 Pfd Valuation_commentaires fixe  internet Déc 08_TBG Onatel Février  2009  Vtbg V3_Commentaires TBG mars_Flash du mois d' avril 2009_Reporting Onatel Mai 2009 V 0_Capex- Mobile 2 2" xfId="0"/>
    <cellStyle name="_Table_02 Pfd Valuation_commentaires fixe  internet Déc 08_TBG Onatel Février  2009  Vtbg V3_Commentaires TBG mars_Flash du mois d' avril 2009_Reporting Onatel Mai 2009 V 0_Capex- Mobile 3" xfId="0"/>
    <cellStyle name="_Table_02 Pfd Valuation_commentaires fixe  internet Déc 08_TBG Onatel Février  2009  Vtbg V3_Commentaires TBG mars_Flash du mois d' avril 2009_Reporting Onatel septembre  2009 préparé" xfId="0"/>
    <cellStyle name="_Table_02 Pfd Valuation_commentaires fixe  internet Déc 08_TBG Onatel Février  2009  Vtbg V3_Commentaires TBG mars_Flash du mois d' avril 2009_Reporting Onatel septembre  2009 préparé 2" xfId="0"/>
    <cellStyle name="_Table_02 Pfd Valuation_commentaires fixe  internet Déc 08_TBG Onatel Février  2009  Vtbg V3_Commentaires TBG mars_Flash du mois d' avril 2009_Reporting Onatel septembre  2009 préparé 2 2" xfId="0"/>
    <cellStyle name="_Table_02 Pfd Valuation_commentaires fixe  internet Déc 08_TBG Onatel Février  2009  Vtbg V3_Commentaires TBG mars_Flash du mois d' avril 2009_Reporting Onatel septembre  2009 préparé 3" xfId="0"/>
    <cellStyle name="_Table_02 Pfd Valuation_commentaires fixe  internet Déc 08_TBG Onatel Février  2009  Vtbg V3_Commentaires TBG mars_Flash du mois d' avril 2009_Reporting Onatel septembre  2009 préparé_Budget Telmob 2011" xfId="0"/>
    <cellStyle name="_Table_02 Pfd Valuation_commentaires fixe  internet Déc 08_TBG Onatel Février  2009  Vtbg V3_Commentaires TBG mars_Flash du mois d' avril 2009_Reporting Onatel septembre  2009 préparé_Budget Telmob 2011 2" xfId="0"/>
    <cellStyle name="_Table_02 Pfd Valuation_commentaires fixe  internet Déc 08_TBG Onatel Février  2009  Vtbg V3_Commentaires TBG mars_Flash du mois d' avril 2009_Reporting Onatel septembre  2009 préparé_Budget Telmob 2011 2 2" xfId="0"/>
    <cellStyle name="_Table_02 Pfd Valuation_commentaires fixe  internet Déc 08_TBG Onatel Février  2009  Vtbg V3_Commentaires TBG mars_Flash du mois d' avril 2009_Reporting Onatel septembre  2009 préparé_Budget Telmob 2011 3" xfId="0"/>
    <cellStyle name="_Table_02 Pfd Valuation_commentaires fixe  internet Déc 08_TBG Onatel Février  2009  Vtbg V3_Commentaires TBG mars_Flash du mois d' avril 2009_Reporting Onatel septembre  2009 préparé_Capex- Mobile" xfId="0"/>
    <cellStyle name="_Table_02 Pfd Valuation_commentaires fixe  internet Déc 08_TBG Onatel Février  2009  Vtbg V3_Commentaires TBG mars_Flash du mois d' avril 2009_Reporting Onatel septembre  2009 préparé_Capex- Mobile 2" xfId="0"/>
    <cellStyle name="_Table_02 Pfd Valuation_commentaires fixe  internet Déc 08_TBG Onatel Février  2009  Vtbg V3_Commentaires TBG mars_Flash du mois d' avril 2009_Reporting Onatel septembre  2009 préparé_Capex- Mobile 2 2" xfId="0"/>
    <cellStyle name="_Table_02 Pfd Valuation_commentaires fixe  internet Déc 08_TBG Onatel Février  2009  Vtbg V3_Commentaires TBG mars_Flash du mois d' avril 2009_Reporting Onatel septembre  2009 préparé_Capex- Mobile 3" xfId="0"/>
    <cellStyle name="_Table_02 Pfd Valuation_commentaires fixe  internet Déc 08_TBG Onatel Février  2009  Vtbg V3_Commentaires TBG mars_Flash du mois de mai 2009" xfId="0"/>
    <cellStyle name="_Table_02 Pfd Valuation_commentaires fixe  internet Déc 08_TBG Onatel Février  2009  Vtbg V3_Commentaires TBG mars_Flash du mois de mai 2009 2" xfId="0"/>
    <cellStyle name="_Table_02 Pfd Valuation_commentaires fixe  internet Déc 08_TBG Onatel Février  2009  Vtbg V3_Commentaires TBG mars_Flash du mois de mai 2009 2 2" xfId="0"/>
    <cellStyle name="_Table_02 Pfd Valuation_commentaires fixe  internet Déc 08_TBG Onatel Février  2009  Vtbg V3_Commentaires TBG mars_Flash du mois de mai 2009 3" xfId="0"/>
    <cellStyle name="_Table_02 Pfd Valuation_commentaires fixe  internet Déc 08_TBG Onatel Février  2009  Vtbg V3_Commentaires TBG mars_Flash du mois de mai 2009_Budget Telmob 2011" xfId="0"/>
    <cellStyle name="_Table_02 Pfd Valuation_commentaires fixe  internet Déc 08_TBG Onatel Février  2009  Vtbg V3_Commentaires TBG mars_Flash du mois de mai 2009_Budget Telmob 2011 2" xfId="0"/>
    <cellStyle name="_Table_02 Pfd Valuation_commentaires fixe  internet Déc 08_TBG Onatel Février  2009  Vtbg V3_Commentaires TBG mars_Flash du mois de mai 2009_Budget Telmob 2011 2 2" xfId="0"/>
    <cellStyle name="_Table_02 Pfd Valuation_commentaires fixe  internet Déc 08_TBG Onatel Février  2009  Vtbg V3_Commentaires TBG mars_Flash du mois de mai 2009_Budget Telmob 2011 3" xfId="0"/>
    <cellStyle name="_Table_02 Pfd Valuation_commentaires fixe  internet Déc 08_TBG Onatel Février  2009  Vtbg V3_Commentaires TBG mars_Flash du mois de mai 2009_Capex- Mobile" xfId="0"/>
    <cellStyle name="_Table_02 Pfd Valuation_commentaires fixe  internet Déc 08_TBG Onatel Février  2009  Vtbg V3_Commentaires TBG mars_Flash du mois de mai 2009_Capex- Mobile 2" xfId="0"/>
    <cellStyle name="_Table_02 Pfd Valuation_commentaires fixe  internet Déc 08_TBG Onatel Février  2009  Vtbg V3_Commentaires TBG mars_Flash du mois de mai 2009_Capex- Mobile 2 2" xfId="0"/>
    <cellStyle name="_Table_02 Pfd Valuation_commentaires fixe  internet Déc 08_TBG Onatel Février  2009  Vtbg V3_Commentaires TBG mars_Flash du mois de mai 2009_Capex- Mobile 3" xfId="0"/>
    <cellStyle name="_Table_02 Pfd Valuation_commentaires fixe  internet Déc 08_TBG Onatel Février  2009  Vtbg V3_Commentaires TBG mars_Flash du mois de septembre 2009 (2) (version 1)" xfId="0"/>
    <cellStyle name="_Table_02 Pfd Valuation_commentaires fixe  internet Déc 08_TBG Onatel Février  2009  Vtbg V3_Commentaires TBG mars_Flash du mois de septembre 2009 (2) (version 1) 2" xfId="0"/>
    <cellStyle name="_Table_02 Pfd Valuation_commentaires fixe  internet Déc 08_TBG Onatel Février  2009  Vtbg V3_Commentaires TBG mars_Flash du mois de septembre 2009 (2) (version 1) 2 2" xfId="0"/>
    <cellStyle name="_Table_02 Pfd Valuation_commentaires fixe  internet Déc 08_TBG Onatel Février  2009  Vtbg V3_Commentaires TBG mars_Flash du mois de septembre 2009 (2) (version 1) 3" xfId="0"/>
    <cellStyle name="_Table_02 Pfd Valuation_commentaires fixe  internet Déc 08_TBG Onatel Février  2009  Vtbg V3_Commentaires TBG mars_Flash du mois de septembre 2009 (2) (version 1)_Budget Telmob 2011" xfId="0"/>
    <cellStyle name="_Table_02 Pfd Valuation_commentaires fixe  internet Déc 08_TBG Onatel Février  2009  Vtbg V3_Commentaires TBG mars_Flash du mois de septembre 2009 (2) (version 1)_Budget Telmob 2011 2" xfId="0"/>
    <cellStyle name="_Table_02 Pfd Valuation_commentaires fixe  internet Déc 08_TBG Onatel Février  2009  Vtbg V3_Commentaires TBG mars_Flash du mois de septembre 2009 (2) (version 1)_Budget Telmob 2011 2 2" xfId="0"/>
    <cellStyle name="_Table_02 Pfd Valuation_commentaires fixe  internet Déc 08_TBG Onatel Février  2009  Vtbg V3_Commentaires TBG mars_Flash du mois de septembre 2009 (2) (version 1)_Budget Telmob 2011 3" xfId="0"/>
    <cellStyle name="_Table_02 Pfd Valuation_commentaires fixe  internet Déc 08_TBG Onatel Février  2009  Vtbg V3_Commentaires TBG mars_Flash du mois de septembre 2009 (2) (version 1)_Capex- Mobile" xfId="0"/>
    <cellStyle name="_Table_02 Pfd Valuation_commentaires fixe  internet Déc 08_TBG Onatel Février  2009  Vtbg V3_Commentaires TBG mars_Flash du mois de septembre 2009 (2) (version 1)_Capex- Mobile 2" xfId="0"/>
    <cellStyle name="_Table_02 Pfd Valuation_commentaires fixe  internet Déc 08_TBG Onatel Février  2009  Vtbg V3_Commentaires TBG mars_Flash du mois de septembre 2009 (2) (version 1)_Capex- Mobile 2 2" xfId="0"/>
    <cellStyle name="_Table_02 Pfd Valuation_commentaires fixe  internet Déc 08_TBG Onatel Février  2009  Vtbg V3_Commentaires TBG mars_Flash du mois de septembre 2009 (2) (version 1)_Capex- Mobile 3" xfId="0"/>
    <cellStyle name="_Table_02 Pfd Valuation_commentaires fixe  internet Déc 08_TBG Onatel Février  2009  Vtbg V3_Commentaires TBG mars_Reporting Onatel Mai 2009 V 0" xfId="0"/>
    <cellStyle name="_Table_02 Pfd Valuation_commentaires fixe  internet Déc 08_TBG Onatel Février  2009  Vtbg V3_Commentaires TBG mars_Reporting Onatel Mai 2009 V 0 2" xfId="0"/>
    <cellStyle name="_Table_02 Pfd Valuation_commentaires fixe  internet Déc 08_TBG Onatel Février  2009  Vtbg V3_Commentaires TBG mars_Reporting Onatel Mai 2009 V 0 2 2" xfId="0"/>
    <cellStyle name="_Table_02 Pfd Valuation_commentaires fixe  internet Déc 08_TBG Onatel Février  2009  Vtbg V3_Commentaires TBG mars_Reporting Onatel Mai 2009 V 0 3" xfId="0"/>
    <cellStyle name="_Table_02 Pfd Valuation_commentaires fixe  internet Déc 08_TBG Onatel Février  2009  Vtbg V3_Commentaires TBG mars_Reporting Onatel Mai 2009 V 0_Budget Telmob 2011" xfId="0"/>
    <cellStyle name="_Table_02 Pfd Valuation_commentaires fixe  internet Déc 08_TBG Onatel Février  2009  Vtbg V3_Commentaires TBG mars_Reporting Onatel Mai 2009 V 0_Budget Telmob 2011 2" xfId="0"/>
    <cellStyle name="_Table_02 Pfd Valuation_commentaires fixe  internet Déc 08_TBG Onatel Février  2009  Vtbg V3_Commentaires TBG mars_Reporting Onatel Mai 2009 V 0_Budget Telmob 2011 2 2" xfId="0"/>
    <cellStyle name="_Table_02 Pfd Valuation_commentaires fixe  internet Déc 08_TBG Onatel Février  2009  Vtbg V3_Commentaires TBG mars_Reporting Onatel Mai 2009 V 0_Budget Telmob 2011 3" xfId="0"/>
    <cellStyle name="_Table_02 Pfd Valuation_commentaires fixe  internet Déc 08_TBG Onatel Février  2009  Vtbg V3_Commentaires TBG mars_Reporting Onatel Mai 2009 V 0_Capex- Mobile" xfId="0"/>
    <cellStyle name="_Table_02 Pfd Valuation_commentaires fixe  internet Déc 08_TBG Onatel Février  2009  Vtbg V3_Commentaires TBG mars_Reporting Onatel Mai 2009 V 0_Capex- Mobile 2" xfId="0"/>
    <cellStyle name="_Table_02 Pfd Valuation_commentaires fixe  internet Déc 08_TBG Onatel Février  2009  Vtbg V3_Commentaires TBG mars_Reporting Onatel Mai 2009 V 0_Capex- Mobile 2 2" xfId="0"/>
    <cellStyle name="_Table_02 Pfd Valuation_commentaires fixe  internet Déc 08_TBG Onatel Février  2009  Vtbg V3_Commentaires TBG mars_Reporting Onatel Mai 2009 V 0_Capex- Mobile 3" xfId="0"/>
    <cellStyle name="_Table_02 Pfd Valuation_commentaires fixe  internet Déc 08_TBG Onatel Février  2009  Vtbg V3_Commentaires TBG mars_Reporting Onatel septembre  2009 préparé" xfId="0"/>
    <cellStyle name="_Table_02 Pfd Valuation_commentaires fixe  internet Déc 08_TBG Onatel Février  2009  Vtbg V3_Commentaires TBG mars_Reporting Onatel septembre  2009 préparé 2" xfId="0"/>
    <cellStyle name="_Table_02 Pfd Valuation_commentaires fixe  internet Déc 08_TBG Onatel Février  2009  Vtbg V3_Commentaires TBG mars_Reporting Onatel septembre  2009 préparé 2 2" xfId="0"/>
    <cellStyle name="_Table_02 Pfd Valuation_commentaires fixe  internet Déc 08_TBG Onatel Février  2009  Vtbg V3_Commentaires TBG mars_Reporting Onatel septembre  2009 préparé 3" xfId="0"/>
    <cellStyle name="_Table_02 Pfd Valuation_commentaires fixe  internet Déc 08_TBG Onatel Février  2009  Vtbg V3_Commentaires TBG mars_Reporting Onatel septembre  2009 préparé_Budget Telmob 2011" xfId="0"/>
    <cellStyle name="_Table_02 Pfd Valuation_commentaires fixe  internet Déc 08_TBG Onatel Février  2009  Vtbg V3_Commentaires TBG mars_Reporting Onatel septembre  2009 préparé_Budget Telmob 2011 2" xfId="0"/>
    <cellStyle name="_Table_02 Pfd Valuation_commentaires fixe  internet Déc 08_TBG Onatel Février  2009  Vtbg V3_Commentaires TBG mars_Reporting Onatel septembre  2009 préparé_Budget Telmob 2011 2 2" xfId="0"/>
    <cellStyle name="_Table_02 Pfd Valuation_commentaires fixe  internet Déc 08_TBG Onatel Février  2009  Vtbg V3_Commentaires TBG mars_Reporting Onatel septembre  2009 préparé_Budget Telmob 2011 3" xfId="0"/>
    <cellStyle name="_Table_02 Pfd Valuation_commentaires fixe  internet Déc 08_TBG Onatel Février  2009  Vtbg V3_Commentaires TBG mars_Reporting Onatel septembre  2009 préparé_Capex- Mobile" xfId="0"/>
    <cellStyle name="_Table_02 Pfd Valuation_commentaires fixe  internet Déc 08_TBG Onatel Février  2009  Vtbg V3_Commentaires TBG mars_Reporting Onatel septembre  2009 préparé_Capex- Mobile 2" xfId="0"/>
    <cellStyle name="_Table_02 Pfd Valuation_commentaires fixe  internet Déc 08_TBG Onatel Février  2009  Vtbg V3_Commentaires TBG mars_Reporting Onatel septembre  2009 préparé_Capex- Mobile 2 2" xfId="0"/>
    <cellStyle name="_Table_02 Pfd Valuation_commentaires fixe  internet Déc 08_TBG Onatel Février  2009  Vtbg V3_Commentaires TBG mars_Reporting Onatel septembre  2009 préparé_Capex- Mobile 3" xfId="0"/>
    <cellStyle name="_Table_02 Pfd Valuation_commentaires fixe  internet Déc 08_TBG Onatel Février  2009  Vtbg V3_Copie de Flash du mois d' avril 2009 corrigé par NAIMI" xfId="0"/>
    <cellStyle name="_Table_02 Pfd Valuation_commentaires fixe  internet Déc 08_TBG Onatel Février  2009  Vtbg V3_Copie de Flash du mois d' avril 2009 corrigé par NAIMI 2" xfId="0"/>
    <cellStyle name="_Table_02 Pfd Valuation_commentaires fixe  internet Déc 08_TBG Onatel Février  2009  Vtbg V3_Copie de Flash du mois d' avril 2009 corrigé par NAIMI 2 2" xfId="0"/>
    <cellStyle name="_Table_02 Pfd Valuation_commentaires fixe  internet Déc 08_TBG Onatel Février  2009  Vtbg V3_Copie de Flash du mois d' avril 2009 corrigé par NAIMI 3" xfId="0"/>
    <cellStyle name="_Table_02 Pfd Valuation_commentaires fixe  internet Déc 08_TBG Onatel Février  2009  Vtbg V3_Copie de Flash du mois d' avril 2009 corrigé par NAIMI_Budget Telmob 2011" xfId="0"/>
    <cellStyle name="_Table_02 Pfd Valuation_commentaires fixe  internet Déc 08_TBG Onatel Février  2009  Vtbg V3_Copie de Flash du mois d' avril 2009 corrigé par NAIMI_Budget Telmob 2011 2" xfId="0"/>
    <cellStyle name="_Table_02 Pfd Valuation_commentaires fixe  internet Déc 08_TBG Onatel Février  2009  Vtbg V3_Copie de Flash du mois d' avril 2009 corrigé par NAIMI_Budget Telmob 2011 2 2" xfId="0"/>
    <cellStyle name="_Table_02 Pfd Valuation_commentaires fixe  internet Déc 08_TBG Onatel Février  2009  Vtbg V3_Copie de Flash du mois d' avril 2009 corrigé par NAIMI_Budget Telmob 2011 3" xfId="0"/>
    <cellStyle name="_Table_02 Pfd Valuation_commentaires fixe  internet Déc 08_TBG Onatel Février  2009  Vtbg V3_Copie de Flash du mois d' avril 2009 corrigé par NAIMI_Capex- Mobile" xfId="0"/>
    <cellStyle name="_Table_02 Pfd Valuation_commentaires fixe  internet Déc 08_TBG Onatel Février  2009  Vtbg V3_Copie de Flash du mois d' avril 2009 corrigé par NAIMI_Capex- Mobile 2" xfId="0"/>
    <cellStyle name="_Table_02 Pfd Valuation_commentaires fixe  internet Déc 08_TBG Onatel Février  2009  Vtbg V3_Copie de Flash du mois d' avril 2009 corrigé par NAIMI_Capex- Mobile 2 2" xfId="0"/>
    <cellStyle name="_Table_02 Pfd Valuation_commentaires fixe  internet Déc 08_TBG Onatel Février  2009  Vtbg V3_Copie de Flash du mois d' avril 2009 corrigé par NAIMI_Capex- Mobile 3" xfId="0"/>
    <cellStyle name="_Table_02 Pfd Valuation_commentaires fixe  internet Déc 08_TBG Onatel Février  2009  Vtbg V3_Copie de Flash du mois d' avril 2009 corrigé par NAIMI_Flash du mois de mai 2009" xfId="0"/>
    <cellStyle name="_Table_02 Pfd Valuation_commentaires fixe  internet Déc 08_TBG Onatel Février  2009  Vtbg V3_Copie de Flash du mois d' avril 2009 corrigé par NAIMI_Flash du mois de mai 2009 2" xfId="0"/>
    <cellStyle name="_Table_02 Pfd Valuation_commentaires fixe  internet Déc 08_TBG Onatel Février  2009  Vtbg V3_Copie de Flash du mois d' avril 2009 corrigé par NAIMI_Flash du mois de mai 2009 2 2" xfId="0"/>
    <cellStyle name="_Table_02 Pfd Valuation_commentaires fixe  internet Déc 08_TBG Onatel Février  2009  Vtbg V3_Copie de Flash du mois d' avril 2009 corrigé par NAIMI_Flash du mois de mai 2009 3" xfId="0"/>
    <cellStyle name="_Table_02 Pfd Valuation_commentaires fixe  internet Déc 08_TBG Onatel Février  2009  Vtbg V3_Copie de Flash du mois d' avril 2009 corrigé par NAIMI_Flash du mois de mai 2009_Budget Telmob 2011" xfId="0"/>
    <cellStyle name="_Table_02 Pfd Valuation_commentaires fixe  internet Déc 08_TBG Onatel Février  2009  Vtbg V3_Copie de Flash du mois d' avril 2009 corrigé par NAIMI_Flash du mois de mai 2009_Budget Telmob 2011 2" xfId="0"/>
    <cellStyle name="_Table_02 Pfd Valuation_commentaires fixe  internet Déc 08_TBG Onatel Février  2009  Vtbg V3_Copie de Flash du mois d' avril 2009 corrigé par NAIMI_Flash du mois de mai 2009_Budget Telmob 2011 2 2" xfId="0"/>
    <cellStyle name="_Table_02 Pfd Valuation_commentaires fixe  internet Déc 08_TBG Onatel Février  2009  Vtbg V3_Copie de Flash du mois d' avril 2009 corrigé par NAIMI_Flash du mois de mai 2009_Budget Telmob 2011 3" xfId="0"/>
    <cellStyle name="_Table_02 Pfd Valuation_commentaires fixe  internet Déc 08_TBG Onatel Février  2009  Vtbg V3_Copie de Flash du mois d' avril 2009 corrigé par NAIMI_Flash du mois de mai 2009_Capex- Mobile" xfId="0"/>
    <cellStyle name="_Table_02 Pfd Valuation_commentaires fixe  internet Déc 08_TBG Onatel Février  2009  Vtbg V3_Copie de Flash du mois d' avril 2009 corrigé par NAIMI_Flash du mois de mai 2009_Capex- Mobile 2" xfId="0"/>
    <cellStyle name="_Table_02 Pfd Valuation_commentaires fixe  internet Déc 08_TBG Onatel Février  2009  Vtbg V3_Copie de Flash du mois d' avril 2009 corrigé par NAIMI_Flash du mois de mai 2009_Capex- Mobile 2 2" xfId="0"/>
    <cellStyle name="_Table_02 Pfd Valuation_commentaires fixe  internet Déc 08_TBG Onatel Février  2009  Vtbg V3_Copie de Flash du mois d' avril 2009 corrigé par NAIMI_Flash du mois de mai 2009_Capex- Mobile 3" xfId="0"/>
    <cellStyle name="_Table_02 Pfd Valuation_commentaires fixe  internet Déc 08_TBG Onatel Février  2009  Vtbg V3_Copie de Flash du mois d' avril 2009 corrigé par NAIMI_Flash du mois de septembre 2009 (2) (version 1)" xfId="0"/>
    <cellStyle name="_Table_02 Pfd Valuation_commentaires fixe  internet Déc 08_TBG Onatel Février  2009  Vtbg V3_Copie de Flash du mois d' avril 2009 corrigé par NAIMI_Flash du mois de septembre 2009 (2) (version 1) 2" xfId="0"/>
    <cellStyle name="_Table_02 Pfd Valuation_commentaires fixe  internet Déc 08_TBG Onatel Février  2009  Vtbg V3_Copie de Flash du mois d' avril 2009 corrigé par NAIMI_Flash du mois de septembre 2009 (2) (version 1) 2 2" xfId="0"/>
    <cellStyle name="_Table_02 Pfd Valuation_commentaires fixe  internet Déc 08_TBG Onatel Février  2009  Vtbg V3_Copie de Flash du mois d' avril 2009 corrigé par NAIMI_Flash du mois de septembre 2009 (2) (version 1) 3" xfId="0"/>
    <cellStyle name="_Table_02 Pfd Valuation_commentaires fixe  internet Déc 08_TBG Onatel Février  2009  Vtbg V3_Copie de Flash du mois d' avril 2009 corrigé par NAIMI_Flash du mois de septembre 2009 (2) (version 1)_Budget Telmob 2011" xfId="0"/>
    <cellStyle name="_Table_02 Pfd Valuation_commentaires fixe  internet Déc 08_TBG Onatel Février  2009  Vtbg V3_Copie de Flash du mois d' avril 2009 corrigé par NAIMI_Flash du mois de septembre 2009 (2) (version 1)_Budget Telmob 2011 2" xfId="0"/>
    <cellStyle name="_Table_02 Pfd Valuation_commentaires fixe  internet Déc 08_TBG Onatel Février  2009  Vtbg V3_Copie de Flash du mois d' avril 2009 corrigé par NAIMI_Flash du mois de septembre 2009 (2) (version 1)_Budget Telmob 2011 2 2" xfId="0"/>
    <cellStyle name="_Table_02 Pfd Valuation_commentaires fixe  internet Déc 08_TBG Onatel Février  2009  Vtbg V3_Copie de Flash du mois d' avril 2009 corrigé par NAIMI_Flash du mois de septembre 2009 (2) (version 1)_Budget Telmob 2011 3" xfId="0"/>
    <cellStyle name="_Table_02 Pfd Valuation_commentaires fixe  internet Déc 08_TBG Onatel Février  2009  Vtbg V3_Copie de Flash du mois d' avril 2009 corrigé par NAIMI_Flash du mois de septembre 2009 (2) (version 1)_Capex- Mobile" xfId="0"/>
    <cellStyle name="_Table_02 Pfd Valuation_commentaires fixe  internet Déc 08_TBG Onatel Février  2009  Vtbg V3_Copie de Flash du mois d' avril 2009 corrigé par NAIMI_Flash du mois de septembre 2009 (2) (version 1)_Capex- Mobile 2" xfId="0"/>
    <cellStyle name="_Table_02 Pfd Valuation_commentaires fixe  internet Déc 08_TBG Onatel Février  2009  Vtbg V3_Copie de Flash du mois d' avril 2009 corrigé par NAIMI_Flash du mois de septembre 2009 (2) (version 1)_Capex- Mobile 2 2" xfId="0"/>
    <cellStyle name="_Table_02 Pfd Valuation_commentaires fixe  internet Déc 08_TBG Onatel Février  2009  Vtbg V3_Copie de Flash du mois d' avril 2009 corrigé par NAIMI_Flash du mois de septembre 2009 (2) (version 1)_Capex- Mobile 3" xfId="0"/>
    <cellStyle name="_Table_02 Pfd Valuation_commentaires fixe  internet Déc 08_TBG Onatel Février  2009  Vtbg V3_Copie de Flash du mois d' avril 2009 corrigé par NAIMI_Reporting Onatel Mai 2009 V 0" xfId="0"/>
    <cellStyle name="_Table_02 Pfd Valuation_commentaires fixe  internet Déc 08_TBG Onatel Février  2009  Vtbg V3_Copie de Flash du mois d' avril 2009 corrigé par NAIMI_Reporting Onatel Mai 2009 V 0 2" xfId="0"/>
    <cellStyle name="_Table_02 Pfd Valuation_commentaires fixe  internet Déc 08_TBG Onatel Février  2009  Vtbg V3_Copie de Flash du mois d' avril 2009 corrigé par NAIMI_Reporting Onatel Mai 2009 V 0 2 2" xfId="0"/>
    <cellStyle name="_Table_02 Pfd Valuation_commentaires fixe  internet Déc 08_TBG Onatel Février  2009  Vtbg V3_Copie de Flash du mois d' avril 2009 corrigé par NAIMI_Reporting Onatel Mai 2009 V 0 3" xfId="0"/>
    <cellStyle name="_Table_02 Pfd Valuation_commentaires fixe  internet Déc 08_TBG Onatel Février  2009  Vtbg V3_Copie de Flash du mois d' avril 2009 corrigé par NAIMI_Reporting Onatel Mai 2009 V 0_Budget Telmob 2011" xfId="0"/>
    <cellStyle name="_Table_02 Pfd Valuation_commentaires fixe  internet Déc 08_TBG Onatel Février  2009  Vtbg V3_Copie de Flash du mois d' avril 2009 corrigé par NAIMI_Reporting Onatel Mai 2009 V 0_Budget Telmob 2011 2" xfId="0"/>
    <cellStyle name="_Table_02 Pfd Valuation_commentaires fixe  internet Déc 08_TBG Onatel Février  2009  Vtbg V3_Copie de Flash du mois d' avril 2009 corrigé par NAIMI_Reporting Onatel Mai 2009 V 0_Budget Telmob 2011 2 2" xfId="0"/>
    <cellStyle name="_Table_02 Pfd Valuation_commentaires fixe  internet Déc 08_TBG Onatel Février  2009  Vtbg V3_Copie de Flash du mois d' avril 2009 corrigé par NAIMI_Reporting Onatel Mai 2009 V 0_Budget Telmob 2011 3" xfId="0"/>
    <cellStyle name="_Table_02 Pfd Valuation_commentaires fixe  internet Déc 08_TBG Onatel Février  2009  Vtbg V3_Copie de Flash du mois d' avril 2009 corrigé par NAIMI_Reporting Onatel Mai 2009 V 0_Capex- Mobile" xfId="0"/>
    <cellStyle name="_Table_02 Pfd Valuation_commentaires fixe  internet Déc 08_TBG Onatel Février  2009  Vtbg V3_Copie de Flash du mois d' avril 2009 corrigé par NAIMI_Reporting Onatel Mai 2009 V 0_Capex- Mobile 2" xfId="0"/>
    <cellStyle name="_Table_02 Pfd Valuation_commentaires fixe  internet Déc 08_TBG Onatel Février  2009  Vtbg V3_Copie de Flash du mois d' avril 2009 corrigé par NAIMI_Reporting Onatel Mai 2009 V 0_Capex- Mobile 2 2" xfId="0"/>
    <cellStyle name="_Table_02 Pfd Valuation_commentaires fixe  internet Déc 08_TBG Onatel Février  2009  Vtbg V3_Copie de Flash du mois d' avril 2009 corrigé par NAIMI_Reporting Onatel Mai 2009 V 0_Capex- Mobile 3" xfId="0"/>
    <cellStyle name="_Table_02 Pfd Valuation_commentaires fixe  internet Déc 08_TBG Onatel Février  2009  Vtbg V3_Copie de Flash du mois d' avril 2009 corrigé par NAIMI_Reporting Onatel Mai 2009 V 0_Flash du mois de septembre 2009 (2) (version 1)" xfId="0"/>
    <cellStyle name="_Table_02 Pfd Valuation_commentaires fixe  internet Déc 08_TBG Onatel Février  2009  Vtbg V3_Copie de Flash du mois d' avril 2009 corrigé par NAIMI_Reporting Onatel Mai 2009 V 0_Flash du mois de septembre 2009 (2) (version 1) 2" xfId="0"/>
    <cellStyle name="_Table_02 Pfd Valuation_commentaires fixe  internet Déc 08_TBG Onatel Février  2009  Vtbg V3_Copie de Flash du mois d' avril 2009 corrigé par NAIMI_Reporting Onatel Mai 2009 V 0_Flash du mois de septembre 2009 (2) (version 1) 2 2" xfId="0"/>
    <cellStyle name="_Table_02 Pfd Valuation_commentaires fixe  internet Déc 08_TBG Onatel Février  2009  Vtbg V3_Copie de Flash du mois d' avril 2009 corrigé par NAIMI_Reporting Onatel Mai 2009 V 0_Flash du mois de septembre 2009 (2) (version 1) 3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0"/>
    <cellStyle name="_Table_02 Pfd Valuation_commentaires fixe  internet Déc 08_TBG Onatel Février  2009  Vtbg V3_Copie de Flash du mois d' avril 2009 corrigé par NAIMI_Reporting Onatel Mai 2009 V 0_Flash du mois de septembre 2009 (2) (version 1)_Capex- Mobile" xfId="0"/>
    <cellStyle name="_Table_02 Pfd Valuation_commentaires fixe  internet Déc 08_TBG Onatel Février  2009  Vtbg V3_Copie de Flash du mois d' avril 2009 corrigé par NAIMI_Reporting Onatel Mai 2009 V 0_Flash du mois de septembre 2009 (2) (version 1)_Capex- Mobile 2" xfId="0"/>
    <cellStyle name="_Table_02 Pfd Valuation_commentaires fixe  internet Déc 08_TBG Onatel Février  2009  Vtbg V3_Copie de Flash du mois d' avril 2009 corrigé par NAIMI_Reporting Onatel Mai 2009 V 0_Flash du mois de septembre 2009 (2) (version 1)_Capex- Mobile 2 2" xfId="0"/>
    <cellStyle name="_Table_02 Pfd Valuation_commentaires fixe  internet Déc 08_TBG Onatel Février  2009  Vtbg V3_Copie de Flash du mois d' avril 2009 corrigé par NAIMI_Reporting Onatel Mai 2009 V 0_Flash du mois de septembre 2009 (2) (version 1)_Capex- Mobile 3" xfId="0"/>
    <cellStyle name="_Table_02 Pfd Valuation_commentaires fixe  internet Déc 08_TBG Onatel Février  2009  Vtbg V3_Copie de Flash du mois d' avril 2009 corrigé par NAIMI_Reporting Onatel Mai 2009 V 0_Reporting Onatel septembre  2009 préparé" xfId="0"/>
    <cellStyle name="_Table_02 Pfd Valuation_commentaires fixe  internet Déc 08_TBG Onatel Février  2009  Vtbg V3_Copie de Flash du mois d' avril 2009 corrigé par NAIMI_Reporting Onatel Mai 2009 V 0_Reporting Onatel septembre  2009 préparé 2" xfId="0"/>
    <cellStyle name="_Table_02 Pfd Valuation_commentaires fixe  internet Déc 08_TBG Onatel Février  2009  Vtbg V3_Copie de Flash du mois d' avril 2009 corrigé par NAIMI_Reporting Onatel Mai 2009 V 0_Reporting Onatel septembre  2009 préparé 2 2" xfId="0"/>
    <cellStyle name="_Table_02 Pfd Valuation_commentaires fixe  internet Déc 08_TBG Onatel Février  2009  Vtbg V3_Copie de Flash du mois d' avril 2009 corrigé par NAIMI_Reporting Onatel Mai 2009 V 0_Reporting Onatel septembre  2009 préparé 3" xfId="0"/>
    <cellStyle name="_Table_02 Pfd Valuation_commentaires fixe  internet Déc 08_TBG Onatel Février  2009  Vtbg V3_Copie de Flash du mois d' avril 2009 corrigé par NAIMI_Reporting Onatel Mai 2009 V 0_Reporting Onatel septembre  2009 préparé_Budget Telmob 2011" xfId="0"/>
    <cellStyle name="_Table_02 Pfd Valuation_commentaires fixe  internet Déc 08_TBG Onatel Février  2009  Vtbg V3_Copie de Flash du mois d' avril 2009 corrigé par NAIMI_Reporting Onatel Mai 2009 V 0_Reporting Onatel septembre  2009 préparé_Budget Telmob 2011 2" xfId="0"/>
    <cellStyle name="_Table_02 Pfd Valuation_commentaires fixe  internet Déc 08_TBG Onatel Février  2009  Vtbg V3_Copie de Flash du mois d' avril 2009 corrigé par NAIMI_Reporting Onatel Mai 2009 V 0_Reporting Onatel septembre  2009 préparé_Budget Telmob 2011 2 2" xfId="0"/>
    <cellStyle name="_Table_02 Pfd Valuation_commentaires fixe  internet Déc 08_TBG Onatel Février  2009  Vtbg V3_Copie de Flash du mois d' avril 2009 corrigé par NAIMI_Reporting Onatel Mai 2009 V 0_Reporting Onatel septembre  2009 préparé_Budget Telmob 2011 3" xfId="0"/>
    <cellStyle name="_Table_02 Pfd Valuation_commentaires fixe  internet Déc 08_TBG Onatel Février  2009  Vtbg V3_Copie de Flash du mois d' avril 2009 corrigé par NAIMI_Reporting Onatel Mai 2009 V 0_Reporting Onatel septembre  2009 préparé_Capex- Mobile" xfId="0"/>
    <cellStyle name="_Table_02 Pfd Valuation_commentaires fixe  internet Déc 08_TBG Onatel Février  2009  Vtbg V3_Copie de Flash du mois d' avril 2009 corrigé par NAIMI_Reporting Onatel Mai 2009 V 0_Reporting Onatel septembre  2009 préparé_Capex- Mobile 2" xfId="0"/>
    <cellStyle name="_Table_02 Pfd Valuation_commentaires fixe  internet Déc 08_TBG Onatel Février  2009  Vtbg V3_Copie de Flash du mois d' avril 2009 corrigé par NAIMI_Reporting Onatel Mai 2009 V 0_Reporting Onatel septembre  2009 préparé_Capex- Mobile 2 2" xfId="0"/>
    <cellStyle name="_Table_02 Pfd Valuation_commentaires fixe  internet Déc 08_TBG Onatel Février  2009  Vtbg V3_Copie de Flash du mois d' avril 2009 corrigé par NAIMI_Reporting Onatel Mai 2009 V 0_Reporting Onatel septembre  2009 préparé_Capex- Mobile 3" xfId="0"/>
    <cellStyle name="_Table_02 Pfd Valuation_commentaires fixe  internet Déc 08_TBG Onatel Février  2009  Vtbg V3_Copie de Flash du mois d' avril 2009 corrigé par NAIMI_Reporting Onatel septembre  2009 préparé" xfId="0"/>
    <cellStyle name="_Table_02 Pfd Valuation_commentaires fixe  internet Déc 08_TBG Onatel Février  2009  Vtbg V3_Copie de Flash du mois d' avril 2009 corrigé par NAIMI_Reporting Onatel septembre  2009 préparé 2" xfId="0"/>
    <cellStyle name="_Table_02 Pfd Valuation_commentaires fixe  internet Déc 08_TBG Onatel Février  2009  Vtbg V3_Copie de Flash du mois d' avril 2009 corrigé par NAIMI_Reporting Onatel septembre  2009 préparé 2 2" xfId="0"/>
    <cellStyle name="_Table_02 Pfd Valuation_commentaires fixe  internet Déc 08_TBG Onatel Février  2009  Vtbg V3_Copie de Flash du mois d' avril 2009 corrigé par NAIMI_Reporting Onatel septembre  2009 préparé 3" xfId="0"/>
    <cellStyle name="_Table_02 Pfd Valuation_commentaires fixe  internet Déc 08_TBG Onatel Février  2009  Vtbg V3_Copie de Flash du mois d' avril 2009 corrigé par NAIMI_Reporting Onatel septembre  2009 préparé_Budget Telmob 2011" xfId="0"/>
    <cellStyle name="_Table_02 Pfd Valuation_commentaires fixe  internet Déc 08_TBG Onatel Février  2009  Vtbg V3_Copie de Flash du mois d' avril 2009 corrigé par NAIMI_Reporting Onatel septembre  2009 préparé_Budget Telmob 2011 2" xfId="0"/>
    <cellStyle name="_Table_02 Pfd Valuation_commentaires fixe  internet Déc 08_TBG Onatel Février  2009  Vtbg V3_Copie de Flash du mois d' avril 2009 corrigé par NAIMI_Reporting Onatel septembre  2009 préparé_Budget Telmob 2011 2 2" xfId="0"/>
    <cellStyle name="_Table_02 Pfd Valuation_commentaires fixe  internet Déc 08_TBG Onatel Février  2009  Vtbg V3_Copie de Flash du mois d' avril 2009 corrigé par NAIMI_Reporting Onatel septembre  2009 préparé_Budget Telmob 2011 3" xfId="0"/>
    <cellStyle name="_Table_02 Pfd Valuation_commentaires fixe  internet Déc 08_TBG Onatel Février  2009  Vtbg V3_Copie de Flash du mois d' avril 2009 corrigé par NAIMI_Reporting Onatel septembre  2009 préparé_Capex- Mobile" xfId="0"/>
    <cellStyle name="_Table_02 Pfd Valuation_commentaires fixe  internet Déc 08_TBG Onatel Février  2009  Vtbg V3_Copie de Flash du mois d' avril 2009 corrigé par NAIMI_Reporting Onatel septembre  2009 préparé_Capex- Mobile 2" xfId="0"/>
    <cellStyle name="_Table_02 Pfd Valuation_commentaires fixe  internet Déc 08_TBG Onatel Février  2009  Vtbg V3_Copie de Flash du mois d' avril 2009 corrigé par NAIMI_Reporting Onatel septembre  2009 préparé_Capex- Mobile 2 2" xfId="0"/>
    <cellStyle name="_Table_02 Pfd Valuation_commentaires fixe  internet Déc 08_TBG Onatel Février  2009  Vtbg V3_Copie de Flash du mois d' avril 2009 corrigé par NAIMI_Reporting Onatel septembre  2009 préparé_Capex- Mobile 3" xfId="0"/>
    <cellStyle name="_Table_02 Pfd Valuation_commentaires fixe  internet Déc 08_TBG Onatel Février  2009  Vtbg V3_Flash du mois d' avril 2009" xfId="0"/>
    <cellStyle name="_Table_02 Pfd Valuation_commentaires fixe  internet Déc 08_TBG Onatel Février  2009  Vtbg V3_Flash du mois d' avril 2009 2" xfId="0"/>
    <cellStyle name="_Table_02 Pfd Valuation_commentaires fixe  internet Déc 08_TBG Onatel Février  2009  Vtbg V3_Flash du mois d' avril 2009 2 2" xfId="0"/>
    <cellStyle name="_Table_02 Pfd Valuation_commentaires fixe  internet Déc 08_TBG Onatel Février  2009  Vtbg V3_Flash du mois d' avril 2009 3" xfId="0"/>
    <cellStyle name="_Table_02 Pfd Valuation_commentaires fixe  internet Déc 08_TBG Onatel Février  2009  Vtbg V3_Flash du mois d' avril 2009_Budget Telmob 2011" xfId="0"/>
    <cellStyle name="_Table_02 Pfd Valuation_commentaires fixe  internet Déc 08_TBG Onatel Février  2009  Vtbg V3_Flash du mois d' avril 2009_Budget Telmob 2011 2" xfId="0"/>
    <cellStyle name="_Table_02 Pfd Valuation_commentaires fixe  internet Déc 08_TBG Onatel Février  2009  Vtbg V3_Flash du mois d' avril 2009_Budget Telmob 2011 2 2" xfId="0"/>
    <cellStyle name="_Table_02 Pfd Valuation_commentaires fixe  internet Déc 08_TBG Onatel Février  2009  Vtbg V3_Flash du mois d' avril 2009_Budget Telmob 2011 3" xfId="0"/>
    <cellStyle name="_Table_02 Pfd Valuation_commentaires fixe  internet Déc 08_TBG Onatel Février  2009  Vtbg V3_Flash du mois d' avril 2009_Capex- Mobile" xfId="0"/>
    <cellStyle name="_Table_02 Pfd Valuation_commentaires fixe  internet Déc 08_TBG Onatel Février  2009  Vtbg V3_Flash du mois d' avril 2009_Capex- Mobile 2" xfId="0"/>
    <cellStyle name="_Table_02 Pfd Valuation_commentaires fixe  internet Déc 08_TBG Onatel Février  2009  Vtbg V3_Flash du mois d' avril 2009_Capex- Mobile 2 2" xfId="0"/>
    <cellStyle name="_Table_02 Pfd Valuation_commentaires fixe  internet Déc 08_TBG Onatel Février  2009  Vtbg V3_Flash du mois d' avril 2009_Capex- Mobile 3" xfId="0"/>
    <cellStyle name="_Table_02 Pfd Valuation_commentaires fixe  internet Déc 08_TBG Onatel Février  2009  Vtbg V3_Flash du mois d' avril 2009_Flash du mois de mai 2009" xfId="0"/>
    <cellStyle name="_Table_02 Pfd Valuation_commentaires fixe  internet Déc 08_TBG Onatel Février  2009  Vtbg V3_Flash du mois d' avril 2009_Flash du mois de mai 2009 2" xfId="0"/>
    <cellStyle name="_Table_02 Pfd Valuation_commentaires fixe  internet Déc 08_TBG Onatel Février  2009  Vtbg V3_Flash du mois d' avril 2009_Flash du mois de mai 2009 2 2" xfId="0"/>
    <cellStyle name="_Table_02 Pfd Valuation_commentaires fixe  internet Déc 08_TBG Onatel Février  2009  Vtbg V3_Flash du mois d' avril 2009_Flash du mois de mai 2009 3" xfId="0"/>
    <cellStyle name="_Table_02 Pfd Valuation_commentaires fixe  internet Déc 08_TBG Onatel Février  2009  Vtbg V3_Flash du mois d' avril 2009_Flash du mois de mai 2009_Budget Telmob 2011" xfId="0"/>
    <cellStyle name="_Table_02 Pfd Valuation_commentaires fixe  internet Déc 08_TBG Onatel Février  2009  Vtbg V3_Flash du mois d' avril 2009_Flash du mois de mai 2009_Budget Telmob 2011 2" xfId="0"/>
    <cellStyle name="_Table_02 Pfd Valuation_commentaires fixe  internet Déc 08_TBG Onatel Février  2009  Vtbg V3_Flash du mois d' avril 2009_Flash du mois de mai 2009_Budget Telmob 2011 2 2" xfId="0"/>
    <cellStyle name="_Table_02 Pfd Valuation_commentaires fixe  internet Déc 08_TBG Onatel Février  2009  Vtbg V3_Flash du mois d' avril 2009_Flash du mois de mai 2009_Budget Telmob 2011 3" xfId="0"/>
    <cellStyle name="_Table_02 Pfd Valuation_commentaires fixe  internet Déc 08_TBG Onatel Février  2009  Vtbg V3_Flash du mois d' avril 2009_Flash du mois de mai 2009_Capex- Mobile" xfId="0"/>
    <cellStyle name="_Table_02 Pfd Valuation_commentaires fixe  internet Déc 08_TBG Onatel Février  2009  Vtbg V3_Flash du mois d' avril 2009_Flash du mois de mai 2009_Capex- Mobile 2" xfId="0"/>
    <cellStyle name="_Table_02 Pfd Valuation_commentaires fixe  internet Déc 08_TBG Onatel Février  2009  Vtbg V3_Flash du mois d' avril 2009_Flash du mois de mai 2009_Capex- Mobile 2 2" xfId="0"/>
    <cellStyle name="_Table_02 Pfd Valuation_commentaires fixe  internet Déc 08_TBG Onatel Février  2009  Vtbg V3_Flash du mois d' avril 2009_Flash du mois de mai 2009_Capex- Mobile 3" xfId="0"/>
    <cellStyle name="_Table_02 Pfd Valuation_commentaires fixe  internet Déc 08_TBG Onatel Février  2009  Vtbg V3_Flash du mois d' avril 2009_Flash du mois de septembre 2009 (2) (version 1)" xfId="0"/>
    <cellStyle name="_Table_02 Pfd Valuation_commentaires fixe  internet Déc 08_TBG Onatel Février  2009  Vtbg V3_Flash du mois d' avril 2009_Flash du mois de septembre 2009 (2) (version 1) 2" xfId="0"/>
    <cellStyle name="_Table_02 Pfd Valuation_commentaires fixe  internet Déc 08_TBG Onatel Février  2009  Vtbg V3_Flash du mois d' avril 2009_Flash du mois de septembre 2009 (2) (version 1) 2 2" xfId="0"/>
    <cellStyle name="_Table_02 Pfd Valuation_commentaires fixe  internet Déc 08_TBG Onatel Février  2009  Vtbg V3_Flash du mois d' avril 2009_Flash du mois de septembre 2009 (2) (version 1) 3" xfId="0"/>
    <cellStyle name="_Table_02 Pfd Valuation_commentaires fixe  internet Déc 08_TBG Onatel Février  2009  Vtbg V3_Flash du mois d' avril 2009_Flash du mois de septembre 2009 (2) (version 1)_Budget Telmob 2011" xfId="0"/>
    <cellStyle name="_Table_02 Pfd Valuation_commentaires fixe  internet Déc 08_TBG Onatel Février  2009  Vtbg V3_Flash du mois d' avril 2009_Flash du mois de septembre 2009 (2) (version 1)_Budget Telmob 2011 2" xfId="0"/>
    <cellStyle name="_Table_02 Pfd Valuation_commentaires fixe  internet Déc 08_TBG Onatel Février  2009  Vtbg V3_Flash du mois d' avril 2009_Flash du mois de septembre 2009 (2) (version 1)_Budget Telmob 2011 2 2" xfId="0"/>
    <cellStyle name="_Table_02 Pfd Valuation_commentaires fixe  internet Déc 08_TBG Onatel Février  2009  Vtbg V3_Flash du mois d' avril 2009_Flash du mois de septembre 2009 (2) (version 1)_Budget Telmob 2011 3" xfId="0"/>
    <cellStyle name="_Table_02 Pfd Valuation_commentaires fixe  internet Déc 08_TBG Onatel Février  2009  Vtbg V3_Flash du mois d' avril 2009_Flash du mois de septembre 2009 (2) (version 1)_Capex- Mobile" xfId="0"/>
    <cellStyle name="_Table_02 Pfd Valuation_commentaires fixe  internet Déc 08_TBG Onatel Février  2009  Vtbg V3_Flash du mois d' avril 2009_Flash du mois de septembre 2009 (2) (version 1)_Capex- Mobile 2" xfId="0"/>
    <cellStyle name="_Table_02 Pfd Valuation_commentaires fixe  internet Déc 08_TBG Onatel Février  2009  Vtbg V3_Flash du mois d' avril 2009_Flash du mois de septembre 2009 (2) (version 1)_Capex- Mobile 2 2" xfId="0"/>
    <cellStyle name="_Table_02 Pfd Valuation_commentaires fixe  internet Déc 08_TBG Onatel Février  2009  Vtbg V3_Flash du mois d' avril 2009_Flash du mois de septembre 2009 (2) (version 1)_Capex- Mobile 3" xfId="0"/>
    <cellStyle name="_Table_02 Pfd Valuation_commentaires fixe  internet Déc 08_TBG Onatel Février  2009  Vtbg V3_Flash du mois d' avril 2009_Reporting Onatel Mai 2009 V 0" xfId="0"/>
    <cellStyle name="_Table_02 Pfd Valuation_commentaires fixe  internet Déc 08_TBG Onatel Février  2009  Vtbg V3_Flash du mois d' avril 2009_Reporting Onatel Mai 2009 V 0 2" xfId="0"/>
    <cellStyle name="_Table_02 Pfd Valuation_commentaires fixe  internet Déc 08_TBG Onatel Février  2009  Vtbg V3_Flash du mois d' avril 2009_Reporting Onatel Mai 2009 V 0 2 2" xfId="0"/>
    <cellStyle name="_Table_02 Pfd Valuation_commentaires fixe  internet Déc 08_TBG Onatel Février  2009  Vtbg V3_Flash du mois d' avril 2009_Reporting Onatel Mai 2009 V 0 3" xfId="0"/>
    <cellStyle name="_Table_02 Pfd Valuation_commentaires fixe  internet Déc 08_TBG Onatel Février  2009  Vtbg V3_Flash du mois d' avril 2009_Reporting Onatel Mai 2009 V 0_Budget Telmob 2011" xfId="0"/>
    <cellStyle name="_Table_02 Pfd Valuation_commentaires fixe  internet Déc 08_TBG Onatel Février  2009  Vtbg V3_Flash du mois d' avril 2009_Reporting Onatel Mai 2009 V 0_Budget Telmob 2011 2" xfId="0"/>
    <cellStyle name="_Table_02 Pfd Valuation_commentaires fixe  internet Déc 08_TBG Onatel Février  2009  Vtbg V3_Flash du mois d' avril 2009_Reporting Onatel Mai 2009 V 0_Budget Telmob 2011 2 2" xfId="0"/>
    <cellStyle name="_Table_02 Pfd Valuation_commentaires fixe  internet Déc 08_TBG Onatel Février  2009  Vtbg V3_Flash du mois d' avril 2009_Reporting Onatel Mai 2009 V 0_Budget Telmob 2011 3" xfId="0"/>
    <cellStyle name="_Table_02 Pfd Valuation_commentaires fixe  internet Déc 08_TBG Onatel Février  2009  Vtbg V3_Flash du mois d' avril 2009_Reporting Onatel Mai 2009 V 0_Capex- Mobile" xfId="0"/>
    <cellStyle name="_Table_02 Pfd Valuation_commentaires fixe  internet Déc 08_TBG Onatel Février  2009  Vtbg V3_Flash du mois d' avril 2009_Reporting Onatel Mai 2009 V 0_Capex- Mobile 2" xfId="0"/>
    <cellStyle name="_Table_02 Pfd Valuation_commentaires fixe  internet Déc 08_TBG Onatel Février  2009  Vtbg V3_Flash du mois d' avril 2009_Reporting Onatel Mai 2009 V 0_Capex- Mobile 2 2" xfId="0"/>
    <cellStyle name="_Table_02 Pfd Valuation_commentaires fixe  internet Déc 08_TBG Onatel Février  2009  Vtbg V3_Flash du mois d' avril 2009_Reporting Onatel Mai 2009 V 0_Capex- Mobile 3" xfId="0"/>
    <cellStyle name="_Table_02 Pfd Valuation_commentaires fixe  internet Déc 08_TBG Onatel Février  2009  Vtbg V3_Flash du mois d' avril 2009_Reporting Onatel septembre  2009 préparé" xfId="0"/>
    <cellStyle name="_Table_02 Pfd Valuation_commentaires fixe  internet Déc 08_TBG Onatel Février  2009  Vtbg V3_Flash du mois d' avril 2009_Reporting Onatel septembre  2009 préparé 2" xfId="0"/>
    <cellStyle name="_Table_02 Pfd Valuation_commentaires fixe  internet Déc 08_TBG Onatel Février  2009  Vtbg V3_Flash du mois d' avril 2009_Reporting Onatel septembre  2009 préparé 2 2" xfId="0"/>
    <cellStyle name="_Table_02 Pfd Valuation_commentaires fixe  internet Déc 08_TBG Onatel Février  2009  Vtbg V3_Flash du mois d' avril 2009_Reporting Onatel septembre  2009 préparé 3" xfId="0"/>
    <cellStyle name="_Table_02 Pfd Valuation_commentaires fixe  internet Déc 08_TBG Onatel Février  2009  Vtbg V3_Flash du mois d' avril 2009_Reporting Onatel septembre  2009 préparé_Budget Telmob 2011" xfId="0"/>
    <cellStyle name="_Table_02 Pfd Valuation_commentaires fixe  internet Déc 08_TBG Onatel Février  2009  Vtbg V3_Flash du mois d' avril 2009_Reporting Onatel septembre  2009 préparé_Budget Telmob 2011 2" xfId="0"/>
    <cellStyle name="_Table_02 Pfd Valuation_commentaires fixe  internet Déc 08_TBG Onatel Février  2009  Vtbg V3_Flash du mois d' avril 2009_Reporting Onatel septembre  2009 préparé_Budget Telmob 2011 2 2" xfId="0"/>
    <cellStyle name="_Table_02 Pfd Valuation_commentaires fixe  internet Déc 08_TBG Onatel Février  2009  Vtbg V3_Flash du mois d' avril 2009_Reporting Onatel septembre  2009 préparé_Budget Telmob 2011 3" xfId="0"/>
    <cellStyle name="_Table_02 Pfd Valuation_commentaires fixe  internet Déc 08_TBG Onatel Février  2009  Vtbg V3_Flash du mois d' avril 2009_Reporting Onatel septembre  2009 préparé_Capex- Mobile" xfId="0"/>
    <cellStyle name="_Table_02 Pfd Valuation_commentaires fixe  internet Déc 08_TBG Onatel Février  2009  Vtbg V3_Flash du mois d' avril 2009_Reporting Onatel septembre  2009 préparé_Capex- Mobile 2" xfId="0"/>
    <cellStyle name="_Table_02 Pfd Valuation_commentaires fixe  internet Déc 08_TBG Onatel Février  2009  Vtbg V3_Flash du mois d' avril 2009_Reporting Onatel septembre  2009 préparé_Capex- Mobile 2 2" xfId="0"/>
    <cellStyle name="_Table_02 Pfd Valuation_commentaires fixe  internet Déc 08_TBG Onatel Février  2009  Vtbg V3_Flash du mois d' avril 2009_Reporting Onatel septembre  2009 préparé_Capex- Mobile 3" xfId="0"/>
    <cellStyle name="_Table_02 Pfd Valuation_commentaires fixe  internet Déc 08_TBG Onatel Février  2009  Vtbg V3_Flash du mois de mai 2009" xfId="0"/>
    <cellStyle name="_Table_02 Pfd Valuation_commentaires fixe  internet Déc 08_TBG Onatel Février  2009  Vtbg V3_Flash du mois de mai 2009 2" xfId="0"/>
    <cellStyle name="_Table_02 Pfd Valuation_commentaires fixe  internet Déc 08_TBG Onatel Février  2009  Vtbg V3_Flash du mois de mai 2009 2 2" xfId="0"/>
    <cellStyle name="_Table_02 Pfd Valuation_commentaires fixe  internet Déc 08_TBG Onatel Février  2009  Vtbg V3_Flash du mois de mai 2009 3" xfId="0"/>
    <cellStyle name="_Table_02 Pfd Valuation_commentaires fixe  internet Déc 08_TBG Onatel Février  2009  Vtbg V3_Flash du mois de mai 2009_Budget Telmob 2011" xfId="0"/>
    <cellStyle name="_Table_02 Pfd Valuation_commentaires fixe  internet Déc 08_TBG Onatel Février  2009  Vtbg V3_Flash du mois de mai 2009_Budget Telmob 2011 2" xfId="0"/>
    <cellStyle name="_Table_02 Pfd Valuation_commentaires fixe  internet Déc 08_TBG Onatel Février  2009  Vtbg V3_Flash du mois de mai 2009_Budget Telmob 2011 2 2" xfId="0"/>
    <cellStyle name="_Table_02 Pfd Valuation_commentaires fixe  internet Déc 08_TBG Onatel Février  2009  Vtbg V3_Flash du mois de mai 2009_Budget Telmob 2011 3" xfId="0"/>
    <cellStyle name="_Table_02 Pfd Valuation_commentaires fixe  internet Déc 08_TBG Onatel Février  2009  Vtbg V3_Flash du mois de mai 2009_Capex- Mobile" xfId="0"/>
    <cellStyle name="_Table_02 Pfd Valuation_commentaires fixe  internet Déc 08_TBG Onatel Février  2009  Vtbg V3_Flash du mois de mai 2009_Capex- Mobile 2" xfId="0"/>
    <cellStyle name="_Table_02 Pfd Valuation_commentaires fixe  internet Déc 08_TBG Onatel Février  2009  Vtbg V3_Flash du mois de mai 2009_Capex- Mobile 2 2" xfId="0"/>
    <cellStyle name="_Table_02 Pfd Valuation_commentaires fixe  internet Déc 08_TBG Onatel Février  2009  Vtbg V3_Flash du mois de mai 2009_Capex- Mobile 3" xfId="0"/>
    <cellStyle name="_Table_02 Pfd Valuation_commentaires fixe  internet Déc 08_TBG Onatel Février  2009  Vtbg V3_Flash du mois de septembre 2009 (2) (version 1)" xfId="0"/>
    <cellStyle name="_Table_02 Pfd Valuation_commentaires fixe  internet Déc 08_TBG Onatel Février  2009  Vtbg V3_Flash du mois de septembre 2009 (2) (version 1) 2" xfId="0"/>
    <cellStyle name="_Table_02 Pfd Valuation_commentaires fixe  internet Déc 08_TBG Onatel Février  2009  Vtbg V3_Flash du mois de septembre 2009 (2) (version 1) 2 2" xfId="0"/>
    <cellStyle name="_Table_02 Pfd Valuation_commentaires fixe  internet Déc 08_TBG Onatel Février  2009  Vtbg V3_Flash du mois de septembre 2009 (2) (version 1) 3" xfId="0"/>
    <cellStyle name="_Table_02 Pfd Valuation_commentaires fixe  internet Déc 08_TBG Onatel Février  2009  Vtbg V3_Flash du mois de septembre 2009 (2) (version 1)_Budget Telmob 2011" xfId="0"/>
    <cellStyle name="_Table_02 Pfd Valuation_commentaires fixe  internet Déc 08_TBG Onatel Février  2009  Vtbg V3_Flash du mois de septembre 2009 (2) (version 1)_Budget Telmob 2011 2" xfId="0"/>
    <cellStyle name="_Table_02 Pfd Valuation_commentaires fixe  internet Déc 08_TBG Onatel Février  2009  Vtbg V3_Flash du mois de septembre 2009 (2) (version 1)_Budget Telmob 2011 2 2" xfId="0"/>
    <cellStyle name="_Table_02 Pfd Valuation_commentaires fixe  internet Déc 08_TBG Onatel Février  2009  Vtbg V3_Flash du mois de septembre 2009 (2) (version 1)_Budget Telmob 2011 3" xfId="0"/>
    <cellStyle name="_Table_02 Pfd Valuation_commentaires fixe  internet Déc 08_TBG Onatel Février  2009  Vtbg V3_Flash du mois de septembre 2009 (2) (version 1)_Capex- Mobile" xfId="0"/>
    <cellStyle name="_Table_02 Pfd Valuation_commentaires fixe  internet Déc 08_TBG Onatel Février  2009  Vtbg V3_Flash du mois de septembre 2009 (2) (version 1)_Capex- Mobile 2" xfId="0"/>
    <cellStyle name="_Table_02 Pfd Valuation_commentaires fixe  internet Déc 08_TBG Onatel Février  2009  Vtbg V3_Flash du mois de septembre 2009 (2) (version 1)_Capex- Mobile 2 2" xfId="0"/>
    <cellStyle name="_Table_02 Pfd Valuation_commentaires fixe  internet Déc 08_TBG Onatel Février  2009  Vtbg V3_Flash du mois de septembre 2009 (2) (version 1)_Capex- Mobile 3" xfId="0"/>
    <cellStyle name="_Table_02 Pfd Valuation_commentaires fixe  internet Déc 08_TBG Onatel Février  2009  Vtbg V3_Reporting Onatel Mai 2009 V 0" xfId="0"/>
    <cellStyle name="_Table_02 Pfd Valuation_commentaires fixe  internet Déc 08_TBG Onatel Février  2009  Vtbg V3_Reporting Onatel Mai 2009 V 0 2" xfId="0"/>
    <cellStyle name="_Table_02 Pfd Valuation_commentaires fixe  internet Déc 08_TBG Onatel Février  2009  Vtbg V3_Reporting Onatel Mai 2009 V 0 2 2" xfId="0"/>
    <cellStyle name="_Table_02 Pfd Valuation_commentaires fixe  internet Déc 08_TBG Onatel Février  2009  Vtbg V3_Reporting Onatel Mai 2009 V 0 3" xfId="0"/>
    <cellStyle name="_Table_02 Pfd Valuation_commentaires fixe  internet Déc 08_TBG Onatel Février  2009  Vtbg V3_Reporting Onatel Mai 2009 V 0_Budget Telmob 2011" xfId="0"/>
    <cellStyle name="_Table_02 Pfd Valuation_commentaires fixe  internet Déc 08_TBG Onatel Février  2009  Vtbg V3_Reporting Onatel Mai 2009 V 0_Budget Telmob 2011 2" xfId="0"/>
    <cellStyle name="_Table_02 Pfd Valuation_commentaires fixe  internet Déc 08_TBG Onatel Février  2009  Vtbg V3_Reporting Onatel Mai 2009 V 0_Budget Telmob 2011 2 2" xfId="0"/>
    <cellStyle name="_Table_02 Pfd Valuation_commentaires fixe  internet Déc 08_TBG Onatel Février  2009  Vtbg V3_Reporting Onatel Mai 2009 V 0_Budget Telmob 2011 3" xfId="0"/>
    <cellStyle name="_Table_02 Pfd Valuation_commentaires fixe  internet Déc 08_TBG Onatel Février  2009  Vtbg V3_Reporting Onatel Mai 2009 V 0_Capex- Mobile" xfId="0"/>
    <cellStyle name="_Table_02 Pfd Valuation_commentaires fixe  internet Déc 08_TBG Onatel Février  2009  Vtbg V3_Reporting Onatel Mai 2009 V 0_Capex- Mobile 2" xfId="0"/>
    <cellStyle name="_Table_02 Pfd Valuation_commentaires fixe  internet Déc 08_TBG Onatel Février  2009  Vtbg V3_Reporting Onatel Mai 2009 V 0_Capex- Mobile 2 2" xfId="0"/>
    <cellStyle name="_Table_02 Pfd Valuation_commentaires fixe  internet Déc 08_TBG Onatel Février  2009  Vtbg V3_Reporting Onatel Mai 2009 V 0_Capex- Mobile 3" xfId="0"/>
    <cellStyle name="_Table_02 Pfd Valuation_commentaires fixe  internet Déc 08_TBG Onatel Février  2009  Vtbg V3_Reporting Onatel septembre  2009 préparé" xfId="0"/>
    <cellStyle name="_Table_02 Pfd Valuation_commentaires fixe  internet Déc 08_TBG Onatel Février  2009  Vtbg V3_Reporting Onatel septembre  2009 préparé 2" xfId="0"/>
    <cellStyle name="_Table_02 Pfd Valuation_commentaires fixe  internet Déc 08_TBG Onatel Février  2009  Vtbg V3_Reporting Onatel septembre  2009 préparé 2 2" xfId="0"/>
    <cellStyle name="_Table_02 Pfd Valuation_commentaires fixe  internet Déc 08_TBG Onatel Février  2009  Vtbg V3_Reporting Onatel septembre  2009 préparé 3" xfId="0"/>
    <cellStyle name="_Table_02 Pfd Valuation_commentaires fixe  internet Déc 08_TBG Onatel Février  2009  Vtbg V3_Reporting Onatel septembre  2009 préparé_Budget Telmob 2011" xfId="0"/>
    <cellStyle name="_Table_02 Pfd Valuation_commentaires fixe  internet Déc 08_TBG Onatel Février  2009  Vtbg V3_Reporting Onatel septembre  2009 préparé_Budget Telmob 2011 2" xfId="0"/>
    <cellStyle name="_Table_02 Pfd Valuation_commentaires fixe  internet Déc 08_TBG Onatel Février  2009  Vtbg V3_Reporting Onatel septembre  2009 préparé_Budget Telmob 2011 2 2" xfId="0"/>
    <cellStyle name="_Table_02 Pfd Valuation_commentaires fixe  internet Déc 08_TBG Onatel Février  2009  Vtbg V3_Reporting Onatel septembre  2009 préparé_Budget Telmob 2011 3" xfId="0"/>
    <cellStyle name="_Table_02 Pfd Valuation_commentaires fixe  internet Déc 08_TBG Onatel Février  2009  Vtbg V3_Reporting Onatel septembre  2009 préparé_Capex- Mobile" xfId="0"/>
    <cellStyle name="_Table_02 Pfd Valuation_commentaires fixe  internet Déc 08_TBG Onatel Février  2009  Vtbg V3_Reporting Onatel septembre  2009 préparé_Capex- Mobile 2" xfId="0"/>
    <cellStyle name="_Table_02 Pfd Valuation_commentaires fixe  internet Déc 08_TBG Onatel Février  2009  Vtbg V3_Reporting Onatel septembre  2009 préparé_Capex- Mobile 2 2" xfId="0"/>
    <cellStyle name="_Table_02 Pfd Valuation_commentaires fixe  internet Déc 08_TBG Onatel Février  2009  Vtbg V3_Reporting Onatel septembre  2009 préparé_Capex- Mobile 3" xfId="0"/>
    <cellStyle name="_Table_02 Pfd Valuation_Commentaires TBG mars" xfId="0"/>
    <cellStyle name="_Table_02 Pfd Valuation_Commentaires TBG mars 2" xfId="0"/>
    <cellStyle name="_Table_02 Pfd Valuation_Commentaires TBG mars 2 2" xfId="0"/>
    <cellStyle name="_Table_02 Pfd Valuation_Commentaires TBG mars 3" xfId="0"/>
    <cellStyle name="_Table_02 Pfd Valuation_Commentaires TBG mars_Budget Telmob 2011" xfId="0"/>
    <cellStyle name="_Table_02 Pfd Valuation_Commentaires TBG mars_Budget Telmob 2011 2" xfId="0"/>
    <cellStyle name="_Table_02 Pfd Valuation_Commentaires TBG mars_Budget Telmob 2011 2 2" xfId="0"/>
    <cellStyle name="_Table_02 Pfd Valuation_Commentaires TBG mars_Budget Telmob 2011 3" xfId="0"/>
    <cellStyle name="_Table_02 Pfd Valuation_Commentaires TBG mars_Capex- Mobile" xfId="0"/>
    <cellStyle name="_Table_02 Pfd Valuation_Commentaires TBG mars_Capex- Mobile 2" xfId="0"/>
    <cellStyle name="_Table_02 Pfd Valuation_Commentaires TBG mars_Capex- Mobile 2 2" xfId="0"/>
    <cellStyle name="_Table_02 Pfd Valuation_Commentaires TBG mars_Capex- Mobile 3" xfId="0"/>
    <cellStyle name="_Table_02 Pfd Valuation_Commentaires TBG mars_Copie de Flash du mois d' avril 2009 corrigé par NAIMI" xfId="0"/>
    <cellStyle name="_Table_02 Pfd Valuation_Commentaires TBG mars_Copie de Flash du mois d' avril 2009 corrigé par NAIMI 2" xfId="0"/>
    <cellStyle name="_Table_02 Pfd Valuation_Commentaires TBG mars_Copie de Flash du mois d' avril 2009 corrigé par NAIMI 2 2" xfId="0"/>
    <cellStyle name="_Table_02 Pfd Valuation_Commentaires TBG mars_Copie de Flash du mois d' avril 2009 corrigé par NAIMI 3" xfId="0"/>
    <cellStyle name="_Table_02 Pfd Valuation_Commentaires TBG mars_Copie de Flash du mois d' avril 2009 corrigé par NAIMI_Budget Telmob 2011" xfId="0"/>
    <cellStyle name="_Table_02 Pfd Valuation_Commentaires TBG mars_Copie de Flash du mois d' avril 2009 corrigé par NAIMI_Budget Telmob 2011 2" xfId="0"/>
    <cellStyle name="_Table_02 Pfd Valuation_Commentaires TBG mars_Copie de Flash du mois d' avril 2009 corrigé par NAIMI_Budget Telmob 2011 2 2" xfId="0"/>
    <cellStyle name="_Table_02 Pfd Valuation_Commentaires TBG mars_Copie de Flash du mois d' avril 2009 corrigé par NAIMI_Budget Telmob 2011 3" xfId="0"/>
    <cellStyle name="_Table_02 Pfd Valuation_Commentaires TBG mars_Copie de Flash du mois d' avril 2009 corrigé par NAIMI_Capex- Mobile" xfId="0"/>
    <cellStyle name="_Table_02 Pfd Valuation_Commentaires TBG mars_Copie de Flash du mois d' avril 2009 corrigé par NAIMI_Capex- Mobile 2" xfId="0"/>
    <cellStyle name="_Table_02 Pfd Valuation_Commentaires TBG mars_Copie de Flash du mois d' avril 2009 corrigé par NAIMI_Capex- Mobile 2 2" xfId="0"/>
    <cellStyle name="_Table_02 Pfd Valuation_Commentaires TBG mars_Copie de Flash du mois d' avril 2009 corrigé par NAIMI_Capex- Mobile 3" xfId="0"/>
    <cellStyle name="_Table_02 Pfd Valuation_Commentaires TBG mars_Copie de Flash du mois d' avril 2009 corrigé par NAIMI_Flash du mois de mai 2009" xfId="0"/>
    <cellStyle name="_Table_02 Pfd Valuation_Commentaires TBG mars_Copie de Flash du mois d' avril 2009 corrigé par NAIMI_Flash du mois de mai 2009 2" xfId="0"/>
    <cellStyle name="_Table_02 Pfd Valuation_Commentaires TBG mars_Copie de Flash du mois d' avril 2009 corrigé par NAIMI_Flash du mois de mai 2009 2 2" xfId="0"/>
    <cellStyle name="_Table_02 Pfd Valuation_Commentaires TBG mars_Copie de Flash du mois d' avril 2009 corrigé par NAIMI_Flash du mois de mai 2009 3" xfId="0"/>
    <cellStyle name="_Table_02 Pfd Valuation_Commentaires TBG mars_Copie de Flash du mois d' avril 2009 corrigé par NAIMI_Flash du mois de mai 2009_Budget Telmob 2011" xfId="0"/>
    <cellStyle name="_Table_02 Pfd Valuation_Commentaires TBG mars_Copie de Flash du mois d' avril 2009 corrigé par NAIMI_Flash du mois de mai 2009_Budget Telmob 2011 2" xfId="0"/>
    <cellStyle name="_Table_02 Pfd Valuation_Commentaires TBG mars_Copie de Flash du mois d' avril 2009 corrigé par NAIMI_Flash du mois de mai 2009_Budget Telmob 2011 2 2" xfId="0"/>
    <cellStyle name="_Table_02 Pfd Valuation_Commentaires TBG mars_Copie de Flash du mois d' avril 2009 corrigé par NAIMI_Flash du mois de mai 2009_Budget Telmob 2011 3" xfId="0"/>
    <cellStyle name="_Table_02 Pfd Valuation_Commentaires TBG mars_Copie de Flash du mois d' avril 2009 corrigé par NAIMI_Flash du mois de mai 2009_Capex- Mobile" xfId="0"/>
    <cellStyle name="_Table_02 Pfd Valuation_Commentaires TBG mars_Copie de Flash du mois d' avril 2009 corrigé par NAIMI_Flash du mois de mai 2009_Capex- Mobile 2" xfId="0"/>
    <cellStyle name="_Table_02 Pfd Valuation_Commentaires TBG mars_Copie de Flash du mois d' avril 2009 corrigé par NAIMI_Flash du mois de mai 2009_Capex- Mobile 2 2" xfId="0"/>
    <cellStyle name="_Table_02 Pfd Valuation_Commentaires TBG mars_Copie de Flash du mois d' avril 2009 corrigé par NAIMI_Flash du mois de mai 2009_Capex- Mobile 3" xfId="0"/>
    <cellStyle name="_Table_02 Pfd Valuation_Commentaires TBG mars_Copie de Flash du mois d' avril 2009 corrigé par NAIMI_Flash du mois de septembre 2009 (2) (version 1)" xfId="0"/>
    <cellStyle name="_Table_02 Pfd Valuation_Commentaires TBG mars_Copie de Flash du mois d' avril 2009 corrigé par NAIMI_Flash du mois de septembre 2009 (2) (version 1) 2" xfId="0"/>
    <cellStyle name="_Table_02 Pfd Valuation_Commentaires TBG mars_Copie de Flash du mois d' avril 2009 corrigé par NAIMI_Flash du mois de septembre 2009 (2) (version 1) 2 2" xfId="0"/>
    <cellStyle name="_Table_02 Pfd Valuation_Commentaires TBG mars_Copie de Flash du mois d' avril 2009 corrigé par NAIMI_Flash du mois de septembre 2009 (2) (version 1) 3" xfId="0"/>
    <cellStyle name="_Table_02 Pfd Valuation_Commentaires TBG mars_Copie de Flash du mois d' avril 2009 corrigé par NAIMI_Flash du mois de septembre 2009 (2) (version 1)_Budget Telmob 2011" xfId="0"/>
    <cellStyle name="_Table_02 Pfd Valuation_Commentaires TBG mars_Copie de Flash du mois d' avril 2009 corrigé par NAIMI_Flash du mois de septembre 2009 (2) (version 1)_Budget Telmob 2011 2" xfId="0"/>
    <cellStyle name="_Table_02 Pfd Valuation_Commentaires TBG mars_Copie de Flash du mois d' avril 2009 corrigé par NAIMI_Flash du mois de septembre 2009 (2) (version 1)_Budget Telmob 2011 2 2" xfId="0"/>
    <cellStyle name="_Table_02 Pfd Valuation_Commentaires TBG mars_Copie de Flash du mois d' avril 2009 corrigé par NAIMI_Flash du mois de septembre 2009 (2) (version 1)_Budget Telmob 2011 3" xfId="0"/>
    <cellStyle name="_Table_02 Pfd Valuation_Commentaires TBG mars_Copie de Flash du mois d' avril 2009 corrigé par NAIMI_Flash du mois de septembre 2009 (2) (version 1)_Capex- Mobile" xfId="0"/>
    <cellStyle name="_Table_02 Pfd Valuation_Commentaires TBG mars_Copie de Flash du mois d' avril 2009 corrigé par NAIMI_Flash du mois de septembre 2009 (2) (version 1)_Capex- Mobile 2" xfId="0"/>
    <cellStyle name="_Table_02 Pfd Valuation_Commentaires TBG mars_Copie de Flash du mois d' avril 2009 corrigé par NAIMI_Flash du mois de septembre 2009 (2) (version 1)_Capex- Mobile 2 2" xfId="0"/>
    <cellStyle name="_Table_02 Pfd Valuation_Commentaires TBG mars_Copie de Flash du mois d' avril 2009 corrigé par NAIMI_Flash du mois de septembre 2009 (2) (version 1)_Capex- Mobile 3" xfId="0"/>
    <cellStyle name="_Table_02 Pfd Valuation_Commentaires TBG mars_Copie de Flash du mois d' avril 2009 corrigé par NAIMI_Reporting Onatel Mai 2009 V 0" xfId="0"/>
    <cellStyle name="_Table_02 Pfd Valuation_Commentaires TBG mars_Copie de Flash du mois d' avril 2009 corrigé par NAIMI_Reporting Onatel Mai 2009 V 0 2" xfId="0"/>
    <cellStyle name="_Table_02 Pfd Valuation_Commentaires TBG mars_Copie de Flash du mois d' avril 2009 corrigé par NAIMI_Reporting Onatel Mai 2009 V 0 2 2" xfId="0"/>
    <cellStyle name="_Table_02 Pfd Valuation_Commentaires TBG mars_Copie de Flash du mois d' avril 2009 corrigé par NAIMI_Reporting Onatel Mai 2009 V 0 3" xfId="0"/>
    <cellStyle name="_Table_02 Pfd Valuation_Commentaires TBG mars_Copie de Flash du mois d' avril 2009 corrigé par NAIMI_Reporting Onatel Mai 2009 V 0_Budget Telmob 2011" xfId="0"/>
    <cellStyle name="_Table_02 Pfd Valuation_Commentaires TBG mars_Copie de Flash du mois d' avril 2009 corrigé par NAIMI_Reporting Onatel Mai 2009 V 0_Budget Telmob 2011 2" xfId="0"/>
    <cellStyle name="_Table_02 Pfd Valuation_Commentaires TBG mars_Copie de Flash du mois d' avril 2009 corrigé par NAIMI_Reporting Onatel Mai 2009 V 0_Budget Telmob 2011 2 2" xfId="0"/>
    <cellStyle name="_Table_02 Pfd Valuation_Commentaires TBG mars_Copie de Flash du mois d' avril 2009 corrigé par NAIMI_Reporting Onatel Mai 2009 V 0_Budget Telmob 2011 3" xfId="0"/>
    <cellStyle name="_Table_02 Pfd Valuation_Commentaires TBG mars_Copie de Flash du mois d' avril 2009 corrigé par NAIMI_Reporting Onatel Mai 2009 V 0_Capex- Mobile" xfId="0"/>
    <cellStyle name="_Table_02 Pfd Valuation_Commentaires TBG mars_Copie de Flash du mois d' avril 2009 corrigé par NAIMI_Reporting Onatel Mai 2009 V 0_Capex- Mobile 2" xfId="0"/>
    <cellStyle name="_Table_02 Pfd Valuation_Commentaires TBG mars_Copie de Flash du mois d' avril 2009 corrigé par NAIMI_Reporting Onatel Mai 2009 V 0_Capex- Mobile 2 2" xfId="0"/>
    <cellStyle name="_Table_02 Pfd Valuation_Commentaires TBG mars_Copie de Flash du mois d' avril 2009 corrigé par NAIMI_Reporting Onatel Mai 2009 V 0_Capex- Mobile 3" xfId="0"/>
    <cellStyle name="_Table_02 Pfd Valuation_Commentaires TBG mars_Copie de Flash du mois d' avril 2009 corrigé par NAIMI_Reporting Onatel Mai 2009 V 0_Flash du mois de septembre 2009 (2) (version 1)" xfId="0"/>
    <cellStyle name="_Table_02 Pfd Valuation_Commentaires TBG mars_Copie de Flash du mois d' avril 2009 corrigé par NAIMI_Reporting Onatel Mai 2009 V 0_Flash du mois de septembre 2009 (2) (version 1) 2" xfId="0"/>
    <cellStyle name="_Table_02 Pfd Valuation_Commentaires TBG mars_Copie de Flash du mois d' avril 2009 corrigé par NAIMI_Reporting Onatel Mai 2009 V 0_Flash du mois de septembre 2009 (2) (version 1) 2 2" xfId="0"/>
    <cellStyle name="_Table_02 Pfd Valuation_Commentaires TBG mars_Copie de Flash du mois d' avril 2009 corrigé par NAIMI_Reporting Onatel Mai 2009 V 0_Flash du mois de septembre 2009 (2) (version 1) 3" xfId="0"/>
    <cellStyle name="_Table_02 Pfd Valuation_Commentaires TBG mars_Copie de Flash du mois d' avril 2009 corrigé par NAIMI_Reporting Onatel Mai 2009 V 0_Flash du mois de septembre 2009 (2) (version 1)_Budget Telmob 2011" xfId="0"/>
    <cellStyle name="_Table_02 Pfd Valuation_Commentaires TBG mars_Copie de Flash du mois d' avril 2009 corrigé par NAIMI_Reporting Onatel Mai 2009 V 0_Flash du mois de septembre 2009 (2) (version 1)_Budget Telmob 2011 2" xfId="0"/>
    <cellStyle name="_Table_02 Pfd Valuation_Commentaires TBG mars_Copie de Flash du mois d' avril 2009 corrigé par NAIMI_Reporting Onatel Mai 2009 V 0_Flash du mois de septembre 2009 (2) (version 1)_Budget Telmob 2011 2 2" xfId="0"/>
    <cellStyle name="_Table_02 Pfd Valuation_Commentaires TBG mars_Copie de Flash du mois d' avril 2009 corrigé par NAIMI_Reporting Onatel Mai 2009 V 0_Flash du mois de septembre 2009 (2) (version 1)_Budget Telmob 2011 3" xfId="0"/>
    <cellStyle name="_Table_02 Pfd Valuation_Commentaires TBG mars_Copie de Flash du mois d' avril 2009 corrigé par NAIMI_Reporting Onatel Mai 2009 V 0_Flash du mois de septembre 2009 (2) (version 1)_Capex- Mobile" xfId="0"/>
    <cellStyle name="_Table_02 Pfd Valuation_Commentaires TBG mars_Copie de Flash du mois d' avril 2009 corrigé par NAIMI_Reporting Onatel Mai 2009 V 0_Flash du mois de septembre 2009 (2) (version 1)_Capex- Mobile 2" xfId="0"/>
    <cellStyle name="_Table_02 Pfd Valuation_Commentaires TBG mars_Copie de Flash du mois d' avril 2009 corrigé par NAIMI_Reporting Onatel Mai 2009 V 0_Flash du mois de septembre 2009 (2) (version 1)_Capex- Mobile 2 2" xfId="0"/>
    <cellStyle name="_Table_02 Pfd Valuation_Commentaires TBG mars_Copie de Flash du mois d' avril 2009 corrigé par NAIMI_Reporting Onatel Mai 2009 V 0_Flash du mois de septembre 2009 (2) (version 1)_Capex- Mobile 3" xfId="0"/>
    <cellStyle name="_Table_02 Pfd Valuation_Commentaires TBG mars_Copie de Flash du mois d' avril 2009 corrigé par NAIMI_Reporting Onatel Mai 2009 V 0_Reporting Onatel septembre  2009 préparé" xfId="0"/>
    <cellStyle name="_Table_02 Pfd Valuation_Commentaires TBG mars_Copie de Flash du mois d' avril 2009 corrigé par NAIMI_Reporting Onatel Mai 2009 V 0_Reporting Onatel septembre  2009 préparé 2" xfId="0"/>
    <cellStyle name="_Table_02 Pfd Valuation_Commentaires TBG mars_Copie de Flash du mois d' avril 2009 corrigé par NAIMI_Reporting Onatel Mai 2009 V 0_Reporting Onatel septembre  2009 préparé 2 2" xfId="0"/>
    <cellStyle name="_Table_02 Pfd Valuation_Commentaires TBG mars_Copie de Flash du mois d' avril 2009 corrigé par NAIMI_Reporting Onatel Mai 2009 V 0_Reporting Onatel septembre  2009 préparé 3" xfId="0"/>
    <cellStyle name="_Table_02 Pfd Valuation_Commentaires TBG mars_Copie de Flash du mois d' avril 2009 corrigé par NAIMI_Reporting Onatel Mai 2009 V 0_Reporting Onatel septembre  2009 préparé_Budget Telmob 2011" xfId="0"/>
    <cellStyle name="_Table_02 Pfd Valuation_Commentaires TBG mars_Copie de Flash du mois d' avril 2009 corrigé par NAIMI_Reporting Onatel Mai 2009 V 0_Reporting Onatel septembre  2009 préparé_Budget Telmob 2011 2" xfId="0"/>
    <cellStyle name="_Table_02 Pfd Valuation_Commentaires TBG mars_Copie de Flash du mois d' avril 2009 corrigé par NAIMI_Reporting Onatel Mai 2009 V 0_Reporting Onatel septembre  2009 préparé_Budget Telmob 2011 2 2" xfId="0"/>
    <cellStyle name="_Table_02 Pfd Valuation_Commentaires TBG mars_Copie de Flash du mois d' avril 2009 corrigé par NAIMI_Reporting Onatel Mai 2009 V 0_Reporting Onatel septembre  2009 préparé_Budget Telmob 2011 3" xfId="0"/>
    <cellStyle name="_Table_02 Pfd Valuation_Commentaires TBG mars_Copie de Flash du mois d' avril 2009 corrigé par NAIMI_Reporting Onatel Mai 2009 V 0_Reporting Onatel septembre  2009 préparé_Capex- Mobile" xfId="0"/>
    <cellStyle name="_Table_02 Pfd Valuation_Commentaires TBG mars_Copie de Flash du mois d' avril 2009 corrigé par NAIMI_Reporting Onatel Mai 2009 V 0_Reporting Onatel septembre  2009 préparé_Capex- Mobile 2" xfId="0"/>
    <cellStyle name="_Table_02 Pfd Valuation_Commentaires TBG mars_Copie de Flash du mois d' avril 2009 corrigé par NAIMI_Reporting Onatel Mai 2009 V 0_Reporting Onatel septembre  2009 préparé_Capex- Mobile 2 2" xfId="0"/>
    <cellStyle name="_Table_02 Pfd Valuation_Commentaires TBG mars_Copie de Flash du mois d' avril 2009 corrigé par NAIMI_Reporting Onatel Mai 2009 V 0_Reporting Onatel septembre  2009 préparé_Capex- Mobile 3" xfId="0"/>
    <cellStyle name="_Table_02 Pfd Valuation_Commentaires TBG mars_Copie de Flash du mois d' avril 2009 corrigé par NAIMI_Reporting Onatel septembre  2009 préparé" xfId="0"/>
    <cellStyle name="_Table_02 Pfd Valuation_Commentaires TBG mars_Copie de Flash du mois d' avril 2009 corrigé par NAIMI_Reporting Onatel septembre  2009 préparé 2" xfId="0"/>
    <cellStyle name="_Table_02 Pfd Valuation_Commentaires TBG mars_Copie de Flash du mois d' avril 2009 corrigé par NAIMI_Reporting Onatel septembre  2009 préparé 2 2" xfId="0"/>
    <cellStyle name="_Table_02 Pfd Valuation_Commentaires TBG mars_Copie de Flash du mois d' avril 2009 corrigé par NAIMI_Reporting Onatel septembre  2009 préparé 3" xfId="0"/>
    <cellStyle name="_Table_02 Pfd Valuation_Commentaires TBG mars_Copie de Flash du mois d' avril 2009 corrigé par NAIMI_Reporting Onatel septembre  2009 préparé_Budget Telmob 2011" xfId="0"/>
    <cellStyle name="_Table_02 Pfd Valuation_Commentaires TBG mars_Copie de Flash du mois d' avril 2009 corrigé par NAIMI_Reporting Onatel septembre  2009 préparé_Budget Telmob 2011 2" xfId="0"/>
    <cellStyle name="_Table_02 Pfd Valuation_Commentaires TBG mars_Copie de Flash du mois d' avril 2009 corrigé par NAIMI_Reporting Onatel septembre  2009 préparé_Budget Telmob 2011 2 2" xfId="0"/>
    <cellStyle name="_Table_02 Pfd Valuation_Commentaires TBG mars_Copie de Flash du mois d' avril 2009 corrigé par NAIMI_Reporting Onatel septembre  2009 préparé_Budget Telmob 2011 3" xfId="0"/>
    <cellStyle name="_Table_02 Pfd Valuation_Commentaires TBG mars_Copie de Flash du mois d' avril 2009 corrigé par NAIMI_Reporting Onatel septembre  2009 préparé_Capex- Mobile" xfId="0"/>
    <cellStyle name="_Table_02 Pfd Valuation_Commentaires TBG mars_Copie de Flash du mois d' avril 2009 corrigé par NAIMI_Reporting Onatel septembre  2009 préparé_Capex- Mobile 2" xfId="0"/>
    <cellStyle name="_Table_02 Pfd Valuation_Commentaires TBG mars_Copie de Flash du mois d' avril 2009 corrigé par NAIMI_Reporting Onatel septembre  2009 préparé_Capex- Mobile 2 2" xfId="0"/>
    <cellStyle name="_Table_02 Pfd Valuation_Commentaires TBG mars_Copie de Flash du mois d' avril 2009 corrigé par NAIMI_Reporting Onatel septembre  2009 préparé_Capex- Mobile 3" xfId="0"/>
    <cellStyle name="_Table_02 Pfd Valuation_Commentaires TBG mars_Flash du mois d' avril 2009" xfId="0"/>
    <cellStyle name="_Table_02 Pfd Valuation_Commentaires TBG mars_Flash du mois d' avril 2009 2" xfId="0"/>
    <cellStyle name="_Table_02 Pfd Valuation_Commentaires TBG mars_Flash du mois d' avril 2009 2 2" xfId="0"/>
    <cellStyle name="_Table_02 Pfd Valuation_Commentaires TBG mars_Flash du mois d' avril 2009 3" xfId="0"/>
    <cellStyle name="_Table_02 Pfd Valuation_Commentaires TBG mars_Flash du mois d' avril 2009_Budget Telmob 2011" xfId="0"/>
    <cellStyle name="_Table_02 Pfd Valuation_Commentaires TBG mars_Flash du mois d' avril 2009_Budget Telmob 2011 2" xfId="0"/>
    <cellStyle name="_Table_02 Pfd Valuation_Commentaires TBG mars_Flash du mois d' avril 2009_Budget Telmob 2011 2 2" xfId="0"/>
    <cellStyle name="_Table_02 Pfd Valuation_Commentaires TBG mars_Flash du mois d' avril 2009_Budget Telmob 2011 3" xfId="0"/>
    <cellStyle name="_Table_02 Pfd Valuation_Commentaires TBG mars_Flash du mois d' avril 2009_Capex- Mobile" xfId="0"/>
    <cellStyle name="_Table_02 Pfd Valuation_Commentaires TBG mars_Flash du mois d' avril 2009_Capex- Mobile 2" xfId="0"/>
    <cellStyle name="_Table_02 Pfd Valuation_Commentaires TBG mars_Flash du mois d' avril 2009_Capex- Mobile 2 2" xfId="0"/>
    <cellStyle name="_Table_02 Pfd Valuation_Commentaires TBG mars_Flash du mois d' avril 2009_Capex- Mobile 3" xfId="0"/>
    <cellStyle name="_Table_02 Pfd Valuation_Commentaires TBG mars_Flash du mois d' avril 2009_Flash du mois de mai 2009" xfId="0"/>
    <cellStyle name="_Table_02 Pfd Valuation_Commentaires TBG mars_Flash du mois d' avril 2009_Flash du mois de mai 2009 2" xfId="0"/>
    <cellStyle name="_Table_02 Pfd Valuation_Commentaires TBG mars_Flash du mois d' avril 2009_Flash du mois de mai 2009 2 2" xfId="0"/>
    <cellStyle name="_Table_02 Pfd Valuation_Commentaires TBG mars_Flash du mois d' avril 2009_Flash du mois de mai 2009 3" xfId="0"/>
    <cellStyle name="_Table_02 Pfd Valuation_Commentaires TBG mars_Flash du mois d' avril 2009_Flash du mois de mai 2009_Budget Telmob 2011" xfId="0"/>
    <cellStyle name="_Table_02 Pfd Valuation_Commentaires TBG mars_Flash du mois d' avril 2009_Flash du mois de mai 2009_Budget Telmob 2011 2" xfId="0"/>
    <cellStyle name="_Table_02 Pfd Valuation_Commentaires TBG mars_Flash du mois d' avril 2009_Flash du mois de mai 2009_Budget Telmob 2011 2 2" xfId="0"/>
    <cellStyle name="_Table_02 Pfd Valuation_Commentaires TBG mars_Flash du mois d' avril 2009_Flash du mois de mai 2009_Budget Telmob 2011 3" xfId="0"/>
    <cellStyle name="_Table_02 Pfd Valuation_Commentaires TBG mars_Flash du mois d' avril 2009_Flash du mois de mai 2009_Capex- Mobile" xfId="0"/>
    <cellStyle name="_Table_02 Pfd Valuation_Commentaires TBG mars_Flash du mois d' avril 2009_Flash du mois de mai 2009_Capex- Mobile 2" xfId="0"/>
    <cellStyle name="_Table_02 Pfd Valuation_Commentaires TBG mars_Flash du mois d' avril 2009_Flash du mois de mai 2009_Capex- Mobile 2 2" xfId="0"/>
    <cellStyle name="_Table_02 Pfd Valuation_Commentaires TBG mars_Flash du mois d' avril 2009_Flash du mois de mai 2009_Capex- Mobile 3" xfId="0"/>
    <cellStyle name="_Table_02 Pfd Valuation_Commentaires TBG mars_Flash du mois d' avril 2009_Flash du mois de septembre 2009 (2) (version 1)" xfId="0"/>
    <cellStyle name="_Table_02 Pfd Valuation_Commentaires TBG mars_Flash du mois d' avril 2009_Flash du mois de septembre 2009 (2) (version 1) 2" xfId="0"/>
    <cellStyle name="_Table_02 Pfd Valuation_Commentaires TBG mars_Flash du mois d' avril 2009_Flash du mois de septembre 2009 (2) (version 1) 2 2" xfId="0"/>
    <cellStyle name="_Table_02 Pfd Valuation_Commentaires TBG mars_Flash du mois d' avril 2009_Flash du mois de septembre 2009 (2) (version 1) 3" xfId="0"/>
    <cellStyle name="_Table_02 Pfd Valuation_Commentaires TBG mars_Flash du mois d' avril 2009_Flash du mois de septembre 2009 (2) (version 1)_Budget Telmob 2011" xfId="0"/>
    <cellStyle name="_Table_02 Pfd Valuation_Commentaires TBG mars_Flash du mois d' avril 2009_Flash du mois de septembre 2009 (2) (version 1)_Budget Telmob 2011 2" xfId="0"/>
    <cellStyle name="_Table_02 Pfd Valuation_Commentaires TBG mars_Flash du mois d' avril 2009_Flash du mois de septembre 2009 (2) (version 1)_Budget Telmob 2011 2 2" xfId="0"/>
    <cellStyle name="_Table_02 Pfd Valuation_Commentaires TBG mars_Flash du mois d' avril 2009_Flash du mois de septembre 2009 (2) (version 1)_Budget Telmob 2011 3" xfId="0"/>
    <cellStyle name="_Table_02 Pfd Valuation_Commentaires TBG mars_Flash du mois d' avril 2009_Flash du mois de septembre 2009 (2) (version 1)_Capex- Mobile" xfId="0"/>
    <cellStyle name="_Table_02 Pfd Valuation_Commentaires TBG mars_Flash du mois d' avril 2009_Flash du mois de septembre 2009 (2) (version 1)_Capex- Mobile 2" xfId="0"/>
    <cellStyle name="_Table_02 Pfd Valuation_Commentaires TBG mars_Flash du mois d' avril 2009_Flash du mois de septembre 2009 (2) (version 1)_Capex- Mobile 2 2" xfId="0"/>
    <cellStyle name="_Table_02 Pfd Valuation_Commentaires TBG mars_Flash du mois d' avril 2009_Flash du mois de septembre 2009 (2) (version 1)_Capex- Mobile 3" xfId="0"/>
    <cellStyle name="_Table_02 Pfd Valuation_Commentaires TBG mars_Flash du mois d' avril 2009_Reporting Onatel Mai 2009 V 0" xfId="0"/>
    <cellStyle name="_Table_02 Pfd Valuation_Commentaires TBG mars_Flash du mois d' avril 2009_Reporting Onatel Mai 2009 V 0 2" xfId="0"/>
    <cellStyle name="_Table_02 Pfd Valuation_Commentaires TBG mars_Flash du mois d' avril 2009_Reporting Onatel Mai 2009 V 0 2 2" xfId="0"/>
    <cellStyle name="_Table_02 Pfd Valuation_Commentaires TBG mars_Flash du mois d' avril 2009_Reporting Onatel Mai 2009 V 0 3" xfId="0"/>
    <cellStyle name="_Table_02 Pfd Valuation_Commentaires TBG mars_Flash du mois d' avril 2009_Reporting Onatel Mai 2009 V 0_Budget Telmob 2011" xfId="0"/>
    <cellStyle name="_Table_02 Pfd Valuation_Commentaires TBG mars_Flash du mois d' avril 2009_Reporting Onatel Mai 2009 V 0_Budget Telmob 2011 2" xfId="0"/>
    <cellStyle name="_Table_02 Pfd Valuation_Commentaires TBG mars_Flash du mois d' avril 2009_Reporting Onatel Mai 2009 V 0_Budget Telmob 2011 2 2" xfId="0"/>
    <cellStyle name="_Table_02 Pfd Valuation_Commentaires TBG mars_Flash du mois d' avril 2009_Reporting Onatel Mai 2009 V 0_Budget Telmob 2011 3" xfId="0"/>
    <cellStyle name="_Table_02 Pfd Valuation_Commentaires TBG mars_Flash du mois d' avril 2009_Reporting Onatel Mai 2009 V 0_Capex- Mobile" xfId="0"/>
    <cellStyle name="_Table_02 Pfd Valuation_Commentaires TBG mars_Flash du mois d' avril 2009_Reporting Onatel Mai 2009 V 0_Capex- Mobile 2" xfId="0"/>
    <cellStyle name="_Table_02 Pfd Valuation_Commentaires TBG mars_Flash du mois d' avril 2009_Reporting Onatel Mai 2009 V 0_Capex- Mobile 2 2" xfId="0"/>
    <cellStyle name="_Table_02 Pfd Valuation_Commentaires TBG mars_Flash du mois d' avril 2009_Reporting Onatel Mai 2009 V 0_Capex- Mobile 3" xfId="0"/>
    <cellStyle name="_Table_02 Pfd Valuation_Commentaires TBG mars_Flash du mois d' avril 2009_Reporting Onatel septembre  2009 préparé" xfId="0"/>
    <cellStyle name="_Table_02 Pfd Valuation_Commentaires TBG mars_Flash du mois d' avril 2009_Reporting Onatel septembre  2009 préparé 2" xfId="0"/>
    <cellStyle name="_Table_02 Pfd Valuation_Commentaires TBG mars_Flash du mois d' avril 2009_Reporting Onatel septembre  2009 préparé 2 2" xfId="0"/>
    <cellStyle name="_Table_02 Pfd Valuation_Commentaires TBG mars_Flash du mois d' avril 2009_Reporting Onatel septembre  2009 préparé 3" xfId="0"/>
    <cellStyle name="_Table_02 Pfd Valuation_Commentaires TBG mars_Flash du mois d' avril 2009_Reporting Onatel septembre  2009 préparé_Budget Telmob 2011" xfId="0"/>
    <cellStyle name="_Table_02 Pfd Valuation_Commentaires TBG mars_Flash du mois d' avril 2009_Reporting Onatel septembre  2009 préparé_Budget Telmob 2011 2" xfId="0"/>
    <cellStyle name="_Table_02 Pfd Valuation_Commentaires TBG mars_Flash du mois d' avril 2009_Reporting Onatel septembre  2009 préparé_Budget Telmob 2011 2 2" xfId="0"/>
    <cellStyle name="_Table_02 Pfd Valuation_Commentaires TBG mars_Flash du mois d' avril 2009_Reporting Onatel septembre  2009 préparé_Budget Telmob 2011 3" xfId="0"/>
    <cellStyle name="_Table_02 Pfd Valuation_Commentaires TBG mars_Flash du mois d' avril 2009_Reporting Onatel septembre  2009 préparé_Capex- Mobile" xfId="0"/>
    <cellStyle name="_Table_02 Pfd Valuation_Commentaires TBG mars_Flash du mois d' avril 2009_Reporting Onatel septembre  2009 préparé_Capex- Mobile 2" xfId="0"/>
    <cellStyle name="_Table_02 Pfd Valuation_Commentaires TBG mars_Flash du mois d' avril 2009_Reporting Onatel septembre  2009 préparé_Capex- Mobile 2 2" xfId="0"/>
    <cellStyle name="_Table_02 Pfd Valuation_Commentaires TBG mars_Flash du mois d' avril 2009_Reporting Onatel septembre  2009 préparé_Capex- Mobile 3" xfId="0"/>
    <cellStyle name="_Table_02 Pfd Valuation_Commentaires TBG mars_Flash du mois de mai 2009" xfId="0"/>
    <cellStyle name="_Table_02 Pfd Valuation_Commentaires TBG mars_Flash du mois de mai 2009 2" xfId="0"/>
    <cellStyle name="_Table_02 Pfd Valuation_Commentaires TBG mars_Flash du mois de mai 2009 2 2" xfId="0"/>
    <cellStyle name="_Table_02 Pfd Valuation_Commentaires TBG mars_Flash du mois de mai 2009 3" xfId="0"/>
    <cellStyle name="_Table_02 Pfd Valuation_Commentaires TBG mars_Flash du mois de mai 2009_Budget Telmob 2011" xfId="0"/>
    <cellStyle name="_Table_02 Pfd Valuation_Commentaires TBG mars_Flash du mois de mai 2009_Budget Telmob 2011 2" xfId="0"/>
    <cellStyle name="_Table_02 Pfd Valuation_Commentaires TBG mars_Flash du mois de mai 2009_Budget Telmob 2011 2 2" xfId="0"/>
    <cellStyle name="_Table_02 Pfd Valuation_Commentaires TBG mars_Flash du mois de mai 2009_Budget Telmob 2011 3" xfId="0"/>
    <cellStyle name="_Table_02 Pfd Valuation_Commentaires TBG mars_Flash du mois de mai 2009_Capex- Mobile" xfId="0"/>
    <cellStyle name="_Table_02 Pfd Valuation_Commentaires TBG mars_Flash du mois de mai 2009_Capex- Mobile 2" xfId="0"/>
    <cellStyle name="_Table_02 Pfd Valuation_Commentaires TBG mars_Flash du mois de mai 2009_Capex- Mobile 2 2" xfId="0"/>
    <cellStyle name="_Table_02 Pfd Valuation_Commentaires TBG mars_Flash du mois de mai 2009_Capex- Mobile 3" xfId="0"/>
    <cellStyle name="_Table_02 Pfd Valuation_Commentaires TBG mars_Flash du mois de septembre 2009 (2) (version 1)" xfId="0"/>
    <cellStyle name="_Table_02 Pfd Valuation_Commentaires TBG mars_Flash du mois de septembre 2009 (2) (version 1) 2" xfId="0"/>
    <cellStyle name="_Table_02 Pfd Valuation_Commentaires TBG mars_Flash du mois de septembre 2009 (2) (version 1) 2 2" xfId="0"/>
    <cellStyle name="_Table_02 Pfd Valuation_Commentaires TBG mars_Flash du mois de septembre 2009 (2) (version 1) 3" xfId="0"/>
    <cellStyle name="_Table_02 Pfd Valuation_Commentaires TBG mars_Flash du mois de septembre 2009 (2) (version 1)_Budget Telmob 2011" xfId="0"/>
    <cellStyle name="_Table_02 Pfd Valuation_Commentaires TBG mars_Flash du mois de septembre 2009 (2) (version 1)_Budget Telmob 2011 2" xfId="0"/>
    <cellStyle name="_Table_02 Pfd Valuation_Commentaires TBG mars_Flash du mois de septembre 2009 (2) (version 1)_Budget Telmob 2011 2 2" xfId="0"/>
    <cellStyle name="_Table_02 Pfd Valuation_Commentaires TBG mars_Flash du mois de septembre 2009 (2) (version 1)_Budget Telmob 2011 3" xfId="0"/>
    <cellStyle name="_Table_02 Pfd Valuation_Commentaires TBG mars_Flash du mois de septembre 2009 (2) (version 1)_Capex- Mobile" xfId="0"/>
    <cellStyle name="_Table_02 Pfd Valuation_Commentaires TBG mars_Flash du mois de septembre 2009 (2) (version 1)_Capex- Mobile 2" xfId="0"/>
    <cellStyle name="_Table_02 Pfd Valuation_Commentaires TBG mars_Flash du mois de septembre 2009 (2) (version 1)_Capex- Mobile 2 2" xfId="0"/>
    <cellStyle name="_Table_02 Pfd Valuation_Commentaires TBG mars_Flash du mois de septembre 2009 (2) (version 1)_Capex- Mobile 3" xfId="0"/>
    <cellStyle name="_Table_02 Pfd Valuation_Commentaires TBG mars_Reporting Onatel Mai 2009 V 0" xfId="0"/>
    <cellStyle name="_Table_02 Pfd Valuation_Commentaires TBG mars_Reporting Onatel Mai 2009 V 0 2" xfId="0"/>
    <cellStyle name="_Table_02 Pfd Valuation_Commentaires TBG mars_Reporting Onatel Mai 2009 V 0 2 2" xfId="0"/>
    <cellStyle name="_Table_02 Pfd Valuation_Commentaires TBG mars_Reporting Onatel Mai 2009 V 0 3" xfId="0"/>
    <cellStyle name="_Table_02 Pfd Valuation_Commentaires TBG mars_Reporting Onatel Mai 2009 V 0_Budget Telmob 2011" xfId="0"/>
    <cellStyle name="_Table_02 Pfd Valuation_Commentaires TBG mars_Reporting Onatel Mai 2009 V 0_Budget Telmob 2011 2" xfId="0"/>
    <cellStyle name="_Table_02 Pfd Valuation_Commentaires TBG mars_Reporting Onatel Mai 2009 V 0_Budget Telmob 2011 2 2" xfId="0"/>
    <cellStyle name="_Table_02 Pfd Valuation_Commentaires TBG mars_Reporting Onatel Mai 2009 V 0_Budget Telmob 2011 3" xfId="0"/>
    <cellStyle name="_Table_02 Pfd Valuation_Commentaires TBG mars_Reporting Onatel Mai 2009 V 0_Capex- Mobile" xfId="0"/>
    <cellStyle name="_Table_02 Pfd Valuation_Commentaires TBG mars_Reporting Onatel Mai 2009 V 0_Capex- Mobile 2" xfId="0"/>
    <cellStyle name="_Table_02 Pfd Valuation_Commentaires TBG mars_Reporting Onatel Mai 2009 V 0_Capex- Mobile 2 2" xfId="0"/>
    <cellStyle name="_Table_02 Pfd Valuation_Commentaires TBG mars_Reporting Onatel Mai 2009 V 0_Capex- Mobile 3" xfId="0"/>
    <cellStyle name="_Table_02 Pfd Valuation_Commentaires TBG mars_Reporting Onatel septembre  2009 préparé" xfId="0"/>
    <cellStyle name="_Table_02 Pfd Valuation_Commentaires TBG mars_Reporting Onatel septembre  2009 préparé 2" xfId="0"/>
    <cellStyle name="_Table_02 Pfd Valuation_Commentaires TBG mars_Reporting Onatel septembre  2009 préparé 2 2" xfId="0"/>
    <cellStyle name="_Table_02 Pfd Valuation_Commentaires TBG mars_Reporting Onatel septembre  2009 préparé 3" xfId="0"/>
    <cellStyle name="_Table_02 Pfd Valuation_Commentaires TBG mars_Reporting Onatel septembre  2009 préparé_Budget Telmob 2011" xfId="0"/>
    <cellStyle name="_Table_02 Pfd Valuation_Commentaires TBG mars_Reporting Onatel septembre  2009 préparé_Budget Telmob 2011 2" xfId="0"/>
    <cellStyle name="_Table_02 Pfd Valuation_Commentaires TBG mars_Reporting Onatel septembre  2009 préparé_Budget Telmob 2011 2 2" xfId="0"/>
    <cellStyle name="_Table_02 Pfd Valuation_Commentaires TBG mars_Reporting Onatel septembre  2009 préparé_Budget Telmob 2011 3" xfId="0"/>
    <cellStyle name="_Table_02 Pfd Valuation_Commentaires TBG mars_Reporting Onatel septembre  2009 préparé_Capex- Mobile" xfId="0"/>
    <cellStyle name="_Table_02 Pfd Valuation_Commentaires TBG mars_Reporting Onatel septembre  2009 préparé_Capex- Mobile 2" xfId="0"/>
    <cellStyle name="_Table_02 Pfd Valuation_Commentaires TBG mars_Reporting Onatel septembre  2009 préparé_Capex- Mobile 2 2" xfId="0"/>
    <cellStyle name="_Table_02 Pfd Valuation_Commentaires TBG mars_Reporting Onatel septembre  2009 préparé_Capex- Mobile 3" xfId="0"/>
    <cellStyle name="_Table_02 Pfd Valuation_Copie de Flash du mois d' avril 2009 corrigé par NAIMI" xfId="0"/>
    <cellStyle name="_Table_02 Pfd Valuation_Copie de Flash du mois d' avril 2009 corrigé par NAIMI 2" xfId="0"/>
    <cellStyle name="_Table_02 Pfd Valuation_Copie de Flash du mois d' avril 2009 corrigé par NAIMI 2 2" xfId="0"/>
    <cellStyle name="_Table_02 Pfd Valuation_Copie de Flash du mois d' avril 2009 corrigé par NAIMI 3" xfId="0"/>
    <cellStyle name="_Table_02 Pfd Valuation_Copie de Flash du mois d' avril 2009 corrigé par NAIMI_Budget Telmob 2011" xfId="0"/>
    <cellStyle name="_Table_02 Pfd Valuation_Copie de Flash du mois d' avril 2009 corrigé par NAIMI_Budget Telmob 2011 2" xfId="0"/>
    <cellStyle name="_Table_02 Pfd Valuation_Copie de Flash du mois d' avril 2009 corrigé par NAIMI_Budget Telmob 2011 2 2" xfId="0"/>
    <cellStyle name="_Table_02 Pfd Valuation_Copie de Flash du mois d' avril 2009 corrigé par NAIMI_Budget Telmob 2011 3" xfId="0"/>
    <cellStyle name="_Table_02 Pfd Valuation_Copie de Flash du mois d' avril 2009 corrigé par NAIMI_Capex- Mobile" xfId="0"/>
    <cellStyle name="_Table_02 Pfd Valuation_Copie de Flash du mois d' avril 2009 corrigé par NAIMI_Capex- Mobile 2" xfId="0"/>
    <cellStyle name="_Table_02 Pfd Valuation_Copie de Flash du mois d' avril 2009 corrigé par NAIMI_Capex- Mobile 2 2" xfId="0"/>
    <cellStyle name="_Table_02 Pfd Valuation_Copie de Flash du mois d' avril 2009 corrigé par NAIMI_Capex- Mobile 3" xfId="0"/>
    <cellStyle name="_Table_02 Pfd Valuation_Copie de Flash du mois d' avril 2009 corrigé par NAIMI_Flash du mois de mai 2009" xfId="0"/>
    <cellStyle name="_Table_02 Pfd Valuation_Copie de Flash du mois d' avril 2009 corrigé par NAIMI_Flash du mois de mai 2009 2" xfId="0"/>
    <cellStyle name="_Table_02 Pfd Valuation_Copie de Flash du mois d' avril 2009 corrigé par NAIMI_Flash du mois de mai 2009 2 2" xfId="0"/>
    <cellStyle name="_Table_02 Pfd Valuation_Copie de Flash du mois d' avril 2009 corrigé par NAIMI_Flash du mois de mai 2009 3" xfId="0"/>
    <cellStyle name="_Table_02 Pfd Valuation_Copie de Flash du mois d' avril 2009 corrigé par NAIMI_Flash du mois de mai 2009_Budget Telmob 2011" xfId="0"/>
    <cellStyle name="_Table_02 Pfd Valuation_Copie de Flash du mois d' avril 2009 corrigé par NAIMI_Flash du mois de mai 2009_Budget Telmob 2011 2" xfId="0"/>
    <cellStyle name="_Table_02 Pfd Valuation_Copie de Flash du mois d' avril 2009 corrigé par NAIMI_Flash du mois de mai 2009_Budget Telmob 2011 2 2" xfId="0"/>
    <cellStyle name="_Table_02 Pfd Valuation_Copie de Flash du mois d' avril 2009 corrigé par NAIMI_Flash du mois de mai 2009_Budget Telmob 2011 3" xfId="0"/>
    <cellStyle name="_Table_02 Pfd Valuation_Copie de Flash du mois d' avril 2009 corrigé par NAIMI_Flash du mois de mai 2009_Capex- Mobile" xfId="0"/>
    <cellStyle name="_Table_02 Pfd Valuation_Copie de Flash du mois d' avril 2009 corrigé par NAIMI_Flash du mois de mai 2009_Capex- Mobile 2" xfId="0"/>
    <cellStyle name="_Table_02 Pfd Valuation_Copie de Flash du mois d' avril 2009 corrigé par NAIMI_Flash du mois de mai 2009_Capex- Mobile 2 2" xfId="0"/>
    <cellStyle name="_Table_02 Pfd Valuation_Copie de Flash du mois d' avril 2009 corrigé par NAIMI_Flash du mois de mai 2009_Capex- Mobile 3" xfId="0"/>
    <cellStyle name="_Table_02 Pfd Valuation_Copie de Flash du mois d' avril 2009 corrigé par NAIMI_Flash du mois de septembre 2009 (2) (version 1)" xfId="0"/>
    <cellStyle name="_Table_02 Pfd Valuation_Copie de Flash du mois d' avril 2009 corrigé par NAIMI_Flash du mois de septembre 2009 (2) (version 1) 2" xfId="0"/>
    <cellStyle name="_Table_02 Pfd Valuation_Copie de Flash du mois d' avril 2009 corrigé par NAIMI_Flash du mois de septembre 2009 (2) (version 1) 2 2" xfId="0"/>
    <cellStyle name="_Table_02 Pfd Valuation_Copie de Flash du mois d' avril 2009 corrigé par NAIMI_Flash du mois de septembre 2009 (2) (version 1) 3" xfId="0"/>
    <cellStyle name="_Table_02 Pfd Valuation_Copie de Flash du mois d' avril 2009 corrigé par NAIMI_Flash du mois de septembre 2009 (2) (version 1)_Budget Telmob 2011" xfId="0"/>
    <cellStyle name="_Table_02 Pfd Valuation_Copie de Flash du mois d' avril 2009 corrigé par NAIMI_Flash du mois de septembre 2009 (2) (version 1)_Budget Telmob 2011 2" xfId="0"/>
    <cellStyle name="_Table_02 Pfd Valuation_Copie de Flash du mois d' avril 2009 corrigé par NAIMI_Flash du mois de septembre 2009 (2) (version 1)_Budget Telmob 2011 2 2" xfId="0"/>
    <cellStyle name="_Table_02 Pfd Valuation_Copie de Flash du mois d' avril 2009 corrigé par NAIMI_Flash du mois de septembre 2009 (2) (version 1)_Budget Telmob 2011 3" xfId="0"/>
    <cellStyle name="_Table_02 Pfd Valuation_Copie de Flash du mois d' avril 2009 corrigé par NAIMI_Flash du mois de septembre 2009 (2) (version 1)_Capex- Mobile" xfId="0"/>
    <cellStyle name="_Table_02 Pfd Valuation_Copie de Flash du mois d' avril 2009 corrigé par NAIMI_Flash du mois de septembre 2009 (2) (version 1)_Capex- Mobile 2" xfId="0"/>
    <cellStyle name="_Table_02 Pfd Valuation_Copie de Flash du mois d' avril 2009 corrigé par NAIMI_Flash du mois de septembre 2009 (2) (version 1)_Capex- Mobile 2 2" xfId="0"/>
    <cellStyle name="_Table_02 Pfd Valuation_Copie de Flash du mois d' avril 2009 corrigé par NAIMI_Flash du mois de septembre 2009 (2) (version 1)_Capex- Mobile 3" xfId="0"/>
    <cellStyle name="_Table_02 Pfd Valuation_Copie de Flash du mois d' avril 2009 corrigé par NAIMI_Reporting Onatel Mai 2009 V 0" xfId="0"/>
    <cellStyle name="_Table_02 Pfd Valuation_Copie de Flash du mois d' avril 2009 corrigé par NAIMI_Reporting Onatel Mai 2009 V 0 2" xfId="0"/>
    <cellStyle name="_Table_02 Pfd Valuation_Copie de Flash du mois d' avril 2009 corrigé par NAIMI_Reporting Onatel Mai 2009 V 0 2 2" xfId="0"/>
    <cellStyle name="_Table_02 Pfd Valuation_Copie de Flash du mois d' avril 2009 corrigé par NAIMI_Reporting Onatel Mai 2009 V 0 3" xfId="0"/>
    <cellStyle name="_Table_02 Pfd Valuation_Copie de Flash du mois d' avril 2009 corrigé par NAIMI_Reporting Onatel Mai 2009 V 0_Budget Telmob 2011" xfId="0"/>
    <cellStyle name="_Table_02 Pfd Valuation_Copie de Flash du mois d' avril 2009 corrigé par NAIMI_Reporting Onatel Mai 2009 V 0_Budget Telmob 2011 2" xfId="0"/>
    <cellStyle name="_Table_02 Pfd Valuation_Copie de Flash du mois d' avril 2009 corrigé par NAIMI_Reporting Onatel Mai 2009 V 0_Budget Telmob 2011 2 2" xfId="0"/>
    <cellStyle name="_Table_02 Pfd Valuation_Copie de Flash du mois d' avril 2009 corrigé par NAIMI_Reporting Onatel Mai 2009 V 0_Budget Telmob 2011 3" xfId="0"/>
    <cellStyle name="_Table_02 Pfd Valuation_Copie de Flash du mois d' avril 2009 corrigé par NAIMI_Reporting Onatel Mai 2009 V 0_Capex- Mobile" xfId="0"/>
    <cellStyle name="_Table_02 Pfd Valuation_Copie de Flash du mois d' avril 2009 corrigé par NAIMI_Reporting Onatel Mai 2009 V 0_Capex- Mobile 2" xfId="0"/>
    <cellStyle name="_Table_02 Pfd Valuation_Copie de Flash du mois d' avril 2009 corrigé par NAIMI_Reporting Onatel Mai 2009 V 0_Capex- Mobile 2 2" xfId="0"/>
    <cellStyle name="_Table_02 Pfd Valuation_Copie de Flash du mois d' avril 2009 corrigé par NAIMI_Reporting Onatel Mai 2009 V 0_Capex- Mobile 3" xfId="0"/>
    <cellStyle name="_Table_02 Pfd Valuation_Copie de Flash du mois d' avril 2009 corrigé par NAIMI_Reporting Onatel Mai 2009 V 0_Flash du mois de septembre 2009 (2) (version 1)" xfId="0"/>
    <cellStyle name="_Table_02 Pfd Valuation_Copie de Flash du mois d' avril 2009 corrigé par NAIMI_Reporting Onatel Mai 2009 V 0_Flash du mois de septembre 2009 (2) (version 1) 2" xfId="0"/>
    <cellStyle name="_Table_02 Pfd Valuation_Copie de Flash du mois d' avril 2009 corrigé par NAIMI_Reporting Onatel Mai 2009 V 0_Flash du mois de septembre 2009 (2) (version 1) 2 2" xfId="0"/>
    <cellStyle name="_Table_02 Pfd Valuation_Copie de Flash du mois d' avril 2009 corrigé par NAIMI_Reporting Onatel Mai 2009 V 0_Flash du mois de septembre 2009 (2) (version 1) 3" xfId="0"/>
    <cellStyle name="_Table_02 Pfd Valuation_Copie de Flash du mois d' avril 2009 corrigé par NAIMI_Reporting Onatel Mai 2009 V 0_Flash du mois de septembre 2009 (2) (version 1)_Budget Telmob 2011" xfId="0"/>
    <cellStyle name="_Table_02 Pfd Valuation_Copie de Flash du mois d' avril 2009 corrigé par NAIMI_Reporting Onatel Mai 2009 V 0_Flash du mois de septembre 2009 (2) (version 1)_Budget Telmob 2011 2" xfId="0"/>
    <cellStyle name="_Table_02 Pfd Valuation_Copie de Flash du mois d' avril 2009 corrigé par NAIMI_Reporting Onatel Mai 2009 V 0_Flash du mois de septembre 2009 (2) (version 1)_Budget Telmob 2011 2 2" xfId="0"/>
    <cellStyle name="_Table_02 Pfd Valuation_Copie de Flash du mois d' avril 2009 corrigé par NAIMI_Reporting Onatel Mai 2009 V 0_Flash du mois de septembre 2009 (2) (version 1)_Budget Telmob 2011 3" xfId="0"/>
    <cellStyle name="_Table_02 Pfd Valuation_Copie de Flash du mois d' avril 2009 corrigé par NAIMI_Reporting Onatel Mai 2009 V 0_Flash du mois de septembre 2009 (2) (version 1)_Capex- Mobile" xfId="0"/>
    <cellStyle name="_Table_02 Pfd Valuation_Copie de Flash du mois d' avril 2009 corrigé par NAIMI_Reporting Onatel Mai 2009 V 0_Flash du mois de septembre 2009 (2) (version 1)_Capex- Mobile 2" xfId="0"/>
    <cellStyle name="_Table_02 Pfd Valuation_Copie de Flash du mois d' avril 2009 corrigé par NAIMI_Reporting Onatel Mai 2009 V 0_Flash du mois de septembre 2009 (2) (version 1)_Capex- Mobile 2 2" xfId="0"/>
    <cellStyle name="_Table_02 Pfd Valuation_Copie de Flash du mois d' avril 2009 corrigé par NAIMI_Reporting Onatel Mai 2009 V 0_Flash du mois de septembre 2009 (2) (version 1)_Capex- Mobile 3" xfId="0"/>
    <cellStyle name="_Table_02 Pfd Valuation_Copie de Flash du mois d' avril 2009 corrigé par NAIMI_Reporting Onatel Mai 2009 V 0_Reporting Onatel septembre  2009 préparé" xfId="0"/>
    <cellStyle name="_Table_02 Pfd Valuation_Copie de Flash du mois d' avril 2009 corrigé par NAIMI_Reporting Onatel Mai 2009 V 0_Reporting Onatel septembre  2009 préparé 2" xfId="0"/>
    <cellStyle name="_Table_02 Pfd Valuation_Copie de Flash du mois d' avril 2009 corrigé par NAIMI_Reporting Onatel Mai 2009 V 0_Reporting Onatel septembre  2009 préparé 2 2" xfId="0"/>
    <cellStyle name="_Table_02 Pfd Valuation_Copie de Flash du mois d' avril 2009 corrigé par NAIMI_Reporting Onatel Mai 2009 V 0_Reporting Onatel septembre  2009 préparé 3" xfId="0"/>
    <cellStyle name="_Table_02 Pfd Valuation_Copie de Flash du mois d' avril 2009 corrigé par NAIMI_Reporting Onatel Mai 2009 V 0_Reporting Onatel septembre  2009 préparé_Budget Telmob 2011" xfId="0"/>
    <cellStyle name="_Table_02 Pfd Valuation_Copie de Flash du mois d' avril 2009 corrigé par NAIMI_Reporting Onatel Mai 2009 V 0_Reporting Onatel septembre  2009 préparé_Budget Telmob 2011 2" xfId="0"/>
    <cellStyle name="_Table_02 Pfd Valuation_Copie de Flash du mois d' avril 2009 corrigé par NAIMI_Reporting Onatel Mai 2009 V 0_Reporting Onatel septembre  2009 préparé_Budget Telmob 2011 2 2" xfId="0"/>
    <cellStyle name="_Table_02 Pfd Valuation_Copie de Flash du mois d' avril 2009 corrigé par NAIMI_Reporting Onatel Mai 2009 V 0_Reporting Onatel septembre  2009 préparé_Budget Telmob 2011 3" xfId="0"/>
    <cellStyle name="_Table_02 Pfd Valuation_Copie de Flash du mois d' avril 2009 corrigé par NAIMI_Reporting Onatel Mai 2009 V 0_Reporting Onatel septembre  2009 préparé_Capex- Mobile" xfId="0"/>
    <cellStyle name="_Table_02 Pfd Valuation_Copie de Flash du mois d' avril 2009 corrigé par NAIMI_Reporting Onatel Mai 2009 V 0_Reporting Onatel septembre  2009 préparé_Capex- Mobile 2" xfId="0"/>
    <cellStyle name="_Table_02 Pfd Valuation_Copie de Flash du mois d' avril 2009 corrigé par NAIMI_Reporting Onatel Mai 2009 V 0_Reporting Onatel septembre  2009 préparé_Capex- Mobile 2 2" xfId="0"/>
    <cellStyle name="_Table_02 Pfd Valuation_Copie de Flash du mois d' avril 2009 corrigé par NAIMI_Reporting Onatel Mai 2009 V 0_Reporting Onatel septembre  2009 préparé_Capex- Mobile 3" xfId="0"/>
    <cellStyle name="_Table_02 Pfd Valuation_Copie de Flash du mois d' avril 2009 corrigé par NAIMI_Reporting Onatel septembre  2009 préparé" xfId="0"/>
    <cellStyle name="_Table_02 Pfd Valuation_Copie de Flash du mois d' avril 2009 corrigé par NAIMI_Reporting Onatel septembre  2009 préparé 2" xfId="0"/>
    <cellStyle name="_Table_02 Pfd Valuation_Copie de Flash du mois d' avril 2009 corrigé par NAIMI_Reporting Onatel septembre  2009 préparé 2 2" xfId="0"/>
    <cellStyle name="_Table_02 Pfd Valuation_Copie de Flash du mois d' avril 2009 corrigé par NAIMI_Reporting Onatel septembre  2009 préparé 3" xfId="0"/>
    <cellStyle name="_Table_02 Pfd Valuation_Copie de Flash du mois d' avril 2009 corrigé par NAIMI_Reporting Onatel septembre  2009 préparé_Budget Telmob 2011" xfId="0"/>
    <cellStyle name="_Table_02 Pfd Valuation_Copie de Flash du mois d' avril 2009 corrigé par NAIMI_Reporting Onatel septembre  2009 préparé_Budget Telmob 2011 2" xfId="0"/>
    <cellStyle name="_Table_02 Pfd Valuation_Copie de Flash du mois d' avril 2009 corrigé par NAIMI_Reporting Onatel septembre  2009 préparé_Budget Telmob 2011 2 2" xfId="0"/>
    <cellStyle name="_Table_02 Pfd Valuation_Copie de Flash du mois d' avril 2009 corrigé par NAIMI_Reporting Onatel septembre  2009 préparé_Budget Telmob 2011 3" xfId="0"/>
    <cellStyle name="_Table_02 Pfd Valuation_Copie de Flash du mois d' avril 2009 corrigé par NAIMI_Reporting Onatel septembre  2009 préparé_Capex- Mobile" xfId="0"/>
    <cellStyle name="_Table_02 Pfd Valuation_Copie de Flash du mois d' avril 2009 corrigé par NAIMI_Reporting Onatel septembre  2009 préparé_Capex- Mobile 2" xfId="0"/>
    <cellStyle name="_Table_02 Pfd Valuation_Copie de Flash du mois d' avril 2009 corrigé par NAIMI_Reporting Onatel septembre  2009 préparé_Capex- Mobile 2 2" xfId="0"/>
    <cellStyle name="_Table_02 Pfd Valuation_Copie de Flash du mois d' avril 2009 corrigé par NAIMI_Reporting Onatel septembre  2009 préparé_Capex- Mobile 3" xfId="0"/>
    <cellStyle name="_Table_02 Pfd Valuation_Flash du mois d' avril 2009" xfId="0"/>
    <cellStyle name="_Table_02 Pfd Valuation_Flash du mois d' avril 2009 2" xfId="0"/>
    <cellStyle name="_Table_02 Pfd Valuation_Flash du mois d' avril 2009 2 2" xfId="0"/>
    <cellStyle name="_Table_02 Pfd Valuation_Flash du mois d' avril 2009 3" xfId="0"/>
    <cellStyle name="_Table_02 Pfd Valuation_Flash du mois d' avril 2009_Budget Telmob 2011" xfId="0"/>
    <cellStyle name="_Table_02 Pfd Valuation_Flash du mois d' avril 2009_Budget Telmob 2011 2" xfId="0"/>
    <cellStyle name="_Table_02 Pfd Valuation_Flash du mois d' avril 2009_Budget Telmob 2011 2 2" xfId="0"/>
    <cellStyle name="_Table_02 Pfd Valuation_Flash du mois d' avril 2009_Budget Telmob 2011 3" xfId="0"/>
    <cellStyle name="_Table_02 Pfd Valuation_Flash du mois d' avril 2009_Capex- Mobile" xfId="0"/>
    <cellStyle name="_Table_02 Pfd Valuation_Flash du mois d' avril 2009_Capex- Mobile 2" xfId="0"/>
    <cellStyle name="_Table_02 Pfd Valuation_Flash du mois d' avril 2009_Capex- Mobile 2 2" xfId="0"/>
    <cellStyle name="_Table_02 Pfd Valuation_Flash du mois d' avril 2009_Capex- Mobile 3" xfId="0"/>
    <cellStyle name="_Table_02 Pfd Valuation_Flash du mois d' avril 2009_Flash du mois de mai 2009" xfId="0"/>
    <cellStyle name="_Table_02 Pfd Valuation_Flash du mois d' avril 2009_Flash du mois de mai 2009 2" xfId="0"/>
    <cellStyle name="_Table_02 Pfd Valuation_Flash du mois d' avril 2009_Flash du mois de mai 2009 2 2" xfId="0"/>
    <cellStyle name="_Table_02 Pfd Valuation_Flash du mois d' avril 2009_Flash du mois de mai 2009 3" xfId="0"/>
    <cellStyle name="_Table_02 Pfd Valuation_Flash du mois d' avril 2009_Flash du mois de mai 2009_Budget Telmob 2011" xfId="0"/>
    <cellStyle name="_Table_02 Pfd Valuation_Flash du mois d' avril 2009_Flash du mois de mai 2009_Budget Telmob 2011 2" xfId="0"/>
    <cellStyle name="_Table_02 Pfd Valuation_Flash du mois d' avril 2009_Flash du mois de mai 2009_Budget Telmob 2011 2 2" xfId="0"/>
    <cellStyle name="_Table_02 Pfd Valuation_Flash du mois d' avril 2009_Flash du mois de mai 2009_Budget Telmob 2011 3" xfId="0"/>
    <cellStyle name="_Table_02 Pfd Valuation_Flash du mois d' avril 2009_Flash du mois de mai 2009_Capex- Mobile" xfId="0"/>
    <cellStyle name="_Table_02 Pfd Valuation_Flash du mois d' avril 2009_Flash du mois de mai 2009_Capex- Mobile 2" xfId="0"/>
    <cellStyle name="_Table_02 Pfd Valuation_Flash du mois d' avril 2009_Flash du mois de mai 2009_Capex- Mobile 2 2" xfId="0"/>
    <cellStyle name="_Table_02 Pfd Valuation_Flash du mois d' avril 2009_Flash du mois de mai 2009_Capex- Mobile 3" xfId="0"/>
    <cellStyle name="_Table_02 Pfd Valuation_Flash du mois d' avril 2009_Flash du mois de septembre 2009 (2) (version 1)" xfId="0"/>
    <cellStyle name="_Table_02 Pfd Valuation_Flash du mois d' avril 2009_Flash du mois de septembre 2009 (2) (version 1) 2" xfId="0"/>
    <cellStyle name="_Table_02 Pfd Valuation_Flash du mois d' avril 2009_Flash du mois de septembre 2009 (2) (version 1) 2 2" xfId="0"/>
    <cellStyle name="_Table_02 Pfd Valuation_Flash du mois d' avril 2009_Flash du mois de septembre 2009 (2) (version 1) 3" xfId="0"/>
    <cellStyle name="_Table_02 Pfd Valuation_Flash du mois d' avril 2009_Flash du mois de septembre 2009 (2) (version 1)_Budget Telmob 2011" xfId="0"/>
    <cellStyle name="_Table_02 Pfd Valuation_Flash du mois d' avril 2009_Flash du mois de septembre 2009 (2) (version 1)_Budget Telmob 2011 2" xfId="0"/>
    <cellStyle name="_Table_02 Pfd Valuation_Flash du mois d' avril 2009_Flash du mois de septembre 2009 (2) (version 1)_Budget Telmob 2011 2 2" xfId="0"/>
    <cellStyle name="_Table_02 Pfd Valuation_Flash du mois d' avril 2009_Flash du mois de septembre 2009 (2) (version 1)_Budget Telmob 2011 3" xfId="0"/>
    <cellStyle name="_Table_02 Pfd Valuation_Flash du mois d' avril 2009_Flash du mois de septembre 2009 (2) (version 1)_Capex- Mobile" xfId="0"/>
    <cellStyle name="_Table_02 Pfd Valuation_Flash du mois d' avril 2009_Flash du mois de septembre 2009 (2) (version 1)_Capex- Mobile 2" xfId="0"/>
    <cellStyle name="_Table_02 Pfd Valuation_Flash du mois d' avril 2009_Flash du mois de septembre 2009 (2) (version 1)_Capex- Mobile 2 2" xfId="0"/>
    <cellStyle name="_Table_02 Pfd Valuation_Flash du mois d' avril 2009_Flash du mois de septembre 2009 (2) (version 1)_Capex- Mobile 3" xfId="0"/>
    <cellStyle name="_Table_02 Pfd Valuation_Flash du mois d' avril 2009_Reporting Onatel Mai 2009 V 0" xfId="0"/>
    <cellStyle name="_Table_02 Pfd Valuation_Flash du mois d' avril 2009_Reporting Onatel Mai 2009 V 0 2" xfId="0"/>
    <cellStyle name="_Table_02 Pfd Valuation_Flash du mois d' avril 2009_Reporting Onatel Mai 2009 V 0 2 2" xfId="0"/>
    <cellStyle name="_Table_02 Pfd Valuation_Flash du mois d' avril 2009_Reporting Onatel Mai 2009 V 0 3" xfId="0"/>
    <cellStyle name="_Table_02 Pfd Valuation_Flash du mois d' avril 2009_Reporting Onatel Mai 2009 V 0_Budget Telmob 2011" xfId="0"/>
    <cellStyle name="_Table_02 Pfd Valuation_Flash du mois d' avril 2009_Reporting Onatel Mai 2009 V 0_Budget Telmob 2011 2" xfId="0"/>
    <cellStyle name="_Table_02 Pfd Valuation_Flash du mois d' avril 2009_Reporting Onatel Mai 2009 V 0_Budget Telmob 2011 2 2" xfId="0"/>
    <cellStyle name="_Table_02 Pfd Valuation_Flash du mois d' avril 2009_Reporting Onatel Mai 2009 V 0_Budget Telmob 2011 3" xfId="0"/>
    <cellStyle name="_Table_02 Pfd Valuation_Flash du mois d' avril 2009_Reporting Onatel Mai 2009 V 0_Capex- Mobile" xfId="0"/>
    <cellStyle name="_Table_02 Pfd Valuation_Flash du mois d' avril 2009_Reporting Onatel Mai 2009 V 0_Capex- Mobile 2" xfId="0"/>
    <cellStyle name="_Table_02 Pfd Valuation_Flash du mois d' avril 2009_Reporting Onatel Mai 2009 V 0_Capex- Mobile 2 2" xfId="0"/>
    <cellStyle name="_Table_02 Pfd Valuation_Flash du mois d' avril 2009_Reporting Onatel Mai 2009 V 0_Capex- Mobile 3" xfId="0"/>
    <cellStyle name="_Table_02 Pfd Valuation_Flash du mois d' avril 2009_Reporting Onatel septembre  2009 préparé" xfId="0"/>
    <cellStyle name="_Table_02 Pfd Valuation_Flash du mois d' avril 2009_Reporting Onatel septembre  2009 préparé 2" xfId="0"/>
    <cellStyle name="_Table_02 Pfd Valuation_Flash du mois d' avril 2009_Reporting Onatel septembre  2009 préparé 2 2" xfId="0"/>
    <cellStyle name="_Table_02 Pfd Valuation_Flash du mois d' avril 2009_Reporting Onatel septembre  2009 préparé 3" xfId="0"/>
    <cellStyle name="_Table_02 Pfd Valuation_Flash du mois d' avril 2009_Reporting Onatel septembre  2009 préparé_Budget Telmob 2011" xfId="0"/>
    <cellStyle name="_Table_02 Pfd Valuation_Flash du mois d' avril 2009_Reporting Onatel septembre  2009 préparé_Budget Telmob 2011 2" xfId="0"/>
    <cellStyle name="_Table_02 Pfd Valuation_Flash du mois d' avril 2009_Reporting Onatel septembre  2009 préparé_Budget Telmob 2011 2 2" xfId="0"/>
    <cellStyle name="_Table_02 Pfd Valuation_Flash du mois d' avril 2009_Reporting Onatel septembre  2009 préparé_Budget Telmob 2011 3" xfId="0"/>
    <cellStyle name="_Table_02 Pfd Valuation_Flash du mois d' avril 2009_Reporting Onatel septembre  2009 préparé_Capex- Mobile" xfId="0"/>
    <cellStyle name="_Table_02 Pfd Valuation_Flash du mois d' avril 2009_Reporting Onatel septembre  2009 préparé_Capex- Mobile 2" xfId="0"/>
    <cellStyle name="_Table_02 Pfd Valuation_Flash du mois d' avril 2009_Reporting Onatel septembre  2009 préparé_Capex- Mobile 2 2" xfId="0"/>
    <cellStyle name="_Table_02 Pfd Valuation_Flash du mois d' avril 2009_Reporting Onatel septembre  2009 préparé_Capex- Mobile 3" xfId="0"/>
    <cellStyle name="_Table_02 Pfd Valuation_Flash du mois de mai 2009" xfId="0"/>
    <cellStyle name="_Table_02 Pfd Valuation_Flash du mois de mai 2009 2" xfId="0"/>
    <cellStyle name="_Table_02 Pfd Valuation_Flash du mois de mai 2009 2 2" xfId="0"/>
    <cellStyle name="_Table_02 Pfd Valuation_Flash du mois de mai 2009 3" xfId="0"/>
    <cellStyle name="_Table_02 Pfd Valuation_Flash du mois de mai 2009_Budget Telmob 2011" xfId="0"/>
    <cellStyle name="_Table_02 Pfd Valuation_Flash du mois de mai 2009_Budget Telmob 2011 2" xfId="0"/>
    <cellStyle name="_Table_02 Pfd Valuation_Flash du mois de mai 2009_Budget Telmob 2011 2 2" xfId="0"/>
    <cellStyle name="_Table_02 Pfd Valuation_Flash du mois de mai 2009_Budget Telmob 2011 3" xfId="0"/>
    <cellStyle name="_Table_02 Pfd Valuation_Flash du mois de mai 2009_Capex- Mobile" xfId="0"/>
    <cellStyle name="_Table_02 Pfd Valuation_Flash du mois de mai 2009_Capex- Mobile 2" xfId="0"/>
    <cellStyle name="_Table_02 Pfd Valuation_Flash du mois de mai 2009_Capex- Mobile 2 2" xfId="0"/>
    <cellStyle name="_Table_02 Pfd Valuation_Flash du mois de mai 2009_Capex- Mobile 3" xfId="0"/>
    <cellStyle name="_Table_02 Pfd Valuation_Flash du mois de septembre 2009 (2) (version 1)" xfId="0"/>
    <cellStyle name="_Table_02 Pfd Valuation_Flash du mois de septembre 2009 (2) (version 1) 2" xfId="0"/>
    <cellStyle name="_Table_02 Pfd Valuation_Flash du mois de septembre 2009 (2) (version 1) 2 2" xfId="0"/>
    <cellStyle name="_Table_02 Pfd Valuation_Flash du mois de septembre 2009 (2) (version 1) 3" xfId="0"/>
    <cellStyle name="_Table_02 Pfd Valuation_Flash du mois de septembre 2009 (2) (version 1)_Budget Telmob 2011" xfId="0"/>
    <cellStyle name="_Table_02 Pfd Valuation_Flash du mois de septembre 2009 (2) (version 1)_Budget Telmob 2011 2" xfId="0"/>
    <cellStyle name="_Table_02 Pfd Valuation_Flash du mois de septembre 2009 (2) (version 1)_Budget Telmob 2011 2 2" xfId="0"/>
    <cellStyle name="_Table_02 Pfd Valuation_Flash du mois de septembre 2009 (2) (version 1)_Budget Telmob 2011 3" xfId="0"/>
    <cellStyle name="_Table_02 Pfd Valuation_Flash du mois de septembre 2009 (2) (version 1)_Capex- Mobile" xfId="0"/>
    <cellStyle name="_Table_02 Pfd Valuation_Flash du mois de septembre 2009 (2) (version 1)_Capex- Mobile 2" xfId="0"/>
    <cellStyle name="_Table_02 Pfd Valuation_Flash du mois de septembre 2009 (2) (version 1)_Capex- Mobile 2 2" xfId="0"/>
    <cellStyle name="_Table_02 Pfd Valuation_Flash du mois de septembre 2009 (2) (version 1)_Capex- Mobile 3" xfId="0"/>
    <cellStyle name="_Table_02 Pfd Valuation_P &amp; L Conso" xfId="0"/>
    <cellStyle name="_Table_02 Pfd Valuation_P &amp; L Conso 2" xfId="0"/>
    <cellStyle name="_Table_02 Pfd Valuation_P &amp; L Conso 2 2" xfId="0"/>
    <cellStyle name="_Table_02 Pfd Valuation_P &amp; L Conso 3" xfId="0"/>
    <cellStyle name="_Table_02 Pfd Valuation_P &amp; L Conso_Budget Telmob 2011" xfId="0"/>
    <cellStyle name="_Table_02 Pfd Valuation_P &amp; L Conso_Budget Telmob 2011 2" xfId="0"/>
    <cellStyle name="_Table_02 Pfd Valuation_P &amp; L Conso_Budget Telmob 2011 2 2" xfId="0"/>
    <cellStyle name="_Table_02 Pfd Valuation_P &amp; L Conso_Budget Telmob 2011 3" xfId="0"/>
    <cellStyle name="_Table_02 Pfd Valuation_P &amp; L Conso_Capex- Mobile" xfId="0"/>
    <cellStyle name="_Table_02 Pfd Valuation_P &amp; L Conso_Capex- Mobile 2" xfId="0"/>
    <cellStyle name="_Table_02 Pfd Valuation_P &amp; L Conso_Capex- Mobile 2 2" xfId="0"/>
    <cellStyle name="_Table_02 Pfd Valuation_P &amp; L Conso_Capex- Mobile 3" xfId="0"/>
    <cellStyle name="_Table_02 Pfd Valuation_P &amp; L Conso_COMMENTAIRES JUILLET 2009" xfId="0"/>
    <cellStyle name="_Table_02 Pfd Valuation_P &amp; L Conso_COMMENTAIRES JUILLET 2009 2" xfId="0"/>
    <cellStyle name="_Table_02 Pfd Valuation_P &amp; L Conso_COMMENTAIRES JUILLET 2009 2 2" xfId="0"/>
    <cellStyle name="_Table_02 Pfd Valuation_P &amp; L Conso_COMMENTAIRES JUILLET 2009 3" xfId="0"/>
    <cellStyle name="_Table_02 Pfd Valuation_P &amp; L Conso_COMMENTAIRES JUILLET 2009_Budget Telmob 2011" xfId="0"/>
    <cellStyle name="_Table_02 Pfd Valuation_P &amp; L Conso_COMMENTAIRES JUILLET 2009_Budget Telmob 2011 2" xfId="0"/>
    <cellStyle name="_Table_02 Pfd Valuation_P &amp; L Conso_COMMENTAIRES JUILLET 2009_Budget Telmob 2011 2 2" xfId="0"/>
    <cellStyle name="_Table_02 Pfd Valuation_P &amp; L Conso_COMMENTAIRES JUILLET 2009_Budget Telmob 2011 3" xfId="0"/>
    <cellStyle name="_Table_02 Pfd Valuation_P &amp; L Conso_COMMENTAIRES JUILLET 2009_Capex- Mobile" xfId="0"/>
    <cellStyle name="_Table_02 Pfd Valuation_P &amp; L Conso_COMMENTAIRES JUILLET 2009_Capex- Mobile 2" xfId="0"/>
    <cellStyle name="_Table_02 Pfd Valuation_P &amp; L Conso_COMMENTAIRES JUILLET 2009_Capex- Mobile 2 2" xfId="0"/>
    <cellStyle name="_Table_02 Pfd Valuation_P &amp; L Conso_COMMENTAIRES JUILLET 2009_Capex- Mobile 3" xfId="0"/>
    <cellStyle name="_Table_02 Pfd Valuation_P&amp;L S1 2008" xfId="0"/>
    <cellStyle name="_Table_02 Pfd Valuation_P&amp;L S1 2008 2" xfId="0"/>
    <cellStyle name="_Table_02 Pfd Valuation_P&amp;L S1 2008 2 2" xfId="0"/>
    <cellStyle name="_Table_02 Pfd Valuation_P&amp;L S1 2008 3" xfId="0"/>
    <cellStyle name="_Table_02 Pfd Valuation_P&amp;L S1 2008_Budget Telmob 2011" xfId="0"/>
    <cellStyle name="_Table_02 Pfd Valuation_P&amp;L S1 2008_Budget Telmob 2011 2" xfId="0"/>
    <cellStyle name="_Table_02 Pfd Valuation_P&amp;L S1 2008_Budget Telmob 2011 2 2" xfId="0"/>
    <cellStyle name="_Table_02 Pfd Valuation_P&amp;L S1 2008_Budget Telmob 2011 3" xfId="0"/>
    <cellStyle name="_Table_02 Pfd Valuation_P&amp;L S1 2008_Capex- Mobile" xfId="0"/>
    <cellStyle name="_Table_02 Pfd Valuation_P&amp;L S1 2008_Capex- Mobile 2" xfId="0"/>
    <cellStyle name="_Table_02 Pfd Valuation_P&amp;L S1 2008_Capex- Mobile 2 2" xfId="0"/>
    <cellStyle name="_Table_02 Pfd Valuation_P&amp;L S1 2008_Capex- Mobile 3" xfId="0"/>
    <cellStyle name="_Table_02 Pfd Valuation_Reporting Onatel Avril 2009 V0" xfId="0"/>
    <cellStyle name="_Table_02 Pfd Valuation_Reporting Onatel Avril 2009 V0 2" xfId="0"/>
    <cellStyle name="_Table_02 Pfd Valuation_Reporting Onatel Avril 2009 V0 2 2" xfId="0"/>
    <cellStyle name="_Table_02 Pfd Valuation_Reporting Onatel Avril 2009 V0 3" xfId="0"/>
    <cellStyle name="_Table_02 Pfd Valuation_Reporting Onatel Avril 2009 V0_Budget Telmob 2011" xfId="0"/>
    <cellStyle name="_Table_02 Pfd Valuation_Reporting Onatel Avril 2009 V0_Budget Telmob 2011 2" xfId="0"/>
    <cellStyle name="_Table_02 Pfd Valuation_Reporting Onatel Avril 2009 V0_Budget Telmob 2011 2 2" xfId="0"/>
    <cellStyle name="_Table_02 Pfd Valuation_Reporting Onatel Avril 2009 V0_Budget Telmob 2011 3" xfId="0"/>
    <cellStyle name="_Table_02 Pfd Valuation_Reporting Onatel Avril 2009 V0_Capex- Mobile" xfId="0"/>
    <cellStyle name="_Table_02 Pfd Valuation_Reporting Onatel Avril 2009 V0_Capex- Mobile 2" xfId="0"/>
    <cellStyle name="_Table_02 Pfd Valuation_Reporting Onatel Avril 2009 V0_Capex- Mobile 2 2" xfId="0"/>
    <cellStyle name="_Table_02 Pfd Valuation_Reporting Onatel Avril 2009 V0_Capex- Mobile 3" xfId="0"/>
    <cellStyle name="_Table_02 Pfd Valuation_Reporting Onatel Avril 2009 V0_Copie de Flash du mois d' avril 2009 corrigé par NAIMI" xfId="0"/>
    <cellStyle name="_Table_02 Pfd Valuation_Reporting Onatel Avril 2009 V0_Copie de Flash du mois d' avril 2009 corrigé par NAIMI 2" xfId="0"/>
    <cellStyle name="_Table_02 Pfd Valuation_Reporting Onatel Avril 2009 V0_Copie de Flash du mois d' avril 2009 corrigé par NAIMI 2 2" xfId="0"/>
    <cellStyle name="_Table_02 Pfd Valuation_Reporting Onatel Avril 2009 V0_Copie de Flash du mois d' avril 2009 corrigé par NAIMI 3" xfId="0"/>
    <cellStyle name="_Table_02 Pfd Valuation_Reporting Onatel Avril 2009 V0_Copie de Flash du mois d' avril 2009 corrigé par NAIMI_Budget Telmob 2011" xfId="0"/>
    <cellStyle name="_Table_02 Pfd Valuation_Reporting Onatel Avril 2009 V0_Copie de Flash du mois d' avril 2009 corrigé par NAIMI_Budget Telmob 2011 2" xfId="0"/>
    <cellStyle name="_Table_02 Pfd Valuation_Reporting Onatel Avril 2009 V0_Copie de Flash du mois d' avril 2009 corrigé par NAIMI_Budget Telmob 2011 2 2" xfId="0"/>
    <cellStyle name="_Table_02 Pfd Valuation_Reporting Onatel Avril 2009 V0_Copie de Flash du mois d' avril 2009 corrigé par NAIMI_Budget Telmob 2011 3" xfId="0"/>
    <cellStyle name="_Table_02 Pfd Valuation_Reporting Onatel Avril 2009 V0_Copie de Flash du mois d' avril 2009 corrigé par NAIMI_Capex- Mobile" xfId="0"/>
    <cellStyle name="_Table_02 Pfd Valuation_Reporting Onatel Avril 2009 V0_Copie de Flash du mois d' avril 2009 corrigé par NAIMI_Capex- Mobile 2" xfId="0"/>
    <cellStyle name="_Table_02 Pfd Valuation_Reporting Onatel Avril 2009 V0_Copie de Flash du mois d' avril 2009 corrigé par NAIMI_Capex- Mobile 2 2" xfId="0"/>
    <cellStyle name="_Table_02 Pfd Valuation_Reporting Onatel Avril 2009 V0_Copie de Flash du mois d' avril 2009 corrigé par NAIMI_Capex- Mobile 3" xfId="0"/>
    <cellStyle name="_Table_02 Pfd Valuation_Reporting Onatel Avril 2009 V0_Copie de Flash du mois d' avril 2009 corrigé par NAIMI_Flash du mois de mai 2009" xfId="0"/>
    <cellStyle name="_Table_02 Pfd Valuation_Reporting Onatel Avril 2009 V0_Copie de Flash du mois d' avril 2009 corrigé par NAIMI_Flash du mois de mai 2009 2" xfId="0"/>
    <cellStyle name="_Table_02 Pfd Valuation_Reporting Onatel Avril 2009 V0_Copie de Flash du mois d' avril 2009 corrigé par NAIMI_Flash du mois de mai 2009 2 2" xfId="0"/>
    <cellStyle name="_Table_02 Pfd Valuation_Reporting Onatel Avril 2009 V0_Copie de Flash du mois d' avril 2009 corrigé par NAIMI_Flash du mois de mai 2009 3" xfId="0"/>
    <cellStyle name="_Table_02 Pfd Valuation_Reporting Onatel Avril 2009 V0_Copie de Flash du mois d' avril 2009 corrigé par NAIMI_Flash du mois de mai 2009_Budget Telmob 2011" xfId="0"/>
    <cellStyle name="_Table_02 Pfd Valuation_Reporting Onatel Avril 2009 V0_Copie de Flash du mois d' avril 2009 corrigé par NAIMI_Flash du mois de mai 2009_Budget Telmob 2011 2" xfId="0"/>
    <cellStyle name="_Table_02 Pfd Valuation_Reporting Onatel Avril 2009 V0_Copie de Flash du mois d' avril 2009 corrigé par NAIMI_Flash du mois de mai 2009_Budget Telmob 2011 2 2" xfId="0"/>
    <cellStyle name="_Table_02 Pfd Valuation_Reporting Onatel Avril 2009 V0_Copie de Flash du mois d' avril 2009 corrigé par NAIMI_Flash du mois de mai 2009_Budget Telmob 2011 3" xfId="0"/>
    <cellStyle name="_Table_02 Pfd Valuation_Reporting Onatel Avril 2009 V0_Copie de Flash du mois d' avril 2009 corrigé par NAIMI_Flash du mois de mai 2009_Capex- Mobile" xfId="0"/>
    <cellStyle name="_Table_02 Pfd Valuation_Reporting Onatel Avril 2009 V0_Copie de Flash du mois d' avril 2009 corrigé par NAIMI_Flash du mois de mai 2009_Capex- Mobile 2" xfId="0"/>
    <cellStyle name="_Table_02 Pfd Valuation_Reporting Onatel Avril 2009 V0_Copie de Flash du mois d' avril 2009 corrigé par NAIMI_Flash du mois de mai 2009_Capex- Mobile 2 2" xfId="0"/>
    <cellStyle name="_Table_02 Pfd Valuation_Reporting Onatel Avril 2009 V0_Copie de Flash du mois d' avril 2009 corrigé par NAIMI_Flash du mois de mai 2009_Capex- Mobile 3" xfId="0"/>
    <cellStyle name="_Table_02 Pfd Valuation_Reporting Onatel Avril 2009 V0_Copie de Flash du mois d' avril 2009 corrigé par NAIMI_Flash du mois de septembre 2009 (2) (version 1)" xfId="0"/>
    <cellStyle name="_Table_02 Pfd Valuation_Reporting Onatel Avril 2009 V0_Copie de Flash du mois d' avril 2009 corrigé par NAIMI_Flash du mois de septembre 2009 (2) (version 1) 2" xfId="0"/>
    <cellStyle name="_Table_02 Pfd Valuation_Reporting Onatel Avril 2009 V0_Copie de Flash du mois d' avril 2009 corrigé par NAIMI_Flash du mois de septembre 2009 (2) (version 1) 2 2" xfId="0"/>
    <cellStyle name="_Table_02 Pfd Valuation_Reporting Onatel Avril 2009 V0_Copie de Flash du mois d' avril 2009 corrigé par NAIMI_Flash du mois de septembre 2009 (2) (version 1) 3" xfId="0"/>
    <cellStyle name="_Table_02 Pfd Valuation_Reporting Onatel Avril 2009 V0_Copie de Flash du mois d' avril 2009 corrigé par NAIMI_Flash du mois de septembre 2009 (2) (version 1)_Budget Telmob 2011" xfId="0"/>
    <cellStyle name="_Table_02 Pfd Valuation_Reporting Onatel Avril 2009 V0_Copie de Flash du mois d' avril 2009 corrigé par NAIMI_Flash du mois de septembre 2009 (2) (version 1)_Budget Telmob 2011 2" xfId="0"/>
    <cellStyle name="_Table_02 Pfd Valuation_Reporting Onatel Avril 2009 V0_Copie de Flash du mois d' avril 2009 corrigé par NAIMI_Flash du mois de septembre 2009 (2) (version 1)_Budget Telmob 2011 2 2" xfId="0"/>
    <cellStyle name="_Table_02 Pfd Valuation_Reporting Onatel Avril 2009 V0_Copie de Flash du mois d' avril 2009 corrigé par NAIMI_Flash du mois de septembre 2009 (2) (version 1)_Budget Telmob 2011 3" xfId="0"/>
    <cellStyle name="_Table_02 Pfd Valuation_Reporting Onatel Avril 2009 V0_Copie de Flash du mois d' avril 2009 corrigé par NAIMI_Flash du mois de septembre 2009 (2) (version 1)_Capex- Mobile" xfId="0"/>
    <cellStyle name="_Table_02 Pfd Valuation_Reporting Onatel Avril 2009 V0_Copie de Flash du mois d' avril 2009 corrigé par NAIMI_Flash du mois de septembre 2009 (2) (version 1)_Capex- Mobile 2" xfId="0"/>
    <cellStyle name="_Table_02 Pfd Valuation_Reporting Onatel Avril 2009 V0_Copie de Flash du mois d' avril 2009 corrigé par NAIMI_Flash du mois de septembre 2009 (2) (version 1)_Capex- Mobile 2 2" xfId="0"/>
    <cellStyle name="_Table_02 Pfd Valuation_Reporting Onatel Avril 2009 V0_Copie de Flash du mois d' avril 2009 corrigé par NAIMI_Flash du mois de septembre 2009 (2) (version 1)_Capex- Mobile 3" xfId="0"/>
    <cellStyle name="_Table_02 Pfd Valuation_Reporting Onatel Avril 2009 V0_Copie de Flash du mois d' avril 2009 corrigé par NAIMI_Reporting Onatel Mai 2009 V 0" xfId="0"/>
    <cellStyle name="_Table_02 Pfd Valuation_Reporting Onatel Avril 2009 V0_Copie de Flash du mois d' avril 2009 corrigé par NAIMI_Reporting Onatel Mai 2009 V 0 2" xfId="0"/>
    <cellStyle name="_Table_02 Pfd Valuation_Reporting Onatel Avril 2009 V0_Copie de Flash du mois d' avril 2009 corrigé par NAIMI_Reporting Onatel Mai 2009 V 0 2 2" xfId="0"/>
    <cellStyle name="_Table_02 Pfd Valuation_Reporting Onatel Avril 2009 V0_Copie de Flash du mois d' avril 2009 corrigé par NAIMI_Reporting Onatel Mai 2009 V 0 3" xfId="0"/>
    <cellStyle name="_Table_02 Pfd Valuation_Reporting Onatel Avril 2009 V0_Copie de Flash du mois d' avril 2009 corrigé par NAIMI_Reporting Onatel Mai 2009 V 0_Budget Telmob 2011" xfId="0"/>
    <cellStyle name="_Table_02 Pfd Valuation_Reporting Onatel Avril 2009 V0_Copie de Flash du mois d' avril 2009 corrigé par NAIMI_Reporting Onatel Mai 2009 V 0_Budget Telmob 2011 2" xfId="0"/>
    <cellStyle name="_Table_02 Pfd Valuation_Reporting Onatel Avril 2009 V0_Copie de Flash du mois d' avril 2009 corrigé par NAIMI_Reporting Onatel Mai 2009 V 0_Budget Telmob 2011 2 2" xfId="0"/>
    <cellStyle name="_Table_02 Pfd Valuation_Reporting Onatel Avril 2009 V0_Copie de Flash du mois d' avril 2009 corrigé par NAIMI_Reporting Onatel Mai 2009 V 0_Budget Telmob 2011 3" xfId="0"/>
    <cellStyle name="_Table_02 Pfd Valuation_Reporting Onatel Avril 2009 V0_Copie de Flash du mois d' avril 2009 corrigé par NAIMI_Reporting Onatel Mai 2009 V 0_Capex- Mobile" xfId="0"/>
    <cellStyle name="_Table_02 Pfd Valuation_Reporting Onatel Avril 2009 V0_Copie de Flash du mois d' avril 2009 corrigé par NAIMI_Reporting Onatel Mai 2009 V 0_Capex- Mobile 2" xfId="0"/>
    <cellStyle name="_Table_02 Pfd Valuation_Reporting Onatel Avril 2009 V0_Copie de Flash du mois d' avril 2009 corrigé par NAIMI_Reporting Onatel Mai 2009 V 0_Capex- Mobile 2 2" xfId="0"/>
    <cellStyle name="_Table_02 Pfd Valuation_Reporting Onatel Avril 2009 V0_Copie de Flash du mois d' avril 2009 corrigé par NAIMI_Reporting Onatel Mai 2009 V 0_Capex- Mobile 3" xfId="0"/>
    <cellStyle name="_Table_02 Pfd Valuation_Reporting Onatel Avril 2009 V0_Copie de Flash du mois d' avril 2009 corrigé par NAIMI_Reporting Onatel Mai 2009 V 0_Flash du mois de septembre 2009 (2) (version 1)" xfId="0"/>
    <cellStyle name="_Table_02 Pfd Valuation_Reporting Onatel Avril 2009 V0_Copie de Flash du mois d' avril 2009 corrigé par NAIMI_Reporting Onatel Mai 2009 V 0_Flash du mois de septembre 2009 (2) (version 1) 2" xfId="0"/>
    <cellStyle name="_Table_02 Pfd Valuation_Reporting Onatel Avril 2009 V0_Copie de Flash du mois d' avril 2009 corrigé par NAIMI_Reporting Onatel Mai 2009 V 0_Flash du mois de septembre 2009 (2) (version 1) 2 2" xfId="0"/>
    <cellStyle name="_Table_02 Pfd Valuation_Reporting Onatel Avril 2009 V0_Copie de Flash du mois d' avril 2009 corrigé par NAIMI_Reporting Onatel Mai 2009 V 0_Flash du mois de septembre 2009 (2) (version 1) 3" xfId="0"/>
    <cellStyle name="_Table_02 Pfd Valuation_Reporting Onatel Avril 2009 V0_Copie de Flash du mois d' avril 2009 corrigé par NAIMI_Reporting Onatel Mai 2009 V 0_Flash du mois de septembre 2009 (2) (version 1)_Budget Telmob 2011" xfId="0"/>
    <cellStyle name="_Table_02 Pfd Valuation_Reporting Onatel Avril 2009 V0_Copie de Flash du mois d' avril 2009 corrigé par NAIMI_Reporting Onatel Mai 2009 V 0_Flash du mois de septembre 2009 (2) (version 1)_Budget Telmob 2011 2" xfId="0"/>
    <cellStyle name="_Table_02 Pfd Valuation_Reporting Onatel Avril 2009 V0_Copie de Flash du mois d' avril 2009 corrigé par NAIMI_Reporting Onatel Mai 2009 V 0_Flash du mois de septembre 2009 (2) (version 1)_Budget Telmob 2011 2 2" xfId="0"/>
    <cellStyle name="_Table_02 Pfd Valuation_Reporting Onatel Avril 2009 V0_Copie de Flash du mois d' avril 2009 corrigé par NAIMI_Reporting Onatel Mai 2009 V 0_Flash du mois de septembre 2009 (2) (version 1)_Budget Telmob 2011 3" xfId="0"/>
    <cellStyle name="_Table_02 Pfd Valuation_Reporting Onatel Avril 2009 V0_Copie de Flash du mois d' avril 2009 corrigé par NAIMI_Reporting Onatel Mai 2009 V 0_Flash du mois de septembre 2009 (2) (version 1)_Capex- Mobile" xfId="0"/>
    <cellStyle name="_Table_02 Pfd Valuation_Reporting Onatel Avril 2009 V0_Copie de Flash du mois d' avril 2009 corrigé par NAIMI_Reporting Onatel Mai 2009 V 0_Flash du mois de septembre 2009 (2) (version 1)_Capex- Mobile 2" xfId="0"/>
    <cellStyle name="_Table_02 Pfd Valuation_Reporting Onatel Avril 2009 V0_Copie de Flash du mois d' avril 2009 corrigé par NAIMI_Reporting Onatel Mai 2009 V 0_Flash du mois de septembre 2009 (2) (version 1)_Capex- Mobile 2 2" xfId="0"/>
    <cellStyle name="_Table_02 Pfd Valuation_Reporting Onatel Avril 2009 V0_Copie de Flash du mois d' avril 2009 corrigé par NAIMI_Reporting Onatel Mai 2009 V 0_Flash du mois de septembre 2009 (2) (version 1)_Capex- Mobile 3" xfId="0"/>
    <cellStyle name="_Table_02 Pfd Valuation_Reporting Onatel Avril 2009 V0_Copie de Flash du mois d' avril 2009 corrigé par NAIMI_Reporting Onatel Mai 2009 V 0_Reporting Onatel septembre  2009 préparé" xfId="0"/>
    <cellStyle name="_Table_02 Pfd Valuation_Reporting Onatel Avril 2009 V0_Copie de Flash du mois d' avril 2009 corrigé par NAIMI_Reporting Onatel Mai 2009 V 0_Reporting Onatel septembre  2009 préparé 2" xfId="0"/>
    <cellStyle name="_Table_02 Pfd Valuation_Reporting Onatel Avril 2009 V0_Copie de Flash du mois d' avril 2009 corrigé par NAIMI_Reporting Onatel Mai 2009 V 0_Reporting Onatel septembre  2009 préparé 2 2" xfId="0"/>
    <cellStyle name="_Table_02 Pfd Valuation_Reporting Onatel Avril 2009 V0_Copie de Flash du mois d' avril 2009 corrigé par NAIMI_Reporting Onatel Mai 2009 V 0_Reporting Onatel septembre  2009 préparé 3" xfId="0"/>
    <cellStyle name="_Table_02 Pfd Valuation_Reporting Onatel Avril 2009 V0_Copie de Flash du mois d' avril 2009 corrigé par NAIMI_Reporting Onatel Mai 2009 V 0_Reporting Onatel septembre  2009 préparé_Budget Telmob 2011" xfId="0"/>
    <cellStyle name="_Table_02 Pfd Valuation_Reporting Onatel Avril 2009 V0_Copie de Flash du mois d' avril 2009 corrigé par NAIMI_Reporting Onatel Mai 2009 V 0_Reporting Onatel septembre  2009 préparé_Budget Telmob 2011 2" xfId="0"/>
    <cellStyle name="_Table_02 Pfd Valuation_Reporting Onatel Avril 2009 V0_Copie de Flash du mois d' avril 2009 corrigé par NAIMI_Reporting Onatel Mai 2009 V 0_Reporting Onatel septembre  2009 préparé_Budget Telmob 2011 2 2" xfId="0"/>
    <cellStyle name="_Table_02 Pfd Valuation_Reporting Onatel Avril 2009 V0_Copie de Flash du mois d' avril 2009 corrigé par NAIMI_Reporting Onatel Mai 2009 V 0_Reporting Onatel septembre  2009 préparé_Budget Telmob 2011 3" xfId="0"/>
    <cellStyle name="_Table_02 Pfd Valuation_Reporting Onatel Avril 2009 V0_Copie de Flash du mois d' avril 2009 corrigé par NAIMI_Reporting Onatel Mai 2009 V 0_Reporting Onatel septembre  2009 préparé_Capex- Mobile" xfId="0"/>
    <cellStyle name="_Table_02 Pfd Valuation_Reporting Onatel Avril 2009 V0_Copie de Flash du mois d' avril 2009 corrigé par NAIMI_Reporting Onatel Mai 2009 V 0_Reporting Onatel septembre  2009 préparé_Capex- Mobile 2" xfId="0"/>
    <cellStyle name="_Table_02 Pfd Valuation_Reporting Onatel Avril 2009 V0_Copie de Flash du mois d' avril 2009 corrigé par NAIMI_Reporting Onatel Mai 2009 V 0_Reporting Onatel septembre  2009 préparé_Capex- Mobile 2 2" xfId="0"/>
    <cellStyle name="_Table_02 Pfd Valuation_Reporting Onatel Avril 2009 V0_Copie de Flash du mois d' avril 2009 corrigé par NAIMI_Reporting Onatel Mai 2009 V 0_Reporting Onatel septembre  2009 préparé_Capex- Mobile 3" xfId="0"/>
    <cellStyle name="_Table_02 Pfd Valuation_Reporting Onatel Avril 2009 V0_Copie de Flash du mois d' avril 2009 corrigé par NAIMI_Reporting Onatel septembre  2009 préparé" xfId="0"/>
    <cellStyle name="_Table_02 Pfd Valuation_Reporting Onatel Avril 2009 V0_Copie de Flash du mois d' avril 2009 corrigé par NAIMI_Reporting Onatel septembre  2009 préparé 2" xfId="0"/>
    <cellStyle name="_Table_02 Pfd Valuation_Reporting Onatel Avril 2009 V0_Copie de Flash du mois d' avril 2009 corrigé par NAIMI_Reporting Onatel septembre  2009 préparé 2 2" xfId="0"/>
    <cellStyle name="_Table_02 Pfd Valuation_Reporting Onatel Avril 2009 V0_Copie de Flash du mois d' avril 2009 corrigé par NAIMI_Reporting Onatel septembre  2009 préparé 3" xfId="0"/>
    <cellStyle name="_Table_02 Pfd Valuation_Reporting Onatel Avril 2009 V0_Copie de Flash du mois d' avril 2009 corrigé par NAIMI_Reporting Onatel septembre  2009 préparé_Budget Telmob 2011" xfId="0"/>
    <cellStyle name="_Table_02 Pfd Valuation_Reporting Onatel Avril 2009 V0_Copie de Flash du mois d' avril 2009 corrigé par NAIMI_Reporting Onatel septembre  2009 préparé_Budget Telmob 2011 2" xfId="0"/>
    <cellStyle name="_Table_02 Pfd Valuation_Reporting Onatel Avril 2009 V0_Copie de Flash du mois d' avril 2009 corrigé par NAIMI_Reporting Onatel septembre  2009 préparé_Budget Telmob 2011 2 2" xfId="0"/>
    <cellStyle name="_Table_02 Pfd Valuation_Reporting Onatel Avril 2009 V0_Copie de Flash du mois d' avril 2009 corrigé par NAIMI_Reporting Onatel septembre  2009 préparé_Budget Telmob 2011 3" xfId="0"/>
    <cellStyle name="_Table_02 Pfd Valuation_Reporting Onatel Avril 2009 V0_Copie de Flash du mois d' avril 2009 corrigé par NAIMI_Reporting Onatel septembre  2009 préparé_Capex- Mobile" xfId="0"/>
    <cellStyle name="_Table_02 Pfd Valuation_Reporting Onatel Avril 2009 V0_Copie de Flash du mois d' avril 2009 corrigé par NAIMI_Reporting Onatel septembre  2009 préparé_Capex- Mobile 2" xfId="0"/>
    <cellStyle name="_Table_02 Pfd Valuation_Reporting Onatel Avril 2009 V0_Copie de Flash du mois d' avril 2009 corrigé par NAIMI_Reporting Onatel septembre  2009 préparé_Capex- Mobile 2 2" xfId="0"/>
    <cellStyle name="_Table_02 Pfd Valuation_Reporting Onatel Avril 2009 V0_Copie de Flash du mois d' avril 2009 corrigé par NAIMI_Reporting Onatel septembre  2009 préparé_Capex- Mobile 3" xfId="0"/>
    <cellStyle name="_Table_02 Pfd Valuation_Reporting Onatel Avril 2009 V0_Flash du mois de mai 2009" xfId="0"/>
    <cellStyle name="_Table_02 Pfd Valuation_Reporting Onatel Avril 2009 V0_Flash du mois de mai 2009 2" xfId="0"/>
    <cellStyle name="_Table_02 Pfd Valuation_Reporting Onatel Avril 2009 V0_Flash du mois de mai 2009 2 2" xfId="0"/>
    <cellStyle name="_Table_02 Pfd Valuation_Reporting Onatel Avril 2009 V0_Flash du mois de mai 2009 3" xfId="0"/>
    <cellStyle name="_Table_02 Pfd Valuation_Reporting Onatel Avril 2009 V0_Flash du mois de mai 2009_Budget Telmob 2011" xfId="0"/>
    <cellStyle name="_Table_02 Pfd Valuation_Reporting Onatel Avril 2009 V0_Flash du mois de mai 2009_Budget Telmob 2011 2" xfId="0"/>
    <cellStyle name="_Table_02 Pfd Valuation_Reporting Onatel Avril 2009 V0_Flash du mois de mai 2009_Budget Telmob 2011 2 2" xfId="0"/>
    <cellStyle name="_Table_02 Pfd Valuation_Reporting Onatel Avril 2009 V0_Flash du mois de mai 2009_Budget Telmob 2011 3" xfId="0"/>
    <cellStyle name="_Table_02 Pfd Valuation_Reporting Onatel Avril 2009 V0_Flash du mois de mai 2009_Capex- Mobile" xfId="0"/>
    <cellStyle name="_Table_02 Pfd Valuation_Reporting Onatel Avril 2009 V0_Flash du mois de mai 2009_Capex- Mobile 2" xfId="0"/>
    <cellStyle name="_Table_02 Pfd Valuation_Reporting Onatel Avril 2009 V0_Flash du mois de mai 2009_Capex- Mobile 2 2" xfId="0"/>
    <cellStyle name="_Table_02 Pfd Valuation_Reporting Onatel Avril 2009 V0_Flash du mois de mai 2009_Capex- Mobile 3" xfId="0"/>
    <cellStyle name="_Table_02 Pfd Valuation_Reporting Onatel Avril 2009 V0_Flash du mois de septembre 2009 (2) (version 1)" xfId="0"/>
    <cellStyle name="_Table_02 Pfd Valuation_Reporting Onatel Avril 2009 V0_Flash du mois de septembre 2009 (2) (version 1) 2" xfId="0"/>
    <cellStyle name="_Table_02 Pfd Valuation_Reporting Onatel Avril 2009 V0_Flash du mois de septembre 2009 (2) (version 1) 2 2" xfId="0"/>
    <cellStyle name="_Table_02 Pfd Valuation_Reporting Onatel Avril 2009 V0_Flash du mois de septembre 2009 (2) (version 1) 3" xfId="0"/>
    <cellStyle name="_Table_02 Pfd Valuation_Reporting Onatel Avril 2009 V0_Flash du mois de septembre 2009 (2) (version 1)_Budget Telmob 2011" xfId="0"/>
    <cellStyle name="_Table_02 Pfd Valuation_Reporting Onatel Avril 2009 V0_Flash du mois de septembre 2009 (2) (version 1)_Budget Telmob 2011 2" xfId="0"/>
    <cellStyle name="_Table_02 Pfd Valuation_Reporting Onatel Avril 2009 V0_Flash du mois de septembre 2009 (2) (version 1)_Budget Telmob 2011 2 2" xfId="0"/>
    <cellStyle name="_Table_02 Pfd Valuation_Reporting Onatel Avril 2009 V0_Flash du mois de septembre 2009 (2) (version 1)_Budget Telmob 2011 3" xfId="0"/>
    <cellStyle name="_Table_02 Pfd Valuation_Reporting Onatel Avril 2009 V0_Flash du mois de septembre 2009 (2) (version 1)_Capex- Mobile" xfId="0"/>
    <cellStyle name="_Table_02 Pfd Valuation_Reporting Onatel Avril 2009 V0_Flash du mois de septembre 2009 (2) (version 1)_Capex- Mobile 2" xfId="0"/>
    <cellStyle name="_Table_02 Pfd Valuation_Reporting Onatel Avril 2009 V0_Flash du mois de septembre 2009 (2) (version 1)_Capex- Mobile 2 2" xfId="0"/>
    <cellStyle name="_Table_02 Pfd Valuation_Reporting Onatel Avril 2009 V0_Flash du mois de septembre 2009 (2) (version 1)_Capex- Mobile 3" xfId="0"/>
    <cellStyle name="_Table_02 Pfd Valuation_Reporting Onatel Avril 2009 V0_Reporting Onatel Mai 2009 V 0" xfId="0"/>
    <cellStyle name="_Table_02 Pfd Valuation_Reporting Onatel Avril 2009 V0_Reporting Onatel Mai 2009 V 0 2" xfId="0"/>
    <cellStyle name="_Table_02 Pfd Valuation_Reporting Onatel Avril 2009 V0_Reporting Onatel Mai 2009 V 0 2 2" xfId="0"/>
    <cellStyle name="_Table_02 Pfd Valuation_Reporting Onatel Avril 2009 V0_Reporting Onatel Mai 2009 V 0 3" xfId="0"/>
    <cellStyle name="_Table_02 Pfd Valuation_Reporting Onatel Avril 2009 V0_Reporting Onatel Mai 2009 V 0_Budget Telmob 2011" xfId="0"/>
    <cellStyle name="_Table_02 Pfd Valuation_Reporting Onatel Avril 2009 V0_Reporting Onatel Mai 2009 V 0_Budget Telmob 2011 2" xfId="0"/>
    <cellStyle name="_Table_02 Pfd Valuation_Reporting Onatel Avril 2009 V0_Reporting Onatel Mai 2009 V 0_Budget Telmob 2011 2 2" xfId="0"/>
    <cellStyle name="_Table_02 Pfd Valuation_Reporting Onatel Avril 2009 V0_Reporting Onatel Mai 2009 V 0_Budget Telmob 2011 3" xfId="0"/>
    <cellStyle name="_Table_02 Pfd Valuation_Reporting Onatel Avril 2009 V0_Reporting Onatel Mai 2009 V 0_Capex- Mobile" xfId="0"/>
    <cellStyle name="_Table_02 Pfd Valuation_Reporting Onatel Avril 2009 V0_Reporting Onatel Mai 2009 V 0_Capex- Mobile 2" xfId="0"/>
    <cellStyle name="_Table_02 Pfd Valuation_Reporting Onatel Avril 2009 V0_Reporting Onatel Mai 2009 V 0_Capex- Mobile 2 2" xfId="0"/>
    <cellStyle name="_Table_02 Pfd Valuation_Reporting Onatel Avril 2009 V0_Reporting Onatel Mai 2009 V 0_Capex- Mobile 3" xfId="0"/>
    <cellStyle name="_Table_02 Pfd Valuation_Reporting Onatel Avril 2009 V0_Reporting Onatel septembre  2009 préparé" xfId="0"/>
    <cellStyle name="_Table_02 Pfd Valuation_Reporting Onatel Avril 2009 V0_Reporting Onatel septembre  2009 préparé 2" xfId="0"/>
    <cellStyle name="_Table_02 Pfd Valuation_Reporting Onatel Avril 2009 V0_Reporting Onatel septembre  2009 préparé 2 2" xfId="0"/>
    <cellStyle name="_Table_02 Pfd Valuation_Reporting Onatel Avril 2009 V0_Reporting Onatel septembre  2009 préparé 3" xfId="0"/>
    <cellStyle name="_Table_02 Pfd Valuation_Reporting Onatel Avril 2009 V0_Reporting Onatel septembre  2009 préparé_Budget Telmob 2011" xfId="0"/>
    <cellStyle name="_Table_02 Pfd Valuation_Reporting Onatel Avril 2009 V0_Reporting Onatel septembre  2009 préparé_Budget Telmob 2011 2" xfId="0"/>
    <cellStyle name="_Table_02 Pfd Valuation_Reporting Onatel Avril 2009 V0_Reporting Onatel septembre  2009 préparé_Budget Telmob 2011 2 2" xfId="0"/>
    <cellStyle name="_Table_02 Pfd Valuation_Reporting Onatel Avril 2009 V0_Reporting Onatel septembre  2009 préparé_Budget Telmob 2011 3" xfId="0"/>
    <cellStyle name="_Table_02 Pfd Valuation_Reporting Onatel Avril 2009 V0_Reporting Onatel septembre  2009 préparé_Capex- Mobile" xfId="0"/>
    <cellStyle name="_Table_02 Pfd Valuation_Reporting Onatel Avril 2009 V0_Reporting Onatel septembre  2009 préparé_Capex- Mobile 2" xfId="0"/>
    <cellStyle name="_Table_02 Pfd Valuation_Reporting Onatel Avril 2009 V0_Reporting Onatel septembre  2009 préparé_Capex- Mobile 2 2" xfId="0"/>
    <cellStyle name="_Table_02 Pfd Valuation_Reporting Onatel Avril 2009 V0_Reporting Onatel septembre  2009 préparé_Capex- Mobile 3" xfId="0"/>
    <cellStyle name="_Table_02 Pfd Valuation_Reporting Onatel Mai 2009 V 0" xfId="0"/>
    <cellStyle name="_Table_02 Pfd Valuation_Reporting Onatel Mai 2009 V 0 2" xfId="0"/>
    <cellStyle name="_Table_02 Pfd Valuation_Reporting Onatel Mai 2009 V 0 2 2" xfId="0"/>
    <cellStyle name="_Table_02 Pfd Valuation_Reporting Onatel Mai 2009 V 0 3" xfId="0"/>
    <cellStyle name="_Table_02 Pfd Valuation_Reporting Onatel Mai 2009 V 0 A ENVOYE" xfId="0"/>
    <cellStyle name="_Table_02 Pfd Valuation_Reporting Onatel Mai 2009 V 0 A ENVOYE 2" xfId="0"/>
    <cellStyle name="_Table_02 Pfd Valuation_Reporting Onatel Mai 2009 V 0 A ENVOYE 2 2" xfId="0"/>
    <cellStyle name="_Table_02 Pfd Valuation_Reporting Onatel Mai 2009 V 0 A ENVOYE 3" xfId="0"/>
    <cellStyle name="_Table_02 Pfd Valuation_Reporting Onatel Mai 2009 V 0 A ENVOYE_Budget Telmob 2011" xfId="0"/>
    <cellStyle name="_Table_02 Pfd Valuation_Reporting Onatel Mai 2009 V 0 A ENVOYE_Budget Telmob 2011 2" xfId="0"/>
    <cellStyle name="_Table_02 Pfd Valuation_Reporting Onatel Mai 2009 V 0 A ENVOYE_Budget Telmob 2011 2 2" xfId="0"/>
    <cellStyle name="_Table_02 Pfd Valuation_Reporting Onatel Mai 2009 V 0 A ENVOYE_Budget Telmob 2011 3" xfId="0"/>
    <cellStyle name="_Table_02 Pfd Valuation_Reporting Onatel Mai 2009 V 0 A ENVOYE_Capex- Mobile" xfId="0"/>
    <cellStyle name="_Table_02 Pfd Valuation_Reporting Onatel Mai 2009 V 0 A ENVOYE_Capex- Mobile 2" xfId="0"/>
    <cellStyle name="_Table_02 Pfd Valuation_Reporting Onatel Mai 2009 V 0 A ENVOYE_Capex- Mobile 2 2" xfId="0"/>
    <cellStyle name="_Table_02 Pfd Valuation_Reporting Onatel Mai 2009 V 0 A ENVOYE_Capex- Mobile 3" xfId="0"/>
    <cellStyle name="_Table_02 Pfd Valuation_Reporting Onatel Mai 2009 V 0 A ENVOYE_Flash du mois de septembre 2009 (2) (version 1)" xfId="0"/>
    <cellStyle name="_Table_02 Pfd Valuation_Reporting Onatel Mai 2009 V 0 A ENVOYE_Flash du mois de septembre 2009 (2) (version 1) 2" xfId="0"/>
    <cellStyle name="_Table_02 Pfd Valuation_Reporting Onatel Mai 2009 V 0 A ENVOYE_Flash du mois de septembre 2009 (2) (version 1) 2 2" xfId="0"/>
    <cellStyle name="_Table_02 Pfd Valuation_Reporting Onatel Mai 2009 V 0 A ENVOYE_Flash du mois de septembre 2009 (2) (version 1) 3" xfId="0"/>
    <cellStyle name="_Table_02 Pfd Valuation_Reporting Onatel Mai 2009 V 0 A ENVOYE_Flash du mois de septembre 2009 (2) (version 1)_Budget Telmob 2011" xfId="0"/>
    <cellStyle name="_Table_02 Pfd Valuation_Reporting Onatel Mai 2009 V 0 A ENVOYE_Flash du mois de septembre 2009 (2) (version 1)_Budget Telmob 2011 2" xfId="0"/>
    <cellStyle name="_Table_02 Pfd Valuation_Reporting Onatel Mai 2009 V 0 A ENVOYE_Flash du mois de septembre 2009 (2) (version 1)_Budget Telmob 2011 2 2" xfId="0"/>
    <cellStyle name="_Table_02 Pfd Valuation_Reporting Onatel Mai 2009 V 0 A ENVOYE_Flash du mois de septembre 2009 (2) (version 1)_Budget Telmob 2011 3" xfId="0"/>
    <cellStyle name="_Table_02 Pfd Valuation_Reporting Onatel Mai 2009 V 0 A ENVOYE_Flash du mois de septembre 2009 (2) (version 1)_Capex- Mobile" xfId="0"/>
    <cellStyle name="_Table_02 Pfd Valuation_Reporting Onatel Mai 2009 V 0 A ENVOYE_Flash du mois de septembre 2009 (2) (version 1)_Capex- Mobile 2" xfId="0"/>
    <cellStyle name="_Table_02 Pfd Valuation_Reporting Onatel Mai 2009 V 0 A ENVOYE_Flash du mois de septembre 2009 (2) (version 1)_Capex- Mobile 2 2" xfId="0"/>
    <cellStyle name="_Table_02 Pfd Valuation_Reporting Onatel Mai 2009 V 0 A ENVOYE_Flash du mois de septembre 2009 (2) (version 1)_Capex- Mobile 3" xfId="0"/>
    <cellStyle name="_Table_02 Pfd Valuation_Reporting Onatel Mai 2009 V 0 A ENVOYE_Reporting Onatel septembre  2009 préparé" xfId="0"/>
    <cellStyle name="_Table_02 Pfd Valuation_Reporting Onatel Mai 2009 V 0 A ENVOYE_Reporting Onatel septembre  2009 préparé 2" xfId="0"/>
    <cellStyle name="_Table_02 Pfd Valuation_Reporting Onatel Mai 2009 V 0 A ENVOYE_Reporting Onatel septembre  2009 préparé 2 2" xfId="0"/>
    <cellStyle name="_Table_02 Pfd Valuation_Reporting Onatel Mai 2009 V 0 A ENVOYE_Reporting Onatel septembre  2009 préparé 3" xfId="0"/>
    <cellStyle name="_Table_02 Pfd Valuation_Reporting Onatel Mai 2009 V 0 A ENVOYE_Reporting Onatel septembre  2009 préparé_Budget Telmob 2011" xfId="0"/>
    <cellStyle name="_Table_02 Pfd Valuation_Reporting Onatel Mai 2009 V 0 A ENVOYE_Reporting Onatel septembre  2009 préparé_Budget Telmob 2011 2" xfId="0"/>
    <cellStyle name="_Table_02 Pfd Valuation_Reporting Onatel Mai 2009 V 0 A ENVOYE_Reporting Onatel septembre  2009 préparé_Budget Telmob 2011 2 2" xfId="0"/>
    <cellStyle name="_Table_02 Pfd Valuation_Reporting Onatel Mai 2009 V 0 A ENVOYE_Reporting Onatel septembre  2009 préparé_Budget Telmob 2011 3" xfId="0"/>
    <cellStyle name="_Table_02 Pfd Valuation_Reporting Onatel Mai 2009 V 0 A ENVOYE_Reporting Onatel septembre  2009 préparé_Capex- Mobile" xfId="0"/>
    <cellStyle name="_Table_02 Pfd Valuation_Reporting Onatel Mai 2009 V 0 A ENVOYE_Reporting Onatel septembre  2009 préparé_Capex- Mobile 2" xfId="0"/>
    <cellStyle name="_Table_02 Pfd Valuation_Reporting Onatel Mai 2009 V 0 A ENVOYE_Reporting Onatel septembre  2009 préparé_Capex- Mobile 2 2" xfId="0"/>
    <cellStyle name="_Table_02 Pfd Valuation_Reporting Onatel Mai 2009 V 0 A ENVOYE_Reporting Onatel septembre  2009 préparé_Capex- Mobile 3" xfId="0"/>
    <cellStyle name="_Table_02 Pfd Valuation_Reporting Onatel Mai 2009 V 0_Budget Telmob 2011" xfId="0"/>
    <cellStyle name="_Table_02 Pfd Valuation_Reporting Onatel Mai 2009 V 0_Budget Telmob 2011 2" xfId="0"/>
    <cellStyle name="_Table_02 Pfd Valuation_Reporting Onatel Mai 2009 V 0_Budget Telmob 2011 2 2" xfId="0"/>
    <cellStyle name="_Table_02 Pfd Valuation_Reporting Onatel Mai 2009 V 0_Budget Telmob 2011 3" xfId="0"/>
    <cellStyle name="_Table_02 Pfd Valuation_Reporting Onatel Mai 2009 V 0_Capex- Mobile" xfId="0"/>
    <cellStyle name="_Table_02 Pfd Valuation_Reporting Onatel Mai 2009 V 0_Capex- Mobile 2" xfId="0"/>
    <cellStyle name="_Table_02 Pfd Valuation_Reporting Onatel Mai 2009 V 0_Capex- Mobile 2 2" xfId="0"/>
    <cellStyle name="_Table_02 Pfd Valuation_Reporting Onatel Mai 2009 V 0_Capex- Mobile 3" xfId="0"/>
    <cellStyle name="_Table_02 Pfd Valuation_Reporting Onatel septembre  2009 préparé" xfId="0"/>
    <cellStyle name="_Table_02 Pfd Valuation_Reporting Onatel septembre  2009 préparé 2" xfId="0"/>
    <cellStyle name="_Table_02 Pfd Valuation_Reporting Onatel septembre  2009 préparé 2 2" xfId="0"/>
    <cellStyle name="_Table_02 Pfd Valuation_Reporting Onatel septembre  2009 préparé 3" xfId="0"/>
    <cellStyle name="_Table_02 Pfd Valuation_Reporting Onatel septembre  2009 préparé_Budget Telmob 2011" xfId="0"/>
    <cellStyle name="_Table_02 Pfd Valuation_Reporting Onatel septembre  2009 préparé_Budget Telmob 2011 2" xfId="0"/>
    <cellStyle name="_Table_02 Pfd Valuation_Reporting Onatel septembre  2009 préparé_Budget Telmob 2011 2 2" xfId="0"/>
    <cellStyle name="_Table_02 Pfd Valuation_Reporting Onatel septembre  2009 préparé_Budget Telmob 2011 3" xfId="0"/>
    <cellStyle name="_Table_02 Pfd Valuation_Reporting Onatel septembre  2009 préparé_Capex- Mobile" xfId="0"/>
    <cellStyle name="_Table_02 Pfd Valuation_Reporting Onatel septembre  2009 préparé_Capex- Mobile 2" xfId="0"/>
    <cellStyle name="_Table_02 Pfd Valuation_Reporting Onatel septembre  2009 préparé_Capex- Mobile 2 2" xfId="0"/>
    <cellStyle name="_Table_02 Pfd Valuation_Reporting Onatel septembre  2009 préparé_Capex- Mobile 3" xfId="0"/>
    <cellStyle name="_Table_02 Pfd Valuation_Rev Fixe-Internet" xfId="0"/>
    <cellStyle name="_Table_02 Pfd Valuation_Rev Fixe-Internet 2" xfId="0"/>
    <cellStyle name="_Table_02 Pfd Valuation_Rev Fixe-Internet 2 2" xfId="0"/>
    <cellStyle name="_Table_02 Pfd Valuation_Rev Fixe-Internet 3" xfId="0"/>
    <cellStyle name="_Table_02 Pfd Valuation_Rev Fixe-Internet_Budget Telmob 2011" xfId="0"/>
    <cellStyle name="_Table_02 Pfd Valuation_Rev Fixe-Internet_Budget Telmob 2011 2" xfId="0"/>
    <cellStyle name="_Table_02 Pfd Valuation_Rev Fixe-Internet_Budget Telmob 2011 2 2" xfId="0"/>
    <cellStyle name="_Table_02 Pfd Valuation_Rev Fixe-Internet_Budget Telmob 2011 3" xfId="0"/>
    <cellStyle name="_Table_02 Pfd Valuation_Rev Fixe-Internet_Capex- Mobile" xfId="0"/>
    <cellStyle name="_Table_02 Pfd Valuation_Rev Fixe-Internet_Capex- Mobile 2" xfId="0"/>
    <cellStyle name="_Table_02 Pfd Valuation_Rev Fixe-Internet_Capex- Mobile 2 2" xfId="0"/>
    <cellStyle name="_Table_02 Pfd Valuation_Rev Fixe-Internet_Capex- Mobile 3" xfId="0"/>
    <cellStyle name="_Table_02 Pfd Valuation_Rev Fixe-Internet_COMMENTAIRES JUILLET 2009" xfId="0"/>
    <cellStyle name="_Table_02 Pfd Valuation_Rev Fixe-Internet_COMMENTAIRES JUILLET 2009 2" xfId="0"/>
    <cellStyle name="_Table_02 Pfd Valuation_Rev Fixe-Internet_COMMENTAIRES JUILLET 2009 2 2" xfId="0"/>
    <cellStyle name="_Table_02 Pfd Valuation_Rev Fixe-Internet_COMMENTAIRES JUILLET 2009 3" xfId="0"/>
    <cellStyle name="_Table_02 Pfd Valuation_Rev Fixe-Internet_COMMENTAIRES JUILLET 2009_Budget Telmob 2011" xfId="0"/>
    <cellStyle name="_Table_02 Pfd Valuation_Rev Fixe-Internet_COMMENTAIRES JUILLET 2009_Budget Telmob 2011 2" xfId="0"/>
    <cellStyle name="_Table_02 Pfd Valuation_Rev Fixe-Internet_COMMENTAIRES JUILLET 2009_Budget Telmob 2011 2 2" xfId="0"/>
    <cellStyle name="_Table_02 Pfd Valuation_Rev Fixe-Internet_COMMENTAIRES JUILLET 2009_Budget Telmob 2011 3" xfId="0"/>
    <cellStyle name="_Table_02 Pfd Valuation_Rev Fixe-Internet_COMMENTAIRES JUILLET 2009_Capex- Mobile" xfId="0"/>
    <cellStyle name="_Table_02 Pfd Valuation_Rev Fixe-Internet_COMMENTAIRES JUILLET 2009_Capex- Mobile 2" xfId="0"/>
    <cellStyle name="_Table_02 Pfd Valuation_Rev Fixe-Internet_COMMENTAIRES JUILLET 2009_Capex- Mobile 2 2" xfId="0"/>
    <cellStyle name="_Table_02 Pfd Valuation_Rev Fixe-Internet_COMMENTAIRES JUILLET 2009_Capex- Mobile 3" xfId="0"/>
    <cellStyle name="_Table_02 Pfd Valuation_TBG Onatel Février  2009  Vtbg V3" xfId="0"/>
    <cellStyle name="_Table_02 Pfd Valuation_TBG Onatel Février  2009  Vtbg V3 2" xfId="0"/>
    <cellStyle name="_Table_02 Pfd Valuation_TBG Onatel Février  2009  Vtbg V3 2 2" xfId="0"/>
    <cellStyle name="_Table_02 Pfd Valuation_TBG Onatel Février  2009  Vtbg V3 3" xfId="0"/>
    <cellStyle name="_Table_02 Pfd Valuation_TBG Onatel Février  2009  Vtbg V3_Budget Telmob 2011" xfId="0"/>
    <cellStyle name="_Table_02 Pfd Valuation_TBG Onatel Février  2009  Vtbg V3_Budget Telmob 2011 2" xfId="0"/>
    <cellStyle name="_Table_02 Pfd Valuation_TBG Onatel Février  2009  Vtbg V3_Budget Telmob 2011 2 2" xfId="0"/>
    <cellStyle name="_Table_02 Pfd Valuation_TBG Onatel Février  2009  Vtbg V3_Budget Telmob 2011 3" xfId="0"/>
    <cellStyle name="_Table_02 Pfd Valuation_TBG Onatel Février  2009  Vtbg V3_Capex- Mobile" xfId="0"/>
    <cellStyle name="_Table_02 Pfd Valuation_TBG Onatel Février  2009  Vtbg V3_Capex- Mobile 2" xfId="0"/>
    <cellStyle name="_Table_02 Pfd Valuation_TBG Onatel Février  2009  Vtbg V3_Capex- Mobile 2 2" xfId="0"/>
    <cellStyle name="_Table_02 Pfd Valuation_TBG Onatel Février  2009  Vtbg V3_Capex- Mobile 3" xfId="0"/>
    <cellStyle name="_Table_02 Pfd Valuation_TBG Onatel Février  2009  Vtbg V3_Commentaires TBG mars" xfId="0"/>
    <cellStyle name="_Table_02 Pfd Valuation_TBG Onatel Février  2009  Vtbg V3_Commentaires TBG mars 2" xfId="0"/>
    <cellStyle name="_Table_02 Pfd Valuation_TBG Onatel Février  2009  Vtbg V3_Commentaires TBG mars 2 2" xfId="0"/>
    <cellStyle name="_Table_02 Pfd Valuation_TBG Onatel Février  2009  Vtbg V3_Commentaires TBG mars 3" xfId="0"/>
    <cellStyle name="_Table_02 Pfd Valuation_TBG Onatel Février  2009  Vtbg V3_Commentaires TBG mars_Budget Telmob 2011" xfId="0"/>
    <cellStyle name="_Table_02 Pfd Valuation_TBG Onatel Février  2009  Vtbg V3_Commentaires TBG mars_Budget Telmob 2011 2" xfId="0"/>
    <cellStyle name="_Table_02 Pfd Valuation_TBG Onatel Février  2009  Vtbg V3_Commentaires TBG mars_Budget Telmob 2011 2 2" xfId="0"/>
    <cellStyle name="_Table_02 Pfd Valuation_TBG Onatel Février  2009  Vtbg V3_Commentaires TBG mars_Budget Telmob 2011 3" xfId="0"/>
    <cellStyle name="_Table_02 Pfd Valuation_TBG Onatel Février  2009  Vtbg V3_Commentaires TBG mars_Capex- Mobile" xfId="0"/>
    <cellStyle name="_Table_02 Pfd Valuation_TBG Onatel Février  2009  Vtbg V3_Commentaires TBG mars_Capex- Mobile 2" xfId="0"/>
    <cellStyle name="_Table_02 Pfd Valuation_TBG Onatel Février  2009  Vtbg V3_Commentaires TBG mars_Capex- Mobile 2 2" xfId="0"/>
    <cellStyle name="_Table_02 Pfd Valuation_TBG Onatel Février  2009  Vtbg V3_Commentaires TBG mars_Capex- Mobile 3" xfId="0"/>
    <cellStyle name="_Table_02 Pfd Valuation_TBG Onatel Février  2009  Vtbg V3_Commentaires TBG mars_Copie de Flash du mois d' avril 2009 corrigé par NAIMI" xfId="0"/>
    <cellStyle name="_Table_02 Pfd Valuation_TBG Onatel Février  2009  Vtbg V3_Commentaires TBG mars_Copie de Flash du mois d' avril 2009 corrigé par NAIMI 2" xfId="0"/>
    <cellStyle name="_Table_02 Pfd Valuation_TBG Onatel Février  2009  Vtbg V3_Commentaires TBG mars_Copie de Flash du mois d' avril 2009 corrigé par NAIMI 2 2" xfId="0"/>
    <cellStyle name="_Table_02 Pfd Valuation_TBG Onatel Février  2009  Vtbg V3_Commentaires TBG mars_Copie de Flash du mois d' avril 2009 corrigé par NAIMI 3" xfId="0"/>
    <cellStyle name="_Table_02 Pfd Valuation_TBG Onatel Février  2009  Vtbg V3_Commentaires TBG mars_Copie de Flash du mois d' avril 2009 corrigé par NAIMI_Budget Telmob 2011" xfId="0"/>
    <cellStyle name="_Table_02 Pfd Valuation_TBG Onatel Février  2009  Vtbg V3_Commentaires TBG mars_Copie de Flash du mois d' avril 2009 corrigé par NAIMI_Budget Telmob 2011 2" xfId="0"/>
    <cellStyle name="_Table_02 Pfd Valuation_TBG Onatel Février  2009  Vtbg V3_Commentaires TBG mars_Copie de Flash du mois d' avril 2009 corrigé par NAIMI_Budget Telmob 2011 2 2" xfId="0"/>
    <cellStyle name="_Table_02 Pfd Valuation_TBG Onatel Février  2009  Vtbg V3_Commentaires TBG mars_Copie de Flash du mois d' avril 2009 corrigé par NAIMI_Budget Telmob 2011 3" xfId="0"/>
    <cellStyle name="_Table_02 Pfd Valuation_TBG Onatel Février  2009  Vtbg V3_Commentaires TBG mars_Copie de Flash du mois d' avril 2009 corrigé par NAIMI_Capex- Mobile" xfId="0"/>
    <cellStyle name="_Table_02 Pfd Valuation_TBG Onatel Février  2009  Vtbg V3_Commentaires TBG mars_Copie de Flash du mois d' avril 2009 corrigé par NAIMI_Capex- Mobile 2" xfId="0"/>
    <cellStyle name="_Table_02 Pfd Valuation_TBG Onatel Février  2009  Vtbg V3_Commentaires TBG mars_Copie de Flash du mois d' avril 2009 corrigé par NAIMI_Capex- Mobile 2 2" xfId="0"/>
    <cellStyle name="_Table_02 Pfd Valuation_TBG Onatel Février  2009  Vtbg V3_Commentaires TBG mars_Copie de Flash du mois d' avril 2009 corrigé par NAIMI_Capex- Mobile 3" xfId="0"/>
    <cellStyle name="_Table_02 Pfd Valuation_TBG Onatel Février  2009  Vtbg V3_Commentaires TBG mars_Copie de Flash du mois d' avril 2009 corrigé par NAIMI_Flash du mois de mai 2009" xfId="0"/>
    <cellStyle name="_Table_02 Pfd Valuation_TBG Onatel Février  2009  Vtbg V3_Commentaires TBG mars_Copie de Flash du mois d' avril 2009 corrigé par NAIMI_Flash du mois de mai 2009 2" xfId="0"/>
    <cellStyle name="_Table_02 Pfd Valuation_TBG Onatel Février  2009  Vtbg V3_Commentaires TBG mars_Copie de Flash du mois d' avril 2009 corrigé par NAIMI_Flash du mois de mai 2009 2 2" xfId="0"/>
    <cellStyle name="_Table_02 Pfd Valuation_TBG Onatel Février  2009  Vtbg V3_Commentaires TBG mars_Copie de Flash du mois d' avril 2009 corrigé par NAIMI_Flash du mois de mai 2009 3" xfId="0"/>
    <cellStyle name="_Table_02 Pfd Valuation_TBG Onatel Février  2009  Vtbg V3_Commentaires TBG mars_Copie de Flash du mois d' avril 2009 corrigé par NAIMI_Flash du mois de mai 2009_Budget Telmob 2011" xfId="0"/>
    <cellStyle name="_Table_02 Pfd Valuation_TBG Onatel Février  2009  Vtbg V3_Commentaires TBG mars_Copie de Flash du mois d' avril 2009 corrigé par NAIMI_Flash du mois de mai 2009_Budget Telmob 2011 2" xfId="0"/>
    <cellStyle name="_Table_02 Pfd Valuation_TBG Onatel Février  2009  Vtbg V3_Commentaires TBG mars_Copie de Flash du mois d' avril 2009 corrigé par NAIMI_Flash du mois de mai 2009_Budget Telmob 2011 2 2" xfId="0"/>
    <cellStyle name="_Table_02 Pfd Valuation_TBG Onatel Février  2009  Vtbg V3_Commentaires TBG mars_Copie de Flash du mois d' avril 2009 corrigé par NAIMI_Flash du mois de mai 2009_Budget Telmob 2011 3" xfId="0"/>
    <cellStyle name="_Table_02 Pfd Valuation_TBG Onatel Février  2009  Vtbg V3_Commentaires TBG mars_Copie de Flash du mois d' avril 2009 corrigé par NAIMI_Flash du mois de mai 2009_Capex- Mobile" xfId="0"/>
    <cellStyle name="_Table_02 Pfd Valuation_TBG Onatel Février  2009  Vtbg V3_Commentaires TBG mars_Copie de Flash du mois d' avril 2009 corrigé par NAIMI_Flash du mois de mai 2009_Capex- Mobile 2" xfId="0"/>
    <cellStyle name="_Table_02 Pfd Valuation_TBG Onatel Février  2009  Vtbg V3_Commentaires TBG mars_Copie de Flash du mois d' avril 2009 corrigé par NAIMI_Flash du mois de mai 2009_Capex- Mobile 2 2" xfId="0"/>
    <cellStyle name="_Table_02 Pfd Valuation_TBG Onatel Février  2009  Vtbg V3_Commentaires TBG mars_Copie de Flash du mois d' avril 2009 corrigé par NAIMI_Flash du mois de mai 2009_Capex- Mobile 3" xfId="0"/>
    <cellStyle name="_Table_02 Pfd Valuation_TBG Onatel Février  2009  Vtbg V3_Commentaires TBG mars_Copie de Flash du mois d' avril 2009 corrigé par NAIMI_Flash du mois de septembre 2009 (2) (version 1)" xfId="0"/>
    <cellStyle name="_Table_02 Pfd Valuation_TBG Onatel Février  2009  Vtbg V3_Commentaires TBG mars_Copie de Flash du mois d' avril 2009 corrigé par NAIMI_Flash du mois de septembre 2009 (2) (version 1) 2" xfId="0"/>
    <cellStyle name="_Table_02 Pfd Valuation_TBG Onatel Février  2009  Vtbg V3_Commentaires TBG mars_Copie de Flash du mois d' avril 2009 corrigé par NAIMI_Flash du mois de septembre 2009 (2) (version 1) 2 2" xfId="0"/>
    <cellStyle name="_Table_02 Pfd Valuation_TBG Onatel Février  2009  Vtbg V3_Commentaires TBG mars_Copie de Flash du mois d' avril 2009 corrigé par NAIMI_Flash du mois de septembre 2009 (2) (version 1) 3" xfId="0"/>
    <cellStyle name="_Table_02 Pfd Valuation_TBG Onatel Février  2009  Vtbg V3_Commentaires TBG mars_Copie de Flash du mois d' avril 2009 corrigé par NAIMI_Flash du mois de septembre 2009 (2) (version 1)_Budget Telmob 2011" xfId="0"/>
    <cellStyle name="_Table_02 Pfd Valuation_TBG Onatel Février  2009  Vtbg V3_Commentaires TBG mars_Copie de Flash du mois d' avril 2009 corrigé par NAIMI_Flash du mois de septembre 2009 (2) (version 1)_Budget Telmob 2011 2" xfId="0"/>
    <cellStyle name="_Table_02 Pfd Valuation_TBG Onatel Février  2009  Vtbg V3_Commentaires TBG mars_Copie de Flash du mois d' avril 2009 corrigé par NAIMI_Flash du mois de septembre 2009 (2) (version 1)_Budget Telmob 2011 2 2" xfId="0"/>
    <cellStyle name="_Table_02 Pfd Valuation_TBG Onatel Février  2009  Vtbg V3_Commentaires TBG mars_Copie de Flash du mois d' avril 2009 corrigé par NAIMI_Flash du mois de septembre 2009 (2) (version 1)_Budget Telmob 2011 3" xfId="0"/>
    <cellStyle name="_Table_02 Pfd Valuation_TBG Onatel Février  2009  Vtbg V3_Commentaires TBG mars_Copie de Flash du mois d' avril 2009 corrigé par NAIMI_Flash du mois de septembre 2009 (2) (version 1)_Capex- Mobile" xfId="0"/>
    <cellStyle name="_Table_02 Pfd Valuation_TBG Onatel Février  2009  Vtbg V3_Commentaires TBG mars_Copie de Flash du mois d' avril 2009 corrigé par NAIMI_Flash du mois de septembre 2009 (2) (version 1)_Capex- Mobile 2" xfId="0"/>
    <cellStyle name="_Table_02 Pfd Valuation_TBG Onatel Février  2009  Vtbg V3_Commentaires TBG mars_Copie de Flash du mois d' avril 2009 corrigé par NAIMI_Flash du mois de septembre 2009 (2) (version 1)_Capex- Mobile 2 2" xfId="0"/>
    <cellStyle name="_Table_02 Pfd Valuation_TBG Onatel Février  2009  Vtbg V3_Commentaires TBG mars_Copie de Flash du mois d' avril 2009 corrigé par NAIMI_Flash du mois de septembre 2009 (2) (version 1)_Capex- Mobile 3" xfId="0"/>
    <cellStyle name="_Table_02 Pfd Valuation_TBG Onatel Février  2009  Vtbg V3_Commentaires TBG mars_Copie de Flash du mois d' avril 2009 corrigé par NAIMI_Reporting Onatel Mai 2009 V 0" xfId="0"/>
    <cellStyle name="_Table_02 Pfd Valuation_TBG Onatel Février  2009  Vtbg V3_Commentaires TBG mars_Copie de Flash du mois d' avril 2009 corrigé par NAIMI_Reporting Onatel Mai 2009 V 0 2" xfId="0"/>
    <cellStyle name="_Table_02 Pfd Valuation_TBG Onatel Février  2009  Vtbg V3_Commentaires TBG mars_Copie de Flash du mois d' avril 2009 corrigé par NAIMI_Reporting Onatel Mai 2009 V 0 2 2" xfId="0"/>
    <cellStyle name="_Table_02 Pfd Valuation_TBG Onatel Février  2009  Vtbg V3_Commentaires TBG mars_Copie de Flash du mois d' avril 2009 corrigé par NAIMI_Reporting Onatel Mai 2009 V 0 3" xfId="0"/>
    <cellStyle name="_Table_02 Pfd Valuation_TBG Onatel Février  2009  Vtbg V3_Commentaires TBG mars_Copie de Flash du mois d' avril 2009 corrigé par NAIMI_Reporting Onatel Mai 2009 V 0_Budget Telmob 2011" xfId="0"/>
    <cellStyle name="_Table_02 Pfd Valuation_TBG Onatel Février  2009  Vtbg V3_Commentaires TBG mars_Copie de Flash du mois d' avril 2009 corrigé par NAIMI_Reporting Onatel Mai 2009 V 0_Budget Telmob 2011 2" xfId="0"/>
    <cellStyle name="_Table_02 Pfd Valuation_TBG Onatel Février  2009  Vtbg V3_Commentaires TBG mars_Copie de Flash du mois d' avril 2009 corrigé par NAIMI_Reporting Onatel Mai 2009 V 0_Budget Telmob 2011 2 2" xfId="0"/>
    <cellStyle name="_Table_02 Pfd Valuation_TBG Onatel Février  2009  Vtbg V3_Commentaires TBG mars_Copie de Flash du mois d' avril 2009 corrigé par NAIMI_Reporting Onatel Mai 2009 V 0_Budget Telmob 2011 3" xfId="0"/>
    <cellStyle name="_Table_02 Pfd Valuation_TBG Onatel Février  2009  Vtbg V3_Commentaires TBG mars_Copie de Flash du mois d' avril 2009 corrigé par NAIMI_Reporting Onatel Mai 2009 V 0_Capex- Mobile" xfId="0"/>
    <cellStyle name="_Table_02 Pfd Valuation_TBG Onatel Février  2009  Vtbg V3_Commentaires TBG mars_Copie de Flash du mois d' avril 2009 corrigé par NAIMI_Reporting Onatel Mai 2009 V 0_Capex- Mobile 2" xfId="0"/>
    <cellStyle name="_Table_02 Pfd Valuation_TBG Onatel Février  2009  Vtbg V3_Commentaires TBG mars_Copie de Flash du mois d' avril 2009 corrigé par NAIMI_Reporting Onatel Mai 2009 V 0_Capex- Mobile 2 2" xfId="0"/>
    <cellStyle name="_Table_02 Pfd Valuation_TBG Onatel Février  2009  Vtbg V3_Commentaires TBG mars_Copie de Flash du mois d' avril 2009 corrigé par NAIMI_Reporting Onatel Mai 2009 V 0_Capex- Mobile 3" xfId="0"/>
    <cellStyle name="_Table_02 Pfd Valuation_TBG Onatel Février  2009  Vtbg V3_Commentaires TBG mars_Copie de Flash du mois d' avril 2009 corrigé par NAIMI_Reporting Onatel Mai 2009 V 0_Flash du mois de septembre 2009 (2) (version 1)" xfId="0"/>
    <cellStyle name="_Table_02 Pfd Valuation_TBG Onatel Février  2009  Vtbg V3_Commentaires TBG mars_Copie de Flash du mois d' avril 2009 corrigé par NAIMI_Reporting Onatel Mai 2009 V 0_Flash du mois de septembre 2009 (2) (version 1) 2" xfId="0"/>
    <cellStyle name="_Table_02 Pfd Valuation_TBG Onatel Février  2009  Vtbg V3_Commentaires TBG mars_Copie de Flash du mois d' avril 2009 corrigé par NAIMI_Reporting Onatel Mai 2009 V 0_Flash du mois de septembre 2009 (2) (version 1) 2 2" xfId="0"/>
    <cellStyle name="_Table_02 Pfd Valuation_TBG Onatel Février  2009  Vtbg V3_Commentaires TBG mars_Copie de Flash du mois d' avril 2009 corrigé par NAIMI_Reporting Onatel Mai 2009 V 0_Flash du mois de septembre 2009 (2) (version 1) 3" xfId="0"/>
    <cellStyle name="_Table_02 Pfd Valuation_TBG Onatel Février  2009  Vtbg V3_Commentaires TBG mars_Copie de Flash du mois d' avril 2009 corrigé par NAIMI_Reporting Onatel Mai 2009 V 0_Flash du mois de septembre 2009 (2) (version 1)_Budget Telmob 2011" xfId="0"/>
    <cellStyle name="_Table_02 Pfd Valuation_TBG Onatel Février  2009  Vtbg V3_Commentaires TBG mars_Copie de Flash du mois d' avril 2009 corrigé par NAIMI_Reporting Onatel Mai 2009 V 0_Flash du mois de septembre 2009 (2) (version 1)_Budget Telmob 2011 2" xfId="0"/>
    <cellStyle name="_Table_02 Pfd Valuation_TBG Onatel Février  2009  Vtbg V3_Commentaires TBG mars_Copie de Flash du mois d' avril 2009 corrigé par NAIMI_Reporting Onatel Mai 2009 V 0_Flash du mois de septembre 2009 (2) (version 1)_Budget Telmob 2011 2 2" xfId="0"/>
    <cellStyle name="_Table_02 Pfd Valuation_TBG Onatel Février  2009  Vtbg V3_Commentaires TBG mars_Copie de Flash du mois d' avril 2009 corrigé par NAIMI_Reporting Onatel Mai 2009 V 0_Flash du mois de septembre 2009 (2) (version 1)_Budget Telmob 2011 3" xfId="0"/>
    <cellStyle name="_Table_02 Pfd Valuation_TBG Onatel Février  2009  Vtbg V3_Commentaires TBG mars_Copie de Flash du mois d' avril 2009 corrigé par NAIMI_Reporting Onatel Mai 2009 V 0_Flash du mois de septembre 2009 (2) (version 1)_Capex- Mobile" xfId="0"/>
    <cellStyle name="_Table_02 Pfd Valuation_TBG Onatel Février  2009  Vtbg V3_Commentaires TBG mars_Copie de Flash du mois d' avril 2009 corrigé par NAIMI_Reporting Onatel Mai 2009 V 0_Flash du mois de septembre 2009 (2) (version 1)_Capex- Mobile 2" xfId="0"/>
    <cellStyle name="_Table_02 Pfd Valuation_TBG Onatel Février  2009  Vtbg V3_Commentaires TBG mars_Copie de Flash du mois d' avril 2009 corrigé par NAIMI_Reporting Onatel Mai 2009 V 0_Flash du mois de septembre 2009 (2) (version 1)_Capex- Mobile 2 2" xfId="0"/>
    <cellStyle name="_Table_02 Pfd Valuation_TBG Onatel Février  2009  Vtbg V3_Commentaires TBG mars_Copie de Flash du mois d' avril 2009 corrigé par NAIMI_Reporting Onatel Mai 2009 V 0_Flash du mois de septembre 2009 (2) (version 1)_Capex- Mobile 3" xfId="0"/>
    <cellStyle name="_Table_02 Pfd Valuation_TBG Onatel Février  2009  Vtbg V3_Commentaires TBG mars_Copie de Flash du mois d' avril 2009 corrigé par NAIMI_Reporting Onatel Mai 2009 V 0_Reporting Onatel septembre  2009 préparé" xfId="0"/>
    <cellStyle name="_Table_02 Pfd Valuation_TBG Onatel Février  2009  Vtbg V3_Commentaires TBG mars_Copie de Flash du mois d' avril 2009 corrigé par NAIMI_Reporting Onatel Mai 2009 V 0_Reporting Onatel septembre  2009 préparé 2" xfId="0"/>
    <cellStyle name="_Table_02 Pfd Valuation_TBG Onatel Février  2009  Vtbg V3_Commentaires TBG mars_Copie de Flash du mois d' avril 2009 corrigé par NAIMI_Reporting Onatel Mai 2009 V 0_Reporting Onatel septembre  2009 préparé 2 2" xfId="0"/>
    <cellStyle name="_Table_02 Pfd Valuation_TBG Onatel Février  2009  Vtbg V3_Commentaires TBG mars_Copie de Flash du mois d' avril 2009 corrigé par NAIMI_Reporting Onatel Mai 2009 V 0_Reporting Onatel septembre  2009 préparé 3" xfId="0"/>
    <cellStyle name="_Table_02 Pfd Valuation_TBG Onatel Février  2009  Vtbg V3_Commentaires TBG mars_Copie de Flash du mois d' avril 2009 corrigé par NAIMI_Reporting Onatel Mai 2009 V 0_Reporting Onatel septembre  2009 préparé_Budget Telmob 2011" xfId="0"/>
    <cellStyle name="_Table_02 Pfd Valuation_TBG Onatel Février  2009  Vtbg V3_Commentaires TBG mars_Copie de Flash du mois d' avril 2009 corrigé par NAIMI_Reporting Onatel Mai 2009 V 0_Reporting Onatel septembre  2009 préparé_Budget Telmob 2011 2" xfId="0"/>
    <cellStyle name="_Table_02 Pfd Valuation_TBG Onatel Février  2009  Vtbg V3_Commentaires TBG mars_Copie de Flash du mois d' avril 2009 corrigé par NAIMI_Reporting Onatel Mai 2009 V 0_Reporting Onatel septembre  2009 préparé_Budget Telmob 2011 2 2" xfId="0"/>
    <cellStyle name="_Table_02 Pfd Valuation_TBG Onatel Février  2009  Vtbg V3_Commentaires TBG mars_Copie de Flash du mois d' avril 2009 corrigé par NAIMI_Reporting Onatel Mai 2009 V 0_Reporting Onatel septembre  2009 préparé_Budget Telmob 2011 3" xfId="0"/>
    <cellStyle name="_Table_02 Pfd Valuation_TBG Onatel Février  2009  Vtbg V3_Commentaires TBG mars_Copie de Flash du mois d' avril 2009 corrigé par NAIMI_Reporting Onatel Mai 2009 V 0_Reporting Onatel septembre  2009 préparé_Capex- Mobile" xfId="0"/>
    <cellStyle name="_Table_02 Pfd Valuation_TBG Onatel Février  2009  Vtbg V3_Commentaires TBG mars_Copie de Flash du mois d' avril 2009 corrigé par NAIMI_Reporting Onatel Mai 2009 V 0_Reporting Onatel septembre  2009 préparé_Capex- Mobile 2" xfId="0"/>
    <cellStyle name="_Table_02 Pfd Valuation_TBG Onatel Février  2009  Vtbg V3_Commentaires TBG mars_Copie de Flash du mois d' avril 2009 corrigé par NAIMI_Reporting Onatel Mai 2009 V 0_Reporting Onatel septembre  2009 préparé_Capex- Mobile 2 2" xfId="0"/>
    <cellStyle name="_Table_02 Pfd Valuation_TBG Onatel Février  2009  Vtbg V3_Commentaires TBG mars_Copie de Flash du mois d' avril 2009 corrigé par NAIMI_Reporting Onatel Mai 2009 V 0_Reporting Onatel septembre  2009 préparé_Capex- Mobile 3" xfId="0"/>
    <cellStyle name="_Table_02 Pfd Valuation_TBG Onatel Février  2009  Vtbg V3_Commentaires TBG mars_Copie de Flash du mois d' avril 2009 corrigé par NAIMI_Reporting Onatel septembre  2009 préparé" xfId="0"/>
    <cellStyle name="_Table_02 Pfd Valuation_TBG Onatel Février  2009  Vtbg V3_Commentaires TBG mars_Copie de Flash du mois d' avril 2009 corrigé par NAIMI_Reporting Onatel septembre  2009 préparé 2" xfId="0"/>
    <cellStyle name="_Table_02 Pfd Valuation_TBG Onatel Février  2009  Vtbg V3_Commentaires TBG mars_Copie de Flash du mois d' avril 2009 corrigé par NAIMI_Reporting Onatel septembre  2009 préparé 2 2" xfId="0"/>
    <cellStyle name="_Table_02 Pfd Valuation_TBG Onatel Février  2009  Vtbg V3_Commentaires TBG mars_Copie de Flash du mois d' avril 2009 corrigé par NAIMI_Reporting Onatel septembre  2009 préparé 3" xfId="0"/>
    <cellStyle name="_Table_02 Pfd Valuation_TBG Onatel Février  2009  Vtbg V3_Commentaires TBG mars_Copie de Flash du mois d' avril 2009 corrigé par NAIMI_Reporting Onatel septembre  2009 préparé_Budget Telmob 2011" xfId="0"/>
    <cellStyle name="_Table_02 Pfd Valuation_TBG Onatel Février  2009  Vtbg V3_Commentaires TBG mars_Copie de Flash du mois d' avril 2009 corrigé par NAIMI_Reporting Onatel septembre  2009 préparé_Budget Telmob 2011 2" xfId="0"/>
    <cellStyle name="_Table_02 Pfd Valuation_TBG Onatel Février  2009  Vtbg V3_Commentaires TBG mars_Copie de Flash du mois d' avril 2009 corrigé par NAIMI_Reporting Onatel septembre  2009 préparé_Budget Telmob 2011 2 2" xfId="0"/>
    <cellStyle name="_Table_02 Pfd Valuation_TBG Onatel Février  2009  Vtbg V3_Commentaires TBG mars_Copie de Flash du mois d' avril 2009 corrigé par NAIMI_Reporting Onatel septembre  2009 préparé_Budget Telmob 2011 3" xfId="0"/>
    <cellStyle name="_Table_02 Pfd Valuation_TBG Onatel Février  2009  Vtbg V3_Commentaires TBG mars_Copie de Flash du mois d' avril 2009 corrigé par NAIMI_Reporting Onatel septembre  2009 préparé_Capex- Mobile" xfId="0"/>
    <cellStyle name="_Table_02 Pfd Valuation_TBG Onatel Février  2009  Vtbg V3_Commentaires TBG mars_Copie de Flash du mois d' avril 2009 corrigé par NAIMI_Reporting Onatel septembre  2009 préparé_Capex- Mobile 2" xfId="0"/>
    <cellStyle name="_Table_02 Pfd Valuation_TBG Onatel Février  2009  Vtbg V3_Commentaires TBG mars_Copie de Flash du mois d' avril 2009 corrigé par NAIMI_Reporting Onatel septembre  2009 préparé_Capex- Mobile 2 2" xfId="0"/>
    <cellStyle name="_Table_02 Pfd Valuation_TBG Onatel Février  2009  Vtbg V3_Commentaires TBG mars_Copie de Flash du mois d' avril 2009 corrigé par NAIMI_Reporting Onatel septembre  2009 préparé_Capex- Mobile 3" xfId="0"/>
    <cellStyle name="_Table_02 Pfd Valuation_TBG Onatel Février  2009  Vtbg V3_Commentaires TBG mars_Flash du mois d' avril 2009" xfId="0"/>
    <cellStyle name="_Table_02 Pfd Valuation_TBG Onatel Février  2009  Vtbg V3_Commentaires TBG mars_Flash du mois d' avril 2009 2" xfId="0"/>
    <cellStyle name="_Table_02 Pfd Valuation_TBG Onatel Février  2009  Vtbg V3_Commentaires TBG mars_Flash du mois d' avril 2009 2 2" xfId="0"/>
    <cellStyle name="_Table_02 Pfd Valuation_TBG Onatel Février  2009  Vtbg V3_Commentaires TBG mars_Flash du mois d' avril 2009 3" xfId="0"/>
    <cellStyle name="_Table_02 Pfd Valuation_TBG Onatel Février  2009  Vtbg V3_Commentaires TBG mars_Flash du mois d' avril 2009_Budget Telmob 2011" xfId="0"/>
    <cellStyle name="_Table_02 Pfd Valuation_TBG Onatel Février  2009  Vtbg V3_Commentaires TBG mars_Flash du mois d' avril 2009_Budget Telmob 2011 2" xfId="0"/>
    <cellStyle name="_Table_02 Pfd Valuation_TBG Onatel Février  2009  Vtbg V3_Commentaires TBG mars_Flash du mois d' avril 2009_Budget Telmob 2011 2 2" xfId="0"/>
    <cellStyle name="_Table_02 Pfd Valuation_TBG Onatel Février  2009  Vtbg V3_Commentaires TBG mars_Flash du mois d' avril 2009_Budget Telmob 2011 3" xfId="0"/>
    <cellStyle name="_Table_02 Pfd Valuation_TBG Onatel Février  2009  Vtbg V3_Commentaires TBG mars_Flash du mois d' avril 2009_Capex- Mobile" xfId="0"/>
    <cellStyle name="_Table_02 Pfd Valuation_TBG Onatel Février  2009  Vtbg V3_Commentaires TBG mars_Flash du mois d' avril 2009_Capex- Mobile 2" xfId="0"/>
    <cellStyle name="_Table_02 Pfd Valuation_TBG Onatel Février  2009  Vtbg V3_Commentaires TBG mars_Flash du mois d' avril 2009_Capex- Mobile 2 2" xfId="0"/>
    <cellStyle name="_Table_02 Pfd Valuation_TBG Onatel Février  2009  Vtbg V3_Commentaires TBG mars_Flash du mois d' avril 2009_Capex- Mobile 3" xfId="0"/>
    <cellStyle name="_Table_02 Pfd Valuation_TBG Onatel Février  2009  Vtbg V3_Commentaires TBG mars_Flash du mois d' avril 2009_Flash du mois de mai 2009" xfId="0"/>
    <cellStyle name="_Table_02 Pfd Valuation_TBG Onatel Février  2009  Vtbg V3_Commentaires TBG mars_Flash du mois d' avril 2009_Flash du mois de mai 2009 2" xfId="0"/>
    <cellStyle name="_Table_02 Pfd Valuation_TBG Onatel Février  2009  Vtbg V3_Commentaires TBG mars_Flash du mois d' avril 2009_Flash du mois de mai 2009 2 2" xfId="0"/>
    <cellStyle name="_Table_02 Pfd Valuation_TBG Onatel Février  2009  Vtbg V3_Commentaires TBG mars_Flash du mois d' avril 2009_Flash du mois de mai 2009 3" xfId="0"/>
    <cellStyle name="_Table_02 Pfd Valuation_TBG Onatel Février  2009  Vtbg V3_Commentaires TBG mars_Flash du mois d' avril 2009_Flash du mois de mai 2009_Budget Telmob 2011" xfId="0"/>
    <cellStyle name="_Table_02 Pfd Valuation_TBG Onatel Février  2009  Vtbg V3_Commentaires TBG mars_Flash du mois d' avril 2009_Flash du mois de mai 2009_Budget Telmob 2011 2" xfId="0"/>
    <cellStyle name="_Table_02 Pfd Valuation_TBG Onatel Février  2009  Vtbg V3_Commentaires TBG mars_Flash du mois d' avril 2009_Flash du mois de mai 2009_Budget Telmob 2011 2 2" xfId="0"/>
    <cellStyle name="_Table_02 Pfd Valuation_TBG Onatel Février  2009  Vtbg V3_Commentaires TBG mars_Flash du mois d' avril 2009_Flash du mois de mai 2009_Budget Telmob 2011 3" xfId="0"/>
    <cellStyle name="_Table_02 Pfd Valuation_TBG Onatel Février  2009  Vtbg V3_Commentaires TBG mars_Flash du mois d' avril 2009_Flash du mois de mai 2009_Capex- Mobile" xfId="0"/>
    <cellStyle name="_Table_02 Pfd Valuation_TBG Onatel Février  2009  Vtbg V3_Commentaires TBG mars_Flash du mois d' avril 2009_Flash du mois de mai 2009_Capex- Mobile 2" xfId="0"/>
    <cellStyle name="_Table_02 Pfd Valuation_TBG Onatel Février  2009  Vtbg V3_Commentaires TBG mars_Flash du mois d' avril 2009_Flash du mois de mai 2009_Capex- Mobile 2 2" xfId="0"/>
    <cellStyle name="_Table_02 Pfd Valuation_TBG Onatel Février  2009  Vtbg V3_Commentaires TBG mars_Flash du mois d' avril 2009_Flash du mois de mai 2009_Capex- Mobile 3" xfId="0"/>
    <cellStyle name="_Table_02 Pfd Valuation_TBG Onatel Février  2009  Vtbg V3_Commentaires TBG mars_Flash du mois d' avril 2009_Flash du mois de septembre 2009 (2) (version 1)" xfId="0"/>
    <cellStyle name="_Table_02 Pfd Valuation_TBG Onatel Février  2009  Vtbg V3_Commentaires TBG mars_Flash du mois d' avril 2009_Flash du mois de septembre 2009 (2) (version 1) 2" xfId="0"/>
    <cellStyle name="_Table_02 Pfd Valuation_TBG Onatel Février  2009  Vtbg V3_Commentaires TBG mars_Flash du mois d' avril 2009_Flash du mois de septembre 2009 (2) (version 1) 2 2" xfId="0"/>
    <cellStyle name="_Table_02 Pfd Valuation_TBG Onatel Février  2009  Vtbg V3_Commentaires TBG mars_Flash du mois d' avril 2009_Flash du mois de septembre 2009 (2) (version 1) 3" xfId="0"/>
    <cellStyle name="_Table_02 Pfd Valuation_TBG Onatel Février  2009  Vtbg V3_Commentaires TBG mars_Flash du mois d' avril 2009_Flash du mois de septembre 2009 (2) (version 1)_Budget Telmob 2011" xfId="0"/>
    <cellStyle name="_Table_02 Pfd Valuation_TBG Onatel Février  2009  Vtbg V3_Commentaires TBG mars_Flash du mois d' avril 2009_Flash du mois de septembre 2009 (2) (version 1)_Budget Telmob 2011 2" xfId="0"/>
    <cellStyle name="_Table_02 Pfd Valuation_TBG Onatel Février  2009  Vtbg V3_Commentaires TBG mars_Flash du mois d' avril 2009_Flash du mois de septembre 2009 (2) (version 1)_Budget Telmob 2011 2 2" xfId="0"/>
    <cellStyle name="_Table_02 Pfd Valuation_TBG Onatel Février  2009  Vtbg V3_Commentaires TBG mars_Flash du mois d' avril 2009_Flash du mois de septembre 2009 (2) (version 1)_Budget Telmob 2011 3" xfId="0"/>
    <cellStyle name="_Table_02 Pfd Valuation_TBG Onatel Février  2009  Vtbg V3_Commentaires TBG mars_Flash du mois d' avril 2009_Reporting Onatel Mai 2009 V 0" xfId="0"/>
    <cellStyle name="_Table_02 Pfd Valuation_TBG Onatel Février  2009  Vtbg V3_Commentaires TBG mars_Flash du mois d' avril 2009_Reporting Onatel Mai 2009 V 0 2" xfId="0"/>
    <cellStyle name="_Table_02 Pfd Valuation_TBG Onatel Février  2009  Vtbg V3_Commentaires TBG mars_Flash du mois d' avril 2009_Reporting Onatel Mai 2009 V 0 2 2" xfId="0"/>
    <cellStyle name="_Table_02 Pfd Valuation_TBG Onatel Février  2009  Vtbg V3_Commentaires TBG mars_Flash du mois d' avril 2009_Reporting Onatel Mai 2009 V 0 3" xfId="0"/>
    <cellStyle name="_Table_02 Pfd Valuation_TBG Onatel Février  2009  Vtbg V3_Commentaires TBG mars_Flash du mois d' avril 2009_Reporting Onatel Mai 2009 V 0_Budget Telmob 2011" xfId="0"/>
    <cellStyle name="_Table_02 Pfd Valuation_TBG Onatel Février  2009  Vtbg V3_Commentaires TBG mars_Flash du mois d' avril 2009_Reporting Onatel Mai 2009 V 0_Budget Telmob 2011 2" xfId="0"/>
    <cellStyle name="_Table_02 Pfd Valuation_TBG Onatel Février  2009  Vtbg V3_Commentaires TBG mars_Flash du mois d' avril 2009_Reporting Onatel Mai 2009 V 0_Budget Telmob 2011 2 2" xfId="0"/>
    <cellStyle name="_Table_02 Pfd Valuation_TBG Onatel Février  2009  Vtbg V3_Commentaires TBG mars_Flash du mois d' avril 2009_Reporting Onatel Mai 2009 V 0_Budget Telmob 2011 3" xfId="0"/>
    <cellStyle name="_Table_02 Pfd Valuation_TBG Onatel Février  2009  Vtbg V3_Commentaires TBG mars_Flash du mois d' avril 2009_Reporting Onatel septembre  2009 préparé" xfId="0"/>
    <cellStyle name="_Table_02 Pfd Valuation_TBG Onatel Février  2009  Vtbg V3_Commentaires TBG mars_Flash du mois d' avril 2009_Reporting Onatel septembre  2009 préparé 2" xfId="0"/>
    <cellStyle name="_Table_02 Pfd Valuation_TBG Onatel Février  2009  Vtbg V3_Commentaires TBG mars_Flash du mois d' avril 2009_Reporting Onatel septembre  2009 préparé 2 2" xfId="0"/>
    <cellStyle name="_Table_02 Pfd Valuation_TBG Onatel Février  2009  Vtbg V3_Commentaires TBG mars_Flash du mois d' avril 2009_Reporting Onatel septembre  2009 préparé 3" xfId="0"/>
    <cellStyle name="_Table_02 Pfd Valuation_TBG Onatel Février  2009  Vtbg V3_Commentaires TBG mars_Flash du mois d' avril 2009_Reporting Onatel septembre  2009 préparé_Budget Telmob 2011" xfId="0"/>
    <cellStyle name="_Table_02 Pfd Valuation_TBG Onatel Février  2009  Vtbg V3_Commentaires TBG mars_Flash du mois d' avril 2009_Reporting Onatel septembre  2009 préparé_Budget Telmob 2011 2" xfId="0"/>
    <cellStyle name="_Table_02 Pfd Valuation_TBG Onatel Février  2009  Vtbg V3_Commentaires TBG mars_Flash du mois d' avril 2009_Reporting Onatel septembre  2009 préparé_Budget Telmob 2011 2 2" xfId="0"/>
    <cellStyle name="_Table_02 Pfd Valuation_TBG Onatel Février  2009  Vtbg V3_Commentaires TBG mars_Flash du mois d' avril 2009_Reporting Onatel septembre  2009 préparé_Budget Telmob 2011 3" xfId="0"/>
    <cellStyle name="_Table_02 Pfd Valuation_TBG Onatel Février  2009  Vtbg V3_Commentaires TBG mars_Flash du mois de mai 2009" xfId="0"/>
    <cellStyle name="_Table_02 Pfd Valuation_TBG Onatel Février  2009  Vtbg V3_Commentaires TBG mars_Flash du mois de mai 2009 2" xfId="0"/>
    <cellStyle name="_Table_02 Pfd Valuation_TBG Onatel Février  2009  Vtbg V3_Commentaires TBG mars_Flash du mois de mai 2009 2 2" xfId="0"/>
    <cellStyle name="_Table_02 Pfd Valuation_TBG Onatel Février  2009  Vtbg V3_Commentaires TBG mars_Flash du mois de mai 2009 3" xfId="0"/>
    <cellStyle name="_Table_02 Pfd Valuation_TBG Onatel Février  2009  Vtbg V3_Commentaires TBG mars_Flash du mois de mai 2009_Budget Telmob 2011" xfId="0"/>
    <cellStyle name="_Table_02 Pfd Valuation_TBG Onatel Février  2009  Vtbg V3_Commentaires TBG mars_Flash du mois de mai 2009_Budget Telmob 2011 2" xfId="0"/>
    <cellStyle name="_Table_02 Pfd Valuation_TBG Onatel Février  2009  Vtbg V3_Commentaires TBG mars_Flash du mois de mai 2009_Budget Telmob 2011 2 2" xfId="0"/>
    <cellStyle name="_Table_02 Pfd Valuation_TBG Onatel Février  2009  Vtbg V3_Commentaires TBG mars_Flash du mois de mai 2009_Budget Telmob 2011 3" xfId="0"/>
    <cellStyle name="_Table_02 Pfd Valuation_TBG Onatel Février  2009  Vtbg V3_Commentaires TBG mars_Flash du mois de septembre 2009 (2) (version 1)" xfId="0"/>
    <cellStyle name="_Table_02 Pfd Valuation_TBG Onatel Février  2009  Vtbg V3_Commentaires TBG mars_Flash du mois de septembre 2009 (2) (version 1) 2" xfId="0"/>
    <cellStyle name="_Table_02 Pfd Valuation_TBG Onatel Février  2009  Vtbg V3_Commentaires TBG mars_Flash du mois de septembre 2009 (2) (version 1) 2 2" xfId="0"/>
    <cellStyle name="_Table_02 Pfd Valuation_TBG Onatel Février  2009  Vtbg V3_Commentaires TBG mars_Flash du mois de septembre 2009 (2) (version 1) 3" xfId="0"/>
    <cellStyle name="_Table_02 Pfd Valuation_TBG Onatel Février  2009  Vtbg V3_Commentaires TBG mars_Flash du mois de septembre 2009 (2) (version 1)_Budget Telmob 2011" xfId="0"/>
    <cellStyle name="_Table_02 Pfd Valuation_TBG Onatel Février  2009  Vtbg V3_Commentaires TBG mars_Flash du mois de septembre 2009 (2) (version 1)_Budget Telmob 2011 2" xfId="0"/>
    <cellStyle name="_Table_02 Pfd Valuation_TBG Onatel Février  2009  Vtbg V3_Commentaires TBG mars_Flash du mois de septembre 2009 (2) (version 1)_Budget Telmob 2011 2 2" xfId="0"/>
    <cellStyle name="_Table_02 Pfd Valuation_TBG Onatel Février  2009  Vtbg V3_Commentaires TBG mars_Flash du mois de septembre 2009 (2) (version 1)_Budget Telmob 2011 3" xfId="0"/>
    <cellStyle name="_Table_02 Pfd Valuation_TBG Onatel Février  2009  Vtbg V3_Commentaires TBG mars_Reporting Onatel Mai 2009 V 0" xfId="0"/>
    <cellStyle name="_Table_02 Pfd Valuation_TBG Onatel Février  2009  Vtbg V3_Commentaires TBG mars_Reporting Onatel Mai 2009 V 0 2" xfId="0"/>
    <cellStyle name="_Table_02 Pfd Valuation_TBG Onatel Février  2009  Vtbg V3_Commentaires TBG mars_Reporting Onatel Mai 2009 V 0 2 2" xfId="0"/>
    <cellStyle name="_Table_02 Pfd Valuation_TBG Onatel Février  2009  Vtbg V3_Commentaires TBG mars_Reporting Onatel Mai 2009 V 0 3" xfId="0"/>
    <cellStyle name="_Table_02 Pfd Valuation_TBG Onatel Février  2009  Vtbg V3_Commentaires TBG mars_Reporting Onatel Mai 2009 V 0_Budget Telmob 2011" xfId="0"/>
    <cellStyle name="_Table_02 Pfd Valuation_TBG Onatel Février  2009  Vtbg V3_Commentaires TBG mars_Reporting Onatel Mai 2009 V 0_Budget Telmob 2011 2" xfId="0"/>
    <cellStyle name="_Table_02 Pfd Valuation_TBG Onatel Février  2009  Vtbg V3_Commentaires TBG mars_Reporting Onatel Mai 2009 V 0_Budget Telmob 2011 2 2" xfId="0"/>
    <cellStyle name="_Table_02 Pfd Valuation_TBG Onatel Février  2009  Vtbg V3_Commentaires TBG mars_Reporting Onatel Mai 2009 V 0_Budget Telmob 2011 3" xfId="0"/>
    <cellStyle name="_Table_02 Pfd Valuation_TBG Onatel Février  2009  Vtbg V3_Commentaires TBG mars_Reporting Onatel septembre  2009 préparé" xfId="0"/>
    <cellStyle name="_Table_02 Pfd Valuation_TBG Onatel Février  2009  Vtbg V3_Commentaires TBG mars_Reporting Onatel septembre  2009 préparé 2" xfId="0"/>
    <cellStyle name="_Table_02 Pfd Valuation_TBG Onatel Février  2009  Vtbg V3_Commentaires TBG mars_Reporting Onatel septembre  2009 préparé 2 2" xfId="0"/>
    <cellStyle name="_Table_02 Pfd Valuation_TBG Onatel Février  2009  Vtbg V3_Commentaires TBG mars_Reporting Onatel septembre  2009 préparé 3" xfId="0"/>
    <cellStyle name="_Table_02 Pfd Valuation_TBG Onatel Février  2009  Vtbg V3_Commentaires TBG mars_Reporting Onatel septembre  2009 préparé_Budget Telmob 2011" xfId="0"/>
    <cellStyle name="_Table_02 Pfd Valuation_TBG Onatel Février  2009  Vtbg V3_Commentaires TBG mars_Reporting Onatel septembre  2009 préparé_Budget Telmob 2011 2" xfId="0"/>
    <cellStyle name="_Table_02 Pfd Valuation_TBG Onatel Février  2009  Vtbg V3_Commentaires TBG mars_Reporting Onatel septembre  2009 préparé_Budget Telmob 2011 2 2" xfId="0"/>
    <cellStyle name="_Table_02 Pfd Valuation_TBG Onatel Février  2009  Vtbg V3_Commentaires TBG mars_Reporting Onatel septembre  2009 préparé_Budget Telmob 2011 3" xfId="0"/>
    <cellStyle name="_Table_02 Pfd Valuation_TBG Onatel Février  2009  Vtbg V3_Copie de Flash du mois d' avril 2009 corrigé par NAIMI" xfId="0"/>
    <cellStyle name="_Table_02 Pfd Valuation_TBG Onatel Février  2009  Vtbg V3_Copie de Flash du mois d' avril 2009 corrigé par NAIMI 2" xfId="0"/>
    <cellStyle name="_Table_02 Pfd Valuation_TBG Onatel Février  2009  Vtbg V3_Copie de Flash du mois d' avril 2009 corrigé par NAIMI 2 2" xfId="0"/>
    <cellStyle name="_Table_02 Pfd Valuation_TBG Onatel Février  2009  Vtbg V3_Copie de Flash du mois d' avril 2009 corrigé par NAIMI 3" xfId="0"/>
    <cellStyle name="_Table_02 Pfd Valuation_TBG Onatel Février  2009  Vtbg V3_Copie de Flash du mois d' avril 2009 corrigé par NAIMI_Budget Telmob 2011" xfId="0"/>
    <cellStyle name="_Table_02 Pfd Valuation_TBG Onatel Février  2009  Vtbg V3_Copie de Flash du mois d' avril 2009 corrigé par NAIMI_Budget Telmob 2011 2" xfId="0"/>
    <cellStyle name="_Table_02 Pfd Valuation_TBG Onatel Février  2009  Vtbg V3_Copie de Flash du mois d' avril 2009 corrigé par NAIMI_Budget Telmob 2011 2 2" xfId="0"/>
    <cellStyle name="_Table_02 Pfd Valuation_TBG Onatel Février  2009  Vtbg V3_Copie de Flash du mois d' avril 2009 corrigé par NAIMI_Budget Telmob 2011 3" xfId="0"/>
    <cellStyle name="_Table_02 Pfd Valuation_TBG Onatel Février  2009  Vtbg V3_Copie de Flash du mois d' avril 2009 corrigé par NAIMI_Flash du mois de mai 2009" xfId="0"/>
    <cellStyle name="_Table_02 Pfd Valuation_TBG Onatel Février  2009  Vtbg V3_Copie de Flash du mois d' avril 2009 corrigé par NAIMI_Flash du mois de mai 2009 2" xfId="0"/>
    <cellStyle name="_Table_02 Pfd Valuation_TBG Onatel Février  2009  Vtbg V3_Copie de Flash du mois d' avril 2009 corrigé par NAIMI_Flash du mois de mai 2009 2 2" xfId="0"/>
    <cellStyle name="_Table_02 Pfd Valuation_TBG Onatel Février  2009  Vtbg V3_Copie de Flash du mois d' avril 2009 corrigé par NAIMI_Flash du mois de mai 2009 3" xfId="0"/>
    <cellStyle name="_Table_02 Pfd Valuation_TBG Onatel Février  2009  Vtbg V3_Copie de Flash du mois d' avril 2009 corrigé par NAIMI_Flash du mois de mai 2009_Budget Telmob 2011" xfId="0"/>
    <cellStyle name="_Table_02 Pfd Valuation_TBG Onatel Février  2009  Vtbg V3_Copie de Flash du mois d' avril 2009 corrigé par NAIMI_Flash du mois de mai 2009_Budget Telmob 2011 2" xfId="0"/>
    <cellStyle name="_Table_02 Pfd Valuation_TBG Onatel Février  2009  Vtbg V3_Copie de Flash du mois d' avril 2009 corrigé par NAIMI_Flash du mois de mai 2009_Budget Telmob 2011 2 2" xfId="0"/>
    <cellStyle name="_Table_02 Pfd Valuation_TBG Onatel Février  2009  Vtbg V3_Copie de Flash du mois d' avril 2009 corrigé par NAIMI_Flash du mois de mai 2009_Budget Telmob 2011 3" xfId="0"/>
    <cellStyle name="_Table_02 Pfd Valuation_TBG Onatel Février  2009  Vtbg V3_Copie de Flash du mois d' avril 2009 corrigé par NAIMI_Flash du mois de septembre 2009 (2) (version 1)" xfId="0"/>
    <cellStyle name="_Table_02 Pfd Valuation_TBG Onatel Février  2009  Vtbg V3_Copie de Flash du mois d' avril 2009 corrigé par NAIMI_Flash du mois de septembre 2009 (2) (version 1) 2" xfId="0"/>
    <cellStyle name="_Table_02 Pfd Valuation_TBG Onatel Février  2009  Vtbg V3_Copie de Flash du mois d' avril 2009 corrigé par NAIMI_Flash du mois de septembre 2009 (2) (version 1) 2 2" xfId="0"/>
    <cellStyle name="_Table_02 Pfd Valuation_TBG Onatel Février  2009  Vtbg V3_Copie de Flash du mois d' avril 2009 corrigé par NAIMI_Flash du mois de septembre 2009 (2) (version 1) 3" xfId="0"/>
    <cellStyle name="_Table_02 Pfd Valuation_TBG Onatel Février  2009  Vtbg V3_Copie de Flash du mois d' avril 2009 corrigé par NAIMI_Flash du mois de septembre 2009 (2) (version 1)_Budget Telmob 2011" xfId="0"/>
    <cellStyle name="_Table_02 Pfd Valuation_TBG Onatel Février  2009  Vtbg V3_Copie de Flash du mois d' avril 2009 corrigé par NAIMI_Flash du mois de septembre 2009 (2) (version 1)_Budget Telmob 2011 2" xfId="0"/>
    <cellStyle name="_Table_02 Pfd Valuation_TBG Onatel Février  2009  Vtbg V3_Copie de Flash du mois d' avril 2009 corrigé par NAIMI_Flash du mois de septembre 2009 (2) (version 1)_Budget Telmob 2011 2 2" xfId="0"/>
    <cellStyle name="_Table_02 Pfd Valuation_TBG Onatel Février  2009  Vtbg V3_Copie de Flash du mois d' avril 2009 corrigé par NAIMI_Flash du mois de septembre 2009 (2) (version 1)_Budget Telmob 2011 3" xfId="0"/>
    <cellStyle name="_Table_02 Pfd Valuation_TBG Onatel Février  2009  Vtbg V3_Copie de Flash du mois d' avril 2009 corrigé par NAIMI_Reporting Onatel Mai 2009 V 0" xfId="0"/>
    <cellStyle name="_Table_02 Pfd Valuation_TBG Onatel Février  2009  Vtbg V3_Copie de Flash du mois d' avril 2009 corrigé par NAIMI_Reporting Onatel Mai 2009 V 0 2" xfId="0"/>
    <cellStyle name="_Table_02 Pfd Valuation_TBG Onatel Février  2009  Vtbg V3_Copie de Flash du mois d' avril 2009 corrigé par NAIMI_Reporting Onatel Mai 2009 V 0 2 2" xfId="0"/>
    <cellStyle name="_Table_02 Pfd Valuation_TBG Onatel Février  2009  Vtbg V3_Copie de Flash du mois d' avril 2009 corrigé par NAIMI_Reporting Onatel Mai 2009 V 0 3" xfId="0"/>
    <cellStyle name="_Table_02 Pfd Valuation_TBG Onatel Février  2009  Vtbg V3_Copie de Flash du mois d' avril 2009 corrigé par NAIMI_Reporting Onatel Mai 2009 V 0_Budget Telmob 2011" xfId="0"/>
    <cellStyle name="_Table_02 Pfd Valuation_TBG Onatel Février  2009  Vtbg V3_Copie de Flash du mois d' avril 2009 corrigé par NAIMI_Reporting Onatel Mai 2009 V 0_Budget Telmob 2011 2" xfId="0"/>
    <cellStyle name="_Table_02 Pfd Valuation_TBG Onatel Février  2009  Vtbg V3_Copie de Flash du mois d' avril 2009 corrigé par NAIMI_Reporting Onatel Mai 2009 V 0_Budget Telmob 2011 2 2" xfId="0"/>
    <cellStyle name="_Table_02 Pfd Valuation_TBG Onatel Février  2009  Vtbg V3_Copie de Flash du mois d' avril 2009 corrigé par NAIMI_Reporting Onatel Mai 2009 V 0_Budget Telmob 2011 3" xfId="0"/>
    <cellStyle name="_Table_02 Pfd Valuation_TBG Onatel Février  2009  Vtbg V3_Copie de Flash du mois d' avril 2009 corrigé par NAIMI_Reporting Onatel Mai 2009 V 0_Flash du mois de septembre 2009 (2) (version 1)" xfId="0"/>
    <cellStyle name="_Table_02 Pfd Valuation_TBG Onatel Février  2009  Vtbg V3_Copie de Flash du mois d' avril 2009 corrigé par NAIMI_Reporting Onatel Mai 2009 V 0_Flash du mois de septembre 2009 (2) (version 1) 2" xfId="0"/>
    <cellStyle name="_Table_02 Pfd Valuation_TBG Onatel Février  2009  Vtbg V3_Copie de Flash du mois d' avril 2009 corrigé par NAIMI_Reporting Onatel Mai 2009 V 0_Flash du mois de septembre 2009 (2) (version 1) 2 2" xfId="0"/>
    <cellStyle name="_Table_02 Pfd Valuation_TBG Onatel Février  2009  Vtbg V3_Copie de Flash du mois d' avril 2009 corrigé par NAIMI_Reporting Onatel Mai 2009 V 0_Flash du mois de septembre 2009 (2) (version 1) 3" xfId="0"/>
    <cellStyle name="_Table_02 Pfd Valuation_TBG Onatel Février  2009  Vtbg V3_Copie de Flash du mois d' avril 2009 corrigé par NAIMI_Reporting Onatel Mai 2009 V 0_Flash du mois de septembre 2009 (2) (version 1)_Budget Telmob 2011" xfId="0"/>
    <cellStyle name="_Table_02 Pfd Valuation_TBG Onatel Février  2009  Vtbg V3_Copie de Flash du mois d' avril 2009 corrigé par NAIMI_Reporting Onatel Mai 2009 V 0_Flash du mois de septembre 2009 (2) (version 1)_Budget Telmob 2011 2" xfId="0"/>
    <cellStyle name="_Table_02 Pfd Valuation_TBG Onatel Février  2009  Vtbg V3_Copie de Flash du mois d' avril 2009 corrigé par NAIMI_Reporting Onatel Mai 2009 V 0_Flash du mois de septembre 2009 (2) (version 1)_Budget Telmob 2011 2 2" xfId="0"/>
    <cellStyle name="_Table_02 Pfd Valuation_TBG Onatel Février  2009  Vtbg V3_Copie de Flash du mois d' avril 2009 corrigé par NAIMI_Reporting Onatel Mai 2009 V 0_Flash du mois de septembre 2009 (2) (version 1)_Budget Telmob 2011 3" xfId="0"/>
    <cellStyle name="_Table_02 Pfd Valuation_TBG Onatel Février  2009  Vtbg V3_Copie de Flash du mois d' avril 2009 corrigé par NAIMI_Reporting Onatel Mai 2009 V 0_Reporting Onatel septembre  2009 préparé" xfId="0"/>
    <cellStyle name="_Table_02 Pfd Valuation_TBG Onatel Février  2009  Vtbg V3_Copie de Flash du mois d' avril 2009 corrigé par NAIMI_Reporting Onatel Mai 2009 V 0_Reporting Onatel septembre  2009 préparé 2" xfId="0"/>
    <cellStyle name="_Table_02 Pfd Valuation_TBG Onatel Février  2009  Vtbg V3_Copie de Flash du mois d' avril 2009 corrigé par NAIMI_Reporting Onatel Mai 2009 V 0_Reporting Onatel septembre  2009 préparé 2 2" xfId="0"/>
    <cellStyle name="_Table_02 Pfd Valuation_TBG Onatel Février  2009  Vtbg V3_Copie de Flash du mois d' avril 2009 corrigé par NAIMI_Reporting Onatel Mai 2009 V 0_Reporting Onatel septembre  2009 préparé 3" xfId="0"/>
    <cellStyle name="_Table_02 Pfd Valuation_TBG Onatel Février  2009  Vtbg V3_Copie de Flash du mois d' avril 2009 corrigé par NAIMI_Reporting Onatel Mai 2009 V 0_Reporting Onatel septembre  2009 préparé_Budget Telmob 2011" xfId="0"/>
    <cellStyle name="_Table_02 Pfd Valuation_TBG Onatel Février  2009  Vtbg V3_Copie de Flash du mois d' avril 2009 corrigé par NAIMI_Reporting Onatel Mai 2009 V 0_Reporting Onatel septembre  2009 préparé_Budget Telmob 2011 2" xfId="0"/>
    <cellStyle name="_Table_02 Pfd Valuation_TBG Onatel Février  2009  Vtbg V3_Copie de Flash du mois d' avril 2009 corrigé par NAIMI_Reporting Onatel Mai 2009 V 0_Reporting Onatel septembre  2009 préparé_Budget Telmob 2011 2 2" xfId="0"/>
    <cellStyle name="_Table_02 Pfd Valuation_TBG Onatel Février  2009  Vtbg V3_Copie de Flash du mois d' avril 2009 corrigé par NAIMI_Reporting Onatel Mai 2009 V 0_Reporting Onatel septembre  2009 préparé_Budget Telmob 2011 3" xfId="0"/>
    <cellStyle name="_Table_02 Pfd Valuation_TBG Onatel Février  2009  Vtbg V3_Copie de Flash du mois d' avril 2009 corrigé par NAIMI_Reporting Onatel septembre  2009 préparé" xfId="0"/>
    <cellStyle name="_Table_02 Pfd Valuation_TBG Onatel Février  2009  Vtbg V3_Copie de Flash du mois d' avril 2009 corrigé par NAIMI_Reporting Onatel septembre  2009 préparé 2" xfId="0"/>
    <cellStyle name="_Table_02 Pfd Valuation_TBG Onatel Février  2009  Vtbg V3_Copie de Flash du mois d' avril 2009 corrigé par NAIMI_Reporting Onatel septembre  2009 préparé 2 2" xfId="0"/>
    <cellStyle name="_Table_02 Pfd Valuation_TBG Onatel Février  2009  Vtbg V3_Copie de Flash du mois d' avril 2009 corrigé par NAIMI_Reporting Onatel septembre  2009 préparé 3" xfId="0"/>
    <cellStyle name="_Table_02 Pfd Valuation_TBG Onatel Février  2009  Vtbg V3_Copie de Flash du mois d' avril 2009 corrigé par NAIMI_Reporting Onatel septembre  2009 préparé_Budget Telmob 2011" xfId="0"/>
    <cellStyle name="_Table_02 Pfd Valuation_TBG Onatel Février  2009  Vtbg V3_Copie de Flash du mois d' avril 2009 corrigé par NAIMI_Reporting Onatel septembre  2009 préparé_Budget Telmob 2011 2" xfId="0"/>
    <cellStyle name="_Table_02 Pfd Valuation_TBG Onatel Février  2009  Vtbg V3_Copie de Flash du mois d' avril 2009 corrigé par NAIMI_Reporting Onatel septembre  2009 préparé_Budget Telmob 2011 2 2" xfId="0"/>
    <cellStyle name="_Table_02 Pfd Valuation_TBG Onatel Février  2009  Vtbg V3_Copie de Flash du mois d' avril 2009 corrigé par NAIMI_Reporting Onatel septembre  2009 préparé_Budget Telmob 2011 3" xfId="0"/>
    <cellStyle name="_Table_02 Pfd Valuation_TBG Onatel Février  2009  Vtbg V3_Flash du mois d' avril 2009" xfId="0"/>
    <cellStyle name="_Table_02 Pfd Valuation_TBG Onatel Février  2009  Vtbg V3_Flash du mois d' avril 2009 2" xfId="0"/>
    <cellStyle name="_Table_02 Pfd Valuation_TBG Onatel Février  2009  Vtbg V3_Flash du mois d' avril 2009 2 2" xfId="0"/>
    <cellStyle name="_Table_02 Pfd Valuation_TBG Onatel Février  2009  Vtbg V3_Flash du mois d' avril 2009 3" xfId="0"/>
    <cellStyle name="_Table_02 Pfd Valuation_TBG Onatel Février  2009  Vtbg V3_Flash du mois d' avril 2009_Budget Telmob 2011" xfId="0"/>
    <cellStyle name="_Table_02 Pfd Valuation_TBG Onatel Février  2009  Vtbg V3_Flash du mois d' avril 2009_Budget Telmob 2011 2" xfId="0"/>
    <cellStyle name="_Table_02 Pfd Valuation_TBG Onatel Février  2009  Vtbg V3_Flash du mois d' avril 2009_Budget Telmob 2011 2 2" xfId="0"/>
    <cellStyle name="_Table_02 Pfd Valuation_TBG Onatel Février  2009  Vtbg V3_Flash du mois d' avril 2009_Budget Telmob 2011 3" xfId="0"/>
    <cellStyle name="_Table_02 Pfd Valuation_TBG Onatel Février  2009  Vtbg V3_Flash du mois d' avril 2009_Flash du mois de mai 2009" xfId="0"/>
    <cellStyle name="_Table_02 Pfd Valuation_TBG Onatel Février  2009  Vtbg V3_Flash du mois d' avril 2009_Flash du mois de mai 2009 2" xfId="0"/>
    <cellStyle name="_Table_02 Pfd Valuation_TBG Onatel Février  2009  Vtbg V3_Flash du mois d' avril 2009_Flash du mois de mai 2009 2 2" xfId="0"/>
    <cellStyle name="_Table_02 Pfd Valuation_TBG Onatel Février  2009  Vtbg V3_Flash du mois d' avril 2009_Flash du mois de mai 2009 3" xfId="0"/>
    <cellStyle name="_Table_02 Pfd Valuation_TBG Onatel Février  2009  Vtbg V3_Flash du mois d' avril 2009_Flash du mois de mai 2009_Budget Telmob 2011" xfId="0"/>
    <cellStyle name="_Table_02 Pfd Valuation_TBG Onatel Février  2009  Vtbg V3_Flash du mois d' avril 2009_Flash du mois de mai 2009_Budget Telmob 2011 2" xfId="0"/>
    <cellStyle name="_Table_02 Pfd Valuation_TBG Onatel Février  2009  Vtbg V3_Flash du mois d' avril 2009_Flash du mois de mai 2009_Budget Telmob 2011 2 2" xfId="0"/>
    <cellStyle name="_Table_02 Pfd Valuation_TBG Onatel Février  2009  Vtbg V3_Flash du mois d' avril 2009_Flash du mois de mai 2009_Budget Telmob 2011 3" xfId="0"/>
    <cellStyle name="_Table_02 Pfd Valuation_TBG Onatel Février  2009  Vtbg V3_Flash du mois d' avril 2009_Flash du mois de septembre 2009 (2) (version 1)" xfId="0"/>
    <cellStyle name="_Table_02 Pfd Valuation_TBG Onatel Février  2009  Vtbg V3_Flash du mois d' avril 2009_Flash du mois de septembre 2009 (2) (version 1) 2" xfId="0"/>
    <cellStyle name="_Table_02 Pfd Valuation_TBG Onatel Février  2009  Vtbg V3_Flash du mois d' avril 2009_Flash du mois de septembre 2009 (2) (version 1) 2 2" xfId="0"/>
    <cellStyle name="_Table_02 Pfd Valuation_TBG Onatel Février  2009  Vtbg V3_Flash du mois d' avril 2009_Flash du mois de septembre 2009 (2) (version 1) 3" xfId="0"/>
    <cellStyle name="_Table_02 Pfd Valuation_TBG Onatel Février  2009  Vtbg V3_Flash du mois d' avril 2009_Flash du mois de septembre 2009 (2) (version 1)_Budget Telmob 2011" xfId="0"/>
    <cellStyle name="_Table_02 Pfd Valuation_TBG Onatel Février  2009  Vtbg V3_Flash du mois d' avril 2009_Flash du mois de septembre 2009 (2) (version 1)_Budget Telmob 2011 2" xfId="0"/>
    <cellStyle name="_Table_02 Pfd Valuation_TBG Onatel Février  2009  Vtbg V3_Flash du mois d' avril 2009_Flash du mois de septembre 2009 (2) (version 1)_Budget Telmob 2011 2 2" xfId="0"/>
    <cellStyle name="_Table_02 Pfd Valuation_TBG Onatel Février  2009  Vtbg V3_Flash du mois d' avril 2009_Flash du mois de septembre 2009 (2) (version 1)_Budget Telmob 2011 3" xfId="0"/>
    <cellStyle name="_Table_02 Pfd Valuation_TBG Onatel Février  2009  Vtbg V3_Flash du mois d' avril 2009_Reporting Onatel Mai 2009 V 0" xfId="0"/>
    <cellStyle name="_Table_02 Pfd Valuation_TBG Onatel Février  2009  Vtbg V3_Flash du mois d' avril 2009_Reporting Onatel Mai 2009 V 0 2" xfId="0"/>
    <cellStyle name="_Table_02 Pfd Valuation_TBG Onatel Février  2009  Vtbg V3_Flash du mois d' avril 2009_Reporting Onatel Mai 2009 V 0 2 2" xfId="0"/>
    <cellStyle name="_Table_02 Pfd Valuation_TBG Onatel Février  2009  Vtbg V3_Flash du mois d' avril 2009_Reporting Onatel Mai 2009 V 0 3" xfId="0"/>
    <cellStyle name="_Table_02 Pfd Valuation_TBG Onatel Février  2009  Vtbg V3_Flash du mois d' avril 2009_Reporting Onatel Mai 2009 V 0_Budget Telmob 2011" xfId="0"/>
    <cellStyle name="_Table_02 Pfd Valuation_TBG Onatel Février  2009  Vtbg V3_Flash du mois d' avril 2009_Reporting Onatel Mai 2009 V 0_Budget Telmob 2011 2" xfId="0"/>
    <cellStyle name="_Table_02 Pfd Valuation_TBG Onatel Février  2009  Vtbg V3_Flash du mois d' avril 2009_Reporting Onatel Mai 2009 V 0_Budget Telmob 2011 2 2" xfId="0"/>
    <cellStyle name="_Table_02 Pfd Valuation_TBG Onatel Février  2009  Vtbg V3_Flash du mois d' avril 2009_Reporting Onatel Mai 2009 V 0_Budget Telmob 2011 3" xfId="0"/>
    <cellStyle name="_Table_02 Pfd Valuation_TBG Onatel Février  2009  Vtbg V3_Flash du mois d' avril 2009_Reporting Onatel septembre  2009 préparé" xfId="0"/>
    <cellStyle name="_Table_02 Pfd Valuation_TBG Onatel Février  2009  Vtbg V3_Flash du mois d' avril 2009_Reporting Onatel septembre  2009 préparé 2" xfId="0"/>
    <cellStyle name="_Table_02 Pfd Valuation_TBG Onatel Février  2009  Vtbg V3_Flash du mois d' avril 2009_Reporting Onatel septembre  2009 préparé 2 2" xfId="0"/>
    <cellStyle name="_Table_02 Pfd Valuation_TBG Onatel Février  2009  Vtbg V3_Flash du mois d' avril 2009_Reporting Onatel septembre  2009 préparé 3" xfId="0"/>
    <cellStyle name="_Table_02 Pfd Valuation_TBG Onatel Février  2009  Vtbg V3_Flash du mois d' avril 2009_Reporting Onatel septembre  2009 préparé_Budget Telmob 2011" xfId="0"/>
    <cellStyle name="_Table_02 Pfd Valuation_TBG Onatel Février  2009  Vtbg V3_Flash du mois d' avril 2009_Reporting Onatel septembre  2009 préparé_Budget Telmob 2011 2" xfId="0"/>
    <cellStyle name="_Table_02 Pfd Valuation_TBG Onatel Février  2009  Vtbg V3_Flash du mois d' avril 2009_Reporting Onatel septembre  2009 préparé_Budget Telmob 2011 2 2" xfId="0"/>
    <cellStyle name="_Table_02 Pfd Valuation_TBG Onatel Février  2009  Vtbg V3_Flash du mois d' avril 2009_Reporting Onatel septembre  2009 préparé_Budget Telmob 2011 3" xfId="0"/>
    <cellStyle name="_Table_02 Pfd Valuation_TBG Onatel Février  2009  Vtbg V3_Flash du mois de mai 2009" xfId="0"/>
    <cellStyle name="_Table_02 Pfd Valuation_TBG Onatel Février  2009  Vtbg V3_Flash du mois de mai 2009 2" xfId="0"/>
    <cellStyle name="_Table_02 Pfd Valuation_TBG Onatel Février  2009  Vtbg V3_Flash du mois de mai 2009 2 2" xfId="0"/>
    <cellStyle name="_Table_02 Pfd Valuation_TBG Onatel Février  2009  Vtbg V3_Flash du mois de mai 2009 3" xfId="0"/>
    <cellStyle name="_Table_02 Pfd Valuation_TBG Onatel Février  2009  Vtbg V3_Flash du mois de mai 2009_Budget Telmob 2011" xfId="0"/>
    <cellStyle name="_Table_02 Pfd Valuation_TBG Onatel Février  2009  Vtbg V3_Flash du mois de mai 2009_Budget Telmob 2011 2" xfId="0"/>
    <cellStyle name="_Table_02 Pfd Valuation_TBG Onatel Février  2009  Vtbg V3_Flash du mois de mai 2009_Budget Telmob 2011 2 2" xfId="0"/>
    <cellStyle name="_Table_02 Pfd Valuation_TBG Onatel Février  2009  Vtbg V3_Flash du mois de mai 2009_Budget Telmob 2011 3" xfId="0"/>
    <cellStyle name="_Table_02 Pfd Valuation_TBG Onatel Février  2009  Vtbg V3_Flash du mois de septembre 2009 (2) (version 1)" xfId="0"/>
    <cellStyle name="_Table_02 Pfd Valuation_TBG Onatel Février  2009  Vtbg V3_Flash du mois de septembre 2009 (2) (version 1) 2" xfId="0"/>
    <cellStyle name="_Table_02 Pfd Valuation_TBG Onatel Février  2009  Vtbg V3_Flash du mois de septembre 2009 (2) (version 1) 2 2" xfId="0"/>
    <cellStyle name="_Table_02 Pfd Valuation_TBG Onatel Février  2009  Vtbg V3_Flash du mois de septembre 2009 (2) (version 1) 3" xfId="0"/>
    <cellStyle name="_Table_02 Pfd Valuation_TBG Onatel Février  2009  Vtbg V3_Flash du mois de septembre 2009 (2) (version 1)_Budget Telmob 2011" xfId="0"/>
    <cellStyle name="_Table_02 Pfd Valuation_TBG Onatel Février  2009  Vtbg V3_Flash du mois de septembre 2009 (2) (version 1)_Budget Telmob 2011 2" xfId="0"/>
    <cellStyle name="_Table_02 Pfd Valuation_TBG Onatel Février  2009  Vtbg V3_Flash du mois de septembre 2009 (2) (version 1)_Budget Telmob 2011 2 2" xfId="0"/>
    <cellStyle name="_Table_02 Pfd Valuation_TBG Onatel Février  2009  Vtbg V3_Flash du mois de septembre 2009 (2) (version 1)_Budget Telmob 2011 3" xfId="0"/>
    <cellStyle name="_Table_02 Pfd Valuation_TBG Onatel Février  2009  Vtbg V3_Reporting Onatel Mai 2009 V 0" xfId="0"/>
    <cellStyle name="_Table_02 Pfd Valuation_TBG Onatel Février  2009  Vtbg V3_Reporting Onatel Mai 2009 V 0 2" xfId="0"/>
    <cellStyle name="_Table_02 Pfd Valuation_TBG Onatel Février  2009  Vtbg V3_Reporting Onatel Mai 2009 V 0 2 2" xfId="0"/>
    <cellStyle name="_Table_02 Pfd Valuation_TBG Onatel Février  2009  Vtbg V3_Reporting Onatel Mai 2009 V 0 3" xfId="0"/>
    <cellStyle name="_Table_02 Pfd Valuation_TBG Onatel Février  2009  Vtbg V3_Reporting Onatel Mai 2009 V 0_Budget Telmob 2011" xfId="0"/>
    <cellStyle name="_Table_02 Pfd Valuation_TBG Onatel Février  2009  Vtbg V3_Reporting Onatel Mai 2009 V 0_Budget Telmob 2011 2" xfId="0"/>
    <cellStyle name="_Table_02 Pfd Valuation_TBG Onatel Février  2009  Vtbg V3_Reporting Onatel Mai 2009 V 0_Budget Telmob 2011 2 2" xfId="0"/>
    <cellStyle name="_Table_02 Pfd Valuation_TBG Onatel Février  2009  Vtbg V3_Reporting Onatel Mai 2009 V 0_Budget Telmob 2011 3" xfId="0"/>
    <cellStyle name="_Table_02 Pfd Valuation_TBG Onatel Février  2009  Vtbg V3_Reporting Onatel septembre  2009 préparé" xfId="0"/>
    <cellStyle name="_Table_02 Pfd Valuation_TBG Onatel Février  2009  Vtbg V3_Reporting Onatel septembre  2009 préparé 2" xfId="0"/>
    <cellStyle name="_Table_02 Pfd Valuation_TBG Onatel Février  2009  Vtbg V3_Reporting Onatel septembre  2009 préparé 2 2" xfId="0"/>
    <cellStyle name="_Table_02 Pfd Valuation_TBG Onatel Février  2009  Vtbg V3_Reporting Onatel septembre  2009 préparé 3" xfId="0"/>
    <cellStyle name="_Table_02 Pfd Valuation_TBG Onatel Février  2009  Vtbg V3_Reporting Onatel septembre  2009 préparé_Budget Telmob 2011" xfId="0"/>
    <cellStyle name="_Table_02 Pfd Valuation_TBG Onatel Février  2009  Vtbg V3_Reporting Onatel septembre  2009 préparé_Budget Telmob 2011 2" xfId="0"/>
    <cellStyle name="_Table_02 Pfd Valuation_TBG Onatel Février  2009  Vtbg V3_Reporting Onatel septembre  2009 préparé_Budget Telmob 2011 2 2" xfId="0"/>
    <cellStyle name="_Table_02 Pfd Valuation_TBG Onatel Février  2009  Vtbg V3_Reporting Onatel septembre  2009 préparé_Budget Telmob 2011 3" xfId="0"/>
    <cellStyle name="_Table_Budget Telmob 2011" xfId="0"/>
    <cellStyle name="_Table_Capex- Mobile" xfId="0"/>
    <cellStyle name="_Table_commentaires fixe  internet Déc 08" xfId="0"/>
    <cellStyle name="_Table_commentaires fixe  internet Déc 08_Budget Telmob 2011" xfId="0"/>
    <cellStyle name="_Table_commentaires fixe  internet Déc 08_Commentaires TBG mars" xfId="0"/>
    <cellStyle name="_Table_commentaires fixe  internet Déc 08_Commentaires TBG mars_Budget Telmob 2011" xfId="0"/>
    <cellStyle name="_Table_commentaires fixe  internet Déc 08_Commentaires TBG mars_Copie de Flash du mois d' avril 2009 corrigé par NAIMI" xfId="0"/>
    <cellStyle name="_Table_commentaires fixe  internet Déc 08_Commentaires TBG mars_Copie de Flash du mois d' avril 2009 corrigé par NAIMI_Budget Telmob 2011" xfId="0"/>
    <cellStyle name="_Table_commentaires fixe  internet Déc 08_Commentaires TBG mars_Copie de Flash du mois d' avril 2009 corrigé par NAIMI_Flash du mois de mai 2009" xfId="0"/>
    <cellStyle name="_Table_commentaires fixe  internet Déc 08_Commentaires TBG mars_Copie de Flash du mois d' avril 2009 corrigé par NAIMI_Flash du mois de mai 2009_Budget Telmob 2011" xfId="0"/>
    <cellStyle name="_Table_commentaires fixe  internet Déc 08_Commentaires TBG mars_Copie de Flash du mois d' avril 2009 corrigé par NAIMI_Flash du mois de septembre 2009 (2) (version 1)" xfId="0"/>
    <cellStyle name="_Table_commentaires fixe  internet Déc 08_Commentaires TBG mars_Copie de Flash du mois d' avril 2009 corrigé par NAIMI_Flash du mois de septembre 2009 (2) (version 1)_Budget Telmob 2011" xfId="0"/>
    <cellStyle name="_Table_commentaires fixe  internet Déc 08_Commentaires TBG mars_Copie de Flash du mois d' avril 2009 corrigé par NAIMI_Reporting Onatel Mai 2009 V 0" xfId="0"/>
    <cellStyle name="_Table_commentaires fixe  internet Déc 08_Commentaires TBG mars_Copie de Flash du mois d' avril 2009 corrigé par NAIMI_Reporting Onatel Mai 2009 V 0_Budget Telmob 2011" xfId="0"/>
    <cellStyle name="_Table_commentaires fixe  internet Déc 08_Commentaires TBG mars_Copie de Flash du mois d' avril 2009 corrigé par NAIMI_Reporting Onatel Mai 2009 V 0_Flash du mois de septembre 2009 (2) (version 1)" xfId="0"/>
    <cellStyle name="_Table_commentaires fixe  internet Déc 08_Commentaires TBG mars_Copie de Flash du mois d' avril 2009 corrigé par NAIMI_Reporting Onatel Mai 2009 V 0_Flash du mois de septembre 2009 (2) (version 1)_Budget Telmob 2011" xfId="0"/>
    <cellStyle name="_Table_commentaires fixe  internet Déc 08_Commentaires TBG mars_Copie de Flash du mois d' avril 2009 corrigé par NAIMI_Reporting Onatel Mai 2009 V 0_Reporting Onatel septembre  2009 préparé" xfId="0"/>
    <cellStyle name="_Table_commentaires fixe  internet Déc 08_Commentaires TBG mars_Copie de Flash du mois d' avril 2009 corrigé par NAIMI_Reporting Onatel Mai 2009 V 0_Reporting Onatel septembre  2009 préparé_Budget Telmob 2011" xfId="0"/>
    <cellStyle name="_Table_commentaires fixe  internet Déc 08_Commentaires TBG mars_Copie de Flash du mois d' avril 2009 corrigé par NAIMI_Reporting Onatel septembre  2009 préparé" xfId="0"/>
    <cellStyle name="_Table_commentaires fixe  internet Déc 08_Commentaires TBG mars_Copie de Flash du mois d' avril 2009 corrigé par NAIMI_Reporting Onatel septembre  2009 préparé_Budget Telmob 2011" xfId="0"/>
    <cellStyle name="_Table_commentaires fixe  internet Déc 08_Commentaires TBG mars_Flash du mois d' avril 2009" xfId="0"/>
    <cellStyle name="_Table_commentaires fixe  internet Déc 08_Commentaires TBG mars_Flash du mois d' avril 2009_Budget Telmob 2011" xfId="0"/>
    <cellStyle name="_Table_commentaires fixe  internet Déc 08_Commentaires TBG mars_Flash du mois d' avril 2009_Flash du mois de mai 2009" xfId="0"/>
    <cellStyle name="_Table_commentaires fixe  internet Déc 08_Commentaires TBG mars_Flash du mois d' avril 2009_Flash du mois de mai 2009_Budget Telmob 2011" xfId="0"/>
    <cellStyle name="_Table_commentaires fixe  internet Déc 08_Commentaires TBG mars_Flash du mois d' avril 2009_Flash du mois de septembre 2009 (2) (version 1)" xfId="0"/>
    <cellStyle name="_Table_commentaires fixe  internet Déc 08_Commentaires TBG mars_Flash du mois d' avril 2009_Flash du mois de septembre 2009 (2) (version 1)_Budget Telmob 2011" xfId="0"/>
    <cellStyle name="_Table_commentaires fixe  internet Déc 08_Commentaires TBG mars_Flash du mois d' avril 2009_Reporting Onatel Mai 2009 V 0" xfId="0"/>
    <cellStyle name="_Table_commentaires fixe  internet Déc 08_Commentaires TBG mars_Flash du mois d' avril 2009_Reporting Onatel Mai 2009 V 0_Budget Telmob 2011" xfId="0"/>
    <cellStyle name="_Table_commentaires fixe  internet Déc 08_Commentaires TBG mars_Flash du mois d' avril 2009_Reporting Onatel septembre  2009 préparé" xfId="0"/>
    <cellStyle name="_Table_commentaires fixe  internet Déc 08_Commentaires TBG mars_Flash du mois d' avril 2009_Reporting Onatel septembre  2009 préparé_Budget Telmob 2011" xfId="0"/>
    <cellStyle name="_Table_commentaires fixe  internet Déc 08_Commentaires TBG mars_Flash du mois de mai 2009" xfId="0"/>
    <cellStyle name="_Table_commentaires fixe  internet Déc 08_Commentaires TBG mars_Flash du mois de mai 2009_Budget Telmob 2011" xfId="0"/>
    <cellStyle name="_Table_commentaires fixe  internet Déc 08_Commentaires TBG mars_Flash du mois de septembre 2009 (2) (version 1)" xfId="0"/>
    <cellStyle name="_Table_commentaires fixe  internet Déc 08_Commentaires TBG mars_Flash du mois de septembre 2009 (2) (version 1)_Budget Telmob 2011" xfId="0"/>
    <cellStyle name="_Table_commentaires fixe  internet Déc 08_Commentaires TBG mars_Reporting Onatel Mai 2009 V 0" xfId="0"/>
    <cellStyle name="_Table_commentaires fixe  internet Déc 08_Commentaires TBG mars_Reporting Onatel Mai 2009 V 0_Budget Telmob 2011" xfId="0"/>
    <cellStyle name="_Table_commentaires fixe  internet Déc 08_Commentaires TBG mars_Reporting Onatel septembre  2009 préparé" xfId="0"/>
    <cellStyle name="_Table_commentaires fixe  internet Déc 08_Commentaires TBG mars_Reporting Onatel septembre  2009 préparé_Budget Telmob 2011" xfId="0"/>
    <cellStyle name="_Table_commentaires fixe  internet Déc 08_Copie de Flash du mois d' avril 2009 corrigé par NAIMI" xfId="0"/>
    <cellStyle name="_Table_commentaires fixe  internet Déc 08_Copie de Flash du mois d' avril 2009 corrigé par NAIMI_Budget Telmob 2011" xfId="0"/>
    <cellStyle name="_Table_commentaires fixe  internet Déc 08_Copie de Flash du mois d' avril 2009 corrigé par NAIMI_Flash du mois de mai 2009" xfId="0"/>
    <cellStyle name="_Table_commentaires fixe  internet Déc 08_Copie de Flash du mois d' avril 2009 corrigé par NAIMI_Flash du mois de mai 2009_Budget Telmob 2011" xfId="0"/>
    <cellStyle name="_Table_commentaires fixe  internet Déc 08_Copie de Flash du mois d' avril 2009 corrigé par NAIMI_Flash du mois de septembre 2009 (2) (version 1)" xfId="0"/>
    <cellStyle name="_Table_commentaires fixe  internet Déc 08_Copie de Flash du mois d' avril 2009 corrigé par NAIMI_Flash du mois de septembre 2009 (2) (version 1)_Budget Telmob 2011" xfId="0"/>
    <cellStyle name="_Table_commentaires fixe  internet Déc 08_Copie de Flash du mois d' avril 2009 corrigé par NAIMI_Reporting Onatel Mai 2009 V 0" xfId="0"/>
    <cellStyle name="_Table_commentaires fixe  internet Déc 08_Copie de Flash du mois d' avril 2009 corrigé par NAIMI_Reporting Onatel Mai 2009 V 0_Budget Telmob 2011" xfId="0"/>
    <cellStyle name="_Table_commentaires fixe  internet Déc 08_Copie de Flash du mois d' avril 2009 corrigé par NAIMI_Reporting Onatel Mai 2009 V 0_Flash du mois de septembre 2009 (2) (version 1)" xfId="0"/>
    <cellStyle name="_Table_commentaires fixe  internet Déc 08_Copie de Flash du mois d' avril 2009 corrigé par NAIMI_Reporting Onatel Mai 2009 V 0_Flash du mois de septembre 2009 (2) (version 1)_Budget Telmob 2011" xfId="0"/>
    <cellStyle name="_Table_commentaires fixe  internet Déc 08_Copie de Flash du mois d' avril 2009 corrigé par NAIMI_Reporting Onatel Mai 2009 V 0_Reporting Onatel septembre  2009 préparé" xfId="0"/>
    <cellStyle name="_Table_commentaires fixe  internet Déc 08_Copie de Flash du mois d' avril 2009 corrigé par NAIMI_Reporting Onatel Mai 2009 V 0_Reporting Onatel septembre  2009 préparé_Budget Telmob 2011" xfId="0"/>
    <cellStyle name="_Table_commentaires fixe  internet Déc 08_Copie de Flash du mois d' avril 2009 corrigé par NAIMI_Reporting Onatel septembre  2009 préparé" xfId="0"/>
    <cellStyle name="_Table_commentaires fixe  internet Déc 08_Copie de Flash du mois d' avril 2009 corrigé par NAIMI_Reporting Onatel septembre  2009 préparé_Budget Telmob 2011" xfId="0"/>
    <cellStyle name="_Table_commentaires fixe  internet Déc 08_Flash du mois d' avril 2009" xfId="0"/>
    <cellStyle name="_Table_commentaires fixe  internet Déc 08_Flash du mois d' avril 2009_Budget Telmob 2011" xfId="0"/>
    <cellStyle name="_Table_commentaires fixe  internet Déc 08_Flash du mois d' avril 2009_Flash du mois de mai 2009" xfId="0"/>
    <cellStyle name="_Table_commentaires fixe  internet Déc 08_Flash du mois d' avril 2009_Flash du mois de mai 2009_Budget Telmob 2011" xfId="0"/>
    <cellStyle name="_Table_commentaires fixe  internet Déc 08_Flash du mois d' avril 2009_Flash du mois de septembre 2009 (2) (version 1)" xfId="0"/>
    <cellStyle name="_Table_commentaires fixe  internet Déc 08_Flash du mois d' avril 2009_Flash du mois de septembre 2009 (2) (version 1)_Budget Telmob 2011" xfId="0"/>
    <cellStyle name="_Table_commentaires fixe  internet Déc 08_Flash du mois d' avril 2009_Reporting Onatel Mai 2009 V 0" xfId="0"/>
    <cellStyle name="_Table_commentaires fixe  internet Déc 08_Flash du mois d' avril 2009_Reporting Onatel Mai 2009 V 0_Budget Telmob 2011" xfId="0"/>
    <cellStyle name="_Table_commentaires fixe  internet Déc 08_Flash du mois d' avril 2009_Reporting Onatel septembre  2009 préparé" xfId="0"/>
    <cellStyle name="_Table_commentaires fixe  internet Déc 08_Flash du mois d' avril 2009_Reporting Onatel septembre  2009 préparé_Budget Telmob 2011" xfId="0"/>
    <cellStyle name="_Table_commentaires fixe  internet Déc 08_Flash du mois de mai 2009" xfId="0"/>
    <cellStyle name="_Table_commentaires fixe  internet Déc 08_Flash du mois de mai 2009_Budget Telmob 2011" xfId="0"/>
    <cellStyle name="_Table_commentaires fixe  internet Déc 08_Flash du mois de septembre 2009 (2) (version 1)" xfId="0"/>
    <cellStyle name="_Table_commentaires fixe  internet Déc 08_Flash du mois de septembre 2009 (2) (version 1)_Budget Telmob 2011" xfId="0"/>
    <cellStyle name="_Table_commentaires fixe  internet Déc 08_Reporting Onatel Avril 2009 V0" xfId="0"/>
    <cellStyle name="_Table_commentaires fixe  internet Déc 08_Reporting Onatel Avril 2009 V0_Budget Telmob 2011" xfId="0"/>
    <cellStyle name="_Table_commentaires fixe  internet Déc 08_Reporting Onatel Avril 2009 V0_Copie de Flash du mois d' avril 2009 corrigé par NAIMI" xfId="0"/>
    <cellStyle name="_Table_commentaires fixe  internet Déc 08_Reporting Onatel Avril 2009 V0_Copie de Flash du mois d' avril 2009 corrigé par NAIMI_Budget Telmob 2011" xfId="0"/>
    <cellStyle name="_Table_commentaires fixe  internet Déc 08_Reporting Onatel Avril 2009 V0_Copie de Flash du mois d' avril 2009 corrigé par NAIMI_Flash du mois de mai 2009" xfId="0"/>
    <cellStyle name="_Table_commentaires fixe  internet Déc 08_Reporting Onatel Avril 2009 V0_Copie de Flash du mois d' avril 2009 corrigé par NAIMI_Flash du mois de mai 2009_Budget Telmob 2011" xfId="0"/>
    <cellStyle name="_Table_commentaires fixe  internet Déc 08_Reporting Onatel Avril 2009 V0_Copie de Flash du mois d' avril 2009 corrigé par NAIMI_Flash du mois de septembre 2009 (2) (version 1)" xfId="0"/>
    <cellStyle name="_Table_commentaires fixe  internet Déc 08_Reporting Onatel Avril 2009 V0_Copie de Flash du mois d' avril 2009 corrigé par NAIMI_Flash du mois de septembre 2009 (2) (version 1)_Budget Telmob 2011" xfId="0"/>
    <cellStyle name="_Table_commentaires fixe  internet Déc 08_Reporting Onatel Avril 2009 V0_Copie de Flash du mois d' avril 2009 corrigé par NAIMI_Reporting Onatel Mai 2009 V 0" xfId="0"/>
    <cellStyle name="_Table_commentaires fixe  internet Déc 08_Reporting Onatel Avril 2009 V0_Copie de Flash du mois d' avril 2009 corrigé par NAIMI_Reporting Onatel Mai 2009 V 0_Budget Telmob 2011" xfId="0"/>
    <cellStyle name="_Table_commentaires fixe  internet Déc 08_Reporting Onatel Avril 2009 V0_Copie de Flash du mois d' avril 2009 corrigé par NAIMI_Reporting Onatel Mai 2009 V 0_Flash du mois de septembre 2009 (2) (version 1)" xfId="0"/>
    <cellStyle name="_Table_commentaires fixe  internet Déc 08_Reporting Onatel Avril 2009 V0_Copie de Flash du mois d' avril 2009 corrigé par NAIMI_Reporting Onatel Mai 2009 V 0_Flash du mois de septembre 2009 (2) (version 1)_Budget Telmob 2011" xfId="0"/>
    <cellStyle name="_Table_commentaires fixe  internet Déc 08_Reporting Onatel Avril 2009 V0_Copie de Flash du mois d' avril 2009 corrigé par NAIMI_Reporting Onatel Mai 2009 V 0_Reporting Onatel septembre  2009 préparé" xfId="0"/>
    <cellStyle name="_Table_commentaires fixe  internet Déc 08_Reporting Onatel Avril 2009 V0_Copie de Flash du mois d' avril 2009 corrigé par NAIMI_Reporting Onatel Mai 2009 V 0_Reporting Onatel septembre  2009 préparé_Budget Telmob 2011" xfId="0"/>
    <cellStyle name="_Table_commentaires fixe  internet Déc 08_Reporting Onatel Avril 2009 V0_Copie de Flash du mois d' avril 2009 corrigé par NAIMI_Reporting Onatel septembre  2009 préparé" xfId="0"/>
    <cellStyle name="_Table_commentaires fixe  internet Déc 08_Reporting Onatel Avril 2009 V0_Copie de Flash du mois d' avril 2009 corrigé par NAIMI_Reporting Onatel septembre  2009 préparé_Budget Telmob 2011" xfId="0"/>
    <cellStyle name="_Table_commentaires fixe  internet Déc 08_Reporting Onatel Avril 2009 V0_Flash du mois de mai 2009" xfId="0"/>
    <cellStyle name="_Table_commentaires fixe  internet Déc 08_Reporting Onatel Avril 2009 V0_Flash du mois de mai 2009_Budget Telmob 2011" xfId="0"/>
    <cellStyle name="_Table_commentaires fixe  internet Déc 08_Reporting Onatel Avril 2009 V0_Flash du mois de septembre 2009 (2) (version 1)" xfId="0"/>
    <cellStyle name="_Table_commentaires fixe  internet Déc 08_Reporting Onatel Avril 2009 V0_Flash du mois de septembre 2009 (2) (version 1)_Budget Telmob 2011" xfId="0"/>
    <cellStyle name="_Table_commentaires fixe  internet Déc 08_Reporting Onatel Avril 2009 V0_Reporting Onatel Mai 2009 V 0" xfId="0"/>
    <cellStyle name="_Table_commentaires fixe  internet Déc 08_Reporting Onatel Avril 2009 V0_Reporting Onatel Mai 2009 V 0_Budget Telmob 2011" xfId="0"/>
    <cellStyle name="_Table_commentaires fixe  internet Déc 08_Reporting Onatel Avril 2009 V0_Reporting Onatel septembre  2009 préparé" xfId="0"/>
    <cellStyle name="_Table_commentaires fixe  internet Déc 08_Reporting Onatel Avril 2009 V0_Reporting Onatel septembre  2009 préparé_Budget Telmob 2011" xfId="0"/>
    <cellStyle name="_Table_commentaires fixe  internet Déc 08_Reporting Onatel Mai 2009 V 0" xfId="0"/>
    <cellStyle name="_Table_commentaires fixe  internet Déc 08_Reporting Onatel Mai 2009 V 0 A ENVOYE" xfId="0"/>
    <cellStyle name="_Table_commentaires fixe  internet Déc 08_Reporting Onatel Mai 2009 V 0 A ENVOYE_Budget Telmob 2011" xfId="0"/>
    <cellStyle name="_Table_commentaires fixe  internet Déc 08_Reporting Onatel Mai 2009 V 0 A ENVOYE_Flash du mois de septembre 2009 (2) (version 1)" xfId="0"/>
    <cellStyle name="_Table_commentaires fixe  internet Déc 08_Reporting Onatel Mai 2009 V 0 A ENVOYE_Flash du mois de septembre 2009 (2) (version 1)_Budget Telmob 2011" xfId="0"/>
    <cellStyle name="_Table_commentaires fixe  internet Déc 08_Reporting Onatel Mai 2009 V 0 A ENVOYE_Reporting Onatel septembre  2009 préparé" xfId="0"/>
    <cellStyle name="_Table_commentaires fixe  internet Déc 08_Reporting Onatel Mai 2009 V 0 A ENVOYE_Reporting Onatel septembre  2009 préparé_Budget Telmob 2011" xfId="0"/>
    <cellStyle name="_Table_commentaires fixe  internet Déc 08_Reporting Onatel Mai 2009 V 0_Budget Telmob 2011" xfId="0"/>
    <cellStyle name="_Table_commentaires fixe  internet Déc 08_Reporting Onatel septembre  2009 préparé" xfId="0"/>
    <cellStyle name="_Table_commentaires fixe  internet Déc 08_Reporting Onatel septembre  2009 préparé_Budget Telmob 2011" xfId="0"/>
    <cellStyle name="_Table_commentaires fixe  internet Déc 08_TBG Onatel Février  2009  Vtbg V3" xfId="0"/>
    <cellStyle name="_Table_commentaires fixe  internet Déc 08_TBG Onatel Février  2009  Vtbg V3_Budget Telmob 2011" xfId="0"/>
    <cellStyle name="_Table_commentaires fixe  internet Déc 08_TBG Onatel Février  2009  Vtbg V3_Commentaires TBG mars" xfId="0"/>
    <cellStyle name="_Table_commentaires fixe  internet Déc 08_TBG Onatel Février  2009  Vtbg V3_Commentaires TBG mars_Budget Telmob 2011" xfId="0"/>
    <cellStyle name="_Table_commentaires fixe  internet Déc 08_TBG Onatel Février  2009  Vtbg V3_Commentaires TBG mars_Copie de Flash du mois d' avril 2009 corrigé par NAIMI" xfId="0"/>
    <cellStyle name="_Table_commentaires fixe  internet Déc 08_TBG Onatel Février  2009  Vtbg V3_Commentaires TBG mars_Copie de Flash du mois d' avril 2009 corrigé par NAIMI_Budget Telmob 2011" xfId="0"/>
    <cellStyle name="_Table_commentaires fixe  internet Déc 08_TBG Onatel Février  2009  Vtbg V3_Commentaires TBG mars_Copie de Flash du mois d' avril 2009 corrigé par NAIMI_Flash du mois de mai 2009" xfId="0"/>
    <cellStyle name="_Table_commentaires fixe  internet Déc 08_TBG Onatel Février  2009  Vtbg V3_Commentaires TBG mars_Copie de Flash du mois d' avril 2009 corrigé par NAIMI_Flash du mois de mai 2009_Budget Telmob 2011" xfId="0"/>
    <cellStyle name="_Table_commentaires fixe  internet Déc 08_TBG Onatel Février  2009  Vtbg V3_Commentaires TBG mars_Copie de Flash du mois d' avril 2009 corrigé par NAIMI_Flash du mois de septembre 2009 (2) (version 1)" xfId="0"/>
    <cellStyle name="_Table_commentaires fixe  internet Déc 08_TBG Onatel Février  2009  Vtbg V3_Commentaires TBG mars_Copie de Flash du mois d' avril 2009 corrigé par NAIMI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" xfId="0"/>
    <cellStyle name="_Table_commentaires fixe  internet Déc 08_TBG Onatel Février  2009  Vtbg V3_Commentaires TBG mars_Copie de Flash du mois d' avril 2009 corrigé par NAIMI_Reporting Onatel Mai 2009 V 0_Budget Telmob 2011" xfId="0"/>
    <cellStyle name="_Table_commentaires fixe  internet Déc 08_TBG Onatel Février  2009  Vtbg V3_Commentaires TBG mars_Copie de Flash du mois d' avril 2009 corrigé par NAIMI_Reporting Onatel Mai 2009 V 0_Flash du mois de septembre 2009 (2) (version 1)" xfId="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_Reporting Onatel septembre  2009 préparé" xfId="0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0"/>
    <cellStyle name="_Table_commentaires fixe  internet Déc 08_TBG Onatel Février  2009  Vtbg V3_Commentaires TBG mars_Copie de Flash du mois d' avril 2009 corrigé par NAIMI_Reporting Onatel septembre  2009 préparé" xfId="0"/>
    <cellStyle name="_Table_commentaires fixe  internet Déc 08_TBG Onatel Février  2009  Vtbg V3_Commentaires TBG mars_Copie de Flash du mois d' avril 2009 corrigé par NAIMI_Reporting Onatel septembre  2009 préparé_Budget Telmob 2011" xfId="0"/>
    <cellStyle name="_Table_commentaires fixe  internet Déc 08_TBG Onatel Février  2009  Vtbg V3_Commentaires TBG mars_Flash du mois d' avril 2009" xfId="0"/>
    <cellStyle name="_Table_commentaires fixe  internet Déc 08_TBG Onatel Février  2009  Vtbg V3_Commentaires TBG mars_Flash du mois d' avril 2009_Budget Telmob 2011" xfId="0"/>
    <cellStyle name="_Table_commentaires fixe  internet Déc 08_TBG Onatel Février  2009  Vtbg V3_Commentaires TBG mars_Flash du mois d' avril 2009_Flash du mois de mai 2009" xfId="0"/>
    <cellStyle name="_Table_commentaires fixe  internet Déc 08_TBG Onatel Février  2009  Vtbg V3_Commentaires TBG mars_Flash du mois d' avril 2009_Flash du mois de mai 2009_Budget Telmob 2011" xfId="0"/>
    <cellStyle name="_Table_commentaires fixe  internet Déc 08_TBG Onatel Février  2009  Vtbg V3_Commentaires TBG mars_Flash du mois d' avril 2009_Flash du mois de septembre 2009 (2) (version 1)" xfId="0"/>
    <cellStyle name="_Table_commentaires fixe  internet Déc 08_TBG Onatel Février  2009  Vtbg V3_Commentaires TBG mars_Flash du mois d' avril 2009_Flash du mois de septembre 2009 (2) (version 1)_Budget Telmob 2011" xfId="0"/>
    <cellStyle name="_Table_commentaires fixe  internet Déc 08_TBG Onatel Février  2009  Vtbg V3_Commentaires TBG mars_Flash du mois d' avril 2009_Reporting Onatel Mai 2009 V 0" xfId="0"/>
    <cellStyle name="_Table_commentaires fixe  internet Déc 08_TBG Onatel Février  2009  Vtbg V3_Commentaires TBG mars_Flash du mois d' avril 2009_Reporting Onatel Mai 2009 V 0_Budget Telmob 2011" xfId="0"/>
    <cellStyle name="_Table_commentaires fixe  internet Déc 08_TBG Onatel Février  2009  Vtbg V3_Commentaires TBG mars_Flash du mois d' avril 2009_Reporting Onatel septembre  2009 préparé" xfId="0"/>
    <cellStyle name="_Table_commentaires fixe  internet Déc 08_TBG Onatel Février  2009  Vtbg V3_Commentaires TBG mars_Flash du mois d' avril 2009_Reporting Onatel septembre  2009 préparé_Budget Telmob 2011" xfId="0"/>
    <cellStyle name="_Table_commentaires fixe  internet Déc 08_TBG Onatel Février  2009  Vtbg V3_Commentaires TBG mars_Flash du mois de mai 2009" xfId="0"/>
    <cellStyle name="_Table_commentaires fixe  internet Déc 08_TBG Onatel Février  2009  Vtbg V3_Commentaires TBG mars_Flash du mois de mai 2009_Budget Telmob 2011" xfId="0"/>
    <cellStyle name="_Table_commentaires fixe  internet Déc 08_TBG Onatel Février  2009  Vtbg V3_Commentaires TBG mars_Flash du mois de septembre 2009 (2) (version 1)" xfId="0"/>
    <cellStyle name="_Table_commentaires fixe  internet Déc 08_TBG Onatel Février  2009  Vtbg V3_Commentaires TBG mars_Flash du mois de septembre 2009 (2) (version 1)_Budget Telmob 2011" xfId="0"/>
    <cellStyle name="_Table_commentaires fixe  internet Déc 08_TBG Onatel Février  2009  Vtbg V3_Commentaires TBG mars_Reporting Onatel Mai 2009 V 0" xfId="0"/>
    <cellStyle name="_Table_commentaires fixe  internet Déc 08_TBG Onatel Février  2009  Vtbg V3_Commentaires TBG mars_Reporting Onatel Mai 2009 V 0_Budget Telmob 2011" xfId="0"/>
    <cellStyle name="_Table_commentaires fixe  internet Déc 08_TBG Onatel Février  2009  Vtbg V3_Commentaires TBG mars_Reporting Onatel septembre  2009 préparé" xfId="0"/>
    <cellStyle name="_Table_commentaires fixe  internet Déc 08_TBG Onatel Février  2009  Vtbg V3_Commentaires TBG mars_Reporting Onatel septembre  2009 préparé_Budget Telmob 2011" xfId="0"/>
    <cellStyle name="_Table_commentaires fixe  internet Déc 08_TBG Onatel Février  2009  Vtbg V3_Copie de Flash du mois d' avril 2009 corrigé par NAIMI" xfId="0"/>
    <cellStyle name="_Table_commentaires fixe  internet Déc 08_TBG Onatel Février  2009  Vtbg V3_Copie de Flash du mois d' avril 2009 corrigé par NAIMI_Budget Telmob 2011" xfId="0"/>
    <cellStyle name="_Table_commentaires fixe  internet Déc 08_TBG Onatel Février  2009  Vtbg V3_Copie de Flash du mois d' avril 2009 corrigé par NAIMI_Flash du mois de mai 2009" xfId="0"/>
    <cellStyle name="_Table_commentaires fixe  internet Déc 08_TBG Onatel Février  2009  Vtbg V3_Copie de Flash du mois d' avril 2009 corrigé par NAIMI_Flash du mois de mai 2009_Budget Telmob 2011" xfId="0"/>
    <cellStyle name="_Table_commentaires fixe  internet Déc 08_TBG Onatel Février  2009  Vtbg V3_Copie de Flash du mois d' avril 2009 corrigé par NAIMI_Flash du mois de septembre 2009 (2) (version 1)" xfId="0"/>
    <cellStyle name="_Table_commentaires fixe  internet Déc 08_TBG Onatel Février  2009  Vtbg V3_Copie de Flash du mois d' avril 2009 corrigé par NAIMI_Flash du mois de septembre 2009 (2) (version 1)_Budget Telmob 2011" xfId="0"/>
    <cellStyle name="_Table_commentaires fixe  internet Déc 08_TBG Onatel Février  2009  Vtbg V3_Copie de Flash du mois d' avril 2009 corrigé par NAIMI_Reporting Onatel Mai 2009 V 0" xfId="0"/>
    <cellStyle name="_Table_commentaires fixe  internet Déc 08_TBG Onatel Février  2009  Vtbg V3_Copie de Flash du mois d' avril 2009 corrigé par NAIMI_Reporting Onatel Mai 2009 V 0_Budget Telmob 2011" xfId="0"/>
    <cellStyle name="_Table_commentaires fixe  internet Déc 08_TBG Onatel Février  2009  Vtbg V3_Copie de Flash du mois d' avril 2009 corrigé par NAIMI_Reporting Onatel Mai 2009 V 0_Flash du mois de septembre 2009 (2) (version 1)" xfId="0"/>
    <cellStyle name="_Table_commentaires fixe  internet Déc 08_TBG Onatel Février  2009  Vtbg V3_Copie de Flash du mois d' avril 2009 corrigé par NAIMI_Reporting Onatel Mai 2009 V 0_Flash du mois de septembre 2009 (2) (version 1)_Budget Telmob 2011" xfId="0"/>
    <cellStyle name="_Table_commentaires fixe  internet Déc 08_TBG Onatel Février  2009  Vtbg V3_Copie de Flash du mois d' avril 2009 corrigé par NAIMI_Reporting Onatel Mai 2009 V 0_Reporting Onatel septembre  2009 préparé" xfId="0"/>
    <cellStyle name="_Table_commentaires fixe  internet Déc 08_TBG Onatel Février  2009  Vtbg V3_Copie de Flash du mois d' avril 2009 corrigé par NAIMI_Reporting Onatel Mai 2009 V 0_Reporting Onatel septembre  2009 préparé_Budget Telmob 2011" xfId="0"/>
    <cellStyle name="_Table_commentaires fixe  internet Déc 08_TBG Onatel Février  2009  Vtbg V3_Copie de Flash du mois d' avril 2009 corrigé par NAIMI_Reporting Onatel septembre  2009 préparé" xfId="0"/>
    <cellStyle name="_Table_commentaires fixe  internet Déc 08_TBG Onatel Février  2009  Vtbg V3_Copie de Flash du mois d' avril 2009 corrigé par NAIMI_Reporting Onatel septembre  2009 préparé_Budget Telmob 2011" xfId="0"/>
    <cellStyle name="_Table_commentaires fixe  internet Déc 08_TBG Onatel Février  2009  Vtbg V3_Flash du mois d' avril 2009" xfId="0"/>
    <cellStyle name="_Table_commentaires fixe  internet Déc 08_TBG Onatel Février  2009  Vtbg V3_Flash du mois d' avril 2009_Budget Telmob 2011" xfId="0"/>
    <cellStyle name="_Table_commentaires fixe  internet Déc 08_TBG Onatel Février  2009  Vtbg V3_Flash du mois d' avril 2009_Flash du mois de mai 2009" xfId="0"/>
    <cellStyle name="_Table_commentaires fixe  internet Déc 08_TBG Onatel Février  2009  Vtbg V3_Flash du mois d' avril 2009_Flash du mois de mai 2009_Budget Telmob 2011" xfId="0"/>
    <cellStyle name="_Table_commentaires fixe  internet Déc 08_TBG Onatel Février  2009  Vtbg V3_Flash du mois d' avril 2009_Flash du mois de septembre 2009 (2) (version 1)" xfId="0"/>
    <cellStyle name="_Table_commentaires fixe  internet Déc 08_TBG Onatel Février  2009  Vtbg V3_Flash du mois d' avril 2009_Flash du mois de septembre 2009 (2) (version 1)_Budget Telmob 2011" xfId="0"/>
    <cellStyle name="_Table_commentaires fixe  internet Déc 08_TBG Onatel Février  2009  Vtbg V3_Flash du mois d' avril 2009_Reporting Onatel Mai 2009 V 0" xfId="0"/>
    <cellStyle name="_Table_commentaires fixe  internet Déc 08_TBG Onatel Février  2009  Vtbg V3_Flash du mois d' avril 2009_Reporting Onatel Mai 2009 V 0_Budget Telmob 2011" xfId="0"/>
    <cellStyle name="_Table_commentaires fixe  internet Déc 08_TBG Onatel Février  2009  Vtbg V3_Flash du mois d' avril 2009_Reporting Onatel septembre  2009 préparé" xfId="0"/>
    <cellStyle name="_Table_commentaires fixe  internet Déc 08_TBG Onatel Février  2009  Vtbg V3_Flash du mois d' avril 2009_Reporting Onatel septembre  2009 préparé_Budget Telmob 2011" xfId="0"/>
    <cellStyle name="_Table_commentaires fixe  internet Déc 08_TBG Onatel Février  2009  Vtbg V3_Flash du mois de mai 2009" xfId="0"/>
    <cellStyle name="_Table_commentaires fixe  internet Déc 08_TBG Onatel Février  2009  Vtbg V3_Flash du mois de mai 2009_Budget Telmob 2011" xfId="0"/>
    <cellStyle name="_Table_commentaires fixe  internet Déc 08_TBG Onatel Février  2009  Vtbg V3_Flash du mois de septembre 2009 (2) (version 1)" xfId="0"/>
    <cellStyle name="_Table_commentaires fixe  internet Déc 08_TBG Onatel Février  2009  Vtbg V3_Flash du mois de septembre 2009 (2) (version 1)_Budget Telmob 2011" xfId="0"/>
    <cellStyle name="_Table_commentaires fixe  internet Déc 08_TBG Onatel Février  2009  Vtbg V3_Reporting Onatel Mai 2009 V 0" xfId="0"/>
    <cellStyle name="_Table_commentaires fixe  internet Déc 08_TBG Onatel Février  2009  Vtbg V3_Reporting Onatel Mai 2009 V 0_Budget Telmob 2011" xfId="0"/>
    <cellStyle name="_Table_commentaires fixe  internet Déc 08_TBG Onatel Février  2009  Vtbg V3_Reporting Onatel septembre  2009 préparé" xfId="0"/>
    <cellStyle name="_Table_commentaires fixe  internet Déc 08_TBG Onatel Février  2009  Vtbg V3_Reporting Onatel septembre  2009 préparé_Budget Telmob 2011" xfId="0"/>
    <cellStyle name="_Table_Commentaires TBG mars" xfId="0"/>
    <cellStyle name="_Table_Commentaires TBG mars_Budget Telmob 2011" xfId="0"/>
    <cellStyle name="_Table_Commentaires TBG mars_Copie de Flash du mois d' avril 2009 corrigé par NAIMI" xfId="0"/>
    <cellStyle name="_Table_Commentaires TBG mars_Copie de Flash du mois d' avril 2009 corrigé par NAIMI_Budget Telmob 2011" xfId="0"/>
    <cellStyle name="_Table_Commentaires TBG mars_Copie de Flash du mois d' avril 2009 corrigé par NAIMI_Flash du mois de mai 2009" xfId="0"/>
    <cellStyle name="_Table_Commentaires TBG mars_Copie de Flash du mois d' avril 2009 corrigé par NAIMI_Flash du mois de mai 2009_Budget Telmob 2011" xfId="0"/>
    <cellStyle name="_Table_Commentaires TBG mars_Copie de Flash du mois d' avril 2009 corrigé par NAIMI_Flash du mois de septembre 2009 (2) (version 1)" xfId="0"/>
    <cellStyle name="_Table_Commentaires TBG mars_Copie de Flash du mois d' avril 2009 corrigé par NAIMI_Flash du mois de septembre 2009 (2) (version 1)_Budget Telmob 2011" xfId="0"/>
    <cellStyle name="_Table_Commentaires TBG mars_Copie de Flash du mois d' avril 2009 corrigé par NAIMI_Reporting Onatel Mai 2009 V 0" xfId="0"/>
    <cellStyle name="_Table_Commentaires TBG mars_Copie de Flash du mois d' avril 2009 corrigé par NAIMI_Reporting Onatel Mai 2009 V 0_Budget Telmob 2011" xfId="0"/>
    <cellStyle name="_Table_Commentaires TBG mars_Copie de Flash du mois d' avril 2009 corrigé par NAIMI_Reporting Onatel Mai 2009 V 0_Flash du mois de septembre 2009 (2) (version 1)" xfId="0"/>
    <cellStyle name="_Table_Commentaires TBG mars_Copie de Flash du mois d' avril 2009 corrigé par NAIMI_Reporting Onatel Mai 2009 V 0_Flash du mois de septembre 2009 (2) (version 1)_Budget Telmob 2011" xfId="0"/>
    <cellStyle name="_Table_Commentaires TBG mars_Copie de Flash du mois d' avril 2009 corrigé par NAIMI_Reporting Onatel Mai 2009 V 0_Reporting Onatel septembre  2009 préparé" xfId="0"/>
    <cellStyle name="_Table_Commentaires TBG mars_Copie de Flash du mois d' avril 2009 corrigé par NAIMI_Reporting Onatel Mai 2009 V 0_Reporting Onatel septembre  2009 préparé_Budget Telmob 2011" xfId="0"/>
    <cellStyle name="_Table_Commentaires TBG mars_Copie de Flash du mois d' avril 2009 corrigé par NAIMI_Reporting Onatel septembre  2009 préparé" xfId="0"/>
    <cellStyle name="_Table_Commentaires TBG mars_Copie de Flash du mois d' avril 2009 corrigé par NAIMI_Reporting Onatel septembre  2009 préparé_Budget Telmob 2011" xfId="0"/>
    <cellStyle name="_Table_Commentaires TBG mars_Flash du mois d' avril 2009" xfId="0"/>
    <cellStyle name="_Table_Commentaires TBG mars_Flash du mois d' avril 2009_Budget Telmob 2011" xfId="0"/>
    <cellStyle name="_Table_Commentaires TBG mars_Flash du mois d' avril 2009_Flash du mois de mai 2009" xfId="0"/>
    <cellStyle name="_Table_Commentaires TBG mars_Flash du mois d' avril 2009_Flash du mois de mai 2009_Budget Telmob 2011" xfId="0"/>
    <cellStyle name="_Table_Commentaires TBG mars_Flash du mois d' avril 2009_Flash du mois de septembre 2009 (2) (version 1)" xfId="0"/>
    <cellStyle name="_Table_Commentaires TBG mars_Flash du mois d' avril 2009_Flash du mois de septembre 2009 (2) (version 1)_Budget Telmob 2011" xfId="0"/>
    <cellStyle name="_Table_Commentaires TBG mars_Flash du mois d' avril 2009_Reporting Onatel Mai 2009 V 0" xfId="0"/>
    <cellStyle name="_Table_Commentaires TBG mars_Flash du mois d' avril 2009_Reporting Onatel Mai 2009 V 0_Budget Telmob 2011" xfId="0"/>
    <cellStyle name="_Table_Commentaires TBG mars_Flash du mois d' avril 2009_Reporting Onatel septembre  2009 préparé" xfId="0"/>
    <cellStyle name="_Table_Commentaires TBG mars_Flash du mois d' avril 2009_Reporting Onatel septembre  2009 préparé_Budget Telmob 2011" xfId="0"/>
    <cellStyle name="_Table_Commentaires TBG mars_Flash du mois de mai 2009" xfId="0"/>
    <cellStyle name="_Table_Commentaires TBG mars_Flash du mois de mai 2009_Budget Telmob 2011" xfId="0"/>
    <cellStyle name="_Table_Commentaires TBG mars_Flash du mois de septembre 2009 (2) (version 1)" xfId="0"/>
    <cellStyle name="_Table_Commentaires TBG mars_Flash du mois de septembre 2009 (2) (version 1)_Budget Telmob 2011" xfId="0"/>
    <cellStyle name="_Table_Commentaires TBG mars_Reporting Onatel Mai 2009 V 0" xfId="0"/>
    <cellStyle name="_Table_Commentaires TBG mars_Reporting Onatel Mai 2009 V 0_Budget Telmob 2011" xfId="0"/>
    <cellStyle name="_Table_Commentaires TBG mars_Reporting Onatel septembre  2009 préparé" xfId="0"/>
    <cellStyle name="_Table_Commentaires TBG mars_Reporting Onatel septembre  2009 préparé_Budget Telmob 2011" xfId="0"/>
    <cellStyle name="_Table_Contribution of assets into USAi_02" xfId="0"/>
    <cellStyle name="_Table_Copie de Flash du mois d' avril 2009 corrigé par NAIMI" xfId="0"/>
    <cellStyle name="_Table_Copie de Flash du mois d' avril 2009 corrigé par NAIMI_Budget Telmob 2011" xfId="0"/>
    <cellStyle name="_Table_Copie de Flash du mois d' avril 2009 corrigé par NAIMI_Flash du mois de mai 2009" xfId="0"/>
    <cellStyle name="_Table_Copie de Flash du mois d' avril 2009 corrigé par NAIMI_Flash du mois de mai 2009_Budget Telmob 2011" xfId="0"/>
    <cellStyle name="_Table_Copie de Flash du mois d' avril 2009 corrigé par NAIMI_Flash du mois de septembre 2009 (2) (version 1)" xfId="0"/>
    <cellStyle name="_Table_Copie de Flash du mois d' avril 2009 corrigé par NAIMI_Flash du mois de septembre 2009 (2) (version 1)_Budget Telmob 2011" xfId="0"/>
    <cellStyle name="_Table_Copie de Flash du mois d' avril 2009 corrigé par NAIMI_Reporting Onatel Mai 2009 V 0" xfId="0"/>
    <cellStyle name="_Table_Copie de Flash du mois d' avril 2009 corrigé par NAIMI_Reporting Onatel Mai 2009 V 0_Budget Telmob 2011" xfId="0"/>
    <cellStyle name="_Table_Copie de Flash du mois d' avril 2009 corrigé par NAIMI_Reporting Onatel Mai 2009 V 0_Flash du mois de septembre 2009 (2) (version 1)" xfId="0"/>
    <cellStyle name="_Table_Copie de Flash du mois d' avril 2009 corrigé par NAIMI_Reporting Onatel Mai 2009 V 0_Flash du mois de septembre 2009 (2) (version 1)_Budget Telmob 2011" xfId="0"/>
    <cellStyle name="_Table_Copie de Flash du mois d' avril 2009 corrigé par NAIMI_Reporting Onatel Mai 2009 V 0_Reporting Onatel septembre  2009 préparé" xfId="0"/>
    <cellStyle name="_Table_Copie de Flash du mois d' avril 2009 corrigé par NAIMI_Reporting Onatel Mai 2009 V 0_Reporting Onatel septembre  2009 préparé_Budget Telmob 2011" xfId="0"/>
    <cellStyle name="_Table_Copie de Flash du mois d' avril 2009 corrigé par NAIMI_Reporting Onatel septembre  2009 préparé" xfId="0"/>
    <cellStyle name="_Table_Copie de Flash du mois d' avril 2009 corrigé par NAIMI_Reporting Onatel septembre  2009 préparé_Budget Telmob 2011" xfId="0"/>
    <cellStyle name="_Table_Flash du mois d' avril 2009" xfId="0"/>
    <cellStyle name="_Table_Flash du mois d' avril 2009_Budget Telmob 2011" xfId="0"/>
    <cellStyle name="_Table_Flash du mois d' avril 2009_Flash du mois de mai 2009" xfId="0"/>
    <cellStyle name="_Table_Flash du mois d' avril 2009_Flash du mois de mai 2009_Budget Telmob 2011" xfId="0"/>
    <cellStyle name="_Table_Flash du mois d' avril 2009_Flash du mois de septembre 2009 (2) (version 1)" xfId="0"/>
    <cellStyle name="_Table_Flash du mois d' avril 2009_Flash du mois de septembre 2009 (2) (version 1)_Budget Telmob 2011" xfId="0"/>
    <cellStyle name="_Table_Flash du mois d' avril 2009_Reporting Onatel Mai 2009 V 0" xfId="0"/>
    <cellStyle name="_Table_Flash du mois d' avril 2009_Reporting Onatel Mai 2009 V 0_Budget Telmob 2011" xfId="0"/>
    <cellStyle name="_Table_Flash du mois d' avril 2009_Reporting Onatel septembre  2009 préparé" xfId="0"/>
    <cellStyle name="_Table_Flash du mois d' avril 2009_Reporting Onatel septembre  2009 préparé_Budget Telmob 2011" xfId="0"/>
    <cellStyle name="_Table_Flash du mois de mai 2009" xfId="0"/>
    <cellStyle name="_Table_Flash du mois de mai 2009_Budget Telmob 2011" xfId="0"/>
    <cellStyle name="_Table_Flash du mois de septembre 2009 (2) (version 1)" xfId="0"/>
    <cellStyle name="_Table_Flash du mois de septembre 2009 (2) (version 1)_Budget Telmob 2011" xfId="0"/>
    <cellStyle name="_Table_NBC-5 yearDCF-Final from Vivendi modified" xfId="0"/>
    <cellStyle name="_Table_P &amp; L Conso" xfId="0"/>
    <cellStyle name="_Table_P &amp; L Conso_Budget Telmob 2011" xfId="0"/>
    <cellStyle name="_Table_P &amp; L Conso_COMMENTAIRES JUILLET 2009" xfId="0"/>
    <cellStyle name="_Table_P &amp; L Conso_COMMENTAIRES JUILLET 2009_Budget Telmob 2011" xfId="0"/>
    <cellStyle name="_Table_P&amp;L S1 2008" xfId="0"/>
    <cellStyle name="_Table_P&amp;L S1 2008_Budget Telmob 2011" xfId="0"/>
    <cellStyle name="_Table_Reporting Onatel Avril 2009 V0" xfId="0"/>
    <cellStyle name="_Table_Reporting Onatel Avril 2009 V0_Budget Telmob 2011" xfId="0"/>
    <cellStyle name="_Table_Reporting Onatel Avril 2009 V0_Copie de Flash du mois d' avril 2009 corrigé par NAIMI" xfId="0"/>
    <cellStyle name="_Table_Reporting Onatel Avril 2009 V0_Copie de Flash du mois d' avril 2009 corrigé par NAIMI_Budget Telmob 2011" xfId="0"/>
    <cellStyle name="_Table_Reporting Onatel Avril 2009 V0_Copie de Flash du mois d' avril 2009 corrigé par NAIMI_Flash du mois de mai 2009" xfId="0"/>
    <cellStyle name="_Table_Reporting Onatel Avril 2009 V0_Copie de Flash du mois d' avril 2009 corrigé par NAIMI_Flash du mois de mai 2009_Budget Telmob 2011" xfId="0"/>
    <cellStyle name="_Table_Reporting Onatel Avril 2009 V0_Copie de Flash du mois d' avril 2009 corrigé par NAIMI_Flash du mois de septembre 2009 (2) (version 1)" xfId="0"/>
    <cellStyle name="_Table_Reporting Onatel Avril 2009 V0_Copie de Flash du mois d' avril 2009 corrigé par NAIMI_Flash du mois de septembre 2009 (2) (version 1)_Budget Telmob 2011" xfId="0"/>
    <cellStyle name="_Table_Reporting Onatel Avril 2009 V0_Copie de Flash du mois d' avril 2009 corrigé par NAIMI_Reporting Onatel Mai 2009 V 0" xfId="0"/>
    <cellStyle name="_Table_Reporting Onatel Avril 2009 V0_Copie de Flash du mois d' avril 2009 corrigé par NAIMI_Reporting Onatel Mai 2009 V 0_Budget Telmob 2011" xfId="0"/>
    <cellStyle name="_Table_Reporting Onatel Avril 2009 V0_Copie de Flash du mois d' avril 2009 corrigé par NAIMI_Reporting Onatel Mai 2009 V 0_Flash du mois de septembre 2009 (2) (version 1)" xfId="0"/>
    <cellStyle name="_Table_Reporting Onatel Avril 2009 V0_Copie de Flash du mois d' avril 2009 corrigé par NAIMI_Reporting Onatel Mai 2009 V 0_Flash du mois de septembre 2009 (2) (version 1)_Budget Telmob 2011" xfId="0"/>
    <cellStyle name="_Table_Reporting Onatel Avril 2009 V0_Copie de Flash du mois d' avril 2009 corrigé par NAIMI_Reporting Onatel Mai 2009 V 0_Reporting Onatel septembre  2009 préparé" xfId="0"/>
    <cellStyle name="_Table_Reporting Onatel Avril 2009 V0_Copie de Flash du mois d' avril 2009 corrigé par NAIMI_Reporting Onatel Mai 2009 V 0_Reporting Onatel septembre  2009 préparé_Budget Telmob 2011" xfId="0"/>
    <cellStyle name="_Table_Reporting Onatel Avril 2009 V0_Copie de Flash du mois d' avril 2009 corrigé par NAIMI_Reporting Onatel septembre  2009 préparé" xfId="0"/>
    <cellStyle name="_Table_Reporting Onatel Avril 2009 V0_Copie de Flash du mois d' avril 2009 corrigé par NAIMI_Reporting Onatel septembre  2009 préparé_Budget Telmob 2011" xfId="0"/>
    <cellStyle name="_Table_Reporting Onatel Avril 2009 V0_Flash du mois de mai 2009" xfId="0"/>
    <cellStyle name="_Table_Reporting Onatel Avril 2009 V0_Flash du mois de mai 2009_Budget Telmob 2011" xfId="0"/>
    <cellStyle name="_Table_Reporting Onatel Avril 2009 V0_Flash du mois de septembre 2009 (2) (version 1)" xfId="0"/>
    <cellStyle name="_Table_Reporting Onatel Avril 2009 V0_Flash du mois de septembre 2009 (2) (version 1)_Budget Telmob 2011" xfId="0"/>
    <cellStyle name="_Table_Reporting Onatel Avril 2009 V0_Reporting Onatel Mai 2009 V 0" xfId="0"/>
    <cellStyle name="_Table_Reporting Onatel Avril 2009 V0_Reporting Onatel Mai 2009 V 0_Budget Telmob 2011" xfId="0"/>
    <cellStyle name="_Table_Reporting Onatel Avril 2009 V0_Reporting Onatel septembre  2009 préparé" xfId="0"/>
    <cellStyle name="_Table_Reporting Onatel Avril 2009 V0_Reporting Onatel septembre  2009 préparé_Budget Telmob 2011" xfId="0"/>
    <cellStyle name="_Table_Reporting Onatel Mai 2009 V 0" xfId="0"/>
    <cellStyle name="_Table_Reporting Onatel Mai 2009 V 0 A ENVOYE" xfId="0"/>
    <cellStyle name="_Table_Reporting Onatel Mai 2009 V 0 A ENVOYE_Budget Telmob 2011" xfId="0"/>
    <cellStyle name="_Table_Reporting Onatel Mai 2009 V 0 A ENVOYE_Flash du mois de septembre 2009 (2) (version 1)" xfId="0"/>
    <cellStyle name="_Table_Reporting Onatel Mai 2009 V 0 A ENVOYE_Flash du mois de septembre 2009 (2) (version 1)_Budget Telmob 2011" xfId="0"/>
    <cellStyle name="_Table_Reporting Onatel Mai 2009 V 0 A ENVOYE_Reporting Onatel septembre  2009 préparé" xfId="0"/>
    <cellStyle name="_Table_Reporting Onatel Mai 2009 V 0 A ENVOYE_Reporting Onatel septembre  2009 préparé_Budget Telmob 2011" xfId="0"/>
    <cellStyle name="_Table_Reporting Onatel Mai 2009 V 0_Budget Telmob 2011" xfId="0"/>
    <cellStyle name="_Table_Reporting Onatel septembre  2009 préparé" xfId="0"/>
    <cellStyle name="_Table_Reporting Onatel septembre  2009 préparé_Budget Telmob 2011" xfId="0"/>
    <cellStyle name="_Table_Rev Fixe-Internet" xfId="0"/>
    <cellStyle name="_Table_Rev Fixe-Internet_Budget Telmob 2011" xfId="0"/>
    <cellStyle name="_Table_Rev Fixe-Internet_COMMENTAIRES JUILLET 2009" xfId="0"/>
    <cellStyle name="_Table_Rev Fixe-Internet_COMMENTAIRES JUILLET 2009_Budget Telmob 2011" xfId="0"/>
    <cellStyle name="_Table_TBG Onatel Février  2009  Vtbg V3" xfId="0"/>
    <cellStyle name="_Table_TBG Onatel Février  2009  Vtbg V3_Budget Telmob 2011" xfId="0"/>
    <cellStyle name="_Table_TBG Onatel Février  2009  Vtbg V3_Commentaires TBG mars" xfId="0"/>
    <cellStyle name="_Table_TBG Onatel Février  2009  Vtbg V3_Commentaires TBG mars_Budget Telmob 2011" xfId="0"/>
    <cellStyle name="_Table_TBG Onatel Février  2009  Vtbg V3_Commentaires TBG mars_Copie de Flash du mois d' avril 2009 corrigé par NAIMI" xfId="0"/>
    <cellStyle name="_Table_TBG Onatel Février  2009  Vtbg V3_Commentaires TBG mars_Copie de Flash du mois d' avril 2009 corrigé par NAIMI_Budget Telmob 2011" xfId="0"/>
    <cellStyle name="_Table_TBG Onatel Février  2009  Vtbg V3_Commentaires TBG mars_Copie de Flash du mois d' avril 2009 corrigé par NAIMI_Flash du mois de mai 2009" xfId="0"/>
    <cellStyle name="_Table_TBG Onatel Février  2009  Vtbg V3_Commentaires TBG mars_Copie de Flash du mois d' avril 2009 corrigé par NAIMI_Flash du mois de mai 2009_Budget Telmob 2011" xfId="0"/>
    <cellStyle name="_Table_TBG Onatel Février  2009  Vtbg V3_Commentaires TBG mars_Copie de Flash du mois d' avril 2009 corrigé par NAIMI_Flash du mois de septembre 2009 (2) (version 1)" xfId="0"/>
    <cellStyle name="_Table_TBG Onatel Février  2009  Vtbg V3_Commentaires TBG mars_Copie de Flash du mois d' avril 2009 corrigé par NAIMI_Flash du mois de septembre 2009 (2) (version 1)_Budget Telmob 2011" xfId="0"/>
    <cellStyle name="_Table_TBG Onatel Février  2009  Vtbg V3_Commentaires TBG mars_Copie de Flash du mois d' avril 2009 corrigé par NAIMI_Reporting Onatel Mai 2009 V 0" xfId="0"/>
    <cellStyle name="_Table_TBG Onatel Février  2009  Vtbg V3_Commentaires TBG mars_Copie de Flash du mois d' avril 2009 corrigé par NAIMI_Reporting Onatel Mai 2009 V 0_Budget Telmob 2011" xfId="0"/>
    <cellStyle name="_Table_TBG Onatel Février  2009  Vtbg V3_Commentaires TBG mars_Copie de Flash du mois d' avril 2009 corrigé par NAIMI_Reporting Onatel Mai 2009 V 0_Flash du mois de septembre 2009 (2) (version 1)" xfId="0"/>
    <cellStyle name="_Table_TBG Onatel Février  2009  Vtbg V3_Commentaires TBG mars_Copie de Flash du mois d' avril 2009 corrigé par NAIMI_Reporting Onatel Mai 2009 V 0_Flash du mois de septembre 2009 (2) (version 1)_Budget Telmob 2011" xfId="0"/>
    <cellStyle name="_Table_TBG Onatel Février  2009  Vtbg V3_Commentaires TBG mars_Copie de Flash du mois d' avril 2009 corrigé par NAIMI_Reporting Onatel Mai 2009 V 0_Reporting Onatel septembre  2009 préparé" xfId="0"/>
    <cellStyle name="_Table_TBG Onatel Février  2009  Vtbg V3_Commentaires TBG mars_Copie de Flash du mois d' avril 2009 corrigé par NAIMI_Reporting Onatel Mai 2009 V 0_Reporting Onatel septembre  2009 préparé_Budget Telmob 2011" xfId="0"/>
    <cellStyle name="_Table_TBG Onatel Février  2009  Vtbg V3_Commentaires TBG mars_Copie de Flash du mois d' avril 2009 corrigé par NAIMI_Reporting Onatel septembre  2009 préparé" xfId="0"/>
    <cellStyle name="_Table_TBG Onatel Février  2009  Vtbg V3_Commentaires TBG mars_Copie de Flash du mois d' avril 2009 corrigé par NAIMI_Reporting Onatel septembre  2009 préparé_Budget Telmob 2011" xfId="0"/>
    <cellStyle name="_Table_TBG Onatel Février  2009  Vtbg V3_Commentaires TBG mars_Flash du mois d' avril 2009" xfId="0"/>
    <cellStyle name="_Table_TBG Onatel Février  2009  Vtbg V3_Commentaires TBG mars_Flash du mois d' avril 2009_Budget Telmob 2011" xfId="0"/>
    <cellStyle name="_Table_TBG Onatel Février  2009  Vtbg V3_Commentaires TBG mars_Flash du mois d' avril 2009_Flash du mois de mai 2009" xfId="0"/>
    <cellStyle name="_Table_TBG Onatel Février  2009  Vtbg V3_Commentaires TBG mars_Flash du mois d' avril 2009_Flash du mois de mai 2009_Budget Telmob 2011" xfId="0"/>
    <cellStyle name="_Table_TBG Onatel Février  2009  Vtbg V3_Commentaires TBG mars_Flash du mois d' avril 2009_Flash du mois de septembre 2009 (2) (version 1)" xfId="0"/>
    <cellStyle name="_Table_TBG Onatel Février  2009  Vtbg V3_Commentaires TBG mars_Flash du mois d' avril 2009_Flash du mois de septembre 2009 (2) (version 1)_Budget Telmob 2011" xfId="0"/>
    <cellStyle name="_Table_TBG Onatel Février  2009  Vtbg V3_Commentaires TBG mars_Flash du mois d' avril 2009_Reporting Onatel Mai 2009 V 0" xfId="0"/>
    <cellStyle name="_Table_TBG Onatel Février  2009  Vtbg V3_Commentaires TBG mars_Flash du mois d' avril 2009_Reporting Onatel Mai 2009 V 0_Budget Telmob 2011" xfId="0"/>
    <cellStyle name="_Table_TBG Onatel Février  2009  Vtbg V3_Commentaires TBG mars_Flash du mois d' avril 2009_Reporting Onatel septembre  2009 préparé" xfId="0"/>
    <cellStyle name="_Table_TBG Onatel Février  2009  Vtbg V3_Commentaires TBG mars_Flash du mois d' avril 2009_Reporting Onatel septembre  2009 préparé_Budget Telmob 2011" xfId="0"/>
    <cellStyle name="_Table_TBG Onatel Février  2009  Vtbg V3_Commentaires TBG mars_Flash du mois de mai 2009" xfId="0"/>
    <cellStyle name="_Table_TBG Onatel Février  2009  Vtbg V3_Commentaires TBG mars_Flash du mois de mai 2009_Budget Telmob 2011" xfId="0"/>
    <cellStyle name="_Table_TBG Onatel Février  2009  Vtbg V3_Commentaires TBG mars_Flash du mois de septembre 2009 (2) (version 1)" xfId="0"/>
    <cellStyle name="_Table_TBG Onatel Février  2009  Vtbg V3_Commentaires TBG mars_Flash du mois de septembre 2009 (2) (version 1)_Budget Telmob 2011" xfId="0"/>
    <cellStyle name="_Table_TBG Onatel Février  2009  Vtbg V3_Commentaires TBG mars_Reporting Onatel Mai 2009 V 0" xfId="0"/>
    <cellStyle name="_Table_TBG Onatel Février  2009  Vtbg V3_Commentaires TBG mars_Reporting Onatel Mai 2009 V 0_Budget Telmob 2011" xfId="0"/>
    <cellStyle name="_Table_TBG Onatel Février  2009  Vtbg V3_Commentaires TBG mars_Reporting Onatel septembre  2009 préparé" xfId="0"/>
    <cellStyle name="_Table_TBG Onatel Février  2009  Vtbg V3_Commentaires TBG mars_Reporting Onatel septembre  2009 préparé_Budget Telmob 2011" xfId="0"/>
    <cellStyle name="_Table_TBG Onatel Février  2009  Vtbg V3_Copie de Flash du mois d' avril 2009 corrigé par NAIMI" xfId="0"/>
    <cellStyle name="_Table_TBG Onatel Février  2009  Vtbg V3_Copie de Flash du mois d' avril 2009 corrigé par NAIMI_Budget Telmob 2011" xfId="0"/>
    <cellStyle name="_Table_TBG Onatel Février  2009  Vtbg V3_Copie de Flash du mois d' avril 2009 corrigé par NAIMI_Flash du mois de mai 2009" xfId="0"/>
    <cellStyle name="_Table_TBG Onatel Février  2009  Vtbg V3_Copie de Flash du mois d' avril 2009 corrigé par NAIMI_Flash du mois de mai 2009_Budget Telmob 2011" xfId="0"/>
    <cellStyle name="_Table_TBG Onatel Février  2009  Vtbg V3_Copie de Flash du mois d' avril 2009 corrigé par NAIMI_Flash du mois de septembre 2009 (2) (version 1)" xfId="0"/>
    <cellStyle name="_Table_TBG Onatel Février  2009  Vtbg V3_Copie de Flash du mois d' avril 2009 corrigé par NAIMI_Flash du mois de septembre 2009 (2) (version 1)_Budget Telmob 2011" xfId="0"/>
    <cellStyle name="_Table_TBG Onatel Février  2009  Vtbg V3_Copie de Flash du mois d' avril 2009 corrigé par NAIMI_Reporting Onatel Mai 2009 V 0" xfId="0"/>
    <cellStyle name="_Table_TBG Onatel Février  2009  Vtbg V3_Copie de Flash du mois d' avril 2009 corrigé par NAIMI_Reporting Onatel Mai 2009 V 0_Budget Telmob 2011" xfId="0"/>
    <cellStyle name="_Table_TBG Onatel Février  2009  Vtbg V3_Copie de Flash du mois d' avril 2009 corrigé par NAIMI_Reporting Onatel Mai 2009 V 0_Flash du mois de septembre 2009 (2) (version 1)" xfId="0"/>
    <cellStyle name="_Table_TBG Onatel Février  2009  Vtbg V3_Copie de Flash du mois d' avril 2009 corrigé par NAIMI_Reporting Onatel Mai 2009 V 0_Flash du mois de septembre 2009 (2) (version 1)_Budget Telmob 2011" xfId="0"/>
    <cellStyle name="_Table_TBG Onatel Février  2009  Vtbg V3_Copie de Flash du mois d' avril 2009 corrigé par NAIMI_Reporting Onatel Mai 2009 V 0_Reporting Onatel septembre  2009 préparé" xfId="0"/>
    <cellStyle name="_Table_TBG Onatel Février  2009  Vtbg V3_Copie de Flash du mois d' avril 2009 corrigé par NAIMI_Reporting Onatel Mai 2009 V 0_Reporting Onatel septembre  2009 préparé_Budget Telmob 2011" xfId="0"/>
    <cellStyle name="_Table_TBG Onatel Février  2009  Vtbg V3_Copie de Flash du mois d' avril 2009 corrigé par NAIMI_Reporting Onatel septembre  2009 préparé" xfId="0"/>
    <cellStyle name="_Table_TBG Onatel Février  2009  Vtbg V3_Copie de Flash du mois d' avril 2009 corrigé par NAIMI_Reporting Onatel septembre  2009 préparé_Budget Telmob 2011" xfId="0"/>
    <cellStyle name="_Table_TBG Onatel Février  2009  Vtbg V3_Flash du mois d' avril 2009" xfId="0"/>
    <cellStyle name="_Table_TBG Onatel Février  2009  Vtbg V3_Flash du mois d' avril 2009_Budget Telmob 2011" xfId="0"/>
    <cellStyle name="_Table_TBG Onatel Février  2009  Vtbg V3_Flash du mois d' avril 2009_Flash du mois de mai 2009" xfId="0"/>
    <cellStyle name="_Table_TBG Onatel Février  2009  Vtbg V3_Flash du mois d' avril 2009_Flash du mois de mai 2009_Budget Telmob 2011" xfId="0"/>
    <cellStyle name="_Table_TBG Onatel Février  2009  Vtbg V3_Flash du mois d' avril 2009_Flash du mois de septembre 2009 (2) (version 1)" xfId="0"/>
    <cellStyle name="_Table_TBG Onatel Février  2009  Vtbg V3_Flash du mois d' avril 2009_Flash du mois de septembre 2009 (2) (version 1)_Budget Telmob 2011" xfId="0"/>
    <cellStyle name="_Table_TBG Onatel Février  2009  Vtbg V3_Flash du mois d' avril 2009_Reporting Onatel Mai 2009 V 0" xfId="0"/>
    <cellStyle name="_Table_TBG Onatel Février  2009  Vtbg V3_Flash du mois d' avril 2009_Reporting Onatel Mai 2009 V 0_Budget Telmob 2011" xfId="0"/>
    <cellStyle name="_Table_TBG Onatel Février  2009  Vtbg V3_Flash du mois d' avril 2009_Reporting Onatel septembre  2009 préparé" xfId="0"/>
    <cellStyle name="_Table_TBG Onatel Février  2009  Vtbg V3_Flash du mois d' avril 2009_Reporting Onatel septembre  2009 préparé_Budget Telmob 2011" xfId="0"/>
    <cellStyle name="_Table_TBG Onatel Février  2009  Vtbg V3_Flash du mois de mai 2009" xfId="0"/>
    <cellStyle name="_Table_TBG Onatel Février  2009  Vtbg V3_Flash du mois de mai 2009_Budget Telmob 2011" xfId="0"/>
    <cellStyle name="_Table_TBG Onatel Février  2009  Vtbg V3_Flash du mois de septembre 2009 (2) (version 1)" xfId="0"/>
    <cellStyle name="_Table_TBG Onatel Février  2009  Vtbg V3_Flash du mois de septembre 2009 (2) (version 1)_Budget Telmob 2011" xfId="0"/>
    <cellStyle name="_Table_TBG Onatel Février  2009  Vtbg V3_Reporting Onatel Mai 2009 V 0" xfId="0"/>
    <cellStyle name="_Table_TBG Onatel Février  2009  Vtbg V3_Reporting Onatel Mai 2009 V 0_Budget Telmob 2011" xfId="0"/>
    <cellStyle name="_Table_TBG Onatel Février  2009  Vtbg V3_Reporting Onatel septembre  2009 préparé" xfId="0"/>
    <cellStyle name="_Table_TBG Onatel Février  2009  Vtbg V3_Reporting Onatel septembre  2009 préparé_Budget Telmob 2011" xfId="0"/>
    <cellStyle name="_Table_USA Ownership" xfId="0"/>
    <cellStyle name="_Table_USA Ownership 2" xfId="0"/>
    <cellStyle name="_Table_USA Ownership 2 2" xfId="0"/>
    <cellStyle name="_Table_USA Ownership 3" xfId="0"/>
    <cellStyle name="_Table_USA Ownership_Budget Telmob 2011" xfId="0"/>
    <cellStyle name="_Table_USA Ownership_Budget Telmob 2011 2" xfId="0"/>
    <cellStyle name="_Table_USA Ownership_Budget Telmob 2011 2 2" xfId="0"/>
    <cellStyle name="_Table_USA Ownership_Budget Telmob 2011 3" xfId="0"/>
    <cellStyle name="_Table_USA Ownership_commentaires fixe  internet Déc 08" xfId="0"/>
    <cellStyle name="_Table_USA Ownership_commentaires fixe  internet Déc 08 2" xfId="0"/>
    <cellStyle name="_Table_USA Ownership_commentaires fixe  internet Déc 08 2 2" xfId="0"/>
    <cellStyle name="_Table_USA Ownership_commentaires fixe  internet Déc 08 3" xfId="0"/>
    <cellStyle name="_Table_USA Ownership_commentaires fixe  internet Déc 08_Budget Telmob 2011" xfId="0"/>
    <cellStyle name="_Table_USA Ownership_commentaires fixe  internet Déc 08_Budget Telmob 2011 2" xfId="0"/>
    <cellStyle name="_Table_USA Ownership_commentaires fixe  internet Déc 08_Budget Telmob 2011 2 2" xfId="0"/>
    <cellStyle name="_Table_USA Ownership_commentaires fixe  internet Déc 08_Budget Telmob 2011 3" xfId="0"/>
    <cellStyle name="_Table_USA Ownership_commentaires fixe  internet Déc 08_Commentaires TBG mars" xfId="0"/>
    <cellStyle name="_Table_USA Ownership_commentaires fixe  internet Déc 08_Commentaires TBG mars 2" xfId="0"/>
    <cellStyle name="_Table_USA Ownership_commentaires fixe  internet Déc 08_Commentaires TBG mars 2 2" xfId="0"/>
    <cellStyle name="_Table_USA Ownership_commentaires fixe  internet Déc 08_Commentaires TBG mars 3" xfId="0"/>
    <cellStyle name="_Table_USA Ownership_commentaires fixe  internet Déc 08_Commentaires TBG mars_Budget Telmob 2011" xfId="0"/>
    <cellStyle name="_Table_USA Ownership_commentaires fixe  internet Déc 08_Commentaires TBG mars_Budget Telmob 2011 2" xfId="0"/>
    <cellStyle name="_Table_USA Ownership_commentaires fixe  internet Déc 08_Commentaires TBG mars_Budget Telmob 2011 2 2" xfId="0"/>
    <cellStyle name="_Table_USA Ownership_commentaires fixe  internet Déc 08_Commentaires TBG mars_Budget Telmob 2011 3" xfId="0"/>
    <cellStyle name="_Table_USA Ownership_commentaires fixe  internet Déc 08_Commentaires TBG mars_Copie de Flash du mois d' avril 2009 corrigé par NAIMI" xfId="0"/>
    <cellStyle name="_Table_USA Ownership_commentaires fixe  internet Déc 08_Commentaires TBG mars_Copie de Flash du mois d' avril 2009 corrigé par NAIMI 2" xfId="0"/>
    <cellStyle name="_Table_USA Ownership_commentaires fixe  internet Déc 08_Commentaires TBG mars_Copie de Flash du mois d' avril 2009 corrigé par NAIMI 2 2" xfId="0"/>
    <cellStyle name="_Table_USA Ownership_commentaires fixe  internet Déc 08_Commentaires TBG mars_Copie de Flash du mois d' avril 2009 corrigé par NAIMI 3" xfId="0"/>
    <cellStyle name="_Table_USA Ownership_commentaires fixe  internet Déc 08_Commentaires TBG mars_Copie de Flash du mois d' avril 2009 corrigé par NAIMI_Budget Telmob 2011" xfId="0"/>
    <cellStyle name="_Table_USA Ownership_commentaires fixe  internet Déc 08_Commentaires TBG mars_Copie de Flash du mois d' avril 2009 corrigé par NAIMI_Budget Telmob 2011 2" xfId="0"/>
    <cellStyle name="_Table_USA Ownership_commentaires fixe  internet Déc 08_Commentaires TBG mars_Copie de Flash du mois d' avril 2009 corrigé par NAIMI_Budget Telmob 2011 2 2" xfId="0"/>
    <cellStyle name="_Table_USA Ownership_commentaires fixe  internet Déc 08_Commentaires TBG mars_Copie de Flash du mois d' avril 2009 corrigé par NAIMI_Budget Telmob 2011 3" xfId="0"/>
    <cellStyle name="_Table_USA Ownership_commentaires fixe  internet Déc 08_Commentaires TBG mars_Copie de Flash du mois d' avril 2009 corrigé par NAIMI_Flash du mois de mai 2009" xfId="0"/>
    <cellStyle name="_Table_USA Ownership_commentaires fixe  internet Déc 08_Commentaires TBG mars_Copie de Flash du mois d' avril 2009 corrigé par NAIMI_Flash du mois de mai 2009 2" xfId="0"/>
    <cellStyle name="_Table_USA Ownership_commentaires fixe  internet Déc 08_Commentaires TBG mars_Copie de Flash du mois d' avril 2009 corrigé par NAIMI_Flash du mois de mai 2009 2 2" xfId="0"/>
    <cellStyle name="_Table_USA Ownership_commentaires fixe  internet Déc 08_Commentaires TBG mars_Copie de Flash du mois d' avril 2009 corrigé par NAIMI_Flash du mois de mai 2009 3" xfId="0"/>
    <cellStyle name="_Table_USA Ownership_commentaires fixe  internet Déc 08_Commentaires TBG mars_Copie de Flash du mois d' avril 2009 corrigé par NAIMI_Flash du mois de mai 2009_Budget Telmob 2011" xfId="0"/>
    <cellStyle name="_Table_USA Ownership_commentaires fixe  internet Déc 08_Commentaires TBG mars_Copie de Flash du mois d' avril 2009 corrigé par NAIMI_Flash du mois de mai 2009_Budget Telmob 2011 2" xfId="0"/>
    <cellStyle name="_Table_USA Ownership_commentaires fixe  internet Déc 08_Commentaires TBG mars_Copie de Flash du mois d' avril 2009 corrigé par NAIMI_Flash du mois de mai 2009_Budget Telmob 2011 2 2" xfId="0"/>
    <cellStyle name="_Table_USA Ownership_commentaires fixe  internet Déc 08_Commentaires TBG mars_Copie de Flash du mois d' avril 2009 corrigé par NAIMI_Flash du mois de mai 2009_Budget Telmob 2011 3" xfId="0"/>
    <cellStyle name="_Table_USA Ownership_commentaires fixe  internet Déc 08_Commentaires TBG mars_Copie de Flash du mois d' avril 2009 corrigé par NAIMI_Flash du mois de septembre 2009 (2) (version 1)" xfId="0"/>
    <cellStyle name="_Table_USA Ownership_commentaires fixe  internet Déc 08_Commentaires TBG mars_Copie de Flash du mois d' avril 2009 corrigé par NAIMI_Flash du mois de septembre 2009 (2) (version 1) 2" xfId="0"/>
    <cellStyle name="_Table_USA Ownership_commentaires fixe  internet Déc 08_Commentaires TBG mars_Copie de Flash du mois d' avril 2009 corrigé par NAIMI_Flash du mois de septembre 2009 (2) (version 1) 2 2" xfId="0"/>
    <cellStyle name="_Table_USA Ownership_commentaires fixe  internet Déc 08_Commentaires TBG mars_Copie de Flash du mois d' avril 2009 corrigé par NAIMI_Flash du mois de septembre 2009 (2) (version 1) 3" xfId="0"/>
    <cellStyle name="_Table_USA Ownership_commentaires fixe  internet Déc 08_Commentaires TBG mars_Copie de Flash du mois d' avril 2009 corrigé par NAIMI_Flash du mois de septembre 2009 (2) (version 1)_Budget Telmob 2011" xfId="0"/>
    <cellStyle name="_Table_USA Ownership_commentaires fixe  internet Déc 08_Commentaires TBG mars_Copie de Flash du mois d' avril 2009 corrigé par NAIMI_Flash du mois de septembre 2009 (2) (version 1)_Budget Telmob 2011 2" xfId="0"/>
    <cellStyle name="_Table_USA Ownership_commentaires fixe  internet Déc 08_Commentaires TBG mars_Copie de Flash du mois d' avril 2009 corrigé par NAIMI_Flash du mois de septembre 2009 (2) (version 1)_Budget Telmob 2011 2 2" xfId="0"/>
    <cellStyle name="_Table_USA Ownership_commentaires fixe  internet Déc 08_Commentaires TBG mars_Copie de Flash du mois d' avril 2009 corrigé par NAIMI_Flash du mois de septembre 2009 (2) (version 1)_Budget Telmob 2011 3" xfId="0"/>
    <cellStyle name="_Table_USA Ownership_commentaires fixe  internet Déc 08_Commentaires TBG mars_Copie de Flash du mois d' avril 2009 corrigé par NAIMI_Reporting Onatel Mai 2009 V 0" xfId="0"/>
    <cellStyle name="_Table_USA Ownership_commentaires fixe  internet Déc 08_Commentaires TBG mars_Copie de Flash du mois d' avril 2009 corrigé par NAIMI_Reporting Onatel Mai 2009 V 0 2" xfId="0"/>
    <cellStyle name="_Table_USA Ownership_commentaires fixe  internet Déc 08_Commentaires TBG mars_Copie de Flash du mois d' avril 2009 corrigé par NAIMI_Reporting Onatel Mai 2009 V 0 2 2" xfId="0"/>
    <cellStyle name="_Table_USA Ownership_commentaires fixe  internet Déc 08_Commentaires TBG mars_Copie de Flash du mois d' avril 2009 corrigé par NAIMI_Reporting Onatel Mai 2009 V 0 3" xfId="0"/>
    <cellStyle name="_Table_USA Ownership_commentaires fixe  internet Déc 08_Commentaires TBG mars_Copie de Flash du mois d' avril 2009 corrigé par NAIMI_Reporting Onatel Mai 2009 V 0_Budget Telmob 2011" xfId="0"/>
    <cellStyle name="_Table_USA Ownership_commentaires fixe  internet Déc 08_Commentaires TBG mars_Copie de Flash du mois d' avril 2009 corrigé par NAIMI_Reporting Onatel Mai 2009 V 0_Budget Telmob 2011 2" xfId="0"/>
    <cellStyle name="_Table_USA Ownership_commentaires fixe  internet Déc 08_Commentaires TBG mars_Copie de Flash du mois d' avril 2009 corrigé par NAIMI_Reporting Onatel Mai 2009 V 0_Budget Telmob 2011 2 2" xfId="0"/>
    <cellStyle name="_Table_USA Ownership_commentaires fixe  internet Déc 08_Commentaires TBG mars_Copie de Flash du mois d' avril 2009 corrigé par NAIMI_Reporting Onatel Mai 2009 V 0_Budget Telmob 2011 3" xfId="0"/>
    <cellStyle name="_Table_USA Ownership_commentaires fixe  internet Déc 08_Commentaires TBG mars_Copie de Flash du mois d' avril 2009 corrigé par NAIMI_Reporting Onatel Mai 2009 V 0_Flash du mois de septembre 2009 (2) (version 1)" xfId="0"/>
    <cellStyle name="_Table_USA Ownership_commentaires fixe  internet Déc 08_Commentaires TBG mars_Copie de Flash du mois d' avril 2009 corrigé par NAIMI_Reporting Onatel Mai 2009 V 0_Flash du mois de septembre 2009 (2) (version 1) 2" xfId="0"/>
    <cellStyle name="_Table_USA Ownership_commentaires fixe  internet Déc 08_Commentaires TBG mars_Copie de Flash du mois d' avril 2009 corrigé par NAIMI_Reporting Onatel Mai 2009 V 0_Flash du mois de septembre 2009 (2) (version 1) 2 2" xfId="0"/>
    <cellStyle name="_Table_USA Ownership_commentaires fixe  internet Déc 08_Commentaires TBG mars_Copie de Flash du mois d' avril 2009 corrigé par NAIMI_Reporting Onatel Mai 2009 V 0_Flash du mois de septembre 2009 (2) (version 1) 3" xfId="0"/>
    <cellStyle name="_Table_USA Ownership_commentaires fixe  internet Déc 08_Commentaires TBG mars_Copie de Flash du mois d' avril 2009 corrigé par NAIMI_Reporting Onatel Mai 2009 V 0_Flash du mois de septembre 2009 (2) (version 1)_Budget Telmob 2011" xfId="0"/>
    <cellStyle name="_Table_USA Ownership_commentaires fixe  internet Déc 08_Commentaires TBG mars_Copie de Flash du mois d' avril 2009 corrigé par NAIMI_Reporting Onatel Mai 2009 V 0_Flash du mois de septembre 2009 (2) (version 1)_Budget Telmob 2011 2" xfId="0"/>
    <cellStyle name="_Table_USA Ownership_commentaires fixe  internet Déc 08_Commentaires TBG mars_Copie de Flash du mois d' avril 2009 corrigé par NAIMI_Reporting Onatel Mai 2009 V 0_Flash du mois de septembre 2009 (2) (version 1)_Budget Telmob 2011 2 2" xfId="0"/>
    <cellStyle name="_Table_USA Ownership_commentaires fixe  internet Déc 08_Commentaires TBG mars_Copie de Flash du mois d' avril 2009 corrigé par NAIMI_Reporting Onatel Mai 2009 V 0_Flash du mois de septembre 2009 (2) (version 1)_Budget Telmob 2011 3" xfId="0"/>
    <cellStyle name="_Table_USA Ownership_commentaires fixe  internet Déc 08_Commentaires TBG mars_Copie de Flash du mois d' avril 2009 corrigé par NAIMI_Reporting Onatel Mai 2009 V 0_Reporting Onatel septembre  2009 préparé" xfId="0"/>
    <cellStyle name="_Table_USA Ownership_commentaires fixe  internet Déc 08_Commentaires TBG mars_Copie de Flash du mois d' avril 2009 corrigé par NAIMI_Reporting Onatel Mai 2009 V 0_Reporting Onatel septembre  2009 préparé 2" xfId="0"/>
    <cellStyle name="_Table_USA Ownership_commentaires fixe  internet Déc 08_Commentaires TBG mars_Copie de Flash du mois d' avril 2009 corrigé par NAIMI_Reporting Onatel Mai 2009 V 0_Reporting Onatel septembre  2009 préparé 2 2" xfId="0"/>
    <cellStyle name="_Table_USA Ownership_commentaires fixe  internet Déc 08_Commentaires TBG mars_Copie de Flash du mois d' avril 2009 corrigé par NAIMI_Reporting Onatel Mai 2009 V 0_Reporting Onatel septembre  2009 préparé 3" xfId="0"/>
    <cellStyle name="_Table_USA Ownership_commentaires fixe  internet Déc 08_Commentaires TBG mars_Copie de Flash du mois d' avril 2009 corrigé par NAIMI_Reporting Onatel Mai 2009 V 0_Reporting Onatel septembre  2009 préparé_Budget Telmob 2011" xfId="0"/>
    <cellStyle name="_Table_USA Ownership_commentaires fixe  internet Déc 08_Commentaires TBG mars_Copie de Flash du mois d' avril 2009 corrigé par NAIMI_Reporting Onatel Mai 2009 V 0_Reporting Onatel septembre  2009 préparé_Budget Telmob 2011 2" xfId="0"/>
    <cellStyle name="_Table_USA Ownership_commentaires fixe  internet Déc 08_Commentaires TBG mars_Copie de Flash du mois d' avril 2009 corrigé par NAIMI_Reporting Onatel Mai 2009 V 0_Reporting Onatel septembre  2009 préparé_Budget Telmob 2011 2 2" xfId="0"/>
    <cellStyle name="_Table_USA Ownership_commentaires fixe  internet Déc 08_Commentaires TBG mars_Copie de Flash du mois d' avril 2009 corrigé par NAIMI_Reporting Onatel Mai 2009 V 0_Reporting Onatel septembre  2009 préparé_Budget Telmob 2011 3" xfId="0"/>
    <cellStyle name="_Table_USA Ownership_commentaires fixe  internet Déc 08_Commentaires TBG mars_Copie de Flash du mois d' avril 2009 corrigé par NAIMI_Reporting Onatel septembre  2009 préparé" xfId="0"/>
    <cellStyle name="_Table_USA Ownership_commentaires fixe  internet Déc 08_Commentaires TBG mars_Copie de Flash du mois d' avril 2009 corrigé par NAIMI_Reporting Onatel septembre  2009 préparé 2" xfId="0"/>
    <cellStyle name="_Table_USA Ownership_commentaires fixe  internet Déc 08_Commentaires TBG mars_Copie de Flash du mois d' avril 2009 corrigé par NAIMI_Reporting Onatel septembre  2009 préparé 2 2" xfId="0"/>
    <cellStyle name="_Table_USA Ownership_commentaires fixe  internet Déc 08_Commentaires TBG mars_Copie de Flash du mois d' avril 2009 corrigé par NAIMI_Reporting Onatel septembre  2009 préparé 3" xfId="0"/>
    <cellStyle name="_Table_USA Ownership_commentaires fixe  internet Déc 08_Commentaires TBG mars_Copie de Flash du mois d' avril 2009 corrigé par NAIMI_Reporting Onatel septembre  2009 préparé_Budget Telmob 2011" xfId="0"/>
    <cellStyle name="_Table_USA Ownership_commentaires fixe  internet Déc 08_Commentaires TBG mars_Copie de Flash du mois d' avril 2009 corrigé par NAIMI_Reporting Onatel septembre  2009 préparé_Budget Telmob 2011 2" xfId="0"/>
    <cellStyle name="_Table_USA Ownership_commentaires fixe  internet Déc 08_Commentaires TBG mars_Copie de Flash du mois d' avril 2009 corrigé par NAIMI_Reporting Onatel septembre  2009 préparé_Budget Telmob 2011 2 2" xfId="0"/>
    <cellStyle name="_Table_USA Ownership_commentaires fixe  internet Déc 08_Commentaires TBG mars_Copie de Flash du mois d' avril 2009 corrigé par NAIMI_Reporting Onatel septembre  2009 préparé_Budget Telmob 2011 3" xfId="0"/>
    <cellStyle name="_Table_USA Ownership_commentaires fixe  internet Déc 08_Commentaires TBG mars_Flash du mois d' avril 2009" xfId="0"/>
    <cellStyle name="_Table_USA Ownership_commentaires fixe  internet Déc 08_Commentaires TBG mars_Flash du mois d' avril 2009 2" xfId="0"/>
    <cellStyle name="_Table_USA Ownership_commentaires fixe  internet Déc 08_Commentaires TBG mars_Flash du mois d' avril 2009 2 2" xfId="0"/>
    <cellStyle name="_Table_USA Ownership_commentaires fixe  internet Déc 08_Commentaires TBG mars_Flash du mois d' avril 2009 3" xfId="0"/>
    <cellStyle name="_Table_USA Ownership_commentaires fixe  internet Déc 08_Commentaires TBG mars_Flash du mois d' avril 2009_Budget Telmob 2011" xfId="0"/>
    <cellStyle name="_Table_USA Ownership_commentaires fixe  internet Déc 08_Commentaires TBG mars_Flash du mois d' avril 2009_Budget Telmob 2011 2" xfId="0"/>
    <cellStyle name="_Table_USA Ownership_commentaires fixe  internet Déc 08_Commentaires TBG mars_Flash du mois d' avril 2009_Budget Telmob 2011 2 2" xfId="0"/>
    <cellStyle name="_Table_USA Ownership_commentaires fixe  internet Déc 08_Commentaires TBG mars_Flash du mois d' avril 2009_Budget Telmob 2011 3" xfId="0"/>
    <cellStyle name="_Table_USA Ownership_commentaires fixe  internet Déc 08_Commentaires TBG mars_Flash du mois d' avril 2009_Flash du mois de mai 2009" xfId="0"/>
    <cellStyle name="_Table_USA Ownership_commentaires fixe  internet Déc 08_Commentaires TBG mars_Flash du mois d' avril 2009_Flash du mois de mai 2009 2" xfId="0"/>
    <cellStyle name="_Table_USA Ownership_commentaires fixe  internet Déc 08_Commentaires TBG mars_Flash du mois d' avril 2009_Flash du mois de mai 2009 2 2" xfId="0"/>
    <cellStyle name="_Table_USA Ownership_commentaires fixe  internet Déc 08_Commentaires TBG mars_Flash du mois d' avril 2009_Flash du mois de mai 2009 3" xfId="0"/>
    <cellStyle name="_Table_USA Ownership_commentaires fixe  internet Déc 08_Commentaires TBG mars_Flash du mois d' avril 2009_Flash du mois de mai 2009_Budget Telmob 2011" xfId="0"/>
    <cellStyle name="_Table_USA Ownership_commentaires fixe  internet Déc 08_Commentaires TBG mars_Flash du mois d' avril 2009_Flash du mois de mai 2009_Budget Telmob 2011 2" xfId="0"/>
    <cellStyle name="_Table_USA Ownership_commentaires fixe  internet Déc 08_Commentaires TBG mars_Flash du mois d' avril 2009_Flash du mois de mai 2009_Budget Telmob 2011 2 2" xfId="0"/>
    <cellStyle name="_Table_USA Ownership_commentaires fixe  internet Déc 08_Commentaires TBG mars_Flash du mois d' avril 2009_Flash du mois de mai 2009_Budget Telmob 2011 3" xfId="0"/>
    <cellStyle name="_Table_USA Ownership_commentaires fixe  internet Déc 08_Commentaires TBG mars_Flash du mois d' avril 2009_Flash du mois de septembre 2009 (2) (version 1)" xfId="0"/>
    <cellStyle name="_Table_USA Ownership_commentaires fixe  internet Déc 08_Commentaires TBG mars_Flash du mois d' avril 2009_Flash du mois de septembre 2009 (2) (version 1) 2" xfId="0"/>
    <cellStyle name="_Table_USA Ownership_commentaires fixe  internet Déc 08_Commentaires TBG mars_Flash du mois d' avril 2009_Flash du mois de septembre 2009 (2) (version 1) 2 2" xfId="0"/>
    <cellStyle name="_Table_USA Ownership_commentaires fixe  internet Déc 08_Commentaires TBG mars_Flash du mois d' avril 2009_Flash du mois de septembre 2009 (2) (version 1) 3" xfId="0"/>
    <cellStyle name="_Table_USA Ownership_commentaires fixe  internet Déc 08_Commentaires TBG mars_Flash du mois d' avril 2009_Flash du mois de septembre 2009 (2) (version 1)_Budget Telmob 2011" xfId="0"/>
    <cellStyle name="_Table_USA Ownership_commentaires fixe  internet Déc 08_Commentaires TBG mars_Flash du mois d' avril 2009_Flash du mois de septembre 2009 (2) (version 1)_Budget Telmob 2011 2" xfId="0"/>
    <cellStyle name="_Table_USA Ownership_commentaires fixe  internet Déc 08_Commentaires TBG mars_Flash du mois d' avril 2009_Flash du mois de septembre 2009 (2) (version 1)_Budget Telmob 2011 2 2" xfId="0"/>
    <cellStyle name="_Table_USA Ownership_commentaires fixe  internet Déc 08_Commentaires TBG mars_Flash du mois d' avril 2009_Flash du mois de septembre 2009 (2) (version 1)_Budget Telmob 2011 3" xfId="0"/>
    <cellStyle name="_Table_USA Ownership_commentaires fixe  internet Déc 08_Commentaires TBG mars_Flash du mois d' avril 2009_Reporting Onatel Mai 2009 V 0" xfId="0"/>
    <cellStyle name="_Table_USA Ownership_commentaires fixe  internet Déc 08_Commentaires TBG mars_Flash du mois d' avril 2009_Reporting Onatel Mai 2009 V 0 2" xfId="0"/>
    <cellStyle name="_Table_USA Ownership_commentaires fixe  internet Déc 08_Commentaires TBG mars_Flash du mois d' avril 2009_Reporting Onatel Mai 2009 V 0 2 2" xfId="0"/>
    <cellStyle name="_Table_USA Ownership_commentaires fixe  internet Déc 08_Commentaires TBG mars_Flash du mois d' avril 2009_Reporting Onatel Mai 2009 V 0 3" xfId="0"/>
    <cellStyle name="_Table_USA Ownership_commentaires fixe  internet Déc 08_Commentaires TBG mars_Flash du mois d' avril 2009_Reporting Onatel Mai 2009 V 0_Budget Telmob 2011" xfId="0"/>
    <cellStyle name="_Table_USA Ownership_commentaires fixe  internet Déc 08_Commentaires TBG mars_Flash du mois d' avril 2009_Reporting Onatel Mai 2009 V 0_Budget Telmob 2011 2" xfId="0"/>
    <cellStyle name="_Table_USA Ownership_commentaires fixe  internet Déc 08_Commentaires TBG mars_Flash du mois d' avril 2009_Reporting Onatel Mai 2009 V 0_Budget Telmob 2011 2 2" xfId="0"/>
    <cellStyle name="_Table_USA Ownership_commentaires fixe  internet Déc 08_Commentaires TBG mars_Flash du mois d' avril 2009_Reporting Onatel Mai 2009 V 0_Budget Telmob 2011 3" xfId="0"/>
    <cellStyle name="_Table_USA Ownership_commentaires fixe  internet Déc 08_Commentaires TBG mars_Flash du mois d' avril 2009_Reporting Onatel septembre  2009 préparé" xfId="0"/>
    <cellStyle name="_Table_USA Ownership_commentaires fixe  internet Déc 08_Commentaires TBG mars_Flash du mois d' avril 2009_Reporting Onatel septembre  2009 préparé 2" xfId="0"/>
    <cellStyle name="_Table_USA Ownership_commentaires fixe  internet Déc 08_Commentaires TBG mars_Flash du mois d' avril 2009_Reporting Onatel septembre  2009 préparé 2 2" xfId="0"/>
    <cellStyle name="_Table_USA Ownership_commentaires fixe  internet Déc 08_Commentaires TBG mars_Flash du mois d' avril 2009_Reporting Onatel septembre  2009 préparé 3" xfId="0"/>
    <cellStyle name="_Table_USA Ownership_commentaires fixe  internet Déc 08_Commentaires TBG mars_Flash du mois d' avril 2009_Reporting Onatel septembre  2009 préparé_Budget Telmob 2011" xfId="0"/>
    <cellStyle name="_Table_USA Ownership_commentaires fixe  internet Déc 08_Commentaires TBG mars_Flash du mois d' avril 2009_Reporting Onatel septembre  2009 préparé_Budget Telmob 2011 2" xfId="0"/>
    <cellStyle name="_Table_USA Ownership_commentaires fixe  internet Déc 08_Commentaires TBG mars_Flash du mois d' avril 2009_Reporting Onatel septembre  2009 préparé_Budget Telmob 2011 2 2" xfId="0"/>
    <cellStyle name="_Table_USA Ownership_commentaires fixe  internet Déc 08_Commentaires TBG mars_Flash du mois d' avril 2009_Reporting Onatel septembre  2009 préparé_Budget Telmob 2011 3" xfId="0"/>
    <cellStyle name="_Table_USA Ownership_commentaires fixe  internet Déc 08_Commentaires TBG mars_Flash du mois de mai 2009" xfId="0"/>
    <cellStyle name="_Table_USA Ownership_commentaires fixe  internet Déc 08_Commentaires TBG mars_Flash du mois de mai 2009 2" xfId="0"/>
    <cellStyle name="_Table_USA Ownership_commentaires fixe  internet Déc 08_Commentaires TBG mars_Flash du mois de mai 2009 2 2" xfId="0"/>
    <cellStyle name="_Table_USA Ownership_commentaires fixe  internet Déc 08_Commentaires TBG mars_Flash du mois de mai 2009 3" xfId="0"/>
    <cellStyle name="_Table_USA Ownership_commentaires fixe  internet Déc 08_Commentaires TBG mars_Flash du mois de mai 2009_Budget Telmob 2011" xfId="0"/>
    <cellStyle name="_Table_USA Ownership_commentaires fixe  internet Déc 08_Commentaires TBG mars_Flash du mois de mai 2009_Budget Telmob 2011 2" xfId="0"/>
    <cellStyle name="_Table_USA Ownership_commentaires fixe  internet Déc 08_Commentaires TBG mars_Flash du mois de mai 2009_Budget Telmob 2011 2 2" xfId="0"/>
    <cellStyle name="_Table_USA Ownership_commentaires fixe  internet Déc 08_Commentaires TBG mars_Flash du mois de mai 2009_Budget Telmob 2011 3" xfId="0"/>
    <cellStyle name="_Table_USA Ownership_commentaires fixe  internet Déc 08_Commentaires TBG mars_Flash du mois de septembre 2009 (2) (version 1)" xfId="0"/>
    <cellStyle name="_Table_USA Ownership_commentaires fixe  internet Déc 08_Commentaires TBG mars_Flash du mois de septembre 2009 (2) (version 1) 2" xfId="0"/>
    <cellStyle name="_Table_USA Ownership_commentaires fixe  internet Déc 08_Commentaires TBG mars_Flash du mois de septembre 2009 (2) (version 1) 2 2" xfId="0"/>
    <cellStyle name="_Table_USA Ownership_commentaires fixe  internet Déc 08_Commentaires TBG mars_Flash du mois de septembre 2009 (2) (version 1) 3" xfId="0"/>
    <cellStyle name="_Table_USA Ownership_commentaires fixe  internet Déc 08_Commentaires TBG mars_Flash du mois de septembre 2009 (2) (version 1)_Budget Telmob 2011" xfId="0"/>
    <cellStyle name="_Table_USA Ownership_commentaires fixe  internet Déc 08_Commentaires TBG mars_Flash du mois de septembre 2009 (2) (version 1)_Budget Telmob 2011 2" xfId="0"/>
    <cellStyle name="_Table_USA Ownership_commentaires fixe  internet Déc 08_Commentaires TBG mars_Flash du mois de septembre 2009 (2) (version 1)_Budget Telmob 2011 2 2" xfId="0"/>
    <cellStyle name="_Table_USA Ownership_commentaires fixe  internet Déc 08_Commentaires TBG mars_Flash du mois de septembre 2009 (2) (version 1)_Budget Telmob 2011 3" xfId="0"/>
    <cellStyle name="_Table_USA Ownership_commentaires fixe  internet Déc 08_Commentaires TBG mars_Reporting Onatel Mai 2009 V 0" xfId="0"/>
    <cellStyle name="_Table_USA Ownership_commentaires fixe  internet Déc 08_Commentaires TBG mars_Reporting Onatel Mai 2009 V 0 2" xfId="0"/>
    <cellStyle name="_Table_USA Ownership_commentaires fixe  internet Déc 08_Commentaires TBG mars_Reporting Onatel Mai 2009 V 0 2 2" xfId="0"/>
    <cellStyle name="_Table_USA Ownership_commentaires fixe  internet Déc 08_Commentaires TBG mars_Reporting Onatel Mai 2009 V 0 3" xfId="0"/>
    <cellStyle name="_Table_USA Ownership_commentaires fixe  internet Déc 08_Commentaires TBG mars_Reporting Onatel Mai 2009 V 0_Budget Telmob 2011" xfId="0"/>
    <cellStyle name="_Table_USA Ownership_commentaires fixe  internet Déc 08_Commentaires TBG mars_Reporting Onatel Mai 2009 V 0_Budget Telmob 2011 2" xfId="0"/>
    <cellStyle name="_Table_USA Ownership_commentaires fixe  internet Déc 08_Commentaires TBG mars_Reporting Onatel Mai 2009 V 0_Budget Telmob 2011 2 2" xfId="0"/>
    <cellStyle name="_Table_USA Ownership_commentaires fixe  internet Déc 08_Commentaires TBG mars_Reporting Onatel Mai 2009 V 0_Budget Telmob 2011 3" xfId="0"/>
    <cellStyle name="_Table_USA Ownership_commentaires fixe  internet Déc 08_Commentaires TBG mars_Reporting Onatel septembre  2009 préparé" xfId="0"/>
    <cellStyle name="_Table_USA Ownership_commentaires fixe  internet Déc 08_Commentaires TBG mars_Reporting Onatel septembre  2009 préparé 2" xfId="0"/>
    <cellStyle name="_Table_USA Ownership_commentaires fixe  internet Déc 08_Commentaires TBG mars_Reporting Onatel septembre  2009 préparé 2 2" xfId="0"/>
    <cellStyle name="_Table_USA Ownership_commentaires fixe  internet Déc 08_Commentaires TBG mars_Reporting Onatel septembre  2009 préparé 3" xfId="0"/>
    <cellStyle name="_Table_USA Ownership_commentaires fixe  internet Déc 08_Commentaires TBG mars_Reporting Onatel septembre  2009 préparé_Budget Telmob 2011" xfId="0"/>
    <cellStyle name="_Table_USA Ownership_commentaires fixe  internet Déc 08_Commentaires TBG mars_Reporting Onatel septembre  2009 préparé_Budget Telmob 2011 2" xfId="0"/>
    <cellStyle name="_Table_USA Ownership_commentaires fixe  internet Déc 08_Commentaires TBG mars_Reporting Onatel septembre  2009 préparé_Budget Telmob 2011 2 2" xfId="0"/>
    <cellStyle name="_Table_USA Ownership_commentaires fixe  internet Déc 08_Commentaires TBG mars_Reporting Onatel septembre  2009 préparé_Budget Telmob 2011 3" xfId="0"/>
    <cellStyle name="_Table_USA Ownership_commentaires fixe  internet Déc 08_Copie de Flash du mois d' avril 2009 corrigé par NAIMI" xfId="0"/>
    <cellStyle name="_Table_USA Ownership_commentaires fixe  internet Déc 08_Copie de Flash du mois d' avril 2009 corrigé par NAIMI 2" xfId="0"/>
    <cellStyle name="_Table_USA Ownership_commentaires fixe  internet Déc 08_Copie de Flash du mois d' avril 2009 corrigé par NAIMI 2 2" xfId="0"/>
    <cellStyle name="_Table_USA Ownership_commentaires fixe  internet Déc 08_Copie de Flash du mois d' avril 2009 corrigé par NAIMI 3" xfId="0"/>
    <cellStyle name="_Table_USA Ownership_commentaires fixe  internet Déc 08_Copie de Flash du mois d' avril 2009 corrigé par NAIMI_Budget Telmob 2011" xfId="0"/>
    <cellStyle name="_Table_USA Ownership_commentaires fixe  internet Déc 08_Copie de Flash du mois d' avril 2009 corrigé par NAIMI_Budget Telmob 2011 2" xfId="0"/>
    <cellStyle name="_Table_USA Ownership_commentaires fixe  internet Déc 08_Copie de Flash du mois d' avril 2009 corrigé par NAIMI_Budget Telmob 2011 2 2" xfId="0"/>
    <cellStyle name="_Table_USA Ownership_commentaires fixe  internet Déc 08_Copie de Flash du mois d' avril 2009 corrigé par NAIMI_Budget Telmob 2011 3" xfId="0"/>
    <cellStyle name="_Table_USA Ownership_commentaires fixe  internet Déc 08_Copie de Flash du mois d' avril 2009 corrigé par NAIMI_Flash du mois de mai 2009" xfId="0"/>
    <cellStyle name="_Table_USA Ownership_commentaires fixe  internet Déc 08_Copie de Flash du mois d' avril 2009 corrigé par NAIMI_Flash du mois de mai 2009 2" xfId="0"/>
    <cellStyle name="_Table_USA Ownership_commentaires fixe  internet Déc 08_Copie de Flash du mois d' avril 2009 corrigé par NAIMI_Flash du mois de mai 2009 2 2" xfId="0"/>
    <cellStyle name="_Table_USA Ownership_commentaires fixe  internet Déc 08_Copie de Flash du mois d' avril 2009 corrigé par NAIMI_Flash du mois de mai 2009 3" xfId="0"/>
    <cellStyle name="_Table_USA Ownership_commentaires fixe  internet Déc 08_Copie de Flash du mois d' avril 2009 corrigé par NAIMI_Flash du mois de mai 2009_Budget Telmob 2011" xfId="0"/>
    <cellStyle name="_Table_USA Ownership_commentaires fixe  internet Déc 08_Copie de Flash du mois d' avril 2009 corrigé par NAIMI_Flash du mois de mai 2009_Budget Telmob 2011 2" xfId="0"/>
    <cellStyle name="_Table_USA Ownership_commentaires fixe  internet Déc 08_Copie de Flash du mois d' avril 2009 corrigé par NAIMI_Flash du mois de mai 2009_Budget Telmob 2011 2 2" xfId="0"/>
    <cellStyle name="_Table_USA Ownership_commentaires fixe  internet Déc 08_Copie de Flash du mois d' avril 2009 corrigé par NAIMI_Flash du mois de mai 2009_Budget Telmob 2011 3" xfId="0"/>
    <cellStyle name="_Table_USA Ownership_commentaires fixe  internet Déc 08_Copie de Flash du mois d' avril 2009 corrigé par NAIMI_Flash du mois de septembre 2009 (2) (version 1)" xfId="0"/>
    <cellStyle name="_Table_USA Ownership_commentaires fixe  internet Déc 08_Copie de Flash du mois d' avril 2009 corrigé par NAIMI_Flash du mois de septembre 2009 (2) (version 1) 2" xfId="0"/>
    <cellStyle name="_Table_USA Ownership_commentaires fixe  internet Déc 08_Copie de Flash du mois d' avril 2009 corrigé par NAIMI_Flash du mois de septembre 2009 (2) (version 1) 2 2" xfId="0"/>
    <cellStyle name="_Table_USA Ownership_commentaires fixe  internet Déc 08_Copie de Flash du mois d' avril 2009 corrigé par NAIMI_Flash du mois de septembre 2009 (2) (version 1) 3" xfId="0"/>
    <cellStyle name="_Table_USA Ownership_commentaires fixe  internet Déc 08_Copie de Flash du mois d' avril 2009 corrigé par NAIMI_Flash du mois de septembre 2009 (2) (version 1)_Budget Telmob 2011" xfId="0"/>
    <cellStyle name="_Table_USA Ownership_commentaires fixe  internet Déc 08_Copie de Flash du mois d' avril 2009 corrigé par NAIMI_Flash du mois de septembre 2009 (2) (version 1)_Budget Telmob 2011 2" xfId="0"/>
    <cellStyle name="_Table_USA Ownership_commentaires fixe  internet Déc 08_Copie de Flash du mois d' avril 2009 corrigé par NAIMI_Flash du mois de septembre 2009 (2) (version 1)_Budget Telmob 2011 2 2" xfId="0"/>
    <cellStyle name="_Table_USA Ownership_commentaires fixe  internet Déc 08_Copie de Flash du mois d' avril 2009 corrigé par NAIMI_Flash du mois de septembre 2009 (2) (version 1)_Budget Telmob 2011 3" xfId="0"/>
    <cellStyle name="_Table_USA Ownership_commentaires fixe  internet Déc 08_Copie de Flash du mois d' avril 2009 corrigé par NAIMI_Reporting Onatel Mai 2009 V 0" xfId="0"/>
    <cellStyle name="_Table_USA Ownership_commentaires fixe  internet Déc 08_Copie de Flash du mois d' avril 2009 corrigé par NAIMI_Reporting Onatel Mai 2009 V 0 2" xfId="0"/>
    <cellStyle name="_Table_USA Ownership_commentaires fixe  internet Déc 08_Copie de Flash du mois d' avril 2009 corrigé par NAIMI_Reporting Onatel Mai 2009 V 0 2 2" xfId="0"/>
    <cellStyle name="_Table_USA Ownership_commentaires fixe  internet Déc 08_Copie de Flash du mois d' avril 2009 corrigé par NAIMI_Reporting Onatel Mai 2009 V 0 3" xfId="0"/>
    <cellStyle name="_Table_USA Ownership_commentaires fixe  internet Déc 08_Copie de Flash du mois d' avril 2009 corrigé par NAIMI_Reporting Onatel Mai 2009 V 0_Budget Telmob 2011" xfId="0"/>
    <cellStyle name="_Table_USA Ownership_commentaires fixe  internet Déc 08_Copie de Flash du mois d' avril 2009 corrigé par NAIMI_Reporting Onatel Mai 2009 V 0_Budget Telmob 2011 2" xfId="0"/>
    <cellStyle name="_Table_USA Ownership_commentaires fixe  internet Déc 08_Copie de Flash du mois d' avril 2009 corrigé par NAIMI_Reporting Onatel Mai 2009 V 0_Budget Telmob 2011 2 2" xfId="0"/>
    <cellStyle name="_Table_USA Ownership_commentaires fixe  internet Déc 08_Copie de Flash du mois d' avril 2009 corrigé par NAIMI_Reporting Onatel Mai 2009 V 0_Budget Telmob 2011 3" xfId="0"/>
    <cellStyle name="_Table_USA Ownership_commentaires fixe  internet Déc 08_Copie de Flash du mois d' avril 2009 corrigé par NAIMI_Reporting Onatel Mai 2009 V 0_Flash du mois de septembre 2009 (2) (version 1)" xfId="0"/>
    <cellStyle name="_Table_USA Ownership_commentaires fixe  internet Déc 08_Copie de Flash du mois d' avril 2009 corrigé par NAIMI_Reporting Onatel Mai 2009 V 0_Flash du mois de septembre 2009 (2) (version 1) 2" xfId="0"/>
    <cellStyle name="_Table_USA Ownership_commentaires fixe  internet Déc 08_Copie de Flash du mois d' avril 2009 corrigé par NAIMI_Reporting Onatel Mai 2009 V 0_Flash du mois de septembre 2009 (2) (version 1) 2 2" xfId="0"/>
    <cellStyle name="_Table_USA Ownership_commentaires fixe  internet Déc 08_Copie de Flash du mois d' avril 2009 corrigé par NAIMI_Reporting Onatel Mai 2009 V 0_Flash du mois de septembre 2009 (2) (version 1) 3" xfId="0"/>
    <cellStyle name="_Table_USA Ownership_commentaires fixe  internet Déc 08_Copie de Flash du mois d' avril 2009 corrigé par NAIMI_Reporting Onatel Mai 2009 V 0_Flash du mois de septembre 2009 (2) (version 1)_Budget Telmob 2011" xfId="0"/>
    <cellStyle name="_Table_USA Ownership_commentaires fixe  internet Déc 08_Copie de Flash du mois d' avril 2009 corrigé par NAIMI_Reporting Onatel Mai 2009 V 0_Flash du mois de septembre 2009 (2) (version 1)_Budget Telmob 2011 2" xfId="0"/>
    <cellStyle name="_Table_USA Ownership_commentaires fixe  internet Déc 08_Copie de Flash du mois d' avril 2009 corrigé par NAIMI_Reporting Onatel Mai 2009 V 0_Flash du mois de septembre 2009 (2) (version 1)_Budget Telmob 2011 2 2" xfId="0"/>
    <cellStyle name="_Table_USA Ownership_commentaires fixe  internet Déc 08_Copie de Flash du mois d' avril 2009 corrigé par NAIMI_Reporting Onatel Mai 2009 V 0_Flash du mois de septembre 2009 (2) (version 1)_Budget Telmob 2011 3" xfId="0"/>
    <cellStyle name="_Table_USA Ownership_commentaires fixe  internet Déc 08_Copie de Flash du mois d' avril 2009 corrigé par NAIMI_Reporting Onatel Mai 2009 V 0_Reporting Onatel septembre  2009 préparé" xfId="0"/>
    <cellStyle name="_Table_USA Ownership_commentaires fixe  internet Déc 08_Copie de Flash du mois d' avril 2009 corrigé par NAIMI_Reporting Onatel Mai 2009 V 0_Reporting Onatel septembre  2009 préparé 2" xfId="0"/>
    <cellStyle name="_Table_USA Ownership_commentaires fixe  internet Déc 08_Copie de Flash du mois d' avril 2009 corrigé par NAIMI_Reporting Onatel Mai 2009 V 0_Reporting Onatel septembre  2009 préparé 2 2" xfId="0"/>
    <cellStyle name="_Table_USA Ownership_commentaires fixe  internet Déc 08_Copie de Flash du mois d' avril 2009 corrigé par NAIMI_Reporting Onatel Mai 2009 V 0_Reporting Onatel septembre  2009 préparé 3" xfId="0"/>
    <cellStyle name="_Table_USA Ownership_commentaires fixe  internet Déc 08_Copie de Flash du mois d' avril 2009 corrigé par NAIMI_Reporting Onatel Mai 2009 V 0_Reporting Onatel septembre  2009 préparé_Budget Telmob 2011" xfId="0"/>
    <cellStyle name="_Table_USA Ownership_commentaires fixe  internet Déc 08_Copie de Flash du mois d' avril 2009 corrigé par NAIMI_Reporting Onatel Mai 2009 V 0_Reporting Onatel septembre  2009 préparé_Budget Telmob 2011 2" xfId="0"/>
    <cellStyle name="_Table_USA Ownership_commentaires fixe  internet Déc 08_Copie de Flash du mois d' avril 2009 corrigé par NAIMI_Reporting Onatel Mai 2009 V 0_Reporting Onatel septembre  2009 préparé_Budget Telmob 2011 2 2" xfId="0"/>
    <cellStyle name="_Table_USA Ownership_commentaires fixe  internet Déc 08_Copie de Flash du mois d' avril 2009 corrigé par NAIMI_Reporting Onatel Mai 2009 V 0_Reporting Onatel septembre  2009 préparé_Budget Telmob 2011 3" xfId="0"/>
    <cellStyle name="_Table_USA Ownership_commentaires fixe  internet Déc 08_Copie de Flash du mois d' avril 2009 corrigé par NAIMI_Reporting Onatel septembre  2009 préparé" xfId="0"/>
    <cellStyle name="_Table_USA Ownership_commentaires fixe  internet Déc 08_Copie de Flash du mois d' avril 2009 corrigé par NAIMI_Reporting Onatel septembre  2009 préparé 2" xfId="0"/>
    <cellStyle name="_Table_USA Ownership_commentaires fixe  internet Déc 08_Copie de Flash du mois d' avril 2009 corrigé par NAIMI_Reporting Onatel septembre  2009 préparé 2 2" xfId="0"/>
    <cellStyle name="_Table_USA Ownership_commentaires fixe  internet Déc 08_Copie de Flash du mois d' avril 2009 corrigé par NAIMI_Reporting Onatel septembre  2009 préparé 3" xfId="0"/>
    <cellStyle name="_Table_USA Ownership_commentaires fixe  internet Déc 08_Copie de Flash du mois d' avril 2009 corrigé par NAIMI_Reporting Onatel septembre  2009 préparé_Budget Telmob 2011" xfId="0"/>
    <cellStyle name="_Table_USA Ownership_commentaires fixe  internet Déc 08_Copie de Flash du mois d' avril 2009 corrigé par NAIMI_Reporting Onatel septembre  2009 préparé_Budget Telmob 2011 2" xfId="0"/>
    <cellStyle name="_Table_USA Ownership_commentaires fixe  internet Déc 08_Copie de Flash du mois d' avril 2009 corrigé par NAIMI_Reporting Onatel septembre  2009 préparé_Budget Telmob 2011 2 2" xfId="0"/>
    <cellStyle name="_Table_USA Ownership_commentaires fixe  internet Déc 08_Copie de Flash du mois d' avril 2009 corrigé par NAIMI_Reporting Onatel septembre  2009 préparé_Budget Telmob 2011 3" xfId="0"/>
    <cellStyle name="_Table_USA Ownership_commentaires fixe  internet Déc 08_Flash du mois d' avril 2009" xfId="0"/>
    <cellStyle name="_Table_USA Ownership_commentaires fixe  internet Déc 08_Flash du mois d' avril 2009 2" xfId="0"/>
    <cellStyle name="_Table_USA Ownership_commentaires fixe  internet Déc 08_Flash du mois d' avril 2009 2 2" xfId="0"/>
    <cellStyle name="_Table_USA Ownership_commentaires fixe  internet Déc 08_Flash du mois d' avril 2009 3" xfId="0"/>
    <cellStyle name="_Table_USA Ownership_commentaires fixe  internet Déc 08_Flash du mois d' avril 2009_Budget Telmob 2011" xfId="0"/>
    <cellStyle name="_Table_USA Ownership_commentaires fixe  internet Déc 08_Flash du mois d' avril 2009_Budget Telmob 2011 2" xfId="0"/>
    <cellStyle name="_Table_USA Ownership_commentaires fixe  internet Déc 08_Flash du mois d' avril 2009_Budget Telmob 2011 2 2" xfId="0"/>
    <cellStyle name="_Table_USA Ownership_commentaires fixe  internet Déc 08_Flash du mois d' avril 2009_Budget Telmob 2011 3" xfId="0"/>
    <cellStyle name="_Table_USA Ownership_commentaires fixe  internet Déc 08_Flash du mois d' avril 2009_Flash du mois de mai 2009" xfId="0"/>
    <cellStyle name="_Table_USA Ownership_commentaires fixe  internet Déc 08_Flash du mois d' avril 2009_Flash du mois de mai 2009 2" xfId="0"/>
    <cellStyle name="_Table_USA Ownership_commentaires fixe  internet Déc 08_Flash du mois d' avril 2009_Flash du mois de mai 2009 2 2" xfId="0"/>
    <cellStyle name="_Table_USA Ownership_commentaires fixe  internet Déc 08_Flash du mois d' avril 2009_Flash du mois de mai 2009 3" xfId="0"/>
    <cellStyle name="_Table_USA Ownership_commentaires fixe  internet Déc 08_Flash du mois d' avril 2009_Flash du mois de mai 2009_Budget Telmob 2011" xfId="0"/>
    <cellStyle name="_Table_USA Ownership_commentaires fixe  internet Déc 08_Flash du mois d' avril 2009_Flash du mois de mai 2009_Budget Telmob 2011 2" xfId="0"/>
    <cellStyle name="_Table_USA Ownership_commentaires fixe  internet Déc 08_Flash du mois d' avril 2009_Flash du mois de mai 2009_Budget Telmob 2011 2 2" xfId="0"/>
    <cellStyle name="_Table_USA Ownership_commentaires fixe  internet Déc 08_Flash du mois d' avril 2009_Flash du mois de mai 2009_Budget Telmob 2011 3" xfId="0"/>
    <cellStyle name="_Table_USA Ownership_commentaires fixe  internet Déc 08_Flash du mois d' avril 2009_Flash du mois de septembre 2009 (2) (version 1)" xfId="0"/>
    <cellStyle name="_Table_USA Ownership_commentaires fixe  internet Déc 08_Flash du mois d' avril 2009_Flash du mois de septembre 2009 (2) (version 1) 2" xfId="0"/>
    <cellStyle name="_Table_USA Ownership_commentaires fixe  internet Déc 08_Flash du mois d' avril 2009_Flash du mois de septembre 2009 (2) (version 1) 2 2" xfId="0"/>
    <cellStyle name="_Table_USA Ownership_commentaires fixe  internet Déc 08_Flash du mois d' avril 2009_Flash du mois de septembre 2009 (2) (version 1) 3" xfId="0"/>
    <cellStyle name="_Table_USA Ownership_commentaires fixe  internet Déc 08_Flash du mois d' avril 2009_Flash du mois de septembre 2009 (2) (version 1)_Budget Telmob 2011" xfId="0"/>
    <cellStyle name="_Table_USA Ownership_commentaires fixe  internet Déc 08_Flash du mois d' avril 2009_Flash du mois de septembre 2009 (2) (version 1)_Budget Telmob 2011 2" xfId="0"/>
    <cellStyle name="_Table_USA Ownership_commentaires fixe  internet Déc 08_Flash du mois d' avril 2009_Flash du mois de septembre 2009 (2) (version 1)_Budget Telmob 2011 2 2" xfId="0"/>
    <cellStyle name="_Table_USA Ownership_commentaires fixe  internet Déc 08_Flash du mois d' avril 2009_Flash du mois de septembre 2009 (2) (version 1)_Budget Telmob 2011 3" xfId="0"/>
    <cellStyle name="_Table_USA Ownership_commentaires fixe  internet Déc 08_Flash du mois d' avril 2009_Reporting Onatel Mai 2009 V 0" xfId="0"/>
    <cellStyle name="_Table_USA Ownership_commentaires fixe  internet Déc 08_Flash du mois d' avril 2009_Reporting Onatel Mai 2009 V 0 2" xfId="0"/>
    <cellStyle name="_Table_USA Ownership_commentaires fixe  internet Déc 08_Flash du mois d' avril 2009_Reporting Onatel Mai 2009 V 0 2 2" xfId="0"/>
    <cellStyle name="_Table_USA Ownership_commentaires fixe  internet Déc 08_Flash du mois d' avril 2009_Reporting Onatel Mai 2009 V 0 3" xfId="0"/>
    <cellStyle name="_Table_USA Ownership_commentaires fixe  internet Déc 08_Flash du mois d' avril 2009_Reporting Onatel Mai 2009 V 0_Budget Telmob 2011" xfId="0"/>
    <cellStyle name="_Table_USA Ownership_commentaires fixe  internet Déc 08_Flash du mois d' avril 2009_Reporting Onatel Mai 2009 V 0_Budget Telmob 2011 2" xfId="0"/>
    <cellStyle name="_Table_USA Ownership_commentaires fixe  internet Déc 08_Flash du mois d' avril 2009_Reporting Onatel Mai 2009 V 0_Budget Telmob 2011 2 2" xfId="0"/>
    <cellStyle name="_Table_USA Ownership_commentaires fixe  internet Déc 08_Flash du mois d' avril 2009_Reporting Onatel Mai 2009 V 0_Budget Telmob 2011 3" xfId="0"/>
    <cellStyle name="_Table_USA Ownership_commentaires fixe  internet Déc 08_Flash du mois d' avril 2009_Reporting Onatel septembre  2009 préparé" xfId="0"/>
    <cellStyle name="_Table_USA Ownership_commentaires fixe  internet Déc 08_Flash du mois d' avril 2009_Reporting Onatel septembre  2009 préparé 2" xfId="0"/>
    <cellStyle name="_Table_USA Ownership_commentaires fixe  internet Déc 08_Flash du mois d' avril 2009_Reporting Onatel septembre  2009 préparé 2 2" xfId="0"/>
    <cellStyle name="_Table_USA Ownership_commentaires fixe  internet Déc 08_Flash du mois d' avril 2009_Reporting Onatel septembre  2009 préparé 3" xfId="0"/>
    <cellStyle name="_Table_USA Ownership_commentaires fixe  internet Déc 08_Flash du mois d' avril 2009_Reporting Onatel septembre  2009 préparé_Budget Telmob 2011" xfId="0"/>
    <cellStyle name="_Table_USA Ownership_commentaires fixe  internet Déc 08_Flash du mois d' avril 2009_Reporting Onatel septembre  2009 préparé_Budget Telmob 2011 2" xfId="0"/>
    <cellStyle name="_Table_USA Ownership_commentaires fixe  internet Déc 08_Flash du mois d' avril 2009_Reporting Onatel septembre  2009 préparé_Budget Telmob 2011 2 2" xfId="0"/>
    <cellStyle name="_Table_USA Ownership_commentaires fixe  internet Déc 08_Flash du mois d' avril 2009_Reporting Onatel septembre  2009 préparé_Budget Telmob 2011 3" xfId="0"/>
    <cellStyle name="_Table_USA Ownership_commentaires fixe  internet Déc 08_Flash du mois de mai 2009" xfId="0"/>
    <cellStyle name="_Table_USA Ownership_commentaires fixe  internet Déc 08_Flash du mois de mai 2009 2" xfId="0"/>
    <cellStyle name="_Table_USA Ownership_commentaires fixe  internet Déc 08_Flash du mois de mai 2009 2 2" xfId="0"/>
    <cellStyle name="_Table_USA Ownership_commentaires fixe  internet Déc 08_Flash du mois de mai 2009 3" xfId="0"/>
    <cellStyle name="_Table_USA Ownership_commentaires fixe  internet Déc 08_Flash du mois de mai 2009_Budget Telmob 2011" xfId="0"/>
    <cellStyle name="_Table_USA Ownership_commentaires fixe  internet Déc 08_Flash du mois de mai 2009_Budget Telmob 2011 2" xfId="0"/>
    <cellStyle name="_Table_USA Ownership_commentaires fixe  internet Déc 08_Flash du mois de mai 2009_Budget Telmob 2011 2 2" xfId="0"/>
    <cellStyle name="_Table_USA Ownership_commentaires fixe  internet Déc 08_Flash du mois de mai 2009_Budget Telmob 2011 3" xfId="0"/>
    <cellStyle name="_Table_USA Ownership_commentaires fixe  internet Déc 08_Flash du mois de septembre 2009 (2) (version 1)" xfId="0"/>
    <cellStyle name="_Table_USA Ownership_commentaires fixe  internet Déc 08_Flash du mois de septembre 2009 (2) (version 1) 2" xfId="0"/>
    <cellStyle name="_Table_USA Ownership_commentaires fixe  internet Déc 08_Flash du mois de septembre 2009 (2) (version 1) 2 2" xfId="0"/>
    <cellStyle name="_Table_USA Ownership_commentaires fixe  internet Déc 08_Flash du mois de septembre 2009 (2) (version 1) 3" xfId="0"/>
    <cellStyle name="_Table_USA Ownership_commentaires fixe  internet Déc 08_Flash du mois de septembre 2009 (2) (version 1)_Budget Telmob 2011" xfId="0"/>
    <cellStyle name="_Table_USA Ownership_commentaires fixe  internet Déc 08_Flash du mois de septembre 2009 (2) (version 1)_Budget Telmob 2011 2" xfId="0"/>
    <cellStyle name="_Table_USA Ownership_commentaires fixe  internet Déc 08_Flash du mois de septembre 2009 (2) (version 1)_Budget Telmob 2011 2 2" xfId="0"/>
    <cellStyle name="_Table_USA Ownership_commentaires fixe  internet Déc 08_Flash du mois de septembre 2009 (2) (version 1)_Budget Telmob 2011 3" xfId="0"/>
    <cellStyle name="_Table_USA Ownership_commentaires fixe  internet Déc 08_Reporting Onatel Avril 2009 V0" xfId="0"/>
    <cellStyle name="_Table_USA Ownership_commentaires fixe  internet Déc 08_Reporting Onatel Avril 2009 V0 2" xfId="0"/>
    <cellStyle name="_Table_USA Ownership_commentaires fixe  internet Déc 08_Reporting Onatel Avril 2009 V0 2 2" xfId="0"/>
    <cellStyle name="_Table_USA Ownership_commentaires fixe  internet Déc 08_Reporting Onatel Avril 2009 V0 3" xfId="0"/>
    <cellStyle name="_Table_USA Ownership_commentaires fixe  internet Déc 08_Reporting Onatel Avril 2009 V0_Budget Telmob 2011" xfId="0"/>
    <cellStyle name="_Table_USA Ownership_commentaires fixe  internet Déc 08_Reporting Onatel Avril 2009 V0_Budget Telmob 2011 2" xfId="0"/>
    <cellStyle name="_Table_USA Ownership_commentaires fixe  internet Déc 08_Reporting Onatel Avril 2009 V0_Budget Telmob 2011 2 2" xfId="0"/>
    <cellStyle name="_Table_USA Ownership_commentaires fixe  internet Déc 08_Reporting Onatel Avril 2009 V0_Budget Telmob 2011 3" xfId="0"/>
    <cellStyle name="_Table_USA Ownership_commentaires fixe  internet Déc 08_Reporting Onatel Avril 2009 V0_Copie de Flash du mois d' avril 2009 corrigé par NAIMI" xfId="0"/>
    <cellStyle name="_Table_USA Ownership_commentaires fixe  internet Déc 08_Reporting Onatel Avril 2009 V0_Copie de Flash du mois d' avril 2009 corrigé par NAIMI 2" xfId="0"/>
    <cellStyle name="_Table_USA Ownership_commentaires fixe  internet Déc 08_Reporting Onatel Avril 2009 V0_Copie de Flash du mois d' avril 2009 corrigé par NAIMI 2 2" xfId="0"/>
    <cellStyle name="_Table_USA Ownership_commentaires fixe  internet Déc 08_Reporting Onatel Avril 2009 V0_Copie de Flash du mois d' avril 2009 corrigé par NAIMI 3" xfId="0"/>
    <cellStyle name="_Table_USA Ownership_commentaires fixe  internet Déc 08_Reporting Onatel Avril 2009 V0_Copie de Flash du mois d' avril 2009 corrigé par NAIMI_Budget Telmob 2011" xfId="0"/>
    <cellStyle name="_Table_USA Ownership_commentaires fixe  internet Déc 08_Reporting Onatel Avril 2009 V0_Copie de Flash du mois d' avril 2009 corrigé par NAIMI_Budget Telmob 2011 2" xfId="0"/>
    <cellStyle name="_Table_USA Ownership_commentaires fixe  internet Déc 08_Reporting Onatel Avril 2009 V0_Copie de Flash du mois d' avril 2009 corrigé par NAIMI_Budget Telmob 2011 2 2" xfId="0"/>
    <cellStyle name="_Table_USA Ownership_commentaires fixe  internet Déc 08_Reporting Onatel Avril 2009 V0_Copie de Flash du mois d' avril 2009 corrigé par NAIMI_Budget Telmob 2011 3" xfId="0"/>
    <cellStyle name="_Table_USA Ownership_commentaires fixe  internet Déc 08_Reporting Onatel Avril 2009 V0_Copie de Flash du mois d' avril 2009 corrigé par NAIMI_Flash du mois de mai 2009" xfId="0"/>
    <cellStyle name="_Table_USA Ownership_commentaires fixe  internet Déc 08_Reporting Onatel Avril 2009 V0_Copie de Flash du mois d' avril 2009 corrigé par NAIMI_Flash du mois de mai 2009 2" xfId="0"/>
    <cellStyle name="_Table_USA Ownership_commentaires fixe  internet Déc 08_Reporting Onatel Avril 2009 V0_Copie de Flash du mois d' avril 2009 corrigé par NAIMI_Flash du mois de mai 2009 2 2" xfId="0"/>
    <cellStyle name="_Table_USA Ownership_commentaires fixe  internet Déc 08_Reporting Onatel Avril 2009 V0_Copie de Flash du mois d' avril 2009 corrigé par NAIMI_Flash du mois de mai 2009 3" xfId="0"/>
    <cellStyle name="_Table_USA Ownership_commentaires fixe  internet Déc 08_Reporting Onatel Avril 2009 V0_Copie de Flash du mois d' avril 2009 corrigé par NAIMI_Flash du mois de mai 2009_Budget Telmob 2011" xfId="0"/>
    <cellStyle name="_Table_USA Ownership_commentaires fixe  internet Déc 08_Reporting Onatel Avril 2009 V0_Copie de Flash du mois d' avril 2009 corrigé par NAIMI_Flash du mois de mai 2009_Budget Telmob 2011 2" xfId="0"/>
    <cellStyle name="_Table_USA Ownership_commentaires fixe  internet Déc 08_Reporting Onatel Avril 2009 V0_Copie de Flash du mois d' avril 2009 corrigé par NAIMI_Flash du mois de mai 2009_Budget Telmob 2011 2 2" xfId="0"/>
    <cellStyle name="_Table_USA Ownership_commentaires fixe  internet Déc 08_Reporting Onatel Avril 2009 V0_Copie de Flash du mois d' avril 2009 corrigé par NAIMI_Flash du mois de mai 2009_Budget Telmob 2011 3" xfId="0"/>
    <cellStyle name="_Table_USA Ownership_commentaires fixe  internet Déc 08_Reporting Onatel Avril 2009 V0_Copie de Flash du mois d' avril 2009 corrigé par NAIMI_Flash du mois de septembre 2009 (2) (version 1)" xfId="0"/>
    <cellStyle name="_Table_USA Ownership_commentaires fixe  internet Déc 08_Reporting Onatel Avril 2009 V0_Copie de Flash du mois d' avril 2009 corrigé par NAIMI_Flash du mois de septembre 2009 (2) (version 1) 2" xfId="0"/>
    <cellStyle name="_Table_USA Ownership_commentaires fixe  internet Déc 08_Reporting Onatel Avril 2009 V0_Copie de Flash du mois d' avril 2009 corrigé par NAIMI_Flash du mois de septembre 2009 (2) (version 1) 2 2" xfId="0"/>
    <cellStyle name="_Table_USA Ownership_commentaires fixe  internet Déc 08_Reporting Onatel Avril 2009 V0_Copie de Flash du mois d' avril 2009 corrigé par NAIMI_Flash du mois de septembre 2009 (2) (version 1) 3" xfId="0"/>
    <cellStyle name="_Table_USA Ownership_commentaires fixe  internet Déc 08_Reporting Onatel Avril 2009 V0_Copie de Flash du mois d' avril 2009 corrigé par NAIMI_Flash du mois de septembre 2009 (2) (version 1)_Budget Telmob 2011" xfId="0"/>
    <cellStyle name="_Table_USA Ownership_commentaires fixe  internet Déc 08_Reporting Onatel Avril 2009 V0_Copie de Flash du mois d' avril 2009 corrigé par NAIMI_Flash du mois de septembre 2009 (2) (version 1)_Budget Telmob 2011 2" xfId="0"/>
    <cellStyle name="_Table_USA Ownership_commentaires fixe  internet Déc 08_Reporting Onatel Avril 2009 V0_Copie de Flash du mois d' avril 2009 corrigé par NAIMI_Flash du mois de septembre 2009 (2) (version 1)_Budget Telmob 2011 2 2" xfId="0"/>
    <cellStyle name="_Table_USA Ownership_commentaires fixe  internet Déc 08_Reporting Onatel Avril 2009 V0_Copie de Flash du mois d' avril 2009 corrigé par NAIMI_Flash du mois de septembre 2009 (2) (version 1)_Budget Telmob 2011 3" xfId="0"/>
    <cellStyle name="_Table_USA Ownership_commentaires fixe  internet Déc 08_Reporting Onatel Avril 2009 V0_Copie de Flash du mois d' avril 2009 corrigé par NAIMI_Reporting Onatel Mai 2009 V 0" xfId="0"/>
    <cellStyle name="_Table_USA Ownership_commentaires fixe  internet Déc 08_Reporting Onatel Avril 2009 V0_Copie de Flash du mois d' avril 2009 corrigé par NAIMI_Reporting Onatel Mai 2009 V 0 2" xfId="0"/>
    <cellStyle name="_Table_USA Ownership_commentaires fixe  internet Déc 08_Reporting Onatel Avril 2009 V0_Copie de Flash du mois d' avril 2009 corrigé par NAIMI_Reporting Onatel Mai 2009 V 0 2 2" xfId="0"/>
    <cellStyle name="_Table_USA Ownership_commentaires fixe  internet Déc 08_Reporting Onatel Avril 2009 V0_Copie de Flash du mois d' avril 2009 corrigé par NAIMI_Reporting Onatel Mai 2009 V 0 3" xfId="0"/>
    <cellStyle name="_Table_USA Ownership_commentaires fixe  internet Déc 08_Reporting Onatel Avril 2009 V0_Copie de Flash du mois d' avril 2009 corrigé par NAIMI_Reporting Onatel Mai 2009 V 0_Budget Telmob 2011" xfId="0"/>
    <cellStyle name="_Table_USA Ownership_commentaires fixe  internet Déc 08_Reporting Onatel Avril 2009 V0_Copie de Flash du mois d' avril 2009 corrigé par NAIMI_Reporting Onatel Mai 2009 V 0_Budget Telmob 2011 2" xfId="0"/>
    <cellStyle name="_Table_USA Ownership_commentaires fixe  internet Déc 08_Reporting Onatel Avril 2009 V0_Copie de Flash du mois d' avril 2009 corrigé par NAIMI_Reporting Onatel Mai 2009 V 0_Budget Telmob 2011 2 2" xfId="0"/>
    <cellStyle name="_Table_USA Ownership_commentaires fixe  internet Déc 08_Reporting Onatel Avril 2009 V0_Copie de Flash du mois d' avril 2009 corrigé par NAIMI_Reporting Onatel Mai 2009 V 0_Budget Telmob 2011 3" xfId="0"/>
    <cellStyle name="_Table_USA Ownership_commentaires fixe  internet Déc 08_Reporting Onatel Avril 2009 V0_Copie de Flash du mois d' avril 2009 corrigé par NAIMI_Reporting Onatel Mai 2009 V 0_Flash du mois de septembre 2009 (2) (version 1)" xfId="0"/>
    <cellStyle name="_Table_USA Ownership_commentaires fixe  internet Déc 08_Reporting Onatel Avril 2009 V0_Copie de Flash du mois d' avril 2009 corrigé par NAIMI_Reporting Onatel Mai 2009 V 0_Flash du mois de septembre 2009 (2) (version 1) 2" xfId="0"/>
    <cellStyle name="_Table_USA Ownership_commentaires fixe  internet Déc 08_Reporting Onatel Avril 2009 V0_Copie de Flash du mois d' avril 2009 corrigé par NAIMI_Reporting Onatel Mai 2009 V 0_Flash du mois de septembre 2009 (2) (version 1) 2 2" xfId="0"/>
    <cellStyle name="_Table_USA Ownership_commentaires fixe  internet Déc 08_Reporting Onatel Avril 2009 V0_Copie de Flash du mois d' avril 2009 corrigé par NAIMI_Reporting Onatel Mai 2009 V 0_Flash du mois de septembre 2009 (2) (version 1) 3" xfId="0"/>
    <cellStyle name="_Table_USA Ownership_commentaires fixe  internet Déc 08_Reporting Onatel Avril 2009 V0_Copie de Flash du mois d' avril 2009 corrigé par NAIMI_Reporting Onatel Mai 2009 V 0_Flash du mois de septembre 2009 (2) (version 1)_Budget Telmob 2011" xfId="0"/>
    <cellStyle name="_Table_USA Ownership_commentaires fixe  internet Déc 08_Reporting Onatel Avril 2009 V0_Copie de Flash du mois d' avril 2009 corrigé par NAIMI_Reporting Onatel Mai 2009 V 0_Flash du mois de septembre 2009 (2) (version 1)_Budget Telmob 2011 2" xfId="0"/>
    <cellStyle name="_Table_USA Ownership_commentaires fixe  internet Déc 08_Reporting Onatel Avril 2009 V0_Copie de Flash du mois d' avril 2009 corrigé par NAIMI_Reporting Onatel Mai 2009 V 0_Flash du mois de septembre 2009 (2) (version 1)_Budget Telmob 2011 2 2" xfId="0"/>
    <cellStyle name="_Table_USA Ownership_commentaires fixe  internet Déc 08_Reporting Onatel Avril 2009 V0_Copie de Flash du mois d' avril 2009 corrigé par NAIMI_Reporting Onatel Mai 2009 V 0_Flash du mois de septembre 2009 (2) (version 1)_Budget Telmob 2011 3" xfId="0"/>
    <cellStyle name="_Table_USA Ownership_commentaires fixe  internet Déc 08_Reporting Onatel Avril 2009 V0_Copie de Flash du mois d' avril 2009 corrigé par NAIMI_Reporting Onatel Mai 2009 V 0_Reporting Onatel septembre  2009 préparé" xfId="0"/>
    <cellStyle name="_Table_USA Ownership_commentaires fixe  internet Déc 08_Reporting Onatel Avril 2009 V0_Copie de Flash du mois d' avril 2009 corrigé par NAIMI_Reporting Onatel Mai 2009 V 0_Reporting Onatel septembre  2009 préparé 2" xfId="0"/>
    <cellStyle name="_Table_USA Ownership_commentaires fixe  internet Déc 08_Reporting Onatel Avril 2009 V0_Copie de Flash du mois d' avril 2009 corrigé par NAIMI_Reporting Onatel Mai 2009 V 0_Reporting Onatel septembre  2009 préparé 2 2" xfId="0"/>
    <cellStyle name="_Table_USA Ownership_commentaires fixe  internet Déc 08_Reporting Onatel Avril 2009 V0_Copie de Flash du mois d' avril 2009 corrigé par NAIMI_Reporting Onatel Mai 2009 V 0_Reporting Onatel septembre  2009 préparé 3" xfId="0"/>
    <cellStyle name="_Table_USA Ownership_commentaires fixe  internet Déc 08_Reporting Onatel Avril 2009 V0_Copie de Flash du mois d' avril 2009 corrigé par NAIMI_Reporting Onatel Mai 2009 V 0_Reporting Onatel septembre  2009 préparé_Budget Telmob 2011" xfId="0"/>
    <cellStyle name="_Table_USA Ownership_commentaires fixe  internet Déc 08_Reporting Onatel Avril 2009 V0_Copie de Flash du mois d' avril 2009 corrigé par NAIMI_Reporting Onatel Mai 2009 V 0_Reporting Onatel septembre  2009 préparé_Budget Telmob 2011 2" xfId="0"/>
    <cellStyle name="_Table_USA Ownership_commentaires fixe  internet Déc 08_Reporting Onatel Avril 2009 V0_Copie de Flash du mois d' avril 2009 corrigé par NAIMI_Reporting Onatel Mai 2009 V 0_Reporting Onatel septembre  2009 préparé_Budget Telmob 2011 2 2" xfId="0"/>
    <cellStyle name="_Table_USA Ownership_commentaires fixe  internet Déc 08_Reporting Onatel Avril 2009 V0_Copie de Flash du mois d' avril 2009 corrigé par NAIMI_Reporting Onatel Mai 2009 V 0_Reporting Onatel septembre  2009 préparé_Budget Telmob 2011 3" xfId="0"/>
    <cellStyle name="_Table_USA Ownership_commentaires fixe  internet Déc 08_Reporting Onatel Avril 2009 V0_Copie de Flash du mois d' avril 2009 corrigé par NAIMI_Reporting Onatel septembre  2009 préparé" xfId="0"/>
    <cellStyle name="_Table_USA Ownership_commentaires fixe  internet Déc 08_Reporting Onatel Avril 2009 V0_Copie de Flash du mois d' avril 2009 corrigé par NAIMI_Reporting Onatel septembre  2009 préparé 2" xfId="0"/>
    <cellStyle name="_Table_USA Ownership_commentaires fixe  internet Déc 08_Reporting Onatel Avril 2009 V0_Copie de Flash du mois d' avril 2009 corrigé par NAIMI_Reporting Onatel septembre  2009 préparé 2 2" xfId="0"/>
    <cellStyle name="_Table_USA Ownership_commentaires fixe  internet Déc 08_Reporting Onatel Avril 2009 V0_Copie de Flash du mois d' avril 2009 corrigé par NAIMI_Reporting Onatel septembre  2009 préparé 3" xfId="0"/>
    <cellStyle name="_Table_USA Ownership_commentaires fixe  internet Déc 08_Reporting Onatel Avril 2009 V0_Copie de Flash du mois d' avril 2009 corrigé par NAIMI_Reporting Onatel septembre  2009 préparé_Budget Telmob 2011" xfId="0"/>
    <cellStyle name="_Table_USA Ownership_commentaires fixe  internet Déc 08_Reporting Onatel Avril 2009 V0_Copie de Flash du mois d' avril 2009 corrigé par NAIMI_Reporting Onatel septembre  2009 préparé_Budget Telmob 2011 2" xfId="0"/>
    <cellStyle name="_Table_USA Ownership_commentaires fixe  internet Déc 08_Reporting Onatel Avril 2009 V0_Copie de Flash du mois d' avril 2009 corrigé par NAIMI_Reporting Onatel septembre  2009 préparé_Budget Telmob 2011 2 2" xfId="0"/>
    <cellStyle name="_Table_USA Ownership_commentaires fixe  internet Déc 08_Reporting Onatel Avril 2009 V0_Copie de Flash du mois d' avril 2009 corrigé par NAIMI_Reporting Onatel septembre  2009 préparé_Budget Telmob 2011 3" xfId="0"/>
    <cellStyle name="_Table_USA Ownership_commentaires fixe  internet Déc 08_Reporting Onatel Avril 2009 V0_Flash du mois de mai 2009" xfId="0"/>
    <cellStyle name="_Table_USA Ownership_commentaires fixe  internet Déc 08_Reporting Onatel Avril 2009 V0_Flash du mois de mai 2009 2" xfId="0"/>
    <cellStyle name="_Table_USA Ownership_commentaires fixe  internet Déc 08_Reporting Onatel Avril 2009 V0_Flash du mois de mai 2009 2 2" xfId="0"/>
    <cellStyle name="_Table_USA Ownership_commentaires fixe  internet Déc 08_Reporting Onatel Avril 2009 V0_Flash du mois de mai 2009 3" xfId="0"/>
    <cellStyle name="_Table_USA Ownership_commentaires fixe  internet Déc 08_Reporting Onatel Avril 2009 V0_Flash du mois de mai 2009_Budget Telmob 2011" xfId="0"/>
    <cellStyle name="_Table_USA Ownership_commentaires fixe  internet Déc 08_Reporting Onatel Avril 2009 V0_Flash du mois de mai 2009_Budget Telmob 2011 2" xfId="0"/>
    <cellStyle name="_Table_USA Ownership_commentaires fixe  internet Déc 08_Reporting Onatel Avril 2009 V0_Flash du mois de mai 2009_Budget Telmob 2011 2 2" xfId="0"/>
    <cellStyle name="_Table_USA Ownership_commentaires fixe  internet Déc 08_Reporting Onatel Avril 2009 V0_Flash du mois de mai 2009_Budget Telmob 2011 3" xfId="0"/>
    <cellStyle name="_Table_USA Ownership_commentaires fixe  internet Déc 08_Reporting Onatel Avril 2009 V0_Flash du mois de septembre 2009 (2) (version 1)" xfId="0"/>
    <cellStyle name="_Table_USA Ownership_commentaires fixe  internet Déc 08_Reporting Onatel Avril 2009 V0_Flash du mois de septembre 2009 (2) (version 1) 2" xfId="0"/>
    <cellStyle name="_Table_USA Ownership_commentaires fixe  internet Déc 08_Reporting Onatel Avril 2009 V0_Flash du mois de septembre 2009 (2) (version 1) 2 2" xfId="0"/>
    <cellStyle name="_Table_USA Ownership_commentaires fixe  internet Déc 08_Reporting Onatel Avril 2009 V0_Flash du mois de septembre 2009 (2) (version 1) 3" xfId="0"/>
    <cellStyle name="_Table_USA Ownership_commentaires fixe  internet Déc 08_Reporting Onatel Avril 2009 V0_Flash du mois de septembre 2009 (2) (version 1)_Budget Telmob 2011" xfId="0"/>
    <cellStyle name="_Table_USA Ownership_commentaires fixe  internet Déc 08_Reporting Onatel Avril 2009 V0_Flash du mois de septembre 2009 (2) (version 1)_Budget Telmob 2011 2" xfId="0"/>
    <cellStyle name="_Table_USA Ownership_commentaires fixe  internet Déc 08_Reporting Onatel Avril 2009 V0_Flash du mois de septembre 2009 (2) (version 1)_Budget Telmob 2011 2 2" xfId="0"/>
    <cellStyle name="_Table_USA Ownership_commentaires fixe  internet Déc 08_Reporting Onatel Avril 2009 V0_Flash du mois de septembre 2009 (2) (version 1)_Budget Telmob 2011 3" xfId="0"/>
    <cellStyle name="_Table_USA Ownership_commentaires fixe  internet Déc 08_Reporting Onatel Avril 2009 V0_Reporting Onatel Mai 2009 V 0" xfId="0"/>
    <cellStyle name="_Table_USA Ownership_commentaires fixe  internet Déc 08_Reporting Onatel Avril 2009 V0_Reporting Onatel Mai 2009 V 0 2" xfId="0"/>
    <cellStyle name="_Table_USA Ownership_commentaires fixe  internet Déc 08_Reporting Onatel Avril 2009 V0_Reporting Onatel Mai 2009 V 0 2 2" xfId="0"/>
    <cellStyle name="_Table_USA Ownership_commentaires fixe  internet Déc 08_Reporting Onatel Avril 2009 V0_Reporting Onatel Mai 2009 V 0 3" xfId="0"/>
    <cellStyle name="_Table_USA Ownership_commentaires fixe  internet Déc 08_Reporting Onatel Avril 2009 V0_Reporting Onatel Mai 2009 V 0_Budget Telmob 2011" xfId="0"/>
    <cellStyle name="_Table_USA Ownership_commentaires fixe  internet Déc 08_Reporting Onatel Avril 2009 V0_Reporting Onatel Mai 2009 V 0_Budget Telmob 2011 2" xfId="0"/>
    <cellStyle name="_Table_USA Ownership_commentaires fixe  internet Déc 08_Reporting Onatel Avril 2009 V0_Reporting Onatel Mai 2009 V 0_Budget Telmob 2011 2 2" xfId="0"/>
    <cellStyle name="_Table_USA Ownership_commentaires fixe  internet Déc 08_Reporting Onatel Avril 2009 V0_Reporting Onatel Mai 2009 V 0_Budget Telmob 2011 3" xfId="0"/>
    <cellStyle name="_Table_USA Ownership_commentaires fixe  internet Déc 08_Reporting Onatel Avril 2009 V0_Reporting Onatel septembre  2009 préparé" xfId="0"/>
    <cellStyle name="_Table_USA Ownership_commentaires fixe  internet Déc 08_Reporting Onatel Avril 2009 V0_Reporting Onatel septembre  2009 préparé 2" xfId="0"/>
    <cellStyle name="_Table_USA Ownership_commentaires fixe  internet Déc 08_Reporting Onatel Avril 2009 V0_Reporting Onatel septembre  2009 préparé 2 2" xfId="0"/>
    <cellStyle name="_Table_USA Ownership_commentaires fixe  internet Déc 08_Reporting Onatel Avril 2009 V0_Reporting Onatel septembre  2009 préparé 3" xfId="0"/>
    <cellStyle name="_Table_USA Ownership_commentaires fixe  internet Déc 08_Reporting Onatel Avril 2009 V0_Reporting Onatel septembre  2009 préparé_Budget Telmob 2011" xfId="0"/>
    <cellStyle name="_Table_USA Ownership_commentaires fixe  internet Déc 08_Reporting Onatel Avril 2009 V0_Reporting Onatel septembre  2009 préparé_Budget Telmob 2011 2" xfId="0"/>
    <cellStyle name="_Table_USA Ownership_commentaires fixe  internet Déc 08_Reporting Onatel Avril 2009 V0_Reporting Onatel septembre  2009 préparé_Budget Telmob 2011 2 2" xfId="0"/>
    <cellStyle name="_Table_USA Ownership_commentaires fixe  internet Déc 08_Reporting Onatel Avril 2009 V0_Reporting Onatel septembre  2009 préparé_Budget Telmob 2011 3" xfId="0"/>
    <cellStyle name="_Table_USA Ownership_commentaires fixe  internet Déc 08_Reporting Onatel Mai 2009 V 0" xfId="0"/>
    <cellStyle name="_Table_USA Ownership_commentaires fixe  internet Déc 08_Reporting Onatel Mai 2009 V 0 2" xfId="0"/>
    <cellStyle name="_Table_USA Ownership_commentaires fixe  internet Déc 08_Reporting Onatel Mai 2009 V 0 2 2" xfId="0"/>
    <cellStyle name="_Table_USA Ownership_commentaires fixe  internet Déc 08_Reporting Onatel Mai 2009 V 0 3" xfId="0"/>
    <cellStyle name="_Table_USA Ownership_commentaires fixe  internet Déc 08_Reporting Onatel Mai 2009 V 0 A ENVOYE" xfId="0"/>
    <cellStyle name="_Table_USA Ownership_commentaires fixe  internet Déc 08_Reporting Onatel Mai 2009 V 0 A ENVOYE 2" xfId="0"/>
    <cellStyle name="_Table_USA Ownership_commentaires fixe  internet Déc 08_Reporting Onatel Mai 2009 V 0 A ENVOYE 2 2" xfId="0"/>
    <cellStyle name="_Table_USA Ownership_commentaires fixe  internet Déc 08_Reporting Onatel Mai 2009 V 0 A ENVOYE 3" xfId="0"/>
    <cellStyle name="_Table_USA Ownership_commentaires fixe  internet Déc 08_Reporting Onatel Mai 2009 V 0 A ENVOYE_Budget Telmob 2011" xfId="0"/>
    <cellStyle name="_Table_USA Ownership_commentaires fixe  internet Déc 08_Reporting Onatel Mai 2009 V 0 A ENVOYE_Budget Telmob 2011 2" xfId="0"/>
    <cellStyle name="_Table_USA Ownership_commentaires fixe  internet Déc 08_Reporting Onatel Mai 2009 V 0 A ENVOYE_Budget Telmob 2011 2 2" xfId="0"/>
    <cellStyle name="_Table_USA Ownership_commentaires fixe  internet Déc 08_Reporting Onatel Mai 2009 V 0 A ENVOYE_Budget Telmob 2011 3" xfId="0"/>
    <cellStyle name="_Table_USA Ownership_commentaires fixe  internet Déc 08_Reporting Onatel Mai 2009 V 0 A ENVOYE_Flash du mois de septembre 2009 (2) (version 1)" xfId="0"/>
    <cellStyle name="_Table_USA Ownership_commentaires fixe  internet Déc 08_Reporting Onatel Mai 2009 V 0 A ENVOYE_Flash du mois de septembre 2009 (2) (version 1) 2" xfId="0"/>
    <cellStyle name="_Table_USA Ownership_commentaires fixe  internet Déc 08_Reporting Onatel Mai 2009 V 0 A ENVOYE_Flash du mois de septembre 2009 (2) (version 1) 2 2" xfId="0"/>
    <cellStyle name="_Table_USA Ownership_commentaires fixe  internet Déc 08_Reporting Onatel Mai 2009 V 0 A ENVOYE_Flash du mois de septembre 2009 (2) (version 1) 3" xfId="0"/>
    <cellStyle name="_Table_USA Ownership_commentaires fixe  internet Déc 08_Reporting Onatel Mai 2009 V 0 A ENVOYE_Flash du mois de septembre 2009 (2) (version 1)_Budget Telmob 2011" xfId="0"/>
    <cellStyle name="_Table_USA Ownership_commentaires fixe  internet Déc 08_Reporting Onatel Mai 2009 V 0 A ENVOYE_Flash du mois de septembre 2009 (2) (version 1)_Budget Telmob 2011 2" xfId="0"/>
    <cellStyle name="_Table_USA Ownership_commentaires fixe  internet Déc 08_Reporting Onatel Mai 2009 V 0 A ENVOYE_Flash du mois de septembre 2009 (2) (version 1)_Budget Telmob 2011 2 2" xfId="0"/>
    <cellStyle name="_Table_USA Ownership_commentaires fixe  internet Déc 08_Reporting Onatel Mai 2009 V 0 A ENVOYE_Flash du mois de septembre 2009 (2) (version 1)_Budget Telmob 2011 3" xfId="0"/>
    <cellStyle name="_Table_USA Ownership_commentaires fixe  internet Déc 08_Reporting Onatel Mai 2009 V 0 A ENVOYE_Reporting Onatel septembre  2009 préparé" xfId="0"/>
    <cellStyle name="_Table_USA Ownership_commentaires fixe  internet Déc 08_Reporting Onatel Mai 2009 V 0 A ENVOYE_Reporting Onatel septembre  2009 préparé 2" xfId="0"/>
    <cellStyle name="_Table_USA Ownership_commentaires fixe  internet Déc 08_Reporting Onatel Mai 2009 V 0 A ENVOYE_Reporting Onatel septembre  2009 préparé 2 2" xfId="0"/>
    <cellStyle name="_Table_USA Ownership_commentaires fixe  internet Déc 08_Reporting Onatel Mai 2009 V 0 A ENVOYE_Reporting Onatel septembre  2009 préparé 3" xfId="0"/>
    <cellStyle name="_Table_USA Ownership_commentaires fixe  internet Déc 08_Reporting Onatel Mai 2009 V 0 A ENVOYE_Reporting Onatel septembre  2009 préparé_Budget Telmob 2011" xfId="0"/>
    <cellStyle name="_Table_USA Ownership_commentaires fixe  internet Déc 08_Reporting Onatel Mai 2009 V 0 A ENVOYE_Reporting Onatel septembre  2009 préparé_Budget Telmob 2011 2" xfId="0"/>
    <cellStyle name="_Table_USA Ownership_commentaires fixe  internet Déc 08_Reporting Onatel Mai 2009 V 0 A ENVOYE_Reporting Onatel septembre  2009 préparé_Budget Telmob 2011 2 2" xfId="0"/>
    <cellStyle name="_Table_USA Ownership_commentaires fixe  internet Déc 08_Reporting Onatel Mai 2009 V 0 A ENVOYE_Reporting Onatel septembre  2009 préparé_Budget Telmob 2011 3" xfId="0"/>
    <cellStyle name="_Table_USA Ownership_commentaires fixe  internet Déc 08_Reporting Onatel Mai 2009 V 0_Budget Telmob 2011" xfId="0"/>
    <cellStyle name="_Table_USA Ownership_commentaires fixe  internet Déc 08_Reporting Onatel Mai 2009 V 0_Budget Telmob 2011 2" xfId="0"/>
    <cellStyle name="_Table_USA Ownership_commentaires fixe  internet Déc 08_Reporting Onatel Mai 2009 V 0_Budget Telmob 2011 2 2" xfId="0"/>
    <cellStyle name="_Table_USA Ownership_commentaires fixe  internet Déc 08_Reporting Onatel Mai 2009 V 0_Budget Telmob 2011 3" xfId="0"/>
    <cellStyle name="_Table_USA Ownership_commentaires fixe  internet Déc 08_Reporting Onatel septembre  2009 préparé" xfId="0"/>
    <cellStyle name="_Table_USA Ownership_commentaires fixe  internet Déc 08_Reporting Onatel septembre  2009 préparé 2" xfId="0"/>
    <cellStyle name="_Table_USA Ownership_commentaires fixe  internet Déc 08_Reporting Onatel septembre  2009 préparé 2 2" xfId="0"/>
    <cellStyle name="_Table_USA Ownership_commentaires fixe  internet Déc 08_Reporting Onatel septembre  2009 préparé 3" xfId="0"/>
    <cellStyle name="_Table_USA Ownership_commentaires fixe  internet Déc 08_Reporting Onatel septembre  2009 préparé_Budget Telmob 2011" xfId="0"/>
    <cellStyle name="_Table_USA Ownership_commentaires fixe  internet Déc 08_Reporting Onatel septembre  2009 préparé_Budget Telmob 2011 2" xfId="0"/>
    <cellStyle name="_Table_USA Ownership_commentaires fixe  internet Déc 08_Reporting Onatel septembre  2009 préparé_Budget Telmob 2011 2 2" xfId="0"/>
    <cellStyle name="_Table_USA Ownership_commentaires fixe  internet Déc 08_Reporting Onatel septembre  2009 préparé_Budget Telmob 2011 3" xfId="0"/>
    <cellStyle name="_Table_USA Ownership_commentaires fixe  internet Déc 08_TBG Onatel Février  2009  Vtbg V3" xfId="0"/>
    <cellStyle name="_Table_USA Ownership_commentaires fixe  internet Déc 08_TBG Onatel Février  2009  Vtbg V3 2" xfId="0"/>
    <cellStyle name="_Table_USA Ownership_commentaires fixe  internet Déc 08_TBG Onatel Février  2009  Vtbg V3 2 2" xfId="0"/>
    <cellStyle name="_Table_USA Ownership_commentaires fixe  internet Déc 08_TBG Onatel Février  2009  Vtbg V3 3" xfId="0"/>
    <cellStyle name="_Table_USA Ownership_commentaires fixe  internet Déc 08_TBG Onatel Février  2009  Vtbg V3_Budget Telmob 2011" xfId="0"/>
    <cellStyle name="_Table_USA Ownership_commentaires fixe  internet Déc 08_TBG Onatel Février  2009  Vtbg V3_Budget Telmob 2011 2" xfId="0"/>
    <cellStyle name="_Table_USA Ownership_commentaires fixe  internet Déc 08_TBG Onatel Février  2009  Vtbg V3_Budget Telmob 2011 2 2" xfId="0"/>
    <cellStyle name="_Table_USA Ownership_commentaires fixe  internet Déc 08_TBG Onatel Février  2009  Vtbg V3_Budget Telmob 2011 3" xfId="0"/>
    <cellStyle name="_Table_USA Ownership_commentaires fixe  internet Déc 08_TBG Onatel Février  2009  Vtbg V3_Commentaires TBG mars" xfId="0"/>
    <cellStyle name="_Table_USA Ownership_commentaires fixe  internet Déc 08_TBG Onatel Février  2009  Vtbg V3_Commentaires TBG mars 2" xfId="0"/>
    <cellStyle name="_Table_USA Ownership_commentaires fixe  internet Déc 08_TBG Onatel Février  2009  Vtbg V3_Commentaires TBG mars 2 2" xfId="0"/>
    <cellStyle name="_Table_USA Ownership_commentaires fixe  internet Déc 08_TBG Onatel Février  2009  Vtbg V3_Commentaires TBG mars 3" xfId="0"/>
    <cellStyle name="_Table_USA Ownership_commentaires fixe  internet Déc 08_TBG Onatel Février  2009  Vtbg V3_Commentaires TBG mars_Budget Telmob 2011" xfId="0"/>
    <cellStyle name="_Table_USA Ownership_commentaires fixe  internet Déc 08_TBG Onatel Février  2009  Vtbg V3_Commentaires TBG mars_Budget Telmob 2011 2" xfId="0"/>
    <cellStyle name="_Table_USA Ownership_commentaires fixe  internet Déc 08_TBG Onatel Février  2009  Vtbg V3_Commentaires TBG mars_Budget Telmob 2011 2 2" xfId="0"/>
    <cellStyle name="_Table_USA Ownership_commentaires fixe  internet Déc 08_TBG Onatel Février  2009  Vtbg V3_Commentaires TBG mars_Budget Telmob 2011 3" xfId="0"/>
    <cellStyle name="_Table_USA Ownership_commentaires fixe  internet Déc 08_TBG Onatel Février  2009  Vtbg V3_Commentaires TBG mars_Copie de Flash du mois d' avril 2009 corrigé par NAIMI" xfId="0"/>
    <cellStyle name="_Table_USA Ownership_commentaires fixe  internet Déc 08_TBG Onatel Février  2009  Vtbg V3_Commentaires TBG mars_Copie de Flash du mois d' avril 2009 corrigé par NAIMI 2" xfId="0"/>
    <cellStyle name="_Table_USA Ownership_commentaires fixe  internet Déc 08_TBG Onatel Février  2009  Vtbg V3_Commentaires TBG mars_Copie de Flash du mois d' avril 2009 corrigé par NAIMI 2 2" xfId="0"/>
    <cellStyle name="_Table_USA Ownership_commentaires fixe  internet Déc 08_TBG Onatel Février  2009  Vtbg V3_Commentaires TBG mars_Copie de Flash du mois d' avril 2009 corrigé par NAIMI 3" xfId="0"/>
    <cellStyle name="_Table_USA Ownership_commentaires fixe  internet Déc 08_TBG Onatel Février  2009  Vtbg V3_Commentaires TBG mars_Copie de Flash du mois d' avril 2009 corrigé par NAIMI_Budget Telmob 2011" xfId="0"/>
    <cellStyle name="_Table_USA Ownership_commentaires fixe  internet Déc 08_TBG Onatel Février  2009  Vtbg V3_Commentaires TBG mars_Copie de Flash du mois d' avril 2009 corrigé par NAIMI_Budget Telmob 2011 2" xfId="0"/>
    <cellStyle name="_Table_USA Ownership_commentaires fixe  internet Déc 08_TBG Onatel Février  2009  Vtbg V3_Commentaires TBG mars_Copie de Flash du mois d' avril 2009 corrigé par NAIMI_Budget Telmob 2011 2 2" xfId="0"/>
    <cellStyle name="_Table_USA Ownership_commentaires fixe  internet Déc 08_TBG Onatel Février  2009  Vtbg V3_Commentaires TBG mars_Copie de Flash du mois d' avril 2009 corrigé par NAIMI_Budget Telmob 2011 3" xfId="0"/>
    <cellStyle name="_Table_USA Ownership_commentaires fixe  internet Déc 08_TBG Onatel Février  2009  Vtbg V3_Commentaires TBG mars_Copie de Flash du mois d' avril 2009 corrigé par NAIMI_Flash du mois de mai 2009" xfId="0"/>
    <cellStyle name="_Table_USA Ownership_commentaires fixe  internet Déc 08_TBG Onatel Février  2009  Vtbg V3_Commentaires TBG mars_Copie de Flash du mois d' avril 2009 corrigé par NAIMI_Flash du mois de mai 2009 2" xfId="0"/>
    <cellStyle name="_Table_USA Ownership_commentaires fixe  internet Déc 08_TBG Onatel Février  2009  Vtbg V3_Commentaires TBG mars_Copie de Flash du mois d' avril 2009 corrigé par NAIMI_Flash du mois de mai 2009 2 2" xfId="0"/>
    <cellStyle name="_Table_USA Ownership_commentaires fixe  internet Déc 08_TBG Onatel Février  2009  Vtbg V3_Commentaires TBG mars_Copie de Flash du mois d' avril 2009 corrigé par NAIMI_Flash du mois de mai 2009 3" xfId="0"/>
    <cellStyle name="_Table_USA Ownership_commentaires fixe  internet Déc 08_TBG Onatel Février  2009  Vtbg V3_Commentaires TBG mars_Copie de Flash du mois d' avril 2009 corrigé par NAIMI_Flash du mois de mai 2009_Budget Telmob 2011" xfId="0"/>
    <cellStyle name="_Table_USA Ownership_commentaires fixe  internet Déc 08_TBG Onatel Février  2009  Vtbg V3_Commentaires TBG mars_Copie de Flash du mois d' avril 2009 corrigé par NAIMI_Flash du mois de mai 2009_Budget Telmob 2011 2" xfId="0"/>
    <cellStyle name="_Table_USA Ownership_commentaires fixe  internet Déc 08_TBG Onatel Février  2009  Vtbg V3_Commentaires TBG mars_Copie de Flash du mois d' avril 2009 corrigé par NAIMI_Flash du mois de mai 2009_Budget Telmob 2011 2 2" xfId="0"/>
    <cellStyle name="_Table_USA Ownership_commentaires fixe  internet Déc 08_TBG Onatel Février  2009  Vtbg V3_Commentaires TBG mars_Copie de Flash du mois d' avril 2009 corrigé par NAIMI_Flash du mois de mai 2009_Budget Telmob 2011 3" xfId="0"/>
    <cellStyle name="_Table_USA Ownership_commentaires fixe  internet Déc 08_TBG Onatel Février  2009  Vtbg V3_Commentaires TBG mars_Copie de Flash du mois d' avril 2009 corrigé par NAIMI_Flash du mois de septembre 2009 (2) (version 1)" xfId="0"/>
    <cellStyle name="_Table_USA Ownership_commentaires fixe  internet Déc 08_TBG Onatel Février  2009  Vtbg V3_Commentaires TBG mars_Copie de Flash du mois d' avril 2009 corrigé par NAIMI_Flash du mois de septembre 2009 (2) (version 1) 2" xfId="0"/>
    <cellStyle name="_Table_USA Ownership_commentaires fixe  internet Déc 08_TBG Onatel Février  2009  Vtbg V3_Commentaires TBG mars_Copie de Flash du mois d' avril 2009 corrigé par NAIMI_Flash du mois de septembre 2009 (2) (version 1) 2 2" xfId="0"/>
    <cellStyle name="_Table_USA Ownership_commentaires fixe  internet Déc 08_TBG Onatel Février  2009  Vtbg V3_Commentaires TBG mars_Copie de Flash du mois d' avril 2009 corrigé par NAIMI_Flash du mois de septembre 2009 (2) (version 1) 3" xfId="0"/>
    <cellStyle name="_Table_USA Ownership_commentaires fixe  internet Déc 08_TBG Onatel Février  2009  Vtbg V3_Commentaires TBG mars_Copie de Flash du mois d' avril 2009 corrigé par NAIMI_Flash du mois de septembre 2009 (2) (version 1)_Budget Telmob 2011" xfId="0"/>
    <cellStyle name="_Table_USA Ownership_commentaires fixe  internet Déc 08_TBG Onatel Février  2009  Vtbg V3_Commentaires TBG mars_Copie de Flash du mois d' avril 2009 corrigé par NAIMI_Flash du mois de septembre 2009 (2) (version 1)_Budget Telmob 2011 2" xfId="0"/>
    <cellStyle name="_Table_USA Ownership_commentaires fixe  internet Déc 08_TBG Onatel Février  2009  Vtbg V3_Commentaires TBG mars_Copie de Flash du mois d' avril 2009 corrigé par NAIMI_Flash du mois de septembre 2009 (2) (version 1)_Budget Telmob 2011 2 2" xfId="0"/>
    <cellStyle name="_Table_USA Ownership_commentaires fixe  internet Déc 08_TBG Onatel Février  2009  Vtbg V3_Commentaires TBG mars_Copie de Flash du mois d' avril 2009 corrigé par NAIMI_Flash du mois de septembre 2009 (2) (version 1)_Budget Telmob 2011 3" xfId="0"/>
    <cellStyle name="_Table_USA Ownership_commentaires fixe  internet Déc 08_TBG Onatel Février  2009  Vtbg V3_Commentaires TBG mars_Copie de Flash du mois d' avril 2009 corrigé par NAIMI_Reporting Onatel Mai 2009 V 0" xfId="0"/>
    <cellStyle name="_Table_USA Ownership_commentaires fixe  internet Déc 08_TBG Onatel Février  2009  Vtbg V3_Commentaires TBG mars_Copie de Flash du mois d' avril 2009 corrigé par NAIMI_Reporting Onatel Mai 2009 V 0 2" xfId="0"/>
    <cellStyle name="_Table_USA Ownership_commentaires fixe  internet Déc 08_TBG Onatel Février  2009  Vtbg V3_Commentaires TBG mars_Copie de Flash du mois d' avril 2009 corrigé par NAIMI_Reporting Onatel Mai 2009 V 0 2 2" xfId="0"/>
    <cellStyle name="_Table_USA Ownership_commentaires fixe  internet Déc 08_TBG Onatel Février  2009  Vtbg V3_Commentaires TBG mars_Copie de Flash du mois d' avril 2009 corrigé par NAIMI_Reporting Onatel Mai 2009 V 0 3" xfId="0"/>
    <cellStyle name="_Table_USA Ownership_commentaires fixe  internet Déc 08_TBG Onatel Février  2009  Vtbg V3_Commentaires TBG mars_Copie de Flash du mois d' avril 2009 corrigé par NAIMI_Reporting Onatel Mai 2009 V 0_Budget Telmob 2011" xfId="0"/>
    <cellStyle name="_Table_USA Ownership_commentaires fixe  internet Déc 08_TBG Onatel Février  2009  Vtbg V3_Commentaires TBG mars_Copie de Flash du mois d' avril 2009 corrigé par NAIMI_Reporting Onatel Mai 2009 V 0_Budget Telmob 2011 2" xfId="0"/>
    <cellStyle name="_Table_USA Ownership_commentaires fixe  internet Déc 08_TBG Onatel Février  2009  Vtbg V3_Commentaires TBG mars_Copie de Flash du mois d' avril 2009 corrigé par NAIMI_Reporting Onatel Mai 2009 V 0_Budget Telmob 2011 2 2" xfId="0"/>
    <cellStyle name="_Table_USA Ownership_commentaires fixe  internet Déc 08_TBG Onatel Février  2009  Vtbg V3_Commentaires TBG mars_Copie de Flash du mois d' avril 2009 corrigé par NAIMI_Reporting Onatel Mai 2009 V 0_Budget Telmob 2011 3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0"/>
    <cellStyle name="_Table_USA Ownership_commentaires fixe  internet Déc 08_TBG Onatel Février  2009  Vtbg V3_Commentaires TBG mars_Copie de Flash du mois d' avril 2009 corrigé par NAIMI_Reporting Onatel Mai 2009 V 0_Reporting Onatel septembre  2009 préparé" xfId="0"/>
    <cellStyle name="_Table_USA Ownership_commentaires fixe  internet Déc 08_TBG Onatel Février  2009  Vtbg V3_Commentaires TBG mars_Copie de Flash du mois d' avril 2009 corrigé par NAIMI_Reporting Onatel Mai 2009 V 0_Reporting Onatel septembre  2009 préparé 2" xfId="0"/>
    <cellStyle name="_Table_USA Ownership_commentaires fixe  internet Déc 08_TBG Onatel Février  2009  Vtbg V3_Commentaires TBG mars_Copie de Flash du mois d' avril 2009 corrigé par NAIMI_Reporting Onatel Mai 2009 V 0_Reporting Onatel septembre  2009 préparé 2 2" xfId="0"/>
    <cellStyle name="_Table_USA Ownership_commentaires fixe  internet Déc 08_TBG Onatel Février  2009  Vtbg V3_Commentaires TBG mars_Copie de Flash du mois d' avril 2009 corrigé par NAIMI_Reporting Onatel Mai 2009 V 0_Reporting Onatel septembre  2009 préparé 3" xfId="0"/>
    <cellStyle name="_Table_USA Ownership_commentaires fixe  internet Déc 08_TBG Onatel Février  2009  Vtbg V3_Commentaires TBG mars_Copie de Flash du mois d' avril 2009 corrigé par NAIMI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 2" xfId="0"/>
    <cellStyle name="_Table_USA Ownership_commentaires fixe  internet Déc 08_TBG Onatel Février  2009  Vtbg V3_Commentaires TBG mars_Copie de Flash du mois d' avril 2009 corrigé par NAIMI_Reporting Onatel septembre  2009 préparé 2 2" xfId="0"/>
    <cellStyle name="_Table_USA Ownership_commentaires fixe  internet Déc 08_TBG Onatel Février  2009  Vtbg V3_Commentaires TBG mars_Copie de Flash du mois d' avril 2009 corrigé par NAIMI_Reporting Onatel septembre  2009 préparé 3" xfId="0"/>
    <cellStyle name="_Table_USA Ownership_commentaires fixe  internet Déc 08_TBG Onatel Février  2009  Vtbg V3_Commentaires TBG mars_Copie de Flash du mois d' avril 2009 corrigé par NAIMI_Reporting Onatel septembre  2009 préparé_Budget Telmob 2011" xfId="0"/>
    <cellStyle name="_Table_USA Ownership_commentaires fixe  internet Déc 08_TBG Onatel Février  2009  Vtbg V3_Commentaires TBG mars_Copie de Flash du mois d' avril 2009 corrigé par NAIMI_Reporting Onatel septembre  2009 préparé_Budget Telmob 2011 2" xfId="0"/>
    <cellStyle name="_Table_USA Ownership_commentaires fixe  internet Déc 08_TBG Onatel Février  2009  Vtbg V3_Commentaires TBG mars_Copie de Flash du mois d' avril 2009 corrigé par NAIMI_Reporting Onatel septembre  2009 préparé_Budget Telmob 2011 2 2" xfId="0"/>
    <cellStyle name="_Table_USA Ownership_commentaires fixe  internet Déc 08_TBG Onatel Février  2009  Vtbg V3_Commentaires TBG mars_Copie de Flash du mois d' avril 2009 corrigé par NAIMI_Reporting Onatel septembre  2009 préparé_Budget Telmob 2011 3" xfId="0"/>
    <cellStyle name="_Table_USA Ownership_commentaires fixe  internet Déc 08_TBG Onatel Février  2009  Vtbg V3_Commentaires TBG mars_Flash du mois d' avril 2009" xfId="0"/>
    <cellStyle name="_Table_USA Ownership_commentaires fixe  internet Déc 08_TBG Onatel Février  2009  Vtbg V3_Commentaires TBG mars_Flash du mois d' avril 2009 2" xfId="0"/>
    <cellStyle name="_Table_USA Ownership_commentaires fixe  internet Déc 08_TBG Onatel Février  2009  Vtbg V3_Commentaires TBG mars_Flash du mois d' avril 2009 2 2" xfId="0"/>
    <cellStyle name="_Table_USA Ownership_commentaires fixe  internet Déc 08_TBG Onatel Février  2009  Vtbg V3_Commentaires TBG mars_Flash du mois d' avril 2009 3" xfId="0"/>
    <cellStyle name="_Table_USA Ownership_commentaires fixe  internet Déc 08_TBG Onatel Février  2009  Vtbg V3_Commentaires TBG mars_Flash du mois d' avril 2009_Budget Telmob 2011" xfId="0"/>
    <cellStyle name="_Table_USA Ownership_commentaires fixe  internet Déc 08_TBG Onatel Février  2009  Vtbg V3_Commentaires TBG mars_Flash du mois d' avril 2009_Budget Telmob 2011 2" xfId="0"/>
    <cellStyle name="_Table_USA Ownership_commentaires fixe  internet Déc 08_TBG Onatel Février  2009  Vtbg V3_Commentaires TBG mars_Flash du mois d' avril 2009_Budget Telmob 2011 2 2" xfId="0"/>
    <cellStyle name="_Table_USA Ownership_commentaires fixe  internet Déc 08_TBG Onatel Février  2009  Vtbg V3_Commentaires TBG mars_Flash du mois d' avril 2009_Budget Telmob 2011 3" xfId="0"/>
    <cellStyle name="_Table_USA Ownership_commentaires fixe  internet Déc 08_TBG Onatel Février  2009  Vtbg V3_Commentaires TBG mars_Flash du mois d' avril 2009_Flash du mois de mai 2009" xfId="0"/>
    <cellStyle name="_Table_USA Ownership_commentaires fixe  internet Déc 08_TBG Onatel Février  2009  Vtbg V3_Commentaires TBG mars_Flash du mois d' avril 2009_Flash du mois de mai 2009 2" xfId="0"/>
    <cellStyle name="_Table_USA Ownership_commentaires fixe  internet Déc 08_TBG Onatel Février  2009  Vtbg V3_Commentaires TBG mars_Flash du mois d' avril 2009_Flash du mois de mai 2009 2 2" xfId="0"/>
    <cellStyle name="_Table_USA Ownership_commentaires fixe  internet Déc 08_TBG Onatel Février  2009  Vtbg V3_Commentaires TBG mars_Flash du mois d' avril 2009_Flash du mois de mai 2009 3" xfId="0"/>
    <cellStyle name="_Table_USA Ownership_commentaires fixe  internet Déc 08_TBG Onatel Février  2009  Vtbg V3_Commentaires TBG mars_Flash du mois d' avril 2009_Flash du mois de mai 2009_Budget Telmob 2011" xfId="0"/>
    <cellStyle name="_Table_USA Ownership_commentaires fixe  internet Déc 08_TBG Onatel Février  2009  Vtbg V3_Commentaires TBG mars_Flash du mois d' avril 2009_Flash du mois de mai 2009_Budget Telmob 2011 2" xfId="0"/>
    <cellStyle name="_Table_USA Ownership_commentaires fixe  internet Déc 08_TBG Onatel Février  2009  Vtbg V3_Commentaires TBG mars_Flash du mois d' avril 2009_Flash du mois de mai 2009_Budget Telmob 2011 2 2" xfId="0"/>
    <cellStyle name="_Table_USA Ownership_commentaires fixe  internet Déc 08_TBG Onatel Février  2009  Vtbg V3_Commentaires TBG mars_Flash du mois d' avril 2009_Flash du mois de mai 2009_Budget Telmob 2011 3" xfId="0"/>
    <cellStyle name="_Table_USA Ownership_commentaires fixe  internet Déc 08_TBG Onatel Février  2009  Vtbg V3_Commentaires TBG mars_Flash du mois d' avril 2009_Flash du mois de septembre 2009 (2) (version 1)" xfId="0"/>
    <cellStyle name="_Table_USA Ownership_commentaires fixe  internet Déc 08_TBG Onatel Février  2009  Vtbg V3_Commentaires TBG mars_Flash du mois d' avril 2009_Flash du mois de septembre 2009 (2) (version 1) 2" xfId="0"/>
    <cellStyle name="_Table_USA Ownership_commentaires fixe  internet Déc 08_TBG Onatel Février  2009  Vtbg V3_Commentaires TBG mars_Flash du mois d' avril 2009_Flash du mois de septembre 2009 (2) (version 1) 2 2" xfId="0"/>
    <cellStyle name="_Table_USA Ownership_commentaires fixe  internet Déc 08_TBG Onatel Février  2009  Vtbg V3_Commentaires TBG mars_Flash du mois d' avril 2009_Flash du mois de septembre 2009 (2) (version 1) 3" xfId="0"/>
    <cellStyle name="_Table_USA Ownership_commentaires fixe  internet Déc 08_TBG Onatel Février  2009  Vtbg V3_Commentaires TBG mars_Flash du mois d' avril 2009_Flash du mois de septembre 2009 (2) (version 1)_Budget Telmob 2011" xfId="0"/>
    <cellStyle name="_Table_USA Ownership_commentaires fixe  internet Déc 08_TBG Onatel Février  2009  Vtbg V3_Commentaires TBG mars_Flash du mois d' avril 2009_Flash du mois de septembre 2009 (2) (version 1)_Budget Telmob 2011 2" xfId="0"/>
    <cellStyle name="_Table_USA Ownership_commentaires fixe  internet Déc 08_TBG Onatel Février  2009  Vtbg V3_Commentaires TBG mars_Flash du mois d' avril 2009_Flash du mois de septembre 2009 (2) (version 1)_Budget Telmob 2011 2 2" xfId="0"/>
    <cellStyle name="_Table_USA Ownership_commentaires fixe  internet Déc 08_TBG Onatel Février  2009  Vtbg V3_Commentaires TBG mars_Flash du mois d' avril 2009_Flash du mois de septembre 2009 (2) (version 1)_Budget Telmob 2011 3" xfId="0"/>
    <cellStyle name="_Table_USA Ownership_commentaires fixe  internet Déc 08_TBG Onatel Février  2009  Vtbg V3_Commentaires TBG mars_Flash du mois d' avril 2009_Reporting Onatel Mai 2009 V 0" xfId="0"/>
    <cellStyle name="_Table_USA Ownership_commentaires fixe  internet Déc 08_TBG Onatel Février  2009  Vtbg V3_Commentaires TBG mars_Flash du mois d' avril 2009_Reporting Onatel Mai 2009 V 0 2" xfId="0"/>
    <cellStyle name="_Table_USA Ownership_commentaires fixe  internet Déc 08_TBG Onatel Février  2009  Vtbg V3_Commentaires TBG mars_Flash du mois d' avril 2009_Reporting Onatel Mai 2009 V 0 2 2" xfId="0"/>
    <cellStyle name="_Table_USA Ownership_commentaires fixe  internet Déc 08_TBG Onatel Février  2009  Vtbg V3_Commentaires TBG mars_Flash du mois d' avril 2009_Reporting Onatel Mai 2009 V 0 3" xfId="0"/>
    <cellStyle name="_Table_USA Ownership_commentaires fixe  internet Déc 08_TBG Onatel Février  2009  Vtbg V3_Commentaires TBG mars_Flash du mois d' avril 2009_Reporting Onatel Mai 2009 V 0_Budget Telmob 2011" xfId="0"/>
    <cellStyle name="_Table_USA Ownership_commentaires fixe  internet Déc 08_TBG Onatel Février  2009  Vtbg V3_Commentaires TBG mars_Flash du mois d' avril 2009_Reporting Onatel Mai 2009 V 0_Budget Telmob 2011 2" xfId="0"/>
    <cellStyle name="_Table_USA Ownership_commentaires fixe  internet Déc 08_TBG Onatel Février  2009  Vtbg V3_Commentaires TBG mars_Flash du mois d' avril 2009_Reporting Onatel Mai 2009 V 0_Budget Telmob 2011 2 2" xfId="0"/>
    <cellStyle name="_Table_USA Ownership_commentaires fixe  internet Déc 08_TBG Onatel Février  2009  Vtbg V3_Commentaires TBG mars_Flash du mois d' avril 2009_Reporting Onatel Mai 2009 V 0_Budget Telmob 2011 3" xfId="0"/>
    <cellStyle name="_Table_USA Ownership_commentaires fixe  internet Déc 08_TBG Onatel Février  2009  Vtbg V3_Commentaires TBG mars_Flash du mois d' avril 2009_Reporting Onatel septembre  2009 préparé" xfId="0"/>
    <cellStyle name="_Table_USA Ownership_commentaires fixe  internet Déc 08_TBG Onatel Février  2009  Vtbg V3_Commentaires TBG mars_Flash du mois d' avril 2009_Reporting Onatel septembre  2009 préparé 2" xfId="0"/>
    <cellStyle name="_Table_USA Ownership_commentaires fixe  internet Déc 08_TBG Onatel Février  2009  Vtbg V3_Commentaires TBG mars_Flash du mois d' avril 2009_Reporting Onatel septembre  2009 préparé 2 2" xfId="0"/>
    <cellStyle name="_Table_USA Ownership_commentaires fixe  internet Déc 08_TBG Onatel Février  2009  Vtbg V3_Commentaires TBG mars_Flash du mois d' avril 2009_Reporting Onatel septembre  2009 préparé 3" xfId="0"/>
    <cellStyle name="_Table_USA Ownership_commentaires fixe  internet Déc 08_TBG Onatel Février  2009  Vtbg V3_Commentaires TBG mars_Flash du mois d' avril 2009_Reporting Onatel septembre  2009 préparé_Budget Telmob 2011" xfId="0"/>
    <cellStyle name="_Table_USA Ownership_commentaires fixe  internet Déc 08_TBG Onatel Février  2009  Vtbg V3_Commentaires TBG mars_Flash du mois d' avril 2009_Reporting Onatel septembre  2009 préparé_Budget Telmob 2011 2" xfId="0"/>
    <cellStyle name="_Table_USA Ownership_commentaires fixe  internet Déc 08_TBG Onatel Février  2009  Vtbg V3_Commentaires TBG mars_Flash du mois d' avril 2009_Reporting Onatel septembre  2009 préparé_Budget Telmob 2011 2 2" xfId="0"/>
    <cellStyle name="_Table_USA Ownership_commentaires fixe  internet Déc 08_TBG Onatel Février  2009  Vtbg V3_Commentaires TBG mars_Flash du mois d' avril 2009_Reporting Onatel septembre  2009 préparé_Budget Telmob 2011 3" xfId="0"/>
    <cellStyle name="_Table_USA Ownership_commentaires fixe  internet Déc 08_TBG Onatel Février  2009  Vtbg V3_Commentaires TBG mars_Flash du mois de mai 2009" xfId="0"/>
    <cellStyle name="_Table_USA Ownership_commentaires fixe  internet Déc 08_TBG Onatel Février  2009  Vtbg V3_Commentaires TBG mars_Flash du mois de mai 2009 2" xfId="0"/>
    <cellStyle name="_Table_USA Ownership_commentaires fixe  internet Déc 08_TBG Onatel Février  2009  Vtbg V3_Commentaires TBG mars_Flash du mois de mai 2009 2 2" xfId="0"/>
    <cellStyle name="_Table_USA Ownership_commentaires fixe  internet Déc 08_TBG Onatel Février  2009  Vtbg V3_Commentaires TBG mars_Flash du mois de mai 2009 3" xfId="0"/>
    <cellStyle name="_Table_USA Ownership_commentaires fixe  internet Déc 08_TBG Onatel Février  2009  Vtbg V3_Commentaires TBG mars_Flash du mois de mai 2009_Budget Telmob 2011" xfId="0"/>
    <cellStyle name="_Table_USA Ownership_commentaires fixe  internet Déc 08_TBG Onatel Février  2009  Vtbg V3_Commentaires TBG mars_Flash du mois de mai 2009_Budget Telmob 2011 2" xfId="0"/>
    <cellStyle name="_Table_USA Ownership_commentaires fixe  internet Déc 08_TBG Onatel Février  2009  Vtbg V3_Commentaires TBG mars_Flash du mois de mai 2009_Budget Telmob 2011 2 2" xfId="0"/>
    <cellStyle name="_Table_USA Ownership_commentaires fixe  internet Déc 08_TBG Onatel Février  2009  Vtbg V3_Commentaires TBG mars_Flash du mois de mai 2009_Budget Telmob 2011 3" xfId="0"/>
    <cellStyle name="_Table_USA Ownership_commentaires fixe  internet Déc 08_TBG Onatel Février  2009  Vtbg V3_Commentaires TBG mars_Flash du mois de septembre 2009 (2) (version 1)" xfId="0"/>
    <cellStyle name="_Table_USA Ownership_commentaires fixe  internet Déc 08_TBG Onatel Février  2009  Vtbg V3_Commentaires TBG mars_Flash du mois de septembre 2009 (2) (version 1) 2" xfId="0"/>
    <cellStyle name="_Table_USA Ownership_commentaires fixe  internet Déc 08_TBG Onatel Février  2009  Vtbg V3_Commentaires TBG mars_Flash du mois de septembre 2009 (2) (version 1) 2 2" xfId="0"/>
    <cellStyle name="_Table_USA Ownership_commentaires fixe  internet Déc 08_TBG Onatel Février  2009  Vtbg V3_Commentaires TBG mars_Flash du mois de septembre 2009 (2) (version 1) 3" xfId="0"/>
    <cellStyle name="_Table_USA Ownership_commentaires fixe  internet Déc 08_TBG Onatel Février  2009  Vtbg V3_Commentaires TBG mars_Flash du mois de septembre 2009 (2) (version 1)_Budget Telmob 2011" xfId="0"/>
    <cellStyle name="_Table_USA Ownership_commentaires fixe  internet Déc 08_TBG Onatel Février  2009  Vtbg V3_Commentaires TBG mars_Flash du mois de septembre 2009 (2) (version 1)_Budget Telmob 2011 2" xfId="0"/>
    <cellStyle name="_Table_USA Ownership_commentaires fixe  internet Déc 08_TBG Onatel Février  2009  Vtbg V3_Commentaires TBG mars_Flash du mois de septembre 2009 (2) (version 1)_Budget Telmob 2011 2 2" xfId="0"/>
    <cellStyle name="_Table_USA Ownership_commentaires fixe  internet Déc 08_TBG Onatel Février  2009  Vtbg V3_Commentaires TBG mars_Flash du mois de septembre 2009 (2) (version 1)_Budget Telmob 2011 3" xfId="0"/>
    <cellStyle name="_Table_USA Ownership_commentaires fixe  internet Déc 08_TBG Onatel Février  2009  Vtbg V3_Commentaires TBG mars_Reporting Onatel Mai 2009 V 0" xfId="0"/>
    <cellStyle name="_Table_USA Ownership_commentaires fixe  internet Déc 08_TBG Onatel Février  2009  Vtbg V3_Commentaires TBG mars_Reporting Onatel Mai 2009 V 0 2" xfId="0"/>
    <cellStyle name="_Table_USA Ownership_commentaires fixe  internet Déc 08_TBG Onatel Février  2009  Vtbg V3_Commentaires TBG mars_Reporting Onatel Mai 2009 V 0 2 2" xfId="0"/>
    <cellStyle name="_Table_USA Ownership_commentaires fixe  internet Déc 08_TBG Onatel Février  2009  Vtbg V3_Commentaires TBG mars_Reporting Onatel Mai 2009 V 0 3" xfId="0"/>
    <cellStyle name="_Table_USA Ownership_commentaires fixe  internet Déc 08_TBG Onatel Février  2009  Vtbg V3_Commentaires TBG mars_Reporting Onatel Mai 2009 V 0_Budget Telmob 2011" xfId="0"/>
    <cellStyle name="_Table_USA Ownership_commentaires fixe  internet Déc 08_TBG Onatel Février  2009  Vtbg V3_Commentaires TBG mars_Reporting Onatel Mai 2009 V 0_Budget Telmob 2011 2" xfId="0"/>
    <cellStyle name="_Table_USA Ownership_commentaires fixe  internet Déc 08_TBG Onatel Février  2009  Vtbg V3_Commentaires TBG mars_Reporting Onatel Mai 2009 V 0_Budget Telmob 2011 2 2" xfId="0"/>
    <cellStyle name="_Table_USA Ownership_commentaires fixe  internet Déc 08_TBG Onatel Février  2009  Vtbg V3_Commentaires TBG mars_Reporting Onatel Mai 2009 V 0_Budget Telmob 2011 3" xfId="0"/>
    <cellStyle name="_Table_USA Ownership_commentaires fixe  internet Déc 08_TBG Onatel Février  2009  Vtbg V3_Commentaires TBG mars_Reporting Onatel septembre  2009 préparé" xfId="0"/>
    <cellStyle name="_Table_USA Ownership_commentaires fixe  internet Déc 08_TBG Onatel Février  2009  Vtbg V3_Commentaires TBG mars_Reporting Onatel septembre  2009 préparé 2" xfId="0"/>
    <cellStyle name="_Table_USA Ownership_commentaires fixe  internet Déc 08_TBG Onatel Février  2009  Vtbg V3_Commentaires TBG mars_Reporting Onatel septembre  2009 préparé 2 2" xfId="0"/>
    <cellStyle name="_Table_USA Ownership_commentaires fixe  internet Déc 08_TBG Onatel Février  2009  Vtbg V3_Commentaires TBG mars_Reporting Onatel septembre  2009 préparé 3" xfId="0"/>
    <cellStyle name="_Table_USA Ownership_commentaires fixe  internet Déc 08_TBG Onatel Février  2009  Vtbg V3_Commentaires TBG mars_Reporting Onatel septembre  2009 préparé_Budget Telmob 2011" xfId="0"/>
    <cellStyle name="_Table_USA Ownership_commentaires fixe  internet Déc 08_TBG Onatel Février  2009  Vtbg V3_Commentaires TBG mars_Reporting Onatel septembre  2009 préparé_Budget Telmob 2011 2" xfId="0"/>
    <cellStyle name="_Table_USA Ownership_commentaires fixe  internet Déc 08_TBG Onatel Février  2009  Vtbg V3_Commentaires TBG mars_Reporting Onatel septembre  2009 préparé_Budget Telmob 2011 2 2" xfId="0"/>
    <cellStyle name="_Table_USA Ownership_commentaires fixe  internet Déc 08_TBG Onatel Février  2009  Vtbg V3_Commentaires TBG mars_Reporting Onatel septembre  2009 préparé_Budget Telmob 2011 3" xfId="0"/>
    <cellStyle name="_Table_USA Ownership_commentaires fixe  internet Déc 08_TBG Onatel Février  2009  Vtbg V3_Copie de Flash du mois d' avril 2009 corrigé par NAIMI" xfId="0"/>
    <cellStyle name="_Table_USA Ownership_commentaires fixe  internet Déc 08_TBG Onatel Février  2009  Vtbg V3_Copie de Flash du mois d' avril 2009 corrigé par NAIMI 2" xfId="0"/>
    <cellStyle name="_Table_USA Ownership_commentaires fixe  internet Déc 08_TBG Onatel Février  2009  Vtbg V3_Copie de Flash du mois d' avril 2009 corrigé par NAIMI 2 2" xfId="0"/>
    <cellStyle name="_Table_USA Ownership_commentaires fixe  internet Déc 08_TBG Onatel Février  2009  Vtbg V3_Copie de Flash du mois d' avril 2009 corrigé par NAIMI 3" xfId="0"/>
    <cellStyle name="_Table_USA Ownership_commentaires fixe  internet Déc 08_TBG Onatel Février  2009  Vtbg V3_Copie de Flash du mois d' avril 2009 corrigé par NAIMI_Budget Telmob 2011" xfId="0"/>
    <cellStyle name="_Table_USA Ownership_commentaires fixe  internet Déc 08_TBG Onatel Février  2009  Vtbg V3_Copie de Flash du mois d' avril 2009 corrigé par NAIMI_Budget Telmob 2011 2" xfId="0"/>
    <cellStyle name="_Table_USA Ownership_commentaires fixe  internet Déc 08_TBG Onatel Février  2009  Vtbg V3_Copie de Flash du mois d' avril 2009 corrigé par NAIMI_Budget Telmob 2011 2 2" xfId="0"/>
    <cellStyle name="_Table_USA Ownership_commentaires fixe  internet Déc 08_TBG Onatel Février  2009  Vtbg V3_Copie de Flash du mois d' avril 2009 corrigé par NAIMI_Budget Telmob 2011 3" xfId="0"/>
    <cellStyle name="_Table_USA Ownership_commentaires fixe  internet Déc 08_TBG Onatel Février  2009  Vtbg V3_Copie de Flash du mois d' avril 2009 corrigé par NAIMI_Flash du mois de mai 2009" xfId="0"/>
    <cellStyle name="_Table_USA Ownership_commentaires fixe  internet Déc 08_TBG Onatel Février  2009  Vtbg V3_Copie de Flash du mois d' avril 2009 corrigé par NAIMI_Flash du mois de mai 2009 2" xfId="0"/>
    <cellStyle name="_Table_USA Ownership_commentaires fixe  internet Déc 08_TBG Onatel Février  2009  Vtbg V3_Copie de Flash du mois d' avril 2009 corrigé par NAIMI_Flash du mois de mai 2009 2 2" xfId="0"/>
    <cellStyle name="_Table_USA Ownership_commentaires fixe  internet Déc 08_TBG Onatel Février  2009  Vtbg V3_Copie de Flash du mois d' avril 2009 corrigé par NAIMI_Flash du mois de mai 2009 3" xfId="0"/>
    <cellStyle name="_Table_USA Ownership_commentaires fixe  internet Déc 08_TBG Onatel Février  2009  Vtbg V3_Copie de Flash du mois d' avril 2009 corrigé par NAIMI_Flash du mois de mai 2009_Budget Telmob 2011" xfId="0"/>
    <cellStyle name="_Table_USA Ownership_commentaires fixe  internet Déc 08_TBG Onatel Février  2009  Vtbg V3_Copie de Flash du mois d' avril 2009 corrigé par NAIMI_Flash du mois de mai 2009_Budget Telmob 2011 2" xfId="0"/>
    <cellStyle name="_Table_USA Ownership_commentaires fixe  internet Déc 08_TBG Onatel Février  2009  Vtbg V3_Copie de Flash du mois d' avril 2009 corrigé par NAIMI_Flash du mois de mai 2009_Budget Telmob 2011 2 2" xfId="0"/>
    <cellStyle name="_Table_USA Ownership_commentaires fixe  internet Déc 08_TBG Onatel Février  2009  Vtbg V3_Copie de Flash du mois d' avril 2009 corrigé par NAIMI_Flash du mois de mai 2009_Budget Telmob 2011 3" xfId="0"/>
    <cellStyle name="_Table_USA Ownership_commentaires fixe  internet Déc 08_TBG Onatel Février  2009  Vtbg V3_Copie de Flash du mois d' avril 2009 corrigé par NAIMI_Flash du mois de septembre 2009 (2) (version 1)" xfId="0"/>
    <cellStyle name="_Table_USA Ownership_commentaires fixe  internet Déc 08_TBG Onatel Février  2009  Vtbg V3_Copie de Flash du mois d' avril 2009 corrigé par NAIMI_Flash du mois de septembre 2009 (2) (version 1) 2" xfId="0"/>
    <cellStyle name="_Table_USA Ownership_commentaires fixe  internet Déc 08_TBG Onatel Février  2009  Vtbg V3_Copie de Flash du mois d' avril 2009 corrigé par NAIMI_Flash du mois de septembre 2009 (2) (version 1) 2 2" xfId="0"/>
    <cellStyle name="_Table_USA Ownership_commentaires fixe  internet Déc 08_TBG Onatel Février  2009  Vtbg V3_Copie de Flash du mois d' avril 2009 corrigé par NAIMI_Flash du mois de septembre 2009 (2) (version 1) 3" xfId="0"/>
    <cellStyle name="_Table_USA Ownership_commentaires fixe  internet Déc 08_TBG Onatel Février  2009  Vtbg V3_Copie de Flash du mois d' avril 2009 corrigé par NAIMI_Flash du mois de septembre 2009 (2) (version 1)_Budget Telmob 2011" xfId="0"/>
    <cellStyle name="_Table_USA Ownership_commentaires fixe  internet Déc 08_TBG Onatel Février  2009  Vtbg V3_Copie de Flash du mois d' avril 2009 corrigé par NAIMI_Flash du mois de septembre 2009 (2) (version 1)_Budget Telmob 2011 2" xfId="0"/>
    <cellStyle name="_Table_USA Ownership_commentaires fixe  internet Déc 08_TBG Onatel Février  2009  Vtbg V3_Copie de Flash du mois d' avril 2009 corrigé par NAIMI_Flash du mois de septembre 2009 (2) (version 1)_Budget Telmob 2011 2 2" xfId="0"/>
    <cellStyle name="_Table_USA Ownership_commentaires fixe  internet Déc 08_TBG Onatel Février  2009  Vtbg V3_Copie de Flash du mois d' avril 2009 corrigé par NAIMI_Flash du mois de septembre 2009 (2) (version 1)_Budget Telmob 2011 3" xfId="0"/>
    <cellStyle name="_Table_USA Ownership_commentaires fixe  internet Déc 08_TBG Onatel Février  2009  Vtbg V3_Copie de Flash du mois d' avril 2009 corrigé par NAIMI_Reporting Onatel Mai 2009 V 0" xfId="0"/>
    <cellStyle name="_Table_USA Ownership_commentaires fixe  internet Déc 08_TBG Onatel Février  2009  Vtbg V3_Copie de Flash du mois d' avril 2009 corrigé par NAIMI_Reporting Onatel Mai 2009 V 0 2" xfId="0"/>
    <cellStyle name="_Table_USA Ownership_commentaires fixe  internet Déc 08_TBG Onatel Février  2009  Vtbg V3_Copie de Flash du mois d' avril 2009 corrigé par NAIMI_Reporting Onatel Mai 2009 V 0 2 2" xfId="0"/>
    <cellStyle name="_Table_USA Ownership_commentaires fixe  internet Déc 08_TBG Onatel Février  2009  Vtbg V3_Copie de Flash du mois d' avril 2009 corrigé par NAIMI_Reporting Onatel Mai 2009 V 0 3" xfId="0"/>
    <cellStyle name="_Table_USA Ownership_commentaires fixe  internet Déc 08_TBG Onatel Février  2009  Vtbg V3_Copie de Flash du mois d' avril 2009 corrigé par NAIMI_Reporting Onatel Mai 2009 V 0_Budget Telmob 2011" xfId="0"/>
    <cellStyle name="_Table_USA Ownership_commentaires fixe  internet Déc 08_TBG Onatel Février  2009  Vtbg V3_Copie de Flash du mois d' avril 2009 corrigé par NAIMI_Reporting Onatel Mai 2009 V 0_Budget Telmob 2011 2" xfId="0"/>
    <cellStyle name="_Table_USA Ownership_commentaires fixe  internet Déc 08_TBG Onatel Février  2009  Vtbg V3_Copie de Flash du mois d' avril 2009 corrigé par NAIMI_Reporting Onatel Mai 2009 V 0_Budget Telmob 2011 2 2" xfId="0"/>
    <cellStyle name="_Table_USA Ownership_commentaires fixe  internet Déc 08_TBG Onatel Février  2009  Vtbg V3_Copie de Flash du mois d' avril 2009 corrigé par NAIMI_Reporting Onatel Mai 2009 V 0_Budget Telmob 2011 3" xfId="0"/>
    <cellStyle name="_Table_USA Ownership_commentaires fixe  internet Déc 08_TBG Onatel Février  2009  Vtbg V3_Copie de Flash du mois d' avril 2009 corrigé par NAIMI_Reporting Onatel Mai 2009 V 0_Flash du mois de septembre 2009 (2) (version 1)" xfId="0"/>
    <cellStyle name="_Table_USA Ownership_commentaires fixe  internet Déc 08_TBG Onatel Février  2009  Vtbg V3_Copie de Flash du mois d' avril 2009 corrigé par NAIMI_Reporting Onatel Mai 2009 V 0_Flash du mois de septembre 2009 (2) (version 1) 2" xfId="0"/>
    <cellStyle name="_Table_USA Ownership_commentaires fixe  internet Déc 08_TBG Onatel Février  2009  Vtbg V3_Copie de Flash du mois d' avril 2009 corrigé par NAIMI_Reporting Onatel Mai 2009 V 0_Flash du mois de septembre 2009 (2) (version 1) 2 2" xfId="0"/>
    <cellStyle name="_Table_USA Ownership_commentaires fixe  internet Déc 08_TBG Onatel Février  2009  Vtbg V3_Copie de Flash du mois d' avril 2009 corrigé par NAIMI_Reporting Onatel Mai 2009 V 0_Flash du mois de septembre 2009 (2) (version 1) 3" xfId="0"/>
    <cellStyle name="_Table_USA Ownership_commentaires fixe  internet Déc 08_TBG Onatel Février  2009  Vtbg V3_Copie de Flash du mois d' avril 2009 corrigé par NAIMI_Reporting Onatel Mai 2009 V 0_Flash du mois de septembre 2009 (2) (version 1)_Budget Telmob 2011" xfId="0"/>
    <cellStyle name="_Table_USA Ownership_commentaires fixe  internet Déc 08_TBG Onatel Février  2009  Vtbg V3_Copie de Flash du mois d' avril 2009 corrigé par NAIMI_Reporting Onatel Mai 2009 V 0_Flash du mois de septembre 2009 (2) (version 1)_Budget Telmob 2011 2" xfId="0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0"/>
    <cellStyle name="_Table_USA Ownership_commentaires fixe  internet Déc 08_TBG Onatel Février  2009  Vtbg V3_Copie de Flash du mois d' avril 2009 corrigé par NAIMI_Reporting Onatel Mai 2009 V 0_Flash du mois de septembre 2009 (2) (version 1)_Budget Telmob 2011 3" xfId="0"/>
    <cellStyle name="_Table_USA Ownership_commentaires fixe  internet Déc 08_TBG Onatel Février  2009  Vtbg V3_Copie de Flash du mois d' avril 2009 corrigé par NAIMI_Reporting Onatel Mai 2009 V 0_Reporting Onatel septembre  2009 préparé" xfId="0"/>
    <cellStyle name="_Table_USA Ownership_commentaires fixe  internet Déc 08_TBG Onatel Février  2009  Vtbg V3_Copie de Flash du mois d' avril 2009 corrigé par NAIMI_Reporting Onatel Mai 2009 V 0_Reporting Onatel septembre  2009 préparé 2" xfId="0"/>
    <cellStyle name="_Table_USA Ownership_commentaires fixe  internet Déc 08_TBG Onatel Février  2009  Vtbg V3_Copie de Flash du mois d' avril 2009 corrigé par NAIMI_Reporting Onatel Mai 2009 V 0_Reporting Onatel septembre  2009 préparé 2 2" xfId="0"/>
    <cellStyle name="_Table_USA Ownership_commentaires fixe  internet Déc 08_TBG Onatel Février  2009  Vtbg V3_Copie de Flash du mois d' avril 2009 corrigé par NAIMI_Reporting Onatel Mai 2009 V 0_Reporting Onatel septembre  2009 préparé 3" xfId="0"/>
    <cellStyle name="_Table_USA Ownership_commentaires fixe  internet Déc 08_TBG Onatel Février  2009  Vtbg V3_Copie de Flash du mois d' avril 2009 corrigé par NAIMI_Reporting Onatel Mai 2009 V 0_Reporting Onatel septembre  2009 préparé_Budget Telmob 2011" xfId="0"/>
    <cellStyle name="_Table_USA Ownership_commentaires fixe  internet Déc 08_TBG Onatel Février  2009  Vtbg V3_Copie de Flash du mois d' avril 2009 corrigé par NAIMI_Reporting Onatel Mai 2009 V 0_Reporting Onatel septembre  2009 préparé_Budget Telmob 2011 2" xfId="0"/>
    <cellStyle name="_Table_USA Ownership_commentaires fixe  internet Déc 08_TBG Onatel Février  2009  Vtbg V3_Copie de Flash du mois d' avril 2009 corrigé par NAIMI_Reporting Onatel Mai 2009 V 0_Reporting Onatel septembre  2009 préparé_Budget Telmob 2011 2 2" xfId="0"/>
    <cellStyle name="_Table_USA Ownership_commentaires fixe  internet Déc 08_TBG Onatel Février  2009  Vtbg V3_Copie de Flash du mois d' avril 2009 corrigé par NAIMI_Reporting Onatel Mai 2009 V 0_Reporting Onatel septembre  2009 préparé_Budget Telmob 2011 3" xfId="0"/>
    <cellStyle name="_Table_USA Ownership_commentaires fixe  internet Déc 08_TBG Onatel Février  2009  Vtbg V3_Copie de Flash du mois d' avril 2009 corrigé par NAIMI_Reporting Onatel septembre  2009 préparé" xfId="0"/>
    <cellStyle name="_Table_USA Ownership_commentaires fixe  internet Déc 08_TBG Onatel Février  2009  Vtbg V3_Copie de Flash du mois d' avril 2009 corrigé par NAIMI_Reporting Onatel septembre  2009 préparé 2" xfId="0"/>
    <cellStyle name="_Table_USA Ownership_commentaires fixe  internet Déc 08_TBG Onatel Février  2009  Vtbg V3_Copie de Flash du mois d' avril 2009 corrigé par NAIMI_Reporting Onatel septembre  2009 préparé 2 2" xfId="0"/>
    <cellStyle name="_Table_USA Ownership_commentaires fixe  internet Déc 08_TBG Onatel Février  2009  Vtbg V3_Copie de Flash du mois d' avril 2009 corrigé par NAIMI_Reporting Onatel septembre  2009 préparé 3" xfId="0"/>
    <cellStyle name="_Table_USA Ownership_commentaires fixe  internet Déc 08_TBG Onatel Février  2009  Vtbg V3_Copie de Flash du mois d' avril 2009 corrigé par NAIMI_Reporting Onatel septembre  2009 préparé_Budget Telmob 2011" xfId="0"/>
    <cellStyle name="_Table_USA Ownership_commentaires fixe  internet Déc 08_TBG Onatel Février  2009  Vtbg V3_Copie de Flash du mois d' avril 2009 corrigé par NAIMI_Reporting Onatel septembre  2009 préparé_Budget Telmob 2011 2" xfId="0"/>
    <cellStyle name="_Table_USA Ownership_commentaires fixe  internet Déc 08_TBG Onatel Février  2009  Vtbg V3_Copie de Flash du mois d' avril 2009 corrigé par NAIMI_Reporting Onatel septembre  2009 préparé_Budget Telmob 2011 2 2" xfId="0"/>
    <cellStyle name="_Table_USA Ownership_commentaires fixe  internet Déc 08_TBG Onatel Février  2009  Vtbg V3_Copie de Flash du mois d' avril 2009 corrigé par NAIMI_Reporting Onatel septembre  2009 préparé_Budget Telmob 2011 3" xfId="0"/>
    <cellStyle name="_Table_USA Ownership_commentaires fixe  internet Déc 08_TBG Onatel Février  2009  Vtbg V3_Flash du mois d' avril 2009" xfId="0"/>
    <cellStyle name="_Table_USA Ownership_commentaires fixe  internet Déc 08_TBG Onatel Février  2009  Vtbg V3_Flash du mois d' avril 2009 2" xfId="0"/>
    <cellStyle name="_Table_USA Ownership_commentaires fixe  internet Déc 08_TBG Onatel Février  2009  Vtbg V3_Flash du mois d' avril 2009 2 2" xfId="0"/>
    <cellStyle name="_Table_USA Ownership_commentaires fixe  internet Déc 08_TBG Onatel Février  2009  Vtbg V3_Flash du mois d' avril 2009 3" xfId="0"/>
    <cellStyle name="_Table_USA Ownership_commentaires fixe  internet Déc 08_TBG Onatel Février  2009  Vtbg V3_Flash du mois d' avril 2009_Budget Telmob 2011" xfId="0"/>
    <cellStyle name="_Table_USA Ownership_commentaires fixe  internet Déc 08_TBG Onatel Février  2009  Vtbg V3_Flash du mois d' avril 2009_Budget Telmob 2011 2" xfId="0"/>
    <cellStyle name="_Table_USA Ownership_commentaires fixe  internet Déc 08_TBG Onatel Février  2009  Vtbg V3_Flash du mois d' avril 2009_Budget Telmob 2011 2 2" xfId="0"/>
    <cellStyle name="_Table_USA Ownership_commentaires fixe  internet Déc 08_TBG Onatel Février  2009  Vtbg V3_Flash du mois d' avril 2009_Budget Telmob 2011 3" xfId="0"/>
    <cellStyle name="_Table_USA Ownership_commentaires fixe  internet Déc 08_TBG Onatel Février  2009  Vtbg V3_Flash du mois d' avril 2009_Flash du mois de mai 2009" xfId="0"/>
    <cellStyle name="_Table_USA Ownership_commentaires fixe  internet Déc 08_TBG Onatel Février  2009  Vtbg V3_Flash du mois d' avril 2009_Flash du mois de mai 2009 2" xfId="0"/>
    <cellStyle name="_Table_USA Ownership_commentaires fixe  internet Déc 08_TBG Onatel Février  2009  Vtbg V3_Flash du mois d' avril 2009_Flash du mois de mai 2009 2 2" xfId="0"/>
    <cellStyle name="_Table_USA Ownership_commentaires fixe  internet Déc 08_TBG Onatel Février  2009  Vtbg V3_Flash du mois d' avril 2009_Flash du mois de mai 2009 3" xfId="0"/>
    <cellStyle name="_Table_USA Ownership_commentaires fixe  internet Déc 08_TBG Onatel Février  2009  Vtbg V3_Flash du mois d' avril 2009_Flash du mois de mai 2009_Budget Telmob 2011" xfId="0"/>
    <cellStyle name="_Table_USA Ownership_commentaires fixe  internet Déc 08_TBG Onatel Février  2009  Vtbg V3_Flash du mois d' avril 2009_Flash du mois de mai 2009_Budget Telmob 2011 2" xfId="0"/>
    <cellStyle name="_Table_USA Ownership_commentaires fixe  internet Déc 08_TBG Onatel Février  2009  Vtbg V3_Flash du mois d' avril 2009_Flash du mois de mai 2009_Budget Telmob 2011 2 2" xfId="0"/>
    <cellStyle name="_Table_USA Ownership_commentaires fixe  internet Déc 08_TBG Onatel Février  2009  Vtbg V3_Flash du mois d' avril 2009_Flash du mois de mai 2009_Budget Telmob 2011 3" xfId="0"/>
    <cellStyle name="_Table_USA Ownership_commentaires fixe  internet Déc 08_TBG Onatel Février  2009  Vtbg V3_Flash du mois d' avril 2009_Flash du mois de septembre 2009 (2) (version 1)" xfId="0"/>
    <cellStyle name="_Table_USA Ownership_commentaires fixe  internet Déc 08_TBG Onatel Février  2009  Vtbg V3_Flash du mois d' avril 2009_Flash du mois de septembre 2009 (2) (version 1) 2" xfId="0"/>
    <cellStyle name="_Table_USA Ownership_commentaires fixe  internet Déc 08_TBG Onatel Février  2009  Vtbg V3_Flash du mois d' avril 2009_Flash du mois de septembre 2009 (2) (version 1) 2 2" xfId="0"/>
    <cellStyle name="_Table_USA Ownership_commentaires fixe  internet Déc 08_TBG Onatel Février  2009  Vtbg V3_Flash du mois d' avril 2009_Flash du mois de septembre 2009 (2) (version 1) 3" xfId="0"/>
    <cellStyle name="_Table_USA Ownership_commentaires fixe  internet Déc 08_TBG Onatel Février  2009  Vtbg V3_Flash du mois d' avril 2009_Flash du mois de septembre 2009 (2) (version 1)_Budget Telmob 2011" xfId="0"/>
    <cellStyle name="_Table_USA Ownership_commentaires fixe  internet Déc 08_TBG Onatel Février  2009  Vtbg V3_Flash du mois d' avril 2009_Flash du mois de septembre 2009 (2) (version 1)_Budget Telmob 2011 2" xfId="0"/>
    <cellStyle name="_Table_USA Ownership_commentaires fixe  internet Déc 08_TBG Onatel Février  2009  Vtbg V3_Flash du mois d' avril 2009_Flash du mois de septembre 2009 (2) (version 1)_Budget Telmob 2011 2 2" xfId="0"/>
    <cellStyle name="_Table_USA Ownership_commentaires fixe  internet Déc 08_TBG Onatel Février  2009  Vtbg V3_Flash du mois d' avril 2009_Flash du mois de septembre 2009 (2) (version 1)_Budget Telmob 2011 3" xfId="0"/>
    <cellStyle name="_Table_USA Ownership_commentaires fixe  internet Déc 08_TBG Onatel Février  2009  Vtbg V3_Flash du mois d' avril 2009_Reporting Onatel Mai 2009 V 0" xfId="0"/>
    <cellStyle name="_Table_USA Ownership_commentaires fixe  internet Déc 08_TBG Onatel Février  2009  Vtbg V3_Flash du mois d' avril 2009_Reporting Onatel Mai 2009 V 0 2" xfId="0"/>
    <cellStyle name="_Table_USA Ownership_commentaires fixe  internet Déc 08_TBG Onatel Février  2009  Vtbg V3_Flash du mois d' avril 2009_Reporting Onatel Mai 2009 V 0 2 2" xfId="0"/>
    <cellStyle name="_Table_USA Ownership_commentaires fixe  internet Déc 08_TBG Onatel Février  2009  Vtbg V3_Flash du mois d' avril 2009_Reporting Onatel Mai 2009 V 0 3" xfId="0"/>
    <cellStyle name="_Table_USA Ownership_commentaires fixe  internet Déc 08_TBG Onatel Février  2009  Vtbg V3_Flash du mois d' avril 2009_Reporting Onatel Mai 2009 V 0_Budget Telmob 2011" xfId="0"/>
    <cellStyle name="_Table_USA Ownership_commentaires fixe  internet Déc 08_TBG Onatel Février  2009  Vtbg V3_Flash du mois d' avril 2009_Reporting Onatel Mai 2009 V 0_Budget Telmob 2011 2" xfId="0"/>
    <cellStyle name="_Table_USA Ownership_commentaires fixe  internet Déc 08_TBG Onatel Février  2009  Vtbg V3_Flash du mois d' avril 2009_Reporting Onatel Mai 2009 V 0_Budget Telmob 2011 2 2" xfId="0"/>
    <cellStyle name="_Table_USA Ownership_commentaires fixe  internet Déc 08_TBG Onatel Février  2009  Vtbg V3_Flash du mois d' avril 2009_Reporting Onatel Mai 2009 V 0_Budget Telmob 2011 3" xfId="0"/>
    <cellStyle name="_Table_USA Ownership_commentaires fixe  internet Déc 08_TBG Onatel Février  2009  Vtbg V3_Flash du mois d' avril 2009_Reporting Onatel septembre  2009 préparé" xfId="0"/>
    <cellStyle name="_Table_USA Ownership_commentaires fixe  internet Déc 08_TBG Onatel Février  2009  Vtbg V3_Flash du mois d' avril 2009_Reporting Onatel septembre  2009 préparé 2" xfId="0"/>
    <cellStyle name="_Table_USA Ownership_commentaires fixe  internet Déc 08_TBG Onatel Février  2009  Vtbg V3_Flash du mois d' avril 2009_Reporting Onatel septembre  2009 préparé 2 2" xfId="0"/>
    <cellStyle name="_Table_USA Ownership_commentaires fixe  internet Déc 08_TBG Onatel Février  2009  Vtbg V3_Flash du mois d' avril 2009_Reporting Onatel septembre  2009 préparé 3" xfId="0"/>
    <cellStyle name="_Table_USA Ownership_commentaires fixe  internet Déc 08_TBG Onatel Février  2009  Vtbg V3_Flash du mois d' avril 2009_Reporting Onatel septembre  2009 préparé_Budget Telmob 2011" xfId="0"/>
    <cellStyle name="_Table_USA Ownership_commentaires fixe  internet Déc 08_TBG Onatel Février  2009  Vtbg V3_Flash du mois d' avril 2009_Reporting Onatel septembre  2009 préparé_Budget Telmob 2011 2" xfId="0"/>
    <cellStyle name="_Table_USA Ownership_commentaires fixe  internet Déc 08_TBG Onatel Février  2009  Vtbg V3_Flash du mois d' avril 2009_Reporting Onatel septembre  2009 préparé_Budget Telmob 2011 2 2" xfId="0"/>
    <cellStyle name="_Table_USA Ownership_commentaires fixe  internet Déc 08_TBG Onatel Février  2009  Vtbg V3_Flash du mois d' avril 2009_Reporting Onatel septembre  2009 préparé_Budget Telmob 2011 3" xfId="0"/>
    <cellStyle name="_Table_USA Ownership_commentaires fixe  internet Déc 08_TBG Onatel Février  2009  Vtbg V3_Flash du mois de mai 2009" xfId="0"/>
    <cellStyle name="_Table_USA Ownership_commentaires fixe  internet Déc 08_TBG Onatel Février  2009  Vtbg V3_Flash du mois de mai 2009 2" xfId="0"/>
    <cellStyle name="_Table_USA Ownership_commentaires fixe  internet Déc 08_TBG Onatel Février  2009  Vtbg V3_Flash du mois de mai 2009 2 2" xfId="0"/>
    <cellStyle name="_Table_USA Ownership_commentaires fixe  internet Déc 08_TBG Onatel Février  2009  Vtbg V3_Flash du mois de mai 2009 3" xfId="0"/>
    <cellStyle name="_Table_USA Ownership_commentaires fixe  internet Déc 08_TBG Onatel Février  2009  Vtbg V3_Flash du mois de mai 2009_Budget Telmob 2011" xfId="0"/>
    <cellStyle name="_Table_USA Ownership_commentaires fixe  internet Déc 08_TBG Onatel Février  2009  Vtbg V3_Flash du mois de mai 2009_Budget Telmob 2011 2" xfId="0"/>
    <cellStyle name="_Table_USA Ownership_commentaires fixe  internet Déc 08_TBG Onatel Février  2009  Vtbg V3_Flash du mois de mai 2009_Budget Telmob 2011 2 2" xfId="0"/>
    <cellStyle name="_Table_USA Ownership_commentaires fixe  internet Déc 08_TBG Onatel Février  2009  Vtbg V3_Flash du mois de mai 2009_Budget Telmob 2011 3" xfId="0"/>
    <cellStyle name="_Table_USA Ownership_commentaires fixe  internet Déc 08_TBG Onatel Février  2009  Vtbg V3_Flash du mois de septembre 2009 (2) (version 1)" xfId="0"/>
    <cellStyle name="_Table_USA Ownership_commentaires fixe  internet Déc 08_TBG Onatel Février  2009  Vtbg V3_Flash du mois de septembre 2009 (2) (version 1) 2" xfId="0"/>
    <cellStyle name="_Table_USA Ownership_commentaires fixe  internet Déc 08_TBG Onatel Février  2009  Vtbg V3_Flash du mois de septembre 2009 (2) (version 1) 2 2" xfId="0"/>
    <cellStyle name="_Table_USA Ownership_commentaires fixe  internet Déc 08_TBG Onatel Février  2009  Vtbg V3_Flash du mois de septembre 2009 (2) (version 1) 3" xfId="0"/>
    <cellStyle name="_Table_USA Ownership_commentaires fixe  internet Déc 08_TBG Onatel Février  2009  Vtbg V3_Flash du mois de septembre 2009 (2) (version 1)_Budget Telmob 2011" xfId="0"/>
    <cellStyle name="_Table_USA Ownership_commentaires fixe  internet Déc 08_TBG Onatel Février  2009  Vtbg V3_Flash du mois de septembre 2009 (2) (version 1)_Budget Telmob 2011 2" xfId="0"/>
    <cellStyle name="_Table_USA Ownership_commentaires fixe  internet Déc 08_TBG Onatel Février  2009  Vtbg V3_Flash du mois de septembre 2009 (2) (version 1)_Budget Telmob 2011 2 2" xfId="0"/>
    <cellStyle name="_Table_USA Ownership_commentaires fixe  internet Déc 08_TBG Onatel Février  2009  Vtbg V3_Flash du mois de septembre 2009 (2) (version 1)_Budget Telmob 2011 3" xfId="0"/>
    <cellStyle name="_Table_USA Ownership_commentaires fixe  internet Déc 08_TBG Onatel Février  2009  Vtbg V3_Reporting Onatel Mai 2009 V 0" xfId="0"/>
    <cellStyle name="_Table_USA Ownership_commentaires fixe  internet Déc 08_TBG Onatel Février  2009  Vtbg V3_Reporting Onatel Mai 2009 V 0 2" xfId="0"/>
    <cellStyle name="_Table_USA Ownership_commentaires fixe  internet Déc 08_TBG Onatel Février  2009  Vtbg V3_Reporting Onatel Mai 2009 V 0 2 2" xfId="0"/>
    <cellStyle name="_Table_USA Ownership_commentaires fixe  internet Déc 08_TBG Onatel Février  2009  Vtbg V3_Reporting Onatel Mai 2009 V 0 3" xfId="0"/>
    <cellStyle name="_Table_USA Ownership_commentaires fixe  internet Déc 08_TBG Onatel Février  2009  Vtbg V3_Reporting Onatel Mai 2009 V 0_Budget Telmob 2011" xfId="0"/>
    <cellStyle name="_Table_USA Ownership_commentaires fixe  internet Déc 08_TBG Onatel Février  2009  Vtbg V3_Reporting Onatel Mai 2009 V 0_Budget Telmob 2011 2" xfId="0"/>
    <cellStyle name="_Table_USA Ownership_commentaires fixe  internet Déc 08_TBG Onatel Février  2009  Vtbg V3_Reporting Onatel Mai 2009 V 0_Budget Telmob 2011 2 2" xfId="0"/>
    <cellStyle name="_Table_USA Ownership_commentaires fixe  internet Déc 08_TBG Onatel Février  2009  Vtbg V3_Reporting Onatel Mai 2009 V 0_Budget Telmob 2011 3" xfId="0"/>
    <cellStyle name="_Table_USA Ownership_commentaires fixe  internet Déc 08_TBG Onatel Février  2009  Vtbg V3_Reporting Onatel septembre  2009 préparé" xfId="0"/>
    <cellStyle name="_Table_USA Ownership_commentaires fixe  internet Déc 08_TBG Onatel Février  2009  Vtbg V3_Reporting Onatel septembre  2009 préparé 2" xfId="0"/>
    <cellStyle name="_Table_USA Ownership_commentaires fixe  internet Déc 08_TBG Onatel Février  2009  Vtbg V3_Reporting Onatel septembre  2009 préparé 2 2" xfId="0"/>
    <cellStyle name="_Table_USA Ownership_commentaires fixe  internet Déc 08_TBG Onatel Février  2009  Vtbg V3_Reporting Onatel septembre  2009 préparé 3" xfId="0"/>
    <cellStyle name="_Table_USA Ownership_commentaires fixe  internet Déc 08_TBG Onatel Février  2009  Vtbg V3_Reporting Onatel septembre  2009 préparé_Budget Telmob 2011" xfId="0"/>
    <cellStyle name="_Table_USA Ownership_commentaires fixe  internet Déc 08_TBG Onatel Février  2009  Vtbg V3_Reporting Onatel septembre  2009 préparé_Budget Telmob 2011 2" xfId="0"/>
    <cellStyle name="_Table_USA Ownership_commentaires fixe  internet Déc 08_TBG Onatel Février  2009  Vtbg V3_Reporting Onatel septembre  2009 préparé_Budget Telmob 2011 2 2" xfId="0"/>
    <cellStyle name="_Table_USA Ownership_commentaires fixe  internet Déc 08_TBG Onatel Février  2009  Vtbg V3_Reporting Onatel septembre  2009 préparé_Budget Telmob 2011 3" xfId="0"/>
    <cellStyle name="_Table_USA Ownership_Commentaires TBG mars" xfId="0"/>
    <cellStyle name="_Table_USA Ownership_Commentaires TBG mars 2" xfId="0"/>
    <cellStyle name="_Table_USA Ownership_Commentaires TBG mars 2 2" xfId="0"/>
    <cellStyle name="_Table_USA Ownership_Commentaires TBG mars 3" xfId="0"/>
    <cellStyle name="_Table_USA Ownership_Commentaires TBG mars_Budget Telmob 2011" xfId="0"/>
    <cellStyle name="_Table_USA Ownership_Commentaires TBG mars_Budget Telmob 2011 2" xfId="0"/>
    <cellStyle name="_Table_USA Ownership_Commentaires TBG mars_Budget Telmob 2011 2 2" xfId="0"/>
    <cellStyle name="_Table_USA Ownership_Commentaires TBG mars_Budget Telmob 2011 3" xfId="0"/>
    <cellStyle name="_Table_USA Ownership_Commentaires TBG mars_Copie de Flash du mois d' avril 2009 corrigé par NAIMI" xfId="0"/>
    <cellStyle name="_Table_USA Ownership_Commentaires TBG mars_Copie de Flash du mois d' avril 2009 corrigé par NAIMI 2" xfId="0"/>
    <cellStyle name="_Table_USA Ownership_Commentaires TBG mars_Copie de Flash du mois d' avril 2009 corrigé par NAIMI 2 2" xfId="0"/>
    <cellStyle name="_Table_USA Ownership_Commentaires TBG mars_Copie de Flash du mois d' avril 2009 corrigé par NAIMI 3" xfId="0"/>
    <cellStyle name="_Table_USA Ownership_Commentaires TBG mars_Copie de Flash du mois d' avril 2009 corrigé par NAIMI_Budget Telmob 2011" xfId="0"/>
    <cellStyle name="_Table_USA Ownership_Commentaires TBG mars_Copie de Flash du mois d' avril 2009 corrigé par NAIMI_Budget Telmob 2011 2" xfId="0"/>
    <cellStyle name="_Table_USA Ownership_Commentaires TBG mars_Copie de Flash du mois d' avril 2009 corrigé par NAIMI_Budget Telmob 2011 2 2" xfId="0"/>
    <cellStyle name="_Table_USA Ownership_Commentaires TBG mars_Copie de Flash du mois d' avril 2009 corrigé par NAIMI_Budget Telmob 2011 3" xfId="0"/>
    <cellStyle name="_Table_USA Ownership_Commentaires TBG mars_Copie de Flash du mois d' avril 2009 corrigé par NAIMI_Flash du mois de mai 2009" xfId="0"/>
    <cellStyle name="_Table_USA Ownership_Commentaires TBG mars_Copie de Flash du mois d' avril 2009 corrigé par NAIMI_Flash du mois de mai 2009 2" xfId="0"/>
    <cellStyle name="_Table_USA Ownership_Commentaires TBG mars_Copie de Flash du mois d' avril 2009 corrigé par NAIMI_Flash du mois de mai 2009 2 2" xfId="0"/>
    <cellStyle name="_Table_USA Ownership_Commentaires TBG mars_Copie de Flash du mois d' avril 2009 corrigé par NAIMI_Flash du mois de mai 2009 3" xfId="0"/>
    <cellStyle name="_Table_USA Ownership_Commentaires TBG mars_Copie de Flash du mois d' avril 2009 corrigé par NAIMI_Flash du mois de mai 2009_Budget Telmob 2011" xfId="0"/>
    <cellStyle name="_Table_USA Ownership_Commentaires TBG mars_Copie de Flash du mois d' avril 2009 corrigé par NAIMI_Flash du mois de mai 2009_Budget Telmob 2011 2" xfId="0"/>
    <cellStyle name="_Table_USA Ownership_Commentaires TBG mars_Copie de Flash du mois d' avril 2009 corrigé par NAIMI_Flash du mois de mai 2009_Budget Telmob 2011 2 2" xfId="0"/>
    <cellStyle name="_Table_USA Ownership_Commentaires TBG mars_Copie de Flash du mois d' avril 2009 corrigé par NAIMI_Flash du mois de mai 2009_Budget Telmob 2011 3" xfId="0"/>
    <cellStyle name="_Table_USA Ownership_Commentaires TBG mars_Copie de Flash du mois d' avril 2009 corrigé par NAIMI_Flash du mois de septembre 2009 (2) (version 1)" xfId="0"/>
    <cellStyle name="_Table_USA Ownership_Commentaires TBG mars_Copie de Flash du mois d' avril 2009 corrigé par NAIMI_Flash du mois de septembre 2009 (2) (version 1) 2" xfId="0"/>
    <cellStyle name="_Table_USA Ownership_Commentaires TBG mars_Copie de Flash du mois d' avril 2009 corrigé par NAIMI_Flash du mois de septembre 2009 (2) (version 1) 2 2" xfId="0"/>
    <cellStyle name="_Table_USA Ownership_Commentaires TBG mars_Copie de Flash du mois d' avril 2009 corrigé par NAIMI_Flash du mois de septembre 2009 (2) (version 1) 3" xfId="0"/>
    <cellStyle name="_Table_USA Ownership_Commentaires TBG mars_Copie de Flash du mois d' avril 2009 corrigé par NAIMI_Flash du mois de septembre 2009 (2) (version 1)_Budget Telmob 2011" xfId="0"/>
    <cellStyle name="_Table_USA Ownership_Commentaires TBG mars_Copie de Flash du mois d' avril 2009 corrigé par NAIMI_Flash du mois de septembre 2009 (2) (version 1)_Budget Telmob 2011 2" xfId="0"/>
    <cellStyle name="_Table_USA Ownership_Commentaires TBG mars_Copie de Flash du mois d' avril 2009 corrigé par NAIMI_Flash du mois de septembre 2009 (2) (version 1)_Budget Telmob 2011 2 2" xfId="0"/>
    <cellStyle name="_Table_USA Ownership_Commentaires TBG mars_Copie de Flash du mois d' avril 2009 corrigé par NAIMI_Flash du mois de septembre 2009 (2) (version 1)_Budget Telmob 2011 3" xfId="0"/>
    <cellStyle name="_Table_USA Ownership_Commentaires TBG mars_Copie de Flash du mois d' avril 2009 corrigé par NAIMI_Reporting Onatel Mai 2009 V 0" xfId="0"/>
    <cellStyle name="_Table_USA Ownership_Commentaires TBG mars_Copie de Flash du mois d' avril 2009 corrigé par NAIMI_Reporting Onatel Mai 2009 V 0 2" xfId="0"/>
    <cellStyle name="_Table_USA Ownership_Commentaires TBG mars_Copie de Flash du mois d' avril 2009 corrigé par NAIMI_Reporting Onatel Mai 2009 V 0 2 2" xfId="0"/>
    <cellStyle name="_Table_USA Ownership_Commentaires TBG mars_Copie de Flash du mois d' avril 2009 corrigé par NAIMI_Reporting Onatel Mai 2009 V 0 3" xfId="0"/>
    <cellStyle name="_Table_USA Ownership_Commentaires TBG mars_Copie de Flash du mois d' avril 2009 corrigé par NAIMI_Reporting Onatel Mai 2009 V 0_Budget Telmob 2011" xfId="0"/>
    <cellStyle name="_Table_USA Ownership_Commentaires TBG mars_Copie de Flash du mois d' avril 2009 corrigé par NAIMI_Reporting Onatel Mai 2009 V 0_Budget Telmob 2011 2" xfId="0"/>
    <cellStyle name="_Table_USA Ownership_Commentaires TBG mars_Copie de Flash du mois d' avril 2009 corrigé par NAIMI_Reporting Onatel Mai 2009 V 0_Budget Telmob 2011 2 2" xfId="0"/>
    <cellStyle name="_Table_USA Ownership_Commentaires TBG mars_Copie de Flash du mois d' avril 2009 corrigé par NAIMI_Reporting Onatel Mai 2009 V 0_Budget Telmob 2011 3" xfId="0"/>
    <cellStyle name="_Table_USA Ownership_Commentaires TBG mars_Copie de Flash du mois d' avril 2009 corrigé par NAIMI_Reporting Onatel Mai 2009 V 0_Flash du mois de septembre 2009 (2) (version 1)" xfId="0"/>
    <cellStyle name="_Table_USA Ownership_Commentaires TBG mars_Copie de Flash du mois d' avril 2009 corrigé par NAIMI_Reporting Onatel Mai 2009 V 0_Flash du mois de septembre 2009 (2) (version 1) 2" xfId="0"/>
    <cellStyle name="_Table_USA Ownership_Commentaires TBG mars_Copie de Flash du mois d' avril 2009 corrigé par NAIMI_Reporting Onatel Mai 2009 V 0_Flash du mois de septembre 2009 (2) (version 1) 2 2" xfId="0"/>
    <cellStyle name="_Table_USA Ownership_Commentaires TBG mars_Copie de Flash du mois d' avril 2009 corrigé par NAIMI_Reporting Onatel Mai 2009 V 0_Flash du mois de septembre 2009 (2) (version 1) 3" xfId="0"/>
    <cellStyle name="_Table_USA Ownership_Commentaires TBG mars_Copie de Flash du mois d' avril 2009 corrigé par NAIMI_Reporting Onatel Mai 2009 V 0_Flash du mois de septembre 2009 (2) (version 1)_Budget Telmob 2011" xfId="0"/>
    <cellStyle name="_Table_USA Ownership_Commentaires TBG mars_Copie de Flash du mois d' avril 2009 corrigé par NAIMI_Reporting Onatel Mai 2009 V 0_Flash du mois de septembre 2009 (2) (version 1)_Budget Telmob 2011 2" xfId="0"/>
    <cellStyle name="_Table_USA Ownership_Commentaires TBG mars_Copie de Flash du mois d' avril 2009 corrigé par NAIMI_Reporting Onatel Mai 2009 V 0_Flash du mois de septembre 2009 (2) (version 1)_Budget Telmob 2011 2 2" xfId="0"/>
    <cellStyle name="_Table_USA Ownership_Commentaires TBG mars_Copie de Flash du mois d' avril 2009 corrigé par NAIMI_Reporting Onatel Mai 2009 V 0_Flash du mois de septembre 2009 (2) (version 1)_Budget Telmob 2011 3" xfId="0"/>
    <cellStyle name="_Table_USA Ownership_Commentaires TBG mars_Copie de Flash du mois d' avril 2009 corrigé par NAIMI_Reporting Onatel Mai 2009 V 0_Reporting Onatel septembre  2009 préparé" xfId="0"/>
    <cellStyle name="_Table_USA Ownership_Commentaires TBG mars_Copie de Flash du mois d' avril 2009 corrigé par NAIMI_Reporting Onatel Mai 2009 V 0_Reporting Onatel septembre  2009 préparé 2" xfId="0"/>
    <cellStyle name="_Table_USA Ownership_Commentaires TBG mars_Copie de Flash du mois d' avril 2009 corrigé par NAIMI_Reporting Onatel Mai 2009 V 0_Reporting Onatel septembre  2009 préparé 2 2" xfId="0"/>
    <cellStyle name="_Table_USA Ownership_Commentaires TBG mars_Copie de Flash du mois d' avril 2009 corrigé par NAIMI_Reporting Onatel Mai 2009 V 0_Reporting Onatel septembre  2009 préparé 3" xfId="0"/>
    <cellStyle name="_Table_USA Ownership_Commentaires TBG mars_Copie de Flash du mois d' avril 2009 corrigé par NAIMI_Reporting Onatel Mai 2009 V 0_Reporting Onatel septembre  2009 préparé_Budget Telmob 2011" xfId="0"/>
    <cellStyle name="_Table_USA Ownership_Commentaires TBG mars_Copie de Flash du mois d' avril 2009 corrigé par NAIMI_Reporting Onatel Mai 2009 V 0_Reporting Onatel septembre  2009 préparé_Budget Telmob 2011 2" xfId="0"/>
    <cellStyle name="_Table_USA Ownership_Commentaires TBG mars_Copie de Flash du mois d' avril 2009 corrigé par NAIMI_Reporting Onatel Mai 2009 V 0_Reporting Onatel septembre  2009 préparé_Budget Telmob 2011 2 2" xfId="0"/>
    <cellStyle name="_Table_USA Ownership_Commentaires TBG mars_Copie de Flash du mois d' avril 2009 corrigé par NAIMI_Reporting Onatel Mai 2009 V 0_Reporting Onatel septembre  2009 préparé_Budget Telmob 2011 3" xfId="0"/>
    <cellStyle name="_Table_USA Ownership_Commentaires TBG mars_Copie de Flash du mois d' avril 2009 corrigé par NAIMI_Reporting Onatel septembre  2009 préparé" xfId="0"/>
    <cellStyle name="_Table_USA Ownership_Commentaires TBG mars_Copie de Flash du mois d' avril 2009 corrigé par NAIMI_Reporting Onatel septembre  2009 préparé 2" xfId="0"/>
    <cellStyle name="_Table_USA Ownership_Commentaires TBG mars_Copie de Flash du mois d' avril 2009 corrigé par NAIMI_Reporting Onatel septembre  2009 préparé 2 2" xfId="0"/>
    <cellStyle name="_Table_USA Ownership_Commentaires TBG mars_Copie de Flash du mois d' avril 2009 corrigé par NAIMI_Reporting Onatel septembre  2009 préparé 3" xfId="0"/>
    <cellStyle name="_Table_USA Ownership_Commentaires TBG mars_Copie de Flash du mois d' avril 2009 corrigé par NAIMI_Reporting Onatel septembre  2009 préparé_Budget Telmob 2011" xfId="0"/>
    <cellStyle name="_Table_USA Ownership_Commentaires TBG mars_Copie de Flash du mois d' avril 2009 corrigé par NAIMI_Reporting Onatel septembre  2009 préparé_Budget Telmob 2011 2" xfId="0"/>
    <cellStyle name="_Table_USA Ownership_Commentaires TBG mars_Copie de Flash du mois d' avril 2009 corrigé par NAIMI_Reporting Onatel septembre  2009 préparé_Budget Telmob 2011 2 2" xfId="0"/>
    <cellStyle name="_Table_USA Ownership_Commentaires TBG mars_Copie de Flash du mois d' avril 2009 corrigé par NAIMI_Reporting Onatel septembre  2009 préparé_Budget Telmob 2011 3" xfId="0"/>
    <cellStyle name="_Table_USA Ownership_Commentaires TBG mars_Flash du mois d' avril 2009" xfId="0"/>
    <cellStyle name="_Table_USA Ownership_Commentaires TBG mars_Flash du mois d' avril 2009 2" xfId="0"/>
    <cellStyle name="_Table_USA Ownership_Commentaires TBG mars_Flash du mois d' avril 2009 2 2" xfId="0"/>
    <cellStyle name="_Table_USA Ownership_Commentaires TBG mars_Flash du mois d' avril 2009 3" xfId="0"/>
    <cellStyle name="_Table_USA Ownership_Commentaires TBG mars_Flash du mois d' avril 2009_Budget Telmob 2011" xfId="0"/>
    <cellStyle name="_Table_USA Ownership_Commentaires TBG mars_Flash du mois d' avril 2009_Budget Telmob 2011 2" xfId="0"/>
    <cellStyle name="_Table_USA Ownership_Commentaires TBG mars_Flash du mois d' avril 2009_Budget Telmob 2011 2 2" xfId="0"/>
    <cellStyle name="_Table_USA Ownership_Commentaires TBG mars_Flash du mois d' avril 2009_Budget Telmob 2011 3" xfId="0"/>
    <cellStyle name="_Table_USA Ownership_Commentaires TBG mars_Flash du mois d' avril 2009_Flash du mois de mai 2009" xfId="0"/>
    <cellStyle name="_Table_USA Ownership_Commentaires TBG mars_Flash du mois d' avril 2009_Flash du mois de mai 2009 2" xfId="0"/>
    <cellStyle name="_Table_USA Ownership_Commentaires TBG mars_Flash du mois d' avril 2009_Flash du mois de mai 2009 2 2" xfId="0"/>
    <cellStyle name="_Table_USA Ownership_Commentaires TBG mars_Flash du mois d' avril 2009_Flash du mois de mai 2009 3" xfId="0"/>
    <cellStyle name="_Table_USA Ownership_Commentaires TBG mars_Flash du mois d' avril 2009_Flash du mois de mai 2009_Budget Telmob 2011" xfId="0"/>
    <cellStyle name="_Table_USA Ownership_Commentaires TBG mars_Flash du mois d' avril 2009_Flash du mois de mai 2009_Budget Telmob 2011 2" xfId="0"/>
    <cellStyle name="_Table_USA Ownership_Commentaires TBG mars_Flash du mois d' avril 2009_Flash du mois de mai 2009_Budget Telmob 2011 2 2" xfId="0"/>
    <cellStyle name="_Table_USA Ownership_Commentaires TBG mars_Flash du mois d' avril 2009_Flash du mois de mai 2009_Budget Telmob 2011 3" xfId="0"/>
    <cellStyle name="_Table_USA Ownership_Commentaires TBG mars_Flash du mois d' avril 2009_Flash du mois de septembre 2009 (2) (version 1)" xfId="0"/>
    <cellStyle name="_Table_USA Ownership_Commentaires TBG mars_Flash du mois d' avril 2009_Flash du mois de septembre 2009 (2) (version 1) 2" xfId="0"/>
    <cellStyle name="_Table_USA Ownership_Commentaires TBG mars_Flash du mois d' avril 2009_Flash du mois de septembre 2009 (2) (version 1) 2 2" xfId="0"/>
    <cellStyle name="_Table_USA Ownership_Commentaires TBG mars_Flash du mois d' avril 2009_Flash du mois de septembre 2009 (2) (version 1) 3" xfId="0"/>
    <cellStyle name="_Table_USA Ownership_Commentaires TBG mars_Flash du mois d' avril 2009_Flash du mois de septembre 2009 (2) (version 1)_Budget Telmob 2011" xfId="0"/>
    <cellStyle name="_Table_USA Ownership_Commentaires TBG mars_Flash du mois d' avril 2009_Flash du mois de septembre 2009 (2) (version 1)_Budget Telmob 2011 2" xfId="0"/>
    <cellStyle name="_Table_USA Ownership_Commentaires TBG mars_Flash du mois d' avril 2009_Flash du mois de septembre 2009 (2) (version 1)_Budget Telmob 2011 2 2" xfId="0"/>
    <cellStyle name="_Table_USA Ownership_Commentaires TBG mars_Flash du mois d' avril 2009_Flash du mois de septembre 2009 (2) (version 1)_Budget Telmob 2011 3" xfId="0"/>
    <cellStyle name="_Table_USA Ownership_Commentaires TBG mars_Flash du mois d' avril 2009_Reporting Onatel Mai 2009 V 0" xfId="0"/>
    <cellStyle name="_Table_USA Ownership_Commentaires TBG mars_Flash du mois d' avril 2009_Reporting Onatel Mai 2009 V 0 2" xfId="0"/>
    <cellStyle name="_Table_USA Ownership_Commentaires TBG mars_Flash du mois d' avril 2009_Reporting Onatel Mai 2009 V 0 2 2" xfId="0"/>
    <cellStyle name="_Table_USA Ownership_Commentaires TBG mars_Flash du mois d' avril 2009_Reporting Onatel Mai 2009 V 0 3" xfId="0"/>
    <cellStyle name="_Table_USA Ownership_Commentaires TBG mars_Flash du mois d' avril 2009_Reporting Onatel Mai 2009 V 0_Budget Telmob 2011" xfId="0"/>
    <cellStyle name="_Table_USA Ownership_Commentaires TBG mars_Flash du mois d' avril 2009_Reporting Onatel Mai 2009 V 0_Budget Telmob 2011 2" xfId="0"/>
    <cellStyle name="_Table_USA Ownership_Commentaires TBG mars_Flash du mois d' avril 2009_Reporting Onatel Mai 2009 V 0_Budget Telmob 2011 2 2" xfId="0"/>
    <cellStyle name="_Table_USA Ownership_Commentaires TBG mars_Flash du mois d' avril 2009_Reporting Onatel Mai 2009 V 0_Budget Telmob 2011 3" xfId="0"/>
    <cellStyle name="_Table_USA Ownership_Commentaires TBG mars_Flash du mois d' avril 2009_Reporting Onatel septembre  2009 préparé" xfId="0"/>
    <cellStyle name="_Table_USA Ownership_Commentaires TBG mars_Flash du mois d' avril 2009_Reporting Onatel septembre  2009 préparé 2" xfId="0"/>
    <cellStyle name="_Table_USA Ownership_Commentaires TBG mars_Flash du mois d' avril 2009_Reporting Onatel septembre  2009 préparé 2 2" xfId="0"/>
    <cellStyle name="_Table_USA Ownership_Commentaires TBG mars_Flash du mois d' avril 2009_Reporting Onatel septembre  2009 préparé 3" xfId="0"/>
    <cellStyle name="_Table_USA Ownership_Commentaires TBG mars_Flash du mois d' avril 2009_Reporting Onatel septembre  2009 préparé_Budget Telmob 2011" xfId="0"/>
    <cellStyle name="_Table_USA Ownership_Commentaires TBG mars_Flash du mois d' avril 2009_Reporting Onatel septembre  2009 préparé_Budget Telmob 2011 2" xfId="0"/>
    <cellStyle name="_Table_USA Ownership_Commentaires TBG mars_Flash du mois d' avril 2009_Reporting Onatel septembre  2009 préparé_Budget Telmob 2011 2 2" xfId="0"/>
    <cellStyle name="_Table_USA Ownership_Commentaires TBG mars_Flash du mois d' avril 2009_Reporting Onatel septembre  2009 préparé_Budget Telmob 2011 3" xfId="0"/>
    <cellStyle name="_Table_USA Ownership_Commentaires TBG mars_Flash du mois de mai 2009" xfId="0"/>
    <cellStyle name="_Table_USA Ownership_Commentaires TBG mars_Flash du mois de mai 2009 2" xfId="0"/>
    <cellStyle name="_Table_USA Ownership_Commentaires TBG mars_Flash du mois de mai 2009 2 2" xfId="0"/>
    <cellStyle name="_Table_USA Ownership_Commentaires TBG mars_Flash du mois de mai 2009 3" xfId="0"/>
    <cellStyle name="_Table_USA Ownership_Commentaires TBG mars_Flash du mois de mai 2009_Budget Telmob 2011" xfId="0"/>
    <cellStyle name="_Table_USA Ownership_Commentaires TBG mars_Flash du mois de mai 2009_Budget Telmob 2011 2" xfId="0"/>
    <cellStyle name="_Table_USA Ownership_Commentaires TBG mars_Flash du mois de mai 2009_Budget Telmob 2011 2 2" xfId="0"/>
    <cellStyle name="_Table_USA Ownership_Commentaires TBG mars_Flash du mois de mai 2009_Budget Telmob 2011 3" xfId="0"/>
    <cellStyle name="_Table_USA Ownership_Commentaires TBG mars_Flash du mois de septembre 2009 (2) (version 1)" xfId="0"/>
    <cellStyle name="_Table_USA Ownership_Commentaires TBG mars_Flash du mois de septembre 2009 (2) (version 1) 2" xfId="0"/>
    <cellStyle name="_Table_USA Ownership_Commentaires TBG mars_Flash du mois de septembre 2009 (2) (version 1) 2 2" xfId="0"/>
    <cellStyle name="_Table_USA Ownership_Commentaires TBG mars_Flash du mois de septembre 2009 (2) (version 1) 3" xfId="0"/>
    <cellStyle name="_Table_USA Ownership_Commentaires TBG mars_Flash du mois de septembre 2009 (2) (version 1)_Budget Telmob 2011" xfId="0"/>
    <cellStyle name="_Table_USA Ownership_Commentaires TBG mars_Flash du mois de septembre 2009 (2) (version 1)_Budget Telmob 2011 2" xfId="0"/>
    <cellStyle name="_Table_USA Ownership_Commentaires TBG mars_Flash du mois de septembre 2009 (2) (version 1)_Budget Telmob 2011 2 2" xfId="0"/>
    <cellStyle name="_Table_USA Ownership_Commentaires TBG mars_Flash du mois de septembre 2009 (2) (version 1)_Budget Telmob 2011 3" xfId="0"/>
    <cellStyle name="_Table_USA Ownership_Commentaires TBG mars_Reporting Onatel Mai 2009 V 0" xfId="0"/>
    <cellStyle name="_Table_USA Ownership_Commentaires TBG mars_Reporting Onatel Mai 2009 V 0 2" xfId="0"/>
    <cellStyle name="_Table_USA Ownership_Commentaires TBG mars_Reporting Onatel Mai 2009 V 0 2 2" xfId="0"/>
    <cellStyle name="_Table_USA Ownership_Commentaires TBG mars_Reporting Onatel Mai 2009 V 0 3" xfId="0"/>
    <cellStyle name="_Table_USA Ownership_Commentaires TBG mars_Reporting Onatel Mai 2009 V 0_Budget Telmob 2011" xfId="0"/>
    <cellStyle name="_Table_USA Ownership_Commentaires TBG mars_Reporting Onatel Mai 2009 V 0_Budget Telmob 2011 2" xfId="0"/>
    <cellStyle name="_Table_USA Ownership_Commentaires TBG mars_Reporting Onatel Mai 2009 V 0_Budget Telmob 2011 2 2" xfId="0"/>
    <cellStyle name="_Table_USA Ownership_Commentaires TBG mars_Reporting Onatel Mai 2009 V 0_Budget Telmob 2011 3" xfId="0"/>
    <cellStyle name="_Table_USA Ownership_Commentaires TBG mars_Reporting Onatel septembre  2009 préparé" xfId="0"/>
    <cellStyle name="_Table_USA Ownership_Commentaires TBG mars_Reporting Onatel septembre  2009 préparé 2" xfId="0"/>
    <cellStyle name="_Table_USA Ownership_Commentaires TBG mars_Reporting Onatel septembre  2009 préparé 2 2" xfId="0"/>
    <cellStyle name="_Table_USA Ownership_Commentaires TBG mars_Reporting Onatel septembre  2009 préparé 3" xfId="0"/>
    <cellStyle name="_Table_USA Ownership_Commentaires TBG mars_Reporting Onatel septembre  2009 préparé_Budget Telmob 2011" xfId="0"/>
    <cellStyle name="_Table_USA Ownership_Commentaires TBG mars_Reporting Onatel septembre  2009 préparé_Budget Telmob 2011 2" xfId="0"/>
    <cellStyle name="_Table_USA Ownership_Commentaires TBG mars_Reporting Onatel septembre  2009 préparé_Budget Telmob 2011 2 2" xfId="0"/>
    <cellStyle name="_Table_USA Ownership_Commentaires TBG mars_Reporting Onatel septembre  2009 préparé_Budget Telmob 2011 3" xfId="0"/>
    <cellStyle name="_Table_USA Ownership_Copie de Flash du mois d' avril 2009 corrigé par NAIMI" xfId="0"/>
    <cellStyle name="_Table_USA Ownership_Copie de Flash du mois d' avril 2009 corrigé par NAIMI 2" xfId="0"/>
    <cellStyle name="_Table_USA Ownership_Copie de Flash du mois d' avril 2009 corrigé par NAIMI 2 2" xfId="0"/>
    <cellStyle name="_Table_USA Ownership_Copie de Flash du mois d' avril 2009 corrigé par NAIMI 3" xfId="0"/>
    <cellStyle name="_Table_USA Ownership_Copie de Flash du mois d' avril 2009 corrigé par NAIMI_Budget Telmob 2011" xfId="0"/>
    <cellStyle name="_Table_USA Ownership_Copie de Flash du mois d' avril 2009 corrigé par NAIMI_Budget Telmob 2011 2" xfId="0"/>
    <cellStyle name="_Table_USA Ownership_Copie de Flash du mois d' avril 2009 corrigé par NAIMI_Budget Telmob 2011 2 2" xfId="0"/>
    <cellStyle name="_Table_USA Ownership_Copie de Flash du mois d' avril 2009 corrigé par NAIMI_Budget Telmob 2011 3" xfId="0"/>
    <cellStyle name="_Table_USA Ownership_Copie de Flash du mois d' avril 2009 corrigé par NAIMI_Flash du mois de mai 2009" xfId="0"/>
    <cellStyle name="_Table_USA Ownership_Copie de Flash du mois d' avril 2009 corrigé par NAIMI_Flash du mois de mai 2009 2" xfId="0"/>
    <cellStyle name="_Table_USA Ownership_Copie de Flash du mois d' avril 2009 corrigé par NAIMI_Flash du mois de mai 2009 2 2" xfId="0"/>
    <cellStyle name="_Table_USA Ownership_Copie de Flash du mois d' avril 2009 corrigé par NAIMI_Flash du mois de mai 2009 3" xfId="0"/>
    <cellStyle name="_Table_USA Ownership_Copie de Flash du mois d' avril 2009 corrigé par NAIMI_Flash du mois de mai 2009_Budget Telmob 2011" xfId="0"/>
    <cellStyle name="_Table_USA Ownership_Copie de Flash du mois d' avril 2009 corrigé par NAIMI_Flash du mois de mai 2009_Budget Telmob 2011 2" xfId="0"/>
    <cellStyle name="_Table_USA Ownership_Copie de Flash du mois d' avril 2009 corrigé par NAIMI_Flash du mois de mai 2009_Budget Telmob 2011 2 2" xfId="0"/>
    <cellStyle name="_Table_USA Ownership_Copie de Flash du mois d' avril 2009 corrigé par NAIMI_Flash du mois de mai 2009_Budget Telmob 2011 3" xfId="0"/>
    <cellStyle name="_Table_USA Ownership_Copie de Flash du mois d' avril 2009 corrigé par NAIMI_Flash du mois de septembre 2009 (2) (version 1)" xfId="0"/>
    <cellStyle name="_Table_USA Ownership_Copie de Flash du mois d' avril 2009 corrigé par NAIMI_Flash du mois de septembre 2009 (2) (version 1) 2" xfId="0"/>
    <cellStyle name="_Table_USA Ownership_Copie de Flash du mois d' avril 2009 corrigé par NAIMI_Flash du mois de septembre 2009 (2) (version 1) 2 2" xfId="0"/>
    <cellStyle name="_Table_USA Ownership_Copie de Flash du mois d' avril 2009 corrigé par NAIMI_Flash du mois de septembre 2009 (2) (version 1) 3" xfId="0"/>
    <cellStyle name="_Table_USA Ownership_Copie de Flash du mois d' avril 2009 corrigé par NAIMI_Flash du mois de septembre 2009 (2) (version 1)_Budget Telmob 2011" xfId="0"/>
    <cellStyle name="_Table_USA Ownership_Copie de Flash du mois d' avril 2009 corrigé par NAIMI_Flash du mois de septembre 2009 (2) (version 1)_Budget Telmob 2011 2" xfId="0"/>
    <cellStyle name="_Table_USA Ownership_Copie de Flash du mois d' avril 2009 corrigé par NAIMI_Flash du mois de septembre 2009 (2) (version 1)_Budget Telmob 2011 2 2" xfId="0"/>
    <cellStyle name="_Table_USA Ownership_Copie de Flash du mois d' avril 2009 corrigé par NAIMI_Flash du mois de septembre 2009 (2) (version 1)_Budget Telmob 2011 3" xfId="0"/>
    <cellStyle name="_Table_USA Ownership_Copie de Flash du mois d' avril 2009 corrigé par NAIMI_Reporting Onatel Mai 2009 V 0" xfId="0"/>
    <cellStyle name="_Table_USA Ownership_Copie de Flash du mois d' avril 2009 corrigé par NAIMI_Reporting Onatel Mai 2009 V 0 2" xfId="0"/>
    <cellStyle name="_Table_USA Ownership_Copie de Flash du mois d' avril 2009 corrigé par NAIMI_Reporting Onatel Mai 2009 V 0 2 2" xfId="0"/>
    <cellStyle name="_Table_USA Ownership_Copie de Flash du mois d' avril 2009 corrigé par NAIMI_Reporting Onatel Mai 2009 V 0 3" xfId="0"/>
    <cellStyle name="_Table_USA Ownership_Copie de Flash du mois d' avril 2009 corrigé par NAIMI_Reporting Onatel Mai 2009 V 0_Budget Telmob 2011" xfId="0"/>
    <cellStyle name="_Table_USA Ownership_Copie de Flash du mois d' avril 2009 corrigé par NAIMI_Reporting Onatel Mai 2009 V 0_Budget Telmob 2011 2" xfId="0"/>
    <cellStyle name="_Table_USA Ownership_Copie de Flash du mois d' avril 2009 corrigé par NAIMI_Reporting Onatel Mai 2009 V 0_Budget Telmob 2011 2 2" xfId="0"/>
    <cellStyle name="_Table_USA Ownership_Copie de Flash du mois d' avril 2009 corrigé par NAIMI_Reporting Onatel Mai 2009 V 0_Budget Telmob 2011 3" xfId="0"/>
    <cellStyle name="_Table_USA Ownership_Copie de Flash du mois d' avril 2009 corrigé par NAIMI_Reporting Onatel Mai 2009 V 0_Flash du mois de septembre 2009 (2) (version 1)" xfId="0"/>
    <cellStyle name="_Table_USA Ownership_Copie de Flash du mois d' avril 2009 corrigé par NAIMI_Reporting Onatel Mai 2009 V 0_Flash du mois de septembre 2009 (2) (version 1) 2" xfId="0"/>
    <cellStyle name="_Table_USA Ownership_Copie de Flash du mois d' avril 2009 corrigé par NAIMI_Reporting Onatel Mai 2009 V 0_Flash du mois de septembre 2009 (2) (version 1) 2 2" xfId="0"/>
    <cellStyle name="_Table_USA Ownership_Copie de Flash du mois d' avril 2009 corrigé par NAIMI_Reporting Onatel Mai 2009 V 0_Flash du mois de septembre 2009 (2) (version 1) 3" xfId="0"/>
    <cellStyle name="_Table_USA Ownership_Copie de Flash du mois d' avril 2009 corrigé par NAIMI_Reporting Onatel Mai 2009 V 0_Flash du mois de septembre 2009 (2) (version 1)_Budget Telmob 2011" xfId="0"/>
    <cellStyle name="_Table_USA Ownership_Copie de Flash du mois d' avril 2009 corrigé par NAIMI_Reporting Onatel Mai 2009 V 0_Flash du mois de septembre 2009 (2) (version 1)_Budget Telmob 2011 2" xfId="0"/>
    <cellStyle name="_Table_USA Ownership_Copie de Flash du mois d' avril 2009 corrigé par NAIMI_Reporting Onatel Mai 2009 V 0_Flash du mois de septembre 2009 (2) (version 1)_Budget Telmob 2011 2 2" xfId="0"/>
    <cellStyle name="_Table_USA Ownership_Copie de Flash du mois d' avril 2009 corrigé par NAIMI_Reporting Onatel Mai 2009 V 0_Flash du mois de septembre 2009 (2) (version 1)_Budget Telmob 2011 3" xfId="0"/>
    <cellStyle name="_Table_USA Ownership_Copie de Flash du mois d' avril 2009 corrigé par NAIMI_Reporting Onatel Mai 2009 V 0_Reporting Onatel septembre  2009 préparé" xfId="0"/>
    <cellStyle name="_Table_USA Ownership_Copie de Flash du mois d' avril 2009 corrigé par NAIMI_Reporting Onatel Mai 2009 V 0_Reporting Onatel septembre  2009 préparé 2" xfId="0"/>
    <cellStyle name="_Table_USA Ownership_Copie de Flash du mois d' avril 2009 corrigé par NAIMI_Reporting Onatel Mai 2009 V 0_Reporting Onatel septembre  2009 préparé 2 2" xfId="0"/>
    <cellStyle name="_Table_USA Ownership_Copie de Flash du mois d' avril 2009 corrigé par NAIMI_Reporting Onatel Mai 2009 V 0_Reporting Onatel septembre  2009 préparé 3" xfId="0"/>
    <cellStyle name="_Table_USA Ownership_Copie de Flash du mois d' avril 2009 corrigé par NAIMI_Reporting Onatel Mai 2009 V 0_Reporting Onatel septembre  2009 préparé_Budget Telmob 2011" xfId="0"/>
    <cellStyle name="_Table_USA Ownership_Copie de Flash du mois d' avril 2009 corrigé par NAIMI_Reporting Onatel Mai 2009 V 0_Reporting Onatel septembre  2009 préparé_Budget Telmob 2011 2" xfId="0"/>
    <cellStyle name="_Table_USA Ownership_Copie de Flash du mois d' avril 2009 corrigé par NAIMI_Reporting Onatel Mai 2009 V 0_Reporting Onatel septembre  2009 préparé_Budget Telmob 2011 2 2" xfId="0"/>
    <cellStyle name="_Table_USA Ownership_Copie de Flash du mois d' avril 2009 corrigé par NAIMI_Reporting Onatel Mai 2009 V 0_Reporting Onatel septembre  2009 préparé_Budget Telmob 2011 3" xfId="0"/>
    <cellStyle name="_Table_USA Ownership_Copie de Flash du mois d' avril 2009 corrigé par NAIMI_Reporting Onatel septembre  2009 préparé" xfId="0"/>
    <cellStyle name="_Table_USA Ownership_Copie de Flash du mois d' avril 2009 corrigé par NAIMI_Reporting Onatel septembre  2009 préparé 2" xfId="0"/>
    <cellStyle name="_Table_USA Ownership_Copie de Flash du mois d' avril 2009 corrigé par NAIMI_Reporting Onatel septembre  2009 préparé 2 2" xfId="0"/>
    <cellStyle name="_Table_USA Ownership_Copie de Flash du mois d' avril 2009 corrigé par NAIMI_Reporting Onatel septembre  2009 préparé 3" xfId="0"/>
    <cellStyle name="_Table_USA Ownership_Copie de Flash du mois d' avril 2009 corrigé par NAIMI_Reporting Onatel septembre  2009 préparé_Budget Telmob 2011" xfId="0"/>
    <cellStyle name="_Table_USA Ownership_Copie de Flash du mois d' avril 2009 corrigé par NAIMI_Reporting Onatel septembre  2009 préparé_Budget Telmob 2011 2" xfId="0"/>
    <cellStyle name="_Table_USA Ownership_Copie de Flash du mois d' avril 2009 corrigé par NAIMI_Reporting Onatel septembre  2009 préparé_Budget Telmob 2011 2 2" xfId="0"/>
    <cellStyle name="_Table_USA Ownership_Copie de Flash du mois d' avril 2009 corrigé par NAIMI_Reporting Onatel septembre  2009 préparé_Budget Telmob 2011 3" xfId="0"/>
    <cellStyle name="_Table_USA Ownership_Flash du mois d' avril 2009" xfId="0"/>
    <cellStyle name="_Table_USA Ownership_Flash du mois d' avril 2009 2" xfId="0"/>
    <cellStyle name="_Table_USA Ownership_Flash du mois d' avril 2009 2 2" xfId="0"/>
    <cellStyle name="_Table_USA Ownership_Flash du mois d' avril 2009 3" xfId="0"/>
    <cellStyle name="_Table_USA Ownership_Flash du mois d' avril 2009_Budget Telmob 2011" xfId="0"/>
    <cellStyle name="_Table_USA Ownership_Flash du mois d' avril 2009_Budget Telmob 2011 2" xfId="0"/>
    <cellStyle name="_Table_USA Ownership_Flash du mois d' avril 2009_Budget Telmob 2011 2 2" xfId="0"/>
    <cellStyle name="_Table_USA Ownership_Flash du mois d' avril 2009_Budget Telmob 2011 3" xfId="0"/>
    <cellStyle name="_Table_USA Ownership_Flash du mois d' avril 2009_Flash du mois de mai 2009" xfId="0"/>
    <cellStyle name="_Table_USA Ownership_Flash du mois d' avril 2009_Flash du mois de mai 2009 2" xfId="0"/>
    <cellStyle name="_Table_USA Ownership_Flash du mois d' avril 2009_Flash du mois de mai 2009 2 2" xfId="0"/>
    <cellStyle name="_Table_USA Ownership_Flash du mois d' avril 2009_Flash du mois de mai 2009 3" xfId="0"/>
    <cellStyle name="_Table_USA Ownership_Flash du mois d' avril 2009_Flash du mois de mai 2009_Budget Telmob 2011" xfId="0"/>
    <cellStyle name="_Table_USA Ownership_Flash du mois d' avril 2009_Flash du mois de mai 2009_Budget Telmob 2011 2" xfId="0"/>
    <cellStyle name="_Table_USA Ownership_Flash du mois d' avril 2009_Flash du mois de mai 2009_Budget Telmob 2011 2 2" xfId="0"/>
    <cellStyle name="_Table_USA Ownership_Flash du mois d' avril 2009_Flash du mois de mai 2009_Budget Telmob 2011 3" xfId="0"/>
    <cellStyle name="_Table_USA Ownership_Flash du mois d' avril 2009_Flash du mois de septembre 2009 (2) (version 1)" xfId="0"/>
    <cellStyle name="_Table_USA Ownership_Flash du mois d' avril 2009_Flash du mois de septembre 2009 (2) (version 1) 2" xfId="0"/>
    <cellStyle name="_Table_USA Ownership_Flash du mois d' avril 2009_Flash du mois de septembre 2009 (2) (version 1) 2 2" xfId="0"/>
    <cellStyle name="_Table_USA Ownership_Flash du mois d' avril 2009_Flash du mois de septembre 2009 (2) (version 1) 3" xfId="0"/>
    <cellStyle name="_Table_USA Ownership_Flash du mois d' avril 2009_Flash du mois de septembre 2009 (2) (version 1)_Budget Telmob 2011" xfId="0"/>
    <cellStyle name="_Table_USA Ownership_Flash du mois d' avril 2009_Flash du mois de septembre 2009 (2) (version 1)_Budget Telmob 2011 2" xfId="0"/>
    <cellStyle name="_Table_USA Ownership_Flash du mois d' avril 2009_Flash du mois de septembre 2009 (2) (version 1)_Budget Telmob 2011 2 2" xfId="0"/>
    <cellStyle name="_Table_USA Ownership_Flash du mois d' avril 2009_Flash du mois de septembre 2009 (2) (version 1)_Budget Telmob 2011 3" xfId="0"/>
    <cellStyle name="_Table_USA Ownership_Flash du mois d' avril 2009_Reporting Onatel Mai 2009 V 0" xfId="0"/>
    <cellStyle name="_Table_USA Ownership_Flash du mois d' avril 2009_Reporting Onatel Mai 2009 V 0 2" xfId="0"/>
    <cellStyle name="_Table_USA Ownership_Flash du mois d' avril 2009_Reporting Onatel Mai 2009 V 0 2 2" xfId="0"/>
    <cellStyle name="_Table_USA Ownership_Flash du mois d' avril 2009_Reporting Onatel Mai 2009 V 0 3" xfId="0"/>
    <cellStyle name="_Table_USA Ownership_Flash du mois d' avril 2009_Reporting Onatel Mai 2009 V 0_Budget Telmob 2011" xfId="0"/>
    <cellStyle name="_Table_USA Ownership_Flash du mois d' avril 2009_Reporting Onatel Mai 2009 V 0_Budget Telmob 2011 2" xfId="0"/>
    <cellStyle name="_Table_USA Ownership_Flash du mois d' avril 2009_Reporting Onatel Mai 2009 V 0_Budget Telmob 2011 2 2" xfId="0"/>
    <cellStyle name="_Table_USA Ownership_Flash du mois d' avril 2009_Reporting Onatel Mai 2009 V 0_Budget Telmob 2011 3" xfId="0"/>
    <cellStyle name="_Table_USA Ownership_Flash du mois d' avril 2009_Reporting Onatel septembre  2009 préparé" xfId="0"/>
    <cellStyle name="_Table_USA Ownership_Flash du mois d' avril 2009_Reporting Onatel septembre  2009 préparé 2" xfId="0"/>
    <cellStyle name="_Table_USA Ownership_Flash du mois d' avril 2009_Reporting Onatel septembre  2009 préparé 2 2" xfId="0"/>
    <cellStyle name="_Table_USA Ownership_Flash du mois d' avril 2009_Reporting Onatel septembre  2009 préparé 3" xfId="0"/>
    <cellStyle name="_Table_USA Ownership_Flash du mois d' avril 2009_Reporting Onatel septembre  2009 préparé_Budget Telmob 2011" xfId="0"/>
    <cellStyle name="_Table_USA Ownership_Flash du mois d' avril 2009_Reporting Onatel septembre  2009 préparé_Budget Telmob 2011 2" xfId="0"/>
    <cellStyle name="_Table_USA Ownership_Flash du mois d' avril 2009_Reporting Onatel septembre  2009 préparé_Budget Telmob 2011 2 2" xfId="0"/>
    <cellStyle name="_Table_USA Ownership_Flash du mois d' avril 2009_Reporting Onatel septembre  2009 préparé_Budget Telmob 2011 3" xfId="0"/>
    <cellStyle name="_Table_USA Ownership_Flash du mois de mai 2009" xfId="0"/>
    <cellStyle name="_Table_USA Ownership_Flash du mois de mai 2009 2" xfId="0"/>
    <cellStyle name="_Table_USA Ownership_Flash du mois de mai 2009 2 2" xfId="0"/>
    <cellStyle name="_Table_USA Ownership_Flash du mois de mai 2009 3" xfId="0"/>
    <cellStyle name="_Table_USA Ownership_Flash du mois de mai 2009_Budget Telmob 2011" xfId="0"/>
    <cellStyle name="_Table_USA Ownership_Flash du mois de mai 2009_Budget Telmob 2011 2" xfId="0"/>
    <cellStyle name="_Table_USA Ownership_Flash du mois de mai 2009_Budget Telmob 2011 2 2" xfId="0"/>
    <cellStyle name="_Table_USA Ownership_Flash du mois de mai 2009_Budget Telmob 2011 3" xfId="0"/>
    <cellStyle name="_Table_USA Ownership_Flash du mois de septembre 2009 (2) (version 1)" xfId="0"/>
    <cellStyle name="_Table_USA Ownership_Flash du mois de septembre 2009 (2) (version 1) 2" xfId="0"/>
    <cellStyle name="_Table_USA Ownership_Flash du mois de septembre 2009 (2) (version 1) 2 2" xfId="0"/>
    <cellStyle name="_Table_USA Ownership_Flash du mois de septembre 2009 (2) (version 1) 3" xfId="0"/>
    <cellStyle name="_Table_USA Ownership_Flash du mois de septembre 2009 (2) (version 1)_Budget Telmob 2011" xfId="0"/>
    <cellStyle name="_Table_USA Ownership_Flash du mois de septembre 2009 (2) (version 1)_Budget Telmob 2011 2" xfId="0"/>
    <cellStyle name="_Table_USA Ownership_Flash du mois de septembre 2009 (2) (version 1)_Budget Telmob 2011 2 2" xfId="0"/>
    <cellStyle name="_Table_USA Ownership_Flash du mois de septembre 2009 (2) (version 1)_Budget Telmob 2011 3" xfId="0"/>
    <cellStyle name="_Table_USA Ownership_P &amp; L Conso" xfId="0"/>
    <cellStyle name="_Table_USA Ownership_P &amp; L Conso 2" xfId="0"/>
    <cellStyle name="_Table_USA Ownership_P &amp; L Conso 2 2" xfId="0"/>
    <cellStyle name="_Table_USA Ownership_P &amp; L Conso 3" xfId="0"/>
    <cellStyle name="_Table_USA Ownership_P &amp; L Conso_Budget Telmob 2011" xfId="0"/>
    <cellStyle name="_Table_USA Ownership_P &amp; L Conso_Budget Telmob 2011 2" xfId="0"/>
    <cellStyle name="_Table_USA Ownership_P &amp; L Conso_Budget Telmob 2011 2 2" xfId="0"/>
    <cellStyle name="_Table_USA Ownership_P &amp; L Conso_Budget Telmob 2011 3" xfId="0"/>
    <cellStyle name="_Table_USA Ownership_P &amp; L Conso_COMMENTAIRES JUILLET 2009" xfId="0"/>
    <cellStyle name="_Table_USA Ownership_P &amp; L Conso_COMMENTAIRES JUILLET 2009 2" xfId="0"/>
    <cellStyle name="_Table_USA Ownership_P &amp; L Conso_COMMENTAIRES JUILLET 2009 2 2" xfId="0"/>
    <cellStyle name="_Table_USA Ownership_P &amp; L Conso_COMMENTAIRES JUILLET 2009 3" xfId="0"/>
    <cellStyle name="_Table_USA Ownership_P &amp; L Conso_COMMENTAIRES JUILLET 2009_Budget Telmob 2011" xfId="0"/>
    <cellStyle name="_Table_USA Ownership_P &amp; L Conso_COMMENTAIRES JUILLET 2009_Budget Telmob 2011 2" xfId="0"/>
    <cellStyle name="_Table_USA Ownership_P &amp; L Conso_COMMENTAIRES JUILLET 2009_Budget Telmob 2011 2 2" xfId="0"/>
    <cellStyle name="_Table_USA Ownership_P &amp; L Conso_COMMENTAIRES JUILLET 2009_Budget Telmob 2011 3" xfId="0"/>
    <cellStyle name="_Table_USA Ownership_P&amp;L S1 2008" xfId="0"/>
    <cellStyle name="_Table_USA Ownership_P&amp;L S1 2008 2" xfId="0"/>
    <cellStyle name="_Table_USA Ownership_P&amp;L S1 2008 2 2" xfId="0"/>
    <cellStyle name="_Table_USA Ownership_P&amp;L S1 2008 3" xfId="0"/>
    <cellStyle name="_Table_USA Ownership_P&amp;L S1 2008_Budget Telmob 2011" xfId="0"/>
    <cellStyle name="_Table_USA Ownership_P&amp;L S1 2008_Budget Telmob 2011 2" xfId="0"/>
    <cellStyle name="_Table_USA Ownership_P&amp;L S1 2008_Budget Telmob 2011 2 2" xfId="0"/>
    <cellStyle name="_Table_USA Ownership_P&amp;L S1 2008_Budget Telmob 2011 3" xfId="0"/>
    <cellStyle name="_Table_USA Ownership_Reporting Onatel Avril 2009 V0" xfId="0"/>
    <cellStyle name="_Table_USA Ownership_Reporting Onatel Avril 2009 V0 2" xfId="0"/>
    <cellStyle name="_Table_USA Ownership_Reporting Onatel Avril 2009 V0 2 2" xfId="0"/>
    <cellStyle name="_Table_USA Ownership_Reporting Onatel Avril 2009 V0 3" xfId="0"/>
    <cellStyle name="_Table_USA Ownership_Reporting Onatel Avril 2009 V0_Budget Telmob 2011" xfId="0"/>
    <cellStyle name="_Table_USA Ownership_Reporting Onatel Avril 2009 V0_Budget Telmob 2011 2" xfId="0"/>
    <cellStyle name="_Table_USA Ownership_Reporting Onatel Avril 2009 V0_Budget Telmob 2011 2 2" xfId="0"/>
    <cellStyle name="_Table_USA Ownership_Reporting Onatel Avril 2009 V0_Budget Telmob 2011 3" xfId="0"/>
    <cellStyle name="_Table_USA Ownership_Reporting Onatel Avril 2009 V0_Copie de Flash du mois d' avril 2009 corrigé par NAIMI" xfId="0"/>
    <cellStyle name="_Table_USA Ownership_Reporting Onatel Avril 2009 V0_Copie de Flash du mois d' avril 2009 corrigé par NAIMI 2" xfId="0"/>
    <cellStyle name="_Table_USA Ownership_Reporting Onatel Avril 2009 V0_Copie de Flash du mois d' avril 2009 corrigé par NAIMI 2 2" xfId="0"/>
    <cellStyle name="_Table_USA Ownership_Reporting Onatel Avril 2009 V0_Copie de Flash du mois d' avril 2009 corrigé par NAIMI 3" xfId="0"/>
    <cellStyle name="_Table_USA Ownership_Reporting Onatel Avril 2009 V0_Copie de Flash du mois d' avril 2009 corrigé par NAIMI_Budget Telmob 2011" xfId="0"/>
    <cellStyle name="_Table_USA Ownership_Reporting Onatel Avril 2009 V0_Copie de Flash du mois d' avril 2009 corrigé par NAIMI_Budget Telmob 2011 2" xfId="0"/>
    <cellStyle name="_Table_USA Ownership_Reporting Onatel Avril 2009 V0_Copie de Flash du mois d' avril 2009 corrigé par NAIMI_Budget Telmob 2011 2 2" xfId="0"/>
    <cellStyle name="_Table_USA Ownership_Reporting Onatel Avril 2009 V0_Copie de Flash du mois d' avril 2009 corrigé par NAIMI_Budget Telmob 2011 3" xfId="0"/>
    <cellStyle name="_Table_USA Ownership_Reporting Onatel Avril 2009 V0_Copie de Flash du mois d' avril 2009 corrigé par NAIMI_Flash du mois de mai 2009" xfId="0"/>
    <cellStyle name="_Table_USA Ownership_Reporting Onatel Avril 2009 V0_Copie de Flash du mois d' avril 2009 corrigé par NAIMI_Flash du mois de mai 2009 2" xfId="0"/>
    <cellStyle name="_Table_USA Ownership_Reporting Onatel Avril 2009 V0_Copie de Flash du mois d' avril 2009 corrigé par NAIMI_Flash du mois de mai 2009 2 2" xfId="0"/>
    <cellStyle name="_Table_USA Ownership_Reporting Onatel Avril 2009 V0_Copie de Flash du mois d' avril 2009 corrigé par NAIMI_Flash du mois de mai 2009 3" xfId="0"/>
    <cellStyle name="_Table_USA Ownership_Reporting Onatel Avril 2009 V0_Copie de Flash du mois d' avril 2009 corrigé par NAIMI_Flash du mois de mai 2009_Budget Telmob 2011" xfId="0"/>
    <cellStyle name="_Table_USA Ownership_Reporting Onatel Avril 2009 V0_Copie de Flash du mois d' avril 2009 corrigé par NAIMI_Flash du mois de mai 2009_Budget Telmob 2011 2" xfId="0"/>
    <cellStyle name="_Table_USA Ownership_Reporting Onatel Avril 2009 V0_Copie de Flash du mois d' avril 2009 corrigé par NAIMI_Flash du mois de mai 2009_Budget Telmob 2011 2 2" xfId="0"/>
    <cellStyle name="_Table_USA Ownership_Reporting Onatel Avril 2009 V0_Copie de Flash du mois d' avril 2009 corrigé par NAIMI_Flash du mois de mai 2009_Budget Telmob 2011 3" xfId="0"/>
    <cellStyle name="_Table_USA Ownership_Reporting Onatel Avril 2009 V0_Copie de Flash du mois d' avril 2009 corrigé par NAIMI_Flash du mois de septembre 2009 (2) (version 1)" xfId="0"/>
    <cellStyle name="_Table_USA Ownership_Reporting Onatel Avril 2009 V0_Copie de Flash du mois d' avril 2009 corrigé par NAIMI_Flash du mois de septembre 2009 (2) (version 1) 2" xfId="0"/>
    <cellStyle name="_Table_USA Ownership_Reporting Onatel Avril 2009 V0_Copie de Flash du mois d' avril 2009 corrigé par NAIMI_Flash du mois de septembre 2009 (2) (version 1) 2 2" xfId="0"/>
    <cellStyle name="_Table_USA Ownership_Reporting Onatel Avril 2009 V0_Copie de Flash du mois d' avril 2009 corrigé par NAIMI_Flash du mois de septembre 2009 (2) (version 1) 3" xfId="0"/>
    <cellStyle name="_Table_USA Ownership_Reporting Onatel Avril 2009 V0_Copie de Flash du mois d' avril 2009 corrigé par NAIMI_Flash du mois de septembre 2009 (2) (version 1)_Budget Telmob 2011" xfId="0"/>
    <cellStyle name="_Table_USA Ownership_Reporting Onatel Avril 2009 V0_Copie de Flash du mois d' avril 2009 corrigé par NAIMI_Flash du mois de septembre 2009 (2) (version 1)_Budget Telmob 2011 2" xfId="0"/>
    <cellStyle name="_Table_USA Ownership_Reporting Onatel Avril 2009 V0_Copie de Flash du mois d' avril 2009 corrigé par NAIMI_Flash du mois de septembre 2009 (2) (version 1)_Budget Telmob 2011 2 2" xfId="0"/>
    <cellStyle name="_Table_USA Ownership_Reporting Onatel Avril 2009 V0_Copie de Flash du mois d' avril 2009 corrigé par NAIMI_Flash du mois de septembre 2009 (2) (version 1)_Budget Telmob 2011 3" xfId="0"/>
    <cellStyle name="_Table_USA Ownership_Reporting Onatel Avril 2009 V0_Copie de Flash du mois d' avril 2009 corrigé par NAIMI_Reporting Onatel Mai 2009 V 0" xfId="0"/>
    <cellStyle name="_Table_USA Ownership_Reporting Onatel Avril 2009 V0_Copie de Flash du mois d' avril 2009 corrigé par NAIMI_Reporting Onatel Mai 2009 V 0 2" xfId="0"/>
    <cellStyle name="_Table_USA Ownership_Reporting Onatel Avril 2009 V0_Copie de Flash du mois d' avril 2009 corrigé par NAIMI_Reporting Onatel Mai 2009 V 0 2 2" xfId="0"/>
    <cellStyle name="_Table_USA Ownership_Reporting Onatel Avril 2009 V0_Copie de Flash du mois d' avril 2009 corrigé par NAIMI_Reporting Onatel Mai 2009 V 0 3" xfId="0"/>
    <cellStyle name="_Table_USA Ownership_Reporting Onatel Avril 2009 V0_Copie de Flash du mois d' avril 2009 corrigé par NAIMI_Reporting Onatel Mai 2009 V 0_Budget Telmob 2011" xfId="0"/>
    <cellStyle name="_Table_USA Ownership_Reporting Onatel Avril 2009 V0_Copie de Flash du mois d' avril 2009 corrigé par NAIMI_Reporting Onatel Mai 2009 V 0_Budget Telmob 2011 2" xfId="0"/>
    <cellStyle name="_Table_USA Ownership_Reporting Onatel Avril 2009 V0_Copie de Flash du mois d' avril 2009 corrigé par NAIMI_Reporting Onatel Mai 2009 V 0_Budget Telmob 2011 2 2" xfId="0"/>
    <cellStyle name="_Table_USA Ownership_Reporting Onatel Avril 2009 V0_Copie de Flash du mois d' avril 2009 corrigé par NAIMI_Reporting Onatel Mai 2009 V 0_Budget Telmob 2011 3" xfId="0"/>
    <cellStyle name="_Table_USA Ownership_Reporting Onatel Avril 2009 V0_Copie de Flash du mois d' avril 2009 corrigé par NAIMI_Reporting Onatel Mai 2009 V 0_Flash du mois de septembre 2009 (2) (version 1)" xfId="0"/>
    <cellStyle name="_Table_USA Ownership_Reporting Onatel Avril 2009 V0_Copie de Flash du mois d' avril 2009 corrigé par NAIMI_Reporting Onatel Mai 2009 V 0_Flash du mois de septembre 2009 (2) (version 1) 2" xfId="0"/>
    <cellStyle name="_Table_USA Ownership_Reporting Onatel Avril 2009 V0_Copie de Flash du mois d' avril 2009 corrigé par NAIMI_Reporting Onatel Mai 2009 V 0_Flash du mois de septembre 2009 (2) (version 1) 2 2" xfId="0"/>
    <cellStyle name="_Table_USA Ownership_Reporting Onatel Avril 2009 V0_Copie de Flash du mois d' avril 2009 corrigé par NAIMI_Reporting Onatel Mai 2009 V 0_Flash du mois de septembre 2009 (2) (version 1) 3" xfId="0"/>
    <cellStyle name="_Table_USA Ownership_Reporting Onatel Avril 2009 V0_Copie de Flash du mois d' avril 2009 corrigé par NAIMI_Reporting Onatel Mai 2009 V 0_Flash du mois de septembre 2009 (2) (version 1)_Budget Telmob 2011" xfId="0"/>
    <cellStyle name="_Table_USA Ownership_Reporting Onatel Avril 2009 V0_Copie de Flash du mois d' avril 2009 corrigé par NAIMI_Reporting Onatel Mai 2009 V 0_Flash du mois de septembre 2009 (2) (version 1)_Budget Telmob 2011 2" xfId="0"/>
    <cellStyle name="_Table_USA Ownership_Reporting Onatel Avril 2009 V0_Copie de Flash du mois d' avril 2009 corrigé par NAIMI_Reporting Onatel Mai 2009 V 0_Flash du mois de septembre 2009 (2) (version 1)_Budget Telmob 2011 2 2" xfId="0"/>
    <cellStyle name="_Table_USA Ownership_Reporting Onatel Avril 2009 V0_Copie de Flash du mois d' avril 2009 corrigé par NAIMI_Reporting Onatel Mai 2009 V 0_Flash du mois de septembre 2009 (2) (version 1)_Budget Telmob 2011 3" xfId="0"/>
    <cellStyle name="_Table_USA Ownership_Reporting Onatel Avril 2009 V0_Copie de Flash du mois d' avril 2009 corrigé par NAIMI_Reporting Onatel Mai 2009 V 0_Reporting Onatel septembre  2009 préparé" xfId="0"/>
    <cellStyle name="_Table_USA Ownership_Reporting Onatel Avril 2009 V0_Copie de Flash du mois d' avril 2009 corrigé par NAIMI_Reporting Onatel Mai 2009 V 0_Reporting Onatel septembre  2009 préparé 2" xfId="0"/>
    <cellStyle name="_Table_USA Ownership_Reporting Onatel Avril 2009 V0_Copie de Flash du mois d' avril 2009 corrigé par NAIMI_Reporting Onatel Mai 2009 V 0_Reporting Onatel septembre  2009 préparé 2 2" xfId="0"/>
    <cellStyle name="_Table_USA Ownership_Reporting Onatel Avril 2009 V0_Copie de Flash du mois d' avril 2009 corrigé par NAIMI_Reporting Onatel Mai 2009 V 0_Reporting Onatel septembre  2009 préparé 3" xfId="0"/>
    <cellStyle name="_Table_USA Ownership_Reporting Onatel Avril 2009 V0_Copie de Flash du mois d' avril 2009 corrigé par NAIMI_Reporting Onatel Mai 2009 V 0_Reporting Onatel septembre  2009 préparé_Budget Telmob 2011" xfId="0"/>
    <cellStyle name="_Table_USA Ownership_Reporting Onatel Avril 2009 V0_Copie de Flash du mois d' avril 2009 corrigé par NAIMI_Reporting Onatel Mai 2009 V 0_Reporting Onatel septembre  2009 préparé_Budget Telmob 2011 2" xfId="0"/>
    <cellStyle name="_Table_USA Ownership_Reporting Onatel Avril 2009 V0_Copie de Flash du mois d' avril 2009 corrigé par NAIMI_Reporting Onatel Mai 2009 V 0_Reporting Onatel septembre  2009 préparé_Budget Telmob 2011 2 2" xfId="0"/>
    <cellStyle name="_Table_USA Ownership_Reporting Onatel Avril 2009 V0_Copie de Flash du mois d' avril 2009 corrigé par NAIMI_Reporting Onatel Mai 2009 V 0_Reporting Onatel septembre  2009 préparé_Budget Telmob 2011 3" xfId="0"/>
    <cellStyle name="_Table_USA Ownership_Reporting Onatel Avril 2009 V0_Copie de Flash du mois d' avril 2009 corrigé par NAIMI_Reporting Onatel septembre  2009 préparé" xfId="0"/>
    <cellStyle name="_Table_USA Ownership_Reporting Onatel Avril 2009 V0_Copie de Flash du mois d' avril 2009 corrigé par NAIMI_Reporting Onatel septembre  2009 préparé 2" xfId="0"/>
    <cellStyle name="_Table_USA Ownership_Reporting Onatel Avril 2009 V0_Copie de Flash du mois d' avril 2009 corrigé par NAIMI_Reporting Onatel septembre  2009 préparé 2 2" xfId="0"/>
    <cellStyle name="_Table_USA Ownership_Reporting Onatel Avril 2009 V0_Copie de Flash du mois d' avril 2009 corrigé par NAIMI_Reporting Onatel septembre  2009 préparé 3" xfId="0"/>
    <cellStyle name="_Table_USA Ownership_Reporting Onatel Avril 2009 V0_Copie de Flash du mois d' avril 2009 corrigé par NAIMI_Reporting Onatel septembre  2009 préparé_Budget Telmob 2011" xfId="0"/>
    <cellStyle name="_Table_USA Ownership_Reporting Onatel Avril 2009 V0_Copie de Flash du mois d' avril 2009 corrigé par NAIMI_Reporting Onatel septembre  2009 préparé_Budget Telmob 2011 2" xfId="0"/>
    <cellStyle name="_Table_USA Ownership_Reporting Onatel Avril 2009 V0_Copie de Flash du mois d' avril 2009 corrigé par NAIMI_Reporting Onatel septembre  2009 préparé_Budget Telmob 2011 2 2" xfId="0"/>
    <cellStyle name="_Table_USA Ownership_Reporting Onatel Avril 2009 V0_Copie de Flash du mois d' avril 2009 corrigé par NAIMI_Reporting Onatel septembre  2009 préparé_Budget Telmob 2011 3" xfId="0"/>
    <cellStyle name="_Table_USA Ownership_Reporting Onatel Avril 2009 V0_Flash du mois de mai 2009" xfId="0"/>
    <cellStyle name="_Table_USA Ownership_Reporting Onatel Avril 2009 V0_Flash du mois de mai 2009 2" xfId="0"/>
    <cellStyle name="_Table_USA Ownership_Reporting Onatel Avril 2009 V0_Flash du mois de mai 2009 2 2" xfId="0"/>
    <cellStyle name="_Table_USA Ownership_Reporting Onatel Avril 2009 V0_Flash du mois de mai 2009 3" xfId="0"/>
    <cellStyle name="_Table_USA Ownership_Reporting Onatel Avril 2009 V0_Flash du mois de mai 2009_Budget Telmob 2011" xfId="0"/>
    <cellStyle name="_Table_USA Ownership_Reporting Onatel Avril 2009 V0_Flash du mois de mai 2009_Budget Telmob 2011 2" xfId="0"/>
    <cellStyle name="_Table_USA Ownership_Reporting Onatel Avril 2009 V0_Flash du mois de mai 2009_Budget Telmob 2011 2 2" xfId="0"/>
    <cellStyle name="_Table_USA Ownership_Reporting Onatel Avril 2009 V0_Flash du mois de mai 2009_Budget Telmob 2011 3" xfId="0"/>
    <cellStyle name="_Table_USA Ownership_Reporting Onatel Avril 2009 V0_Flash du mois de septembre 2009 (2) (version 1)" xfId="0"/>
    <cellStyle name="_Table_USA Ownership_Reporting Onatel Avril 2009 V0_Flash du mois de septembre 2009 (2) (version 1) 2" xfId="0"/>
    <cellStyle name="_Table_USA Ownership_Reporting Onatel Avril 2009 V0_Flash du mois de septembre 2009 (2) (version 1) 2 2" xfId="0"/>
    <cellStyle name="_Table_USA Ownership_Reporting Onatel Avril 2009 V0_Flash du mois de septembre 2009 (2) (version 1) 3" xfId="0"/>
    <cellStyle name="_Table_USA Ownership_Reporting Onatel Avril 2009 V0_Flash du mois de septembre 2009 (2) (version 1)_Budget Telmob 2011" xfId="0"/>
    <cellStyle name="_Table_USA Ownership_Reporting Onatel Avril 2009 V0_Flash du mois de septembre 2009 (2) (version 1)_Budget Telmob 2011 2" xfId="0"/>
    <cellStyle name="_Table_USA Ownership_Reporting Onatel Avril 2009 V0_Flash du mois de septembre 2009 (2) (version 1)_Budget Telmob 2011 2 2" xfId="0"/>
    <cellStyle name="_Table_USA Ownership_Reporting Onatel Avril 2009 V0_Flash du mois de septembre 2009 (2) (version 1)_Budget Telmob 2011 3" xfId="0"/>
    <cellStyle name="_Table_USA Ownership_Reporting Onatel Avril 2009 V0_Reporting Onatel Mai 2009 V 0" xfId="0"/>
    <cellStyle name="_Table_USA Ownership_Reporting Onatel Avril 2009 V0_Reporting Onatel Mai 2009 V 0 2" xfId="0"/>
    <cellStyle name="_Table_USA Ownership_Reporting Onatel Avril 2009 V0_Reporting Onatel Mai 2009 V 0 2 2" xfId="0"/>
    <cellStyle name="_Table_USA Ownership_Reporting Onatel Avril 2009 V0_Reporting Onatel Mai 2009 V 0 3" xfId="0"/>
    <cellStyle name="_Table_USA Ownership_Reporting Onatel Avril 2009 V0_Reporting Onatel Mai 2009 V 0_Budget Telmob 2011" xfId="0"/>
    <cellStyle name="_Table_USA Ownership_Reporting Onatel Avril 2009 V0_Reporting Onatel Mai 2009 V 0_Budget Telmob 2011 2" xfId="0"/>
    <cellStyle name="_Table_USA Ownership_Reporting Onatel Avril 2009 V0_Reporting Onatel Mai 2009 V 0_Budget Telmob 2011 2 2" xfId="0"/>
    <cellStyle name="_Table_USA Ownership_Reporting Onatel Avril 2009 V0_Reporting Onatel Mai 2009 V 0_Budget Telmob 2011 3" xfId="0"/>
    <cellStyle name="_Table_USA Ownership_Reporting Onatel Avril 2009 V0_Reporting Onatel septembre  2009 préparé" xfId="0"/>
    <cellStyle name="_Table_USA Ownership_Reporting Onatel Avril 2009 V0_Reporting Onatel septembre  2009 préparé 2" xfId="0"/>
    <cellStyle name="_Table_USA Ownership_Reporting Onatel Avril 2009 V0_Reporting Onatel septembre  2009 préparé 2 2" xfId="0"/>
    <cellStyle name="_Table_USA Ownership_Reporting Onatel Avril 2009 V0_Reporting Onatel septembre  2009 préparé 3" xfId="0"/>
    <cellStyle name="_Table_USA Ownership_Reporting Onatel Avril 2009 V0_Reporting Onatel septembre  2009 préparé_Budget Telmob 2011" xfId="0"/>
    <cellStyle name="_Table_USA Ownership_Reporting Onatel Avril 2009 V0_Reporting Onatel septembre  2009 préparé_Budget Telmob 2011 2" xfId="0"/>
    <cellStyle name="_Table_USA Ownership_Reporting Onatel Avril 2009 V0_Reporting Onatel septembre  2009 préparé_Budget Telmob 2011 2 2" xfId="0"/>
    <cellStyle name="_Table_USA Ownership_Reporting Onatel Avril 2009 V0_Reporting Onatel septembre  2009 préparé_Budget Telmob 2011 3" xfId="0"/>
    <cellStyle name="_Table_USA Ownership_Reporting Onatel Mai 2009 V 0" xfId="0"/>
    <cellStyle name="_Table_USA Ownership_Reporting Onatel Mai 2009 V 0 2" xfId="0"/>
    <cellStyle name="_Table_USA Ownership_Reporting Onatel Mai 2009 V 0 2 2" xfId="0"/>
    <cellStyle name="_Table_USA Ownership_Reporting Onatel Mai 2009 V 0 3" xfId="0"/>
    <cellStyle name="_Table_USA Ownership_Reporting Onatel Mai 2009 V 0 A ENVOYE" xfId="0"/>
    <cellStyle name="_Table_USA Ownership_Reporting Onatel Mai 2009 V 0 A ENVOYE 2" xfId="0"/>
    <cellStyle name="_Table_USA Ownership_Reporting Onatel Mai 2009 V 0 A ENVOYE 2 2" xfId="0"/>
    <cellStyle name="_Table_USA Ownership_Reporting Onatel Mai 2009 V 0 A ENVOYE 3" xfId="0"/>
    <cellStyle name="_Table_USA Ownership_Reporting Onatel Mai 2009 V 0 A ENVOYE_Budget Telmob 2011" xfId="0"/>
    <cellStyle name="_Table_USA Ownership_Reporting Onatel Mai 2009 V 0 A ENVOYE_Budget Telmob 2011 2" xfId="0"/>
    <cellStyle name="_Table_USA Ownership_Reporting Onatel Mai 2009 V 0 A ENVOYE_Budget Telmob 2011 2 2" xfId="0"/>
    <cellStyle name="_Table_USA Ownership_Reporting Onatel Mai 2009 V 0 A ENVOYE_Budget Telmob 2011 3" xfId="0"/>
    <cellStyle name="_Table_USA Ownership_Reporting Onatel Mai 2009 V 0 A ENVOYE_Flash du mois de septembre 2009 (2) (version 1)" xfId="0"/>
    <cellStyle name="_Table_USA Ownership_Reporting Onatel Mai 2009 V 0 A ENVOYE_Flash du mois de septembre 2009 (2) (version 1) 2" xfId="0"/>
    <cellStyle name="_Table_USA Ownership_Reporting Onatel Mai 2009 V 0 A ENVOYE_Flash du mois de septembre 2009 (2) (version 1) 2 2" xfId="0"/>
    <cellStyle name="_Table_USA Ownership_Reporting Onatel Mai 2009 V 0 A ENVOYE_Flash du mois de septembre 2009 (2) (version 1) 3" xfId="0"/>
    <cellStyle name="_Table_USA Ownership_Reporting Onatel Mai 2009 V 0 A ENVOYE_Flash du mois de septembre 2009 (2) (version 1)_Budget Telmob 2011" xfId="0"/>
    <cellStyle name="_Table_USA Ownership_Reporting Onatel Mai 2009 V 0 A ENVOYE_Flash du mois de septembre 2009 (2) (version 1)_Budget Telmob 2011 2" xfId="0"/>
    <cellStyle name="_Table_USA Ownership_Reporting Onatel Mai 2009 V 0 A ENVOYE_Flash du mois de septembre 2009 (2) (version 1)_Budget Telmob 2011 2 2" xfId="0"/>
    <cellStyle name="_Table_USA Ownership_Reporting Onatel Mai 2009 V 0 A ENVOYE_Flash du mois de septembre 2009 (2) (version 1)_Budget Telmob 2011 3" xfId="0"/>
    <cellStyle name="_Table_USA Ownership_Reporting Onatel Mai 2009 V 0 A ENVOYE_Reporting Onatel septembre  2009 préparé" xfId="0"/>
    <cellStyle name="_Table_USA Ownership_Reporting Onatel Mai 2009 V 0 A ENVOYE_Reporting Onatel septembre  2009 préparé 2" xfId="0"/>
    <cellStyle name="_Table_USA Ownership_Reporting Onatel Mai 2009 V 0 A ENVOYE_Reporting Onatel septembre  2009 préparé 2 2" xfId="0"/>
    <cellStyle name="_Table_USA Ownership_Reporting Onatel Mai 2009 V 0 A ENVOYE_Reporting Onatel septembre  2009 préparé 3" xfId="0"/>
    <cellStyle name="_Table_USA Ownership_Reporting Onatel Mai 2009 V 0 A ENVOYE_Reporting Onatel septembre  2009 préparé_Budget Telmob 2011" xfId="0"/>
    <cellStyle name="_Table_USA Ownership_Reporting Onatel Mai 2009 V 0 A ENVOYE_Reporting Onatel septembre  2009 préparé_Budget Telmob 2011 2" xfId="0"/>
    <cellStyle name="_Table_USA Ownership_Reporting Onatel Mai 2009 V 0 A ENVOYE_Reporting Onatel septembre  2009 préparé_Budget Telmob 2011 2 2" xfId="0"/>
    <cellStyle name="_Table_USA Ownership_Reporting Onatel Mai 2009 V 0 A ENVOYE_Reporting Onatel septembre  2009 préparé_Budget Telmob 2011 3" xfId="0"/>
    <cellStyle name="_Table_USA Ownership_Reporting Onatel Mai 2009 V 0_Budget Telmob 2011" xfId="0"/>
    <cellStyle name="_Table_USA Ownership_Reporting Onatel Mai 2009 V 0_Budget Telmob 2011 2" xfId="0"/>
    <cellStyle name="_Table_USA Ownership_Reporting Onatel Mai 2009 V 0_Budget Telmob 2011 2 2" xfId="0"/>
    <cellStyle name="_Table_USA Ownership_Reporting Onatel Mai 2009 V 0_Budget Telmob 2011 3" xfId="0"/>
    <cellStyle name="_Table_USA Ownership_Reporting Onatel septembre  2009 préparé" xfId="0"/>
    <cellStyle name="_Table_USA Ownership_Reporting Onatel septembre  2009 préparé 2" xfId="0"/>
    <cellStyle name="_Table_USA Ownership_Reporting Onatel septembre  2009 préparé 2 2" xfId="0"/>
    <cellStyle name="_Table_USA Ownership_Reporting Onatel septembre  2009 préparé 3" xfId="0"/>
    <cellStyle name="_Table_USA Ownership_Reporting Onatel septembre  2009 préparé_Budget Telmob 2011" xfId="0"/>
    <cellStyle name="_Table_USA Ownership_Reporting Onatel septembre  2009 préparé_Budget Telmob 2011 2" xfId="0"/>
    <cellStyle name="_Table_USA Ownership_Reporting Onatel septembre  2009 préparé_Budget Telmob 2011 2 2" xfId="0"/>
    <cellStyle name="_Table_USA Ownership_Reporting Onatel septembre  2009 préparé_Budget Telmob 2011 3" xfId="0"/>
    <cellStyle name="_Table_USA Ownership_Rev Fixe-Internet" xfId="0"/>
    <cellStyle name="_Table_USA Ownership_Rev Fixe-Internet 2" xfId="0"/>
    <cellStyle name="_Table_USA Ownership_Rev Fixe-Internet 2 2" xfId="0"/>
    <cellStyle name="_Table_USA Ownership_Rev Fixe-Internet 3" xfId="0"/>
    <cellStyle name="_Table_USA Ownership_Rev Fixe-Internet_Budget Telmob 2011" xfId="0"/>
    <cellStyle name="_Table_USA Ownership_Rev Fixe-Internet_Budget Telmob 2011 2" xfId="0"/>
    <cellStyle name="_Table_USA Ownership_Rev Fixe-Internet_Budget Telmob 2011 2 2" xfId="0"/>
    <cellStyle name="_Table_USA Ownership_Rev Fixe-Internet_Budget Telmob 2011 3" xfId="0"/>
    <cellStyle name="_Table_USA Ownership_Rev Fixe-Internet_COMMENTAIRES JUILLET 2009" xfId="0"/>
    <cellStyle name="_Table_USA Ownership_Rev Fixe-Internet_COMMENTAIRES JUILLET 2009 2" xfId="0"/>
    <cellStyle name="_Table_USA Ownership_Rev Fixe-Internet_COMMENTAIRES JUILLET 2009 2 2" xfId="0"/>
    <cellStyle name="_Table_USA Ownership_Rev Fixe-Internet_COMMENTAIRES JUILLET 2009 3" xfId="0"/>
    <cellStyle name="_Table_USA Ownership_Rev Fixe-Internet_COMMENTAIRES JUILLET 2009_Budget Telmob 2011" xfId="0"/>
    <cellStyle name="_Table_USA Ownership_Rev Fixe-Internet_COMMENTAIRES JUILLET 2009_Budget Telmob 2011 2" xfId="0"/>
    <cellStyle name="_Table_USA Ownership_Rev Fixe-Internet_COMMENTAIRES JUILLET 2009_Budget Telmob 2011 2 2" xfId="0"/>
    <cellStyle name="_Table_USA Ownership_Rev Fixe-Internet_COMMENTAIRES JUILLET 2009_Budget Telmob 2011 3" xfId="0"/>
    <cellStyle name="_Table_USA Ownership_TBG Onatel Février  2009  Vtbg V3" xfId="0"/>
    <cellStyle name="_Table_USA Ownership_TBG Onatel Février  2009  Vtbg V3 2" xfId="0"/>
    <cellStyle name="_Table_USA Ownership_TBG Onatel Février  2009  Vtbg V3 2 2" xfId="0"/>
    <cellStyle name="_Table_USA Ownership_TBG Onatel Février  2009  Vtbg V3 3" xfId="0"/>
    <cellStyle name="_Table_USA Ownership_TBG Onatel Février  2009  Vtbg V3_Budget Telmob 2011" xfId="0"/>
    <cellStyle name="_Table_USA Ownership_TBG Onatel Février  2009  Vtbg V3_Budget Telmob 2011 2" xfId="0"/>
    <cellStyle name="_Table_USA Ownership_TBG Onatel Février  2009  Vtbg V3_Budget Telmob 2011 2 2" xfId="0"/>
    <cellStyle name="_Table_USA Ownership_TBG Onatel Février  2009  Vtbg V3_Budget Telmob 2011 3" xfId="0"/>
    <cellStyle name="_Table_USA Ownership_TBG Onatel Février  2009  Vtbg V3_Commentaires TBG mars" xfId="0"/>
    <cellStyle name="_Table_USA Ownership_TBG Onatel Février  2009  Vtbg V3_Commentaires TBG mars 2" xfId="0"/>
    <cellStyle name="_Table_USA Ownership_TBG Onatel Février  2009  Vtbg V3_Commentaires TBG mars 2 2" xfId="0"/>
    <cellStyle name="_Table_USA Ownership_TBG Onatel Février  2009  Vtbg V3_Commentaires TBG mars 3" xfId="0"/>
    <cellStyle name="_Table_USA Ownership_TBG Onatel Février  2009  Vtbg V3_Commentaires TBG mars_Budget Telmob 2011" xfId="0"/>
    <cellStyle name="_Table_USA Ownership_TBG Onatel Février  2009  Vtbg V3_Commentaires TBG mars_Budget Telmob 2011 2" xfId="0"/>
    <cellStyle name="_Table_USA Ownership_TBG Onatel Février  2009  Vtbg V3_Commentaires TBG mars_Budget Telmob 2011 2 2" xfId="0"/>
    <cellStyle name="_Table_USA Ownership_TBG Onatel Février  2009  Vtbg V3_Commentaires TBG mars_Budget Telmob 2011 3" xfId="0"/>
    <cellStyle name="_Table_USA Ownership_TBG Onatel Février  2009  Vtbg V3_Commentaires TBG mars_Copie de Flash du mois d' avril 2009 corrigé par NAIMI" xfId="0"/>
    <cellStyle name="_Table_USA Ownership_TBG Onatel Février  2009  Vtbg V3_Commentaires TBG mars_Copie de Flash du mois d' avril 2009 corrigé par NAIMI 2" xfId="0"/>
    <cellStyle name="_Table_USA Ownership_TBG Onatel Février  2009  Vtbg V3_Commentaires TBG mars_Copie de Flash du mois d' avril 2009 corrigé par NAIMI 2 2" xfId="0"/>
    <cellStyle name="_Table_USA Ownership_TBG Onatel Février  2009  Vtbg V3_Commentaires TBG mars_Copie de Flash du mois d' avril 2009 corrigé par NAIMI 3" xfId="0"/>
    <cellStyle name="_Table_USA Ownership_TBG Onatel Février  2009  Vtbg V3_Commentaires TBG mars_Copie de Flash du mois d' avril 2009 corrigé par NAIMI_Budget Telmob 2011" xfId="0"/>
    <cellStyle name="_Table_USA Ownership_TBG Onatel Février  2009  Vtbg V3_Commentaires TBG mars_Copie de Flash du mois d' avril 2009 corrigé par NAIMI_Budget Telmob 2011 2" xfId="0"/>
    <cellStyle name="_Table_USA Ownership_TBG Onatel Février  2009  Vtbg V3_Commentaires TBG mars_Copie de Flash du mois d' avril 2009 corrigé par NAIMI_Budget Telmob 2011 2 2" xfId="0"/>
    <cellStyle name="_Table_USA Ownership_TBG Onatel Février  2009  Vtbg V3_Commentaires TBG mars_Copie de Flash du mois d' avril 2009 corrigé par NAIMI_Budget Telmob 2011 3" xfId="0"/>
    <cellStyle name="_Table_USA Ownership_TBG Onatel Février  2009  Vtbg V3_Commentaires TBG mars_Copie de Flash du mois d' avril 2009 corrigé par NAIMI_Flash du mois de mai 2009" xfId="0"/>
    <cellStyle name="_Table_USA Ownership_TBG Onatel Février  2009  Vtbg V3_Commentaires TBG mars_Copie de Flash du mois d' avril 2009 corrigé par NAIMI_Flash du mois de mai 2009 2" xfId="0"/>
    <cellStyle name="_Table_USA Ownership_TBG Onatel Février  2009  Vtbg V3_Commentaires TBG mars_Copie de Flash du mois d' avril 2009 corrigé par NAIMI_Flash du mois de mai 2009 2 2" xfId="0"/>
    <cellStyle name="_Table_USA Ownership_TBG Onatel Février  2009  Vtbg V3_Commentaires TBG mars_Copie de Flash du mois d' avril 2009 corrigé par NAIMI_Flash du mois de mai 2009 3" xfId="0"/>
    <cellStyle name="_Table_USA Ownership_TBG Onatel Février  2009  Vtbg V3_Commentaires TBG mars_Copie de Flash du mois d' avril 2009 corrigé par NAIMI_Flash du mois de mai 2009_Budget Telmob 2011" xfId="0"/>
    <cellStyle name="_Table_USA Ownership_TBG Onatel Février  2009  Vtbg V3_Commentaires TBG mars_Copie de Flash du mois d' avril 2009 corrigé par NAIMI_Flash du mois de mai 2009_Budget Telmob 2011 2" xfId="0"/>
    <cellStyle name="_Table_USA Ownership_TBG Onatel Février  2009  Vtbg V3_Commentaires TBG mars_Copie de Flash du mois d' avril 2009 corrigé par NAIMI_Flash du mois de mai 2009_Budget Telmob 2011 2 2" xfId="0"/>
    <cellStyle name="_Table_USA Ownership_TBG Onatel Février  2009  Vtbg V3_Commentaires TBG mars_Copie de Flash du mois d' avril 2009 corrigé par NAIMI_Flash du mois de mai 2009_Budget Telmob 2011 3" xfId="0"/>
    <cellStyle name="_Table_USA Ownership_TBG Onatel Février  2009  Vtbg V3_Commentaires TBG mars_Copie de Flash du mois d' avril 2009 corrigé par NAIMI_Flash du mois de septembre 2009 (2) (version 1)" xfId="0"/>
    <cellStyle name="_Table_USA Ownership_TBG Onatel Février  2009  Vtbg V3_Commentaires TBG mars_Copie de Flash du mois d' avril 2009 corrigé par NAIMI_Flash du mois de septembre 2009 (2) (version 1) 2" xfId="0"/>
    <cellStyle name="_Table_USA Ownership_TBG Onatel Février  2009  Vtbg V3_Commentaires TBG mars_Copie de Flash du mois d' avril 2009 corrigé par NAIMI_Flash du mois de septembre 2009 (2) (version 1) 2 2" xfId="0"/>
    <cellStyle name="_Table_USA Ownership_TBG Onatel Février  2009  Vtbg V3_Commentaires TBG mars_Copie de Flash du mois d' avril 2009 corrigé par NAIMI_Flash du mois de septembre 2009 (2) (version 1) 3" xfId="0"/>
    <cellStyle name="_Table_USA Ownership_TBG Onatel Février  2009  Vtbg V3_Commentaires TBG mars_Copie de Flash du mois d' avril 2009 corrigé par NAIMI_Flash du mois de septembre 2009 (2) (version 1)_Budget Telmob 2011" xfId="0"/>
    <cellStyle name="_Table_USA Ownership_TBG Onatel Février  2009  Vtbg V3_Commentaires TBG mars_Copie de Flash du mois d' avril 2009 corrigé par NAIMI_Flash du mois de septembre 2009 (2) (version 1)_Budget Telmob 2011 2" xfId="0"/>
    <cellStyle name="_Table_USA Ownership_TBG Onatel Février  2009  Vtbg V3_Commentaires TBG mars_Copie de Flash du mois d' avril 2009 corrigé par NAIMI_Flash du mois de septembre 2009 (2) (version 1)_Budget Telmob 2011 2 2" xfId="0"/>
    <cellStyle name="_Table_USA Ownership_TBG Onatel Février  2009  Vtbg V3_Commentaires TBG mars_Copie de Flash du mois d' avril 2009 corrigé par NAIMI_Flash du mois de septembre 2009 (2) (version 1)_Budget Telmob 2011 3" xfId="0"/>
    <cellStyle name="_Table_USA Ownership_TBG Onatel Février  2009  Vtbg V3_Commentaires TBG mars_Copie de Flash du mois d' avril 2009 corrigé par NAIMI_Reporting Onatel Mai 2009 V 0" xfId="0"/>
    <cellStyle name="_Table_USA Ownership_TBG Onatel Février  2009  Vtbg V3_Commentaires TBG mars_Copie de Flash du mois d' avril 2009 corrigé par NAIMI_Reporting Onatel Mai 2009 V 0 2" xfId="0"/>
    <cellStyle name="_Table_USA Ownership_TBG Onatel Février  2009  Vtbg V3_Commentaires TBG mars_Copie de Flash du mois d' avril 2009 corrigé par NAIMI_Reporting Onatel Mai 2009 V 0 2 2" xfId="0"/>
    <cellStyle name="_Table_USA Ownership_TBG Onatel Février  2009  Vtbg V3_Commentaires TBG mars_Copie de Flash du mois d' avril 2009 corrigé par NAIMI_Reporting Onatel Mai 2009 V 0 3" xfId="0"/>
    <cellStyle name="_Table_USA Ownership_TBG Onatel Février  2009  Vtbg V3_Commentaires TBG mars_Copie de Flash du mois d' avril 2009 corrigé par NAIMI_Reporting Onatel Mai 2009 V 0_Budget Telmob 2011" xfId="0"/>
    <cellStyle name="_Table_USA Ownership_TBG Onatel Février  2009  Vtbg V3_Commentaires TBG mars_Copie de Flash du mois d' avril 2009 corrigé par NAIMI_Reporting Onatel Mai 2009 V 0_Budget Telmob 2011 2" xfId="0"/>
    <cellStyle name="_Table_USA Ownership_TBG Onatel Février  2009  Vtbg V3_Commentaires TBG mars_Copie de Flash du mois d' avril 2009 corrigé par NAIMI_Reporting Onatel Mai 2009 V 0_Budget Telmob 2011 2 2" xfId="0"/>
    <cellStyle name="_Table_USA Ownership_TBG Onatel Février  2009  Vtbg V3_Commentaires TBG mars_Copie de Flash du mois d' avril 2009 corrigé par NAIMI_Reporting Onatel Mai 2009 V 0_Budget Telmob 2011 3" xfId="0"/>
    <cellStyle name="_Table_USA Ownership_TBG Onatel Février  2009  Vtbg V3_Commentaires TBG mars_Copie de Flash du mois d' avril 2009 corrigé par NAIMI_Reporting Onatel Mai 2009 V 0_Flash du mois de septembre 2009 (2) (version 1)" xfId="0"/>
    <cellStyle name="_Table_USA Ownership_TBG Onatel Février  2009  Vtbg V3_Commentaires TBG mars_Copie de Flash du mois d' avril 2009 corrigé par NAIMI_Reporting Onatel Mai 2009 V 0_Flash du mois de septembre 2009 (2) (version 1) 2" xfId="0"/>
    <cellStyle name="_Table_USA Ownership_TBG Onatel Février  2009  Vtbg V3_Commentaires TBG mars_Copie de Flash du mois d' avril 2009 corrigé par NAIMI_Reporting Onatel Mai 2009 V 0_Flash du mois de septembre 2009 (2) (version 1) 2 2" xfId="0"/>
    <cellStyle name="_Table_USA Ownership_TBG Onatel Février  2009  Vtbg V3_Commentaires TBG mars_Copie de Flash du mois d' avril 2009 corrigé par NAIMI_Reporting Onatel Mai 2009 V 0_Flash du mois de septembre 2009 (2) (version 1) 3" xfId="0"/>
    <cellStyle name="_Table_USA Ownership_TBG Onatel Février  2009  Vtbg V3_Commentaires TBG mars_Copie de Flash du mois d' avril 2009 corrigé par NAIMI_Reporting Onatel Mai 2009 V 0_Flash du mois de septembre 2009 (2) (version 1)_Budget Telmob 2011" xfId="0"/>
    <cellStyle name="_Table_USA Ownership_TBG Onatel Février  2009  Vtbg V3_Commentaires TBG mars_Copie de Flash du mois d' avril 2009 corrigé par NAIMI_Reporting Onatel Mai 2009 V 0_Flash du mois de septembre 2009 (2) (version 1)_Budget Telmob 2011 2" xfId="0"/>
    <cellStyle name="_Table_USA Ownership_TBG Onatel Février  2009  Vtbg V3_Commentaires TBG mars_Copie de Flash du mois d' avril 2009 corrigé par NAIMI_Reporting Onatel Mai 2009 V 0_Flash du mois de septembre 2009 (2) (version 1)_Budget Telmob 2011 2 2" xfId="0"/>
    <cellStyle name="_Table_USA Ownership_TBG Onatel Février  2009  Vtbg V3_Commentaires TBG mars_Copie de Flash du mois d' avril 2009 corrigé par NAIMI_Reporting Onatel Mai 2009 V 0_Flash du mois de septembre 2009 (2) (version 1)_Budget Telmob 2011 3" xfId="0"/>
    <cellStyle name="_Table_USA Ownership_TBG Onatel Février  2009  Vtbg V3_Commentaires TBG mars_Copie de Flash du mois d' avril 2009 corrigé par NAIMI_Reporting Onatel Mai 2009 V 0_Reporting Onatel septembre  2009 préparé" xfId="0"/>
    <cellStyle name="_Table_USA Ownership_TBG Onatel Février  2009  Vtbg V3_Commentaires TBG mars_Copie de Flash du mois d' avril 2009 corrigé par NAIMI_Reporting Onatel Mai 2009 V 0_Reporting Onatel septembre  2009 préparé 2" xfId="0"/>
    <cellStyle name="_Table_USA Ownership_TBG Onatel Février  2009  Vtbg V3_Commentaires TBG mars_Copie de Flash du mois d' avril 2009 corrigé par NAIMI_Reporting Onatel Mai 2009 V 0_Reporting Onatel septembre  2009 préparé 2 2" xfId="0"/>
    <cellStyle name="_Table_USA Ownership_TBG Onatel Février  2009  Vtbg V3_Commentaires TBG mars_Copie de Flash du mois d' avril 2009 corrigé par NAIMI_Reporting Onatel Mai 2009 V 0_Reporting Onatel septembre  2009 préparé 3" xfId="0"/>
    <cellStyle name="_Table_USA Ownership_TBG Onatel Février  2009  Vtbg V3_Commentaires TBG mars_Copie de Flash du mois d' avril 2009 corrigé par NAIMI_Reporting Onatel Mai 2009 V 0_Reporting Onatel septembre  2009 préparé_Budget Telmob 2011" xfId="0"/>
    <cellStyle name="_Table_USA Ownership_TBG Onatel Février  2009  Vtbg V3_Commentaires TBG mars_Copie de Flash du mois d' avril 2009 corrigé par NAIMI_Reporting Onatel Mai 2009 V 0_Reporting Onatel septembre  2009 préparé_Budget Telmob 2011 2" xfId="0"/>
    <cellStyle name="_Table_USA Ownership_TBG Onatel Février  2009  Vtbg V3_Commentaires TBG mars_Copie de Flash du mois d' avril 2009 corrigé par NAIMI_Reporting Onatel Mai 2009 V 0_Reporting Onatel septembre  2009 préparé_Budget Telmob 2011 2 2" xfId="0"/>
    <cellStyle name="_Table_USA Ownership_TBG Onatel Février  2009  Vtbg V3_Commentaires TBG mars_Copie de Flash du mois d' avril 2009 corrigé par NAIMI_Reporting Onatel Mai 2009 V 0_Reporting Onatel septembre  2009 préparé_Budget Telmob 2011 3" xfId="0"/>
    <cellStyle name="_Table_USA Ownership_TBG Onatel Février  2009  Vtbg V3_Commentaires TBG mars_Copie de Flash du mois d' avril 2009 corrigé par NAIMI_Reporting Onatel septembre  2009 préparé" xfId="0"/>
    <cellStyle name="_Table_USA Ownership_TBG Onatel Février  2009  Vtbg V3_Commentaires TBG mars_Copie de Flash du mois d' avril 2009 corrigé par NAIMI_Reporting Onatel septembre  2009 préparé 2" xfId="0"/>
    <cellStyle name="_Table_USA Ownership_TBG Onatel Février  2009  Vtbg V3_Commentaires TBG mars_Copie de Flash du mois d' avril 2009 corrigé par NAIMI_Reporting Onatel septembre  2009 préparé 2 2" xfId="0"/>
    <cellStyle name="_Table_USA Ownership_TBG Onatel Février  2009  Vtbg V3_Commentaires TBG mars_Copie de Flash du mois d' avril 2009 corrigé par NAIMI_Reporting Onatel septembre  2009 préparé 3" xfId="0"/>
    <cellStyle name="_Table_USA Ownership_TBG Onatel Février  2009  Vtbg V3_Commentaires TBG mars_Copie de Flash du mois d' avril 2009 corrigé par NAIMI_Reporting Onatel septembre  2009 préparé_Budget Telmob 2011" xfId="0"/>
    <cellStyle name="_Table_USA Ownership_TBG Onatel Février  2009  Vtbg V3_Commentaires TBG mars_Copie de Flash du mois d' avril 2009 corrigé par NAIMI_Reporting Onatel septembre  2009 préparé_Budget Telmob 2011 2" xfId="0"/>
    <cellStyle name="_Table_USA Ownership_TBG Onatel Février  2009  Vtbg V3_Commentaires TBG mars_Copie de Flash du mois d' avril 2009 corrigé par NAIMI_Reporting Onatel septembre  2009 préparé_Budget Telmob 2011 2 2" xfId="0"/>
    <cellStyle name="_Table_USA Ownership_TBG Onatel Février  2009  Vtbg V3_Commentaires TBG mars_Copie de Flash du mois d' avril 2009 corrigé par NAIMI_Reporting Onatel septembre  2009 préparé_Budget Telmob 2011 3" xfId="0"/>
    <cellStyle name="_Table_USA Ownership_TBG Onatel Février  2009  Vtbg V3_Commentaires TBG mars_Flash du mois d' avril 2009" xfId="0"/>
    <cellStyle name="_Table_USA Ownership_TBG Onatel Février  2009  Vtbg V3_Commentaires TBG mars_Flash du mois d' avril 2009 2" xfId="0"/>
    <cellStyle name="_Table_USA Ownership_TBG Onatel Février  2009  Vtbg V3_Commentaires TBG mars_Flash du mois d' avril 2009 2 2" xfId="0"/>
    <cellStyle name="_Table_USA Ownership_TBG Onatel Février  2009  Vtbg V3_Commentaires TBG mars_Flash du mois d' avril 2009 3" xfId="0"/>
    <cellStyle name="_Table_USA Ownership_TBG Onatel Février  2009  Vtbg V3_Commentaires TBG mars_Flash du mois d' avril 2009_Budget Telmob 2011" xfId="0"/>
    <cellStyle name="_Table_USA Ownership_TBG Onatel Février  2009  Vtbg V3_Commentaires TBG mars_Flash du mois d' avril 2009_Budget Telmob 2011 2" xfId="0"/>
    <cellStyle name="_Table_USA Ownership_TBG Onatel Février  2009  Vtbg V3_Commentaires TBG mars_Flash du mois d' avril 2009_Budget Telmob 2011 2 2" xfId="0"/>
    <cellStyle name="_Table_USA Ownership_TBG Onatel Février  2009  Vtbg V3_Commentaires TBG mars_Flash du mois d' avril 2009_Budget Telmob 2011 3" xfId="0"/>
    <cellStyle name="_Table_USA Ownership_TBG Onatel Février  2009  Vtbg V3_Commentaires TBG mars_Flash du mois d' avril 2009_Flash du mois de mai 2009" xfId="0"/>
    <cellStyle name="_Table_USA Ownership_TBG Onatel Février  2009  Vtbg V3_Commentaires TBG mars_Flash du mois d' avril 2009_Flash du mois de mai 2009 2" xfId="0"/>
    <cellStyle name="_Table_USA Ownership_TBG Onatel Février  2009  Vtbg V3_Commentaires TBG mars_Flash du mois d' avril 2009_Flash du mois de mai 2009 2 2" xfId="0"/>
    <cellStyle name="_Table_USA Ownership_TBG Onatel Février  2009  Vtbg V3_Commentaires TBG mars_Flash du mois d' avril 2009_Flash du mois de mai 2009 3" xfId="0"/>
    <cellStyle name="_Table_USA Ownership_TBG Onatel Février  2009  Vtbg V3_Commentaires TBG mars_Flash du mois d' avril 2009_Flash du mois de mai 2009_Budget Telmob 2011" xfId="0"/>
    <cellStyle name="_Table_USA Ownership_TBG Onatel Février  2009  Vtbg V3_Commentaires TBG mars_Flash du mois d' avril 2009_Flash du mois de mai 2009_Budget Telmob 2011 2" xfId="0"/>
    <cellStyle name="_Table_USA Ownership_TBG Onatel Février  2009  Vtbg V3_Commentaires TBG mars_Flash du mois d' avril 2009_Flash du mois de mai 2009_Budget Telmob 2011 2 2" xfId="0"/>
    <cellStyle name="_Table_USA Ownership_TBG Onatel Février  2009  Vtbg V3_Commentaires TBG mars_Flash du mois d' avril 2009_Flash du mois de mai 2009_Budget Telmob 2011 3" xfId="0"/>
    <cellStyle name="_Table_USA Ownership_TBG Onatel Février  2009  Vtbg V3_Commentaires TBG mars_Flash du mois d' avril 2009_Reporting Onatel Mai 2009 V 0" xfId="0"/>
    <cellStyle name="_Table_USA Ownership_TBG Onatel Février  2009  Vtbg V3_Commentaires TBG mars_Flash du mois d' avril 2009_Reporting Onatel Mai 2009 V 0 2" xfId="0"/>
    <cellStyle name="_Table_USA Ownership_TBG Onatel Février  2009  Vtbg V3_Commentaires TBG mars_Flash du mois d' avril 2009_Reporting Onatel Mai 2009 V 0 2 2" xfId="0"/>
    <cellStyle name="_Table_USA Ownership_TBG Onatel Février  2009  Vtbg V3_Commentaires TBG mars_Flash du mois d' avril 2009_Reporting Onatel Mai 2009 V 0 3" xfId="0"/>
    <cellStyle name="_Table_USA Ownership_TBG Onatel Février  2009  Vtbg V3_Commentaires TBG mars_Flash du mois d' avril 2009_Reporting Onatel Mai 2009 V 0_Budget Telmob 2011" xfId="0"/>
    <cellStyle name="_Table_USA Ownership_TBG Onatel Février  2009  Vtbg V3_Commentaires TBG mars_Flash du mois d' avril 2009_Reporting Onatel Mai 2009 V 0_Budget Telmob 2011 2" xfId="0"/>
    <cellStyle name="_Table_USA Ownership_TBG Onatel Février  2009  Vtbg V3_Commentaires TBG mars_Flash du mois d' avril 2009_Reporting Onatel Mai 2009 V 0_Budget Telmob 2011 2 2" xfId="0"/>
    <cellStyle name="_Table_USA Ownership_TBG Onatel Février  2009  Vtbg V3_Commentaires TBG mars_Flash du mois d' avril 2009_Reporting Onatel Mai 2009 V 0_Budget Telmob 2011 3" xfId="0"/>
    <cellStyle name="_Table_USA Ownership_TBG Onatel Février  2009  Vtbg V3_Commentaires TBG mars_Flash du mois d' avril 2009_Reporting Onatel septembre  2009 préparé" xfId="0"/>
    <cellStyle name="_Table_USA Ownership_TBG Onatel Février  2009  Vtbg V3_Commentaires TBG mars_Flash du mois d' avril 2009_Reporting Onatel septembre  2009 préparé 2" xfId="0"/>
    <cellStyle name="_Table_USA Ownership_TBG Onatel Février  2009  Vtbg V3_Commentaires TBG mars_Flash du mois d' avril 2009_Reporting Onatel septembre  2009 préparé 2 2" xfId="0"/>
    <cellStyle name="_Table_USA Ownership_TBG Onatel Février  2009  Vtbg V3_Commentaires TBG mars_Flash du mois d' avril 2009_Reporting Onatel septembre  2009 préparé 3" xfId="0"/>
    <cellStyle name="_Table_USA Ownership_TBG Onatel Février  2009  Vtbg V3_Commentaires TBG mars_Flash du mois de mai 2009" xfId="0"/>
    <cellStyle name="_Table_USA Ownership_TBG Onatel Février  2009  Vtbg V3_Commentaires TBG mars_Flash du mois de mai 2009 2" xfId="0"/>
    <cellStyle name="_Table_USA Ownership_TBG Onatel Février  2009  Vtbg V3_Commentaires TBG mars_Flash du mois de mai 2009 2 2" xfId="0"/>
    <cellStyle name="_Table_USA Ownership_TBG Onatel Février  2009  Vtbg V3_Commentaires TBG mars_Flash du mois de mai 2009 3" xfId="0"/>
    <cellStyle name="_Table_USA Ownership_TBG Onatel Février  2009  Vtbg V3_Commentaires TBG mars_Flash du mois de mai 2009_Budget Telmob 2011" xfId="0"/>
    <cellStyle name="_Table_USA Ownership_TBG Onatel Février  2009  Vtbg V3_Commentaires TBG mars_Flash du mois de mai 2009_Budget Telmob 2011 2" xfId="0"/>
    <cellStyle name="_Table_USA Ownership_TBG Onatel Février  2009  Vtbg V3_Commentaires TBG mars_Flash du mois de mai 2009_Budget Telmob 2011 2 2" xfId="0"/>
    <cellStyle name="_Table_USA Ownership_TBG Onatel Février  2009  Vtbg V3_Commentaires TBG mars_Flash du mois de mai 2009_Budget Telmob 2011 3" xfId="0"/>
    <cellStyle name="_Table_USA Ownership_TBG Onatel Février  2009  Vtbg V3_Commentaires TBG mars_Flash du mois de septembre 2009 (2) (version 1)" xfId="0"/>
    <cellStyle name="_Table_USA Ownership_TBG Onatel Février  2009  Vtbg V3_Commentaires TBG mars_Flash du mois de septembre 2009 (2) (version 1) 2" xfId="0"/>
    <cellStyle name="_Table_USA Ownership_TBG Onatel Février  2009  Vtbg V3_Commentaires TBG mars_Flash du mois de septembre 2009 (2) (version 1) 2 2" xfId="0"/>
    <cellStyle name="_Table_USA Ownership_TBG Onatel Février  2009  Vtbg V3_Commentaires TBG mars_Flash du mois de septembre 2009 (2) (version 1) 3" xfId="0"/>
    <cellStyle name="_Table_USA Ownership_TBG Onatel Février  2009  Vtbg V3_Commentaires TBG mars_Flash du mois de septembre 2009 (2) (version 1)_Budget Telmob 2011" xfId="0"/>
    <cellStyle name="_Table_USA Ownership_TBG Onatel Février  2009  Vtbg V3_Commentaires TBG mars_Flash du mois de septembre 2009 (2) (version 1)_Budget Telmob 2011 2" xfId="0"/>
    <cellStyle name="_Table_USA Ownership_TBG Onatel Février  2009  Vtbg V3_Commentaires TBG mars_Flash du mois de septembre 2009 (2) (version 1)_Budget Telmob 2011 2 2" xfId="0"/>
    <cellStyle name="_Table_USA Ownership_TBG Onatel Février  2009  Vtbg V3_Commentaires TBG mars_Flash du mois de septembre 2009 (2) (version 1)_Budget Telmob 2011 3" xfId="0"/>
    <cellStyle name="_Table_USA Ownership_TBG Onatel Février  2009  Vtbg V3_Commentaires TBG mars_Reporting Onatel Mai 2009 V 0" xfId="0"/>
    <cellStyle name="_Table_USA Ownership_TBG Onatel Février  2009  Vtbg V3_Commentaires TBG mars_Reporting Onatel Mai 2009 V 0 2" xfId="0"/>
    <cellStyle name="_Table_USA Ownership_TBG Onatel Février  2009  Vtbg V3_Commentaires TBG mars_Reporting Onatel Mai 2009 V 0 2 2" xfId="0"/>
    <cellStyle name="_Table_USA Ownership_TBG Onatel Février  2009  Vtbg V3_Commentaires TBG mars_Reporting Onatel Mai 2009 V 0 3" xfId="0"/>
    <cellStyle name="_Table_USA Ownership_TBG Onatel Février  2009  Vtbg V3_Commentaires TBG mars_Reporting Onatel Mai 2009 V 0_Budget Telmob 2011" xfId="0"/>
    <cellStyle name="_Table_USA Ownership_TBG Onatel Février  2009  Vtbg V3_Commentaires TBG mars_Reporting Onatel Mai 2009 V 0_Budget Telmob 2011 2" xfId="0"/>
    <cellStyle name="_Table_USA Ownership_TBG Onatel Février  2009  Vtbg V3_Commentaires TBG mars_Reporting Onatel Mai 2009 V 0_Budget Telmob 2011 2 2" xfId="0"/>
    <cellStyle name="_Table_USA Ownership_TBG Onatel Février  2009  Vtbg V3_Commentaires TBG mars_Reporting Onatel Mai 2009 V 0_Budget Telmob 2011 3" xfId="0"/>
    <cellStyle name="_Table_USA Ownership_TBG Onatel Février  2009  Vtbg V3_Commentaires TBG mars_Reporting Onatel septembre  2009 préparé" xfId="0"/>
    <cellStyle name="_Table_USA Ownership_TBG Onatel Février  2009  Vtbg V3_Commentaires TBG mars_Reporting Onatel septembre  2009 préparé 2" xfId="0"/>
    <cellStyle name="_Table_USA Ownership_TBG Onatel Février  2009  Vtbg V3_Commentaires TBG mars_Reporting Onatel septembre  2009 préparé 2 2" xfId="0"/>
    <cellStyle name="_Table_USA Ownership_TBG Onatel Février  2009  Vtbg V3_Commentaires TBG mars_Reporting Onatel septembre  2009 préparé 3" xfId="0"/>
    <cellStyle name="_Table_USA Ownership_TBG Onatel Février  2009  Vtbg V3_Copie de Flash du mois d' avril 2009 corrigé par NAIMI" xfId="0"/>
    <cellStyle name="_Table_USA Ownership_TBG Onatel Février  2009  Vtbg V3_Copie de Flash du mois d' avril 2009 corrigé par NAIMI 2" xfId="0"/>
    <cellStyle name="_Table_USA Ownership_TBG Onatel Février  2009  Vtbg V3_Copie de Flash du mois d' avril 2009 corrigé par NAIMI 2 2" xfId="0"/>
    <cellStyle name="_Table_USA Ownership_TBG Onatel Février  2009  Vtbg V3_Copie de Flash du mois d' avril 2009 corrigé par NAIMI 3" xfId="0"/>
    <cellStyle name="_Table_USA Ownership_TBG Onatel Février  2009  Vtbg V3_Copie de Flash du mois d' avril 2009 corrigé par NAIMI_Budget Telmob 2011" xfId="0"/>
    <cellStyle name="_Table_USA Ownership_TBG Onatel Février  2009  Vtbg V3_Copie de Flash du mois d' avril 2009 corrigé par NAIMI_Budget Telmob 2011 2" xfId="0"/>
    <cellStyle name="_Table_USA Ownership_TBG Onatel Février  2009  Vtbg V3_Copie de Flash du mois d' avril 2009 corrigé par NAIMI_Budget Telmob 2011 2 2" xfId="0"/>
    <cellStyle name="_Table_USA Ownership_TBG Onatel Février  2009  Vtbg V3_Copie de Flash du mois d' avril 2009 corrigé par NAIMI_Budget Telmob 2011 3" xfId="0"/>
    <cellStyle name="_Table_USA Ownership_TBG Onatel Février  2009  Vtbg V3_Copie de Flash du mois d' avril 2009 corrigé par NAIMI_Flash du mois de mai 2009" xfId="0"/>
    <cellStyle name="_Table_USA Ownership_TBG Onatel Février  2009  Vtbg V3_Copie de Flash du mois d' avril 2009 corrigé par NAIMI_Flash du mois de mai 2009 2" xfId="0"/>
    <cellStyle name="_Table_USA Ownership_TBG Onatel Février  2009  Vtbg V3_Copie de Flash du mois d' avril 2009 corrigé par NAIMI_Flash du mois de mai 2009 2 2" xfId="0"/>
    <cellStyle name="_Table_USA Ownership_TBG Onatel Février  2009  Vtbg V3_Copie de Flash du mois d' avril 2009 corrigé par NAIMI_Flash du mois de mai 2009 3" xfId="0"/>
    <cellStyle name="_Table_USA Ownership_TBG Onatel Février  2009  Vtbg V3_Copie de Flash du mois d' avril 2009 corrigé par NAIMI_Flash du mois de mai 2009_Budget Telmob 2011" xfId="0"/>
    <cellStyle name="_Table_USA Ownership_TBG Onatel Février  2009  Vtbg V3_Copie de Flash du mois d' avril 2009 corrigé par NAIMI_Flash du mois de mai 2009_Budget Telmob 2011 2" xfId="0"/>
    <cellStyle name="_Table_USA Ownership_TBG Onatel Février  2009  Vtbg V3_Copie de Flash du mois d' avril 2009 corrigé par NAIMI_Flash du mois de mai 2009_Budget Telmob 2011 2 2" xfId="0"/>
    <cellStyle name="_Table_USA Ownership_TBG Onatel Février  2009  Vtbg V3_Copie de Flash du mois d' avril 2009 corrigé par NAIMI_Flash du mois de mai 2009_Budget Telmob 2011 3" xfId="0"/>
    <cellStyle name="_Table_USA Ownership_TBG Onatel Février  2009  Vtbg V3_Copie de Flash du mois d' avril 2009 corrigé par NAIMI_Reporting Onatel Mai 2009 V 0" xfId="0"/>
    <cellStyle name="_Table_USA Ownership_TBG Onatel Février  2009  Vtbg V3_Copie de Flash du mois d' avril 2009 corrigé par NAIMI_Reporting Onatel Mai 2009 V 0 2" xfId="0"/>
    <cellStyle name="_Table_USA Ownership_TBG Onatel Février  2009  Vtbg V3_Copie de Flash du mois d' avril 2009 corrigé par NAIMI_Reporting Onatel Mai 2009 V 0 2 2" xfId="0"/>
    <cellStyle name="_Table_USA Ownership_TBG Onatel Février  2009  Vtbg V3_Copie de Flash du mois d' avril 2009 corrigé par NAIMI_Reporting Onatel Mai 2009 V 0 3" xfId="0"/>
    <cellStyle name="_Table_USA Ownership_TBG Onatel Février  2009  Vtbg V3_Copie de Flash du mois d' avril 2009 corrigé par NAIMI_Reporting Onatel Mai 2009 V 0_Budget Telmob 2011" xfId="0"/>
    <cellStyle name="_Table_USA Ownership_TBG Onatel Février  2009  Vtbg V3_Copie de Flash du mois d' avril 2009 corrigé par NAIMI_Reporting Onatel Mai 2009 V 0_Budget Telmob 2011 2" xfId="0"/>
    <cellStyle name="_Table_USA Ownership_TBG Onatel Février  2009  Vtbg V3_Copie de Flash du mois d' avril 2009 corrigé par NAIMI_Reporting Onatel Mai 2009 V 0_Budget Telmob 2011 2 2" xfId="0"/>
    <cellStyle name="_Table_USA Ownership_TBG Onatel Février  2009  Vtbg V3_Copie de Flash du mois d' avril 2009 corrigé par NAIMI_Reporting Onatel Mai 2009 V 0_Budget Telmob 2011 3" xfId="0"/>
    <cellStyle name="_Table_USA Ownership_TBG Onatel Février  2009  Vtbg V3_Copie de Flash du mois d' avril 2009 corrigé par NAIMI_Reporting Onatel Mai 2009 V 0_Reporting Onatel septembre  2009 préparé" xfId="0"/>
    <cellStyle name="_Table_USA Ownership_TBG Onatel Février  2009  Vtbg V3_Copie de Flash du mois d' avril 2009 corrigé par NAIMI_Reporting Onatel Mai 2009 V 0_Reporting Onatel septembre  2009 préparé 2" xfId="0"/>
    <cellStyle name="_Table_USA Ownership_TBG Onatel Février  2009  Vtbg V3_Copie de Flash du mois d' avril 2009 corrigé par NAIMI_Reporting Onatel Mai 2009 V 0_Reporting Onatel septembre  2009 préparé 2 2" xfId="0"/>
    <cellStyle name="_Table_USA Ownership_TBG Onatel Février  2009  Vtbg V3_Copie de Flash du mois d' avril 2009 corrigé par NAIMI_Reporting Onatel Mai 2009 V 0_Reporting Onatel septembre  2009 préparé 3" xfId="0"/>
    <cellStyle name="_Table_USA Ownership_TBG Onatel Février  2009  Vtbg V3_Copie de Flash du mois d' avril 2009 corrigé par NAIMI_Reporting Onatel septembre  2009 préparé" xfId="0"/>
    <cellStyle name="_Table_USA Ownership_TBG Onatel Février  2009  Vtbg V3_Copie de Flash du mois d' avril 2009 corrigé par NAIMI_Reporting Onatel septembre  2009 préparé 2" xfId="0"/>
    <cellStyle name="_Table_USA Ownership_TBG Onatel Février  2009  Vtbg V3_Copie de Flash du mois d' avril 2009 corrigé par NAIMI_Reporting Onatel septembre  2009 préparé 2 2" xfId="0"/>
    <cellStyle name="_Table_USA Ownership_TBG Onatel Février  2009  Vtbg V3_Copie de Flash du mois d' avril 2009 corrigé par NAIMI_Reporting Onatel septembre  2009 préparé 3" xfId="0"/>
    <cellStyle name="_Table_USA Ownership_TBG Onatel Février  2009  Vtbg V3_Flash du mois d' avril 2009" xfId="0"/>
    <cellStyle name="_Table_USA Ownership_TBG Onatel Février  2009  Vtbg V3_Flash du mois d' avril 2009 2" xfId="0"/>
    <cellStyle name="_Table_USA Ownership_TBG Onatel Février  2009  Vtbg V3_Flash du mois d' avril 2009 2 2" xfId="0"/>
    <cellStyle name="_Table_USA Ownership_TBG Onatel Février  2009  Vtbg V3_Flash du mois d' avril 2009 3" xfId="0"/>
    <cellStyle name="_Table_USA Ownership_TBG Onatel Février  2009  Vtbg V3_Flash du mois d' avril 2009_Budget Telmob 2011" xfId="0"/>
    <cellStyle name="_Table_USA Ownership_TBG Onatel Février  2009  Vtbg V3_Flash du mois d' avril 2009_Budget Telmob 2011 2" xfId="0"/>
    <cellStyle name="_Table_USA Ownership_TBG Onatel Février  2009  Vtbg V3_Flash du mois d' avril 2009_Budget Telmob 2011 2 2" xfId="0"/>
    <cellStyle name="_Table_USA Ownership_TBG Onatel Février  2009  Vtbg V3_Flash du mois d' avril 2009_Budget Telmob 2011 3" xfId="0"/>
    <cellStyle name="_Table_USA Ownership_TBG Onatel Février  2009  Vtbg V3_Flash du mois d' avril 2009_Flash du mois de mai 2009" xfId="0"/>
    <cellStyle name="_Table_USA Ownership_TBG Onatel Février  2009  Vtbg V3_Flash du mois d' avril 2009_Flash du mois de mai 2009 2" xfId="0"/>
    <cellStyle name="_Table_USA Ownership_TBG Onatel Février  2009  Vtbg V3_Flash du mois d' avril 2009_Flash du mois de mai 2009 2 2" xfId="0"/>
    <cellStyle name="_Table_USA Ownership_TBG Onatel Février  2009  Vtbg V3_Flash du mois d' avril 2009_Flash du mois de mai 2009 3" xfId="0"/>
    <cellStyle name="_Table_USA Ownership_TBG Onatel Février  2009  Vtbg V3_Flash du mois d' avril 2009_Flash du mois de mai 2009_Budget Telmob 2011" xfId="0"/>
    <cellStyle name="_Table_USA Ownership_TBG Onatel Février  2009  Vtbg V3_Flash du mois d' avril 2009_Flash du mois de mai 2009_Budget Telmob 2011 2" xfId="0"/>
    <cellStyle name="_Table_USA Ownership_TBG Onatel Février  2009  Vtbg V3_Flash du mois d' avril 2009_Flash du mois de mai 2009_Budget Telmob 2011 2 2" xfId="0"/>
    <cellStyle name="_Table_USA Ownership_TBG Onatel Février  2009  Vtbg V3_Flash du mois d' avril 2009_Flash du mois de mai 2009_Budget Telmob 2011 3" xfId="0"/>
    <cellStyle name="_Table_USA Ownership_TBG Onatel Février  2009  Vtbg V3_Flash du mois d' avril 2009_Reporting Onatel Mai 2009 V 0" xfId="0"/>
    <cellStyle name="_Table_USA Ownership_TBG Onatel Février  2009  Vtbg V3_Flash du mois d' avril 2009_Reporting Onatel Mai 2009 V 0 2" xfId="0"/>
    <cellStyle name="_Table_USA Ownership_TBG Onatel Février  2009  Vtbg V3_Flash du mois d' avril 2009_Reporting Onatel Mai 2009 V 0 2 2" xfId="0"/>
    <cellStyle name="_Table_USA Ownership_TBG Onatel Février  2009  Vtbg V3_Flash du mois d' avril 2009_Reporting Onatel Mai 2009 V 0 3" xfId="0"/>
    <cellStyle name="_Table_USA Ownership_TBG Onatel Février  2009  Vtbg V3_Flash du mois d' avril 2009_Reporting Onatel Mai 2009 V 0_Budget Telmob 2011" xfId="0"/>
    <cellStyle name="_Table_USA Ownership_TBG Onatel Février  2009  Vtbg V3_Flash du mois d' avril 2009_Reporting Onatel Mai 2009 V 0_Budget Telmob 2011 2" xfId="0"/>
    <cellStyle name="_Table_USA Ownership_TBG Onatel Février  2009  Vtbg V3_Flash du mois d' avril 2009_Reporting Onatel Mai 2009 V 0_Budget Telmob 2011 2 2" xfId="0"/>
    <cellStyle name="_Table_USA Ownership_TBG Onatel Février  2009  Vtbg V3_Flash du mois d' avril 2009_Reporting Onatel Mai 2009 V 0_Budget Telmob 2011 3" xfId="0"/>
    <cellStyle name="_Table_USA Ownership_TBG Onatel Février  2009  Vtbg V3_Flash du mois d' avril 2009_Reporting Onatel septembre  2009 préparé" xfId="0"/>
    <cellStyle name="_Table_USA Ownership_TBG Onatel Février  2009  Vtbg V3_Flash du mois d' avril 2009_Reporting Onatel septembre  2009 préparé 2" xfId="0"/>
    <cellStyle name="_Table_USA Ownership_TBG Onatel Février  2009  Vtbg V3_Flash du mois d' avril 2009_Reporting Onatel septembre  2009 préparé 2 2" xfId="0"/>
    <cellStyle name="_Table_USA Ownership_TBG Onatel Février  2009  Vtbg V3_Flash du mois d' avril 2009_Reporting Onatel septembre  2009 préparé 3" xfId="0"/>
    <cellStyle name="_Table_USA Ownership_TBG Onatel Février  2009  Vtbg V3_Flash du mois de mai 2009" xfId="0"/>
    <cellStyle name="_Table_USA Ownership_TBG Onatel Février  2009  Vtbg V3_Flash du mois de mai 2009 2" xfId="0"/>
    <cellStyle name="_Table_USA Ownership_TBG Onatel Février  2009  Vtbg V3_Flash du mois de mai 2009 2 2" xfId="0"/>
    <cellStyle name="_Table_USA Ownership_TBG Onatel Février  2009  Vtbg V3_Flash du mois de mai 2009 3" xfId="0"/>
    <cellStyle name="_Table_USA Ownership_TBG Onatel Février  2009  Vtbg V3_Flash du mois de mai 2009_Budget Telmob 2011" xfId="0"/>
    <cellStyle name="_Table_USA Ownership_TBG Onatel Février  2009  Vtbg V3_Flash du mois de mai 2009_Budget Telmob 2011 2" xfId="0"/>
    <cellStyle name="_Table_USA Ownership_TBG Onatel Février  2009  Vtbg V3_Flash du mois de mai 2009_Budget Telmob 2011 2 2" xfId="0"/>
    <cellStyle name="_Table_USA Ownership_TBG Onatel Février  2009  Vtbg V3_Flash du mois de mai 2009_Budget Telmob 2011 3" xfId="0"/>
    <cellStyle name="_Table_USA Ownership_TBG Onatel Février  2009  Vtbg V3_Flash du mois de septembre 2009 (2) (version 1)" xfId="0"/>
    <cellStyle name="_Table_USA Ownership_TBG Onatel Février  2009  Vtbg V3_Flash du mois de septembre 2009 (2) (version 1) 2" xfId="0"/>
    <cellStyle name="_Table_USA Ownership_TBG Onatel Février  2009  Vtbg V3_Flash du mois de septembre 2009 (2) (version 1) 2 2" xfId="0"/>
    <cellStyle name="_Table_USA Ownership_TBG Onatel Février  2009  Vtbg V3_Flash du mois de septembre 2009 (2) (version 1) 3" xfId="0"/>
    <cellStyle name="_Table_USA Ownership_TBG Onatel Février  2009  Vtbg V3_Flash du mois de septembre 2009 (2) (version 1)_Budget Telmob 2011" xfId="0"/>
    <cellStyle name="_Table_USA Ownership_TBG Onatel Février  2009  Vtbg V3_Flash du mois de septembre 2009 (2) (version 1)_Budget Telmob 2011 2" xfId="0"/>
    <cellStyle name="_Table_USA Ownership_TBG Onatel Février  2009  Vtbg V3_Flash du mois de septembre 2009 (2) (version 1)_Budget Telmob 2011 2 2" xfId="0"/>
    <cellStyle name="_Table_USA Ownership_TBG Onatel Février  2009  Vtbg V3_Flash du mois de septembre 2009 (2) (version 1)_Budget Telmob 2011 3" xfId="0"/>
    <cellStyle name="_Table_USA Ownership_TBG Onatel Février  2009  Vtbg V3_Reporting Onatel Mai 2009 V 0" xfId="0"/>
    <cellStyle name="_Table_USA Ownership_TBG Onatel Février  2009  Vtbg V3_Reporting Onatel Mai 2009 V 0 2" xfId="0"/>
    <cellStyle name="_Table_USA Ownership_TBG Onatel Février  2009  Vtbg V3_Reporting Onatel Mai 2009 V 0 2 2" xfId="0"/>
    <cellStyle name="_Table_USA Ownership_TBG Onatel Février  2009  Vtbg V3_Reporting Onatel Mai 2009 V 0 3" xfId="0"/>
    <cellStyle name="_Table_USA Ownership_TBG Onatel Février  2009  Vtbg V3_Reporting Onatel Mai 2009 V 0_Budget Telmob 2011" xfId="0"/>
    <cellStyle name="_Table_USA Ownership_TBG Onatel Février  2009  Vtbg V3_Reporting Onatel Mai 2009 V 0_Budget Telmob 2011 2" xfId="0"/>
    <cellStyle name="_Table_USA Ownership_TBG Onatel Février  2009  Vtbg V3_Reporting Onatel Mai 2009 V 0_Budget Telmob 2011 2 2" xfId="0"/>
    <cellStyle name="_Table_USA Ownership_TBG Onatel Février  2009  Vtbg V3_Reporting Onatel Mai 2009 V 0_Budget Telmob 2011 3" xfId="0"/>
    <cellStyle name="_Table_USA Ownership_TBG Onatel Février  2009  Vtbg V3_Reporting Onatel septembre  2009 préparé" xfId="0"/>
    <cellStyle name="_Table_USA Ownership_TBG Onatel Février  2009  Vtbg V3_Reporting Onatel septembre  2009 préparé 2" xfId="0"/>
    <cellStyle name="_Table_USA Ownership_TBG Onatel Février  2009  Vtbg V3_Reporting Onatel septembre  2009 préparé 2 2" xfId="0"/>
    <cellStyle name="_Table_USA Ownership_TBG Onatel Février  2009  Vtbg V3_Reporting Onatel septembre  2009 préparé 3" xfId="0"/>
    <cellStyle name="_Tableau de passage CAPEX actu3- capex08_Réseau" xfId="0"/>
    <cellStyle name="_Tableaux de passages (2)" xfId="0"/>
    <cellStyle name="_Tableaux de passages (2)_Classeur1 (2)" xfId="0"/>
    <cellStyle name="_TableHead" xfId="0"/>
    <cellStyle name="_TableHead 2" xfId="0"/>
    <cellStyle name="_TableHead_Budget 2011 v1 (4)" xfId="0"/>
    <cellStyle name="_TableHead_Budget 2011 v1 (4) 2" xfId="0"/>
    <cellStyle name="_TableHead_Budget Telmob 2011" xfId="0"/>
    <cellStyle name="_TableHead_Budget Telmob 2011 2" xfId="0"/>
    <cellStyle name="_TableHead_commentaires fixe  internet Déc 08" xfId="0"/>
    <cellStyle name="_TableHead_commentaires fixe  internet Déc 08 2" xfId="0"/>
    <cellStyle name="_TableHead_commentaires fixe  internet Déc 08_Budget 2011 v1 (4)" xfId="0"/>
    <cellStyle name="_TableHead_commentaires fixe  internet Déc 08_Budget 2011 v1 (4) 2" xfId="0"/>
    <cellStyle name="_TableHead_commentaires fixe  internet Déc 08_Budget Telmob 2011" xfId="0"/>
    <cellStyle name="_TableHead_commentaires fixe  internet Déc 08_Budget Telmob 2011 2" xfId="0"/>
    <cellStyle name="_TableHead_commentaires fixe  internet Déc 08_Commentaires TBG mars" xfId="0"/>
    <cellStyle name="_TableHead_commentaires fixe  internet Déc 08_Commentaires TBG mars 2" xfId="0"/>
    <cellStyle name="_TableHead_commentaires fixe  internet Déc 08_Commentaires TBG mars_Budget 2011 v1 (4)" xfId="0"/>
    <cellStyle name="_TableHead_commentaires fixe  internet Déc 08_Commentaires TBG mars_Budget 2011 v1 (4) 2" xfId="0"/>
    <cellStyle name="_TableHead_commentaires fixe  internet Déc 08_Commentaires TBG mars_Budget Telmob 2011" xfId="0"/>
    <cellStyle name="_TableHead_commentaires fixe  internet Déc 08_Commentaires TBG mars_Budget Telmob 2011 2" xfId="0"/>
    <cellStyle name="_TableHead_commentaires fixe  internet Déc 08_Commentaires TBG mars_Copie de Flash du mois d' avril 2009 corrigé par NAIMI" xfId="0"/>
    <cellStyle name="_TableHead_commentaires fixe  internet Déc 08_Commentaires TBG mars_Copie de Flash du mois d' avril 2009 corrigé par NAIMI 2" xfId="0"/>
    <cellStyle name="_TableHead_commentaires fixe  internet Déc 08_Commentaires TBG mars_Copie de Flash du mois d' avril 2009 corrigé par NAIMI_Budget 2011 v1 (4)" xfId="0"/>
    <cellStyle name="_TableHead_commentaires fixe  internet Déc 08_Commentaires TBG mars_Copie de Flash du mois d' avril 2009 corrigé par NAIMI_Budget 2011 v1 (4) 2" xfId="0"/>
    <cellStyle name="_TableHead_commentaires fixe  internet Déc 08_Commentaires TBG mars_Copie de Flash du mois d' avril 2009 corrigé par NAIMI_Budget Telmob 2011" xfId="0"/>
    <cellStyle name="_TableHead_commentaires fixe  internet Déc 08_Commentaires TBG mars_Copie de Flash du mois d' avril 2009 corrigé par NAIMI_Budget Telmob 2011 2" xfId="0"/>
    <cellStyle name="_TableHead_commentaires fixe  internet Déc 08_Commentaires TBG mars_Copie de Flash du mois d' avril 2009 corrigé par NAIMI_Flash du mois de mai 2009" xfId="0"/>
    <cellStyle name="_TableHead_commentaires fixe  internet Déc 08_Commentaires TBG mars_Copie de Flash du mois d' avril 2009 corrigé par NAIMI_Flash du mois de mai 2009 2" xfId="0"/>
    <cellStyle name="_TableHead_commentaires fixe  internet Déc 08_Commentaires TBG mars_Copie de Flash du mois d' avril 2009 corrigé par NAIMI_Flash du mois de mai 2009_Budget 2011 v1 (4)" xfId="0"/>
    <cellStyle name="_TableHead_commentaires fixe  internet Déc 08_Commentaires TBG mars_Copie de Flash du mois d' avril 2009 corrigé par NAIMI_Flash du mois de mai 2009_Budget 2011 v1 (4) 2" xfId="0"/>
    <cellStyle name="_TableHead_commentaires fixe  internet Déc 08_Commentaires TBG mars_Copie de Flash du mois d' avril 2009 corrigé par NAIMI_Flash du mois de mai 2009_Budget Telmob 2011" xfId="0"/>
    <cellStyle name="_TableHead_commentaires fixe  internet Déc 08_Commentaires TBG mars_Copie de Flash du mois d' avril 2009 corrigé par NAIMI_Flash du mois de mai 2009_Budget Telmob 2011 2" xfId="0"/>
    <cellStyle name="_TableHead_commentaires fixe  internet Déc 08_Commentaires TBG mars_Copie de Flash du mois d' avril 2009 corrigé par NAIMI_Reporting Onatel Mai 2009 V 0" xfId="0"/>
    <cellStyle name="_TableHead_commentaires fixe  internet Déc 08_Commentaires TBG mars_Copie de Flash du mois d' avril 2009 corrigé par NAIMI_Reporting Onatel Mai 2009 V 0 2" xfId="0"/>
    <cellStyle name="_TableHead_commentaires fixe  internet Déc 08_Commentaires TBG mars_Copie de Flash du mois d' avril 2009 corrigé par NAIMI_Reporting Onatel Mai 2009 V 0_Budget 2011 v1 (4)" xfId="0"/>
    <cellStyle name="_TableHead_commentaires fixe  internet Déc 08_Commentaires TBG mars_Copie de Flash du mois d' avril 2009 corrigé par NAIMI_Reporting Onatel Mai 2009 V 0_Budget 2011 v1 (4) 2" xfId="0"/>
    <cellStyle name="_TableHead_commentaires fixe  internet Déc 08_Commentaires TBG mars_Copie de Flash du mois d' avril 2009 corrigé par NAIMI_Reporting Onatel Mai 2009 V 0_Budget Telmob 2011" xfId="0"/>
    <cellStyle name="_TableHead_commentaires fixe  internet Déc 08_Commentaires TBG mars_Copie de Flash du mois d' avril 2009 corrigé par NAIMI_Reporting Onatel Mai 2009 V 0_Budget Telmob 2011 2" xfId="0"/>
    <cellStyle name="_TableHead_commentaires fixe  internet Déc 08_Commentaires TBG mars_Copie de Flash du mois d' avril 2009 corrigé par NAIMI_Reporting Onatel Mai 2009 V 0_Reporting Onatel septembre  2009 préparé" xfId="0"/>
    <cellStyle name="_TableHead_commentaires fixe  internet Déc 08_Commentaires TBG mars_Copie de Flash du mois d' avril 2009 corrigé par NAIMI_Reporting Onatel Mai 2009 V 0_Reporting Onatel septembre  2009 préparé 2" xfId="0"/>
    <cellStyle name="_TableHead_commentaires fixe  internet Déc 08_Commentaires TBG mars_Copie de Flash du mois d' avril 2009 corrigé par NAIMI_Reporting Onatel Mai 2009 V 0_Reporting Onatel septembre  2009 préparé_Budget 2011 v1 (4)" xfId="0"/>
    <cellStyle name="_TableHead_commentaires fixe  internet Déc 08_Commentaires TBG mars_Copie de Flash du mois d' avril 2009 corrigé par NAIMI_Reporting Onatel Mai 2009 V 0_Reporting Onatel septembre  2009 préparé_Budget 2011 v1 (4) 2" xfId="0"/>
    <cellStyle name="_TableHead_commentaires fixe  internet Déc 08_Commentaires TBG mars_Copie de Flash du mois d' avril 2009 corrigé par NAIMI_Reporting Onatel septembre  2009 préparé" xfId="0"/>
    <cellStyle name="_TableHead_commentaires fixe  internet Déc 08_Commentaires TBG mars_Copie de Flash du mois d' avril 2009 corrigé par NAIMI_Reporting Onatel septembre  2009 préparé 2" xfId="0"/>
    <cellStyle name="_TableHead_commentaires fixe  internet Déc 08_Commentaires TBG mars_Copie de Flash du mois d' avril 2009 corrigé par NAIMI_Reporting Onatel septembre  2009 préparé_Budget 2011 v1 (4)" xfId="0"/>
    <cellStyle name="_TableHead_commentaires fixe  internet Déc 08_Commentaires TBG mars_Copie de Flash du mois d' avril 2009 corrigé par NAIMI_Reporting Onatel septembre  2009 préparé_Budget 2011 v1 (4) 2" xfId="0"/>
    <cellStyle name="_TableHead_commentaires fixe  internet Déc 08_Commentaires TBG mars_Flash du mois d' avril 2009" xfId="0"/>
    <cellStyle name="_TableHead_commentaires fixe  internet Déc 08_Commentaires TBG mars_Flash du mois d' avril 2009 2" xfId="0"/>
    <cellStyle name="_TableHead_commentaires fixe  internet Déc 08_Commentaires TBG mars_Flash du mois d' avril 2009_Budget 2011 v1 (4)" xfId="0"/>
    <cellStyle name="_TableHead_commentaires fixe  internet Déc 08_Commentaires TBG mars_Flash du mois d' avril 2009_Budget 2011 v1 (4) 2" xfId="0"/>
    <cellStyle name="_TableHead_commentaires fixe  internet Déc 08_Commentaires TBG mars_Flash du mois d' avril 2009_Budget Telmob 2011" xfId="0"/>
    <cellStyle name="_TableHead_commentaires fixe  internet Déc 08_Commentaires TBG mars_Flash du mois d' avril 2009_Budget Telmob 2011 2" xfId="0"/>
    <cellStyle name="_TableHead_commentaires fixe  internet Déc 08_Commentaires TBG mars_Flash du mois d' avril 2009_Flash du mois de mai 2009" xfId="0"/>
    <cellStyle name="_TableHead_commentaires fixe  internet Déc 08_Commentaires TBG mars_Flash du mois d' avril 2009_Flash du mois de mai 2009 2" xfId="0"/>
    <cellStyle name="_TableHead_commentaires fixe  internet Déc 08_Commentaires TBG mars_Flash du mois d' avril 2009_Flash du mois de mai 2009_Budget 2011 v1 (4)" xfId="0"/>
    <cellStyle name="_TableHead_commentaires fixe  internet Déc 08_Commentaires TBG mars_Flash du mois d' avril 2009_Flash du mois de mai 2009_Budget 2011 v1 (4) 2" xfId="0"/>
    <cellStyle name="_TableHead_commentaires fixe  internet Déc 08_Commentaires TBG mars_Flash du mois d' avril 2009_Flash du mois de mai 2009_Budget Telmob 2011" xfId="0"/>
    <cellStyle name="_TableHead_commentaires fixe  internet Déc 08_Commentaires TBG mars_Flash du mois d' avril 2009_Flash du mois de mai 2009_Budget Telmob 2011 2" xfId="0"/>
    <cellStyle name="_TableHead_commentaires fixe  internet Déc 08_Commentaires TBG mars_Flash du mois d' avril 2009_Reporting Onatel Mai 2009 V 0" xfId="0"/>
    <cellStyle name="_TableHead_commentaires fixe  internet Déc 08_Commentaires TBG mars_Flash du mois d' avril 2009_Reporting Onatel Mai 2009 V 0 2" xfId="0"/>
    <cellStyle name="_TableHead_commentaires fixe  internet Déc 08_Commentaires TBG mars_Flash du mois d' avril 2009_Reporting Onatel Mai 2009 V 0_Budget 2011 v1 (4)" xfId="0"/>
    <cellStyle name="_TableHead_commentaires fixe  internet Déc 08_Commentaires TBG mars_Flash du mois d' avril 2009_Reporting Onatel Mai 2009 V 0_Budget 2011 v1 (4) 2" xfId="0"/>
    <cellStyle name="_TableHead_commentaires fixe  internet Déc 08_Commentaires TBG mars_Flash du mois d' avril 2009_Reporting Onatel Mai 2009 V 0_Budget Telmob 2011" xfId="0"/>
    <cellStyle name="_TableHead_commentaires fixe  internet Déc 08_Commentaires TBG mars_Flash du mois d' avril 2009_Reporting Onatel Mai 2009 V 0_Budget Telmob 2011 2" xfId="0"/>
    <cellStyle name="_TableHead_commentaires fixe  internet Déc 08_Commentaires TBG mars_Flash du mois d' avril 2009_Reporting Onatel septembre  2009 préparé" xfId="0"/>
    <cellStyle name="_TableHead_commentaires fixe  internet Déc 08_Commentaires TBG mars_Flash du mois d' avril 2009_Reporting Onatel septembre  2009 préparé 2" xfId="0"/>
    <cellStyle name="_TableHead_commentaires fixe  internet Déc 08_Commentaires TBG mars_Flash du mois d' avril 2009_Reporting Onatel septembre  2009 préparé_Budget 2011 v1 (4)" xfId="0"/>
    <cellStyle name="_TableHead_commentaires fixe  internet Déc 08_Commentaires TBG mars_Flash du mois d' avril 2009_Reporting Onatel septembre  2009 préparé_Budget 2011 v1 (4) 2" xfId="0"/>
    <cellStyle name="_TableHead_commentaires fixe  internet Déc 08_Commentaires TBG mars_Flash du mois de mai 2009" xfId="0"/>
    <cellStyle name="_TableHead_commentaires fixe  internet Déc 08_Commentaires TBG mars_Flash du mois de mai 2009 2" xfId="0"/>
    <cellStyle name="_TableHead_commentaires fixe  internet Déc 08_Commentaires TBG mars_Flash du mois de mai 2009_Budget 2011 v1 (4)" xfId="0"/>
    <cellStyle name="_TableHead_commentaires fixe  internet Déc 08_Commentaires TBG mars_Flash du mois de mai 2009_Budget 2011 v1 (4) 2" xfId="0"/>
    <cellStyle name="_TableHead_commentaires fixe  internet Déc 08_Commentaires TBG mars_Flash du mois de mai 2009_Budget Telmob 2011" xfId="0"/>
    <cellStyle name="_TableHead_commentaires fixe  internet Déc 08_Commentaires TBG mars_Flash du mois de mai 2009_Budget Telmob 2011 2" xfId="0"/>
    <cellStyle name="_TableHead_commentaires fixe  internet Déc 08_Commentaires TBG mars_Reporting Onatel Mai 2009 V 0" xfId="0"/>
    <cellStyle name="_TableHead_commentaires fixe  internet Déc 08_Commentaires TBG mars_Reporting Onatel Mai 2009 V 0 2" xfId="0"/>
    <cellStyle name="_TableHead_commentaires fixe  internet Déc 08_Commentaires TBG mars_Reporting Onatel Mai 2009 V 0_Budget 2011 v1 (4)" xfId="0"/>
    <cellStyle name="_TableHead_commentaires fixe  internet Déc 08_Commentaires TBG mars_Reporting Onatel Mai 2009 V 0_Budget 2011 v1 (4) 2" xfId="0"/>
    <cellStyle name="_TableHead_commentaires fixe  internet Déc 08_Commentaires TBG mars_Reporting Onatel Mai 2009 V 0_Budget Telmob 2011" xfId="0"/>
    <cellStyle name="_TableHead_commentaires fixe  internet Déc 08_Commentaires TBG mars_Reporting Onatel Mai 2009 V 0_Budget Telmob 2011 2" xfId="0"/>
    <cellStyle name="_TableHead_commentaires fixe  internet Déc 08_Commentaires TBG mars_Reporting Onatel septembre  2009 préparé" xfId="0"/>
    <cellStyle name="_TableHead_commentaires fixe  internet Déc 08_Commentaires TBG mars_Reporting Onatel septembre  2009 préparé 2" xfId="0"/>
    <cellStyle name="_TableHead_commentaires fixe  internet Déc 08_Commentaires TBG mars_Reporting Onatel septembre  2009 préparé_Budget 2011 v1 (4)" xfId="0"/>
    <cellStyle name="_TableHead_commentaires fixe  internet Déc 08_Commentaires TBG mars_Reporting Onatel septembre  2009 préparé_Budget 2011 v1 (4) 2" xfId="0"/>
    <cellStyle name="_TableHead_commentaires fixe  internet Déc 08_Copie de Flash du mois d' avril 2009 corrigé par NAIMI" xfId="0"/>
    <cellStyle name="_TableHead_commentaires fixe  internet Déc 08_Copie de Flash du mois d' avril 2009 corrigé par NAIMI 2" xfId="0"/>
    <cellStyle name="_TableHead_commentaires fixe  internet Déc 08_Copie de Flash du mois d' avril 2009 corrigé par NAIMI_Budget 2011 v1 (4)" xfId="0"/>
    <cellStyle name="_TableHead_commentaires fixe  internet Déc 08_Copie de Flash du mois d' avril 2009 corrigé par NAIMI_Budget 2011 v1 (4) 2" xfId="0"/>
    <cellStyle name="_TableHead_commentaires fixe  internet Déc 08_Copie de Flash du mois d' avril 2009 corrigé par NAIMI_Budget Telmob 2011" xfId="0"/>
    <cellStyle name="_TableHead_commentaires fixe  internet Déc 08_Copie de Flash du mois d' avril 2009 corrigé par NAIMI_Budget Telmob 2011 2" xfId="0"/>
    <cellStyle name="_TableHead_commentaires fixe  internet Déc 08_Copie de Flash du mois d' avril 2009 corrigé par NAIMI_Flash du mois de mai 2009" xfId="0"/>
    <cellStyle name="_TableHead_commentaires fixe  internet Déc 08_Copie de Flash du mois d' avril 2009 corrigé par NAIMI_Flash du mois de mai 2009 2" xfId="0"/>
    <cellStyle name="_TableHead_commentaires fixe  internet Déc 08_Copie de Flash du mois d' avril 2009 corrigé par NAIMI_Flash du mois de mai 2009_Budget 2011 v1 (4)" xfId="0"/>
    <cellStyle name="_TableHead_commentaires fixe  internet Déc 08_Copie de Flash du mois d' avril 2009 corrigé par NAIMI_Flash du mois de mai 2009_Budget 2011 v1 (4) 2" xfId="0"/>
    <cellStyle name="_TableHead_commentaires fixe  internet Déc 08_Copie de Flash du mois d' avril 2009 corrigé par NAIMI_Flash du mois de mai 2009_Budget Telmob 2011" xfId="0"/>
    <cellStyle name="_TableHead_commentaires fixe  internet Déc 08_Copie de Flash du mois d' avril 2009 corrigé par NAIMI_Flash du mois de mai 2009_Budget Telmob 2011 2" xfId="0"/>
    <cellStyle name="_TableHead_commentaires fixe  internet Déc 08_Copie de Flash du mois d' avril 2009 corrigé par NAIMI_Reporting Onatel Mai 2009 V 0" xfId="0"/>
    <cellStyle name="_TableHead_commentaires fixe  internet Déc 08_Copie de Flash du mois d' avril 2009 corrigé par NAIMI_Reporting Onatel Mai 2009 V 0 2" xfId="0"/>
    <cellStyle name="_TableHead_commentaires fixe  internet Déc 08_Copie de Flash du mois d' avril 2009 corrigé par NAIMI_Reporting Onatel Mai 2009 V 0_Budget 2011 v1 (4)" xfId="0"/>
    <cellStyle name="_TableHead_commentaires fixe  internet Déc 08_Copie de Flash du mois d' avril 2009 corrigé par NAIMI_Reporting Onatel Mai 2009 V 0_Budget 2011 v1 (4) 2" xfId="0"/>
    <cellStyle name="_TableHead_commentaires fixe  internet Déc 08_Copie de Flash du mois d' avril 2009 corrigé par NAIMI_Reporting Onatel Mai 2009 V 0_Budget Telmob 2011" xfId="0"/>
    <cellStyle name="_TableHead_commentaires fixe  internet Déc 08_Copie de Flash du mois d' avril 2009 corrigé par NAIMI_Reporting Onatel Mai 2009 V 0_Budget Telmob 2011 2" xfId="0"/>
    <cellStyle name="_TableHead_commentaires fixe  internet Déc 08_Copie de Flash du mois d' avril 2009 corrigé par NAIMI_Reporting Onatel Mai 2009 V 0_Reporting Onatel septembre  2009 préparé" xfId="0"/>
    <cellStyle name="_TableHead_commentaires fixe  internet Déc 08_Copie de Flash du mois d' avril 2009 corrigé par NAIMI_Reporting Onatel Mai 2009 V 0_Reporting Onatel septembre  2009 préparé 2" xfId="0"/>
    <cellStyle name="_TableHead_commentaires fixe  internet Déc 08_Copie de Flash du mois d' avril 2009 corrigé par NAIMI_Reporting Onatel Mai 2009 V 0_Reporting Onatel septembre  2009 préparé_Budget 2011 v1 (4)" xfId="0"/>
    <cellStyle name="_TableHead_commentaires fixe  internet Déc 08_Copie de Flash du mois d' avril 2009 corrigé par NAIMI_Reporting Onatel Mai 2009 V 0_Reporting Onatel septembre  2009 préparé_Budget 2011 v1 (4) 2" xfId="0"/>
    <cellStyle name="_TableHead_commentaires fixe  internet Déc 08_Copie de Flash du mois d' avril 2009 corrigé par NAIMI_Reporting Onatel septembre  2009 préparé" xfId="0"/>
    <cellStyle name="_TableHead_commentaires fixe  internet Déc 08_Copie de Flash du mois d' avril 2009 corrigé par NAIMI_Reporting Onatel septembre  2009 préparé 2" xfId="0"/>
    <cellStyle name="_TableHead_commentaires fixe  internet Déc 08_Copie de Flash du mois d' avril 2009 corrigé par NAIMI_Reporting Onatel septembre  2009 préparé_Budget 2011 v1 (4)" xfId="0"/>
    <cellStyle name="_TableHead_commentaires fixe  internet Déc 08_Copie de Flash du mois d' avril 2009 corrigé par NAIMI_Reporting Onatel septembre  2009 préparé_Budget 2011 v1 (4) 2" xfId="0"/>
    <cellStyle name="_TableHead_commentaires fixe  internet Déc 08_Flash du mois d' avril 2009" xfId="0"/>
    <cellStyle name="_TableHead_commentaires fixe  internet Déc 08_Flash du mois d' avril 2009 2" xfId="0"/>
    <cellStyle name="_TableHead_commentaires fixe  internet Déc 08_Flash du mois d' avril 2009_Budget 2011 v1 (4)" xfId="0"/>
    <cellStyle name="_TableHead_commentaires fixe  internet Déc 08_Flash du mois d' avril 2009_Budget 2011 v1 (4) 2" xfId="0"/>
    <cellStyle name="_TableHead_commentaires fixe  internet Déc 08_Flash du mois d' avril 2009_Budget Telmob 2011" xfId="0"/>
    <cellStyle name="_TableHead_commentaires fixe  internet Déc 08_Flash du mois d' avril 2009_Budget Telmob 2011 2" xfId="0"/>
    <cellStyle name="_TableHead_commentaires fixe  internet Déc 08_Flash du mois d' avril 2009_Flash du mois de mai 2009" xfId="0"/>
    <cellStyle name="_TableHead_commentaires fixe  internet Déc 08_Flash du mois d' avril 2009_Flash du mois de mai 2009 2" xfId="0"/>
    <cellStyle name="_TableHead_commentaires fixe  internet Déc 08_Flash du mois d' avril 2009_Flash du mois de mai 2009_Budget 2011 v1 (4)" xfId="0"/>
    <cellStyle name="_TableHead_commentaires fixe  internet Déc 08_Flash du mois d' avril 2009_Flash du mois de mai 2009_Budget 2011 v1 (4) 2" xfId="0"/>
    <cellStyle name="_TableHead_commentaires fixe  internet Déc 08_Flash du mois d' avril 2009_Flash du mois de mai 2009_Budget Telmob 2011" xfId="0"/>
    <cellStyle name="_TableHead_commentaires fixe  internet Déc 08_Flash du mois d' avril 2009_Flash du mois de mai 2009_Budget Telmob 2011 2" xfId="0"/>
    <cellStyle name="_TableHead_commentaires fixe  internet Déc 08_Flash du mois d' avril 2009_Reporting Onatel Mai 2009 V 0" xfId="0"/>
    <cellStyle name="_TableHead_commentaires fixe  internet Déc 08_Flash du mois d' avril 2009_Reporting Onatel Mai 2009 V 0 2" xfId="0"/>
    <cellStyle name="_TableHead_commentaires fixe  internet Déc 08_Flash du mois d' avril 2009_Reporting Onatel Mai 2009 V 0_Budget 2011 v1 (4)" xfId="0"/>
    <cellStyle name="_TableHead_commentaires fixe  internet Déc 08_Flash du mois d' avril 2009_Reporting Onatel Mai 2009 V 0_Budget 2011 v1 (4) 2" xfId="0"/>
    <cellStyle name="_TableHead_commentaires fixe  internet Déc 08_Flash du mois d' avril 2009_Reporting Onatel Mai 2009 V 0_Budget Telmob 2011" xfId="0"/>
    <cellStyle name="_TableHead_commentaires fixe  internet Déc 08_Flash du mois d' avril 2009_Reporting Onatel Mai 2009 V 0_Budget Telmob 2011 2" xfId="0"/>
    <cellStyle name="_TableHead_commentaires fixe  internet Déc 08_Flash du mois d' avril 2009_Reporting Onatel septembre  2009 préparé" xfId="0"/>
    <cellStyle name="_TableHead_commentaires fixe  internet Déc 08_Flash du mois d' avril 2009_Reporting Onatel septembre  2009 préparé 2" xfId="0"/>
    <cellStyle name="_TableHead_commentaires fixe  internet Déc 08_Flash du mois d' avril 2009_Reporting Onatel septembre  2009 préparé_Budget 2011 v1 (4)" xfId="0"/>
    <cellStyle name="_TableHead_commentaires fixe  internet Déc 08_Flash du mois d' avril 2009_Reporting Onatel septembre  2009 préparé_Budget 2011 v1 (4) 2" xfId="0"/>
    <cellStyle name="_TableHead_commentaires fixe  internet Déc 08_Flash du mois de mai 2009" xfId="0"/>
    <cellStyle name="_TableHead_commentaires fixe  internet Déc 08_Flash du mois de mai 2009 2" xfId="0"/>
    <cellStyle name="_TableHead_commentaires fixe  internet Déc 08_Flash du mois de mai 2009_Budget 2011 v1 (4)" xfId="0"/>
    <cellStyle name="_TableHead_commentaires fixe  internet Déc 08_Flash du mois de mai 2009_Budget 2011 v1 (4) 2" xfId="0"/>
    <cellStyle name="_TableHead_commentaires fixe  internet Déc 08_Flash du mois de mai 2009_Budget Telmob 2011" xfId="0"/>
    <cellStyle name="_TableHead_commentaires fixe  internet Déc 08_Flash du mois de mai 2009_Budget Telmob 2011 2" xfId="0"/>
    <cellStyle name="_TableHead_commentaires fixe  internet Déc 08_Reporting Onatel Avril 2009 V0" xfId="0"/>
    <cellStyle name="_TableHead_commentaires fixe  internet Déc 08_Reporting Onatel Avril 2009 V0 2" xfId="0"/>
    <cellStyle name="_TableHead_commentaires fixe  internet Déc 08_Reporting Onatel Avril 2009 V0_Budget 2011 v1 (4)" xfId="0"/>
    <cellStyle name="_TableHead_commentaires fixe  internet Déc 08_Reporting Onatel Avril 2009 V0_Budget 2011 v1 (4) 2" xfId="0"/>
    <cellStyle name="_TableHead_commentaires fixe  internet Déc 08_Reporting Onatel Avril 2009 V0_Budget Telmob 2011" xfId="0"/>
    <cellStyle name="_TableHead_commentaires fixe  internet Déc 08_Reporting Onatel Avril 2009 V0_Budget Telmob 2011 2" xfId="0"/>
    <cellStyle name="_TableHead_commentaires fixe  internet Déc 08_Reporting Onatel Avril 2009 V0_Copie de Flash du mois d' avril 2009 corrigé par NAIMI" xfId="0"/>
    <cellStyle name="_TableHead_commentaires fixe  internet Déc 08_Reporting Onatel Avril 2009 V0_Copie de Flash du mois d' avril 2009 corrigé par NAIMI 2" xfId="0"/>
    <cellStyle name="_TableHead_commentaires fixe  internet Déc 08_Reporting Onatel Avril 2009 V0_Copie de Flash du mois d' avril 2009 corrigé par NAIMI_Budget 2011 v1 (4)" xfId="0"/>
    <cellStyle name="_TableHead_commentaires fixe  internet Déc 08_Reporting Onatel Avril 2009 V0_Copie de Flash du mois d' avril 2009 corrigé par NAIMI_Budget 2011 v1 (4) 2" xfId="0"/>
    <cellStyle name="_TableHead_commentaires fixe  internet Déc 08_Reporting Onatel Avril 2009 V0_Copie de Flash du mois d' avril 2009 corrigé par NAIMI_Budget Telmob 2011" xfId="0"/>
    <cellStyle name="_TableHead_commentaires fixe  internet Déc 08_Reporting Onatel Avril 2009 V0_Copie de Flash du mois d' avril 2009 corrigé par NAIMI_Budget Telmob 2011 2" xfId="0"/>
    <cellStyle name="_TableHead_commentaires fixe  internet Déc 08_Reporting Onatel Avril 2009 V0_Copie de Flash du mois d' avril 2009 corrigé par NAIMI_Flash du mois de mai 2009" xfId="0"/>
    <cellStyle name="_TableHead_commentaires fixe  internet Déc 08_Reporting Onatel Avril 2009 V0_Copie de Flash du mois d' avril 2009 corrigé par NAIMI_Flash du mois de mai 2009 2" xfId="0"/>
    <cellStyle name="_TableHead_commentaires fixe  internet Déc 08_Reporting Onatel Avril 2009 V0_Copie de Flash du mois d' avril 2009 corrigé par NAIMI_Flash du mois de mai 2009_Budget 2011 v1 (4)" xfId="0"/>
    <cellStyle name="_TableHead_commentaires fixe  internet Déc 08_Reporting Onatel Avril 2009 V0_Copie de Flash du mois d' avril 2009 corrigé par NAIMI_Flash du mois de mai 2009_Budget 2011 v1 (4) 2" xfId="0"/>
    <cellStyle name="_TableHead_commentaires fixe  internet Déc 08_Reporting Onatel Avril 2009 V0_Copie de Flash du mois d' avril 2009 corrigé par NAIMI_Flash du mois de mai 2009_Budget Telmob 2011" xfId="0"/>
    <cellStyle name="_TableHead_commentaires fixe  internet Déc 08_Reporting Onatel Avril 2009 V0_Copie de Flash du mois d' avril 2009 corrigé par NAIMI_Flash du mois de mai 2009_Budget Telmob 2011 2" xfId="0"/>
    <cellStyle name="_TableHead_commentaires fixe  internet Déc 08_Reporting Onatel Avril 2009 V0_Copie de Flash du mois d' avril 2009 corrigé par NAIMI_Reporting Onatel Mai 2009 V 0" xfId="0"/>
    <cellStyle name="_TableHead_commentaires fixe  internet Déc 08_Reporting Onatel Avril 2009 V0_Copie de Flash du mois d' avril 2009 corrigé par NAIMI_Reporting Onatel Mai 2009 V 0 2" xfId="0"/>
    <cellStyle name="_TableHead_commentaires fixe  internet Déc 08_Reporting Onatel Avril 2009 V0_Copie de Flash du mois d' avril 2009 corrigé par NAIMI_Reporting Onatel Mai 2009 V 0_Budget 2011 v1 (4)" xfId="0"/>
    <cellStyle name="_TableHead_commentaires fixe  internet Déc 08_Reporting Onatel Avril 2009 V0_Copie de Flash du mois d' avril 2009 corrigé par NAIMI_Reporting Onatel Mai 2009 V 0_Budget 2011 v1 (4) 2" xfId="0"/>
    <cellStyle name="_TableHead_commentaires fixe  internet Déc 08_Reporting Onatel Avril 2009 V0_Copie de Flash du mois d' avril 2009 corrigé par NAIMI_Reporting Onatel Mai 2009 V 0_Budget Telmob 2011" xfId="0"/>
    <cellStyle name="_TableHead_commentaires fixe  internet Déc 08_Reporting Onatel Avril 2009 V0_Copie de Flash du mois d' avril 2009 corrigé par NAIMI_Reporting Onatel Mai 2009 V 0_Budget Telmob 2011 2" xfId="0"/>
    <cellStyle name="_TableHead_commentaires fixe  internet Déc 08_Reporting Onatel Avril 2009 V0_Copie de Flash du mois d' avril 2009 corrigé par NAIMI_Reporting Onatel Mai 2009 V 0_Reporting Onatel septembre  2009 préparé" xfId="0"/>
    <cellStyle name="_TableHead_commentaires fixe  internet Déc 08_Reporting Onatel Avril 2009 V0_Copie de Flash du mois d' avril 2009 corrigé par NAIMI_Reporting Onatel Mai 2009 V 0_Reporting Onatel septembre  2009 préparé 2" xfId="0"/>
    <cellStyle name="_TableHead_commentaires fixe  internet Déc 08_Reporting Onatel Avril 2009 V0_Copie de Flash du mois d' avril 2009 corrigé par NAIMI_Reporting Onatel Mai 2009 V 0_Reporting Onatel septembre  2009 préparé_Budget 2011 v1 (4)" xfId="0"/>
    <cellStyle name="_TableHead_commentaires fixe  internet Déc 08_Reporting Onatel Avril 2009 V0_Copie de Flash du mois d' avril 2009 corrigé par NAIMI_Reporting Onatel Mai 2009 V 0_Reporting Onatel septembre  2009 préparé_Budget 2011 v1 (4) 2" xfId="0"/>
    <cellStyle name="_TableHead_commentaires fixe  internet Déc 08_Reporting Onatel Avril 2009 V0_Copie de Flash du mois d' avril 2009 corrigé par NAIMI_Reporting Onatel septembre  2009 préparé" xfId="0"/>
    <cellStyle name="_TableHead_commentaires fixe  internet Déc 08_Reporting Onatel Avril 2009 V0_Copie de Flash du mois d' avril 2009 corrigé par NAIMI_Reporting Onatel septembre  2009 préparé 2" xfId="0"/>
    <cellStyle name="_TableHead_commentaires fixe  internet Déc 08_Reporting Onatel Avril 2009 V0_Copie de Flash du mois d' avril 2009 corrigé par NAIMI_Reporting Onatel septembre  2009 préparé_Budget 2011 v1 (4)" xfId="0"/>
    <cellStyle name="_TableHead_commentaires fixe  internet Déc 08_Reporting Onatel Avril 2009 V0_Copie de Flash du mois d' avril 2009 corrigé par NAIMI_Reporting Onatel septembre  2009 préparé_Budget 2011 v1 (4) 2" xfId="0"/>
    <cellStyle name="_TableHead_commentaires fixe  internet Déc 08_Reporting Onatel Avril 2009 V0_Flash du mois de mai 2009" xfId="0"/>
    <cellStyle name="_TableHead_commentaires fixe  internet Déc 08_Reporting Onatel Avril 2009 V0_Flash du mois de mai 2009 2" xfId="0"/>
    <cellStyle name="_TableHead_commentaires fixe  internet Déc 08_Reporting Onatel Avril 2009 V0_Flash du mois de mai 2009_Budget 2011 v1 (4)" xfId="0"/>
    <cellStyle name="_TableHead_commentaires fixe  internet Déc 08_Reporting Onatel Avril 2009 V0_Flash du mois de mai 2009_Budget 2011 v1 (4) 2" xfId="0"/>
    <cellStyle name="_TableHead_commentaires fixe  internet Déc 08_Reporting Onatel Avril 2009 V0_Flash du mois de mai 2009_Budget Telmob 2011" xfId="0"/>
    <cellStyle name="_TableHead_commentaires fixe  internet Déc 08_Reporting Onatel Avril 2009 V0_Flash du mois de mai 2009_Budget Telmob 2011 2" xfId="0"/>
    <cellStyle name="_TableHead_commentaires fixe  internet Déc 08_Reporting Onatel Avril 2009 V0_Reporting Onatel Mai 2009 V 0" xfId="0"/>
    <cellStyle name="_TableHead_commentaires fixe  internet Déc 08_Reporting Onatel Avril 2009 V0_Reporting Onatel Mai 2009 V 0 2" xfId="0"/>
    <cellStyle name="_TableHead_commentaires fixe  internet Déc 08_Reporting Onatel Avril 2009 V0_Reporting Onatel Mai 2009 V 0_Budget 2011 v1 (4)" xfId="0"/>
    <cellStyle name="_TableHead_commentaires fixe  internet Déc 08_Reporting Onatel Avril 2009 V0_Reporting Onatel Mai 2009 V 0_Budget 2011 v1 (4) 2" xfId="0"/>
    <cellStyle name="_TableHead_commentaires fixe  internet Déc 08_Reporting Onatel Avril 2009 V0_Reporting Onatel Mai 2009 V 0_Budget Telmob 2011" xfId="0"/>
    <cellStyle name="_TableHead_commentaires fixe  internet Déc 08_Reporting Onatel Avril 2009 V0_Reporting Onatel Mai 2009 V 0_Budget Telmob 2011 2" xfId="0"/>
    <cellStyle name="_TableHead_commentaires fixe  internet Déc 08_Reporting Onatel Avril 2009 V0_Reporting Onatel septembre  2009 préparé" xfId="0"/>
    <cellStyle name="_TableHead_commentaires fixe  internet Déc 08_Reporting Onatel Avril 2009 V0_Reporting Onatel septembre  2009 préparé 2" xfId="0"/>
    <cellStyle name="_TableHead_commentaires fixe  internet Déc 08_Reporting Onatel Avril 2009 V0_Reporting Onatel septembre  2009 préparé_Budget 2011 v1 (4)" xfId="0"/>
    <cellStyle name="_TableHead_commentaires fixe  internet Déc 08_Reporting Onatel Avril 2009 V0_Reporting Onatel septembre  2009 préparé_Budget 2011 v1 (4) 2" xfId="0"/>
    <cellStyle name="_TableHead_commentaires fixe  internet Déc 08_Reporting Onatel Mai 2009 V 0" xfId="0"/>
    <cellStyle name="_TableHead_commentaires fixe  internet Déc 08_Reporting Onatel Mai 2009 V 0 2" xfId="0"/>
    <cellStyle name="_TableHead_commentaires fixe  internet Déc 08_Reporting Onatel Mai 2009 V 0 A ENVOYE" xfId="0"/>
    <cellStyle name="_TableHead_commentaires fixe  internet Déc 08_Reporting Onatel Mai 2009 V 0 A ENVOYE 2" xfId="0"/>
    <cellStyle name="_TableHead_commentaires fixe  internet Déc 08_Reporting Onatel Mai 2009 V 0 A ENVOYE_Budget 2011 v1 (4)" xfId="0"/>
    <cellStyle name="_TableHead_commentaires fixe  internet Déc 08_Reporting Onatel Mai 2009 V 0 A ENVOYE_Budget 2011 v1 (4) 2" xfId="0"/>
    <cellStyle name="_TableHead_commentaires fixe  internet Déc 08_Reporting Onatel Mai 2009 V 0 A ENVOYE_Budget Telmob 2011" xfId="0"/>
    <cellStyle name="_TableHead_commentaires fixe  internet Déc 08_Reporting Onatel Mai 2009 V 0 A ENVOYE_Budget Telmob 2011 2" xfId="0"/>
    <cellStyle name="_TableHead_commentaires fixe  internet Déc 08_Reporting Onatel Mai 2009 V 0 A ENVOYE_Reporting Onatel septembre  2009 préparé" xfId="0"/>
    <cellStyle name="_TableHead_commentaires fixe  internet Déc 08_Reporting Onatel Mai 2009 V 0 A ENVOYE_Reporting Onatel septembre  2009 préparé 2" xfId="0"/>
    <cellStyle name="_TableHead_commentaires fixe  internet Déc 08_Reporting Onatel Mai 2009 V 0 A ENVOYE_Reporting Onatel septembre  2009 préparé_Budget 2011 v1 (4)" xfId="0"/>
    <cellStyle name="_TableHead_commentaires fixe  internet Déc 08_Reporting Onatel Mai 2009 V 0 A ENVOYE_Reporting Onatel septembre  2009 préparé_Budget 2011 v1 (4) 2" xfId="0"/>
    <cellStyle name="_TableHead_commentaires fixe  internet Déc 08_Reporting Onatel Mai 2009 V 0_Budget 2011 v1 (4)" xfId="0"/>
    <cellStyle name="_TableHead_commentaires fixe  internet Déc 08_Reporting Onatel Mai 2009 V 0_Budget 2011 v1 (4) 2" xfId="0"/>
    <cellStyle name="_TableHead_commentaires fixe  internet Déc 08_Reporting Onatel Mai 2009 V 0_Budget Telmob 2011" xfId="0"/>
    <cellStyle name="_TableHead_commentaires fixe  internet Déc 08_Reporting Onatel Mai 2009 V 0_Budget Telmob 2011 2" xfId="0"/>
    <cellStyle name="_TableHead_commentaires fixe  internet Déc 08_Reporting Onatel septembre  2009 préparé" xfId="0"/>
    <cellStyle name="_TableHead_commentaires fixe  internet Déc 08_Reporting Onatel septembre  2009 préparé 2" xfId="0"/>
    <cellStyle name="_TableHead_commentaires fixe  internet Déc 08_Reporting Onatel septembre  2009 préparé_Budget 2011 v1 (4)" xfId="0"/>
    <cellStyle name="_TableHead_commentaires fixe  internet Déc 08_Reporting Onatel septembre  2009 préparé_Budget 2011 v1 (4) 2" xfId="0"/>
    <cellStyle name="_TableHead_commentaires fixe  internet Déc 08_TBG Onatel Février  2009  Vtbg V3" xfId="0"/>
    <cellStyle name="_TableHead_commentaires fixe  internet Déc 08_TBG Onatel Février  2009  Vtbg V3 2" xfId="0"/>
    <cellStyle name="_TableHead_commentaires fixe  internet Déc 08_TBG Onatel Février  2009  Vtbg V3_Budget 2011 v1 (4)" xfId="0"/>
    <cellStyle name="_TableHead_commentaires fixe  internet Déc 08_TBG Onatel Février  2009  Vtbg V3_Budget 2011 v1 (4) 2" xfId="0"/>
    <cellStyle name="_TableHead_commentaires fixe  internet Déc 08_TBG Onatel Février  2009  Vtbg V3_Budget Telmob 2011" xfId="0"/>
    <cellStyle name="_TableHead_commentaires fixe  internet Déc 08_TBG Onatel Février  2009  Vtbg V3_Budget Telmob 2011 2" xfId="0"/>
    <cellStyle name="_TableHead_commentaires fixe  internet Déc 08_TBG Onatel Février  2009  Vtbg V3_Commentaires TBG mars" xfId="0"/>
    <cellStyle name="_TableHead_commentaires fixe  internet Déc 08_TBG Onatel Février  2009  Vtbg V3_Commentaires TBG mars 2" xfId="0"/>
    <cellStyle name="_TableHead_commentaires fixe  internet Déc 08_TBG Onatel Février  2009  Vtbg V3_Commentaires TBG mars_Budget 2011 v1 (4)" xfId="0"/>
    <cellStyle name="_TableHead_commentaires fixe  internet Déc 08_TBG Onatel Février  2009  Vtbg V3_Commentaires TBG mars_Budget 2011 v1 (4) 2" xfId="0"/>
    <cellStyle name="_TableHead_commentaires fixe  internet Déc 08_TBG Onatel Février  2009  Vtbg V3_Commentaires TBG mars_Budget Telmob 2011" xfId="0"/>
    <cellStyle name="_TableHead_commentaires fixe  internet Déc 08_TBG Onatel Février  2009  Vtbg V3_Commentaires TBG mars_Budget Telmob 2011 2" xfId="0"/>
    <cellStyle name="_TableHead_commentaires fixe  internet Déc 08_TBG Onatel Février  2009  Vtbg V3_Commentaires TBG mars_Copie de Flash du mois d' avril 2009 corrigé par NAIMI" xfId="0"/>
    <cellStyle name="_TableHead_commentaires fixe  internet Déc 08_TBG Onatel Février  2009  Vtbg V3_Commentaires TBG mars_Copie de Flash du mois d' avril 2009 corrigé par NAIMI 2" xfId="0"/>
    <cellStyle name="_TableHead_commentaires fixe  internet Déc 08_TBG Onatel Février  2009  Vtbg V3_Commentaires TBG mars_Copie de Flash du mois d' avril 2009 corrigé par NAIMI_Budget 2011 v1 (4)" xfId="0"/>
    <cellStyle name="_TableHead_commentaires fixe  internet Déc 08_TBG Onatel Février  2009  Vtbg V3_Commentaires TBG mars_Copie de Flash du mois d' avril 2009 corrigé par NAIMI_Budget 2011 v1 (4) 2" xfId="0"/>
    <cellStyle name="_TableHead_commentaires fixe  internet Déc 08_TBG Onatel Février  2009  Vtbg V3_Commentaires TBG mars_Copie de Flash du mois d' avril 2009 corrigé par NAIMI_Budget Telmob 2011" xfId="0"/>
    <cellStyle name="_TableHead_commentaires fixe  internet Déc 08_TBG Onatel Février  2009  Vtbg V3_Commentaires TBG mars_Copie de Flash du mois d' avril 2009 corrigé par NAIMI_Budget Telmob 2011 2" xfId="0"/>
    <cellStyle name="_TableHead_commentaires fixe  internet Déc 08_TBG Onatel Février  2009  Vtbg V3_Commentaires TBG mars_Copie de Flash du mois d' avril 2009 corrigé par NAIMI_Flash du mois de mai 2009" xfId="0"/>
    <cellStyle name="_TableHead_commentaires fixe  internet Déc 08_TBG Onatel Février  2009  Vtbg V3_Commentaires TBG mars_Copie de Flash du mois d' avril 2009 corrigé par NAIMI_Flash du mois de mai 2009 2" xfId="0"/>
    <cellStyle name="_TableHead_commentaires fixe  internet Déc 08_TBG Onatel Février  2009  Vtbg V3_Commentaires TBG mars_Copie de Flash du mois d' avril 2009 corrigé par NAIMI_Flash du mois de mai 2009_Budget 2011 v1 (4)" xfId="0"/>
    <cellStyle name="_TableHead_commentaires fixe  internet Déc 08_TBG Onatel Février  2009  Vtbg V3_Commentaires TBG mars_Copie de Flash du mois d' avril 2009 corrigé par NAIMI_Flash du mois de mai 2009_Budget 2011 v1 (4) 2" xfId="0"/>
    <cellStyle name="_TableHead_commentaires fixe  internet Déc 08_TBG Onatel Février  2009  Vtbg V3_Commentaires TBG mars_Copie de Flash du mois d' avril 2009 corrigé par NAIMI_Flash du mois de mai 2009_Budget Telmob 2011" xfId="0"/>
    <cellStyle name="_TableHead_commentaires fixe  internet Déc 08_TBG Onatel Février  2009  Vtbg V3_Commentaires TBG mars_Copie de Flash du mois d' avril 2009 corrigé par NAIMI_Flash du mois de mai 2009_Budget Telmob 2011 2" xfId="0"/>
    <cellStyle name="_TableHead_commentaires fixe  internet Déc 08_TBG Onatel Février  2009  Vtbg V3_Commentaires TBG mars_Copie de Flash du mois d' avril 2009 corrigé par NAIMI_Reporting Onatel Mai 2009 V 0" xfId="0"/>
    <cellStyle name="_TableHead_commentaires fixe  internet Déc 08_TBG Onatel Février  2009  Vtbg V3_Commentaires TBG mars_Copie de Flash du mois d' avril 2009 corrigé par NAIMI_Reporting Onatel Mai 2009 V 0 2" xfId="0"/>
    <cellStyle name="_TableHead_commentaires fixe  internet Déc 08_TBG Onatel Février  2009  Vtbg V3_Commentaires TBG mars_Copie de Flash du mois d' avril 2009 corrigé par NAIMI_Reporting Onatel Mai 2009 V 0_Budget 2011 v1 (4)" xfId="0"/>
    <cellStyle name="_TableHead_commentaires fixe  internet Déc 08_TBG Onatel Février  2009  Vtbg V3_Commentaires TBG mars_Copie de Flash du mois d' avril 2009 corrigé par NAIMI_Reporting Onatel Mai 2009 V 0_Budget 2011 v1 (4) 2" xfId="0"/>
    <cellStyle name="_TableHead_commentaires fixe  internet Déc 08_TBG Onatel Février  2009  Vtbg V3_Commentaires TBG mars_Copie de Flash du mois d' avril 2009 corrigé par NAIMI_Reporting Onatel Mai 2009 V 0_Budget Telmob 2011" xfId="0"/>
    <cellStyle name="_TableHead_commentaires fixe  internet Déc 08_TBG Onatel Février  2009  Vtbg V3_Commentaires TBG mars_Copie de Flash du mois d' avril 2009 corrigé par NAIMI_Reporting Onatel Mai 2009 V 0_Budget Telmob 2011 2" xfId="0"/>
    <cellStyle name="_TableHead_commentaires fixe  internet Déc 08_TBG Onatel Février  2009  Vtbg V3_Commentaires TBG mars_Copie de Flash du mois d' avril 2009 corrigé par NAIMI_Reporting Onatel Mai 2009 V 0_Reporting Onatel septembre  2009 préparé" xfId="0"/>
    <cellStyle name="_TableHead_commentaires fixe  internet Déc 08_TBG Onatel Février  2009  Vtbg V3_Commentaires TBG mars_Copie de Flash du mois d' avril 2009 corrigé par NAIMI_Reporting Onatel Mai 2009 V 0_Reporting Onatel septembre  2009 préparé 2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0"/>
    <cellStyle name="_TableHead_commentaires fixe  internet Déc 08_TBG Onatel Février  2009  Vtbg V3_Commentaires TBG mars_Copie de Flash du mois d' avril 2009 corrigé par NAIMI_Reporting Onatel septembre  2009 préparé" xfId="0"/>
    <cellStyle name="_TableHead_commentaires fixe  internet Déc 08_TBG Onatel Février  2009  Vtbg V3_Commentaires TBG mars_Copie de Flash du mois d' avril 2009 corrigé par NAIMI_Reporting Onatel septembre  2009 préparé 2" xfId="0"/>
    <cellStyle name="_TableHead_commentaires fixe  internet Déc 08_TBG Onatel Février  2009  Vtbg V3_Commentaires TBG mars_Copie de Flash du mois d' avril 2009 corrigé par NAIMI_Reporting Onatel septembre  2009 préparé_Budget 2011 v1 (4)" xfId="0"/>
    <cellStyle name="_TableHead_commentaires fixe  internet Déc 08_TBG Onatel Février  2009  Vtbg V3_Commentaires TBG mars_Copie de Flash du mois d' avril 2009 corrigé par NAIMI_Reporting Onatel septembre  2009 préparé_Budget 2011 v1 (4) 2" xfId="0"/>
    <cellStyle name="_TableHead_commentaires fixe  internet Déc 08_TBG Onatel Février  2009  Vtbg V3_Commentaires TBG mars_Flash du mois d' avril 2009" xfId="0"/>
    <cellStyle name="_TableHead_commentaires fixe  internet Déc 08_TBG Onatel Février  2009  Vtbg V3_Commentaires TBG mars_Flash du mois d' avril 2009 2" xfId="0"/>
    <cellStyle name="_TableHead_commentaires fixe  internet Déc 08_TBG Onatel Février  2009  Vtbg V3_Commentaires TBG mars_Flash du mois d' avril 2009_Budget 2011 v1 (4)" xfId="0"/>
    <cellStyle name="_TableHead_commentaires fixe  internet Déc 08_TBG Onatel Février  2009  Vtbg V3_Commentaires TBG mars_Flash du mois d' avril 2009_Budget 2011 v1 (4) 2" xfId="0"/>
    <cellStyle name="_TableHead_commentaires fixe  internet Déc 08_TBG Onatel Février  2009  Vtbg V3_Commentaires TBG mars_Flash du mois d' avril 2009_Budget Telmob 2011" xfId="0"/>
    <cellStyle name="_TableHead_commentaires fixe  internet Déc 08_TBG Onatel Février  2009  Vtbg V3_Commentaires TBG mars_Flash du mois d' avril 2009_Budget Telmob 2011 2" xfId="0"/>
    <cellStyle name="_TableHead_commentaires fixe  internet Déc 08_TBG Onatel Février  2009  Vtbg V3_Commentaires TBG mars_Flash du mois d' avril 2009_Flash du mois de mai 2009" xfId="0"/>
    <cellStyle name="_TableHead_commentaires fixe  internet Déc 08_TBG Onatel Février  2009  Vtbg V3_Commentaires TBG mars_Flash du mois d' avril 2009_Flash du mois de mai 2009 2" xfId="0"/>
    <cellStyle name="_TableHead_commentaires fixe  internet Déc 08_TBG Onatel Février  2009  Vtbg V3_Commentaires TBG mars_Flash du mois d' avril 2009_Flash du mois de mai 2009_Budget 2011 v1 (4)" xfId="0"/>
    <cellStyle name="_TableHead_commentaires fixe  internet Déc 08_TBG Onatel Février  2009  Vtbg V3_Commentaires TBG mars_Flash du mois d' avril 2009_Flash du mois de mai 2009_Budget 2011 v1 (4) 2" xfId="0"/>
    <cellStyle name="_TableHead_commentaires fixe  internet Déc 08_TBG Onatel Février  2009  Vtbg V3_Commentaires TBG mars_Flash du mois d' avril 2009_Flash du mois de mai 2009_Budget Telmob 2011" xfId="0"/>
    <cellStyle name="_TableHead_commentaires fixe  internet Déc 08_TBG Onatel Février  2009  Vtbg V3_Commentaires TBG mars_Flash du mois d' avril 2009_Flash du mois de mai 2009_Budget Telmob 2011 2" xfId="0"/>
    <cellStyle name="_TableHead_commentaires fixe  internet Déc 08_TBG Onatel Février  2009  Vtbg V3_Commentaires TBG mars_Flash du mois d' avril 2009_Reporting Onatel Mai 2009 V 0" xfId="0"/>
    <cellStyle name="_TableHead_commentaires fixe  internet Déc 08_TBG Onatel Février  2009  Vtbg V3_Commentaires TBG mars_Flash du mois d' avril 2009_Reporting Onatel Mai 2009 V 0 2" xfId="0"/>
    <cellStyle name="_TableHead_commentaires fixe  internet Déc 08_TBG Onatel Février  2009  Vtbg V3_Commentaires TBG mars_Flash du mois d' avril 2009_Reporting Onatel Mai 2009 V 0_Budget 2011 v1 (4)" xfId="0"/>
    <cellStyle name="_TableHead_commentaires fixe  internet Déc 08_TBG Onatel Février  2009  Vtbg V3_Commentaires TBG mars_Flash du mois d' avril 2009_Reporting Onatel Mai 2009 V 0_Budget 2011 v1 (4) 2" xfId="0"/>
    <cellStyle name="_TableHead_commentaires fixe  internet Déc 08_TBG Onatel Février  2009  Vtbg V3_Commentaires TBG mars_Flash du mois d' avril 2009_Reporting Onatel Mai 2009 V 0_Budget Telmob 2011" xfId="0"/>
    <cellStyle name="_TableHead_commentaires fixe  internet Déc 08_TBG Onatel Février  2009  Vtbg V3_Commentaires TBG mars_Flash du mois d' avril 2009_Reporting Onatel Mai 2009 V 0_Budget Telmob 2011 2" xfId="0"/>
    <cellStyle name="_TableHead_commentaires fixe  internet Déc 08_TBG Onatel Février  2009  Vtbg V3_Commentaires TBG mars_Flash du mois d' avril 2009_Reporting Onatel septembre  2009 préparé" xfId="0"/>
    <cellStyle name="_TableHead_commentaires fixe  internet Déc 08_TBG Onatel Février  2009  Vtbg V3_Commentaires TBG mars_Flash du mois d' avril 2009_Reporting Onatel septembre  2009 préparé 2" xfId="0"/>
    <cellStyle name="_TableHead_commentaires fixe  internet Déc 08_TBG Onatel Février  2009  Vtbg V3_Commentaires TBG mars_Flash du mois d' avril 2009_Reporting Onatel septembre  2009 préparé_Budget 2011 v1 (4)" xfId="0"/>
    <cellStyle name="_TableHead_commentaires fixe  internet Déc 08_TBG Onatel Février  2009  Vtbg V3_Commentaires TBG mars_Flash du mois d' avril 2009_Reporting Onatel septembre  2009 préparé_Budget 2011 v1 (4) 2" xfId="0"/>
    <cellStyle name="_TableHead_commentaires fixe  internet Déc 08_TBG Onatel Février  2009  Vtbg V3_Commentaires TBG mars_Flash du mois de mai 2009" xfId="0"/>
    <cellStyle name="_TableHead_commentaires fixe  internet Déc 08_TBG Onatel Février  2009  Vtbg V3_Commentaires TBG mars_Flash du mois de mai 2009 2" xfId="0"/>
    <cellStyle name="_TableHead_commentaires fixe  internet Déc 08_TBG Onatel Février  2009  Vtbg V3_Commentaires TBG mars_Flash du mois de mai 2009_Budget 2011 v1 (4)" xfId="0"/>
    <cellStyle name="_TableHead_commentaires fixe  internet Déc 08_TBG Onatel Février  2009  Vtbg V3_Commentaires TBG mars_Flash du mois de mai 2009_Budget 2011 v1 (4) 2" xfId="0"/>
    <cellStyle name="_TableHead_commentaires fixe  internet Déc 08_TBG Onatel Février  2009  Vtbg V3_Commentaires TBG mars_Flash du mois de mai 2009_Budget Telmob 2011" xfId="0"/>
    <cellStyle name="_TableHead_commentaires fixe  internet Déc 08_TBG Onatel Février  2009  Vtbg V3_Commentaires TBG mars_Flash du mois de mai 2009_Budget Telmob 2011 2" xfId="0"/>
    <cellStyle name="_TableHead_commentaires fixe  internet Déc 08_TBG Onatel Février  2009  Vtbg V3_Commentaires TBG mars_Reporting Onatel Mai 2009 V 0" xfId="0"/>
    <cellStyle name="_TableHead_commentaires fixe  internet Déc 08_TBG Onatel Février  2009  Vtbg V3_Commentaires TBG mars_Reporting Onatel Mai 2009 V 0 2" xfId="0"/>
    <cellStyle name="_TableHead_commentaires fixe  internet Déc 08_TBG Onatel Février  2009  Vtbg V3_Commentaires TBG mars_Reporting Onatel Mai 2009 V 0_Budget 2011 v1 (4)" xfId="0"/>
    <cellStyle name="_TableHead_commentaires fixe  internet Déc 08_TBG Onatel Février  2009  Vtbg V3_Commentaires TBG mars_Reporting Onatel Mai 2009 V 0_Budget 2011 v1 (4) 2" xfId="0"/>
    <cellStyle name="_TableHead_commentaires fixe  internet Déc 08_TBG Onatel Février  2009  Vtbg V3_Commentaires TBG mars_Reporting Onatel Mai 2009 V 0_Budget Telmob 2011" xfId="0"/>
    <cellStyle name="_TableHead_commentaires fixe  internet Déc 08_TBG Onatel Février  2009  Vtbg V3_Commentaires TBG mars_Reporting Onatel Mai 2009 V 0_Budget Telmob 2011 2" xfId="0"/>
    <cellStyle name="_TableHead_commentaires fixe  internet Déc 08_TBG Onatel Février  2009  Vtbg V3_Commentaires TBG mars_Reporting Onatel septembre  2009 préparé" xfId="0"/>
    <cellStyle name="_TableHead_commentaires fixe  internet Déc 08_TBG Onatel Février  2009  Vtbg V3_Commentaires TBG mars_Reporting Onatel septembre  2009 préparé 2" xfId="0"/>
    <cellStyle name="_TableHead_commentaires fixe  internet Déc 08_TBG Onatel Février  2009  Vtbg V3_Commentaires TBG mars_Reporting Onatel septembre  2009 préparé_Budget 2011 v1 (4)" xfId="0"/>
    <cellStyle name="_TableHead_commentaires fixe  internet Déc 08_TBG Onatel Février  2009  Vtbg V3_Commentaires TBG mars_Reporting Onatel septembre  2009 préparé_Budget 2011 v1 (4) 2" xfId="0"/>
    <cellStyle name="_TableHead_commentaires fixe  internet Déc 08_TBG Onatel Février  2009  Vtbg V3_Copie de Flash du mois d' avril 2009 corrigé par NAIMI" xfId="0"/>
    <cellStyle name="_TableHead_commentaires fixe  internet Déc 08_TBG Onatel Février  2009  Vtbg V3_Copie de Flash du mois d' avril 2009 corrigé par NAIMI 2" xfId="0"/>
    <cellStyle name="_TableHead_commentaires fixe  internet Déc 08_TBG Onatel Février  2009  Vtbg V3_Copie de Flash du mois d' avril 2009 corrigé par NAIMI_Budget 2011 v1 (4)" xfId="0"/>
    <cellStyle name="_TableHead_commentaires fixe  internet Déc 08_TBG Onatel Février  2009  Vtbg V3_Copie de Flash du mois d' avril 2009 corrigé par NAIMI_Budget 2011 v1 (4) 2" xfId="0"/>
    <cellStyle name="_TableHead_commentaires fixe  internet Déc 08_TBG Onatel Février  2009  Vtbg V3_Copie de Flash du mois d' avril 2009 corrigé par NAIMI_Budget Telmob 2011" xfId="0"/>
    <cellStyle name="_TableHead_commentaires fixe  internet Déc 08_TBG Onatel Février  2009  Vtbg V3_Copie de Flash du mois d' avril 2009 corrigé par NAIMI_Budget Telmob 2011 2" xfId="0"/>
    <cellStyle name="_TableHead_commentaires fixe  internet Déc 08_TBG Onatel Février  2009  Vtbg V3_Copie de Flash du mois d' avril 2009 corrigé par NAIMI_Flash du mois de mai 2009" xfId="0"/>
    <cellStyle name="_TableHead_commentaires fixe  internet Déc 08_TBG Onatel Février  2009  Vtbg V3_Copie de Flash du mois d' avril 2009 corrigé par NAIMI_Flash du mois de mai 2009 2" xfId="0"/>
    <cellStyle name="_TableHead_commentaires fixe  internet Déc 08_TBG Onatel Février  2009  Vtbg V3_Copie de Flash du mois d' avril 2009 corrigé par NAIMI_Flash du mois de mai 2009_Budget 2011 v1 (4)" xfId="0"/>
    <cellStyle name="_TableHead_commentaires fixe  internet Déc 08_TBG Onatel Février  2009  Vtbg V3_Copie de Flash du mois d' avril 2009 corrigé par NAIMI_Flash du mois de mai 2009_Budget 2011 v1 (4) 2" xfId="0"/>
    <cellStyle name="_TableHead_commentaires fixe  internet Déc 08_TBG Onatel Février  2009  Vtbg V3_Copie de Flash du mois d' avril 2009 corrigé par NAIMI_Flash du mois de mai 2009_Budget Telmob 2011" xfId="0"/>
    <cellStyle name="_TableHead_commentaires fixe  internet Déc 08_TBG Onatel Février  2009  Vtbg V3_Copie de Flash du mois d' avril 2009 corrigé par NAIMI_Flash du mois de mai 2009_Budget Telmob 2011 2" xfId="0"/>
    <cellStyle name="_TableHead_commentaires fixe  internet Déc 08_TBG Onatel Février  2009  Vtbg V3_Copie de Flash du mois d' avril 2009 corrigé par NAIMI_Reporting Onatel Mai 2009 V 0" xfId="0"/>
    <cellStyle name="_TableHead_commentaires fixe  internet Déc 08_TBG Onatel Février  2009  Vtbg V3_Copie de Flash du mois d' avril 2009 corrigé par NAIMI_Reporting Onatel Mai 2009 V 0 2" xfId="0"/>
    <cellStyle name="_TableHead_commentaires fixe  internet Déc 08_TBG Onatel Février  2009  Vtbg V3_Copie de Flash du mois d' avril 2009 corrigé par NAIMI_Reporting Onatel Mai 2009 V 0_Budget 2011 v1 (4)" xfId="0"/>
    <cellStyle name="_TableHead_commentaires fixe  internet Déc 08_TBG Onatel Février  2009  Vtbg V3_Copie de Flash du mois d' avril 2009 corrigé par NAIMI_Reporting Onatel Mai 2009 V 0_Budget 2011 v1 (4) 2" xfId="0"/>
    <cellStyle name="_TableHead_commentaires fixe  internet Déc 08_TBG Onatel Février  2009  Vtbg V3_Copie de Flash du mois d' avril 2009 corrigé par NAIMI_Reporting Onatel Mai 2009 V 0_Budget Telmob 2011" xfId="0"/>
    <cellStyle name="_TableHead_commentaires fixe  internet Déc 08_TBG Onatel Février  2009  Vtbg V3_Copie de Flash du mois d' avril 2009 corrigé par NAIMI_Reporting Onatel Mai 2009 V 0_Budget Telmob 2011 2" xfId="0"/>
    <cellStyle name="_TableHead_commentaires fixe  internet Déc 08_TBG Onatel Février  2009  Vtbg V3_Copie de Flash du mois d' avril 2009 corrigé par NAIMI_Reporting Onatel Mai 2009 V 0_Reporting Onatel septembre  2009 préparé" xfId="0"/>
    <cellStyle name="_TableHead_commentaires fixe  internet Déc 08_TBG Onatel Février  2009  Vtbg V3_Copie de Flash du mois d' avril 2009 corrigé par NAIMI_Reporting Onatel Mai 2009 V 0_Reporting Onatel septembre  2009 préparé 2" xfId="0"/>
    <cellStyle name="_TableHead_commentaires fixe  internet Déc 08_TBG Onatel Février  2009  Vtbg V3_Copie de Flash du mois d' avril 2009 corrigé par NAIMI_Reporting Onatel Mai 2009 V 0_Reporting Onatel septembre  2009 préparé_Budget 2011 v1 (4)" xfId="0"/>
    <cellStyle name="_TableHead_commentaires fixe  internet Déc 08_TBG Onatel Février  2009  Vtbg V3_Copie de Flash du mois d' avril 2009 corrigé par NAIMI_Reporting Onatel Mai 2009 V 0_Reporting Onatel septembre  2009 préparé_Budget 2011 v1 (4) 2" xfId="0"/>
    <cellStyle name="_TableHead_commentaires fixe  internet Déc 08_TBG Onatel Février  2009  Vtbg V3_Copie de Flash du mois d' avril 2009 corrigé par NAIMI_Reporting Onatel septembre  2009 préparé" xfId="0"/>
    <cellStyle name="_TableHead_commentaires fixe  internet Déc 08_TBG Onatel Février  2009  Vtbg V3_Copie de Flash du mois d' avril 2009 corrigé par NAIMI_Reporting Onatel septembre  2009 préparé 2" xfId="0"/>
    <cellStyle name="_TableHead_commentaires fixe  internet Déc 08_TBG Onatel Février  2009  Vtbg V3_Copie de Flash du mois d' avril 2009 corrigé par NAIMI_Reporting Onatel septembre  2009 préparé_Budget 2011 v1 (4)" xfId="0"/>
    <cellStyle name="_TableHead_commentaires fixe  internet Déc 08_TBG Onatel Février  2009  Vtbg V3_Copie de Flash du mois d' avril 2009 corrigé par NAIMI_Reporting Onatel septembre  2009 préparé_Budget 2011 v1 (4) 2" xfId="0"/>
    <cellStyle name="_TableHead_commentaires fixe  internet Déc 08_TBG Onatel Février  2009  Vtbg V3_Flash du mois d' avril 2009" xfId="0"/>
    <cellStyle name="_TableHead_commentaires fixe  internet Déc 08_TBG Onatel Février  2009  Vtbg V3_Flash du mois d' avril 2009 2" xfId="0"/>
    <cellStyle name="_TableHead_commentaires fixe  internet Déc 08_TBG Onatel Février  2009  Vtbg V3_Flash du mois d' avril 2009_Budget 2011 v1 (4)" xfId="0"/>
    <cellStyle name="_TableHead_commentaires fixe  internet Déc 08_TBG Onatel Février  2009  Vtbg V3_Flash du mois d' avril 2009_Budget 2011 v1 (4) 2" xfId="0"/>
    <cellStyle name="_TableHead_commentaires fixe  internet Déc 08_TBG Onatel Février  2009  Vtbg V3_Flash du mois d' avril 2009_Budget Telmob 2011" xfId="0"/>
    <cellStyle name="_TableHead_commentaires fixe  internet Déc 08_TBG Onatel Février  2009  Vtbg V3_Flash du mois d' avril 2009_Budget Telmob 2011 2" xfId="0"/>
    <cellStyle name="_TableHead_commentaires fixe  internet Déc 08_TBG Onatel Février  2009  Vtbg V3_Flash du mois d' avril 2009_Flash du mois de mai 2009" xfId="0"/>
    <cellStyle name="_TableHead_commentaires fixe  internet Déc 08_TBG Onatel Février  2009  Vtbg V3_Flash du mois d' avril 2009_Flash du mois de mai 2009 2" xfId="0"/>
    <cellStyle name="_TableHead_commentaires fixe  internet Déc 08_TBG Onatel Février  2009  Vtbg V3_Flash du mois d' avril 2009_Flash du mois de mai 2009_Budget 2011 v1 (4)" xfId="0"/>
    <cellStyle name="_TableHead_commentaires fixe  internet Déc 08_TBG Onatel Février  2009  Vtbg V3_Flash du mois d' avril 2009_Flash du mois de mai 2009_Budget 2011 v1 (4) 2" xfId="0"/>
    <cellStyle name="_TableHead_commentaires fixe  internet Déc 08_TBG Onatel Février  2009  Vtbg V3_Flash du mois d' avril 2009_Flash du mois de mai 2009_Budget Telmob 2011" xfId="0"/>
    <cellStyle name="_TableHead_commentaires fixe  internet Déc 08_TBG Onatel Février  2009  Vtbg V3_Flash du mois d' avril 2009_Flash du mois de mai 2009_Budget Telmob 2011 2" xfId="0"/>
    <cellStyle name="_TableHead_commentaires fixe  internet Déc 08_TBG Onatel Février  2009  Vtbg V3_Flash du mois d' avril 2009_Reporting Onatel Mai 2009 V 0" xfId="0"/>
    <cellStyle name="_TableHead_commentaires fixe  internet Déc 08_TBG Onatel Février  2009  Vtbg V3_Flash du mois d' avril 2009_Reporting Onatel Mai 2009 V 0 2" xfId="0"/>
    <cellStyle name="_TableHead_commentaires fixe  internet Déc 08_TBG Onatel Février  2009  Vtbg V3_Flash du mois d' avril 2009_Reporting Onatel Mai 2009 V 0_Budget 2011 v1 (4)" xfId="0"/>
    <cellStyle name="_TableHead_commentaires fixe  internet Déc 08_TBG Onatel Février  2009  Vtbg V3_Flash du mois d' avril 2009_Reporting Onatel Mai 2009 V 0_Budget 2011 v1 (4) 2" xfId="0"/>
    <cellStyle name="_TableHead_commentaires fixe  internet Déc 08_TBG Onatel Février  2009  Vtbg V3_Flash du mois d' avril 2009_Reporting Onatel Mai 2009 V 0_Budget Telmob 2011" xfId="0"/>
    <cellStyle name="_TableHead_commentaires fixe  internet Déc 08_TBG Onatel Février  2009  Vtbg V3_Flash du mois d' avril 2009_Reporting Onatel Mai 2009 V 0_Budget Telmob 2011 2" xfId="0"/>
    <cellStyle name="_TableHead_commentaires fixe  internet Déc 08_TBG Onatel Février  2009  Vtbg V3_Flash du mois d' avril 2009_Reporting Onatel septembre  2009 préparé" xfId="0"/>
    <cellStyle name="_TableHead_commentaires fixe  internet Déc 08_TBG Onatel Février  2009  Vtbg V3_Flash du mois d' avril 2009_Reporting Onatel septembre  2009 préparé 2" xfId="0"/>
    <cellStyle name="_TableHead_commentaires fixe  internet Déc 08_TBG Onatel Février  2009  Vtbg V3_Flash du mois d' avril 2009_Reporting Onatel septembre  2009 préparé_Budget 2011 v1 (4)" xfId="0"/>
    <cellStyle name="_TableHead_commentaires fixe  internet Déc 08_TBG Onatel Février  2009  Vtbg V3_Flash du mois d' avril 2009_Reporting Onatel septembre  2009 préparé_Budget 2011 v1 (4) 2" xfId="0"/>
    <cellStyle name="_TableHead_commentaires fixe  internet Déc 08_TBG Onatel Février  2009  Vtbg V3_Flash du mois de mai 2009" xfId="0"/>
    <cellStyle name="_TableHead_commentaires fixe  internet Déc 08_TBG Onatel Février  2009  Vtbg V3_Flash du mois de mai 2009 2" xfId="0"/>
    <cellStyle name="_TableHead_commentaires fixe  internet Déc 08_TBG Onatel Février  2009  Vtbg V3_Flash du mois de mai 2009_Budget 2011 v1 (4)" xfId="0"/>
    <cellStyle name="_TableHead_commentaires fixe  internet Déc 08_TBG Onatel Février  2009  Vtbg V3_Flash du mois de mai 2009_Budget 2011 v1 (4) 2" xfId="0"/>
    <cellStyle name="_TableHead_commentaires fixe  internet Déc 08_TBG Onatel Février  2009  Vtbg V3_Flash du mois de mai 2009_Budget Telmob 2011" xfId="0"/>
    <cellStyle name="_TableHead_commentaires fixe  internet Déc 08_TBG Onatel Février  2009  Vtbg V3_Flash du mois de mai 2009_Budget Telmob 2011 2" xfId="0"/>
    <cellStyle name="_TableHead_commentaires fixe  internet Déc 08_TBG Onatel Février  2009  Vtbg V3_Reporting Onatel Mai 2009 V 0" xfId="0"/>
    <cellStyle name="_TableHead_commentaires fixe  internet Déc 08_TBG Onatel Février  2009  Vtbg V3_Reporting Onatel Mai 2009 V 0 2" xfId="0"/>
    <cellStyle name="_TableHead_commentaires fixe  internet Déc 08_TBG Onatel Février  2009  Vtbg V3_Reporting Onatel Mai 2009 V 0_Budget 2011 v1 (4)" xfId="0"/>
    <cellStyle name="_TableHead_commentaires fixe  internet Déc 08_TBG Onatel Février  2009  Vtbg V3_Reporting Onatel Mai 2009 V 0_Budget 2011 v1 (4) 2" xfId="0"/>
    <cellStyle name="_TableHead_commentaires fixe  internet Déc 08_TBG Onatel Février  2009  Vtbg V3_Reporting Onatel Mai 2009 V 0_Budget Telmob 2011" xfId="0"/>
    <cellStyle name="_TableHead_commentaires fixe  internet Déc 08_TBG Onatel Février  2009  Vtbg V3_Reporting Onatel Mai 2009 V 0_Budget Telmob 2011 2" xfId="0"/>
    <cellStyle name="_TableHead_commentaires fixe  internet Déc 08_TBG Onatel Février  2009  Vtbg V3_Reporting Onatel septembre  2009 préparé" xfId="0"/>
    <cellStyle name="_TableHead_commentaires fixe  internet Déc 08_TBG Onatel Février  2009  Vtbg V3_Reporting Onatel septembre  2009 préparé 2" xfId="0"/>
    <cellStyle name="_TableHead_commentaires fixe  internet Déc 08_TBG Onatel Février  2009  Vtbg V3_Reporting Onatel septembre  2009 préparé_Budget 2011 v1 (4)" xfId="0"/>
    <cellStyle name="_TableHead_commentaires fixe  internet Déc 08_TBG Onatel Février  2009  Vtbg V3_Reporting Onatel septembre  2009 préparé_Budget 2011 v1 (4) 2" xfId="0"/>
    <cellStyle name="_TableHead_Commentaires TBG mars" xfId="0"/>
    <cellStyle name="_TableHead_Commentaires TBG mars 2" xfId="0"/>
    <cellStyle name="_TableHead_Commentaires TBG mars_Budget 2011 v1 (4)" xfId="0"/>
    <cellStyle name="_TableHead_Commentaires TBG mars_Budget 2011 v1 (4) 2" xfId="0"/>
    <cellStyle name="_TableHead_Commentaires TBG mars_Budget Telmob 2011" xfId="0"/>
    <cellStyle name="_TableHead_Commentaires TBG mars_Budget Telmob 2011 2" xfId="0"/>
    <cellStyle name="_TableHead_Commentaires TBG mars_Copie de Flash du mois d' avril 2009 corrigé par NAIMI" xfId="0"/>
    <cellStyle name="_TableHead_Commentaires TBG mars_Copie de Flash du mois d' avril 2009 corrigé par NAIMI 2" xfId="0"/>
    <cellStyle name="_TableHead_Commentaires TBG mars_Copie de Flash du mois d' avril 2009 corrigé par NAIMI_Budget 2011 v1 (4)" xfId="0"/>
    <cellStyle name="_TableHead_Commentaires TBG mars_Copie de Flash du mois d' avril 2009 corrigé par NAIMI_Budget 2011 v1 (4) 2" xfId="0"/>
    <cellStyle name="_TableHead_Commentaires TBG mars_Copie de Flash du mois d' avril 2009 corrigé par NAIMI_Budget Telmob 2011" xfId="0"/>
    <cellStyle name="_TableHead_Commentaires TBG mars_Copie de Flash du mois d' avril 2009 corrigé par NAIMI_Budget Telmob 2011 2" xfId="0"/>
    <cellStyle name="_TableHead_Commentaires TBG mars_Copie de Flash du mois d' avril 2009 corrigé par NAIMI_Flash du mois de mai 2009" xfId="0"/>
    <cellStyle name="_TableHead_Commentaires TBG mars_Copie de Flash du mois d' avril 2009 corrigé par NAIMI_Flash du mois de mai 2009 2" xfId="0"/>
    <cellStyle name="_TableHead_Commentaires TBG mars_Copie de Flash du mois d' avril 2009 corrigé par NAIMI_Flash du mois de mai 2009_Budget 2011 v1 (4)" xfId="0"/>
    <cellStyle name="_TableHead_Commentaires TBG mars_Copie de Flash du mois d' avril 2009 corrigé par NAIMI_Flash du mois de mai 2009_Budget 2011 v1 (4) 2" xfId="0"/>
    <cellStyle name="_TableHead_Commentaires TBG mars_Copie de Flash du mois d' avril 2009 corrigé par NAIMI_Flash du mois de mai 2009_Budget Telmob 2011" xfId="0"/>
    <cellStyle name="_TableHead_Commentaires TBG mars_Copie de Flash du mois d' avril 2009 corrigé par NAIMI_Flash du mois de mai 2009_Budget Telmob 2011 2" xfId="0"/>
    <cellStyle name="_TableHead_Commentaires TBG mars_Copie de Flash du mois d' avril 2009 corrigé par NAIMI_Reporting Onatel Mai 2009 V 0" xfId="0"/>
    <cellStyle name="_TableHead_Commentaires TBG mars_Copie de Flash du mois d' avril 2009 corrigé par NAIMI_Reporting Onatel Mai 2009 V 0 2" xfId="0"/>
    <cellStyle name="_TableHead_Commentaires TBG mars_Copie de Flash du mois d' avril 2009 corrigé par NAIMI_Reporting Onatel Mai 2009 V 0_Budget 2011 v1 (4)" xfId="0"/>
    <cellStyle name="_TableHead_Commentaires TBG mars_Copie de Flash du mois d' avril 2009 corrigé par NAIMI_Reporting Onatel Mai 2009 V 0_Budget 2011 v1 (4) 2" xfId="0"/>
    <cellStyle name="_TableHead_Commentaires TBG mars_Copie de Flash du mois d' avril 2009 corrigé par NAIMI_Reporting Onatel Mai 2009 V 0_Budget Telmob 2011" xfId="0"/>
    <cellStyle name="_TableHead_Commentaires TBG mars_Copie de Flash du mois d' avril 2009 corrigé par NAIMI_Reporting Onatel Mai 2009 V 0_Budget Telmob 2011 2" xfId="0"/>
    <cellStyle name="_TableHead_Commentaires TBG mars_Copie de Flash du mois d' avril 2009 corrigé par NAIMI_Reporting Onatel Mai 2009 V 0_Reporting Onatel septembre  2009 préparé" xfId="0"/>
    <cellStyle name="_TableHead_Commentaires TBG mars_Copie de Flash du mois d' avril 2009 corrigé par NAIMI_Reporting Onatel Mai 2009 V 0_Reporting Onatel septembre  2009 préparé 2" xfId="0"/>
    <cellStyle name="_TableHead_Commentaires TBG mars_Copie de Flash du mois d' avril 2009 corrigé par NAIMI_Reporting Onatel Mai 2009 V 0_Reporting Onatel septembre  2009 préparé_Budget 2011 v1 (4)" xfId="0"/>
    <cellStyle name="_TableHead_Commentaires TBG mars_Copie de Flash du mois d' avril 2009 corrigé par NAIMI_Reporting Onatel Mai 2009 V 0_Reporting Onatel septembre  2009 préparé_Budget 2011 v1 (4) 2" xfId="0"/>
    <cellStyle name="_TableHead_Commentaires TBG mars_Copie de Flash du mois d' avril 2009 corrigé par NAIMI_Reporting Onatel septembre  2009 préparé" xfId="0"/>
    <cellStyle name="_TableHead_Commentaires TBG mars_Copie de Flash du mois d' avril 2009 corrigé par NAIMI_Reporting Onatel septembre  2009 préparé 2" xfId="0"/>
    <cellStyle name="_TableHead_Commentaires TBG mars_Copie de Flash du mois d' avril 2009 corrigé par NAIMI_Reporting Onatel septembre  2009 préparé_Budget 2011 v1 (4)" xfId="0"/>
    <cellStyle name="_TableHead_Commentaires TBG mars_Copie de Flash du mois d' avril 2009 corrigé par NAIMI_Reporting Onatel septembre  2009 préparé_Budget 2011 v1 (4) 2" xfId="0"/>
    <cellStyle name="_TableHead_Commentaires TBG mars_Flash du mois d' avril 2009" xfId="0"/>
    <cellStyle name="_TableHead_Commentaires TBG mars_Flash du mois d' avril 2009 2" xfId="0"/>
    <cellStyle name="_TableHead_Commentaires TBG mars_Flash du mois d' avril 2009_Budget 2011 v1 (4)" xfId="0"/>
    <cellStyle name="_TableHead_Commentaires TBG mars_Flash du mois d' avril 2009_Budget 2011 v1 (4) 2" xfId="0"/>
    <cellStyle name="_TableHead_Commentaires TBG mars_Flash du mois d' avril 2009_Budget Telmob 2011" xfId="0"/>
    <cellStyle name="_TableHead_Commentaires TBG mars_Flash du mois d' avril 2009_Budget Telmob 2011 2" xfId="0"/>
    <cellStyle name="_TableHead_Commentaires TBG mars_Flash du mois d' avril 2009_Flash du mois de mai 2009" xfId="0"/>
    <cellStyle name="_TableHead_Commentaires TBG mars_Flash du mois d' avril 2009_Flash du mois de mai 2009 2" xfId="0"/>
    <cellStyle name="_TableHead_Commentaires TBG mars_Flash du mois d' avril 2009_Flash du mois de mai 2009_Budget 2011 v1 (4)" xfId="0"/>
    <cellStyle name="_TableHead_Commentaires TBG mars_Flash du mois d' avril 2009_Flash du mois de mai 2009_Budget 2011 v1 (4) 2" xfId="0"/>
    <cellStyle name="_TableHead_Commentaires TBG mars_Flash du mois d' avril 2009_Flash du mois de mai 2009_Budget Telmob 2011" xfId="0"/>
    <cellStyle name="_TableHead_Commentaires TBG mars_Flash du mois d' avril 2009_Flash du mois de mai 2009_Budget Telmob 2011 2" xfId="0"/>
    <cellStyle name="_TableHead_Commentaires TBG mars_Flash du mois d' avril 2009_Reporting Onatel Mai 2009 V 0" xfId="0"/>
    <cellStyle name="_TableHead_Commentaires TBG mars_Flash du mois d' avril 2009_Reporting Onatel Mai 2009 V 0 2" xfId="0"/>
    <cellStyle name="_TableHead_Commentaires TBG mars_Flash du mois d' avril 2009_Reporting Onatel Mai 2009 V 0_Budget 2011 v1 (4)" xfId="0"/>
    <cellStyle name="_TableHead_Commentaires TBG mars_Flash du mois d' avril 2009_Reporting Onatel Mai 2009 V 0_Budget 2011 v1 (4) 2" xfId="0"/>
    <cellStyle name="_TableHead_Commentaires TBG mars_Flash du mois d' avril 2009_Reporting Onatel Mai 2009 V 0_Budget Telmob 2011" xfId="0"/>
    <cellStyle name="_TableHead_Commentaires TBG mars_Flash du mois d' avril 2009_Reporting Onatel Mai 2009 V 0_Budget Telmob 2011 2" xfId="0"/>
    <cellStyle name="_TableHead_Commentaires TBG mars_Flash du mois d' avril 2009_Reporting Onatel septembre  2009 préparé" xfId="0"/>
    <cellStyle name="_TableHead_Commentaires TBG mars_Flash du mois d' avril 2009_Reporting Onatel septembre  2009 préparé 2" xfId="0"/>
    <cellStyle name="_TableHead_Commentaires TBG mars_Flash du mois d' avril 2009_Reporting Onatel septembre  2009 préparé_Budget 2011 v1 (4)" xfId="0"/>
    <cellStyle name="_TableHead_Commentaires TBG mars_Flash du mois d' avril 2009_Reporting Onatel septembre  2009 préparé_Budget 2011 v1 (4) 2" xfId="0"/>
    <cellStyle name="_TableHead_Commentaires TBG mars_Flash du mois de mai 2009" xfId="0"/>
    <cellStyle name="_TableHead_Commentaires TBG mars_Flash du mois de mai 2009 2" xfId="0"/>
    <cellStyle name="_TableHead_Commentaires TBG mars_Flash du mois de mai 2009_Budget 2011 v1 (4)" xfId="0"/>
    <cellStyle name="_TableHead_Commentaires TBG mars_Flash du mois de mai 2009_Budget 2011 v1 (4) 2" xfId="0"/>
    <cellStyle name="_TableHead_Commentaires TBG mars_Flash du mois de mai 2009_Budget Telmob 2011" xfId="0"/>
    <cellStyle name="_TableHead_Commentaires TBG mars_Flash du mois de mai 2009_Budget Telmob 2011 2" xfId="0"/>
    <cellStyle name="_TableHead_Commentaires TBG mars_Reporting Onatel Mai 2009 V 0" xfId="0"/>
    <cellStyle name="_TableHead_Commentaires TBG mars_Reporting Onatel Mai 2009 V 0 2" xfId="0"/>
    <cellStyle name="_TableHead_Commentaires TBG mars_Reporting Onatel Mai 2009 V 0_Budget 2011 v1 (4)" xfId="0"/>
    <cellStyle name="_TableHead_Commentaires TBG mars_Reporting Onatel Mai 2009 V 0_Budget 2011 v1 (4) 2" xfId="0"/>
    <cellStyle name="_TableHead_Commentaires TBG mars_Reporting Onatel Mai 2009 V 0_Budget Telmob 2011" xfId="0"/>
    <cellStyle name="_TableHead_Commentaires TBG mars_Reporting Onatel Mai 2009 V 0_Budget Telmob 2011 2" xfId="0"/>
    <cellStyle name="_TableHead_Commentaires TBG mars_Reporting Onatel septembre  2009 préparé" xfId="0"/>
    <cellStyle name="_TableHead_Commentaires TBG mars_Reporting Onatel septembre  2009 préparé 2" xfId="0"/>
    <cellStyle name="_TableHead_Commentaires TBG mars_Reporting Onatel septembre  2009 préparé_Budget 2011 v1 (4)" xfId="0"/>
    <cellStyle name="_TableHead_Commentaires TBG mars_Reporting Onatel septembre  2009 préparé_Budget 2011 v1 (4) 2" xfId="0"/>
    <cellStyle name="_TableHead_Copie de Flash du mois d' avril 2009 corrigé par NAIMI" xfId="0"/>
    <cellStyle name="_TableHead_Copie de Flash du mois d' avril 2009 corrigé par NAIMI 2" xfId="0"/>
    <cellStyle name="_TableHead_Copie de Flash du mois d' avril 2009 corrigé par NAIMI_Budget 2011 v1 (4)" xfId="0"/>
    <cellStyle name="_TableHead_Copie de Flash du mois d' avril 2009 corrigé par NAIMI_Budget 2011 v1 (4) 2" xfId="0"/>
    <cellStyle name="_TableHead_Copie de Flash du mois d' avril 2009 corrigé par NAIMI_Budget Telmob 2011" xfId="0"/>
    <cellStyle name="_TableHead_Copie de Flash du mois d' avril 2009 corrigé par NAIMI_Budget Telmob 2011 2" xfId="0"/>
    <cellStyle name="_TableHead_Copie de Flash du mois d' avril 2009 corrigé par NAIMI_Flash du mois de mai 2009" xfId="0"/>
    <cellStyle name="_TableHead_Copie de Flash du mois d' avril 2009 corrigé par NAIMI_Flash du mois de mai 2009 2" xfId="0"/>
    <cellStyle name="_TableHead_Copie de Flash du mois d' avril 2009 corrigé par NAIMI_Flash du mois de mai 2009_Budget 2011 v1 (4)" xfId="0"/>
    <cellStyle name="_TableHead_Copie de Flash du mois d' avril 2009 corrigé par NAIMI_Flash du mois de mai 2009_Budget 2011 v1 (4) 2" xfId="0"/>
    <cellStyle name="_TableHead_Copie de Flash du mois d' avril 2009 corrigé par NAIMI_Flash du mois de mai 2009_Budget Telmob 2011" xfId="0"/>
    <cellStyle name="_TableHead_Copie de Flash du mois d' avril 2009 corrigé par NAIMI_Flash du mois de mai 2009_Budget Telmob 2011 2" xfId="0"/>
    <cellStyle name="_TableHead_Copie de Flash du mois d' avril 2009 corrigé par NAIMI_Reporting Onatel Mai 2009 V 0" xfId="0"/>
    <cellStyle name="_TableHead_Copie de Flash du mois d' avril 2009 corrigé par NAIMI_Reporting Onatel Mai 2009 V 0 2" xfId="0"/>
    <cellStyle name="_TableHead_Copie de Flash du mois d' avril 2009 corrigé par NAIMI_Reporting Onatel Mai 2009 V 0_Budget 2011 v1 (4)" xfId="0"/>
    <cellStyle name="_TableHead_Copie de Flash du mois d' avril 2009 corrigé par NAIMI_Reporting Onatel Mai 2009 V 0_Budget 2011 v1 (4) 2" xfId="0"/>
    <cellStyle name="_TableHead_Copie de Flash du mois d' avril 2009 corrigé par NAIMI_Reporting Onatel Mai 2009 V 0_Budget Telmob 2011" xfId="0"/>
    <cellStyle name="_TableHead_Copie de Flash du mois d' avril 2009 corrigé par NAIMI_Reporting Onatel Mai 2009 V 0_Budget Telmob 2011 2" xfId="0"/>
    <cellStyle name="_TableHead_Copie de Flash du mois d' avril 2009 corrigé par NAIMI_Reporting Onatel Mai 2009 V 0_Reporting Onatel septembre  2009 préparé" xfId="0"/>
    <cellStyle name="_TableHead_Copie de Flash du mois d' avril 2009 corrigé par NAIMI_Reporting Onatel Mai 2009 V 0_Reporting Onatel septembre  2009 préparé 2" xfId="0"/>
    <cellStyle name="_TableHead_Copie de Flash du mois d' avril 2009 corrigé par NAIMI_Reporting Onatel Mai 2009 V 0_Reporting Onatel septembre  2009 préparé_Budget 2011 v1 (4)" xfId="0"/>
    <cellStyle name="_TableHead_Copie de Flash du mois d' avril 2009 corrigé par NAIMI_Reporting Onatel Mai 2009 V 0_Reporting Onatel septembre  2009 préparé_Budget 2011 v1 (4) 2" xfId="0"/>
    <cellStyle name="_TableHead_Copie de Flash du mois d' avril 2009 corrigé par NAIMI_Reporting Onatel septembre  2009 préparé" xfId="0"/>
    <cellStyle name="_TableHead_Copie de Flash du mois d' avril 2009 corrigé par NAIMI_Reporting Onatel septembre  2009 préparé 2" xfId="0"/>
    <cellStyle name="_TableHead_Copie de Flash du mois d' avril 2009 corrigé par NAIMI_Reporting Onatel septembre  2009 préparé_Budget 2011 v1 (4)" xfId="0"/>
    <cellStyle name="_TableHead_Copie de Flash du mois d' avril 2009 corrigé par NAIMI_Reporting Onatel septembre  2009 préparé_Budget 2011 v1 (4) 2" xfId="0"/>
    <cellStyle name="_TableHead_Flash du mois d' avril 2009" xfId="0"/>
    <cellStyle name="_TableHead_Flash du mois d' avril 2009 2" xfId="0"/>
    <cellStyle name="_TableHead_Flash du mois d' avril 2009_Budget 2011 v1 (4)" xfId="0"/>
    <cellStyle name="_TableHead_Flash du mois d' avril 2009_Budget 2011 v1 (4) 2" xfId="0"/>
    <cellStyle name="_TableHead_Flash du mois d' avril 2009_Budget Telmob 2011" xfId="0"/>
    <cellStyle name="_TableHead_Flash du mois d' avril 2009_Budget Telmob 2011 2" xfId="0"/>
    <cellStyle name="_TableHead_Flash du mois d' avril 2009_Flash du mois de mai 2009" xfId="0"/>
    <cellStyle name="_TableHead_Flash du mois d' avril 2009_Flash du mois de mai 2009 2" xfId="0"/>
    <cellStyle name="_TableHead_Flash du mois d' avril 2009_Flash du mois de mai 2009_Budget 2011 v1 (4)" xfId="0"/>
    <cellStyle name="_TableHead_Flash du mois d' avril 2009_Flash du mois de mai 2009_Budget 2011 v1 (4) 2" xfId="0"/>
    <cellStyle name="_TableHead_Flash du mois d' avril 2009_Flash du mois de mai 2009_Budget Telmob 2011" xfId="0"/>
    <cellStyle name="_TableHead_Flash du mois d' avril 2009_Flash du mois de mai 2009_Budget Telmob 2011 2" xfId="0"/>
    <cellStyle name="_TableHead_Flash du mois d' avril 2009_Reporting Onatel Mai 2009 V 0" xfId="0"/>
    <cellStyle name="_TableHead_Flash du mois d' avril 2009_Reporting Onatel Mai 2009 V 0 2" xfId="0"/>
    <cellStyle name="_TableHead_Flash du mois d' avril 2009_Reporting Onatel Mai 2009 V 0_Budget 2011 v1 (4)" xfId="0"/>
    <cellStyle name="_TableHead_Flash du mois d' avril 2009_Reporting Onatel Mai 2009 V 0_Budget 2011 v1 (4) 2" xfId="0"/>
    <cellStyle name="_TableHead_Flash du mois d' avril 2009_Reporting Onatel Mai 2009 V 0_Budget Telmob 2011" xfId="0"/>
    <cellStyle name="_TableHead_Flash du mois d' avril 2009_Reporting Onatel Mai 2009 V 0_Budget Telmob 2011 2" xfId="0"/>
    <cellStyle name="_TableHead_Flash du mois d' avril 2009_Reporting Onatel septembre  2009 préparé" xfId="0"/>
    <cellStyle name="_TableHead_Flash du mois d' avril 2009_Reporting Onatel septembre  2009 préparé 2" xfId="0"/>
    <cellStyle name="_TableHead_Flash du mois d' avril 2009_Reporting Onatel septembre  2009 préparé_Budget 2011 v1 (4)" xfId="0"/>
    <cellStyle name="_TableHead_Flash du mois d' avril 2009_Reporting Onatel septembre  2009 préparé_Budget 2011 v1 (4) 2" xfId="0"/>
    <cellStyle name="_TableHead_Flash du mois de mai 2009" xfId="0"/>
    <cellStyle name="_TableHead_Flash du mois de mai 2009 2" xfId="0"/>
    <cellStyle name="_TableHead_Flash du mois de mai 2009_Budget 2011 v1 (4)" xfId="0"/>
    <cellStyle name="_TableHead_Flash du mois de mai 2009_Budget 2011 v1 (4) 2" xfId="0"/>
    <cellStyle name="_TableHead_Flash du mois de mai 2009_Budget Telmob 2011" xfId="0"/>
    <cellStyle name="_TableHead_Flash du mois de mai 2009_Budget Telmob 2011 2" xfId="0"/>
    <cellStyle name="_TableHead_P &amp; L Conso" xfId="0"/>
    <cellStyle name="_TableHead_P &amp; L Conso 2" xfId="0"/>
    <cellStyle name="_TableHead_P &amp; L Conso_Budget 2011 v1 (4)" xfId="0"/>
    <cellStyle name="_TableHead_P &amp; L Conso_Budget 2011 v1 (4) 2" xfId="0"/>
    <cellStyle name="_TableHead_P &amp; L Conso_Budget Telmob 2011" xfId="0"/>
    <cellStyle name="_TableHead_P &amp; L Conso_Budget Telmob 2011 2" xfId="0"/>
    <cellStyle name="_TableHead_P &amp; L Conso_COMMENTAIRES JUILLET 2009" xfId="0"/>
    <cellStyle name="_TableHead_P &amp; L Conso_COMMENTAIRES JUILLET 2009 2" xfId="0"/>
    <cellStyle name="_TableHead_P &amp; L Conso_COMMENTAIRES JUILLET 2009_Budget 2011 v1 (4)" xfId="0"/>
    <cellStyle name="_TableHead_P &amp; L Conso_COMMENTAIRES JUILLET 2009_Budget 2011 v1 (4) 2" xfId="0"/>
    <cellStyle name="_TableHead_P &amp; L Conso_COMMENTAIRES JUILLET 2009_Budget Telmob 2011" xfId="0"/>
    <cellStyle name="_TableHead_P &amp; L Conso_COMMENTAIRES JUILLET 2009_Budget Telmob 2011 2" xfId="0"/>
    <cellStyle name="_TableHead_P&amp;L S1 2008" xfId="0"/>
    <cellStyle name="_TableHead_P&amp;L S1 2008 2" xfId="0"/>
    <cellStyle name="_TableHead_P&amp;L S1 2008_Budget 2011 v1 (4)" xfId="0"/>
    <cellStyle name="_TableHead_P&amp;L S1 2008_Budget 2011 v1 (4) 2" xfId="0"/>
    <cellStyle name="_TableHead_P&amp;L S1 2008_Budget Telmob 2011" xfId="0"/>
    <cellStyle name="_TableHead_P&amp;L S1 2008_Budget Telmob 2011 2" xfId="0"/>
    <cellStyle name="_TableHead_Reporting Onatel Avril 2009 V0" xfId="0"/>
    <cellStyle name="_TableHead_Reporting Onatel Avril 2009 V0 2" xfId="0"/>
    <cellStyle name="_TableHead_Reporting Onatel Avril 2009 V0_Budget 2011 v1 (4)" xfId="0"/>
    <cellStyle name="_TableHead_Reporting Onatel Avril 2009 V0_Budget 2011 v1 (4) 2" xfId="0"/>
    <cellStyle name="_TableHead_Reporting Onatel Avril 2009 V0_Budget Telmob 2011" xfId="0"/>
    <cellStyle name="_TableHead_Reporting Onatel Avril 2009 V0_Budget Telmob 2011 2" xfId="0"/>
    <cellStyle name="_TableHead_Reporting Onatel Avril 2009 V0_Copie de Flash du mois d' avril 2009 corrigé par NAIMI" xfId="0"/>
    <cellStyle name="_TableHead_Reporting Onatel Avril 2009 V0_Copie de Flash du mois d' avril 2009 corrigé par NAIMI 2" xfId="0"/>
    <cellStyle name="_TableHead_Reporting Onatel Avril 2009 V0_Copie de Flash du mois d' avril 2009 corrigé par NAIMI_Budget 2011 v1 (4)" xfId="0"/>
    <cellStyle name="_TableHead_Reporting Onatel Avril 2009 V0_Copie de Flash du mois d' avril 2009 corrigé par NAIMI_Budget 2011 v1 (4) 2" xfId="0"/>
    <cellStyle name="_TableHead_Reporting Onatel Avril 2009 V0_Copie de Flash du mois d' avril 2009 corrigé par NAIMI_Budget Telmob 2011" xfId="0"/>
    <cellStyle name="_TableHead_Reporting Onatel Avril 2009 V0_Copie de Flash du mois d' avril 2009 corrigé par NAIMI_Budget Telmob 2011 2" xfId="0"/>
    <cellStyle name="_TableHead_Reporting Onatel Avril 2009 V0_Copie de Flash du mois d' avril 2009 corrigé par NAIMI_Flash du mois de mai 2009" xfId="0"/>
    <cellStyle name="_TableHead_Reporting Onatel Avril 2009 V0_Copie de Flash du mois d' avril 2009 corrigé par NAIMI_Flash du mois de mai 2009 2" xfId="0"/>
    <cellStyle name="_TableHead_Reporting Onatel Avril 2009 V0_Copie de Flash du mois d' avril 2009 corrigé par NAIMI_Flash du mois de mai 2009_Budget 2011 v1 (4)" xfId="0"/>
    <cellStyle name="_TableHead_Reporting Onatel Avril 2009 V0_Copie de Flash du mois d' avril 2009 corrigé par NAIMI_Flash du mois de mai 2009_Budget 2011 v1 (4) 2" xfId="0"/>
    <cellStyle name="_TableHead_Reporting Onatel Avril 2009 V0_Copie de Flash du mois d' avril 2009 corrigé par NAIMI_Flash du mois de mai 2009_Budget Telmob 2011" xfId="0"/>
    <cellStyle name="_TableHead_Reporting Onatel Avril 2009 V0_Copie de Flash du mois d' avril 2009 corrigé par NAIMI_Flash du mois de mai 2009_Budget Telmob 2011 2" xfId="0"/>
    <cellStyle name="_TableHead_Reporting Onatel Avril 2009 V0_Copie de Flash du mois d' avril 2009 corrigé par NAIMI_Reporting Onatel Mai 2009 V 0" xfId="0"/>
    <cellStyle name="_TableHead_Reporting Onatel Avril 2009 V0_Copie de Flash du mois d' avril 2009 corrigé par NAIMI_Reporting Onatel Mai 2009 V 0 2" xfId="0"/>
    <cellStyle name="_TableHead_Reporting Onatel Avril 2009 V0_Copie de Flash du mois d' avril 2009 corrigé par NAIMI_Reporting Onatel Mai 2009 V 0_Budget 2011 v1 (4)" xfId="0"/>
    <cellStyle name="_TableHead_Reporting Onatel Avril 2009 V0_Copie de Flash du mois d' avril 2009 corrigé par NAIMI_Reporting Onatel Mai 2009 V 0_Budget 2011 v1 (4) 2" xfId="0"/>
    <cellStyle name="_TableHead_Reporting Onatel Avril 2009 V0_Copie de Flash du mois d' avril 2009 corrigé par NAIMI_Reporting Onatel Mai 2009 V 0_Budget Telmob 2011" xfId="0"/>
    <cellStyle name="_TableHead_Reporting Onatel Avril 2009 V0_Copie de Flash du mois d' avril 2009 corrigé par NAIMI_Reporting Onatel Mai 2009 V 0_Budget Telmob 2011 2" xfId="0"/>
    <cellStyle name="_TableHead_Reporting Onatel Avril 2009 V0_Copie de Flash du mois d' avril 2009 corrigé par NAIMI_Reporting Onatel Mai 2009 V 0_Reporting Onatel septembre  2009 préparé" xfId="0"/>
    <cellStyle name="_TableHead_Reporting Onatel Avril 2009 V0_Copie de Flash du mois d' avril 2009 corrigé par NAIMI_Reporting Onatel Mai 2009 V 0_Reporting Onatel septembre  2009 préparé 2" xfId="0"/>
    <cellStyle name="_TableHead_Reporting Onatel Avril 2009 V0_Copie de Flash du mois d' avril 2009 corrigé par NAIMI_Reporting Onatel Mai 2009 V 0_Reporting Onatel septembre  2009 préparé_Budget 2011 v1 (4)" xfId="0"/>
    <cellStyle name="_TableHead_Reporting Onatel Avril 2009 V0_Copie de Flash du mois d' avril 2009 corrigé par NAIMI_Reporting Onatel Mai 2009 V 0_Reporting Onatel septembre  2009 préparé_Budget 2011 v1 (4) 2" xfId="0"/>
    <cellStyle name="_TableHead_Reporting Onatel Avril 2009 V0_Copie de Flash du mois d' avril 2009 corrigé par NAIMI_Reporting Onatel septembre  2009 préparé" xfId="0"/>
    <cellStyle name="_TableHead_Reporting Onatel Avril 2009 V0_Copie de Flash du mois d' avril 2009 corrigé par NAIMI_Reporting Onatel septembre  2009 préparé 2" xfId="0"/>
    <cellStyle name="_TableHead_Reporting Onatel Avril 2009 V0_Copie de Flash du mois d' avril 2009 corrigé par NAIMI_Reporting Onatel septembre  2009 préparé_Budget 2011 v1 (4)" xfId="0"/>
    <cellStyle name="_TableHead_Reporting Onatel Avril 2009 V0_Copie de Flash du mois d' avril 2009 corrigé par NAIMI_Reporting Onatel septembre  2009 préparé_Budget 2011 v1 (4) 2" xfId="0"/>
    <cellStyle name="_TableHead_Reporting Onatel Avril 2009 V0_Flash du mois de mai 2009" xfId="0"/>
    <cellStyle name="_TableHead_Reporting Onatel Avril 2009 V0_Flash du mois de mai 2009 2" xfId="0"/>
    <cellStyle name="_TableHead_Reporting Onatel Avril 2009 V0_Flash du mois de mai 2009_Budget 2011 v1 (4)" xfId="0"/>
    <cellStyle name="_TableHead_Reporting Onatel Avril 2009 V0_Flash du mois de mai 2009_Budget 2011 v1 (4) 2" xfId="0"/>
    <cellStyle name="_TableHead_Reporting Onatel Avril 2009 V0_Flash du mois de mai 2009_Budget Telmob 2011" xfId="0"/>
    <cellStyle name="_TableHead_Reporting Onatel Avril 2009 V0_Flash du mois de mai 2009_Budget Telmob 2011 2" xfId="0"/>
    <cellStyle name="_TableHead_Reporting Onatel Avril 2009 V0_Reporting Onatel Mai 2009 V 0" xfId="0"/>
    <cellStyle name="_TableHead_Reporting Onatel Avril 2009 V0_Reporting Onatel Mai 2009 V 0 2" xfId="0"/>
    <cellStyle name="_TableHead_Reporting Onatel Avril 2009 V0_Reporting Onatel Mai 2009 V 0_Budget 2011 v1 (4)" xfId="0"/>
    <cellStyle name="_TableHead_Reporting Onatel Avril 2009 V0_Reporting Onatel Mai 2009 V 0_Budget 2011 v1 (4) 2" xfId="0"/>
    <cellStyle name="_TableHead_Reporting Onatel Avril 2009 V0_Reporting Onatel Mai 2009 V 0_Budget Telmob 2011" xfId="0"/>
    <cellStyle name="_TableHead_Reporting Onatel Avril 2009 V0_Reporting Onatel Mai 2009 V 0_Budget Telmob 2011 2" xfId="0"/>
    <cellStyle name="_TableHead_Reporting Onatel Avril 2009 V0_Reporting Onatel septembre  2009 préparé" xfId="0"/>
    <cellStyle name="_TableHead_Reporting Onatel Avril 2009 V0_Reporting Onatel septembre  2009 préparé 2" xfId="0"/>
    <cellStyle name="_TableHead_Reporting Onatel Avril 2009 V0_Reporting Onatel septembre  2009 préparé_Budget 2011 v1 (4)" xfId="0"/>
    <cellStyle name="_TableHead_Reporting Onatel Avril 2009 V0_Reporting Onatel septembre  2009 préparé_Budget 2011 v1 (4) 2" xfId="0"/>
    <cellStyle name="_TableHead_Reporting Onatel Mai 2009 V 0" xfId="0"/>
    <cellStyle name="_TableHead_Reporting Onatel Mai 2009 V 0 2" xfId="0"/>
    <cellStyle name="_TableHead_Reporting Onatel Mai 2009 V 0 A ENVOYE" xfId="0"/>
    <cellStyle name="_TableHead_Reporting Onatel Mai 2009 V 0 A ENVOYE 2" xfId="0"/>
    <cellStyle name="_TableHead_Reporting Onatel Mai 2009 V 0 A ENVOYE_Budget 2011 v1 (4)" xfId="0"/>
    <cellStyle name="_TableHead_Reporting Onatel Mai 2009 V 0 A ENVOYE_Budget 2011 v1 (4) 2" xfId="0"/>
    <cellStyle name="_TableHead_Reporting Onatel Mai 2009 V 0 A ENVOYE_Budget Telmob 2011" xfId="0"/>
    <cellStyle name="_TableHead_Reporting Onatel Mai 2009 V 0 A ENVOYE_Budget Telmob 2011 2" xfId="0"/>
    <cellStyle name="_TableHead_Reporting Onatel Mai 2009 V 0 A ENVOYE_Reporting Onatel septembre  2009 préparé" xfId="0"/>
    <cellStyle name="_TableHead_Reporting Onatel Mai 2009 V 0 A ENVOYE_Reporting Onatel septembre  2009 préparé 2" xfId="0"/>
    <cellStyle name="_TableHead_Reporting Onatel Mai 2009 V 0 A ENVOYE_Reporting Onatel septembre  2009 préparé_Budget 2011 v1 (4)" xfId="0"/>
    <cellStyle name="_TableHead_Reporting Onatel Mai 2009 V 0 A ENVOYE_Reporting Onatel septembre  2009 préparé_Budget 2011 v1 (4) 2" xfId="0"/>
    <cellStyle name="_TableHead_Reporting Onatel Mai 2009 V 0_Budget 2011 v1 (4)" xfId="0"/>
    <cellStyle name="_TableHead_Reporting Onatel Mai 2009 V 0_Budget 2011 v1 (4) 2" xfId="0"/>
    <cellStyle name="_TableHead_Reporting Onatel Mai 2009 V 0_Budget Telmob 2011" xfId="0"/>
    <cellStyle name="_TableHead_Reporting Onatel Mai 2009 V 0_Budget Telmob 2011 2" xfId="0"/>
    <cellStyle name="_TableHead_Reporting Onatel septembre  2009 préparé" xfId="0"/>
    <cellStyle name="_TableHead_Reporting Onatel septembre  2009 préparé 2" xfId="0"/>
    <cellStyle name="_TableHead_Reporting Onatel septembre  2009 préparé_Budget 2011 v1 (4)" xfId="0"/>
    <cellStyle name="_TableHead_Reporting Onatel septembre  2009 préparé_Budget 2011 v1 (4) 2" xfId="0"/>
    <cellStyle name="_TableHead_Rev Fixe-Internet" xfId="0"/>
    <cellStyle name="_TableHead_Rev Fixe-Internet 2" xfId="0"/>
    <cellStyle name="_TableHead_Rev Fixe-Internet_Budget 2011 v1 (4)" xfId="0"/>
    <cellStyle name="_TableHead_Rev Fixe-Internet_Budget 2011 v1 (4) 2" xfId="0"/>
    <cellStyle name="_TableHead_Rev Fixe-Internet_Budget Telmob 2011" xfId="0"/>
    <cellStyle name="_TableHead_Rev Fixe-Internet_Budget Telmob 2011 2" xfId="0"/>
    <cellStyle name="_TableHead_Rev Fixe-Internet_COMMENTAIRES JUILLET 2009" xfId="0"/>
    <cellStyle name="_TableHead_Rev Fixe-Internet_COMMENTAIRES JUILLET 2009 2" xfId="0"/>
    <cellStyle name="_TableHead_Rev Fixe-Internet_COMMENTAIRES JUILLET 2009_Budget 2011 v1 (4)" xfId="0"/>
    <cellStyle name="_TableHead_Rev Fixe-Internet_COMMENTAIRES JUILLET 2009_Budget 2011 v1 (4) 2" xfId="0"/>
    <cellStyle name="_TableHead_Rev Fixe-Internet_COMMENTAIRES JUILLET 2009_Budget Telmob 2011" xfId="0"/>
    <cellStyle name="_TableHead_Rev Fixe-Internet_COMMENTAIRES JUILLET 2009_Budget Telmob 2011 2" xfId="0"/>
    <cellStyle name="_TableHead_TBG Onatel Février  2009  Vtbg V3" xfId="0"/>
    <cellStyle name="_TableHead_TBG Onatel Février  2009  Vtbg V3 2" xfId="0"/>
    <cellStyle name="_TableHead_TBG Onatel Février  2009  Vtbg V3_Budget 2011 v1 (4)" xfId="0"/>
    <cellStyle name="_TableHead_TBG Onatel Février  2009  Vtbg V3_Budget 2011 v1 (4) 2" xfId="0"/>
    <cellStyle name="_TableHead_TBG Onatel Février  2009  Vtbg V3_Budget Telmob 2011" xfId="0"/>
    <cellStyle name="_TableHead_TBG Onatel Février  2009  Vtbg V3_Budget Telmob 2011 2" xfId="0"/>
    <cellStyle name="_TableHead_TBG Onatel Février  2009  Vtbg V3_Commentaires TBG mars" xfId="0"/>
    <cellStyle name="_TableHead_TBG Onatel Février  2009  Vtbg V3_Commentaires TBG mars 2" xfId="0"/>
    <cellStyle name="_TableHead_TBG Onatel Février  2009  Vtbg V3_Commentaires TBG mars_Budget 2011 v1 (4)" xfId="0"/>
    <cellStyle name="_TableHead_TBG Onatel Février  2009  Vtbg V3_Commentaires TBG mars_Budget 2011 v1 (4) 2" xfId="0"/>
    <cellStyle name="_TableHead_TBG Onatel Février  2009  Vtbg V3_Commentaires TBG mars_Budget Telmob 2011" xfId="0"/>
    <cellStyle name="_TableHead_TBG Onatel Février  2009  Vtbg V3_Commentaires TBG mars_Budget Telmob 2011 2" xfId="0"/>
    <cellStyle name="_TableHead_TBG Onatel Février  2009  Vtbg V3_Commentaires TBG mars_Copie de Flash du mois d' avril 2009 corrigé par NAIMI" xfId="0"/>
    <cellStyle name="_TableHead_TBG Onatel Février  2009  Vtbg V3_Commentaires TBG mars_Copie de Flash du mois d' avril 2009 corrigé par NAIMI 2" xfId="0"/>
    <cellStyle name="_TableHead_TBG Onatel Février  2009  Vtbg V3_Commentaires TBG mars_Copie de Flash du mois d' avril 2009 corrigé par NAIMI_Budget 2011 v1 (4)" xfId="0"/>
    <cellStyle name="_TableHead_TBG Onatel Février  2009  Vtbg V3_Commentaires TBG mars_Copie de Flash du mois d' avril 2009 corrigé par NAIMI_Budget 2011 v1 (4) 2" xfId="0"/>
    <cellStyle name="_TableHead_TBG Onatel Février  2009  Vtbg V3_Commentaires TBG mars_Copie de Flash du mois d' avril 2009 corrigé par NAIMI_Budget Telmob 2011" xfId="0"/>
    <cellStyle name="_TableHead_TBG Onatel Février  2009  Vtbg V3_Commentaires TBG mars_Copie de Flash du mois d' avril 2009 corrigé par NAIMI_Budget Telmob 2011 2" xfId="0"/>
    <cellStyle name="_TableHead_TBG Onatel Février  2009  Vtbg V3_Commentaires TBG mars_Copie de Flash du mois d' avril 2009 corrigé par NAIMI_Flash du mois de mai 2009" xfId="0"/>
    <cellStyle name="_TableHead_TBG Onatel Février  2009  Vtbg V3_Commentaires TBG mars_Copie de Flash du mois d' avril 2009 corrigé par NAIMI_Flash du mois de mai 2009 2" xfId="0"/>
    <cellStyle name="_TableHead_TBG Onatel Février  2009  Vtbg V3_Commentaires TBG mars_Copie de Flash du mois d' avril 2009 corrigé par NAIMI_Flash du mois de mai 2009_Budget 2011 v1 (4)" xfId="0"/>
    <cellStyle name="_TableHead_TBG Onatel Février  2009  Vtbg V3_Commentaires TBG mars_Copie de Flash du mois d' avril 2009 corrigé par NAIMI_Flash du mois de mai 2009_Budget 2011 v1 (4) 2" xfId="0"/>
    <cellStyle name="_TableHead_TBG Onatel Février  2009  Vtbg V3_Commentaires TBG mars_Copie de Flash du mois d' avril 2009 corrigé par NAIMI_Flash du mois de mai 2009_Budget Telmob 2011" xfId="0"/>
    <cellStyle name="_TableHead_TBG Onatel Février  2009  Vtbg V3_Commentaires TBG mars_Copie de Flash du mois d' avril 2009 corrigé par NAIMI_Flash du mois de mai 2009_Budget Telmob 2011 2" xfId="0"/>
    <cellStyle name="_TableHead_TBG Onatel Février  2009  Vtbg V3_Commentaires TBG mars_Copie de Flash du mois d' avril 2009 corrigé par NAIMI_Reporting Onatel Mai 2009 V 0" xfId="0"/>
    <cellStyle name="_TableHead_TBG Onatel Février  2009  Vtbg V3_Commentaires TBG mars_Copie de Flash du mois d' avril 2009 corrigé par NAIMI_Reporting Onatel Mai 2009 V 0 2" xfId="0"/>
    <cellStyle name="_TableHead_TBG Onatel Février  2009  Vtbg V3_Commentaires TBG mars_Copie de Flash du mois d' avril 2009 corrigé par NAIMI_Reporting Onatel Mai 2009 V 0_Budget 2011 v1 (4)" xfId="0"/>
    <cellStyle name="_TableHead_TBG Onatel Février  2009  Vtbg V3_Commentaires TBG mars_Copie de Flash du mois d' avril 2009 corrigé par NAIMI_Reporting Onatel Mai 2009 V 0_Budget 2011 v1 (4) 2" xfId="0"/>
    <cellStyle name="_TableHead_TBG Onatel Février  2009  Vtbg V3_Commentaires TBG mars_Copie de Flash du mois d' avril 2009 corrigé par NAIMI_Reporting Onatel Mai 2009 V 0_Budget Telmob 2011" xfId="0"/>
    <cellStyle name="_TableHead_TBG Onatel Février  2009  Vtbg V3_Commentaires TBG mars_Copie de Flash du mois d' avril 2009 corrigé par NAIMI_Reporting Onatel Mai 2009 V 0_Budget Telmob 2011 2" xfId="0"/>
    <cellStyle name="_TableHead_TBG Onatel Février  2009  Vtbg V3_Commentaires TBG mars_Copie de Flash du mois d' avril 2009 corrigé par NAIMI_Reporting Onatel Mai 2009 V 0_Reporting Onatel septembre  2009 préparé" xfId="0"/>
    <cellStyle name="_TableHead_TBG Onatel Février  2009  Vtbg V3_Commentaires TBG mars_Copie de Flash du mois d' avril 2009 corrigé par NAIMI_Reporting Onatel Mai 2009 V 0_Reporting Onatel septembre  2009 préparé 2" xfId="0"/>
    <cellStyle name="_TableHead_TBG Onatel Février  2009  Vtbg V3_Commentaires TBG mars_Copie de Flash du mois d' avril 2009 corrigé par NAIMI_Reporting Onatel Mai 2009 V 0_Reporting Onatel septembre  2009 préparé_Budget 2011 v1 (4)" xfId="0"/>
    <cellStyle name="_TableHead_TBG Onatel Février  2009  Vtbg V3_Commentaires TBG mars_Copie de Flash du mois d' avril 2009 corrigé par NAIMI_Reporting Onatel Mai 2009 V 0_Reporting Onatel septembre  2009 préparé_Budget 2011 v1 (4) 2" xfId="0"/>
    <cellStyle name="_TableHead_TBG Onatel Février  2009  Vtbg V3_Commentaires TBG mars_Copie de Flash du mois d' avril 2009 corrigé par NAIMI_Reporting Onatel septembre  2009 préparé" xfId="0"/>
    <cellStyle name="_TableHead_TBG Onatel Février  2009  Vtbg V3_Commentaires TBG mars_Copie de Flash du mois d' avril 2009 corrigé par NAIMI_Reporting Onatel septembre  2009 préparé 2" xfId="0"/>
    <cellStyle name="_TableHead_TBG Onatel Février  2009  Vtbg V3_Commentaires TBG mars_Copie de Flash du mois d' avril 2009 corrigé par NAIMI_Reporting Onatel septembre  2009 préparé_Budget 2011 v1 (4)" xfId="0"/>
    <cellStyle name="_TableHead_TBG Onatel Février  2009  Vtbg V3_Commentaires TBG mars_Copie de Flash du mois d' avril 2009 corrigé par NAIMI_Reporting Onatel septembre  2009 préparé_Budget 2011 v1 (4) 2" xfId="0"/>
    <cellStyle name="_TableHead_TBG Onatel Février  2009  Vtbg V3_Commentaires TBG mars_Flash du mois d' avril 2009" xfId="0"/>
    <cellStyle name="_TableHead_TBG Onatel Février  2009  Vtbg V3_Commentaires TBG mars_Flash du mois d' avril 2009 2" xfId="0"/>
    <cellStyle name="_TableHead_TBG Onatel Février  2009  Vtbg V3_Commentaires TBG mars_Flash du mois d' avril 2009_Budget 2011 v1 (4)" xfId="0"/>
    <cellStyle name="_TableHead_TBG Onatel Février  2009  Vtbg V3_Commentaires TBG mars_Flash du mois d' avril 2009_Budget 2011 v1 (4) 2" xfId="0"/>
    <cellStyle name="_TableHead_TBG Onatel Février  2009  Vtbg V3_Commentaires TBG mars_Flash du mois d' avril 2009_Budget Telmob 2011" xfId="0"/>
    <cellStyle name="_TableHead_TBG Onatel Février  2009  Vtbg V3_Commentaires TBG mars_Flash du mois d' avril 2009_Budget Telmob 2011 2" xfId="0"/>
    <cellStyle name="_TableHead_TBG Onatel Février  2009  Vtbg V3_Commentaires TBG mars_Flash du mois d' avril 2009_Flash du mois de mai 2009" xfId="0"/>
    <cellStyle name="_TableHead_TBG Onatel Février  2009  Vtbg V3_Commentaires TBG mars_Flash du mois d' avril 2009_Flash du mois de mai 2009 2" xfId="0"/>
    <cellStyle name="_TableHead_TBG Onatel Février  2009  Vtbg V3_Commentaires TBG mars_Flash du mois d' avril 2009_Flash du mois de mai 2009_Budget 2011 v1 (4)" xfId="0"/>
    <cellStyle name="_TableHead_TBG Onatel Février  2009  Vtbg V3_Commentaires TBG mars_Flash du mois d' avril 2009_Flash du mois de mai 2009_Budget 2011 v1 (4) 2" xfId="0"/>
    <cellStyle name="_TableHead_TBG Onatel Février  2009  Vtbg V3_Commentaires TBG mars_Flash du mois d' avril 2009_Flash du mois de mai 2009_Budget Telmob 2011" xfId="0"/>
    <cellStyle name="_TableHead_TBG Onatel Février  2009  Vtbg V3_Commentaires TBG mars_Flash du mois d' avril 2009_Flash du mois de mai 2009_Budget Telmob 2011 2" xfId="0"/>
    <cellStyle name="_TableHead_TBG Onatel Février  2009  Vtbg V3_Commentaires TBG mars_Flash du mois d' avril 2009_Reporting Onatel Mai 2009 V 0" xfId="0"/>
    <cellStyle name="_TableHead_TBG Onatel Février  2009  Vtbg V3_Commentaires TBG mars_Flash du mois d' avril 2009_Reporting Onatel Mai 2009 V 0 2" xfId="0"/>
    <cellStyle name="_TableHead_TBG Onatel Février  2009  Vtbg V3_Commentaires TBG mars_Flash du mois d' avril 2009_Reporting Onatel Mai 2009 V 0_Budget 2011 v1 (4)" xfId="0"/>
    <cellStyle name="_TableHead_TBG Onatel Février  2009  Vtbg V3_Commentaires TBG mars_Flash du mois d' avril 2009_Reporting Onatel Mai 2009 V 0_Budget 2011 v1 (4) 2" xfId="0"/>
    <cellStyle name="_TableHead_TBG Onatel Février  2009  Vtbg V3_Commentaires TBG mars_Flash du mois d' avril 2009_Reporting Onatel Mai 2009 V 0_Budget Telmob 2011" xfId="0"/>
    <cellStyle name="_TableHead_TBG Onatel Février  2009  Vtbg V3_Commentaires TBG mars_Flash du mois d' avril 2009_Reporting Onatel Mai 2009 V 0_Budget Telmob 2011 2" xfId="0"/>
    <cellStyle name="_TableHead_TBG Onatel Février  2009  Vtbg V3_Commentaires TBG mars_Flash du mois d' avril 2009_Reporting Onatel septembre  2009 préparé" xfId="0"/>
    <cellStyle name="_TableHead_TBG Onatel Février  2009  Vtbg V3_Commentaires TBG mars_Flash du mois d' avril 2009_Reporting Onatel septembre  2009 préparé 2" xfId="0"/>
    <cellStyle name="_TableHead_TBG Onatel Février  2009  Vtbg V3_Commentaires TBG mars_Flash du mois d' avril 2009_Reporting Onatel septembre  2009 préparé_Budget 2011 v1 (4)" xfId="0"/>
    <cellStyle name="_TableHead_TBG Onatel Février  2009  Vtbg V3_Commentaires TBG mars_Flash du mois d' avril 2009_Reporting Onatel septembre  2009 préparé_Budget 2011 v1 (4) 2" xfId="0"/>
    <cellStyle name="_TableHead_TBG Onatel Février  2009  Vtbg V3_Commentaires TBG mars_Flash du mois de mai 2009" xfId="0"/>
    <cellStyle name="_TableHead_TBG Onatel Février  2009  Vtbg V3_Commentaires TBG mars_Flash du mois de mai 2009 2" xfId="0"/>
    <cellStyle name="_TableHead_TBG Onatel Février  2009  Vtbg V3_Commentaires TBG mars_Flash du mois de mai 2009_Budget 2011 v1 (4)" xfId="0"/>
    <cellStyle name="_TableHead_TBG Onatel Février  2009  Vtbg V3_Commentaires TBG mars_Flash du mois de mai 2009_Budget 2011 v1 (4) 2" xfId="0"/>
    <cellStyle name="_TableHead_TBG Onatel Février  2009  Vtbg V3_Commentaires TBG mars_Flash du mois de mai 2009_Budget Telmob 2011" xfId="0"/>
    <cellStyle name="_TableHead_TBG Onatel Février  2009  Vtbg V3_Commentaires TBG mars_Flash du mois de mai 2009_Budget Telmob 2011 2" xfId="0"/>
    <cellStyle name="_TableHead_TBG Onatel Février  2009  Vtbg V3_Commentaires TBG mars_Reporting Onatel Mai 2009 V 0" xfId="0"/>
    <cellStyle name="_TableHead_TBG Onatel Février  2009  Vtbg V3_Commentaires TBG mars_Reporting Onatel Mai 2009 V 0 2" xfId="0"/>
    <cellStyle name="_TableHead_TBG Onatel Février  2009  Vtbg V3_Commentaires TBG mars_Reporting Onatel Mai 2009 V 0_Budget 2011 v1 (4)" xfId="0"/>
    <cellStyle name="_TableHead_TBG Onatel Février  2009  Vtbg V3_Commentaires TBG mars_Reporting Onatel Mai 2009 V 0_Budget 2011 v1 (4) 2" xfId="0"/>
    <cellStyle name="_TableHead_TBG Onatel Février  2009  Vtbg V3_Commentaires TBG mars_Reporting Onatel Mai 2009 V 0_Budget Telmob 2011" xfId="0"/>
    <cellStyle name="_TableHead_TBG Onatel Février  2009  Vtbg V3_Commentaires TBG mars_Reporting Onatel Mai 2009 V 0_Budget Telmob 2011 2" xfId="0"/>
    <cellStyle name="_TableHead_TBG Onatel Février  2009  Vtbg V3_Commentaires TBG mars_Reporting Onatel septembre  2009 préparé" xfId="0"/>
    <cellStyle name="_TableHead_TBG Onatel Février  2009  Vtbg V3_Commentaires TBG mars_Reporting Onatel septembre  2009 préparé 2" xfId="0"/>
    <cellStyle name="_TableHead_TBG Onatel Février  2009  Vtbg V3_Commentaires TBG mars_Reporting Onatel septembre  2009 préparé_Budget 2011 v1 (4)" xfId="0"/>
    <cellStyle name="_TableHead_TBG Onatel Février  2009  Vtbg V3_Commentaires TBG mars_Reporting Onatel septembre  2009 préparé_Budget 2011 v1 (4) 2" xfId="0"/>
    <cellStyle name="_TableHead_TBG Onatel Février  2009  Vtbg V3_Copie de Flash du mois d' avril 2009 corrigé par NAIMI" xfId="0"/>
    <cellStyle name="_TableHead_TBG Onatel Février  2009  Vtbg V3_Copie de Flash du mois d' avril 2009 corrigé par NAIMI 2" xfId="0"/>
    <cellStyle name="_TableHead_TBG Onatel Février  2009  Vtbg V3_Copie de Flash du mois d' avril 2009 corrigé par NAIMI_Budget 2011 v1 (4)" xfId="0"/>
    <cellStyle name="_TableHead_TBG Onatel Février  2009  Vtbg V3_Copie de Flash du mois d' avril 2009 corrigé par NAIMI_Budget 2011 v1 (4) 2" xfId="0"/>
    <cellStyle name="_TableHead_TBG Onatel Février  2009  Vtbg V3_Copie de Flash du mois d' avril 2009 corrigé par NAIMI_Budget Telmob 2011" xfId="0"/>
    <cellStyle name="_TableHead_TBG Onatel Février  2009  Vtbg V3_Copie de Flash du mois d' avril 2009 corrigé par NAIMI_Budget Telmob 2011 2" xfId="0"/>
    <cellStyle name="_TableHead_TBG Onatel Février  2009  Vtbg V3_Copie de Flash du mois d' avril 2009 corrigé par NAIMI_Flash du mois de mai 2009" xfId="0"/>
    <cellStyle name="_TableHead_TBG Onatel Février  2009  Vtbg V3_Copie de Flash du mois d' avril 2009 corrigé par NAIMI_Flash du mois de mai 2009 2" xfId="0"/>
    <cellStyle name="_TableHead_TBG Onatel Février  2009  Vtbg V3_Copie de Flash du mois d' avril 2009 corrigé par NAIMI_Flash du mois de mai 2009_Budget 2011 v1 (4)" xfId="0"/>
    <cellStyle name="_TableHead_TBG Onatel Février  2009  Vtbg V3_Copie de Flash du mois d' avril 2009 corrigé par NAIMI_Flash du mois de mai 2009_Budget 2011 v1 (4) 2" xfId="0"/>
    <cellStyle name="_TableHead_TBG Onatel Février  2009  Vtbg V3_Copie de Flash du mois d' avril 2009 corrigé par NAIMI_Flash du mois de mai 2009_Budget Telmob 2011" xfId="0"/>
    <cellStyle name="_TableHead_TBG Onatel Février  2009  Vtbg V3_Copie de Flash du mois d' avril 2009 corrigé par NAIMI_Flash du mois de mai 2009_Budget Telmob 2011 2" xfId="0"/>
    <cellStyle name="_TableHead_TBG Onatel Février  2009  Vtbg V3_Copie de Flash du mois d' avril 2009 corrigé par NAIMI_Reporting Onatel Mai 2009 V 0" xfId="0"/>
    <cellStyle name="_TableHead_TBG Onatel Février  2009  Vtbg V3_Copie de Flash du mois d' avril 2009 corrigé par NAIMI_Reporting Onatel Mai 2009 V 0 2" xfId="0"/>
    <cellStyle name="_TableHead_TBG Onatel Février  2009  Vtbg V3_Copie de Flash du mois d' avril 2009 corrigé par NAIMI_Reporting Onatel Mai 2009 V 0_Budget 2011 v1 (4)" xfId="0"/>
    <cellStyle name="_TableHead_TBG Onatel Février  2009  Vtbg V3_Copie de Flash du mois d' avril 2009 corrigé par NAIMI_Reporting Onatel Mai 2009 V 0_Budget 2011 v1 (4) 2" xfId="0"/>
    <cellStyle name="_TableHead_TBG Onatel Février  2009  Vtbg V3_Copie de Flash du mois d' avril 2009 corrigé par NAIMI_Reporting Onatel Mai 2009 V 0_Budget Telmob 2011" xfId="0"/>
    <cellStyle name="_TableHead_TBG Onatel Février  2009  Vtbg V3_Copie de Flash du mois d' avril 2009 corrigé par NAIMI_Reporting Onatel Mai 2009 V 0_Budget Telmob 2011 2" xfId="0"/>
    <cellStyle name="_TableHead_TBG Onatel Février  2009  Vtbg V3_Copie de Flash du mois d' avril 2009 corrigé par NAIMI_Reporting Onatel Mai 2009 V 0_Reporting Onatel septembre  2009 préparé" xfId="0"/>
    <cellStyle name="_TableHead_TBG Onatel Février  2009  Vtbg V3_Copie de Flash du mois d' avril 2009 corrigé par NAIMI_Reporting Onatel Mai 2009 V 0_Reporting Onatel septembre  2009 préparé 2" xfId="0"/>
    <cellStyle name="_TableHead_TBG Onatel Février  2009  Vtbg V3_Copie de Flash du mois d' avril 2009 corrigé par NAIMI_Reporting Onatel Mai 2009 V 0_Reporting Onatel septembre  2009 préparé_Budget 2011 v1 (4)" xfId="0"/>
    <cellStyle name="_TableHead_TBG Onatel Février  2009  Vtbg V3_Copie de Flash du mois d' avril 2009 corrigé par NAIMI_Reporting Onatel Mai 2009 V 0_Reporting Onatel septembre  2009 préparé_Budget 2011 v1 (4) 2" xfId="0"/>
    <cellStyle name="_TableHead_TBG Onatel Février  2009  Vtbg V3_Copie de Flash du mois d' avril 2009 corrigé par NAIMI_Reporting Onatel septembre  2009 préparé" xfId="0"/>
    <cellStyle name="_TableHead_TBG Onatel Février  2009  Vtbg V3_Copie de Flash du mois d' avril 2009 corrigé par NAIMI_Reporting Onatel septembre  2009 préparé 2" xfId="0"/>
    <cellStyle name="_TableHead_TBG Onatel Février  2009  Vtbg V3_Copie de Flash du mois d' avril 2009 corrigé par NAIMI_Reporting Onatel septembre  2009 préparé_Budget 2011 v1 (4)" xfId="0"/>
    <cellStyle name="_TableHead_TBG Onatel Février  2009  Vtbg V3_Copie de Flash du mois d' avril 2009 corrigé par NAIMI_Reporting Onatel septembre  2009 préparé_Budget 2011 v1 (4) 2" xfId="0"/>
    <cellStyle name="_TableHead_TBG Onatel Février  2009  Vtbg V3_Flash du mois d' avril 2009" xfId="0"/>
    <cellStyle name="_TableHead_TBG Onatel Février  2009  Vtbg V3_Flash du mois d' avril 2009 2" xfId="0"/>
    <cellStyle name="_TableHead_TBG Onatel Février  2009  Vtbg V3_Flash du mois d' avril 2009_Budget 2011 v1 (4)" xfId="0"/>
    <cellStyle name="_TableHead_TBG Onatel Février  2009  Vtbg V3_Flash du mois d' avril 2009_Budget 2011 v1 (4) 2" xfId="0"/>
    <cellStyle name="_TableHead_TBG Onatel Février  2009  Vtbg V3_Flash du mois d' avril 2009_Budget Telmob 2011" xfId="0"/>
    <cellStyle name="_TableHead_TBG Onatel Février  2009  Vtbg V3_Flash du mois d' avril 2009_Budget Telmob 2011 2" xfId="0"/>
    <cellStyle name="_TableHead_TBG Onatel Février  2009  Vtbg V3_Flash du mois d' avril 2009_Flash du mois de mai 2009" xfId="0"/>
    <cellStyle name="_TableHead_TBG Onatel Février  2009  Vtbg V3_Flash du mois d' avril 2009_Flash du mois de mai 2009 2" xfId="0"/>
    <cellStyle name="_TableHead_TBG Onatel Février  2009  Vtbg V3_Flash du mois d' avril 2009_Flash du mois de mai 2009_Budget 2011 v1 (4)" xfId="0"/>
    <cellStyle name="_TableHead_TBG Onatel Février  2009  Vtbg V3_Flash du mois d' avril 2009_Flash du mois de mai 2009_Budget 2011 v1 (4) 2" xfId="0"/>
    <cellStyle name="_TableHead_TBG Onatel Février  2009  Vtbg V3_Flash du mois d' avril 2009_Flash du mois de mai 2009_Budget Telmob 2011" xfId="0"/>
    <cellStyle name="_TableHead_TBG Onatel Février  2009  Vtbg V3_Flash du mois d' avril 2009_Flash du mois de mai 2009_Budget Telmob 2011 2" xfId="0"/>
    <cellStyle name="_TableHead_TBG Onatel Février  2009  Vtbg V3_Flash du mois d' avril 2009_Reporting Onatel Mai 2009 V 0" xfId="0"/>
    <cellStyle name="_TableHead_TBG Onatel Février  2009  Vtbg V3_Flash du mois d' avril 2009_Reporting Onatel Mai 2009 V 0 2" xfId="0"/>
    <cellStyle name="_TableHead_TBG Onatel Février  2009  Vtbg V3_Flash du mois d' avril 2009_Reporting Onatel Mai 2009 V 0_Budget 2011 v1 (4)" xfId="0"/>
    <cellStyle name="_TableHead_TBG Onatel Février  2009  Vtbg V3_Flash du mois d' avril 2009_Reporting Onatel Mai 2009 V 0_Budget 2011 v1 (4) 2" xfId="0"/>
    <cellStyle name="_TableHead_TBG Onatel Février  2009  Vtbg V3_Flash du mois d' avril 2009_Reporting Onatel Mai 2009 V 0_Budget Telmob 2011" xfId="0"/>
    <cellStyle name="_TableHead_TBG Onatel Février  2009  Vtbg V3_Flash du mois d' avril 2009_Reporting Onatel Mai 2009 V 0_Budget Telmob 2011 2" xfId="0"/>
    <cellStyle name="_TableHead_TBG Onatel Février  2009  Vtbg V3_Flash du mois d' avril 2009_Reporting Onatel septembre  2009 préparé" xfId="0"/>
    <cellStyle name="_TableHead_TBG Onatel Février  2009  Vtbg V3_Flash du mois d' avril 2009_Reporting Onatel septembre  2009 préparé 2" xfId="0"/>
    <cellStyle name="_TableHead_TBG Onatel Février  2009  Vtbg V3_Flash du mois d' avril 2009_Reporting Onatel septembre  2009 préparé_Budget 2011 v1 (4)" xfId="0"/>
    <cellStyle name="_TableHead_TBG Onatel Février  2009  Vtbg V3_Flash du mois d' avril 2009_Reporting Onatel septembre  2009 préparé_Budget 2011 v1 (4) 2" xfId="0"/>
    <cellStyle name="_TableHead_TBG Onatel Février  2009  Vtbg V3_Flash du mois de mai 2009" xfId="0"/>
    <cellStyle name="_TableHead_TBG Onatel Février  2009  Vtbg V3_Flash du mois de mai 2009 2" xfId="0"/>
    <cellStyle name="_TableHead_TBG Onatel Février  2009  Vtbg V3_Flash du mois de mai 2009_Budget 2011 v1 (4)" xfId="0"/>
    <cellStyle name="_TableHead_TBG Onatel Février  2009  Vtbg V3_Flash du mois de mai 2009_Budget 2011 v1 (4) 2" xfId="0"/>
    <cellStyle name="_TableHead_TBG Onatel Février  2009  Vtbg V3_Flash du mois de mai 2009_Budget Telmob 2011" xfId="0"/>
    <cellStyle name="_TableHead_TBG Onatel Février  2009  Vtbg V3_Flash du mois de mai 2009_Budget Telmob 2011 2" xfId="0"/>
    <cellStyle name="_TableHead_TBG Onatel Février  2009  Vtbg V3_Reporting Onatel Mai 2009 V 0" xfId="0"/>
    <cellStyle name="_TableHead_TBG Onatel Février  2009  Vtbg V3_Reporting Onatel Mai 2009 V 0 2" xfId="0"/>
    <cellStyle name="_TableHead_TBG Onatel Février  2009  Vtbg V3_Reporting Onatel Mai 2009 V 0_Budget 2011 v1 (4)" xfId="0"/>
    <cellStyle name="_TableHead_TBG Onatel Février  2009  Vtbg V3_Reporting Onatel Mai 2009 V 0_Budget 2011 v1 (4) 2" xfId="0"/>
    <cellStyle name="_TableHead_TBG Onatel Février  2009  Vtbg V3_Reporting Onatel Mai 2009 V 0_Budget Telmob 2011" xfId="0"/>
    <cellStyle name="_TableHead_TBG Onatel Février  2009  Vtbg V3_Reporting Onatel Mai 2009 V 0_Budget Telmob 2011 2" xfId="0"/>
    <cellStyle name="_TableHead_TBG Onatel Février  2009  Vtbg V3_Reporting Onatel septembre  2009 préparé" xfId="0"/>
    <cellStyle name="_TableHead_TBG Onatel Février  2009  Vtbg V3_Reporting Onatel septembre  2009 préparé 2" xfId="0"/>
    <cellStyle name="_TableHead_TBG Onatel Février  2009  Vtbg V3_Reporting Onatel septembre  2009 préparé_Budget 2011 v1 (4)" xfId="0"/>
    <cellStyle name="_TableHead_TBG Onatel Février  2009  Vtbg V3_Reporting Onatel septembre  2009 préparé_Budget 2011 v1 (4) 2" xfId="0"/>
    <cellStyle name="_TableHeading" xfId="0"/>
    <cellStyle name="_TableHeading 2" xfId="0"/>
    <cellStyle name="_TableHeading_Budget 2011 v1 (4)" xfId="0"/>
    <cellStyle name="_TableHeading_Budget 2011 v1 (4) 2" xfId="0"/>
    <cellStyle name="_TableHeading_Budget Telmob 2011" xfId="0"/>
    <cellStyle name="_TableHeading_Budget Telmob 2011 2" xfId="0"/>
    <cellStyle name="_TableHeading_commentaires fixe  internet Déc 08" xfId="0"/>
    <cellStyle name="_TableHeading_commentaires fixe  internet Déc 08 2" xfId="0"/>
    <cellStyle name="_TableHeading_commentaires fixe  internet Déc 08_Budget 2011 v1 (4)" xfId="0"/>
    <cellStyle name="_TableHeading_commentaires fixe  internet Déc 08_Budget 2011 v1 (4) 2" xfId="0"/>
    <cellStyle name="_TableHeading_commentaires fixe  internet Déc 08_Budget Telmob 2011" xfId="0"/>
    <cellStyle name="_TableHeading_commentaires fixe  internet Déc 08_Budget Telmob 2011 2" xfId="0"/>
    <cellStyle name="_TableHeading_commentaires fixe  internet Déc 08_Commentaires TBG mars" xfId="0"/>
    <cellStyle name="_TableHeading_commentaires fixe  internet Déc 08_Commentaires TBG mars 2" xfId="0"/>
    <cellStyle name="_TableHeading_commentaires fixe  internet Déc 08_Commentaires TBG mars_Budget 2011 v1 (4)" xfId="0"/>
    <cellStyle name="_TableHeading_commentaires fixe  internet Déc 08_Commentaires TBG mars_Budget 2011 v1 (4) 2" xfId="0"/>
    <cellStyle name="_TableHeading_commentaires fixe  internet Déc 08_Commentaires TBG mars_Budget Telmob 2011" xfId="0"/>
    <cellStyle name="_TableHeading_commentaires fixe  internet Déc 08_Commentaires TBG mars_Budget Telmob 2011 2" xfId="0"/>
    <cellStyle name="_TableHeading_commentaires fixe  internet Déc 08_Commentaires TBG mars_Copie de Flash du mois d' avril 2009 corrigé par NAIMI" xfId="0"/>
    <cellStyle name="_TableHeading_commentaires fixe  internet Déc 08_Commentaires TBG mars_Copie de Flash du mois d' avril 2009 corrigé par NAIMI 2" xfId="0"/>
    <cellStyle name="_TableHeading_commentaires fixe  internet Déc 08_Commentaires TBG mars_Copie de Flash du mois d' avril 2009 corrigé par NAIMI_Budget 2011 v1 (4)" xfId="0"/>
    <cellStyle name="_TableHeading_commentaires fixe  internet Déc 08_Commentaires TBG mars_Copie de Flash du mois d' avril 2009 corrigé par NAIMI_Budget 2011 v1 (4) 2" xfId="0"/>
    <cellStyle name="_TableHeading_commentaires fixe  internet Déc 08_Commentaires TBG mars_Copie de Flash du mois d' avril 2009 corrigé par NAIMI_Budget Telmob 2011" xfId="0"/>
    <cellStyle name="_TableHeading_commentaires fixe  internet Déc 08_Commentaires TBG mars_Copie de Flash du mois d' avril 2009 corrigé par NAIMI_Budget Telmob 2011 2" xfId="0"/>
    <cellStyle name="_TableHeading_commentaires fixe  internet Déc 08_Commentaires TBG mars_Copie de Flash du mois d' avril 2009 corrigé par NAIMI_Flash du mois de mai 2009" xfId="0"/>
    <cellStyle name="_TableHeading_commentaires fixe  internet Déc 08_Commentaires TBG mars_Copie de Flash du mois d' avril 2009 corrigé par NAIMI_Flash du mois de mai 2009 2" xfId="0"/>
    <cellStyle name="_TableHeading_commentaires fixe  internet Déc 08_Commentaires TBG mars_Copie de Flash du mois d' avril 2009 corrigé par NAIMI_Flash du mois de mai 2009_Budget 2011 v1 (4)" xfId="0"/>
    <cellStyle name="_TableHeading_commentaires fixe  internet Déc 08_Commentaires TBG mars_Copie de Flash du mois d' avril 2009 corrigé par NAIMI_Flash du mois de mai 2009_Budget 2011 v1 (4) 2" xfId="0"/>
    <cellStyle name="_TableHeading_commentaires fixe  internet Déc 08_Commentaires TBG mars_Copie de Flash du mois d' avril 2009 corrigé par NAIMI_Flash du mois de mai 2009_Budget Telmob 2011" xfId="0"/>
    <cellStyle name="_TableHeading_commentaires fixe  internet Déc 08_Commentaires TBG mars_Copie de Flash du mois d' avril 2009 corrigé par NAIMI_Flash du mois de mai 2009_Budget Telmob 2011 2" xfId="0"/>
    <cellStyle name="_TableHeading_commentaires fixe  internet Déc 08_Commentaires TBG mars_Copie de Flash du mois d' avril 2009 corrigé par NAIMI_Reporting Onatel Mai 2009 V 0" xfId="0"/>
    <cellStyle name="_TableHeading_commentaires fixe  internet Déc 08_Commentaires TBG mars_Copie de Flash du mois d' avril 2009 corrigé par NAIMI_Reporting Onatel Mai 2009 V 0 2" xfId="0"/>
    <cellStyle name="_TableHeading_commentaires fixe  internet Déc 08_Commentaires TBG mars_Copie de Flash du mois d' avril 2009 corrigé par NAIMI_Reporting Onatel Mai 2009 V 0_Budget 2011 v1 (4)" xfId="0"/>
    <cellStyle name="_TableHeading_commentaires fixe  internet Déc 08_Commentaires TBG mars_Copie de Flash du mois d' avril 2009 corrigé par NAIMI_Reporting Onatel Mai 2009 V 0_Budget 2011 v1 (4) 2" xfId="0"/>
    <cellStyle name="_TableHeading_commentaires fixe  internet Déc 08_Commentaires TBG mars_Copie de Flash du mois d' avril 2009 corrigé par NAIMI_Reporting Onatel Mai 2009 V 0_Budget Telmob 2011" xfId="0"/>
    <cellStyle name="_TableHeading_commentaires fixe  internet Déc 08_Commentaires TBG mars_Copie de Flash du mois d' avril 2009 corrigé par NAIMI_Reporting Onatel Mai 2009 V 0_Budget Telmob 2011 2" xfId="0"/>
    <cellStyle name="_TableHeading_commentaires fixe  internet Déc 08_Commentaires TBG mars_Copie de Flash du mois d' avril 2009 corrigé par NAIMI_Reporting Onatel Mai 2009 V 0_Reporting Onatel septembre  2009 préparé" xfId="0"/>
    <cellStyle name="_TableHeading_commentaires fixe  internet Déc 08_Commentaires TBG mars_Copie de Flash du mois d' avril 2009 corrigé par NAIMI_Reporting Onatel Mai 2009 V 0_Reporting Onatel septembre  2009 préparé 2" xfId="0"/>
    <cellStyle name="_TableHeading_commentaires fixe  internet Déc 08_Commentaires TBG mars_Copie de Flash du mois d' avril 2009 corrigé par NAIMI_Reporting Onatel Mai 2009 V 0_Reporting Onatel septembre  2009 préparé_Budget 2011 v1 (4)" xfId="0"/>
    <cellStyle name="_TableHeading_commentaires fixe  internet Déc 08_Commentaires TBG mars_Copie de Flash du mois d' avril 2009 corrigé par NAIMI_Reporting Onatel Mai 2009 V 0_Reporting Onatel septembre  2009 préparé_Budget 2011 v1 (4) 2" xfId="0"/>
    <cellStyle name="_TableHeading_commentaires fixe  internet Déc 08_Commentaires TBG mars_Copie de Flash du mois d' avril 2009 corrigé par NAIMI_Reporting Onatel septembre  2009 préparé" xfId="0"/>
    <cellStyle name="_TableHeading_commentaires fixe  internet Déc 08_Commentaires TBG mars_Copie de Flash du mois d' avril 2009 corrigé par NAIMI_Reporting Onatel septembre  2009 préparé 2" xfId="0"/>
    <cellStyle name="_TableHeading_commentaires fixe  internet Déc 08_Commentaires TBG mars_Copie de Flash du mois d' avril 2009 corrigé par NAIMI_Reporting Onatel septembre  2009 préparé_Budget 2011 v1 (4)" xfId="0"/>
    <cellStyle name="_TableHeading_commentaires fixe  internet Déc 08_Commentaires TBG mars_Copie de Flash du mois d' avril 2009 corrigé par NAIMI_Reporting Onatel septembre  2009 préparé_Budget 2011 v1 (4) 2" xfId="0"/>
    <cellStyle name="_TableHeading_commentaires fixe  internet Déc 08_Commentaires TBG mars_Flash du mois d' avril 2009" xfId="0"/>
    <cellStyle name="_TableHeading_commentaires fixe  internet Déc 08_Commentaires TBG mars_Flash du mois d' avril 2009 2" xfId="0"/>
    <cellStyle name="_TableHeading_commentaires fixe  internet Déc 08_Commentaires TBG mars_Flash du mois d' avril 2009_Budget 2011 v1 (4)" xfId="0"/>
    <cellStyle name="_TableHeading_commentaires fixe  internet Déc 08_Commentaires TBG mars_Flash du mois d' avril 2009_Budget 2011 v1 (4) 2" xfId="0"/>
    <cellStyle name="_TableHeading_commentaires fixe  internet Déc 08_Commentaires TBG mars_Flash du mois d' avril 2009_Budget Telmob 2011" xfId="0"/>
    <cellStyle name="_TableHeading_commentaires fixe  internet Déc 08_Commentaires TBG mars_Flash du mois d' avril 2009_Budget Telmob 2011 2" xfId="0"/>
    <cellStyle name="_TableHeading_commentaires fixe  internet Déc 08_Commentaires TBG mars_Flash du mois d' avril 2009_Flash du mois de mai 2009" xfId="0"/>
    <cellStyle name="_TableHeading_commentaires fixe  internet Déc 08_Commentaires TBG mars_Flash du mois d' avril 2009_Flash du mois de mai 2009 2" xfId="0"/>
    <cellStyle name="_TableHeading_commentaires fixe  internet Déc 08_Commentaires TBG mars_Flash du mois d' avril 2009_Flash du mois de mai 2009_Budget 2011 v1 (4)" xfId="0"/>
    <cellStyle name="_TableHeading_commentaires fixe  internet Déc 08_Commentaires TBG mars_Flash du mois d' avril 2009_Flash du mois de mai 2009_Budget 2011 v1 (4) 2" xfId="0"/>
    <cellStyle name="_TableHeading_commentaires fixe  internet Déc 08_Commentaires TBG mars_Flash du mois d' avril 2009_Flash du mois de mai 2009_Budget Telmob 2011" xfId="0"/>
    <cellStyle name="_TableHeading_commentaires fixe  internet Déc 08_Commentaires TBG mars_Flash du mois d' avril 2009_Flash du mois de mai 2009_Budget Telmob 2011 2" xfId="0"/>
    <cellStyle name="_TableHeading_commentaires fixe  internet Déc 08_Commentaires TBG mars_Flash du mois d' avril 2009_Reporting Onatel Mai 2009 V 0" xfId="0"/>
    <cellStyle name="_TableHeading_commentaires fixe  internet Déc 08_Commentaires TBG mars_Flash du mois d' avril 2009_Reporting Onatel Mai 2009 V 0 2" xfId="0"/>
    <cellStyle name="_TableHeading_commentaires fixe  internet Déc 08_Commentaires TBG mars_Flash du mois d' avril 2009_Reporting Onatel Mai 2009 V 0_Budget 2011 v1 (4)" xfId="0"/>
    <cellStyle name="_TableHeading_commentaires fixe  internet Déc 08_Commentaires TBG mars_Flash du mois d' avril 2009_Reporting Onatel Mai 2009 V 0_Budget 2011 v1 (4) 2" xfId="0"/>
    <cellStyle name="_TableHeading_commentaires fixe  internet Déc 08_Commentaires TBG mars_Flash du mois d' avril 2009_Reporting Onatel Mai 2009 V 0_Budget Telmob 2011" xfId="0"/>
    <cellStyle name="_TableHeading_commentaires fixe  internet Déc 08_Commentaires TBG mars_Flash du mois d' avril 2009_Reporting Onatel Mai 2009 V 0_Budget Telmob 2011 2" xfId="0"/>
    <cellStyle name="_TableHeading_commentaires fixe  internet Déc 08_Commentaires TBG mars_Flash du mois d' avril 2009_Reporting Onatel septembre  2009 préparé" xfId="0"/>
    <cellStyle name="_TableHeading_commentaires fixe  internet Déc 08_Commentaires TBG mars_Flash du mois d' avril 2009_Reporting Onatel septembre  2009 préparé 2" xfId="0"/>
    <cellStyle name="_TableHeading_commentaires fixe  internet Déc 08_Commentaires TBG mars_Flash du mois d' avril 2009_Reporting Onatel septembre  2009 préparé_Budget 2011 v1 (4)" xfId="0"/>
    <cellStyle name="_TableHeading_commentaires fixe  internet Déc 08_Commentaires TBG mars_Flash du mois d' avril 2009_Reporting Onatel septembre  2009 préparé_Budget 2011 v1 (4) 2" xfId="0"/>
    <cellStyle name="_TableHeading_commentaires fixe  internet Déc 08_Commentaires TBG mars_Flash du mois de mai 2009" xfId="0"/>
    <cellStyle name="_TableHeading_commentaires fixe  internet Déc 08_Commentaires TBG mars_Flash du mois de mai 2009 2" xfId="0"/>
    <cellStyle name="_TableHeading_commentaires fixe  internet Déc 08_Commentaires TBG mars_Flash du mois de mai 2009_Budget 2011 v1 (4)" xfId="0"/>
    <cellStyle name="_TableHeading_commentaires fixe  internet Déc 08_Commentaires TBG mars_Flash du mois de mai 2009_Budget 2011 v1 (4) 2" xfId="0"/>
    <cellStyle name="_TableHeading_commentaires fixe  internet Déc 08_Commentaires TBG mars_Flash du mois de mai 2009_Budget Telmob 2011" xfId="0"/>
    <cellStyle name="_TableHeading_commentaires fixe  internet Déc 08_Commentaires TBG mars_Flash du mois de mai 2009_Budget Telmob 2011 2" xfId="0"/>
    <cellStyle name="_TableHeading_commentaires fixe  internet Déc 08_Commentaires TBG mars_Reporting Onatel Mai 2009 V 0" xfId="0"/>
    <cellStyle name="_TableHeading_commentaires fixe  internet Déc 08_Commentaires TBG mars_Reporting Onatel Mai 2009 V 0 2" xfId="0"/>
    <cellStyle name="_TableHeading_commentaires fixe  internet Déc 08_Commentaires TBG mars_Reporting Onatel Mai 2009 V 0_Budget 2011 v1 (4)" xfId="0"/>
    <cellStyle name="_TableHeading_commentaires fixe  internet Déc 08_Commentaires TBG mars_Reporting Onatel Mai 2009 V 0_Budget 2011 v1 (4) 2" xfId="0"/>
    <cellStyle name="_TableHeading_commentaires fixe  internet Déc 08_Commentaires TBG mars_Reporting Onatel Mai 2009 V 0_Budget Telmob 2011" xfId="0"/>
    <cellStyle name="_TableHeading_commentaires fixe  internet Déc 08_Commentaires TBG mars_Reporting Onatel Mai 2009 V 0_Budget Telmob 2011 2" xfId="0"/>
    <cellStyle name="_TableHeading_commentaires fixe  internet Déc 08_Commentaires TBG mars_Reporting Onatel septembre  2009 préparé" xfId="0"/>
    <cellStyle name="_TableHeading_commentaires fixe  internet Déc 08_Commentaires TBG mars_Reporting Onatel septembre  2009 préparé 2" xfId="0"/>
    <cellStyle name="_TableHeading_commentaires fixe  internet Déc 08_Commentaires TBG mars_Reporting Onatel septembre  2009 préparé_Budget 2011 v1 (4)" xfId="0"/>
    <cellStyle name="_TableHeading_commentaires fixe  internet Déc 08_Commentaires TBG mars_Reporting Onatel septembre  2009 préparé_Budget 2011 v1 (4) 2" xfId="0"/>
    <cellStyle name="_TableHeading_commentaires fixe  internet Déc 08_Copie de Flash du mois d' avril 2009 corrigé par NAIMI" xfId="0"/>
    <cellStyle name="_TableHeading_commentaires fixe  internet Déc 08_Copie de Flash du mois d' avril 2009 corrigé par NAIMI 2" xfId="0"/>
    <cellStyle name="_TableHeading_commentaires fixe  internet Déc 08_Copie de Flash du mois d' avril 2009 corrigé par NAIMI_Budget 2011 v1 (4)" xfId="0"/>
    <cellStyle name="_TableHeading_commentaires fixe  internet Déc 08_Copie de Flash du mois d' avril 2009 corrigé par NAIMI_Budget 2011 v1 (4) 2" xfId="0"/>
    <cellStyle name="_TableHeading_commentaires fixe  internet Déc 08_Copie de Flash du mois d' avril 2009 corrigé par NAIMI_Budget Telmob 2011" xfId="0"/>
    <cellStyle name="_TableHeading_commentaires fixe  internet Déc 08_Copie de Flash du mois d' avril 2009 corrigé par NAIMI_Budget Telmob 2011 2" xfId="0"/>
    <cellStyle name="_TableHeading_commentaires fixe  internet Déc 08_Copie de Flash du mois d' avril 2009 corrigé par NAIMI_Flash du mois de mai 2009" xfId="0"/>
    <cellStyle name="_TableHeading_commentaires fixe  internet Déc 08_Copie de Flash du mois d' avril 2009 corrigé par NAIMI_Flash du mois de mai 2009 2" xfId="0"/>
    <cellStyle name="_TableHeading_commentaires fixe  internet Déc 08_Copie de Flash du mois d' avril 2009 corrigé par NAIMI_Flash du mois de mai 2009_Budget 2011 v1 (4)" xfId="0"/>
    <cellStyle name="_TableHeading_commentaires fixe  internet Déc 08_Copie de Flash du mois d' avril 2009 corrigé par NAIMI_Flash du mois de mai 2009_Budget 2011 v1 (4) 2" xfId="0"/>
    <cellStyle name="_TableHeading_commentaires fixe  internet Déc 08_Copie de Flash du mois d' avril 2009 corrigé par NAIMI_Flash du mois de mai 2009_Budget Telmob 2011" xfId="0"/>
    <cellStyle name="_TableHeading_commentaires fixe  internet Déc 08_Copie de Flash du mois d' avril 2009 corrigé par NAIMI_Flash du mois de mai 2009_Budget Telmob 2011 2" xfId="0"/>
    <cellStyle name="_TableHeading_commentaires fixe  internet Déc 08_Copie de Flash du mois d' avril 2009 corrigé par NAIMI_Reporting Onatel Mai 2009 V 0" xfId="0"/>
    <cellStyle name="_TableHeading_commentaires fixe  internet Déc 08_Copie de Flash du mois d' avril 2009 corrigé par NAIMI_Reporting Onatel Mai 2009 V 0 2" xfId="0"/>
    <cellStyle name="_TableHeading_commentaires fixe  internet Déc 08_Copie de Flash du mois d' avril 2009 corrigé par NAIMI_Reporting Onatel Mai 2009 V 0_Budget 2011 v1 (4)" xfId="0"/>
    <cellStyle name="_TableHeading_commentaires fixe  internet Déc 08_Copie de Flash du mois d' avril 2009 corrigé par NAIMI_Reporting Onatel Mai 2009 V 0_Budget 2011 v1 (4) 2" xfId="0"/>
    <cellStyle name="_TableHeading_commentaires fixe  internet Déc 08_Copie de Flash du mois d' avril 2009 corrigé par NAIMI_Reporting Onatel Mai 2009 V 0_Budget Telmob 2011" xfId="0"/>
    <cellStyle name="_TableHeading_commentaires fixe  internet Déc 08_Copie de Flash du mois d' avril 2009 corrigé par NAIMI_Reporting Onatel Mai 2009 V 0_Budget Telmob 2011 2" xfId="0"/>
    <cellStyle name="_TableHeading_commentaires fixe  internet Déc 08_Copie de Flash du mois d' avril 2009 corrigé par NAIMI_Reporting Onatel Mai 2009 V 0_Reporting Onatel septembre  2009 préparé" xfId="0"/>
    <cellStyle name="_TableHeading_commentaires fixe  internet Déc 08_Copie de Flash du mois d' avril 2009 corrigé par NAIMI_Reporting Onatel Mai 2009 V 0_Reporting Onatel septembre  2009 préparé 2" xfId="0"/>
    <cellStyle name="_TableHeading_commentaires fixe  internet Déc 08_Copie de Flash du mois d' avril 2009 corrigé par NAIMI_Reporting Onatel Mai 2009 V 0_Reporting Onatel septembre  2009 préparé_Budget 2011 v1 (4)" xfId="0"/>
    <cellStyle name="_TableHeading_commentaires fixe  internet Déc 08_Copie de Flash du mois d' avril 2009 corrigé par NAIMI_Reporting Onatel Mai 2009 V 0_Reporting Onatel septembre  2009 préparé_Budget 2011 v1 (4) 2" xfId="0"/>
    <cellStyle name="_TableHeading_commentaires fixe  internet Déc 08_Copie de Flash du mois d' avril 2009 corrigé par NAIMI_Reporting Onatel septembre  2009 préparé" xfId="0"/>
    <cellStyle name="_TableHeading_commentaires fixe  internet Déc 08_Copie de Flash du mois d' avril 2009 corrigé par NAIMI_Reporting Onatel septembre  2009 préparé 2" xfId="0"/>
    <cellStyle name="_TableHeading_commentaires fixe  internet Déc 08_Copie de Flash du mois d' avril 2009 corrigé par NAIMI_Reporting Onatel septembre  2009 préparé_Budget 2011 v1 (4)" xfId="0"/>
    <cellStyle name="_TableHeading_commentaires fixe  internet Déc 08_Copie de Flash du mois d' avril 2009 corrigé par NAIMI_Reporting Onatel septembre  2009 préparé_Budget 2011 v1 (4) 2" xfId="0"/>
    <cellStyle name="_TableHeading_commentaires fixe  internet Déc 08_Flash du mois d' avril 2009" xfId="0"/>
    <cellStyle name="_TableHeading_commentaires fixe  internet Déc 08_Flash du mois d' avril 2009 2" xfId="0"/>
    <cellStyle name="_TableHeading_commentaires fixe  internet Déc 08_Flash du mois d' avril 2009_Budget 2011 v1 (4)" xfId="0"/>
    <cellStyle name="_TableHeading_commentaires fixe  internet Déc 08_Flash du mois d' avril 2009_Budget 2011 v1 (4) 2" xfId="0"/>
    <cellStyle name="_TableHeading_commentaires fixe  internet Déc 08_Flash du mois d' avril 2009_Budget Telmob 2011" xfId="0"/>
    <cellStyle name="_TableHeading_commentaires fixe  internet Déc 08_Flash du mois d' avril 2009_Budget Telmob 2011 2" xfId="0"/>
    <cellStyle name="_TableHeading_commentaires fixe  internet Déc 08_Flash du mois d' avril 2009_Flash du mois de mai 2009" xfId="0"/>
    <cellStyle name="_TableHeading_commentaires fixe  internet Déc 08_Flash du mois d' avril 2009_Flash du mois de mai 2009 2" xfId="0"/>
    <cellStyle name="_TableHeading_commentaires fixe  internet Déc 08_Flash du mois d' avril 2009_Flash du mois de mai 2009_Budget 2011 v1 (4)" xfId="0"/>
    <cellStyle name="_TableHeading_commentaires fixe  internet Déc 08_Flash du mois d' avril 2009_Flash du mois de mai 2009_Budget 2011 v1 (4) 2" xfId="0"/>
    <cellStyle name="_TableHeading_commentaires fixe  internet Déc 08_Flash du mois d' avril 2009_Flash du mois de mai 2009_Budget Telmob 2011" xfId="0"/>
    <cellStyle name="_TableHeading_commentaires fixe  internet Déc 08_Flash du mois d' avril 2009_Flash du mois de mai 2009_Budget Telmob 2011 2" xfId="0"/>
    <cellStyle name="_TableHeading_commentaires fixe  internet Déc 08_Flash du mois d' avril 2009_Reporting Onatel Mai 2009 V 0" xfId="0"/>
    <cellStyle name="_TableHeading_commentaires fixe  internet Déc 08_Flash du mois d' avril 2009_Reporting Onatel Mai 2009 V 0 2" xfId="0"/>
    <cellStyle name="_TableHeading_commentaires fixe  internet Déc 08_Flash du mois d' avril 2009_Reporting Onatel Mai 2009 V 0_Budget 2011 v1 (4)" xfId="0"/>
    <cellStyle name="_TableHeading_commentaires fixe  internet Déc 08_Flash du mois d' avril 2009_Reporting Onatel Mai 2009 V 0_Budget 2011 v1 (4) 2" xfId="0"/>
    <cellStyle name="_TableHeading_commentaires fixe  internet Déc 08_Flash du mois d' avril 2009_Reporting Onatel Mai 2009 V 0_Budget Telmob 2011" xfId="0"/>
    <cellStyle name="_TableHeading_commentaires fixe  internet Déc 08_Flash du mois d' avril 2009_Reporting Onatel Mai 2009 V 0_Budget Telmob 2011 2" xfId="0"/>
    <cellStyle name="_TableHeading_commentaires fixe  internet Déc 08_Flash du mois d' avril 2009_Reporting Onatel septembre  2009 préparé" xfId="0"/>
    <cellStyle name="_TableHeading_commentaires fixe  internet Déc 08_Flash du mois d' avril 2009_Reporting Onatel septembre  2009 préparé 2" xfId="0"/>
    <cellStyle name="_TableHeading_commentaires fixe  internet Déc 08_Flash du mois d' avril 2009_Reporting Onatel septembre  2009 préparé_Budget 2011 v1 (4)" xfId="0"/>
    <cellStyle name="_TableHeading_commentaires fixe  internet Déc 08_Flash du mois d' avril 2009_Reporting Onatel septembre  2009 préparé_Budget 2011 v1 (4) 2" xfId="0"/>
    <cellStyle name="_TableHeading_commentaires fixe  internet Déc 08_Flash du mois de mai 2009" xfId="0"/>
    <cellStyle name="_TableHeading_commentaires fixe  internet Déc 08_Flash du mois de mai 2009 2" xfId="0"/>
    <cellStyle name="_TableHeading_commentaires fixe  internet Déc 08_Flash du mois de mai 2009_Budget 2011 v1 (4)" xfId="0"/>
    <cellStyle name="_TableHeading_commentaires fixe  internet Déc 08_Flash du mois de mai 2009_Budget 2011 v1 (4) 2" xfId="0"/>
    <cellStyle name="_TableHeading_commentaires fixe  internet Déc 08_Flash du mois de mai 2009_Budget Telmob 2011" xfId="0"/>
    <cellStyle name="_TableHeading_commentaires fixe  internet Déc 08_Flash du mois de mai 2009_Budget Telmob 2011 2" xfId="0"/>
    <cellStyle name="_TableHeading_commentaires fixe  internet Déc 08_Reporting Onatel Avril 2009 V0" xfId="0"/>
    <cellStyle name="_TableHeading_commentaires fixe  internet Déc 08_Reporting Onatel Avril 2009 V0 2" xfId="0"/>
    <cellStyle name="_TableHeading_commentaires fixe  internet Déc 08_Reporting Onatel Avril 2009 V0_Budget 2011 v1 (4)" xfId="0"/>
    <cellStyle name="_TableHeading_commentaires fixe  internet Déc 08_Reporting Onatel Avril 2009 V0_Budget 2011 v1 (4) 2" xfId="0"/>
    <cellStyle name="_TableHeading_commentaires fixe  internet Déc 08_Reporting Onatel Avril 2009 V0_Budget Telmob 2011" xfId="0"/>
    <cellStyle name="_TableHeading_commentaires fixe  internet Déc 08_Reporting Onatel Avril 2009 V0_Budget Telmob 2011 2" xfId="0"/>
    <cellStyle name="_TableHeading_commentaires fixe  internet Déc 08_Reporting Onatel Avril 2009 V0_Copie de Flash du mois d' avril 2009 corrigé par NAIMI" xfId="0"/>
    <cellStyle name="_TableHeading_commentaires fixe  internet Déc 08_Reporting Onatel Avril 2009 V0_Copie de Flash du mois d' avril 2009 corrigé par NAIMI 2" xfId="0"/>
    <cellStyle name="_TableHeading_commentaires fixe  internet Déc 08_Reporting Onatel Avril 2009 V0_Copie de Flash du mois d' avril 2009 corrigé par NAIMI_Budget 2011 v1 (4)" xfId="0"/>
    <cellStyle name="_TableHeading_commentaires fixe  internet Déc 08_Reporting Onatel Avril 2009 V0_Copie de Flash du mois d' avril 2009 corrigé par NAIMI_Budget 2011 v1 (4) 2" xfId="0"/>
    <cellStyle name="_TableHeading_commentaires fixe  internet Déc 08_Reporting Onatel Avril 2009 V0_Copie de Flash du mois d' avril 2009 corrigé par NAIMI_Budget Telmob 2011" xfId="0"/>
    <cellStyle name="_TableHeading_commentaires fixe  internet Déc 08_Reporting Onatel Avril 2009 V0_Copie de Flash du mois d' avril 2009 corrigé par NAIMI_Budget Telmob 2011 2" xfId="0"/>
    <cellStyle name="_TableHeading_commentaires fixe  internet Déc 08_Reporting Onatel Avril 2009 V0_Copie de Flash du mois d' avril 2009 corrigé par NAIMI_Flash du mois de mai 2009" xfId="0"/>
    <cellStyle name="_TableHeading_commentaires fixe  internet Déc 08_Reporting Onatel Avril 2009 V0_Copie de Flash du mois d' avril 2009 corrigé par NAIMI_Flash du mois de mai 2009 2" xfId="0"/>
    <cellStyle name="_TableHeading_commentaires fixe  internet Déc 08_Reporting Onatel Avril 2009 V0_Copie de Flash du mois d' avril 2009 corrigé par NAIMI_Flash du mois de mai 2009_Budget 2011 v1 (4)" xfId="0"/>
    <cellStyle name="_TableHeading_commentaires fixe  internet Déc 08_Reporting Onatel Avril 2009 V0_Copie de Flash du mois d' avril 2009 corrigé par NAIMI_Flash du mois de mai 2009_Budget 2011 v1 (4) 2" xfId="0"/>
    <cellStyle name="_TableHeading_commentaires fixe  internet Déc 08_Reporting Onatel Avril 2009 V0_Copie de Flash du mois d' avril 2009 corrigé par NAIMI_Flash du mois de mai 2009_Budget Telmob 2011" xfId="0"/>
    <cellStyle name="_TableHeading_commentaires fixe  internet Déc 08_Reporting Onatel Avril 2009 V0_Copie de Flash du mois d' avril 2009 corrigé par NAIMI_Flash du mois de mai 2009_Budget Telmob 2011 2" xfId="0"/>
    <cellStyle name="_TableHeading_commentaires fixe  internet Déc 08_Reporting Onatel Avril 2009 V0_Copie de Flash du mois d' avril 2009 corrigé par NAIMI_Reporting Onatel Mai 2009 V 0" xfId="0"/>
    <cellStyle name="_TableHeading_commentaires fixe  internet Déc 08_Reporting Onatel Avril 2009 V0_Copie de Flash du mois d' avril 2009 corrigé par NAIMI_Reporting Onatel Mai 2009 V 0 2" xfId="0"/>
    <cellStyle name="_TableHeading_commentaires fixe  internet Déc 08_Reporting Onatel Avril 2009 V0_Copie de Flash du mois d' avril 2009 corrigé par NAIMI_Reporting Onatel Mai 2009 V 0_Budget 2011 v1 (4)" xfId="0"/>
    <cellStyle name="_TableHeading_commentaires fixe  internet Déc 08_Reporting Onatel Avril 2009 V0_Copie de Flash du mois d' avril 2009 corrigé par NAIMI_Reporting Onatel Mai 2009 V 0_Budget 2011 v1 (4) 2" xfId="0"/>
    <cellStyle name="_TableHeading_commentaires fixe  internet Déc 08_Reporting Onatel Avril 2009 V0_Copie de Flash du mois d' avril 2009 corrigé par NAIMI_Reporting Onatel Mai 2009 V 0_Budget Telmob 2011" xfId="0"/>
    <cellStyle name="_TableHeading_commentaires fixe  internet Déc 08_Reporting Onatel Avril 2009 V0_Copie de Flash du mois d' avril 2009 corrigé par NAIMI_Reporting Onatel Mai 2009 V 0_Budget Telmob 2011 2" xfId="0"/>
    <cellStyle name="_TableHeading_commentaires fixe  internet Déc 08_Reporting Onatel Avril 2009 V0_Copie de Flash du mois d' avril 2009 corrigé par NAIMI_Reporting Onatel Mai 2009 V 0_Reporting Onatel septembre  2009 préparé" xfId="0"/>
    <cellStyle name="_TableHeading_commentaires fixe  internet Déc 08_Reporting Onatel Avril 2009 V0_Copie de Flash du mois d' avril 2009 corrigé par NAIMI_Reporting Onatel Mai 2009 V 0_Reporting Onatel septembre  2009 préparé 2" xfId="0"/>
    <cellStyle name="_TableHeading_commentaires fixe  internet Déc 08_Reporting Onatel Avril 2009 V0_Copie de Flash du mois d' avril 2009 corrigé par NAIMI_Reporting Onatel Mai 2009 V 0_Reporting Onatel septembre  2009 préparé_Budget 2011 v1 (4)" xfId="0"/>
    <cellStyle name="_TableHeading_commentaires fixe  internet Déc 08_Reporting Onatel Avril 2009 V0_Copie de Flash du mois d' avril 2009 corrigé par NAIMI_Reporting Onatel Mai 2009 V 0_Reporting Onatel septembre  2009 préparé_Budget 2011 v1 (4) 2" xfId="0"/>
    <cellStyle name="_TableHeading_commentaires fixe  internet Déc 08_Reporting Onatel Avril 2009 V0_Copie de Flash du mois d' avril 2009 corrigé par NAIMI_Reporting Onatel septembre  2009 préparé" xfId="0"/>
    <cellStyle name="_TableHeading_commentaires fixe  internet Déc 08_Reporting Onatel Avril 2009 V0_Copie de Flash du mois d' avril 2009 corrigé par NAIMI_Reporting Onatel septembre  2009 préparé 2" xfId="0"/>
    <cellStyle name="_TableHeading_commentaires fixe  internet Déc 08_Reporting Onatel Avril 2009 V0_Copie de Flash du mois d' avril 2009 corrigé par NAIMI_Reporting Onatel septembre  2009 préparé_Budget 2011 v1 (4)" xfId="0"/>
    <cellStyle name="_TableHeading_commentaires fixe  internet Déc 08_Reporting Onatel Avril 2009 V0_Copie de Flash du mois d' avril 2009 corrigé par NAIMI_Reporting Onatel septembre  2009 préparé_Budget 2011 v1 (4) 2" xfId="0"/>
    <cellStyle name="_TableHeading_commentaires fixe  internet Déc 08_Reporting Onatel Avril 2009 V0_Flash du mois de mai 2009" xfId="0"/>
    <cellStyle name="_TableHeading_commentaires fixe  internet Déc 08_Reporting Onatel Avril 2009 V0_Flash du mois de mai 2009 2" xfId="0"/>
    <cellStyle name="_TableHeading_commentaires fixe  internet Déc 08_Reporting Onatel Avril 2009 V0_Flash du mois de mai 2009_Budget 2011 v1 (4)" xfId="0"/>
    <cellStyle name="_TableHeading_commentaires fixe  internet Déc 08_Reporting Onatel Avril 2009 V0_Flash du mois de mai 2009_Budget 2011 v1 (4) 2" xfId="0"/>
    <cellStyle name="_TableHeading_commentaires fixe  internet Déc 08_Reporting Onatel Avril 2009 V0_Flash du mois de mai 2009_Budget Telmob 2011" xfId="0"/>
    <cellStyle name="_TableHeading_commentaires fixe  internet Déc 08_Reporting Onatel Avril 2009 V0_Flash du mois de mai 2009_Budget Telmob 2011 2" xfId="0"/>
    <cellStyle name="_TableHeading_commentaires fixe  internet Déc 08_Reporting Onatel Avril 2009 V0_Reporting Onatel Mai 2009 V 0" xfId="0"/>
    <cellStyle name="_TableHeading_commentaires fixe  internet Déc 08_Reporting Onatel Avril 2009 V0_Reporting Onatel Mai 2009 V 0 2" xfId="0"/>
    <cellStyle name="_TableHeading_commentaires fixe  internet Déc 08_Reporting Onatel Avril 2009 V0_Reporting Onatel Mai 2009 V 0_Budget 2011 v1 (4)" xfId="0"/>
    <cellStyle name="_TableHeading_commentaires fixe  internet Déc 08_Reporting Onatel Avril 2009 V0_Reporting Onatel Mai 2009 V 0_Budget 2011 v1 (4) 2" xfId="0"/>
    <cellStyle name="_TableHeading_commentaires fixe  internet Déc 08_Reporting Onatel Avril 2009 V0_Reporting Onatel Mai 2009 V 0_Budget Telmob 2011" xfId="0"/>
    <cellStyle name="_TableHeading_commentaires fixe  internet Déc 08_Reporting Onatel Avril 2009 V0_Reporting Onatel Mai 2009 V 0_Budget Telmob 2011 2" xfId="0"/>
    <cellStyle name="_TableHeading_commentaires fixe  internet Déc 08_Reporting Onatel Avril 2009 V0_Reporting Onatel septembre  2009 préparé" xfId="0"/>
    <cellStyle name="_TableHeading_commentaires fixe  internet Déc 08_Reporting Onatel Avril 2009 V0_Reporting Onatel septembre  2009 préparé 2" xfId="0"/>
    <cellStyle name="_TableHeading_commentaires fixe  internet Déc 08_Reporting Onatel Avril 2009 V0_Reporting Onatel septembre  2009 préparé_Budget 2011 v1 (4)" xfId="0"/>
    <cellStyle name="_TableHeading_commentaires fixe  internet Déc 08_Reporting Onatel Avril 2009 V0_Reporting Onatel septembre  2009 préparé_Budget 2011 v1 (4) 2" xfId="0"/>
    <cellStyle name="_TableHeading_commentaires fixe  internet Déc 08_Reporting Onatel Mai 2009 V 0" xfId="0"/>
    <cellStyle name="_TableHeading_commentaires fixe  internet Déc 08_Reporting Onatel Mai 2009 V 0 2" xfId="0"/>
    <cellStyle name="_TableHeading_commentaires fixe  internet Déc 08_Reporting Onatel Mai 2009 V 0 A ENVOYE" xfId="0"/>
    <cellStyle name="_TableHeading_commentaires fixe  internet Déc 08_Reporting Onatel Mai 2009 V 0 A ENVOYE 2" xfId="0"/>
    <cellStyle name="_TableHeading_commentaires fixe  internet Déc 08_Reporting Onatel Mai 2009 V 0 A ENVOYE_Budget 2011 v1 (4)" xfId="0"/>
    <cellStyle name="_TableHeading_commentaires fixe  internet Déc 08_Reporting Onatel Mai 2009 V 0 A ENVOYE_Budget 2011 v1 (4) 2" xfId="0"/>
    <cellStyle name="_TableHeading_commentaires fixe  internet Déc 08_Reporting Onatel Mai 2009 V 0 A ENVOYE_Budget Telmob 2011" xfId="0"/>
    <cellStyle name="_TableHeading_commentaires fixe  internet Déc 08_Reporting Onatel Mai 2009 V 0 A ENVOYE_Budget Telmob 2011 2" xfId="0"/>
    <cellStyle name="_TableHeading_commentaires fixe  internet Déc 08_Reporting Onatel Mai 2009 V 0 A ENVOYE_Reporting Onatel septembre  2009 préparé" xfId="0"/>
    <cellStyle name="_TableHeading_commentaires fixe  internet Déc 08_Reporting Onatel Mai 2009 V 0 A ENVOYE_Reporting Onatel septembre  2009 préparé 2" xfId="0"/>
    <cellStyle name="_TableHeading_commentaires fixe  internet Déc 08_Reporting Onatel Mai 2009 V 0 A ENVOYE_Reporting Onatel septembre  2009 préparé_Budget 2011 v1 (4)" xfId="0"/>
    <cellStyle name="_TableHeading_commentaires fixe  internet Déc 08_Reporting Onatel Mai 2009 V 0 A ENVOYE_Reporting Onatel septembre  2009 préparé_Budget 2011 v1 (4) 2" xfId="0"/>
    <cellStyle name="_TableHeading_commentaires fixe  internet Déc 08_Reporting Onatel Mai 2009 V 0_Budget 2011 v1 (4)" xfId="0"/>
    <cellStyle name="_TableHeading_commentaires fixe  internet Déc 08_Reporting Onatel Mai 2009 V 0_Budget 2011 v1 (4) 2" xfId="0"/>
    <cellStyle name="_TableHeading_commentaires fixe  internet Déc 08_Reporting Onatel Mai 2009 V 0_Budget Telmob 2011" xfId="0"/>
    <cellStyle name="_TableHeading_commentaires fixe  internet Déc 08_Reporting Onatel Mai 2009 V 0_Budget Telmob 2011 2" xfId="0"/>
    <cellStyle name="_TableHeading_commentaires fixe  internet Déc 08_Reporting Onatel septembre  2009 préparé" xfId="0"/>
    <cellStyle name="_TableHeading_commentaires fixe  internet Déc 08_Reporting Onatel septembre  2009 préparé 2" xfId="0"/>
    <cellStyle name="_TableHeading_commentaires fixe  internet Déc 08_Reporting Onatel septembre  2009 préparé_Budget 2011 v1 (4)" xfId="0"/>
    <cellStyle name="_TableHeading_commentaires fixe  internet Déc 08_Reporting Onatel septembre  2009 préparé_Budget 2011 v1 (4) 2" xfId="0"/>
    <cellStyle name="_TableHeading_commentaires fixe  internet Déc 08_TBG Onatel Février  2009  Vtbg V3" xfId="0"/>
    <cellStyle name="_TableHeading_commentaires fixe  internet Déc 08_TBG Onatel Février  2009  Vtbg V3 2" xfId="0"/>
    <cellStyle name="_TableHeading_commentaires fixe  internet Déc 08_TBG Onatel Février  2009  Vtbg V3_Budget 2011 v1 (4)" xfId="0"/>
    <cellStyle name="_TableHeading_commentaires fixe  internet Déc 08_TBG Onatel Février  2009  Vtbg V3_Budget 2011 v1 (4) 2" xfId="0"/>
    <cellStyle name="_TableHeading_commentaires fixe  internet Déc 08_TBG Onatel Février  2009  Vtbg V3_Budget Telmob 2011" xfId="0"/>
    <cellStyle name="_TableHeading_commentaires fixe  internet Déc 08_TBG Onatel Février  2009  Vtbg V3_Budget Telmob 2011 2" xfId="0"/>
    <cellStyle name="_TableHeading_commentaires fixe  internet Déc 08_TBG Onatel Février  2009  Vtbg V3_Commentaires TBG mars" xfId="0"/>
    <cellStyle name="_TableHeading_commentaires fixe  internet Déc 08_TBG Onatel Février  2009  Vtbg V3_Commentaires TBG mars 2" xfId="0"/>
    <cellStyle name="_TableHeading_commentaires fixe  internet Déc 08_TBG Onatel Février  2009  Vtbg V3_Commentaires TBG mars_Budget 2011 v1 (4)" xfId="0"/>
    <cellStyle name="_TableHeading_commentaires fixe  internet Déc 08_TBG Onatel Février  2009  Vtbg V3_Commentaires TBG mars_Budget 2011 v1 (4) 2" xfId="0"/>
    <cellStyle name="_TableHeading_commentaires fixe  internet Déc 08_TBG Onatel Février  2009  Vtbg V3_Commentaires TBG mars_Budget Telmob 2011" xfId="0"/>
    <cellStyle name="_TableHeading_commentaires fixe  internet Déc 08_TBG Onatel Février  2009  Vtbg V3_Commentaires TBG mars_Budget Telmob 2011 2" xfId="0"/>
    <cellStyle name="_TableHeading_commentaires fixe  internet Déc 08_TBG Onatel Février  2009  Vtbg V3_Commentaires TBG mars_Copie de Flash du mois d' avril 2009 corrigé par NAIMI" xfId="0"/>
    <cellStyle name="_TableHeading_commentaires fixe  internet Déc 08_TBG Onatel Février  2009  Vtbg V3_Commentaires TBG mars_Copie de Flash du mois d' avril 2009 corrigé par NAIMI 2" xfId="0"/>
    <cellStyle name="_TableHeading_commentaires fixe  internet Déc 08_TBG Onatel Février  2009  Vtbg V3_Commentaires TBG mars_Copie de Flash du mois d' avril 2009 corrigé par NAIMI_Budget 2011 v1 (4)" xfId="0"/>
    <cellStyle name="_TableHeading_commentaires fixe  internet Déc 08_TBG Onatel Février  2009  Vtbg V3_Commentaires TBG mars_Copie de Flash du mois d' avril 2009 corrigé par NAIMI_Budget 2011 v1 (4) 2" xfId="0"/>
    <cellStyle name="_TableHeading_commentaires fixe  internet Déc 08_TBG Onatel Février  2009  Vtbg V3_Commentaires TBG mars_Copie de Flash du mois d' avril 2009 corrigé par NAIMI_Budget Telmob 2011" xfId="0"/>
    <cellStyle name="_TableHeading_commentaires fixe  internet Déc 08_TBG Onatel Février  2009  Vtbg V3_Commentaires TBG mars_Copie de Flash du mois d' avril 2009 corrigé par NAIMI_Budget Telmob 2011 2" xfId="0"/>
    <cellStyle name="_TableHeading_commentaires fixe  internet Déc 08_TBG Onatel Février  2009  Vtbg V3_Commentaires TBG mars_Copie de Flash du mois d' avril 2009 corrigé par NAIMI_Flash du mois de mai 2009" xfId="0"/>
    <cellStyle name="_TableHeading_commentaires fixe  internet Déc 08_TBG Onatel Février  2009  Vtbg V3_Commentaires TBG mars_Copie de Flash du mois d' avril 2009 corrigé par NAIMI_Flash du mois de mai 2009 2" xfId="0"/>
    <cellStyle name="_TableHeading_commentaires fixe  internet Déc 08_TBG Onatel Février  2009  Vtbg V3_Commentaires TBG mars_Copie de Flash du mois d' avril 2009 corrigé par NAIMI_Flash du mois de mai 2009_Budget 2011 v1 (4)" xfId="0"/>
    <cellStyle name="_TableHeading_commentaires fixe  internet Déc 08_TBG Onatel Février  2009  Vtbg V3_Commentaires TBG mars_Copie de Flash du mois d' avril 2009 corrigé par NAIMI_Flash du mois de mai 2009_Budget 2011 v1 (4) 2" xfId="0"/>
    <cellStyle name="_TableHeading_commentaires fixe  internet Déc 08_TBG Onatel Février  2009  Vtbg V3_Commentaires TBG mars_Copie de Flash du mois d' avril 2009 corrigé par NAIMI_Flash du mois de mai 2009_Budget Telmob 2011" xfId="0"/>
    <cellStyle name="_TableHeading_commentaires fixe  internet Déc 08_TBG Onatel Février  2009  Vtbg V3_Commentaires TBG mars_Copie de Flash du mois d' avril 2009 corrigé par NAIMI_Flash du mois de mai 2009_Budget Telmob 2011 2" xfId="0"/>
    <cellStyle name="_TableHeading_commentaires fixe  internet Déc 08_TBG Onatel Février  2009  Vtbg V3_Commentaires TBG mars_Copie de Flash du mois d' avril 2009 corrigé par NAIMI_Reporting Onatel Mai 2009 V 0" xfId="0"/>
    <cellStyle name="_TableHeading_commentaires fixe  internet Déc 08_TBG Onatel Février  2009  Vtbg V3_Commentaires TBG mars_Copie de Flash du mois d' avril 2009 corrigé par NAIMI_Reporting Onatel Mai 2009 V 0 2" xfId="0"/>
    <cellStyle name="_TableHeading_commentaires fixe  internet Déc 08_TBG Onatel Février  2009  Vtbg V3_Commentaires TBG mars_Copie de Flash du mois d' avril 2009 corrigé par NAIMI_Reporting Onatel Mai 2009 V 0_Budget 2011 v1 (4)" xfId="0"/>
    <cellStyle name="_TableHeading_commentaires fixe  internet Déc 08_TBG Onatel Février  2009  Vtbg V3_Commentaires TBG mars_Copie de Flash du mois d' avril 2009 corrigé par NAIMI_Reporting Onatel Mai 2009 V 0_Budget 2011 v1 (4) 2" xfId="0"/>
    <cellStyle name="_TableHeading_commentaires fixe  internet Déc 08_TBG Onatel Février  2009  Vtbg V3_Commentaires TBG mars_Copie de Flash du mois d' avril 2009 corrigé par NAIMI_Reporting Onatel Mai 2009 V 0_Budget Telmob 2011" xfId="0"/>
    <cellStyle name="_TableHeading_commentaires fixe  internet Déc 08_TBG Onatel Février  2009  Vtbg V3_Commentaires TBG mars_Copie de Flash du mois d' avril 2009 corrigé par NAIMI_Reporting Onatel Mai 2009 V 0_Budget Telmob 2011 2" xfId="0"/>
    <cellStyle name="_TableHeading_commentaires fixe  internet Déc 08_TBG Onatel Février  2009  Vtbg V3_Commentaires TBG mars_Copie de Flash du mois d' avril 2009 corrigé par NAIMI_Reporting Onatel Mai 2009 V 0_Reporting Onatel septembre  2009 préparé" xfId="0"/>
    <cellStyle name="_TableHeading_commentaires fixe  internet Déc 08_TBG Onatel Février  2009  Vtbg V3_Commentaires TBG mars_Copie de Flash du mois d' avril 2009 corrigé par NAIMI_Reporting Onatel Mai 2009 V 0_Reporting Onatel septembre  2009 préparé 2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0"/>
    <cellStyle name="_TableHeading_commentaires fixe  internet Déc 08_TBG Onatel Février  2009  Vtbg V3_Commentaires TBG mars_Copie de Flash du mois d' avril 2009 corrigé par NAIMI_Reporting Onatel septembre  2009 préparé" xfId="0"/>
    <cellStyle name="_TableHeading_commentaires fixe  internet Déc 08_TBG Onatel Février  2009  Vtbg V3_Commentaires TBG mars_Copie de Flash du mois d' avril 2009 corrigé par NAIMI_Reporting Onatel septembre  2009 préparé 2" xfId="0"/>
    <cellStyle name="_TableHeading_commentaires fixe  internet Déc 08_TBG Onatel Février  2009  Vtbg V3_Commentaires TBG mars_Copie de Flash du mois d' avril 2009 corrigé par NAIMI_Reporting Onatel septembre  2009 préparé_Budget 2011 v1 (4)" xfId="0"/>
    <cellStyle name="_TableHeading_commentaires fixe  internet Déc 08_TBG Onatel Février  2009  Vtbg V3_Commentaires TBG mars_Copie de Flash du mois d' avril 2009 corrigé par NAIMI_Reporting Onatel septembre  2009 préparé_Budget 2011 v1 (4) 2" xfId="0"/>
    <cellStyle name="_TableHeading_commentaires fixe  internet Déc 08_TBG Onatel Février  2009  Vtbg V3_Commentaires TBG mars_Flash du mois d' avril 2009" xfId="0"/>
    <cellStyle name="_TableHeading_commentaires fixe  internet Déc 08_TBG Onatel Février  2009  Vtbg V3_Commentaires TBG mars_Flash du mois d' avril 2009 2" xfId="0"/>
    <cellStyle name="_TableHeading_commentaires fixe  internet Déc 08_TBG Onatel Février  2009  Vtbg V3_Commentaires TBG mars_Flash du mois d' avril 2009_Budget 2011 v1 (4)" xfId="0"/>
    <cellStyle name="_TableHeading_commentaires fixe  internet Déc 08_TBG Onatel Février  2009  Vtbg V3_Commentaires TBG mars_Flash du mois d' avril 2009_Budget 2011 v1 (4) 2" xfId="0"/>
    <cellStyle name="_TableHeading_commentaires fixe  internet Déc 08_TBG Onatel Février  2009  Vtbg V3_Commentaires TBG mars_Flash du mois d' avril 2009_Budget Telmob 2011" xfId="0"/>
    <cellStyle name="_TableHeading_commentaires fixe  internet Déc 08_TBG Onatel Février  2009  Vtbg V3_Commentaires TBG mars_Flash du mois d' avril 2009_Budget Telmob 2011 2" xfId="0"/>
    <cellStyle name="_TableHeading_commentaires fixe  internet Déc 08_TBG Onatel Février  2009  Vtbg V3_Commentaires TBG mars_Flash du mois d' avril 2009_Flash du mois de mai 2009" xfId="0"/>
    <cellStyle name="_TableHeading_commentaires fixe  internet Déc 08_TBG Onatel Février  2009  Vtbg V3_Commentaires TBG mars_Flash du mois d' avril 2009_Flash du mois de mai 2009 2" xfId="0"/>
    <cellStyle name="_TableHeading_commentaires fixe  internet Déc 08_TBG Onatel Février  2009  Vtbg V3_Commentaires TBG mars_Flash du mois d' avril 2009_Flash du mois de mai 2009_Budget 2011 v1 (4)" xfId="0"/>
    <cellStyle name="_TableHeading_commentaires fixe  internet Déc 08_TBG Onatel Février  2009  Vtbg V3_Commentaires TBG mars_Flash du mois d' avril 2009_Flash du mois de mai 2009_Budget 2011 v1 (4) 2" xfId="0"/>
    <cellStyle name="_TableHeading_commentaires fixe  internet Déc 08_TBG Onatel Février  2009  Vtbg V3_Commentaires TBG mars_Flash du mois d' avril 2009_Flash du mois de mai 2009_Budget Telmob 2011" xfId="0"/>
    <cellStyle name="_TableHeading_commentaires fixe  internet Déc 08_TBG Onatel Février  2009  Vtbg V3_Commentaires TBG mars_Flash du mois d' avril 2009_Flash du mois de mai 2009_Budget Telmob 2011 2" xfId="0"/>
    <cellStyle name="_TableHeading_commentaires fixe  internet Déc 08_TBG Onatel Février  2009  Vtbg V3_Commentaires TBG mars_Flash du mois d' avril 2009_Reporting Onatel Mai 2009 V 0" xfId="0"/>
    <cellStyle name="_TableHeading_commentaires fixe  internet Déc 08_TBG Onatel Février  2009  Vtbg V3_Commentaires TBG mars_Flash du mois d' avril 2009_Reporting Onatel Mai 2009 V 0 2" xfId="0"/>
    <cellStyle name="_TableHeading_commentaires fixe  internet Déc 08_TBG Onatel Février  2009  Vtbg V3_Commentaires TBG mars_Flash du mois d' avril 2009_Reporting Onatel Mai 2009 V 0_Budget 2011 v1 (4)" xfId="0"/>
    <cellStyle name="_TableHeading_commentaires fixe  internet Déc 08_TBG Onatel Février  2009  Vtbg V3_Commentaires TBG mars_Flash du mois d' avril 2009_Reporting Onatel Mai 2009 V 0_Budget 2011 v1 (4) 2" xfId="0"/>
    <cellStyle name="_TableHeading_commentaires fixe  internet Déc 08_TBG Onatel Février  2009  Vtbg V3_Commentaires TBG mars_Flash du mois d' avril 2009_Reporting Onatel Mai 2009 V 0_Budget Telmob 2011" xfId="0"/>
    <cellStyle name="_TableHeading_commentaires fixe  internet Déc 08_TBG Onatel Février  2009  Vtbg V3_Commentaires TBG mars_Flash du mois d' avril 2009_Reporting Onatel Mai 2009 V 0_Budget Telmob 2011 2" xfId="0"/>
    <cellStyle name="_TableHeading_commentaires fixe  internet Déc 08_TBG Onatel Février  2009  Vtbg V3_Commentaires TBG mars_Flash du mois d' avril 2009_Reporting Onatel septembre  2009 préparé" xfId="0"/>
    <cellStyle name="_TableHeading_commentaires fixe  internet Déc 08_TBG Onatel Février  2009  Vtbg V3_Commentaires TBG mars_Flash du mois d' avril 2009_Reporting Onatel septembre  2009 préparé 2" xfId="0"/>
    <cellStyle name="_TableHeading_commentaires fixe  internet Déc 08_TBG Onatel Février  2009  Vtbg V3_Commentaires TBG mars_Flash du mois d' avril 2009_Reporting Onatel septembre  2009 préparé_Budget 2011 v1 (4)" xfId="0"/>
    <cellStyle name="_TableHeading_commentaires fixe  internet Déc 08_TBG Onatel Février  2009  Vtbg V3_Commentaires TBG mars_Flash du mois d' avril 2009_Reporting Onatel septembre  2009 préparé_Budget 2011 v1 (4) 2" xfId="0"/>
    <cellStyle name="_TableHeading_commentaires fixe  internet Déc 08_TBG Onatel Février  2009  Vtbg V3_Commentaires TBG mars_Flash du mois de mai 2009" xfId="0"/>
    <cellStyle name="_TableHeading_commentaires fixe  internet Déc 08_TBG Onatel Février  2009  Vtbg V3_Commentaires TBG mars_Flash du mois de mai 2009 2" xfId="0"/>
    <cellStyle name="_TableHeading_commentaires fixe  internet Déc 08_TBG Onatel Février  2009  Vtbg V3_Commentaires TBG mars_Flash du mois de mai 2009_Budget 2011 v1 (4)" xfId="0"/>
    <cellStyle name="_TableHeading_commentaires fixe  internet Déc 08_TBG Onatel Février  2009  Vtbg V3_Commentaires TBG mars_Flash du mois de mai 2009_Budget 2011 v1 (4) 2" xfId="0"/>
    <cellStyle name="_TableHeading_commentaires fixe  internet Déc 08_TBG Onatel Février  2009  Vtbg V3_Commentaires TBG mars_Flash du mois de mai 2009_Budget Telmob 2011" xfId="0"/>
    <cellStyle name="_TableHeading_commentaires fixe  internet Déc 08_TBG Onatel Février  2009  Vtbg V3_Commentaires TBG mars_Flash du mois de mai 2009_Budget Telmob 2011 2" xfId="0"/>
    <cellStyle name="_TableHeading_commentaires fixe  internet Déc 08_TBG Onatel Février  2009  Vtbg V3_Commentaires TBG mars_Reporting Onatel Mai 2009 V 0" xfId="0"/>
    <cellStyle name="_TableHeading_commentaires fixe  internet Déc 08_TBG Onatel Février  2009  Vtbg V3_Commentaires TBG mars_Reporting Onatel Mai 2009 V 0 2" xfId="0"/>
    <cellStyle name="_TableHeading_commentaires fixe  internet Déc 08_TBG Onatel Février  2009  Vtbg V3_Commentaires TBG mars_Reporting Onatel Mai 2009 V 0_Budget 2011 v1 (4)" xfId="0"/>
    <cellStyle name="_TableHeading_commentaires fixe  internet Déc 08_TBG Onatel Février  2009  Vtbg V3_Commentaires TBG mars_Reporting Onatel Mai 2009 V 0_Budget 2011 v1 (4) 2" xfId="0"/>
    <cellStyle name="_TableHeading_commentaires fixe  internet Déc 08_TBG Onatel Février  2009  Vtbg V3_Commentaires TBG mars_Reporting Onatel Mai 2009 V 0_Budget Telmob 2011" xfId="0"/>
    <cellStyle name="_TableHeading_commentaires fixe  internet Déc 08_TBG Onatel Février  2009  Vtbg V3_Commentaires TBG mars_Reporting Onatel Mai 2009 V 0_Budget Telmob 2011 2" xfId="0"/>
    <cellStyle name="_TableHeading_commentaires fixe  internet Déc 08_TBG Onatel Février  2009  Vtbg V3_Commentaires TBG mars_Reporting Onatel septembre  2009 préparé" xfId="0"/>
    <cellStyle name="_TableHeading_commentaires fixe  internet Déc 08_TBG Onatel Février  2009  Vtbg V3_Commentaires TBG mars_Reporting Onatel septembre  2009 préparé 2" xfId="0"/>
    <cellStyle name="_TableHeading_commentaires fixe  internet Déc 08_TBG Onatel Février  2009  Vtbg V3_Commentaires TBG mars_Reporting Onatel septembre  2009 préparé_Budget 2011 v1 (4)" xfId="0"/>
    <cellStyle name="_TableHeading_commentaires fixe  internet Déc 08_TBG Onatel Février  2009  Vtbg V3_Commentaires TBG mars_Reporting Onatel septembre  2009 préparé_Budget 2011 v1 (4) 2" xfId="0"/>
    <cellStyle name="_TableHeading_commentaires fixe  internet Déc 08_TBG Onatel Février  2009  Vtbg V3_Copie de Flash du mois d' avril 2009 corrigé par NAIMI" xfId="0"/>
    <cellStyle name="_TableHeading_commentaires fixe  internet Déc 08_TBG Onatel Février  2009  Vtbg V3_Copie de Flash du mois d' avril 2009 corrigé par NAIMI 2" xfId="0"/>
    <cellStyle name="_TableHeading_commentaires fixe  internet Déc 08_TBG Onatel Février  2009  Vtbg V3_Copie de Flash du mois d' avril 2009 corrigé par NAIMI_Budget 2011 v1 (4)" xfId="0"/>
    <cellStyle name="_TableHeading_commentaires fixe  internet Déc 08_TBG Onatel Février  2009  Vtbg V3_Copie de Flash du mois d' avril 2009 corrigé par NAIMI_Budget 2011 v1 (4) 2" xfId="0"/>
    <cellStyle name="_TableHeading_commentaires fixe  internet Déc 08_TBG Onatel Février  2009  Vtbg V3_Copie de Flash du mois d' avril 2009 corrigé par NAIMI_Budget Telmob 2011" xfId="0"/>
    <cellStyle name="_TableHeading_commentaires fixe  internet Déc 08_TBG Onatel Février  2009  Vtbg V3_Copie de Flash du mois d' avril 2009 corrigé par NAIMI_Budget Telmob 2011 2" xfId="0"/>
    <cellStyle name="_TableHeading_commentaires fixe  internet Déc 08_TBG Onatel Février  2009  Vtbg V3_Copie de Flash du mois d' avril 2009 corrigé par NAIMI_Flash du mois de mai 2009" xfId="0"/>
    <cellStyle name="_TableHeading_commentaires fixe  internet Déc 08_TBG Onatel Février  2009  Vtbg V3_Copie de Flash du mois d' avril 2009 corrigé par NAIMI_Flash du mois de mai 2009 2" xfId="0"/>
    <cellStyle name="_TableHeading_commentaires fixe  internet Déc 08_TBG Onatel Février  2009  Vtbg V3_Copie de Flash du mois d' avril 2009 corrigé par NAIMI_Flash du mois de mai 2009_Budget 2011 v1 (4)" xfId="0"/>
    <cellStyle name="_TableHeading_commentaires fixe  internet Déc 08_TBG Onatel Février  2009  Vtbg V3_Copie de Flash du mois d' avril 2009 corrigé par NAIMI_Flash du mois de mai 2009_Budget 2011 v1 (4) 2" xfId="0"/>
    <cellStyle name="_TableHeading_commentaires fixe  internet Déc 08_TBG Onatel Février  2009  Vtbg V3_Copie de Flash du mois d' avril 2009 corrigé par NAIMI_Flash du mois de mai 2009_Budget Telmob 2011" xfId="0"/>
    <cellStyle name="_TableHeading_commentaires fixe  internet Déc 08_TBG Onatel Février  2009  Vtbg V3_Copie de Flash du mois d' avril 2009 corrigé par NAIMI_Flash du mois de mai 2009_Budget Telmob 2011 2" xfId="0"/>
    <cellStyle name="_TableHeading_commentaires fixe  internet Déc 08_TBG Onatel Février  2009  Vtbg V3_Copie de Flash du mois d' avril 2009 corrigé par NAIMI_Reporting Onatel Mai 2009 V 0" xfId="0"/>
    <cellStyle name="_TableHeading_commentaires fixe  internet Déc 08_TBG Onatel Février  2009  Vtbg V3_Copie de Flash du mois d' avril 2009 corrigé par NAIMI_Reporting Onatel Mai 2009 V 0 2" xfId="0"/>
    <cellStyle name="_TableHeading_commentaires fixe  internet Déc 08_TBG Onatel Février  2009  Vtbg V3_Copie de Flash du mois d' avril 2009 corrigé par NAIMI_Reporting Onatel Mai 2009 V 0_Budget 2011 v1 (4)" xfId="0"/>
    <cellStyle name="_TableHeading_commentaires fixe  internet Déc 08_TBG Onatel Février  2009  Vtbg V3_Copie de Flash du mois d' avril 2009 corrigé par NAIMI_Reporting Onatel Mai 2009 V 0_Budget 2011 v1 (4) 2" xfId="0"/>
    <cellStyle name="_TableHeading_commentaires fixe  internet Déc 08_TBG Onatel Février  2009  Vtbg V3_Copie de Flash du mois d' avril 2009 corrigé par NAIMI_Reporting Onatel Mai 2009 V 0_Budget Telmob 2011" xfId="0"/>
    <cellStyle name="_TableHeading_commentaires fixe  internet Déc 08_TBG Onatel Février  2009  Vtbg V3_Copie de Flash du mois d' avril 2009 corrigé par NAIMI_Reporting Onatel Mai 2009 V 0_Budget Telmob 2011 2" xfId="0"/>
    <cellStyle name="_TableHeading_commentaires fixe  internet Déc 08_TBG Onatel Février  2009  Vtbg V3_Copie de Flash du mois d' avril 2009 corrigé par NAIMI_Reporting Onatel Mai 2009 V 0_Reporting Onatel septembre  2009 préparé" xfId="0"/>
    <cellStyle name="_TableHeading_commentaires fixe  internet Déc 08_TBG Onatel Février  2009  Vtbg V3_Copie de Flash du mois d' avril 2009 corrigé par NAIMI_Reporting Onatel Mai 2009 V 0_Reporting Onatel septembre  2009 préparé 2" xfId="0"/>
    <cellStyle name="_TableHeading_commentaires fixe  internet Déc 08_TBG Onatel Février  2009  Vtbg V3_Copie de Flash du mois d' avril 2009 corrigé par NAIMI_Reporting Onatel Mai 2009 V 0_Reporting Onatel septembre  2009 préparé_Budget 2011 v1 (4)" xfId="0"/>
    <cellStyle name="_TableHeading_commentaires fixe  internet Déc 08_TBG Onatel Février  2009  Vtbg V3_Copie de Flash du mois d' avril 2009 corrigé par NAIMI_Reporting Onatel Mai 2009 V 0_Reporting Onatel septembre  2009 préparé_Budget 2011 v1 (4) 2" xfId="0"/>
    <cellStyle name="_TableHeading_commentaires fixe  internet Déc 08_TBG Onatel Février  2009  Vtbg V3_Copie de Flash du mois d' avril 2009 corrigé par NAIMI_Reporting Onatel septembre  2009 préparé" xfId="0"/>
    <cellStyle name="_TableHeading_commentaires fixe  internet Déc 08_TBG Onatel Février  2009  Vtbg V3_Copie de Flash du mois d' avril 2009 corrigé par NAIMI_Reporting Onatel septembre  2009 préparé 2" xfId="0"/>
    <cellStyle name="_TableHeading_commentaires fixe  internet Déc 08_TBG Onatel Février  2009  Vtbg V3_Copie de Flash du mois d' avril 2009 corrigé par NAIMI_Reporting Onatel septembre  2009 préparé_Budget 2011 v1 (4)" xfId="0"/>
    <cellStyle name="_TableHeading_commentaires fixe  internet Déc 08_TBG Onatel Février  2009  Vtbg V3_Copie de Flash du mois d' avril 2009 corrigé par NAIMI_Reporting Onatel septembre  2009 préparé_Budget 2011 v1 (4) 2" xfId="0"/>
    <cellStyle name="_TableHeading_commentaires fixe  internet Déc 08_TBG Onatel Février  2009  Vtbg V3_Flash du mois d' avril 2009" xfId="0"/>
    <cellStyle name="_TableHeading_commentaires fixe  internet Déc 08_TBG Onatel Février  2009  Vtbg V3_Flash du mois d' avril 2009 2" xfId="0"/>
    <cellStyle name="_TableHeading_commentaires fixe  internet Déc 08_TBG Onatel Février  2009  Vtbg V3_Flash du mois d' avril 2009_Budget 2011 v1 (4)" xfId="0"/>
    <cellStyle name="_TableHeading_commentaires fixe  internet Déc 08_TBG Onatel Février  2009  Vtbg V3_Flash du mois d' avril 2009_Budget 2011 v1 (4) 2" xfId="0"/>
    <cellStyle name="_TableHeading_commentaires fixe  internet Déc 08_TBG Onatel Février  2009  Vtbg V3_Flash du mois d' avril 2009_Budget Telmob 2011" xfId="0"/>
    <cellStyle name="_TableHeading_commentaires fixe  internet Déc 08_TBG Onatel Février  2009  Vtbg V3_Flash du mois d' avril 2009_Budget Telmob 2011 2" xfId="0"/>
    <cellStyle name="_TableHeading_commentaires fixe  internet Déc 08_TBG Onatel Février  2009  Vtbg V3_Flash du mois d' avril 2009_Flash du mois de mai 2009" xfId="0"/>
    <cellStyle name="_TableHeading_commentaires fixe  internet Déc 08_TBG Onatel Février  2009  Vtbg V3_Flash du mois d' avril 2009_Flash du mois de mai 2009 2" xfId="0"/>
    <cellStyle name="_TableHeading_commentaires fixe  internet Déc 08_TBG Onatel Février  2009  Vtbg V3_Flash du mois d' avril 2009_Flash du mois de mai 2009_Budget 2011 v1 (4)" xfId="0"/>
    <cellStyle name="_TableHeading_commentaires fixe  internet Déc 08_TBG Onatel Février  2009  Vtbg V3_Flash du mois d' avril 2009_Flash du mois de mai 2009_Budget 2011 v1 (4) 2" xfId="0"/>
    <cellStyle name="_TableHeading_commentaires fixe  internet Déc 08_TBG Onatel Février  2009  Vtbg V3_Flash du mois d' avril 2009_Flash du mois de mai 2009_Budget Telmob 2011" xfId="0"/>
    <cellStyle name="_TableHeading_commentaires fixe  internet Déc 08_TBG Onatel Février  2009  Vtbg V3_Flash du mois d' avril 2009_Flash du mois de mai 2009_Budget Telmob 2011 2" xfId="0"/>
    <cellStyle name="_TableHeading_commentaires fixe  internet Déc 08_TBG Onatel Février  2009  Vtbg V3_Flash du mois d' avril 2009_Reporting Onatel Mai 2009 V 0" xfId="0"/>
    <cellStyle name="_TableHeading_commentaires fixe  internet Déc 08_TBG Onatel Février  2009  Vtbg V3_Flash du mois d' avril 2009_Reporting Onatel Mai 2009 V 0 2" xfId="0"/>
    <cellStyle name="_TableHeading_commentaires fixe  internet Déc 08_TBG Onatel Février  2009  Vtbg V3_Flash du mois d' avril 2009_Reporting Onatel Mai 2009 V 0_Budget 2011 v1 (4)" xfId="0"/>
    <cellStyle name="_TableHeading_commentaires fixe  internet Déc 08_TBG Onatel Février  2009  Vtbg V3_Flash du mois d' avril 2009_Reporting Onatel Mai 2009 V 0_Budget 2011 v1 (4) 2" xfId="0"/>
    <cellStyle name="_TableHeading_commentaires fixe  internet Déc 08_TBG Onatel Février  2009  Vtbg V3_Flash du mois d' avril 2009_Reporting Onatel Mai 2009 V 0_Budget Telmob 2011" xfId="0"/>
    <cellStyle name="_TableHeading_commentaires fixe  internet Déc 08_TBG Onatel Février  2009  Vtbg V3_Flash du mois d' avril 2009_Reporting Onatel Mai 2009 V 0_Budget Telmob 2011 2" xfId="0"/>
    <cellStyle name="_TableHeading_commentaires fixe  internet Déc 08_TBG Onatel Février  2009  Vtbg V3_Flash du mois d' avril 2009_Reporting Onatel septembre  2009 préparé" xfId="0"/>
    <cellStyle name="_TableHeading_commentaires fixe  internet Déc 08_TBG Onatel Février  2009  Vtbg V3_Flash du mois d' avril 2009_Reporting Onatel septembre  2009 préparé 2" xfId="0"/>
    <cellStyle name="_TableHeading_commentaires fixe  internet Déc 08_TBG Onatel Février  2009  Vtbg V3_Flash du mois d' avril 2009_Reporting Onatel septembre  2009 préparé_Budget 2011 v1 (4)" xfId="0"/>
    <cellStyle name="_TableHeading_commentaires fixe  internet Déc 08_TBG Onatel Février  2009  Vtbg V3_Flash du mois d' avril 2009_Reporting Onatel septembre  2009 préparé_Budget 2011 v1 (4) 2" xfId="0"/>
    <cellStyle name="_TableHeading_commentaires fixe  internet Déc 08_TBG Onatel Février  2009  Vtbg V3_Flash du mois de mai 2009" xfId="0"/>
    <cellStyle name="_TableHeading_commentaires fixe  internet Déc 08_TBG Onatel Février  2009  Vtbg V3_Flash du mois de mai 2009 2" xfId="0"/>
    <cellStyle name="_TableHeading_commentaires fixe  internet Déc 08_TBG Onatel Février  2009  Vtbg V3_Flash du mois de mai 2009_Budget 2011 v1 (4)" xfId="0"/>
    <cellStyle name="_TableHeading_commentaires fixe  internet Déc 08_TBG Onatel Février  2009  Vtbg V3_Flash du mois de mai 2009_Budget 2011 v1 (4) 2" xfId="0"/>
    <cellStyle name="_TableHeading_commentaires fixe  internet Déc 08_TBG Onatel Février  2009  Vtbg V3_Flash du mois de mai 2009_Budget Telmob 2011" xfId="0"/>
    <cellStyle name="_TableHeading_commentaires fixe  internet Déc 08_TBG Onatel Février  2009  Vtbg V3_Flash du mois de mai 2009_Budget Telmob 2011 2" xfId="0"/>
    <cellStyle name="_TableHeading_commentaires fixe  internet Déc 08_TBG Onatel Février  2009  Vtbg V3_Reporting Onatel Mai 2009 V 0" xfId="0"/>
    <cellStyle name="_TableHeading_commentaires fixe  internet Déc 08_TBG Onatel Février  2009  Vtbg V3_Reporting Onatel Mai 2009 V 0 2" xfId="0"/>
    <cellStyle name="_TableHeading_commentaires fixe  internet Déc 08_TBG Onatel Février  2009  Vtbg V3_Reporting Onatel Mai 2009 V 0_Budget 2011 v1 (4)" xfId="0"/>
    <cellStyle name="_TableHeading_commentaires fixe  internet Déc 08_TBG Onatel Février  2009  Vtbg V3_Reporting Onatel Mai 2009 V 0_Budget 2011 v1 (4) 2" xfId="0"/>
    <cellStyle name="_TableHeading_commentaires fixe  internet Déc 08_TBG Onatel Février  2009  Vtbg V3_Reporting Onatel Mai 2009 V 0_Budget Telmob 2011" xfId="0"/>
    <cellStyle name="_TableHeading_commentaires fixe  internet Déc 08_TBG Onatel Février  2009  Vtbg V3_Reporting Onatel Mai 2009 V 0_Budget Telmob 2011 2" xfId="0"/>
    <cellStyle name="_TableHeading_commentaires fixe  internet Déc 08_TBG Onatel Février  2009  Vtbg V3_Reporting Onatel septembre  2009 préparé" xfId="0"/>
    <cellStyle name="_TableHeading_commentaires fixe  internet Déc 08_TBG Onatel Février  2009  Vtbg V3_Reporting Onatel septembre  2009 préparé 2" xfId="0"/>
    <cellStyle name="_TableHeading_commentaires fixe  internet Déc 08_TBG Onatel Février  2009  Vtbg V3_Reporting Onatel septembre  2009 préparé_Budget 2011 v1 (4)" xfId="0"/>
    <cellStyle name="_TableHeading_commentaires fixe  internet Déc 08_TBG Onatel Février  2009  Vtbg V3_Reporting Onatel septembre  2009 préparé_Budget 2011 v1 (4) 2" xfId="0"/>
    <cellStyle name="_TableHeading_Commentaires TBG mars" xfId="0"/>
    <cellStyle name="_TableHeading_Commentaires TBG mars 2" xfId="0"/>
    <cellStyle name="_TableHeading_Commentaires TBG mars_Budget 2011 v1 (4)" xfId="0"/>
    <cellStyle name="_TableHeading_Commentaires TBG mars_Budget 2011 v1 (4) 2" xfId="0"/>
    <cellStyle name="_TableHeading_Commentaires TBG mars_Budget Telmob 2011" xfId="0"/>
    <cellStyle name="_TableHeading_Commentaires TBG mars_Budget Telmob 2011 2" xfId="0"/>
    <cellStyle name="_TableHeading_Commentaires TBG mars_Copie de Flash du mois d' avril 2009 corrigé par NAIMI" xfId="0"/>
    <cellStyle name="_TableHeading_Commentaires TBG mars_Copie de Flash du mois d' avril 2009 corrigé par NAIMI 2" xfId="0"/>
    <cellStyle name="_TableHeading_Commentaires TBG mars_Copie de Flash du mois d' avril 2009 corrigé par NAIMI_Budget 2011 v1 (4)" xfId="0"/>
    <cellStyle name="_TableHeading_Commentaires TBG mars_Copie de Flash du mois d' avril 2009 corrigé par NAIMI_Budget 2011 v1 (4) 2" xfId="0"/>
    <cellStyle name="_TableHeading_Commentaires TBG mars_Copie de Flash du mois d' avril 2009 corrigé par NAIMI_Budget Telmob 2011" xfId="0"/>
    <cellStyle name="_TableHeading_Commentaires TBG mars_Copie de Flash du mois d' avril 2009 corrigé par NAIMI_Budget Telmob 2011 2" xfId="0"/>
    <cellStyle name="_TableHeading_Commentaires TBG mars_Copie de Flash du mois d' avril 2009 corrigé par NAIMI_Flash du mois de mai 2009" xfId="0"/>
    <cellStyle name="_TableHeading_Commentaires TBG mars_Copie de Flash du mois d' avril 2009 corrigé par NAIMI_Flash du mois de mai 2009 2" xfId="0"/>
    <cellStyle name="_TableHeading_Commentaires TBG mars_Copie de Flash du mois d' avril 2009 corrigé par NAIMI_Flash du mois de mai 2009_Budget 2011 v1 (4)" xfId="0"/>
    <cellStyle name="_TableHeading_Commentaires TBG mars_Copie de Flash du mois d' avril 2009 corrigé par NAIMI_Flash du mois de mai 2009_Budget 2011 v1 (4) 2" xfId="0"/>
    <cellStyle name="_TableHeading_Commentaires TBG mars_Copie de Flash du mois d' avril 2009 corrigé par NAIMI_Flash du mois de mai 2009_Budget Telmob 2011" xfId="0"/>
    <cellStyle name="_TableHeading_Commentaires TBG mars_Copie de Flash du mois d' avril 2009 corrigé par NAIMI_Flash du mois de mai 2009_Budget Telmob 2011 2" xfId="0"/>
    <cellStyle name="_TableHeading_Commentaires TBG mars_Copie de Flash du mois d' avril 2009 corrigé par NAIMI_Reporting Onatel Mai 2009 V 0" xfId="0"/>
    <cellStyle name="_TableHeading_Commentaires TBG mars_Copie de Flash du mois d' avril 2009 corrigé par NAIMI_Reporting Onatel Mai 2009 V 0 2" xfId="0"/>
    <cellStyle name="_TableHeading_Commentaires TBG mars_Copie de Flash du mois d' avril 2009 corrigé par NAIMI_Reporting Onatel Mai 2009 V 0_Budget 2011 v1 (4)" xfId="0"/>
    <cellStyle name="_TableHeading_Commentaires TBG mars_Copie de Flash du mois d' avril 2009 corrigé par NAIMI_Reporting Onatel Mai 2009 V 0_Budget 2011 v1 (4) 2" xfId="0"/>
    <cellStyle name="_TableHeading_Commentaires TBG mars_Copie de Flash du mois d' avril 2009 corrigé par NAIMI_Reporting Onatel Mai 2009 V 0_Budget Telmob 2011" xfId="0"/>
    <cellStyle name="_TableHeading_Commentaires TBG mars_Copie de Flash du mois d' avril 2009 corrigé par NAIMI_Reporting Onatel Mai 2009 V 0_Budget Telmob 2011 2" xfId="0"/>
    <cellStyle name="_TableHeading_Commentaires TBG mars_Copie de Flash du mois d' avril 2009 corrigé par NAIMI_Reporting Onatel Mai 2009 V 0_Reporting Onatel septembre  2009 préparé" xfId="0"/>
    <cellStyle name="_TableHeading_Commentaires TBG mars_Copie de Flash du mois d' avril 2009 corrigé par NAIMI_Reporting Onatel Mai 2009 V 0_Reporting Onatel septembre  2009 préparé 2" xfId="0"/>
    <cellStyle name="_TableHeading_Commentaires TBG mars_Copie de Flash du mois d' avril 2009 corrigé par NAIMI_Reporting Onatel Mai 2009 V 0_Reporting Onatel septembre  2009 préparé_Budget 2011 v1 (4)" xfId="0"/>
    <cellStyle name="_TableHeading_Commentaires TBG mars_Copie de Flash du mois d' avril 2009 corrigé par NAIMI_Reporting Onatel Mai 2009 V 0_Reporting Onatel septembre  2009 préparé_Budget 2011 v1 (4) 2" xfId="0"/>
    <cellStyle name="_TableHeading_Commentaires TBG mars_Copie de Flash du mois d' avril 2009 corrigé par NAIMI_Reporting Onatel septembre  2009 préparé" xfId="0"/>
    <cellStyle name="_TableHeading_Commentaires TBG mars_Copie de Flash du mois d' avril 2009 corrigé par NAIMI_Reporting Onatel septembre  2009 préparé 2" xfId="0"/>
    <cellStyle name="_TableHeading_Commentaires TBG mars_Copie de Flash du mois d' avril 2009 corrigé par NAIMI_Reporting Onatel septembre  2009 préparé_Budget 2011 v1 (4)" xfId="0"/>
    <cellStyle name="_TableHeading_Commentaires TBG mars_Copie de Flash du mois d' avril 2009 corrigé par NAIMI_Reporting Onatel septembre  2009 préparé_Budget 2011 v1 (4) 2" xfId="0"/>
    <cellStyle name="_TableHeading_Commentaires TBG mars_Flash du mois d' avril 2009" xfId="0"/>
    <cellStyle name="_TableHeading_Commentaires TBG mars_Flash du mois d' avril 2009 2" xfId="0"/>
    <cellStyle name="_TableHeading_Commentaires TBG mars_Flash du mois d' avril 2009_Budget 2011 v1 (4)" xfId="0"/>
    <cellStyle name="_TableHeading_Commentaires TBG mars_Flash du mois d' avril 2009_Budget 2011 v1 (4) 2" xfId="0"/>
    <cellStyle name="_TableHeading_Commentaires TBG mars_Flash du mois d' avril 2009_Budget Telmob 2011" xfId="0"/>
    <cellStyle name="_TableHeading_Commentaires TBG mars_Flash du mois d' avril 2009_Budget Telmob 2011 2" xfId="0"/>
    <cellStyle name="_TableHeading_Commentaires TBG mars_Flash du mois d' avril 2009_Flash du mois de mai 2009" xfId="0"/>
    <cellStyle name="_TableHeading_Commentaires TBG mars_Flash du mois d' avril 2009_Flash du mois de mai 2009 2" xfId="0"/>
    <cellStyle name="_TableHeading_Commentaires TBG mars_Flash du mois d' avril 2009_Flash du mois de mai 2009_Budget 2011 v1 (4)" xfId="0"/>
    <cellStyle name="_TableHeading_Commentaires TBG mars_Flash du mois d' avril 2009_Flash du mois de mai 2009_Budget 2011 v1 (4) 2" xfId="0"/>
    <cellStyle name="_TableHeading_Commentaires TBG mars_Flash du mois d' avril 2009_Flash du mois de mai 2009_Budget Telmob 2011" xfId="0"/>
    <cellStyle name="_TableHeading_Commentaires TBG mars_Flash du mois d' avril 2009_Flash du mois de mai 2009_Budget Telmob 2011 2" xfId="0"/>
    <cellStyle name="_TableHeading_Commentaires TBG mars_Flash du mois d' avril 2009_Reporting Onatel Mai 2009 V 0" xfId="0"/>
    <cellStyle name="_TableHeading_Commentaires TBG mars_Flash du mois d' avril 2009_Reporting Onatel Mai 2009 V 0 2" xfId="0"/>
    <cellStyle name="_TableHeading_Commentaires TBG mars_Flash du mois d' avril 2009_Reporting Onatel Mai 2009 V 0_Budget 2011 v1 (4)" xfId="0"/>
    <cellStyle name="_TableHeading_Commentaires TBG mars_Flash du mois d' avril 2009_Reporting Onatel Mai 2009 V 0_Budget 2011 v1 (4) 2" xfId="0"/>
    <cellStyle name="_TableHeading_Commentaires TBG mars_Flash du mois d' avril 2009_Reporting Onatel Mai 2009 V 0_Budget Telmob 2011" xfId="0"/>
    <cellStyle name="_TableHeading_Commentaires TBG mars_Flash du mois d' avril 2009_Reporting Onatel Mai 2009 V 0_Budget Telmob 2011 2" xfId="0"/>
    <cellStyle name="_TableHeading_Commentaires TBG mars_Flash du mois d' avril 2009_Reporting Onatel septembre  2009 préparé" xfId="0"/>
    <cellStyle name="_TableHeading_Commentaires TBG mars_Flash du mois d' avril 2009_Reporting Onatel septembre  2009 préparé 2" xfId="0"/>
    <cellStyle name="_TableHeading_Commentaires TBG mars_Flash du mois d' avril 2009_Reporting Onatel septembre  2009 préparé_Budget 2011 v1 (4)" xfId="0"/>
    <cellStyle name="_TableHeading_Commentaires TBG mars_Flash du mois d' avril 2009_Reporting Onatel septembre  2009 préparé_Budget 2011 v1 (4) 2" xfId="0"/>
    <cellStyle name="_TableHeading_Commentaires TBG mars_Flash du mois de mai 2009" xfId="0"/>
    <cellStyle name="_TableHeading_Commentaires TBG mars_Flash du mois de mai 2009 2" xfId="0"/>
    <cellStyle name="_TableHeading_Commentaires TBG mars_Flash du mois de mai 2009_Budget 2011 v1 (4)" xfId="0"/>
    <cellStyle name="_TableHeading_Commentaires TBG mars_Flash du mois de mai 2009_Budget 2011 v1 (4) 2" xfId="0"/>
    <cellStyle name="_TableHeading_Commentaires TBG mars_Flash du mois de mai 2009_Budget Telmob 2011" xfId="0"/>
    <cellStyle name="_TableHeading_Commentaires TBG mars_Flash du mois de mai 2009_Budget Telmob 2011 2" xfId="0"/>
    <cellStyle name="_TableHeading_Commentaires TBG mars_Reporting Onatel Mai 2009 V 0" xfId="0"/>
    <cellStyle name="_TableHeading_Commentaires TBG mars_Reporting Onatel Mai 2009 V 0 2" xfId="0"/>
    <cellStyle name="_TableHeading_Commentaires TBG mars_Reporting Onatel Mai 2009 V 0_Budget 2011 v1 (4)" xfId="0"/>
    <cellStyle name="_TableHeading_Commentaires TBG mars_Reporting Onatel Mai 2009 V 0_Budget 2011 v1 (4) 2" xfId="0"/>
    <cellStyle name="_TableHeading_Commentaires TBG mars_Reporting Onatel Mai 2009 V 0_Budget Telmob 2011" xfId="0"/>
    <cellStyle name="_TableHeading_Commentaires TBG mars_Reporting Onatel Mai 2009 V 0_Budget Telmob 2011 2" xfId="0"/>
    <cellStyle name="_TableHeading_Commentaires TBG mars_Reporting Onatel septembre  2009 préparé" xfId="0"/>
    <cellStyle name="_TableHeading_Commentaires TBG mars_Reporting Onatel septembre  2009 préparé 2" xfId="0"/>
    <cellStyle name="_TableHeading_Commentaires TBG mars_Reporting Onatel septembre  2009 préparé_Budget 2011 v1 (4)" xfId="0"/>
    <cellStyle name="_TableHeading_Commentaires TBG mars_Reporting Onatel septembre  2009 préparé_Budget 2011 v1 (4) 2" xfId="0"/>
    <cellStyle name="_TableHeading_Copie de Flash du mois d' avril 2009 corrigé par NAIMI" xfId="0"/>
    <cellStyle name="_TableHeading_Copie de Flash du mois d' avril 2009 corrigé par NAIMI 2" xfId="0"/>
    <cellStyle name="_TableHeading_Copie de Flash du mois d' avril 2009 corrigé par NAIMI_Budget 2011 v1 (4)" xfId="0"/>
    <cellStyle name="_TableHeading_Copie de Flash du mois d' avril 2009 corrigé par NAIMI_Budget 2011 v1 (4) 2" xfId="0"/>
    <cellStyle name="_TableHeading_Copie de Flash du mois d' avril 2009 corrigé par NAIMI_Budget Telmob 2011" xfId="0"/>
    <cellStyle name="_TableHeading_Copie de Flash du mois d' avril 2009 corrigé par NAIMI_Budget Telmob 2011 2" xfId="0"/>
    <cellStyle name="_TableHeading_Copie de Flash du mois d' avril 2009 corrigé par NAIMI_Flash du mois de mai 2009" xfId="0"/>
    <cellStyle name="_TableHeading_Copie de Flash du mois d' avril 2009 corrigé par NAIMI_Flash du mois de mai 2009 2" xfId="0"/>
    <cellStyle name="_TableHeading_Copie de Flash du mois d' avril 2009 corrigé par NAIMI_Flash du mois de mai 2009_Budget 2011 v1 (4)" xfId="0"/>
    <cellStyle name="_TableHeading_Copie de Flash du mois d' avril 2009 corrigé par NAIMI_Flash du mois de mai 2009_Budget 2011 v1 (4) 2" xfId="0"/>
    <cellStyle name="_TableHeading_Copie de Flash du mois d' avril 2009 corrigé par NAIMI_Flash du mois de mai 2009_Budget Telmob 2011" xfId="0"/>
    <cellStyle name="_TableHeading_Copie de Flash du mois d' avril 2009 corrigé par NAIMI_Flash du mois de mai 2009_Budget Telmob 2011 2" xfId="0"/>
    <cellStyle name="_TableHeading_Copie de Flash du mois d' avril 2009 corrigé par NAIMI_Reporting Onatel Mai 2009 V 0" xfId="0"/>
    <cellStyle name="_TableHeading_Copie de Flash du mois d' avril 2009 corrigé par NAIMI_Reporting Onatel Mai 2009 V 0 2" xfId="0"/>
    <cellStyle name="_TableHeading_Copie de Flash du mois d' avril 2009 corrigé par NAIMI_Reporting Onatel Mai 2009 V 0_Budget 2011 v1 (4)" xfId="0"/>
    <cellStyle name="_TableHeading_Copie de Flash du mois d' avril 2009 corrigé par NAIMI_Reporting Onatel Mai 2009 V 0_Budget 2011 v1 (4) 2" xfId="0"/>
    <cellStyle name="_TableHeading_Copie de Flash du mois d' avril 2009 corrigé par NAIMI_Reporting Onatel Mai 2009 V 0_Budget Telmob 2011" xfId="0"/>
    <cellStyle name="_TableHeading_Copie de Flash du mois d' avril 2009 corrigé par NAIMI_Reporting Onatel Mai 2009 V 0_Budget Telmob 2011 2" xfId="0"/>
    <cellStyle name="_TableHeading_Copie de Flash du mois d' avril 2009 corrigé par NAIMI_Reporting Onatel Mai 2009 V 0_Reporting Onatel septembre  2009 préparé" xfId="0"/>
    <cellStyle name="_TableHeading_Copie de Flash du mois d' avril 2009 corrigé par NAIMI_Reporting Onatel Mai 2009 V 0_Reporting Onatel septembre  2009 préparé 2" xfId="0"/>
    <cellStyle name="_TableHeading_Copie de Flash du mois d' avril 2009 corrigé par NAIMI_Reporting Onatel Mai 2009 V 0_Reporting Onatel septembre  2009 préparé_Budget 2011 v1 (4)" xfId="0"/>
    <cellStyle name="_TableHeading_Copie de Flash du mois d' avril 2009 corrigé par NAIMI_Reporting Onatel Mai 2009 V 0_Reporting Onatel septembre  2009 préparé_Budget 2011 v1 (4) 2" xfId="0"/>
    <cellStyle name="_TableHeading_Copie de Flash du mois d' avril 2009 corrigé par NAIMI_Reporting Onatel septembre  2009 préparé" xfId="0"/>
    <cellStyle name="_TableHeading_Copie de Flash du mois d' avril 2009 corrigé par NAIMI_Reporting Onatel septembre  2009 préparé 2" xfId="0"/>
    <cellStyle name="_TableHeading_Copie de Flash du mois d' avril 2009 corrigé par NAIMI_Reporting Onatel septembre  2009 préparé_Budget 2011 v1 (4)" xfId="0"/>
    <cellStyle name="_TableHeading_Copie de Flash du mois d' avril 2009 corrigé par NAIMI_Reporting Onatel septembre  2009 préparé_Budget 2011 v1 (4) 2" xfId="0"/>
    <cellStyle name="_TableHeading_Flash du mois d' avril 2009" xfId="0"/>
    <cellStyle name="_TableHeading_Flash du mois d' avril 2009 2" xfId="0"/>
    <cellStyle name="_TableHeading_Flash du mois d' avril 2009_Budget 2011 v1 (4)" xfId="0"/>
    <cellStyle name="_TableHeading_Flash du mois d' avril 2009_Budget 2011 v1 (4) 2" xfId="0"/>
    <cellStyle name="_TableHeading_Flash du mois d' avril 2009_Budget Telmob 2011" xfId="0"/>
    <cellStyle name="_TableHeading_Flash du mois d' avril 2009_Budget Telmob 2011 2" xfId="0"/>
    <cellStyle name="_TableHeading_Flash du mois d' avril 2009_Flash du mois de mai 2009" xfId="0"/>
    <cellStyle name="_TableHeading_Flash du mois d' avril 2009_Flash du mois de mai 2009 2" xfId="0"/>
    <cellStyle name="_TableHeading_Flash du mois d' avril 2009_Flash du mois de mai 2009_Budget 2011 v1 (4)" xfId="0"/>
    <cellStyle name="_TableHeading_Flash du mois d' avril 2009_Flash du mois de mai 2009_Budget 2011 v1 (4) 2" xfId="0"/>
    <cellStyle name="_TableHeading_Flash du mois d' avril 2009_Flash du mois de mai 2009_Budget Telmob 2011" xfId="0"/>
    <cellStyle name="_TableHeading_Flash du mois d' avril 2009_Flash du mois de mai 2009_Budget Telmob 2011 2" xfId="0"/>
    <cellStyle name="_TableHeading_Flash du mois d' avril 2009_Reporting Onatel Mai 2009 V 0" xfId="0"/>
    <cellStyle name="_TableHeading_Flash du mois d' avril 2009_Reporting Onatel Mai 2009 V 0 2" xfId="0"/>
    <cellStyle name="_TableHeading_Flash du mois d' avril 2009_Reporting Onatel Mai 2009 V 0_Budget 2011 v1 (4)" xfId="0"/>
    <cellStyle name="_TableHeading_Flash du mois d' avril 2009_Reporting Onatel Mai 2009 V 0_Budget 2011 v1 (4) 2" xfId="0"/>
    <cellStyle name="_TableHeading_Flash du mois d' avril 2009_Reporting Onatel Mai 2009 V 0_Budget Telmob 2011" xfId="0"/>
    <cellStyle name="_TableHeading_Flash du mois d' avril 2009_Reporting Onatel Mai 2009 V 0_Budget Telmob 2011 2" xfId="0"/>
    <cellStyle name="_TableHeading_Flash du mois d' avril 2009_Reporting Onatel septembre  2009 préparé" xfId="0"/>
    <cellStyle name="_TableHeading_Flash du mois d' avril 2009_Reporting Onatel septembre  2009 préparé 2" xfId="0"/>
    <cellStyle name="_TableHeading_Flash du mois d' avril 2009_Reporting Onatel septembre  2009 préparé_Budget 2011 v1 (4)" xfId="0"/>
    <cellStyle name="_TableHeading_Flash du mois d' avril 2009_Reporting Onatel septembre  2009 préparé_Budget 2011 v1 (4) 2" xfId="0"/>
    <cellStyle name="_TableHeading_Flash du mois de mai 2009" xfId="0"/>
    <cellStyle name="_TableHeading_Flash du mois de mai 2009 2" xfId="0"/>
    <cellStyle name="_TableHeading_Flash du mois de mai 2009_Budget 2011 v1 (4)" xfId="0"/>
    <cellStyle name="_TableHeading_Flash du mois de mai 2009_Budget 2011 v1 (4) 2" xfId="0"/>
    <cellStyle name="_TableHeading_Flash du mois de mai 2009_Budget Telmob 2011" xfId="0"/>
    <cellStyle name="_TableHeading_Flash du mois de mai 2009_Budget Telmob 2011 2" xfId="0"/>
    <cellStyle name="_TableHeading_P &amp; L Conso" xfId="0"/>
    <cellStyle name="_TableHeading_P &amp; L Conso 2" xfId="0"/>
    <cellStyle name="_TableHeading_P &amp; L Conso_Budget 2011 v1 (4)" xfId="0"/>
    <cellStyle name="_TableHeading_P &amp; L Conso_Budget 2011 v1 (4) 2" xfId="0"/>
    <cellStyle name="_TableHeading_P &amp; L Conso_Budget Telmob 2011" xfId="0"/>
    <cellStyle name="_TableHeading_P &amp; L Conso_Budget Telmob 2011 2" xfId="0"/>
    <cellStyle name="_TableHeading_P &amp; L Conso_COMMENTAIRES JUILLET 2009" xfId="0"/>
    <cellStyle name="_TableHeading_P &amp; L Conso_COMMENTAIRES JUILLET 2009 2" xfId="0"/>
    <cellStyle name="_TableHeading_P &amp; L Conso_COMMENTAIRES JUILLET 2009_Budget 2011 v1 (4)" xfId="0"/>
    <cellStyle name="_TableHeading_P &amp; L Conso_COMMENTAIRES JUILLET 2009_Budget 2011 v1 (4) 2" xfId="0"/>
    <cellStyle name="_TableHeading_P &amp; L Conso_COMMENTAIRES JUILLET 2009_Budget Telmob 2011" xfId="0"/>
    <cellStyle name="_TableHeading_P &amp; L Conso_COMMENTAIRES JUILLET 2009_Budget Telmob 2011 2" xfId="0"/>
    <cellStyle name="_TableHeading_P&amp;L S1 2008" xfId="0"/>
    <cellStyle name="_TableHeading_P&amp;L S1 2008 2" xfId="0"/>
    <cellStyle name="_TableHeading_P&amp;L S1 2008_Budget 2011 v1 (4)" xfId="0"/>
    <cellStyle name="_TableHeading_P&amp;L S1 2008_Budget 2011 v1 (4) 2" xfId="0"/>
    <cellStyle name="_TableHeading_P&amp;L S1 2008_Budget Telmob 2011" xfId="0"/>
    <cellStyle name="_TableHeading_P&amp;L S1 2008_Budget Telmob 2011 2" xfId="0"/>
    <cellStyle name="_TableHeading_Reporting Onatel Avril 2009 V0" xfId="0"/>
    <cellStyle name="_TableHeading_Reporting Onatel Avril 2009 V0 2" xfId="0"/>
    <cellStyle name="_TableHeading_Reporting Onatel Avril 2009 V0_Budget 2011 v1 (4)" xfId="0"/>
    <cellStyle name="_TableHeading_Reporting Onatel Avril 2009 V0_Budget 2011 v1 (4) 2" xfId="0"/>
    <cellStyle name="_TableHeading_Reporting Onatel Avril 2009 V0_Budget Telmob 2011" xfId="0"/>
    <cellStyle name="_TableHeading_Reporting Onatel Avril 2009 V0_Budget Telmob 2011 2" xfId="0"/>
    <cellStyle name="_TableHeading_Reporting Onatel Avril 2009 V0_Copie de Flash du mois d' avril 2009 corrigé par NAIMI" xfId="0"/>
    <cellStyle name="_TableHeading_Reporting Onatel Avril 2009 V0_Copie de Flash du mois d' avril 2009 corrigé par NAIMI 2" xfId="0"/>
    <cellStyle name="_TableHeading_Reporting Onatel Avril 2009 V0_Copie de Flash du mois d' avril 2009 corrigé par NAIMI_Budget 2011 v1 (4)" xfId="0"/>
    <cellStyle name="_TableHeading_Reporting Onatel Avril 2009 V0_Copie de Flash du mois d' avril 2009 corrigé par NAIMI_Budget 2011 v1 (4) 2" xfId="0"/>
    <cellStyle name="_TableHeading_Reporting Onatel Avril 2009 V0_Copie de Flash du mois d' avril 2009 corrigé par NAIMI_Budget Telmob 2011" xfId="0"/>
    <cellStyle name="_TableHeading_Reporting Onatel Avril 2009 V0_Copie de Flash du mois d' avril 2009 corrigé par NAIMI_Budget Telmob 2011 2" xfId="0"/>
    <cellStyle name="_TableHeading_Reporting Onatel Avril 2009 V0_Copie de Flash du mois d' avril 2009 corrigé par NAIMI_Flash du mois de mai 2009" xfId="0"/>
    <cellStyle name="_TableHeading_Reporting Onatel Avril 2009 V0_Copie de Flash du mois d' avril 2009 corrigé par NAIMI_Flash du mois de mai 2009 2" xfId="0"/>
    <cellStyle name="_TableHeading_Reporting Onatel Avril 2009 V0_Copie de Flash du mois d' avril 2009 corrigé par NAIMI_Flash du mois de mai 2009_Budget 2011 v1 (4)" xfId="0"/>
    <cellStyle name="_TableHeading_Reporting Onatel Avril 2009 V0_Copie de Flash du mois d' avril 2009 corrigé par NAIMI_Flash du mois de mai 2009_Budget 2011 v1 (4) 2" xfId="0"/>
    <cellStyle name="_TableHeading_Reporting Onatel Avril 2009 V0_Copie de Flash du mois d' avril 2009 corrigé par NAIMI_Flash du mois de mai 2009_Budget Telmob 2011" xfId="0"/>
    <cellStyle name="_TableHeading_Reporting Onatel Avril 2009 V0_Copie de Flash du mois d' avril 2009 corrigé par NAIMI_Flash du mois de mai 2009_Budget Telmob 2011 2" xfId="0"/>
    <cellStyle name="_TableHeading_Reporting Onatel Avril 2009 V0_Copie de Flash du mois d' avril 2009 corrigé par NAIMI_Reporting Onatel Mai 2009 V 0" xfId="0"/>
    <cellStyle name="_TableHeading_Reporting Onatel Avril 2009 V0_Copie de Flash du mois d' avril 2009 corrigé par NAIMI_Reporting Onatel Mai 2009 V 0 2" xfId="0"/>
    <cellStyle name="_TableHeading_Reporting Onatel Avril 2009 V0_Copie de Flash du mois d' avril 2009 corrigé par NAIMI_Reporting Onatel Mai 2009 V 0_Budget 2011 v1 (4)" xfId="0"/>
    <cellStyle name="_TableHeading_Reporting Onatel Avril 2009 V0_Copie de Flash du mois d' avril 2009 corrigé par NAIMI_Reporting Onatel Mai 2009 V 0_Budget 2011 v1 (4) 2" xfId="0"/>
    <cellStyle name="_TableHeading_Reporting Onatel Avril 2009 V0_Copie de Flash du mois d' avril 2009 corrigé par NAIMI_Reporting Onatel Mai 2009 V 0_Budget Telmob 2011" xfId="0"/>
    <cellStyle name="_TableHeading_Reporting Onatel Avril 2009 V0_Copie de Flash du mois d' avril 2009 corrigé par NAIMI_Reporting Onatel Mai 2009 V 0_Budget Telmob 2011 2" xfId="0"/>
    <cellStyle name="_TableHeading_Reporting Onatel Avril 2009 V0_Copie de Flash du mois d' avril 2009 corrigé par NAIMI_Reporting Onatel Mai 2009 V 0_Reporting Onatel septembre  2009 préparé" xfId="0"/>
    <cellStyle name="_TableHeading_Reporting Onatel Avril 2009 V0_Copie de Flash du mois d' avril 2009 corrigé par NAIMI_Reporting Onatel Mai 2009 V 0_Reporting Onatel septembre  2009 préparé 2" xfId="0"/>
    <cellStyle name="_TableHeading_Reporting Onatel Avril 2009 V0_Copie de Flash du mois d' avril 2009 corrigé par NAIMI_Reporting Onatel Mai 2009 V 0_Reporting Onatel septembre  2009 préparé_Budget 2011 v1 (4)" xfId="0"/>
    <cellStyle name="_TableHeading_Reporting Onatel Avril 2009 V0_Copie de Flash du mois d' avril 2009 corrigé par NAIMI_Reporting Onatel Mai 2009 V 0_Reporting Onatel septembre  2009 préparé_Budget 2011 v1 (4) 2" xfId="0"/>
    <cellStyle name="_TableHeading_Reporting Onatel Avril 2009 V0_Copie de Flash du mois d' avril 2009 corrigé par NAIMI_Reporting Onatel septembre  2009 préparé" xfId="0"/>
    <cellStyle name="_TableHeading_Reporting Onatel Avril 2009 V0_Copie de Flash du mois d' avril 2009 corrigé par NAIMI_Reporting Onatel septembre  2009 préparé 2" xfId="0"/>
    <cellStyle name="_TableHeading_Reporting Onatel Avril 2009 V0_Copie de Flash du mois d' avril 2009 corrigé par NAIMI_Reporting Onatel septembre  2009 préparé_Budget 2011 v1 (4)" xfId="0"/>
    <cellStyle name="_TableHeading_Reporting Onatel Avril 2009 V0_Copie de Flash du mois d' avril 2009 corrigé par NAIMI_Reporting Onatel septembre  2009 préparé_Budget 2011 v1 (4) 2" xfId="0"/>
    <cellStyle name="_TableHeading_Reporting Onatel Avril 2009 V0_Flash du mois de mai 2009" xfId="0"/>
    <cellStyle name="_TableHeading_Reporting Onatel Avril 2009 V0_Flash du mois de mai 2009 2" xfId="0"/>
    <cellStyle name="_TableHeading_Reporting Onatel Avril 2009 V0_Flash du mois de mai 2009_Budget 2011 v1 (4)" xfId="0"/>
    <cellStyle name="_TableHeading_Reporting Onatel Avril 2009 V0_Flash du mois de mai 2009_Budget 2011 v1 (4) 2" xfId="0"/>
    <cellStyle name="_TableHeading_Reporting Onatel Avril 2009 V0_Flash du mois de mai 2009_Budget Telmob 2011" xfId="0"/>
    <cellStyle name="_TableHeading_Reporting Onatel Avril 2009 V0_Flash du mois de mai 2009_Budget Telmob 2011 2" xfId="0"/>
    <cellStyle name="_TableHeading_Reporting Onatel Avril 2009 V0_Reporting Onatel Mai 2009 V 0" xfId="0"/>
    <cellStyle name="_TableHeading_Reporting Onatel Avril 2009 V0_Reporting Onatel Mai 2009 V 0 2" xfId="0"/>
    <cellStyle name="_TableHeading_Reporting Onatel Avril 2009 V0_Reporting Onatel Mai 2009 V 0_Budget 2011 v1 (4)" xfId="0"/>
    <cellStyle name="_TableHeading_Reporting Onatel Avril 2009 V0_Reporting Onatel Mai 2009 V 0_Budget 2011 v1 (4) 2" xfId="0"/>
    <cellStyle name="_TableHeading_Reporting Onatel Avril 2009 V0_Reporting Onatel Mai 2009 V 0_Budget Telmob 2011" xfId="0"/>
    <cellStyle name="_TableHeading_Reporting Onatel Avril 2009 V0_Reporting Onatel Mai 2009 V 0_Budget Telmob 2011 2" xfId="0"/>
    <cellStyle name="_TableHeading_Reporting Onatel Avril 2009 V0_Reporting Onatel septembre  2009 préparé" xfId="0"/>
    <cellStyle name="_TableHeading_Reporting Onatel Avril 2009 V0_Reporting Onatel septembre  2009 préparé 2" xfId="0"/>
    <cellStyle name="_TableHeading_Reporting Onatel Avril 2009 V0_Reporting Onatel septembre  2009 préparé_Budget 2011 v1 (4)" xfId="0"/>
    <cellStyle name="_TableHeading_Reporting Onatel Avril 2009 V0_Reporting Onatel septembre  2009 préparé_Budget 2011 v1 (4) 2" xfId="0"/>
    <cellStyle name="_TableHeading_Reporting Onatel Mai 2009 V 0" xfId="0"/>
    <cellStyle name="_TableHeading_Reporting Onatel Mai 2009 V 0 2" xfId="0"/>
    <cellStyle name="_TableHeading_Reporting Onatel Mai 2009 V 0 A ENVOYE" xfId="0"/>
    <cellStyle name="_TableHeading_Reporting Onatel Mai 2009 V 0 A ENVOYE 2" xfId="0"/>
    <cellStyle name="_TableHeading_Reporting Onatel Mai 2009 V 0 A ENVOYE_Budget 2011 v1 (4)" xfId="0"/>
    <cellStyle name="_TableHeading_Reporting Onatel Mai 2009 V 0 A ENVOYE_Budget 2011 v1 (4) 2" xfId="0"/>
    <cellStyle name="_TableHeading_Reporting Onatel Mai 2009 V 0 A ENVOYE_Budget Telmob 2011" xfId="0"/>
    <cellStyle name="_TableHeading_Reporting Onatel Mai 2009 V 0 A ENVOYE_Budget Telmob 2011 2" xfId="0"/>
    <cellStyle name="_TableHeading_Reporting Onatel Mai 2009 V 0 A ENVOYE_Reporting Onatel septembre  2009 préparé" xfId="0"/>
    <cellStyle name="_TableHeading_Reporting Onatel Mai 2009 V 0 A ENVOYE_Reporting Onatel septembre  2009 préparé 2" xfId="0"/>
    <cellStyle name="_TableHeading_Reporting Onatel Mai 2009 V 0 A ENVOYE_Reporting Onatel septembre  2009 préparé_Budget 2011 v1 (4)" xfId="0"/>
    <cellStyle name="_TableHeading_Reporting Onatel Mai 2009 V 0 A ENVOYE_Reporting Onatel septembre  2009 préparé_Budget 2011 v1 (4) 2" xfId="0"/>
    <cellStyle name="_TableHeading_Reporting Onatel Mai 2009 V 0_Budget 2011 v1 (4)" xfId="0"/>
    <cellStyle name="_TableHeading_Reporting Onatel Mai 2009 V 0_Budget 2011 v1 (4) 2" xfId="0"/>
    <cellStyle name="_TableHeading_Reporting Onatel Mai 2009 V 0_Budget Telmob 2011" xfId="0"/>
    <cellStyle name="_TableHeading_Reporting Onatel Mai 2009 V 0_Budget Telmob 2011 2" xfId="0"/>
    <cellStyle name="_TableHeading_Reporting Onatel septembre  2009 préparé" xfId="0"/>
    <cellStyle name="_TableHeading_Reporting Onatel septembre  2009 préparé 2" xfId="0"/>
    <cellStyle name="_TableHeading_Reporting Onatel septembre  2009 préparé_Budget 2011 v1 (4)" xfId="0"/>
    <cellStyle name="_TableHeading_Reporting Onatel septembre  2009 préparé_Budget 2011 v1 (4) 2" xfId="0"/>
    <cellStyle name="_TableHeading_Rev Fixe-Internet" xfId="0"/>
    <cellStyle name="_TableHeading_Rev Fixe-Internet 2" xfId="0"/>
    <cellStyle name="_TableHeading_Rev Fixe-Internet_Budget 2011 v1 (4)" xfId="0"/>
    <cellStyle name="_TableHeading_Rev Fixe-Internet_Budget 2011 v1 (4) 2" xfId="0"/>
    <cellStyle name="_TableHeading_Rev Fixe-Internet_Budget Telmob 2011" xfId="0"/>
    <cellStyle name="_TableHeading_Rev Fixe-Internet_Budget Telmob 2011 2" xfId="0"/>
    <cellStyle name="_TableHeading_Rev Fixe-Internet_COMMENTAIRES JUILLET 2009" xfId="0"/>
    <cellStyle name="_TableHeading_Rev Fixe-Internet_COMMENTAIRES JUILLET 2009 2" xfId="0"/>
    <cellStyle name="_TableHeading_Rev Fixe-Internet_COMMENTAIRES JUILLET 2009_Budget 2011 v1 (4)" xfId="0"/>
    <cellStyle name="_TableHeading_Rev Fixe-Internet_COMMENTAIRES JUILLET 2009_Budget 2011 v1 (4) 2" xfId="0"/>
    <cellStyle name="_TableHeading_Rev Fixe-Internet_COMMENTAIRES JUILLET 2009_Budget Telmob 2011" xfId="0"/>
    <cellStyle name="_TableHeading_Rev Fixe-Internet_COMMENTAIRES JUILLET 2009_Budget Telmob 2011 2" xfId="0"/>
    <cellStyle name="_TableHeading_TBG Onatel Février  2009  Vtbg V3" xfId="0"/>
    <cellStyle name="_TableHeading_TBG Onatel Février  2009  Vtbg V3 2" xfId="0"/>
    <cellStyle name="_TableHeading_TBG Onatel Février  2009  Vtbg V3_Budget 2011 v1 (4)" xfId="0"/>
    <cellStyle name="_TableHeading_TBG Onatel Février  2009  Vtbg V3_Budget 2011 v1 (4) 2" xfId="0"/>
    <cellStyle name="_TableHeading_TBG Onatel Février  2009  Vtbg V3_Budget Telmob 2011" xfId="0"/>
    <cellStyle name="_TableHeading_TBG Onatel Février  2009  Vtbg V3_Budget Telmob 2011 2" xfId="0"/>
    <cellStyle name="_TableHeading_TBG Onatel Février  2009  Vtbg V3_Commentaires TBG mars" xfId="0"/>
    <cellStyle name="_TableHeading_TBG Onatel Février  2009  Vtbg V3_Commentaires TBG mars 2" xfId="0"/>
    <cellStyle name="_TableHeading_TBG Onatel Février  2009  Vtbg V3_Commentaires TBG mars_Budget 2011 v1 (4)" xfId="0"/>
    <cellStyle name="_TableHeading_TBG Onatel Février  2009  Vtbg V3_Commentaires TBG mars_Budget 2011 v1 (4) 2" xfId="0"/>
    <cellStyle name="_TableHeading_TBG Onatel Février  2009  Vtbg V3_Commentaires TBG mars_Budget Telmob 2011" xfId="0"/>
    <cellStyle name="_TableHeading_TBG Onatel Février  2009  Vtbg V3_Commentaires TBG mars_Budget Telmob 2011 2" xfId="0"/>
    <cellStyle name="_TableHeading_TBG Onatel Février  2009  Vtbg V3_Commentaires TBG mars_Copie de Flash du mois d' avril 2009 corrigé par NAIMI" xfId="0"/>
    <cellStyle name="_TableHeading_TBG Onatel Février  2009  Vtbg V3_Commentaires TBG mars_Copie de Flash du mois d' avril 2009 corrigé par NAIMI 2" xfId="0"/>
    <cellStyle name="_TableHeading_TBG Onatel Février  2009  Vtbg V3_Commentaires TBG mars_Copie de Flash du mois d' avril 2009 corrigé par NAIMI_Budget 2011 v1 (4)" xfId="0"/>
    <cellStyle name="_TableHeading_TBG Onatel Février  2009  Vtbg V3_Commentaires TBG mars_Copie de Flash du mois d' avril 2009 corrigé par NAIMI_Budget 2011 v1 (4) 2" xfId="0"/>
    <cellStyle name="_TableHeading_TBG Onatel Février  2009  Vtbg V3_Commentaires TBG mars_Copie de Flash du mois d' avril 2009 corrigé par NAIMI_Budget Telmob 2011" xfId="0"/>
    <cellStyle name="_TableHeading_TBG Onatel Février  2009  Vtbg V3_Commentaires TBG mars_Copie de Flash du mois d' avril 2009 corrigé par NAIMI_Budget Telmob 2011 2" xfId="0"/>
    <cellStyle name="_TableHeading_TBG Onatel Février  2009  Vtbg V3_Commentaires TBG mars_Copie de Flash du mois d' avril 2009 corrigé par NAIMI_Flash du mois de mai 2009" xfId="0"/>
    <cellStyle name="_TableHeading_TBG Onatel Février  2009  Vtbg V3_Commentaires TBG mars_Copie de Flash du mois d' avril 2009 corrigé par NAIMI_Flash du mois de mai 2009 2" xfId="0"/>
    <cellStyle name="_TableHeading_TBG Onatel Février  2009  Vtbg V3_Commentaires TBG mars_Copie de Flash du mois d' avril 2009 corrigé par NAIMI_Flash du mois de mai 2009_Budget 2011 v1 (4)" xfId="0"/>
    <cellStyle name="_TableHeading_TBG Onatel Février  2009  Vtbg V3_Commentaires TBG mars_Copie de Flash du mois d' avril 2009 corrigé par NAIMI_Flash du mois de mai 2009_Budget 2011 v1 (4) 2" xfId="0"/>
    <cellStyle name="_TableHeading_TBG Onatel Février  2009  Vtbg V3_Commentaires TBG mars_Copie de Flash du mois d' avril 2009 corrigé par NAIMI_Flash du mois de mai 2009_Budget Telmob 2011" xfId="0"/>
    <cellStyle name="_TableHeading_TBG Onatel Février  2009  Vtbg V3_Commentaires TBG mars_Copie de Flash du mois d' avril 2009 corrigé par NAIMI_Flash du mois de mai 2009_Budget Telmob 2011 2" xfId="0"/>
    <cellStyle name="_TableHeading_TBG Onatel Février  2009  Vtbg V3_Commentaires TBG mars_Copie de Flash du mois d' avril 2009 corrigé par NAIMI_Reporting Onatel Mai 2009 V 0" xfId="0"/>
    <cellStyle name="_TableHeading_TBG Onatel Février  2009  Vtbg V3_Commentaires TBG mars_Copie de Flash du mois d' avril 2009 corrigé par NAIMI_Reporting Onatel Mai 2009 V 0 2" xfId="0"/>
    <cellStyle name="_TableHeading_TBG Onatel Février  2009  Vtbg V3_Commentaires TBG mars_Copie de Flash du mois d' avril 2009 corrigé par NAIMI_Reporting Onatel Mai 2009 V 0_Budget 2011 v1 (4)" xfId="0"/>
    <cellStyle name="_TableHeading_TBG Onatel Février  2009  Vtbg V3_Commentaires TBG mars_Copie de Flash du mois d' avril 2009 corrigé par NAIMI_Reporting Onatel Mai 2009 V 0_Budget 2011 v1 (4) 2" xfId="0"/>
    <cellStyle name="_TableHeading_TBG Onatel Février  2009  Vtbg V3_Commentaires TBG mars_Copie de Flash du mois d' avril 2009 corrigé par NAIMI_Reporting Onatel Mai 2009 V 0_Budget Telmob 2011" xfId="0"/>
    <cellStyle name="_TableHeading_TBG Onatel Février  2009  Vtbg V3_Commentaires TBG mars_Copie de Flash du mois d' avril 2009 corrigé par NAIMI_Reporting Onatel Mai 2009 V 0_Budget Telmob 2011 2" xfId="0"/>
    <cellStyle name="_TableHeading_TBG Onatel Février  2009  Vtbg V3_Commentaires TBG mars_Copie de Flash du mois d' avril 2009 corrigé par NAIMI_Reporting Onatel Mai 2009 V 0_Reporting Onatel septembre  2009 préparé" xfId="0"/>
    <cellStyle name="_TableHeading_TBG Onatel Février  2009  Vtbg V3_Commentaires TBG mars_Copie de Flash du mois d' avril 2009 corrigé par NAIMI_Reporting Onatel Mai 2009 V 0_Reporting Onatel septembre  2009 préparé 2" xfId="0"/>
    <cellStyle name="_TableHeading_TBG Onatel Février  2009  Vtbg V3_Commentaires TBG mars_Copie de Flash du mois d' avril 2009 corrigé par NAIMI_Reporting Onatel Mai 2009 V 0_Reporting Onatel septembre  2009 préparé_Budget 2011 v1 (4)" xfId="0"/>
    <cellStyle name="_TableHeading_TBG Onatel Février  2009  Vtbg V3_Commentaires TBG mars_Copie de Flash du mois d' avril 2009 corrigé par NAIMI_Reporting Onatel Mai 2009 V 0_Reporting Onatel septembre  2009 préparé_Budget 2011 v1 (4) 2" xfId="0"/>
    <cellStyle name="_TableHeading_TBG Onatel Février  2009  Vtbg V3_Commentaires TBG mars_Copie de Flash du mois d' avril 2009 corrigé par NAIMI_Reporting Onatel septembre  2009 préparé" xfId="0"/>
    <cellStyle name="_TableHeading_TBG Onatel Février  2009  Vtbg V3_Commentaires TBG mars_Copie de Flash du mois d' avril 2009 corrigé par NAIMI_Reporting Onatel septembre  2009 préparé 2" xfId="0"/>
    <cellStyle name="_TableHeading_TBG Onatel Février  2009  Vtbg V3_Commentaires TBG mars_Copie de Flash du mois d' avril 2009 corrigé par NAIMI_Reporting Onatel septembre  2009 préparé_Budget 2011 v1 (4)" xfId="0"/>
    <cellStyle name="_TableHeading_TBG Onatel Février  2009  Vtbg V3_Commentaires TBG mars_Copie de Flash du mois d' avril 2009 corrigé par NAIMI_Reporting Onatel septembre  2009 préparé_Budget 2011 v1 (4) 2" xfId="0"/>
    <cellStyle name="_TableHeading_TBG Onatel Février  2009  Vtbg V3_Commentaires TBG mars_Flash du mois d' avril 2009" xfId="0"/>
    <cellStyle name="_TableHeading_TBG Onatel Février  2009  Vtbg V3_Commentaires TBG mars_Flash du mois d' avril 2009 2" xfId="0"/>
    <cellStyle name="_TableHeading_TBG Onatel Février  2009  Vtbg V3_Commentaires TBG mars_Flash du mois d' avril 2009_Budget 2011 v1 (4)" xfId="0"/>
    <cellStyle name="_TableHeading_TBG Onatel Février  2009  Vtbg V3_Commentaires TBG mars_Flash du mois d' avril 2009_Budget 2011 v1 (4) 2" xfId="0"/>
    <cellStyle name="_TableHeading_TBG Onatel Février  2009  Vtbg V3_Commentaires TBG mars_Flash du mois d' avril 2009_Budget Telmob 2011" xfId="0"/>
    <cellStyle name="_TableHeading_TBG Onatel Février  2009  Vtbg V3_Commentaires TBG mars_Flash du mois d' avril 2009_Budget Telmob 2011 2" xfId="0"/>
    <cellStyle name="_TableHeading_TBG Onatel Février  2009  Vtbg V3_Commentaires TBG mars_Flash du mois d' avril 2009_Flash du mois de mai 2009" xfId="0"/>
    <cellStyle name="_TableHeading_TBG Onatel Février  2009  Vtbg V3_Commentaires TBG mars_Flash du mois d' avril 2009_Flash du mois de mai 2009 2" xfId="0"/>
    <cellStyle name="_TableHeading_TBG Onatel Février  2009  Vtbg V3_Commentaires TBG mars_Flash du mois d' avril 2009_Flash du mois de mai 2009_Budget 2011 v1 (4)" xfId="0"/>
    <cellStyle name="_TableHeading_TBG Onatel Février  2009  Vtbg V3_Commentaires TBG mars_Flash du mois d' avril 2009_Flash du mois de mai 2009_Budget 2011 v1 (4) 2" xfId="0"/>
    <cellStyle name="_TableHeading_TBG Onatel Février  2009  Vtbg V3_Commentaires TBG mars_Flash du mois d' avril 2009_Flash du mois de mai 2009_Budget Telmob 2011" xfId="0"/>
    <cellStyle name="_TableHeading_TBG Onatel Février  2009  Vtbg V3_Commentaires TBG mars_Flash du mois d' avril 2009_Flash du mois de mai 2009_Budget Telmob 2011 2" xfId="0"/>
    <cellStyle name="_TableHeading_TBG Onatel Février  2009  Vtbg V3_Commentaires TBG mars_Flash du mois d' avril 2009_Reporting Onatel Mai 2009 V 0" xfId="0"/>
    <cellStyle name="_TableHeading_TBG Onatel Février  2009  Vtbg V3_Commentaires TBG mars_Flash du mois d' avril 2009_Reporting Onatel Mai 2009 V 0 2" xfId="0"/>
    <cellStyle name="_TableHeading_TBG Onatel Février  2009  Vtbg V3_Commentaires TBG mars_Flash du mois d' avril 2009_Reporting Onatel Mai 2009 V 0_Budget 2011 v1 (4)" xfId="0"/>
    <cellStyle name="_TableHeading_TBG Onatel Février  2009  Vtbg V3_Commentaires TBG mars_Flash du mois d' avril 2009_Reporting Onatel Mai 2009 V 0_Budget 2011 v1 (4) 2" xfId="0"/>
    <cellStyle name="_TableHeading_TBG Onatel Février  2009  Vtbg V3_Commentaires TBG mars_Flash du mois d' avril 2009_Reporting Onatel Mai 2009 V 0_Budget Telmob 2011" xfId="0"/>
    <cellStyle name="_TableHeading_TBG Onatel Février  2009  Vtbg V3_Commentaires TBG mars_Flash du mois d' avril 2009_Reporting Onatel Mai 2009 V 0_Budget Telmob 2011 2" xfId="0"/>
    <cellStyle name="_TableHeading_TBG Onatel Février  2009  Vtbg V3_Commentaires TBG mars_Flash du mois d' avril 2009_Reporting Onatel septembre  2009 préparé" xfId="0"/>
    <cellStyle name="_TableHeading_TBG Onatel Février  2009  Vtbg V3_Commentaires TBG mars_Flash du mois d' avril 2009_Reporting Onatel septembre  2009 préparé 2" xfId="0"/>
    <cellStyle name="_TableHeading_TBG Onatel Février  2009  Vtbg V3_Commentaires TBG mars_Flash du mois d' avril 2009_Reporting Onatel septembre  2009 préparé_Budget 2011 v1 (4)" xfId="0"/>
    <cellStyle name="_TableHeading_TBG Onatel Février  2009  Vtbg V3_Commentaires TBG mars_Flash du mois d' avril 2009_Reporting Onatel septembre  2009 préparé_Budget 2011 v1 (4) 2" xfId="0"/>
    <cellStyle name="_TableHeading_TBG Onatel Février  2009  Vtbg V3_Commentaires TBG mars_Flash du mois de mai 2009" xfId="0"/>
    <cellStyle name="_TableHeading_TBG Onatel Février  2009  Vtbg V3_Commentaires TBG mars_Flash du mois de mai 2009 2" xfId="0"/>
    <cellStyle name="_TableHeading_TBG Onatel Février  2009  Vtbg V3_Commentaires TBG mars_Flash du mois de mai 2009_Budget 2011 v1 (4)" xfId="0"/>
    <cellStyle name="_TableHeading_TBG Onatel Février  2009  Vtbg V3_Commentaires TBG mars_Flash du mois de mai 2009_Budget 2011 v1 (4) 2" xfId="0"/>
    <cellStyle name="_TableHeading_TBG Onatel Février  2009  Vtbg V3_Commentaires TBG mars_Flash du mois de mai 2009_Budget Telmob 2011" xfId="0"/>
    <cellStyle name="_TableHeading_TBG Onatel Février  2009  Vtbg V3_Commentaires TBG mars_Flash du mois de mai 2009_Budget Telmob 2011 2" xfId="0"/>
    <cellStyle name="_TableHeading_TBG Onatel Février  2009  Vtbg V3_Commentaires TBG mars_Reporting Onatel Mai 2009 V 0" xfId="0"/>
    <cellStyle name="_TableHeading_TBG Onatel Février  2009  Vtbg V3_Commentaires TBG mars_Reporting Onatel Mai 2009 V 0 2" xfId="0"/>
    <cellStyle name="_TableHeading_TBG Onatel Février  2009  Vtbg V3_Commentaires TBG mars_Reporting Onatel Mai 2009 V 0_Budget 2011 v1 (4)" xfId="0"/>
    <cellStyle name="_TableHeading_TBG Onatel Février  2009  Vtbg V3_Commentaires TBG mars_Reporting Onatel Mai 2009 V 0_Budget 2011 v1 (4) 2" xfId="0"/>
    <cellStyle name="_TableHeading_TBG Onatel Février  2009  Vtbg V3_Commentaires TBG mars_Reporting Onatel Mai 2009 V 0_Budget Telmob 2011" xfId="0"/>
    <cellStyle name="_TableHeading_TBG Onatel Février  2009  Vtbg V3_Commentaires TBG mars_Reporting Onatel Mai 2009 V 0_Budget Telmob 2011 2" xfId="0"/>
    <cellStyle name="_TableHeading_TBG Onatel Février  2009  Vtbg V3_Commentaires TBG mars_Reporting Onatel septembre  2009 préparé" xfId="0"/>
    <cellStyle name="_TableHeading_TBG Onatel Février  2009  Vtbg V3_Commentaires TBG mars_Reporting Onatel septembre  2009 préparé 2" xfId="0"/>
    <cellStyle name="_TableHeading_TBG Onatel Février  2009  Vtbg V3_Commentaires TBG mars_Reporting Onatel septembre  2009 préparé_Budget 2011 v1 (4)" xfId="0"/>
    <cellStyle name="_TableHeading_TBG Onatel Février  2009  Vtbg V3_Commentaires TBG mars_Reporting Onatel septembre  2009 préparé_Budget 2011 v1 (4) 2" xfId="0"/>
    <cellStyle name="_TableHeading_TBG Onatel Février  2009  Vtbg V3_Copie de Flash du mois d' avril 2009 corrigé par NAIMI" xfId="0"/>
    <cellStyle name="_TableHeading_TBG Onatel Février  2009  Vtbg V3_Copie de Flash du mois d' avril 2009 corrigé par NAIMI 2" xfId="0"/>
    <cellStyle name="_TableHeading_TBG Onatel Février  2009  Vtbg V3_Copie de Flash du mois d' avril 2009 corrigé par NAIMI_Budget 2011 v1 (4)" xfId="0"/>
    <cellStyle name="_TableHeading_TBG Onatel Février  2009  Vtbg V3_Copie de Flash du mois d' avril 2009 corrigé par NAIMI_Budget 2011 v1 (4) 2" xfId="0"/>
    <cellStyle name="_TableHeading_TBG Onatel Février  2009  Vtbg V3_Copie de Flash du mois d' avril 2009 corrigé par NAIMI_Budget Telmob 2011" xfId="0"/>
    <cellStyle name="_TableHeading_TBG Onatel Février  2009  Vtbg V3_Copie de Flash du mois d' avril 2009 corrigé par NAIMI_Budget Telmob 2011 2" xfId="0"/>
    <cellStyle name="_TableHeading_TBG Onatel Février  2009  Vtbg V3_Copie de Flash du mois d' avril 2009 corrigé par NAIMI_Flash du mois de mai 2009" xfId="0"/>
    <cellStyle name="_TableHeading_TBG Onatel Février  2009  Vtbg V3_Copie de Flash du mois d' avril 2009 corrigé par NAIMI_Flash du mois de mai 2009 2" xfId="0"/>
    <cellStyle name="_TableHeading_TBG Onatel Février  2009  Vtbg V3_Copie de Flash du mois d' avril 2009 corrigé par NAIMI_Flash du mois de mai 2009_Budget 2011 v1 (4)" xfId="0"/>
    <cellStyle name="_TableHeading_TBG Onatel Février  2009  Vtbg V3_Copie de Flash du mois d' avril 2009 corrigé par NAIMI_Flash du mois de mai 2009_Budget 2011 v1 (4) 2" xfId="0"/>
    <cellStyle name="_TableHeading_TBG Onatel Février  2009  Vtbg V3_Copie de Flash du mois d' avril 2009 corrigé par NAIMI_Flash du mois de mai 2009_Budget Telmob 2011" xfId="0"/>
    <cellStyle name="_TableHeading_TBG Onatel Février  2009  Vtbg V3_Copie de Flash du mois d' avril 2009 corrigé par NAIMI_Flash du mois de mai 2009_Budget Telmob 2011 2" xfId="0"/>
    <cellStyle name="_TableHeading_TBG Onatel Février  2009  Vtbg V3_Copie de Flash du mois d' avril 2009 corrigé par NAIMI_Reporting Onatel Mai 2009 V 0" xfId="0"/>
    <cellStyle name="_TableHeading_TBG Onatel Février  2009  Vtbg V3_Copie de Flash du mois d' avril 2009 corrigé par NAIMI_Reporting Onatel Mai 2009 V 0 2" xfId="0"/>
    <cellStyle name="_TableHeading_TBG Onatel Février  2009  Vtbg V3_Copie de Flash du mois d' avril 2009 corrigé par NAIMI_Reporting Onatel Mai 2009 V 0_Budget 2011 v1 (4)" xfId="0"/>
    <cellStyle name="_TableHeading_TBG Onatel Février  2009  Vtbg V3_Copie de Flash du mois d' avril 2009 corrigé par NAIMI_Reporting Onatel Mai 2009 V 0_Budget 2011 v1 (4) 2" xfId="0"/>
    <cellStyle name="_TableHeading_TBG Onatel Février  2009  Vtbg V3_Copie de Flash du mois d' avril 2009 corrigé par NAIMI_Reporting Onatel Mai 2009 V 0_Budget Telmob 2011" xfId="0"/>
    <cellStyle name="_TableHeading_TBG Onatel Février  2009  Vtbg V3_Copie de Flash du mois d' avril 2009 corrigé par NAIMI_Reporting Onatel Mai 2009 V 0_Budget Telmob 2011 2" xfId="0"/>
    <cellStyle name="_TableHeading_TBG Onatel Février  2009  Vtbg V3_Copie de Flash du mois d' avril 2009 corrigé par NAIMI_Reporting Onatel Mai 2009 V 0_Reporting Onatel septembre  2009 préparé" xfId="0"/>
    <cellStyle name="_TableHeading_TBG Onatel Février  2009  Vtbg V3_Copie de Flash du mois d' avril 2009 corrigé par NAIMI_Reporting Onatel Mai 2009 V 0_Reporting Onatel septembre  2009 préparé 2" xfId="0"/>
    <cellStyle name="_TableHeading_TBG Onatel Février  2009  Vtbg V3_Copie de Flash du mois d' avril 2009 corrigé par NAIMI_Reporting Onatel Mai 2009 V 0_Reporting Onatel septembre  2009 préparé_Budget 2011 v1 (4)" xfId="0"/>
    <cellStyle name="_TableHeading_TBG Onatel Février  2009  Vtbg V3_Copie de Flash du mois d' avril 2009 corrigé par NAIMI_Reporting Onatel Mai 2009 V 0_Reporting Onatel septembre  2009 préparé_Budget 2011 v1 (4) 2" xfId="0"/>
    <cellStyle name="_TableHeading_TBG Onatel Février  2009  Vtbg V3_Copie de Flash du mois d' avril 2009 corrigé par NAIMI_Reporting Onatel septembre  2009 préparé" xfId="0"/>
    <cellStyle name="_TableHeading_TBG Onatel Février  2009  Vtbg V3_Copie de Flash du mois d' avril 2009 corrigé par NAIMI_Reporting Onatel septembre  2009 préparé 2" xfId="0"/>
    <cellStyle name="_TableHeading_TBG Onatel Février  2009  Vtbg V3_Copie de Flash du mois d' avril 2009 corrigé par NAIMI_Reporting Onatel septembre  2009 préparé_Budget 2011 v1 (4)" xfId="0"/>
    <cellStyle name="_TableHeading_TBG Onatel Février  2009  Vtbg V3_Copie de Flash du mois d' avril 2009 corrigé par NAIMI_Reporting Onatel septembre  2009 préparé_Budget 2011 v1 (4) 2" xfId="0"/>
    <cellStyle name="_TableHeading_TBG Onatel Février  2009  Vtbg V3_Flash du mois d' avril 2009" xfId="0"/>
    <cellStyle name="_TableHeading_TBG Onatel Février  2009  Vtbg V3_Flash du mois d' avril 2009 2" xfId="0"/>
    <cellStyle name="_TableHeading_TBG Onatel Février  2009  Vtbg V3_Flash du mois d' avril 2009_Budget 2011 v1 (4)" xfId="0"/>
    <cellStyle name="_TableHeading_TBG Onatel Février  2009  Vtbg V3_Flash du mois d' avril 2009_Budget 2011 v1 (4) 2" xfId="0"/>
    <cellStyle name="_TableHeading_TBG Onatel Février  2009  Vtbg V3_Flash du mois d' avril 2009_Budget Telmob 2011" xfId="0"/>
    <cellStyle name="_TableHeading_TBG Onatel Février  2009  Vtbg V3_Flash du mois d' avril 2009_Budget Telmob 2011 2" xfId="0"/>
    <cellStyle name="_TableHeading_TBG Onatel Février  2009  Vtbg V3_Flash du mois d' avril 2009_Flash du mois de mai 2009" xfId="0"/>
    <cellStyle name="_TableHeading_TBG Onatel Février  2009  Vtbg V3_Flash du mois d' avril 2009_Flash du mois de mai 2009 2" xfId="0"/>
    <cellStyle name="_TableHeading_TBG Onatel Février  2009  Vtbg V3_Flash du mois d' avril 2009_Flash du mois de mai 2009_Budget 2011 v1 (4)" xfId="0"/>
    <cellStyle name="_TableHeading_TBG Onatel Février  2009  Vtbg V3_Flash du mois d' avril 2009_Flash du mois de mai 2009_Budget 2011 v1 (4) 2" xfId="0"/>
    <cellStyle name="_TableHeading_TBG Onatel Février  2009  Vtbg V3_Flash du mois d' avril 2009_Flash du mois de mai 2009_Budget Telmob 2011" xfId="0"/>
    <cellStyle name="_TableHeading_TBG Onatel Février  2009  Vtbg V3_Flash du mois d' avril 2009_Flash du mois de mai 2009_Budget Telmob 2011 2" xfId="0"/>
    <cellStyle name="_TableHeading_TBG Onatel Février  2009  Vtbg V3_Flash du mois d' avril 2009_Reporting Onatel Mai 2009 V 0" xfId="0"/>
    <cellStyle name="_TableHeading_TBG Onatel Février  2009  Vtbg V3_Flash du mois d' avril 2009_Reporting Onatel Mai 2009 V 0 2" xfId="0"/>
    <cellStyle name="_TableHeading_TBG Onatel Février  2009  Vtbg V3_Flash du mois d' avril 2009_Reporting Onatel Mai 2009 V 0_Budget 2011 v1 (4)" xfId="0"/>
    <cellStyle name="_TableHeading_TBG Onatel Février  2009  Vtbg V3_Flash du mois d' avril 2009_Reporting Onatel Mai 2009 V 0_Budget 2011 v1 (4) 2" xfId="0"/>
    <cellStyle name="_TableHeading_TBG Onatel Février  2009  Vtbg V3_Flash du mois d' avril 2009_Reporting Onatel Mai 2009 V 0_Budget Telmob 2011" xfId="0"/>
    <cellStyle name="_TableHeading_TBG Onatel Février  2009  Vtbg V3_Flash du mois d' avril 2009_Reporting Onatel Mai 2009 V 0_Budget Telmob 2011 2" xfId="0"/>
    <cellStyle name="_TableHeading_TBG Onatel Février  2009  Vtbg V3_Flash du mois d' avril 2009_Reporting Onatel septembre  2009 préparé" xfId="0"/>
    <cellStyle name="_TableHeading_TBG Onatel Février  2009  Vtbg V3_Flash du mois d' avril 2009_Reporting Onatel septembre  2009 préparé 2" xfId="0"/>
    <cellStyle name="_TableHeading_TBG Onatel Février  2009  Vtbg V3_Flash du mois d' avril 2009_Reporting Onatel septembre  2009 préparé_Budget 2011 v1 (4)" xfId="0"/>
    <cellStyle name="_TableHeading_TBG Onatel Février  2009  Vtbg V3_Flash du mois d' avril 2009_Reporting Onatel septembre  2009 préparé_Budget 2011 v1 (4) 2" xfId="0"/>
    <cellStyle name="_TableHeading_TBG Onatel Février  2009  Vtbg V3_Flash du mois de mai 2009" xfId="0"/>
    <cellStyle name="_TableHeading_TBG Onatel Février  2009  Vtbg V3_Flash du mois de mai 2009 2" xfId="0"/>
    <cellStyle name="_TableHeading_TBG Onatel Février  2009  Vtbg V3_Flash du mois de mai 2009_Budget 2011 v1 (4)" xfId="0"/>
    <cellStyle name="_TableHeading_TBG Onatel Février  2009  Vtbg V3_Flash du mois de mai 2009_Budget 2011 v1 (4) 2" xfId="0"/>
    <cellStyle name="_TableHeading_TBG Onatel Février  2009  Vtbg V3_Flash du mois de mai 2009_Budget Telmob 2011" xfId="0"/>
    <cellStyle name="_TableHeading_TBG Onatel Février  2009  Vtbg V3_Flash du mois de mai 2009_Budget Telmob 2011 2" xfId="0"/>
    <cellStyle name="_TableHeading_TBG Onatel Février  2009  Vtbg V3_Reporting Onatel Mai 2009 V 0" xfId="0"/>
    <cellStyle name="_TableHeading_TBG Onatel Février  2009  Vtbg V3_Reporting Onatel Mai 2009 V 0 2" xfId="0"/>
    <cellStyle name="_TableHeading_TBG Onatel Février  2009  Vtbg V3_Reporting Onatel Mai 2009 V 0_Budget 2011 v1 (4)" xfId="0"/>
    <cellStyle name="_TableHeading_TBG Onatel Février  2009  Vtbg V3_Reporting Onatel Mai 2009 V 0_Budget 2011 v1 (4) 2" xfId="0"/>
    <cellStyle name="_TableHeading_TBG Onatel Février  2009  Vtbg V3_Reporting Onatel Mai 2009 V 0_Budget Telmob 2011" xfId="0"/>
    <cellStyle name="_TableHeading_TBG Onatel Février  2009  Vtbg V3_Reporting Onatel Mai 2009 V 0_Budget Telmob 2011 2" xfId="0"/>
    <cellStyle name="_TableHeading_TBG Onatel Février  2009  Vtbg V3_Reporting Onatel septembre  2009 préparé" xfId="0"/>
    <cellStyle name="_TableHeading_TBG Onatel Février  2009  Vtbg V3_Reporting Onatel septembre  2009 préparé 2" xfId="0"/>
    <cellStyle name="_TableHeading_TBG Onatel Février  2009  Vtbg V3_Reporting Onatel septembre  2009 préparé_Budget 2011 v1 (4)" xfId="0"/>
    <cellStyle name="_TableHeading_TBG Onatel Février  2009  Vtbg V3_Reporting Onatel septembre  2009 préparé_Budget 2011 v1 (4) 2" xfId="0"/>
    <cellStyle name="_TableRowBorder" xfId="0"/>
    <cellStyle name="_TableRowBorder_Budget Telmob 2011" xfId="0"/>
    <cellStyle name="_TableRowBorder_commentaires fixe  internet Déc 08" xfId="0"/>
    <cellStyle name="_TableRowBorder_commentaires fixe  internet Déc 08 2" xfId="0"/>
    <cellStyle name="_TableRowBorder_commentaires fixe  internet Déc 08_Budget Telmob 2011" xfId="0"/>
    <cellStyle name="_TableRowBorder_commentaires fixe  internet Déc 08_Commentaires TBG mars" xfId="0"/>
    <cellStyle name="_TableRowBorder_commentaires fixe  internet Déc 08_Commentaires TBG mars 2" xfId="0"/>
    <cellStyle name="_TableRowBorder_commentaires fixe  internet Déc 08_Commentaires TBG mars_Budget Telmob 2011" xfId="0"/>
    <cellStyle name="_TableRowBorder_commentaires fixe  internet Déc 08_Commentaires TBG mars_Copie de Flash du mois d' avril 2009 corrigé par NAIMI" xfId="0"/>
    <cellStyle name="_TableRowBorder_commentaires fixe  internet Déc 08_Commentaires TBG mars_Copie de Flash du mois d' avril 2009 corrigé par NAIMI 2" xfId="0"/>
    <cellStyle name="_TableRowBorder_commentaires fixe  internet Déc 08_Commentaires TBG mars_Copie de Flash du mois d' avril 2009 corrigé par NAIMI_Budget Telmob 2011" xfId="0"/>
    <cellStyle name="_TableRowBorder_commentaires fixe  internet Déc 08_Commentaires TBG mars_Copie de Flash du mois d' avril 2009 corrigé par NAIMI_Flash du mois de mai 2009" xfId="0"/>
    <cellStyle name="_TableRowBorder_commentaires fixe  internet Déc 08_Commentaires TBG mars_Copie de Flash du mois d' avril 2009 corrigé par NAIMI_Flash du mois de mai 2009 2" xfId="0"/>
    <cellStyle name="_TableRowBorder_commentaires fixe  internet Déc 08_Commentaires TBG mars_Copie de Flash du mois d' avril 2009 corrigé par NAIMI_Flash du mois de mai 2009_Budget Telmob 2011" xfId="0"/>
    <cellStyle name="_TableRowBorder_commentaires fixe  internet Déc 08_Commentaires TBG mars_Copie de Flash du mois d' avril 2009 corrigé par NAIMI_Reporting Onatel Mai 2009 V 0" xfId="0"/>
    <cellStyle name="_TableRowBorder_commentaires fixe  internet Déc 08_Commentaires TBG mars_Copie de Flash du mois d' avril 2009 corrigé par NAIMI_Reporting Onatel Mai 2009 V 0 2" xfId="0"/>
    <cellStyle name="_TableRowBorder_commentaires fixe  internet Déc 08_Commentaires TBG mars_Copie de Flash du mois d' avril 2009 corrigé par NAIMI_Reporting Onatel Mai 2009 V 0_Budget Telmob 2011" xfId="0"/>
    <cellStyle name="_TableRowBorder_commentaires fixe  internet Déc 08_Commentaires TBG mars_Copie de Flash du mois d' avril 2009 corrigé par NAIMI_Reporting Onatel Mai 2009 V 0_Reporting Onatel septembre  2009 préparé" xfId="0"/>
    <cellStyle name="_TableRowBorder_commentaires fixe  internet Déc 08_Commentaires TBG mars_Copie de Flash du mois d' avril 2009 corrigé par NAIMI_Reporting Onatel septembre  2009 préparé" xfId="0"/>
    <cellStyle name="_TableRowBorder_commentaires fixe  internet Déc 08_Commentaires TBG mars_Flash du mois d' avril 2009" xfId="0"/>
    <cellStyle name="_TableRowBorder_commentaires fixe  internet Déc 08_Commentaires TBG mars_Flash du mois d' avril 2009 2" xfId="0"/>
    <cellStyle name="_TableRowBorder_commentaires fixe  internet Déc 08_Commentaires TBG mars_Flash du mois d' avril 2009_Budget Telmob 2011" xfId="0"/>
    <cellStyle name="_TableRowBorder_commentaires fixe  internet Déc 08_Commentaires TBG mars_Flash du mois d' avril 2009_Flash du mois de mai 2009" xfId="0"/>
    <cellStyle name="_TableRowBorder_commentaires fixe  internet Déc 08_Commentaires TBG mars_Flash du mois d' avril 2009_Flash du mois de mai 2009 2" xfId="0"/>
    <cellStyle name="_TableRowBorder_commentaires fixe  internet Déc 08_Commentaires TBG mars_Flash du mois d' avril 2009_Flash du mois de mai 2009_Budget Telmob 2011" xfId="0"/>
    <cellStyle name="_TableRowBorder_commentaires fixe  internet Déc 08_Commentaires TBG mars_Flash du mois d' avril 2009_Reporting Onatel Mai 2009 V 0" xfId="0"/>
    <cellStyle name="_TableRowBorder_commentaires fixe  internet Déc 08_Commentaires TBG mars_Flash du mois d' avril 2009_Reporting Onatel Mai 2009 V 0 2" xfId="0"/>
    <cellStyle name="_TableRowBorder_commentaires fixe  internet Déc 08_Commentaires TBG mars_Flash du mois d' avril 2009_Reporting Onatel Mai 2009 V 0_Budget Telmob 2011" xfId="0"/>
    <cellStyle name="_TableRowBorder_commentaires fixe  internet Déc 08_Commentaires TBG mars_Flash du mois d' avril 2009_Reporting Onatel septembre  2009 préparé" xfId="0"/>
    <cellStyle name="_TableRowBorder_commentaires fixe  internet Déc 08_Commentaires TBG mars_Flash du mois de mai 2009" xfId="0"/>
    <cellStyle name="_TableRowBorder_commentaires fixe  internet Déc 08_Commentaires TBG mars_Flash du mois de mai 2009 2" xfId="0"/>
    <cellStyle name="_TableRowBorder_commentaires fixe  internet Déc 08_Commentaires TBG mars_Flash du mois de mai 2009_Budget Telmob 2011" xfId="0"/>
    <cellStyle name="_TableRowBorder_commentaires fixe  internet Déc 08_Commentaires TBG mars_Reporting Onatel Mai 2009 V 0" xfId="0"/>
    <cellStyle name="_TableRowBorder_commentaires fixe  internet Déc 08_Commentaires TBG mars_Reporting Onatel Mai 2009 V 0 2" xfId="0"/>
    <cellStyle name="_TableRowBorder_commentaires fixe  internet Déc 08_Commentaires TBG mars_Reporting Onatel Mai 2009 V 0_Budget Telmob 2011" xfId="0"/>
    <cellStyle name="_TableRowBorder_commentaires fixe  internet Déc 08_Commentaires TBG mars_Reporting Onatel septembre  2009 préparé" xfId="0"/>
    <cellStyle name="_TableRowBorder_commentaires fixe  internet Déc 08_Copie de Flash du mois d' avril 2009 corrigé par NAIMI" xfId="0"/>
    <cellStyle name="_TableRowBorder_commentaires fixe  internet Déc 08_Copie de Flash du mois d' avril 2009 corrigé par NAIMI 2" xfId="0"/>
    <cellStyle name="_TableRowBorder_commentaires fixe  internet Déc 08_Copie de Flash du mois d' avril 2009 corrigé par NAIMI_Budget Telmob 2011" xfId="0"/>
    <cellStyle name="_TableRowBorder_commentaires fixe  internet Déc 08_Copie de Flash du mois d' avril 2009 corrigé par NAIMI_Flash du mois de mai 2009" xfId="0"/>
    <cellStyle name="_TableRowBorder_commentaires fixe  internet Déc 08_Copie de Flash du mois d' avril 2009 corrigé par NAIMI_Flash du mois de mai 2009 2" xfId="0"/>
    <cellStyle name="_TableRowBorder_commentaires fixe  internet Déc 08_Copie de Flash du mois d' avril 2009 corrigé par NAIMI_Flash du mois de mai 2009_Budget Telmob 2011" xfId="0"/>
    <cellStyle name="_TableRowBorder_commentaires fixe  internet Déc 08_Copie de Flash du mois d' avril 2009 corrigé par NAIMI_Reporting Onatel Mai 2009 V 0" xfId="0"/>
    <cellStyle name="_TableRowBorder_commentaires fixe  internet Déc 08_Copie de Flash du mois d' avril 2009 corrigé par NAIMI_Reporting Onatel Mai 2009 V 0 2" xfId="0"/>
    <cellStyle name="_TableRowBorder_commentaires fixe  internet Déc 08_Copie de Flash du mois d' avril 2009 corrigé par NAIMI_Reporting Onatel Mai 2009 V 0_Budget Telmob 2011" xfId="0"/>
    <cellStyle name="_TableRowBorder_commentaires fixe  internet Déc 08_Copie de Flash du mois d' avril 2009 corrigé par NAIMI_Reporting Onatel Mai 2009 V 0_Reporting Onatel septembre  2009 préparé" xfId="0"/>
    <cellStyle name="_TableRowBorder_commentaires fixe  internet Déc 08_Copie de Flash du mois d' avril 2009 corrigé par NAIMI_Reporting Onatel septembre  2009 préparé" xfId="0"/>
    <cellStyle name="_TableRowBorder_commentaires fixe  internet Déc 08_Flash du mois d' avril 2009" xfId="0"/>
    <cellStyle name="_TableRowBorder_commentaires fixe  internet Déc 08_Flash du mois d' avril 2009 2" xfId="0"/>
    <cellStyle name="_TableRowBorder_commentaires fixe  internet Déc 08_Flash du mois d' avril 2009_Budget Telmob 2011" xfId="0"/>
    <cellStyle name="_TableRowBorder_commentaires fixe  internet Déc 08_Flash du mois d' avril 2009_Flash du mois de mai 2009" xfId="0"/>
    <cellStyle name="_TableRowBorder_commentaires fixe  internet Déc 08_Flash du mois d' avril 2009_Flash du mois de mai 2009 2" xfId="0"/>
    <cellStyle name="_TableRowBorder_commentaires fixe  internet Déc 08_Flash du mois d' avril 2009_Flash du mois de mai 2009_Budget Telmob 2011" xfId="0"/>
    <cellStyle name="_TableRowBorder_commentaires fixe  internet Déc 08_Flash du mois d' avril 2009_Reporting Onatel Mai 2009 V 0" xfId="0"/>
    <cellStyle name="_TableRowBorder_commentaires fixe  internet Déc 08_Flash du mois d' avril 2009_Reporting Onatel Mai 2009 V 0 2" xfId="0"/>
    <cellStyle name="_TableRowBorder_commentaires fixe  internet Déc 08_Flash du mois d' avril 2009_Reporting Onatel Mai 2009 V 0_Budget Telmob 2011" xfId="0"/>
    <cellStyle name="_TableRowBorder_commentaires fixe  internet Déc 08_Flash du mois d' avril 2009_Reporting Onatel septembre  2009 préparé" xfId="0"/>
    <cellStyle name="_TableRowBorder_commentaires fixe  internet Déc 08_Flash du mois de mai 2009" xfId="0"/>
    <cellStyle name="_TableRowBorder_commentaires fixe  internet Déc 08_Flash du mois de mai 2009 2" xfId="0"/>
    <cellStyle name="_TableRowBorder_commentaires fixe  internet Déc 08_Flash du mois de mai 2009_Budget Telmob 2011" xfId="0"/>
    <cellStyle name="_TableRowBorder_commentaires fixe  internet Déc 08_Reporting Onatel Avril 2009 V0" xfId="0"/>
    <cellStyle name="_TableRowBorder_commentaires fixe  internet Déc 08_Reporting Onatel Avril 2009 V0 2" xfId="0"/>
    <cellStyle name="_TableRowBorder_commentaires fixe  internet Déc 08_Reporting Onatel Avril 2009 V0_Budget Telmob 2011" xfId="0"/>
    <cellStyle name="_TableRowBorder_commentaires fixe  internet Déc 08_Reporting Onatel Avril 2009 V0_Copie de Flash du mois d' avril 2009 corrigé par NAIMI" xfId="0"/>
    <cellStyle name="_TableRowBorder_commentaires fixe  internet Déc 08_Reporting Onatel Avril 2009 V0_Copie de Flash du mois d' avril 2009 corrigé par NAIMI 2" xfId="0"/>
    <cellStyle name="_TableRowBorder_commentaires fixe  internet Déc 08_Reporting Onatel Avril 2009 V0_Copie de Flash du mois d' avril 2009 corrigé par NAIMI_Budget Telmob 2011" xfId="0"/>
    <cellStyle name="_TableRowBorder_commentaires fixe  internet Déc 08_Reporting Onatel Avril 2009 V0_Copie de Flash du mois d' avril 2009 corrigé par NAIMI_Flash du mois de mai 2009" xfId="0"/>
    <cellStyle name="_TableRowBorder_commentaires fixe  internet Déc 08_Reporting Onatel Avril 2009 V0_Copie de Flash du mois d' avril 2009 corrigé par NAIMI_Flash du mois de mai 2009 2" xfId="0"/>
    <cellStyle name="_TableRowBorder_commentaires fixe  internet Déc 08_Reporting Onatel Avril 2009 V0_Copie de Flash du mois d' avril 2009 corrigé par NAIMI_Flash du mois de mai 2009_Budget Telmob 2011" xfId="0"/>
    <cellStyle name="_TableRowBorder_commentaires fixe  internet Déc 08_Reporting Onatel Avril 2009 V0_Copie de Flash du mois d' avril 2009 corrigé par NAIMI_Reporting Onatel Mai 2009 V 0" xfId="0"/>
    <cellStyle name="_TableRowBorder_commentaires fixe  internet Déc 08_Reporting Onatel Avril 2009 V0_Copie de Flash du mois d' avril 2009 corrigé par NAIMI_Reporting Onatel Mai 2009 V 0 2" xfId="0"/>
    <cellStyle name="_TableRowBorder_commentaires fixe  internet Déc 08_Reporting Onatel Avril 2009 V0_Copie de Flash du mois d' avril 2009 corrigé par NAIMI_Reporting Onatel Mai 2009 V 0_Budget Telmob 2011" xfId="0"/>
    <cellStyle name="_TableRowBorder_commentaires fixe  internet Déc 08_Reporting Onatel Avril 2009 V0_Copie de Flash du mois d' avril 2009 corrigé par NAIMI_Reporting Onatel Mai 2009 V 0_Reporting Onatel septembre  2009 préparé" xfId="0"/>
    <cellStyle name="_TableRowBorder_commentaires fixe  internet Déc 08_Reporting Onatel Avril 2009 V0_Copie de Flash du mois d' avril 2009 corrigé par NAIMI_Reporting Onatel septembre  2009 préparé" xfId="0"/>
    <cellStyle name="_TableRowBorder_commentaires fixe  internet Déc 08_Reporting Onatel Avril 2009 V0_Flash du mois de mai 2009" xfId="0"/>
    <cellStyle name="_TableRowBorder_commentaires fixe  internet Déc 08_Reporting Onatel Avril 2009 V0_Flash du mois de mai 2009 2" xfId="0"/>
    <cellStyle name="_TableRowBorder_commentaires fixe  internet Déc 08_Reporting Onatel Avril 2009 V0_Flash du mois de mai 2009_Budget Telmob 2011" xfId="0"/>
    <cellStyle name="_TableRowBorder_commentaires fixe  internet Déc 08_Reporting Onatel Avril 2009 V0_Reporting Onatel Mai 2009 V 0" xfId="0"/>
    <cellStyle name="_TableRowBorder_commentaires fixe  internet Déc 08_Reporting Onatel Avril 2009 V0_Reporting Onatel Mai 2009 V 0 2" xfId="0"/>
    <cellStyle name="_TableRowBorder_commentaires fixe  internet Déc 08_Reporting Onatel Avril 2009 V0_Reporting Onatel Mai 2009 V 0_Budget Telmob 2011" xfId="0"/>
    <cellStyle name="_TableRowBorder_commentaires fixe  internet Déc 08_Reporting Onatel Avril 2009 V0_Reporting Onatel septembre  2009 préparé" xfId="0"/>
    <cellStyle name="_TableRowBorder_commentaires fixe  internet Déc 08_Reporting Onatel Mai 2009 V 0" xfId="0"/>
    <cellStyle name="_TableRowBorder_commentaires fixe  internet Déc 08_Reporting Onatel Mai 2009 V 0 2" xfId="0"/>
    <cellStyle name="_TableRowBorder_commentaires fixe  internet Déc 08_Reporting Onatel Mai 2009 V 0 A ENVOYE" xfId="0"/>
    <cellStyle name="_TableRowBorder_commentaires fixe  internet Déc 08_Reporting Onatel Mai 2009 V 0 A ENVOYE 2" xfId="0"/>
    <cellStyle name="_TableRowBorder_commentaires fixe  internet Déc 08_Reporting Onatel Mai 2009 V 0 A ENVOYE_Budget Telmob 2011" xfId="0"/>
    <cellStyle name="_TableRowBorder_commentaires fixe  internet Déc 08_Reporting Onatel Mai 2009 V 0 A ENVOYE_Reporting Onatel septembre  2009 préparé" xfId="0"/>
    <cellStyle name="_TableRowBorder_commentaires fixe  internet Déc 08_Reporting Onatel Mai 2009 V 0_Budget Telmob 2011" xfId="0"/>
    <cellStyle name="_TableRowBorder_commentaires fixe  internet Déc 08_Reporting Onatel septembre  2009 préparé" xfId="0"/>
    <cellStyle name="_TableRowBorder_commentaires fixe  internet Déc 08_TBG Onatel Février  2009  Vtbg V3" xfId="0"/>
    <cellStyle name="_TableRowBorder_commentaires fixe  internet Déc 08_TBG Onatel Février  2009  Vtbg V3 2" xfId="0"/>
    <cellStyle name="_TableRowBorder_commentaires fixe  internet Déc 08_TBG Onatel Février  2009  Vtbg V3_Budget Telmob 2011" xfId="0"/>
    <cellStyle name="_TableRowBorder_commentaires fixe  internet Déc 08_TBG Onatel Février  2009  Vtbg V3_Commentaires TBG mars" xfId="0"/>
    <cellStyle name="_TableRowBorder_commentaires fixe  internet Déc 08_TBG Onatel Février  2009  Vtbg V3_Commentaires TBG mars 2" xfId="0"/>
    <cellStyle name="_TableRowBorder_commentaires fixe  internet Déc 08_TBG Onatel Février  2009  Vtbg V3_Commentaires TBG mars_Budget Telmob 2011" xfId="0"/>
    <cellStyle name="_TableRowBorder_commentaires fixe  internet Déc 08_TBG Onatel Février  2009  Vtbg V3_Commentaires TBG mars_Copie de Flash du mois d' avril 2009 corrigé par NAIMI" xfId="0"/>
    <cellStyle name="_TableRowBorder_commentaires fixe  internet Déc 08_TBG Onatel Février  2009  Vtbg V3_Commentaires TBG mars_Copie de Flash du mois d' avril 2009 corrigé par NAIMI 2" xfId="0"/>
    <cellStyle name="_TableRowBorder_commentaires fixe  internet Déc 08_TBG Onatel Février  2009  Vtbg V3_Commentaires TBG mars_Copie de Flash du mois d' avril 2009 corrigé par NAIMI_Budget Telmob 2011" xfId="0"/>
    <cellStyle name="_TableRowBorder_commentaires fixe  internet Déc 08_TBG Onatel Février  2009  Vtbg V3_Commentaires TBG mars_Copie de Flash du mois d' avril 2009 corrigé par NAIMI_Flash du mois de mai 2009" xfId="0"/>
    <cellStyle name="_TableRowBorder_commentaires fixe  internet Déc 08_TBG Onatel Février  2009  Vtbg V3_Commentaires TBG mars_Copie de Flash du mois d' avril 2009 corrigé par NAIMI_Flash du mois de mai 2009 2" xfId="0"/>
    <cellStyle name="_TableRowBorder_commentaires fixe  internet Déc 08_TBG Onatel Février  2009  Vtbg V3_Commentaires TBG mars_Copie de Flash du mois d' avril 2009 corrigé par NAIMI_Flash du mois de mai 2009_Budget Telmob 2011" xfId="0"/>
    <cellStyle name="_TableRowBorder_commentaires fixe  internet Déc 08_TBG Onatel Février  2009  Vtbg V3_Commentaires TBG mars_Copie de Flash du mois d' avril 2009 corrigé par NAIMI_Reporting Onatel Mai 2009 V 0" xfId="0"/>
    <cellStyle name="_TableRowBorder_commentaires fixe  internet Déc 08_TBG Onatel Février  2009  Vtbg V3_Commentaires TBG mars_Copie de Flash du mois d' avril 2009 corrigé par NAIMI_Reporting Onatel Mai 2009 V 0 2" xfId="0"/>
    <cellStyle name="_TableRowBorder_commentaires fixe  internet Déc 08_TBG Onatel Février  2009  Vtbg V3_Commentaires TBG mars_Copie de Flash du mois d' avril 2009 corrigé par NAIMI_Reporting Onatel Mai 2009 V 0_Budget Telmob 2011" xfId="0"/>
    <cellStyle name="_TableRowBorder_commentaires fixe  internet Déc 08_TBG Onatel Février  2009  Vtbg V3_Commentaires TBG mars_Copie de Flash du mois d' avril 2009 corrigé par NAIMI_Reporting Onatel Mai 2009 V 0_Reporting Onatel septembre  2009 préparé" xfId="0"/>
    <cellStyle name="_TableRowBorder_commentaires fixe  internet Déc 08_TBG Onatel Février  2009  Vtbg V3_Commentaires TBG mars_Copie de Flash du mois d' avril 2009 corrigé par NAIMI_Reporting Onatel septembre  2009 préparé" xfId="0"/>
    <cellStyle name="_TableRowBorder_commentaires fixe  internet Déc 08_TBG Onatel Février  2009  Vtbg V3_Commentaires TBG mars_Flash du mois d' avril 2009" xfId="0"/>
    <cellStyle name="_TableRowBorder_commentaires fixe  internet Déc 08_TBG Onatel Février  2009  Vtbg V3_Commentaires TBG mars_Flash du mois d' avril 2009 2" xfId="0"/>
    <cellStyle name="_TableRowBorder_commentaires fixe  internet Déc 08_TBG Onatel Février  2009  Vtbg V3_Commentaires TBG mars_Flash du mois d' avril 2009_Budget Telmob 2011" xfId="0"/>
    <cellStyle name="_TableRowBorder_commentaires fixe  internet Déc 08_TBG Onatel Février  2009  Vtbg V3_Commentaires TBG mars_Flash du mois d' avril 2009_Flash du mois de mai 2009" xfId="0"/>
    <cellStyle name="_TableRowBorder_commentaires fixe  internet Déc 08_TBG Onatel Février  2009  Vtbg V3_Commentaires TBG mars_Flash du mois d' avril 2009_Flash du mois de mai 2009 2" xfId="0"/>
    <cellStyle name="_TableRowBorder_commentaires fixe  internet Déc 08_TBG Onatel Février  2009  Vtbg V3_Commentaires TBG mars_Flash du mois d' avril 2009_Flash du mois de mai 2009_Budget Telmob 2011" xfId="0"/>
    <cellStyle name="_TableRowBorder_commentaires fixe  internet Déc 08_TBG Onatel Février  2009  Vtbg V3_Commentaires TBG mars_Flash du mois d' avril 2009_Reporting Onatel Mai 2009 V 0" xfId="0"/>
    <cellStyle name="_TableRowBorder_commentaires fixe  internet Déc 08_TBG Onatel Février  2009  Vtbg V3_Commentaires TBG mars_Flash du mois d' avril 2009_Reporting Onatel Mai 2009 V 0 2" xfId="0"/>
    <cellStyle name="_TableRowBorder_commentaires fixe  internet Déc 08_TBG Onatel Février  2009  Vtbg V3_Commentaires TBG mars_Flash du mois d' avril 2009_Reporting Onatel Mai 2009 V 0_Budget Telmob 2011" xfId="0"/>
    <cellStyle name="_TableRowBorder_commentaires fixe  internet Déc 08_TBG Onatel Février  2009  Vtbg V3_Commentaires TBG mars_Flash du mois d' avril 2009_Reporting Onatel septembre  2009 préparé" xfId="0"/>
    <cellStyle name="_TableRowBorder_commentaires fixe  internet Déc 08_TBG Onatel Février  2009  Vtbg V3_Commentaires TBG mars_Flash du mois de mai 2009" xfId="0"/>
    <cellStyle name="_TableRowBorder_commentaires fixe  internet Déc 08_TBG Onatel Février  2009  Vtbg V3_Commentaires TBG mars_Flash du mois de mai 2009 2" xfId="0"/>
    <cellStyle name="_TableRowBorder_commentaires fixe  internet Déc 08_TBG Onatel Février  2009  Vtbg V3_Commentaires TBG mars_Flash du mois de mai 2009_Budget Telmob 2011" xfId="0"/>
    <cellStyle name="_TableRowBorder_commentaires fixe  internet Déc 08_TBG Onatel Février  2009  Vtbg V3_Commentaires TBG mars_Reporting Onatel Mai 2009 V 0" xfId="0"/>
    <cellStyle name="_TableRowBorder_commentaires fixe  internet Déc 08_TBG Onatel Février  2009  Vtbg V3_Commentaires TBG mars_Reporting Onatel Mai 2009 V 0 2" xfId="0"/>
    <cellStyle name="_TableRowBorder_commentaires fixe  internet Déc 08_TBG Onatel Février  2009  Vtbg V3_Commentaires TBG mars_Reporting Onatel Mai 2009 V 0_Budget Telmob 2011" xfId="0"/>
    <cellStyle name="_TableRowBorder_commentaires fixe  internet Déc 08_TBG Onatel Février  2009  Vtbg V3_Commentaires TBG mars_Reporting Onatel septembre  2009 préparé" xfId="0"/>
    <cellStyle name="_TableRowBorder_commentaires fixe  internet Déc 08_TBG Onatel Février  2009  Vtbg V3_Copie de Flash du mois d' avril 2009 corrigé par NAIMI" xfId="0"/>
    <cellStyle name="_TableRowBorder_commentaires fixe  internet Déc 08_TBG Onatel Février  2009  Vtbg V3_Copie de Flash du mois d' avril 2009 corrigé par NAIMI 2" xfId="0"/>
    <cellStyle name="_TableRowBorder_commentaires fixe  internet Déc 08_TBG Onatel Février  2009  Vtbg V3_Copie de Flash du mois d' avril 2009 corrigé par NAIMI_Budget Telmob 2011" xfId="0"/>
    <cellStyle name="_TableRowBorder_commentaires fixe  internet Déc 08_TBG Onatel Février  2009  Vtbg V3_Copie de Flash du mois d' avril 2009 corrigé par NAIMI_Flash du mois de mai 2009" xfId="0"/>
    <cellStyle name="_TableRowBorder_commentaires fixe  internet Déc 08_TBG Onatel Février  2009  Vtbg V3_Copie de Flash du mois d' avril 2009 corrigé par NAIMI_Flash du mois de mai 2009 2" xfId="0"/>
    <cellStyle name="_TableRowBorder_commentaires fixe  internet Déc 08_TBG Onatel Février  2009  Vtbg V3_Copie de Flash du mois d' avril 2009 corrigé par NAIMI_Flash du mois de mai 2009_Budget Telmob 2011" xfId="0"/>
    <cellStyle name="_TableRowBorder_commentaires fixe  internet Déc 08_TBG Onatel Février  2009  Vtbg V3_Copie de Flash du mois d' avril 2009 corrigé par NAIMI_Reporting Onatel Mai 2009 V 0" xfId="0"/>
    <cellStyle name="_TableRowBorder_commentaires fixe  internet Déc 08_TBG Onatel Février  2009  Vtbg V3_Copie de Flash du mois d' avril 2009 corrigé par NAIMI_Reporting Onatel Mai 2009 V 0 2" xfId="0"/>
    <cellStyle name="_TableRowBorder_commentaires fixe  internet Déc 08_TBG Onatel Février  2009  Vtbg V3_Copie de Flash du mois d' avril 2009 corrigé par NAIMI_Reporting Onatel Mai 2009 V 0_Budget Telmob 2011" xfId="0"/>
    <cellStyle name="_TableRowBorder_commentaires fixe  internet Déc 08_TBG Onatel Février  2009  Vtbg V3_Copie de Flash du mois d' avril 2009 corrigé par NAIMI_Reporting Onatel Mai 2009 V 0_Reporting Onatel septembre  2009 préparé" xfId="0"/>
    <cellStyle name="_TableRowBorder_commentaires fixe  internet Déc 08_TBG Onatel Février  2009  Vtbg V3_Copie de Flash du mois d' avril 2009 corrigé par NAIMI_Reporting Onatel septembre  2009 préparé" xfId="0"/>
    <cellStyle name="_TableRowBorder_commentaires fixe  internet Déc 08_TBG Onatel Février  2009  Vtbg V3_Flash du mois d' avril 2009" xfId="0"/>
    <cellStyle name="_TableRowBorder_commentaires fixe  internet Déc 08_TBG Onatel Février  2009  Vtbg V3_Flash du mois d' avril 2009 2" xfId="0"/>
    <cellStyle name="_TableRowBorder_commentaires fixe  internet Déc 08_TBG Onatel Février  2009  Vtbg V3_Flash du mois d' avril 2009_Budget Telmob 2011" xfId="0"/>
    <cellStyle name="_TableRowBorder_commentaires fixe  internet Déc 08_TBG Onatel Février  2009  Vtbg V3_Flash du mois d' avril 2009_Flash du mois de mai 2009" xfId="0"/>
    <cellStyle name="_TableRowBorder_commentaires fixe  internet Déc 08_TBG Onatel Février  2009  Vtbg V3_Flash du mois d' avril 2009_Flash du mois de mai 2009 2" xfId="0"/>
    <cellStyle name="_TableRowBorder_commentaires fixe  internet Déc 08_TBG Onatel Février  2009  Vtbg V3_Flash du mois d' avril 2009_Flash du mois de mai 2009_Budget Telmob 2011" xfId="0"/>
    <cellStyle name="_TableRowBorder_commentaires fixe  internet Déc 08_TBG Onatel Février  2009  Vtbg V3_Flash du mois d' avril 2009_Reporting Onatel Mai 2009 V 0" xfId="0"/>
    <cellStyle name="_TableRowBorder_commentaires fixe  internet Déc 08_TBG Onatel Février  2009  Vtbg V3_Flash du mois d' avril 2009_Reporting Onatel Mai 2009 V 0 2" xfId="0"/>
    <cellStyle name="_TableRowBorder_commentaires fixe  internet Déc 08_TBG Onatel Février  2009  Vtbg V3_Flash du mois d' avril 2009_Reporting Onatel Mai 2009 V 0_Budget Telmob 2011" xfId="0"/>
    <cellStyle name="_TableRowBorder_commentaires fixe  internet Déc 08_TBG Onatel Février  2009  Vtbg V3_Flash du mois d' avril 2009_Reporting Onatel septembre  2009 préparé" xfId="0"/>
    <cellStyle name="_TableRowBorder_commentaires fixe  internet Déc 08_TBG Onatel Février  2009  Vtbg V3_Flash du mois de mai 2009" xfId="0"/>
    <cellStyle name="_TableRowBorder_commentaires fixe  internet Déc 08_TBG Onatel Février  2009  Vtbg V3_Flash du mois de mai 2009 2" xfId="0"/>
    <cellStyle name="_TableRowBorder_commentaires fixe  internet Déc 08_TBG Onatel Février  2009  Vtbg V3_Flash du mois de mai 2009_Budget Telmob 2011" xfId="0"/>
    <cellStyle name="_TableRowBorder_commentaires fixe  internet Déc 08_TBG Onatel Février  2009  Vtbg V3_Reporting Onatel Mai 2009 V 0" xfId="0"/>
    <cellStyle name="_TableRowBorder_commentaires fixe  internet Déc 08_TBG Onatel Février  2009  Vtbg V3_Reporting Onatel Mai 2009 V 0 2" xfId="0"/>
    <cellStyle name="_TableRowBorder_commentaires fixe  internet Déc 08_TBG Onatel Février  2009  Vtbg V3_Reporting Onatel Mai 2009 V 0_Budget Telmob 2011" xfId="0"/>
    <cellStyle name="_TableRowBorder_commentaires fixe  internet Déc 08_TBG Onatel Février  2009  Vtbg V3_Reporting Onatel septembre  2009 préparé" xfId="0"/>
    <cellStyle name="_TableRowBorder_Commentaires TBG mars" xfId="0"/>
    <cellStyle name="_TableRowBorder_Commentaires TBG mars_Budget Telmob 2011" xfId="0"/>
    <cellStyle name="_TableRowBorder_Commentaires TBG mars_Copie de Flash du mois d' avril 2009 corrigé par NAIMI" xfId="0"/>
    <cellStyle name="_TableRowBorder_Commentaires TBG mars_Copie de Flash du mois d' avril 2009 corrigé par NAIMI_Budget Telmob 2011" xfId="0"/>
    <cellStyle name="_TableRowBorder_Commentaires TBG mars_Copie de Flash du mois d' avril 2009 corrigé par NAIMI_Flash du mois de mai 2009" xfId="0"/>
    <cellStyle name="_TableRowBorder_Commentaires TBG mars_Copie de Flash du mois d' avril 2009 corrigé par NAIMI_Flash du mois de mai 2009_Budget Telmob 2011" xfId="0"/>
    <cellStyle name="_TableRowBorder_Commentaires TBG mars_Copie de Flash du mois d' avril 2009 corrigé par NAIMI_Reporting Onatel Mai 2009 V 0" xfId="0"/>
    <cellStyle name="_TableRowBorder_Commentaires TBG mars_Copie de Flash du mois d' avril 2009 corrigé par NAIMI_Reporting Onatel Mai 2009 V 0_Budget Telmob 2011" xfId="0"/>
    <cellStyle name="_TableRowBorder_Commentaires TBG mars_Copie de Flash du mois d' avril 2009 corrigé par NAIMI_Reporting Onatel Mai 2009 V 0_Reporting Onatel septembre  2009 préparé" xfId="0"/>
    <cellStyle name="_TableRowBorder_Commentaires TBG mars_Copie de Flash du mois d' avril 2009 corrigé par NAIMI_Reporting Onatel septembre  2009 préparé" xfId="0"/>
    <cellStyle name="_TableRowBorder_Commentaires TBG mars_Flash du mois d' avril 2009" xfId="0"/>
    <cellStyle name="_TableRowBorder_Commentaires TBG mars_Flash du mois d' avril 2009_Budget Telmob 2011" xfId="0"/>
    <cellStyle name="_TableRowBorder_Commentaires TBG mars_Flash du mois d' avril 2009_Flash du mois de mai 2009" xfId="0"/>
    <cellStyle name="_TableRowBorder_Commentaires TBG mars_Flash du mois d' avril 2009_Flash du mois de mai 2009_Budget Telmob 2011" xfId="0"/>
    <cellStyle name="_TableRowBorder_Commentaires TBG mars_Flash du mois d' avril 2009_Reporting Onatel Mai 2009 V 0" xfId="0"/>
    <cellStyle name="_TableRowBorder_Commentaires TBG mars_Flash du mois d' avril 2009_Reporting Onatel Mai 2009 V 0_Budget Telmob 2011" xfId="0"/>
    <cellStyle name="_TableRowBorder_Commentaires TBG mars_Flash du mois d' avril 2009_Reporting Onatel septembre  2009 préparé" xfId="0"/>
    <cellStyle name="_TableRowBorder_Commentaires TBG mars_Flash du mois de mai 2009" xfId="0"/>
    <cellStyle name="_TableRowBorder_Commentaires TBG mars_Flash du mois de mai 2009_Budget Telmob 2011" xfId="0"/>
    <cellStyle name="_TableRowBorder_Commentaires TBG mars_Reporting Onatel Mai 2009 V 0" xfId="0"/>
    <cellStyle name="_TableRowBorder_Commentaires TBG mars_Reporting Onatel Mai 2009 V 0_Budget Telmob 2011" xfId="0"/>
    <cellStyle name="_TableRowBorder_Commentaires TBG mars_Reporting Onatel septembre  2009 préparé" xfId="0"/>
    <cellStyle name="_TableRowBorder_Copie de Flash du mois d' avril 2009 corrigé par NAIMI" xfId="0"/>
    <cellStyle name="_TableRowBorder_Copie de Flash du mois d' avril 2009 corrigé par NAIMI_Budget Telmob 2011" xfId="0"/>
    <cellStyle name="_TableRowBorder_Copie de Flash du mois d' avril 2009 corrigé par NAIMI_Flash du mois de mai 2009" xfId="0"/>
    <cellStyle name="_TableRowBorder_Copie de Flash du mois d' avril 2009 corrigé par NAIMI_Flash du mois de mai 2009_Budget Telmob 2011" xfId="0"/>
    <cellStyle name="_TableRowBorder_Copie de Flash du mois d' avril 2009 corrigé par NAIMI_Reporting Onatel Mai 2009 V 0" xfId="0"/>
    <cellStyle name="_TableRowBorder_Copie de Flash du mois d' avril 2009 corrigé par NAIMI_Reporting Onatel Mai 2009 V 0_Budget Telmob 2011" xfId="0"/>
    <cellStyle name="_TableRowBorder_Copie de Flash du mois d' avril 2009 corrigé par NAIMI_Reporting Onatel Mai 2009 V 0_Reporting Onatel septembre  2009 préparé" xfId="0"/>
    <cellStyle name="_TableRowBorder_Copie de Flash du mois d' avril 2009 corrigé par NAIMI_Reporting Onatel septembre  2009 préparé" xfId="0"/>
    <cellStyle name="_TableRowBorder_Flash du mois d' avril 2009" xfId="0"/>
    <cellStyle name="_TableRowBorder_Flash du mois d' avril 2009_Budget Telmob 2011" xfId="0"/>
    <cellStyle name="_TableRowBorder_Flash du mois d' avril 2009_Flash du mois de mai 2009" xfId="0"/>
    <cellStyle name="_TableRowBorder_Flash du mois d' avril 2009_Flash du mois de mai 2009_Budget Telmob 2011" xfId="0"/>
    <cellStyle name="_TableRowBorder_Flash du mois d' avril 2009_Reporting Onatel Mai 2009 V 0" xfId="0"/>
    <cellStyle name="_TableRowBorder_Flash du mois d' avril 2009_Reporting Onatel Mai 2009 V 0_Budget Telmob 2011" xfId="0"/>
    <cellStyle name="_TableRowBorder_Flash du mois d' avril 2009_Reporting Onatel septembre  2009 préparé" xfId="0"/>
    <cellStyle name="_TableRowBorder_Flash du mois de mai 2009" xfId="0"/>
    <cellStyle name="_TableRowBorder_Flash du mois de mai 2009_Budget Telmob 2011" xfId="0"/>
    <cellStyle name="_TableRowBorder_P &amp; L Conso" xfId="0"/>
    <cellStyle name="_TableRowBorder_P &amp; L Conso_Budget Telmob 2011" xfId="0"/>
    <cellStyle name="_TableRowBorder_P &amp; L Conso_COMMENTAIRES JUILLET 2009" xfId="0"/>
    <cellStyle name="_TableRowBorder_P &amp; L Conso_COMMENTAIRES JUILLET 2009_Budget Telmob 2011" xfId="0"/>
    <cellStyle name="_TableRowBorder_P&amp;L S1 2008" xfId="0"/>
    <cellStyle name="_TableRowBorder_P&amp;L S1 2008_Budget Telmob 2011" xfId="0"/>
    <cellStyle name="_TableRowBorder_Reporting Onatel Avril 2009 V0" xfId="0"/>
    <cellStyle name="_TableRowBorder_Reporting Onatel Avril 2009 V0_Budget Telmob 2011" xfId="0"/>
    <cellStyle name="_TableRowBorder_Reporting Onatel Avril 2009 V0_Copie de Flash du mois d' avril 2009 corrigé par NAIMI" xfId="0"/>
    <cellStyle name="_TableRowBorder_Reporting Onatel Avril 2009 V0_Copie de Flash du mois d' avril 2009 corrigé par NAIMI_Budget Telmob 2011" xfId="0"/>
    <cellStyle name="_TableRowBorder_Reporting Onatel Avril 2009 V0_Copie de Flash du mois d' avril 2009 corrigé par NAIMI_Flash du mois de mai 2009" xfId="0"/>
    <cellStyle name="_TableRowBorder_Reporting Onatel Avril 2009 V0_Copie de Flash du mois d' avril 2009 corrigé par NAIMI_Flash du mois de mai 2009_Budget Telmob 2011" xfId="0"/>
    <cellStyle name="_TableRowBorder_Reporting Onatel Avril 2009 V0_Copie de Flash du mois d' avril 2009 corrigé par NAIMI_Reporting Onatel Mai 2009 V 0" xfId="0"/>
    <cellStyle name="_TableRowBorder_Reporting Onatel Avril 2009 V0_Copie de Flash du mois d' avril 2009 corrigé par NAIMI_Reporting Onatel Mai 2009 V 0_Budget Telmob 2011" xfId="0"/>
    <cellStyle name="_TableRowBorder_Reporting Onatel Avril 2009 V0_Copie de Flash du mois d' avril 2009 corrigé par NAIMI_Reporting Onatel Mai 2009 V 0_Reporting Onatel septembre  2009 préparé" xfId="0"/>
    <cellStyle name="_TableRowBorder_Reporting Onatel Avril 2009 V0_Copie de Flash du mois d' avril 2009 corrigé par NAIMI_Reporting Onatel septembre  2009 préparé" xfId="0"/>
    <cellStyle name="_TableRowBorder_Reporting Onatel Avril 2009 V0_Flash du mois de mai 2009" xfId="0"/>
    <cellStyle name="_TableRowBorder_Reporting Onatel Avril 2009 V0_Flash du mois de mai 2009_Budget Telmob 2011" xfId="0"/>
    <cellStyle name="_TableRowBorder_Reporting Onatel Avril 2009 V0_Reporting Onatel Mai 2009 V 0" xfId="0"/>
    <cellStyle name="_TableRowBorder_Reporting Onatel Avril 2009 V0_Reporting Onatel Mai 2009 V 0_Budget Telmob 2011" xfId="0"/>
    <cellStyle name="_TableRowBorder_Reporting Onatel Avril 2009 V0_Reporting Onatel septembre  2009 préparé" xfId="0"/>
    <cellStyle name="_TableRowBorder_Reporting Onatel Mai 2009 V 0" xfId="0"/>
    <cellStyle name="_TableRowBorder_Reporting Onatel Mai 2009 V 0 A ENVOYE" xfId="0"/>
    <cellStyle name="_TableRowBorder_Reporting Onatel Mai 2009 V 0 A ENVOYE_Budget Telmob 2011" xfId="0"/>
    <cellStyle name="_TableRowBorder_Reporting Onatel Mai 2009 V 0 A ENVOYE_Reporting Onatel septembre  2009 préparé" xfId="0"/>
    <cellStyle name="_TableRowBorder_Reporting Onatel Mai 2009 V 0_Budget Telmob 2011" xfId="0"/>
    <cellStyle name="_TableRowBorder_Reporting Onatel septembre  2009 préparé" xfId="0"/>
    <cellStyle name="_TableRowBorder_Rev Fixe-Internet" xfId="0"/>
    <cellStyle name="_TableRowBorder_Rev Fixe-Internet_Budget Telmob 2011" xfId="0"/>
    <cellStyle name="_TableRowBorder_Rev Fixe-Internet_COMMENTAIRES JUILLET 2009" xfId="0"/>
    <cellStyle name="_TableRowBorder_Rev Fixe-Internet_COMMENTAIRES JUILLET 2009_Budget Telmob 2011" xfId="0"/>
    <cellStyle name="_TableRowBorder_TBG Onatel Février  2009  Vtbg V3" xfId="0"/>
    <cellStyle name="_TableRowBorder_TBG Onatel Février  2009  Vtbg V3_Budget Telmob 2011" xfId="0"/>
    <cellStyle name="_TableRowBorder_TBG Onatel Février  2009  Vtbg V3_Commentaires TBG mars" xfId="0"/>
    <cellStyle name="_TableRowBorder_TBG Onatel Février  2009  Vtbg V3_Commentaires TBG mars_Budget Telmob 2011" xfId="0"/>
    <cellStyle name="_TableRowBorder_TBG Onatel Février  2009  Vtbg V3_Commentaires TBG mars_Copie de Flash du mois d' avril 2009 corrigé par NAIMI" xfId="0"/>
    <cellStyle name="_TableRowBorder_TBG Onatel Février  2009  Vtbg V3_Commentaires TBG mars_Copie de Flash du mois d' avril 2009 corrigé par NAIMI_Budget Telmob 2011" xfId="0"/>
    <cellStyle name="_TableRowBorder_TBG Onatel Février  2009  Vtbg V3_Commentaires TBG mars_Copie de Flash du mois d' avril 2009 corrigé par NAIMI_Flash du mois de mai 2009" xfId="0"/>
    <cellStyle name="_TableRowBorder_TBG Onatel Février  2009  Vtbg V3_Commentaires TBG mars_Copie de Flash du mois d' avril 2009 corrigé par NAIMI_Flash du mois de mai 2009_Budget Telmob 2011" xfId="0"/>
    <cellStyle name="_TableRowBorder_TBG Onatel Février  2009  Vtbg V3_Commentaires TBG mars_Copie de Flash du mois d' avril 2009 corrigé par NAIMI_Reporting Onatel Mai 2009 V 0" xfId="0"/>
    <cellStyle name="_TableRowBorder_TBG Onatel Février  2009  Vtbg V3_Commentaires TBG mars_Copie de Flash du mois d' avril 2009 corrigé par NAIMI_Reporting Onatel Mai 2009 V 0_Budget Telmob 2011" xfId="0"/>
    <cellStyle name="_TableRowBorder_TBG Onatel Février  2009  Vtbg V3_Commentaires TBG mars_Copie de Flash du mois d' avril 2009 corrigé par NAIMI_Reporting Onatel Mai 2009 V 0_Reporting Onatel septembre  2009 préparé" xfId="0"/>
    <cellStyle name="_TableRowBorder_TBG Onatel Février  2009  Vtbg V3_Commentaires TBG mars_Copie de Flash du mois d' avril 2009 corrigé par NAIMI_Reporting Onatel septembre  2009 préparé" xfId="0"/>
    <cellStyle name="_TableRowBorder_TBG Onatel Février  2009  Vtbg V3_Commentaires TBG mars_Flash du mois d' avril 2009" xfId="0"/>
    <cellStyle name="_TableRowBorder_TBG Onatel Février  2009  Vtbg V3_Commentaires TBG mars_Flash du mois d' avril 2009_Budget Telmob 2011" xfId="0"/>
    <cellStyle name="_TableRowBorder_TBG Onatel Février  2009  Vtbg V3_Commentaires TBG mars_Flash du mois d' avril 2009_Flash du mois de mai 2009" xfId="0"/>
    <cellStyle name="_TableRowBorder_TBG Onatel Février  2009  Vtbg V3_Commentaires TBG mars_Flash du mois d' avril 2009_Flash du mois de mai 2009_Budget Telmob 2011" xfId="0"/>
    <cellStyle name="_TableRowBorder_TBG Onatel Février  2009  Vtbg V3_Commentaires TBG mars_Flash du mois d' avril 2009_Reporting Onatel Mai 2009 V 0" xfId="0"/>
    <cellStyle name="_TableRowBorder_TBG Onatel Février  2009  Vtbg V3_Commentaires TBG mars_Flash du mois d' avril 2009_Reporting Onatel Mai 2009 V 0_Budget Telmob 2011" xfId="0"/>
    <cellStyle name="_TableRowBorder_TBG Onatel Février  2009  Vtbg V3_Commentaires TBG mars_Flash du mois d' avril 2009_Reporting Onatel septembre  2009 préparé" xfId="0"/>
    <cellStyle name="_TableRowBorder_TBG Onatel Février  2009  Vtbg V3_Commentaires TBG mars_Flash du mois de mai 2009" xfId="0"/>
    <cellStyle name="_TableRowBorder_TBG Onatel Février  2009  Vtbg V3_Commentaires TBG mars_Flash du mois de mai 2009_Budget Telmob 2011" xfId="0"/>
    <cellStyle name="_TableRowBorder_TBG Onatel Février  2009  Vtbg V3_Commentaires TBG mars_Reporting Onatel Mai 2009 V 0" xfId="0"/>
    <cellStyle name="_TableRowBorder_TBG Onatel Février  2009  Vtbg V3_Commentaires TBG mars_Reporting Onatel Mai 2009 V 0_Budget Telmob 2011" xfId="0"/>
    <cellStyle name="_TableRowBorder_TBG Onatel Février  2009  Vtbg V3_Commentaires TBG mars_Reporting Onatel septembre  2009 préparé" xfId="0"/>
    <cellStyle name="_TableRowBorder_TBG Onatel Février  2009  Vtbg V3_Copie de Flash du mois d' avril 2009 corrigé par NAIMI" xfId="0"/>
    <cellStyle name="_TableRowBorder_TBG Onatel Février  2009  Vtbg V3_Copie de Flash du mois d' avril 2009 corrigé par NAIMI_Budget Telmob 2011" xfId="0"/>
    <cellStyle name="_TableRowBorder_TBG Onatel Février  2009  Vtbg V3_Copie de Flash du mois d' avril 2009 corrigé par NAIMI_Flash du mois de mai 2009" xfId="0"/>
    <cellStyle name="_TableRowBorder_TBG Onatel Février  2009  Vtbg V3_Copie de Flash du mois d' avril 2009 corrigé par NAIMI_Flash du mois de mai 2009_Budget Telmob 2011" xfId="0"/>
    <cellStyle name="_TableRowBorder_TBG Onatel Février  2009  Vtbg V3_Copie de Flash du mois d' avril 2009 corrigé par NAIMI_Reporting Onatel Mai 2009 V 0" xfId="0"/>
    <cellStyle name="_TableRowBorder_TBG Onatel Février  2009  Vtbg V3_Copie de Flash du mois d' avril 2009 corrigé par NAIMI_Reporting Onatel Mai 2009 V 0_Budget Telmob 2011" xfId="0"/>
    <cellStyle name="_TableRowBorder_TBG Onatel Février  2009  Vtbg V3_Copie de Flash du mois d' avril 2009 corrigé par NAIMI_Reporting Onatel Mai 2009 V 0_Reporting Onatel septembre  2009 préparé" xfId="0"/>
    <cellStyle name="_TableRowBorder_TBG Onatel Février  2009  Vtbg V3_Copie de Flash du mois d' avril 2009 corrigé par NAIMI_Reporting Onatel septembre  2009 préparé" xfId="0"/>
    <cellStyle name="_TableRowBorder_TBG Onatel Février  2009  Vtbg V3_Flash du mois d' avril 2009" xfId="0"/>
    <cellStyle name="_TableRowBorder_TBG Onatel Février  2009  Vtbg V3_Flash du mois d' avril 2009_Budget Telmob 2011" xfId="0"/>
    <cellStyle name="_TableRowBorder_TBG Onatel Février  2009  Vtbg V3_Flash du mois d' avril 2009_Flash du mois de mai 2009" xfId="0"/>
    <cellStyle name="_TableRowBorder_TBG Onatel Février  2009  Vtbg V3_Flash du mois d' avril 2009_Flash du mois de mai 2009_Budget Telmob 2011" xfId="0"/>
    <cellStyle name="_TableRowBorder_TBG Onatel Février  2009  Vtbg V3_Flash du mois d' avril 2009_Reporting Onatel Mai 2009 V 0" xfId="0"/>
    <cellStyle name="_TableRowBorder_TBG Onatel Février  2009  Vtbg V3_Flash du mois d' avril 2009_Reporting Onatel Mai 2009 V 0_Budget Telmob 2011" xfId="0"/>
    <cellStyle name="_TableRowBorder_TBG Onatel Février  2009  Vtbg V3_Flash du mois d' avril 2009_Reporting Onatel septembre  2009 préparé" xfId="0"/>
    <cellStyle name="_TableRowBorder_TBG Onatel Février  2009  Vtbg V3_Flash du mois de mai 2009" xfId="0"/>
    <cellStyle name="_TableRowBorder_TBG Onatel Février  2009  Vtbg V3_Flash du mois de mai 2009_Budget Telmob 2011" xfId="0"/>
    <cellStyle name="_TableRowBorder_TBG Onatel Février  2009  Vtbg V3_Reporting Onatel Mai 2009 V 0" xfId="0"/>
    <cellStyle name="_TableRowBorder_TBG Onatel Février  2009  Vtbg V3_Reporting Onatel Mai 2009 V 0_Budget Telmob 2011" xfId="0"/>
    <cellStyle name="_TableRowBorder_TBG Onatel Février  2009  Vtbg V3_Reporting Onatel septembre  2009 préparé" xfId="0"/>
    <cellStyle name="_TableRowHead" xfId="0"/>
    <cellStyle name="_TableRowHead_Budget 2011 v1 (4)" xfId="0"/>
    <cellStyle name="_TableRowHeading" xfId="0"/>
    <cellStyle name="_TableRowHeading_Budget 2011 v1 (4)" xfId="0"/>
    <cellStyle name="_TableSuperHead" xfId="0"/>
    <cellStyle name="_TableSuperHead_02 Pfd Valuation" xfId="0"/>
    <cellStyle name="_TableSuperHead_USA Ownership" xfId="0"/>
    <cellStyle name="_TableSuperHeading" xfId="0"/>
    <cellStyle name="_TableText" xfId="0"/>
    <cellStyle name="_TB Mauritel  12.2005" xfId="0"/>
    <cellStyle name="_TBG Juin 2009 V CDG (2)" xfId="0"/>
    <cellStyle name="_TBG Juin 2009 V CDG (3)" xfId="0"/>
    <cellStyle name="_TBG Malitel juillet 2009" xfId="0"/>
    <cellStyle name="_V0 24sep" xfId="0"/>
    <cellStyle name="_V0 24sep (2)" xfId="0"/>
    <cellStyle name="_V1 actu1 9 avr 2008" xfId="0"/>
    <cellStyle name="_V2 BSS comparaison Budget 2008_2007" xfId="0"/>
    <cellStyle name="_~8691318" xfId="0"/>
    <cellStyle name="_~8691318_BP&amp;A Bulletin - 05- 2008-09-MAPA (draft)" xfId="0"/>
    <cellStyle name="_~8691318_BP&amp;A Bulletin - 05- 2008-09-MAPA (Post review)" xfId="0"/>
    <cellStyle name="Accent1 - 20 %" xfId="0"/>
    <cellStyle name="Accent1 - 20 % 2" xfId="0"/>
    <cellStyle name="Accent1 - 40 %" xfId="0"/>
    <cellStyle name="Accent1 - 40 % 2" xfId="0"/>
    <cellStyle name="Accent1 - 60 %" xfId="0"/>
    <cellStyle name="Accent1 10" xfId="0"/>
    <cellStyle name="Accent1 11" xfId="0"/>
    <cellStyle name="Accent1 12" xfId="0"/>
    <cellStyle name="Accent1 13" xfId="0"/>
    <cellStyle name="Accent1 14" xfId="0"/>
    <cellStyle name="Accent1 15" xfId="0"/>
    <cellStyle name="Accent1 16" xfId="0"/>
    <cellStyle name="Accent1 17" xfId="0"/>
    <cellStyle name="Accent1 18" xfId="0"/>
    <cellStyle name="Accent1 19" xfId="0"/>
    <cellStyle name="Accent1 2" xfId="0"/>
    <cellStyle name="Accent1 2 2" xfId="0"/>
    <cellStyle name="Accent1 2 2 2" xfId="0"/>
    <cellStyle name="Accent1 2 2_Parc Mobile" xfId="0"/>
    <cellStyle name="Accent1 2 3" xfId="0"/>
    <cellStyle name="Accent1 2 4" xfId="0"/>
    <cellStyle name="Accent1 2 5" xfId="0"/>
    <cellStyle name="Accent1 2 6" xfId="0"/>
    <cellStyle name="Accent1 2 7" xfId="0"/>
    <cellStyle name="Accent1 2 8" xfId="0"/>
    <cellStyle name="Accent1 2 9" xfId="0"/>
    <cellStyle name="Accent1 20" xfId="0"/>
    <cellStyle name="Accent1 21" xfId="0"/>
    <cellStyle name="Accent1 22" xfId="0"/>
    <cellStyle name="Accent1 23" xfId="0"/>
    <cellStyle name="Accent1 24" xfId="0"/>
    <cellStyle name="Accent1 25" xfId="0"/>
    <cellStyle name="Accent1 26" xfId="0"/>
    <cellStyle name="Accent1 27" xfId="0"/>
    <cellStyle name="Accent1 28" xfId="0"/>
    <cellStyle name="Accent1 29 2" xfId="0"/>
    <cellStyle name="Accent1 3" xfId="0"/>
    <cellStyle name="Accent1 3 2" xfId="0"/>
    <cellStyle name="Accent1 30 2" xfId="0"/>
    <cellStyle name="Accent1 31 2" xfId="0"/>
    <cellStyle name="Accent1 32 2" xfId="0"/>
    <cellStyle name="Accent1 33 2" xfId="0"/>
    <cellStyle name="Accent1 34 2" xfId="0"/>
    <cellStyle name="Accent1 3_Parc Mobile" xfId="0"/>
    <cellStyle name="Accent1 4" xfId="0"/>
    <cellStyle name="Accent1 4 2" xfId="0"/>
    <cellStyle name="Accent1 4_Parc Mobile" xfId="0"/>
    <cellStyle name="Accent1 5" xfId="0"/>
    <cellStyle name="Accent1 6" xfId="0"/>
    <cellStyle name="Accent1 7" xfId="0"/>
    <cellStyle name="Accent1 8" xfId="0"/>
    <cellStyle name="Accent1 9" xfId="0"/>
    <cellStyle name="Accent2 - 20 %" xfId="0"/>
    <cellStyle name="Accent2 - 20 % 2" xfId="0"/>
    <cellStyle name="Accent2 - 20 %_RH et QS" xfId="0"/>
    <cellStyle name="Accent2 - 40 %" xfId="0"/>
    <cellStyle name="Accent2 - 40 % 2" xfId="0"/>
    <cellStyle name="Accent2 - 40 %_RH et QS" xfId="0"/>
    <cellStyle name="Accent2 - 60 %" xfId="0"/>
    <cellStyle name="Accent2 10" xfId="0"/>
    <cellStyle name="Accent2 11" xfId="0"/>
    <cellStyle name="Accent2 12" xfId="0"/>
    <cellStyle name="Accent2 13" xfId="0"/>
    <cellStyle name="Accent2 14" xfId="0"/>
    <cellStyle name="Accent2 15" xfId="0"/>
    <cellStyle name="Accent2 16" xfId="0"/>
    <cellStyle name="Accent2 17" xfId="0"/>
    <cellStyle name="Accent2 18" xfId="0"/>
    <cellStyle name="Accent2 19" xfId="0"/>
    <cellStyle name="Accent2 2" xfId="0"/>
    <cellStyle name="Accent2 2 2" xfId="0"/>
    <cellStyle name="Accent2 2 2 2" xfId="0"/>
    <cellStyle name="Accent2 2 2_Parc Mobile" xfId="0"/>
    <cellStyle name="Accent2 2 3" xfId="0"/>
    <cellStyle name="Accent2 2 4" xfId="0"/>
    <cellStyle name="Accent2 2 5" xfId="0"/>
    <cellStyle name="Accent2 2 6" xfId="0"/>
    <cellStyle name="Accent2 2 7" xfId="0"/>
    <cellStyle name="Accent2 2 8" xfId="0"/>
    <cellStyle name="Accent2 2 9" xfId="0"/>
    <cellStyle name="Accent2 20" xfId="0"/>
    <cellStyle name="Accent2 21" xfId="0"/>
    <cellStyle name="Accent2 22" xfId="0"/>
    <cellStyle name="Accent2 23" xfId="0"/>
    <cellStyle name="Accent2 24" xfId="0"/>
    <cellStyle name="Accent2 25" xfId="0"/>
    <cellStyle name="Accent2 26" xfId="0"/>
    <cellStyle name="Accent2 27" xfId="0"/>
    <cellStyle name="Accent2 28" xfId="0"/>
    <cellStyle name="Accent2 29 2" xfId="0"/>
    <cellStyle name="Accent2 2_RH et QS" xfId="0"/>
    <cellStyle name="Accent2 3" xfId="0"/>
    <cellStyle name="Accent2 3 2" xfId="0"/>
    <cellStyle name="Accent2 30 2" xfId="0"/>
    <cellStyle name="Accent2 31 2" xfId="0"/>
    <cellStyle name="Accent2 32 2" xfId="0"/>
    <cellStyle name="Accent2 33 2" xfId="0"/>
    <cellStyle name="Accent2 34 2" xfId="0"/>
    <cellStyle name="Accent2 3_Parc Mobile" xfId="0"/>
    <cellStyle name="Accent2 4" xfId="0"/>
    <cellStyle name="Accent2 4 2" xfId="0"/>
    <cellStyle name="Accent2 4_Parc Mobile" xfId="0"/>
    <cellStyle name="Accent2 5" xfId="0"/>
    <cellStyle name="Accent2 6" xfId="0"/>
    <cellStyle name="Accent2 7" xfId="0"/>
    <cellStyle name="Accent2 8" xfId="0"/>
    <cellStyle name="Accent2 9" xfId="0"/>
    <cellStyle name="Accent3 - 20 %" xfId="0"/>
    <cellStyle name="Accent3 - 20 % 2" xfId="0"/>
    <cellStyle name="Accent3 - 20 %_RH et QS" xfId="0"/>
    <cellStyle name="Accent3 - 40 %" xfId="0"/>
    <cellStyle name="Accent3 - 40 % 2" xfId="0"/>
    <cellStyle name="Accent3 - 40 %_RH et QS" xfId="0"/>
    <cellStyle name="Accent3 - 60 %" xfId="0"/>
    <cellStyle name="Accent3 10" xfId="0"/>
    <cellStyle name="Accent3 11" xfId="0"/>
    <cellStyle name="Accent3 12" xfId="0"/>
    <cellStyle name="Accent3 13" xfId="0"/>
    <cellStyle name="Accent3 14" xfId="0"/>
    <cellStyle name="Accent3 15" xfId="0"/>
    <cellStyle name="Accent3 16" xfId="0"/>
    <cellStyle name="Accent3 17" xfId="0"/>
    <cellStyle name="Accent3 18" xfId="0"/>
    <cellStyle name="Accent3 19" xfId="0"/>
    <cellStyle name="Accent3 2" xfId="0"/>
    <cellStyle name="Accent3 2 2" xfId="0"/>
    <cellStyle name="Accent3 2 2 2" xfId="0"/>
    <cellStyle name="Accent3 2 2_Parc Mobile" xfId="0"/>
    <cellStyle name="Accent3 2 3" xfId="0"/>
    <cellStyle name="Accent3 2 4" xfId="0"/>
    <cellStyle name="Accent3 2 5" xfId="0"/>
    <cellStyle name="Accent3 2 6" xfId="0"/>
    <cellStyle name="Accent3 2 7" xfId="0"/>
    <cellStyle name="Accent3 2 8" xfId="0"/>
    <cellStyle name="Accent3 2 9" xfId="0"/>
    <cellStyle name="Accent3 20" xfId="0"/>
    <cellStyle name="Accent3 21" xfId="0"/>
    <cellStyle name="Accent3 22" xfId="0"/>
    <cellStyle name="Accent3 23" xfId="0"/>
    <cellStyle name="Accent3 24" xfId="0"/>
    <cellStyle name="Accent3 25" xfId="0"/>
    <cellStyle name="Accent3 26" xfId="0"/>
    <cellStyle name="Accent3 27" xfId="0"/>
    <cellStyle name="Accent3 28" xfId="0"/>
    <cellStyle name="Accent3 29 2" xfId="0"/>
    <cellStyle name="Accent3 2_RH et QS" xfId="0"/>
    <cellStyle name="Accent3 3" xfId="0"/>
    <cellStyle name="Accent3 3 2" xfId="0"/>
    <cellStyle name="Accent3 30 2" xfId="0"/>
    <cellStyle name="Accent3 31 2" xfId="0"/>
    <cellStyle name="Accent3 32 2" xfId="0"/>
    <cellStyle name="Accent3 33 2" xfId="0"/>
    <cellStyle name="Accent3 34 2" xfId="0"/>
    <cellStyle name="Accent3 3_Parc Mobile" xfId="0"/>
    <cellStyle name="Accent3 4" xfId="0"/>
    <cellStyle name="Accent3 4 2" xfId="0"/>
    <cellStyle name="Accent3 4_Parc Mobile" xfId="0"/>
    <cellStyle name="Accent3 5" xfId="0"/>
    <cellStyle name="Accent3 6" xfId="0"/>
    <cellStyle name="Accent3 7" xfId="0"/>
    <cellStyle name="Accent3 8" xfId="0"/>
    <cellStyle name="Accent3 9" xfId="0"/>
    <cellStyle name="Accent4 - 20 %" xfId="0"/>
    <cellStyle name="Accent4 - 20 % 2" xfId="0"/>
    <cellStyle name="Accent4 - 20 %_RH et QS" xfId="0"/>
    <cellStyle name="Accent4 - 40 %" xfId="0"/>
    <cellStyle name="Accent4 - 40 % 2" xfId="0"/>
    <cellStyle name="Accent4 - 40 %_RH et QS" xfId="0"/>
    <cellStyle name="Accent4 - 60 %" xfId="0"/>
    <cellStyle name="Accent4 10" xfId="0"/>
    <cellStyle name="Accent4 11" xfId="0"/>
    <cellStyle name="Accent4 12" xfId="0"/>
    <cellStyle name="Accent4 13" xfId="0"/>
    <cellStyle name="Accent4 14" xfId="0"/>
    <cellStyle name="Accent4 15" xfId="0"/>
    <cellStyle name="Accent4 16" xfId="0"/>
    <cellStyle name="Accent4 17" xfId="0"/>
    <cellStyle name="Accent4 18" xfId="0"/>
    <cellStyle name="Accent4 19" xfId="0"/>
    <cellStyle name="Accent4 2" xfId="0"/>
    <cellStyle name="Accent4 2 2" xfId="0"/>
    <cellStyle name="Accent4 2 2 2" xfId="0"/>
    <cellStyle name="Accent4 2 2_Parc Mobile" xfId="0"/>
    <cellStyle name="Accent4 2 3" xfId="0"/>
    <cellStyle name="Accent4 2 4" xfId="0"/>
    <cellStyle name="Accent4 2 5" xfId="0"/>
    <cellStyle name="Accent4 2 6" xfId="0"/>
    <cellStyle name="Accent4 2 7" xfId="0"/>
    <cellStyle name="Accent4 2 8" xfId="0"/>
    <cellStyle name="Accent4 2 9" xfId="0"/>
    <cellStyle name="Accent4 20" xfId="0"/>
    <cellStyle name="Accent4 21" xfId="0"/>
    <cellStyle name="Accent4 22" xfId="0"/>
    <cellStyle name="Accent4 23" xfId="0"/>
    <cellStyle name="Accent4 24" xfId="0"/>
    <cellStyle name="Accent4 25" xfId="0"/>
    <cellStyle name="Accent4 26" xfId="0"/>
    <cellStyle name="Accent4 27" xfId="0"/>
    <cellStyle name="Accent4 28" xfId="0"/>
    <cellStyle name="Accent4 29 2" xfId="0"/>
    <cellStyle name="Accent4 2_RH et QS" xfId="0"/>
    <cellStyle name="Accent4 3" xfId="0"/>
    <cellStyle name="Accent4 3 2" xfId="0"/>
    <cellStyle name="Accent4 30 2" xfId="0"/>
    <cellStyle name="Accent4 31 2" xfId="0"/>
    <cellStyle name="Accent4 32 2" xfId="0"/>
    <cellStyle name="Accent4 33 2" xfId="0"/>
    <cellStyle name="Accent4 34 2" xfId="0"/>
    <cellStyle name="Accent4 3_Parc Mobile" xfId="0"/>
    <cellStyle name="Accent4 4" xfId="0"/>
    <cellStyle name="Accent4 4 2" xfId="0"/>
    <cellStyle name="Accent4 4_Parc Mobile" xfId="0"/>
    <cellStyle name="Accent4 5" xfId="0"/>
    <cellStyle name="Accent4 6" xfId="0"/>
    <cellStyle name="Accent4 7" xfId="0"/>
    <cellStyle name="Accent4 8" xfId="0"/>
    <cellStyle name="Accent4 9" xfId="0"/>
    <cellStyle name="Accent5 - 20 %" xfId="0"/>
    <cellStyle name="Accent5 - 20 % 2" xfId="0"/>
    <cellStyle name="Accent5 - 20 %_RH et QS" xfId="0"/>
    <cellStyle name="Accent5 - 40 %" xfId="0"/>
    <cellStyle name="Accent5 - 40 % 2" xfId="0"/>
    <cellStyle name="Accent5 - 40 %_RH et QS" xfId="0"/>
    <cellStyle name="Accent5 - 60 %" xfId="0"/>
    <cellStyle name="Accent5 10" xfId="0"/>
    <cellStyle name="Accent5 11" xfId="0"/>
    <cellStyle name="Accent5 12" xfId="0"/>
    <cellStyle name="Accent5 13" xfId="0"/>
    <cellStyle name="Accent5 14" xfId="0"/>
    <cellStyle name="Accent5 15" xfId="0"/>
    <cellStyle name="Accent5 16" xfId="0"/>
    <cellStyle name="Accent5 17" xfId="0"/>
    <cellStyle name="Accent5 18" xfId="0"/>
    <cellStyle name="Accent5 19" xfId="0"/>
    <cellStyle name="Accent5 2" xfId="0"/>
    <cellStyle name="Accent5 2 2" xfId="0"/>
    <cellStyle name="Accent5 2 3" xfId="0"/>
    <cellStyle name="Accent5 2 4" xfId="0"/>
    <cellStyle name="Accent5 2 5" xfId="0"/>
    <cellStyle name="Accent5 2 6" xfId="0"/>
    <cellStyle name="Accent5 2 7" xfId="0"/>
    <cellStyle name="Accent5 2 8" xfId="0"/>
    <cellStyle name="Accent5 2 9" xfId="0"/>
    <cellStyle name="Accent5 20" xfId="0"/>
    <cellStyle name="Accent5 21" xfId="0"/>
    <cellStyle name="Accent5 22" xfId="0"/>
    <cellStyle name="Accent5 23" xfId="0"/>
    <cellStyle name="Accent5 24" xfId="0"/>
    <cellStyle name="Accent5 25" xfId="0"/>
    <cellStyle name="Accent5 26" xfId="0"/>
    <cellStyle name="Accent5 27" xfId="0"/>
    <cellStyle name="Accent5 28" xfId="0"/>
    <cellStyle name="Accent5 29 2" xfId="0"/>
    <cellStyle name="Accent5 2_RH et QS" xfId="0"/>
    <cellStyle name="Accent5 3" xfId="0"/>
    <cellStyle name="Accent5 3 2" xfId="0"/>
    <cellStyle name="Accent5 30 2" xfId="0"/>
    <cellStyle name="Accent5 31 2" xfId="0"/>
    <cellStyle name="Accent5 32 2" xfId="0"/>
    <cellStyle name="Accent5 33 2" xfId="0"/>
    <cellStyle name="Accent5 34 2" xfId="0"/>
    <cellStyle name="Accent5 3_Parc Mobile" xfId="0"/>
    <cellStyle name="Accent5 4" xfId="0"/>
    <cellStyle name="Accent5 5" xfId="0"/>
    <cellStyle name="Accent5 6" xfId="0"/>
    <cellStyle name="Accent5 7" xfId="0"/>
    <cellStyle name="Accent5 8" xfId="0"/>
    <cellStyle name="Accent5 9" xfId="0"/>
    <cellStyle name="Accent6 - 20 %" xfId="0"/>
    <cellStyle name="Accent6 - 20 % 2" xfId="0"/>
    <cellStyle name="Accent6 - 20 %_RH et QS" xfId="0"/>
    <cellStyle name="Accent6 - 40 %" xfId="0"/>
    <cellStyle name="Accent6 - 40 % 2" xfId="0"/>
    <cellStyle name="Accent6 - 40 %_RH et QS" xfId="0"/>
    <cellStyle name="Accent6 - 60 %" xfId="0"/>
    <cellStyle name="Accent6 10" xfId="0"/>
    <cellStyle name="Accent6 11" xfId="0"/>
    <cellStyle name="Accent6 12" xfId="0"/>
    <cellStyle name="Accent6 13" xfId="0"/>
    <cellStyle name="Accent6 14" xfId="0"/>
    <cellStyle name="Accent6 15" xfId="0"/>
    <cellStyle name="Accent6 16" xfId="0"/>
    <cellStyle name="Accent6 17" xfId="0"/>
    <cellStyle name="Accent6 18" xfId="0"/>
    <cellStyle name="Accent6 19" xfId="0"/>
    <cellStyle name="Accent6 2" xfId="0"/>
    <cellStyle name="Accent6 2 2" xfId="0"/>
    <cellStyle name="Accent6 2 2 2" xfId="0"/>
    <cellStyle name="Accent6 2 2_Parc Mobile" xfId="0"/>
    <cellStyle name="Accent6 2 3" xfId="0"/>
    <cellStyle name="Accent6 2 4" xfId="0"/>
    <cellStyle name="Accent6 2 5" xfId="0"/>
    <cellStyle name="Accent6 2 6" xfId="0"/>
    <cellStyle name="Accent6 2 7" xfId="0"/>
    <cellStyle name="Accent6 2 8" xfId="0"/>
    <cellStyle name="Accent6 2 9" xfId="0"/>
    <cellStyle name="Accent6 20" xfId="0"/>
    <cellStyle name="Accent6 21" xfId="0"/>
    <cellStyle name="Accent6 22" xfId="0"/>
    <cellStyle name="Accent6 23" xfId="0"/>
    <cellStyle name="Accent6 24" xfId="0"/>
    <cellStyle name="Accent6 25" xfId="0"/>
    <cellStyle name="Accent6 26" xfId="0"/>
    <cellStyle name="Accent6 27" xfId="0"/>
    <cellStyle name="Accent6 28" xfId="0"/>
    <cellStyle name="Accent6 29 2" xfId="0"/>
    <cellStyle name="Accent6 2_RH et QS" xfId="0"/>
    <cellStyle name="Accent6 3" xfId="0"/>
    <cellStyle name="Accent6 3 2" xfId="0"/>
    <cellStyle name="Accent6 30 2" xfId="0"/>
    <cellStyle name="Accent6 31 2" xfId="0"/>
    <cellStyle name="Accent6 32 2" xfId="0"/>
    <cellStyle name="Accent6 33 2" xfId="0"/>
    <cellStyle name="Accent6 34 2" xfId="0"/>
    <cellStyle name="Accent6 3_Parc Mobile" xfId="0"/>
    <cellStyle name="Accent6 4" xfId="0"/>
    <cellStyle name="Accent6 4 2" xfId="0"/>
    <cellStyle name="Accent6 4_Parc Mobile" xfId="0"/>
    <cellStyle name="Accent6 5" xfId="0"/>
    <cellStyle name="Accent6 6" xfId="0"/>
    <cellStyle name="Accent6 7" xfId="0"/>
    <cellStyle name="Accent6 8" xfId="0"/>
    <cellStyle name="Accent6 9" xfId="0"/>
    <cellStyle name="Accounting" xfId="0"/>
    <cellStyle name="Accounting 2" xfId="0"/>
    <cellStyle name="Accounting 3" xfId="0"/>
    <cellStyle name="amount" xfId="0"/>
    <cellStyle name="amount 2" xfId="0"/>
    <cellStyle name="amount 2 2" xfId="0"/>
    <cellStyle name="amount 3" xfId="0"/>
    <cellStyle name="args.style" xfId="0"/>
    <cellStyle name="AssumptionHeader" xfId="0"/>
    <cellStyle name="Avertissement 2" xfId="0"/>
    <cellStyle name="Avertissement 2 2" xfId="0"/>
    <cellStyle name="Avertissement 2_RH et QS" xfId="0"/>
    <cellStyle name="Avertissement 3" xfId="0"/>
    <cellStyle name="Avertissement 3 2" xfId="0"/>
    <cellStyle name="Avertissement 3_RH et QS" xfId="0"/>
    <cellStyle name="Avertissement 4" xfId="0"/>
    <cellStyle name="Avertissement 4 2" xfId="0"/>
    <cellStyle name="Avertissement 4_RH et QS" xfId="0"/>
    <cellStyle name="Avertissement 5" xfId="0"/>
    <cellStyle name="Avertissement 5 2" xfId="0"/>
    <cellStyle name="Avertissement 5_RH et QS" xfId="0"/>
    <cellStyle name="Avertissement 6" xfId="0"/>
    <cellStyle name="Avertissement 6 2" xfId="0"/>
    <cellStyle name="Avertissement 6_RH et QS" xfId="0"/>
    <cellStyle name="Avertissement 7 2" xfId="0"/>
    <cellStyle name="Avertissement 8 2" xfId="0"/>
    <cellStyle name="axlcolour" xfId="0"/>
    <cellStyle name="azert - Style1" xfId="0"/>
    <cellStyle name="azert - Style1 2" xfId="0"/>
    <cellStyle name="azert - Style1 2 2" xfId="0"/>
    <cellStyle name="azert - Style1 3" xfId="0"/>
    <cellStyle name="Bad 10" xfId="0"/>
    <cellStyle name="Bad 11" xfId="0"/>
    <cellStyle name="Bad 12" xfId="0"/>
    <cellStyle name="Bad 13" xfId="0"/>
    <cellStyle name="Bad 14" xfId="0"/>
    <cellStyle name="Bad 15" xfId="0"/>
    <cellStyle name="Bad 16" xfId="0"/>
    <cellStyle name="Bad 17" xfId="0"/>
    <cellStyle name="Bad 18" xfId="0"/>
    <cellStyle name="Bad 19" xfId="0"/>
    <cellStyle name="Bad 2" xfId="0"/>
    <cellStyle name="Bad 20" xfId="0"/>
    <cellStyle name="Bad 21" xfId="0"/>
    <cellStyle name="Bad 22" xfId="0"/>
    <cellStyle name="Bad 23" xfId="0"/>
    <cellStyle name="Bad 24" xfId="0"/>
    <cellStyle name="Bad 25" xfId="0"/>
    <cellStyle name="Bad 26" xfId="0"/>
    <cellStyle name="Bad 27" xfId="0"/>
    <cellStyle name="Bad 28" xfId="0"/>
    <cellStyle name="Bad 3" xfId="0"/>
    <cellStyle name="Bad 4" xfId="0"/>
    <cellStyle name="Bad 5" xfId="0"/>
    <cellStyle name="Bad 6" xfId="0"/>
    <cellStyle name="Bad 7" xfId="0"/>
    <cellStyle name="Bad 8" xfId="0"/>
    <cellStyle name="Bad 9" xfId="0"/>
    <cellStyle name="blank" xfId="0"/>
    <cellStyle name="blue shading" xfId="0"/>
    <cellStyle name="blue shading 2" xfId="0"/>
    <cellStyle name="Blue Title" xfId="0"/>
    <cellStyle name="Blue Title 2" xfId="0"/>
    <cellStyle name="Blue Title_Budget Telmob 2011" xfId="0"/>
    <cellStyle name="Body" xfId="0"/>
    <cellStyle name="Body text" xfId="0"/>
    <cellStyle name="Body_Parc Mobile" xfId="0"/>
    <cellStyle name="Border Heavy" xfId="0"/>
    <cellStyle name="Border Heavy 2" xfId="0"/>
    <cellStyle name="Border Heavy 2 2" xfId="0"/>
    <cellStyle name="Border Heavy 2 2 2" xfId="0"/>
    <cellStyle name="Border Heavy 2 3" xfId="0"/>
    <cellStyle name="Border Heavy 3" xfId="0"/>
    <cellStyle name="Border Heavy 3 2" xfId="0"/>
    <cellStyle name="Border Heavy 4" xfId="0"/>
    <cellStyle name="Border Heavy_Budget Telmob 2011" xfId="0"/>
    <cellStyle name="Border Thin" xfId="0"/>
    <cellStyle name="Border Thin 2" xfId="0"/>
    <cellStyle name="Border Thin_Budget Telmob 2011" xfId="0"/>
    <cellStyle name="Boxed" xfId="0"/>
    <cellStyle name="Calc Currency (0)" xfId="0"/>
    <cellStyle name="Calc Currency (2)" xfId="0"/>
    <cellStyle name="Calc Currency (2) 2" xfId="0"/>
    <cellStyle name="Calc Currency (2)_Parc Mobile" xfId="0"/>
    <cellStyle name="Calc Percent (0)" xfId="0"/>
    <cellStyle name="Calc Percent (0) 2" xfId="0"/>
    <cellStyle name="Calc Percent (0)_Parc Mobile" xfId="0"/>
    <cellStyle name="Calc Percent (1)" xfId="0"/>
    <cellStyle name="Calc Percent (1) 2" xfId="0"/>
    <cellStyle name="Calc Percent (1)_Parc Mobile" xfId="0"/>
    <cellStyle name="Calc Percent (2)" xfId="0"/>
    <cellStyle name="Calc Percent (2) 2" xfId="0"/>
    <cellStyle name="Calc Percent (2)_Parc Mobile" xfId="0"/>
    <cellStyle name="Calc Units (0)" xfId="0"/>
    <cellStyle name="Calc Units (0) 2" xfId="0"/>
    <cellStyle name="Calc Units (0)_Parc Mobile" xfId="0"/>
    <cellStyle name="Calc Units (1)" xfId="0"/>
    <cellStyle name="Calc Units (1) 2" xfId="0"/>
    <cellStyle name="Calc Units (1)_Parc Mobile" xfId="0"/>
    <cellStyle name="Calc Units (2)" xfId="0"/>
    <cellStyle name="Calc Units (2) 2" xfId="0"/>
    <cellStyle name="Calc Units (2)_Parc Mobile" xfId="0"/>
    <cellStyle name="Calcul 2" xfId="0"/>
    <cellStyle name="Calcul 2 2" xfId="0"/>
    <cellStyle name="Calcul 2 2 2" xfId="0"/>
    <cellStyle name="Calcul 2 2 2 2" xfId="0"/>
    <cellStyle name="Calcul 2 2 2 2 2" xfId="0"/>
    <cellStyle name="Calcul 2 2 2 3" xfId="0"/>
    <cellStyle name="Calcul 2 2 3" xfId="0"/>
    <cellStyle name="Calcul 2 2 3 2" xfId="0"/>
    <cellStyle name="Calcul 2 2 4" xfId="0"/>
    <cellStyle name="Calcul 2 2_Parc Mobile" xfId="0"/>
    <cellStyle name="Calcul 2 3" xfId="0"/>
    <cellStyle name="Calcul 2 3 2" xfId="0"/>
    <cellStyle name="Calcul 2 4" xfId="0"/>
    <cellStyle name="Calcul 2_RH et QS" xfId="0"/>
    <cellStyle name="Calcul 3" xfId="0"/>
    <cellStyle name="Calcul 3 2" xfId="0"/>
    <cellStyle name="Calcul 3 2 2" xfId="0"/>
    <cellStyle name="Calcul 3 2 2 2" xfId="0"/>
    <cellStyle name="Calcul 3 2 3" xfId="0"/>
    <cellStyle name="Calcul 3 3" xfId="0"/>
    <cellStyle name="Calcul 3 3 2" xfId="0"/>
    <cellStyle name="Calcul 3 4" xfId="0"/>
    <cellStyle name="Calcul 3_RH et QS" xfId="0"/>
    <cellStyle name="Calcul 4" xfId="0"/>
    <cellStyle name="Calcul 4 2" xfId="0"/>
    <cellStyle name="Calcul 4 2 2" xfId="0"/>
    <cellStyle name="Calcul 4 2 2 2" xfId="0"/>
    <cellStyle name="Calcul 4 2 3" xfId="0"/>
    <cellStyle name="Calcul 4 3" xfId="0"/>
    <cellStyle name="Calcul 4 3 2" xfId="0"/>
    <cellStyle name="Calcul 4 4" xfId="0"/>
    <cellStyle name="Calcul 4_RH et QS" xfId="0"/>
    <cellStyle name="Calcul 5" xfId="0"/>
    <cellStyle name="Calcul 5 2" xfId="0"/>
    <cellStyle name="Calcul 5 2 2" xfId="0"/>
    <cellStyle name="Calcul 5 2 2 2" xfId="0"/>
    <cellStyle name="Calcul 5 2 3" xfId="0"/>
    <cellStyle name="Calcul 5 3" xfId="0"/>
    <cellStyle name="Calcul 5 3 2" xfId="0"/>
    <cellStyle name="Calcul 5 4" xfId="0"/>
    <cellStyle name="Calcul 5_RH et QS" xfId="0"/>
    <cellStyle name="Calcul 6" xfId="0"/>
    <cellStyle name="Calcul 6 2" xfId="0"/>
    <cellStyle name="Calcul 6 2 2" xfId="0"/>
    <cellStyle name="Calcul 6 2 2 2" xfId="0"/>
    <cellStyle name="Calcul 6 2 3" xfId="0"/>
    <cellStyle name="Calcul 6 3" xfId="0"/>
    <cellStyle name="Calcul 6 3 2" xfId="0"/>
    <cellStyle name="Calcul 6 4" xfId="0"/>
    <cellStyle name="Calcul 6_RH et QS" xfId="0"/>
    <cellStyle name="Calcul 7 2" xfId="0"/>
    <cellStyle name="Calcul 7 2 2" xfId="0"/>
    <cellStyle name="Calcul 7 2 2 2" xfId="0"/>
    <cellStyle name="Calcul 7 2 3" xfId="0"/>
    <cellStyle name="Calcul 8 2" xfId="0"/>
    <cellStyle name="Calcul 8 2 2" xfId="0"/>
    <cellStyle name="Calcul 8 2 2 2" xfId="0"/>
    <cellStyle name="Calcul 8 2 3" xfId="0"/>
    <cellStyle name="Calculation 10" xfId="0"/>
    <cellStyle name="Calculation 11" xfId="0"/>
    <cellStyle name="Calculation 12" xfId="0"/>
    <cellStyle name="Calculation 13" xfId="0"/>
    <cellStyle name="Calculation 14" xfId="0"/>
    <cellStyle name="Calculation 15" xfId="0"/>
    <cellStyle name="Calculation 16" xfId="0"/>
    <cellStyle name="Calculation 17" xfId="0"/>
    <cellStyle name="Calculation 18" xfId="0"/>
    <cellStyle name="Calculation 19" xfId="0"/>
    <cellStyle name="Calculation 2" xfId="0"/>
    <cellStyle name="Calculation 20" xfId="0"/>
    <cellStyle name="Calculation 21" xfId="0"/>
    <cellStyle name="Calculation 22" xfId="0"/>
    <cellStyle name="Calculation 23" xfId="0"/>
    <cellStyle name="Calculation 24" xfId="0"/>
    <cellStyle name="Calculation 25" xfId="0"/>
    <cellStyle name="Calculation 26" xfId="0"/>
    <cellStyle name="Calculation 27" xfId="0"/>
    <cellStyle name="Calculation 28" xfId="0"/>
    <cellStyle name="Calculation 3" xfId="0"/>
    <cellStyle name="Calculation 4" xfId="0"/>
    <cellStyle name="Calculation 5" xfId="0"/>
    <cellStyle name="Calculation 6" xfId="0"/>
    <cellStyle name="Calculation 7" xfId="0"/>
    <cellStyle name="Calculation 8" xfId="0"/>
    <cellStyle name="Calculation 9" xfId="0"/>
    <cellStyle name="Cellule liée 2" xfId="0"/>
    <cellStyle name="Cellule liée 2 2" xfId="0"/>
    <cellStyle name="Cellule liée 2 2 2" xfId="0"/>
    <cellStyle name="Cellule liée 2 2_Parc Mobile" xfId="0"/>
    <cellStyle name="Cellule liée 2_RH et QS" xfId="0"/>
    <cellStyle name="Cellule liée 3" xfId="0"/>
    <cellStyle name="Cellule liée 3 2" xfId="0"/>
    <cellStyle name="Cellule liée 3_RH et QS" xfId="0"/>
    <cellStyle name="Cellule liée 4" xfId="0"/>
    <cellStyle name="Cellule liée 4 2" xfId="0"/>
    <cellStyle name="Cellule liée 4_RH et QS" xfId="0"/>
    <cellStyle name="Cellule liée 5" xfId="0"/>
    <cellStyle name="Cellule liée 5 2" xfId="0"/>
    <cellStyle name="Cellule liée 5_RH et QS" xfId="0"/>
    <cellStyle name="Cellule liée 6" xfId="0"/>
    <cellStyle name="Cellule liée 6 2" xfId="0"/>
    <cellStyle name="Cellule liée 6_RH et QS" xfId="0"/>
    <cellStyle name="Cellule liée 7 2" xfId="0"/>
    <cellStyle name="Cellule liée 8 2" xfId="0"/>
    <cellStyle name="Changeable" xfId="0"/>
    <cellStyle name="Changeable 2" xfId="0"/>
    <cellStyle name="Changeable 2 2" xfId="0"/>
    <cellStyle name="Changeable 3" xfId="0"/>
    <cellStyle name="Check Cell 10" xfId="0"/>
    <cellStyle name="Check Cell 11" xfId="0"/>
    <cellStyle name="Check Cell 12" xfId="0"/>
    <cellStyle name="Check Cell 13" xfId="0"/>
    <cellStyle name="Check Cell 14" xfId="0"/>
    <cellStyle name="Check Cell 15" xfId="0"/>
    <cellStyle name="Check Cell 16" xfId="0"/>
    <cellStyle name="Check Cell 17" xfId="0"/>
    <cellStyle name="Check Cell 18" xfId="0"/>
    <cellStyle name="Check Cell 19" xfId="0"/>
    <cellStyle name="Check Cell 2" xfId="0"/>
    <cellStyle name="Check Cell 20" xfId="0"/>
    <cellStyle name="Check Cell 21" xfId="0"/>
    <cellStyle name="Check Cell 22" xfId="0"/>
    <cellStyle name="Check Cell 23" xfId="0"/>
    <cellStyle name="Check Cell 24" xfId="0"/>
    <cellStyle name="Check Cell 25" xfId="0"/>
    <cellStyle name="Check Cell 26" xfId="0"/>
    <cellStyle name="Check Cell 27" xfId="0"/>
    <cellStyle name="Check Cell 28" xfId="0"/>
    <cellStyle name="Check Cell 3" xfId="0"/>
    <cellStyle name="Check Cell 4" xfId="0"/>
    <cellStyle name="Check Cell 5" xfId="0"/>
    <cellStyle name="Check Cell 6" xfId="0"/>
    <cellStyle name="Check Cell 7" xfId="0"/>
    <cellStyle name="Check Cell 8" xfId="0"/>
    <cellStyle name="Check Cell 9" xfId="0"/>
    <cellStyle name="ColHeading" xfId="0"/>
    <cellStyle name="Colour" xfId="0"/>
    <cellStyle name="Comma  - Style1" xfId="0"/>
    <cellStyle name="Comma  - Style1 2" xfId="0"/>
    <cellStyle name="Comma  - Style1 3" xfId="0"/>
    <cellStyle name="Comma  - Style1_RH et QS" xfId="0"/>
    <cellStyle name="Comma  - Style2" xfId="0"/>
    <cellStyle name="Comma  - Style2 2" xfId="0"/>
    <cellStyle name="Comma  - Style2 3" xfId="0"/>
    <cellStyle name="Comma  - Style2_RH et QS" xfId="0"/>
    <cellStyle name="Comma  - Style3" xfId="0"/>
    <cellStyle name="Comma  - Style3 2" xfId="0"/>
    <cellStyle name="Comma  - Style3 3" xfId="0"/>
    <cellStyle name="Comma  - Style3_RH et QS" xfId="0"/>
    <cellStyle name="Comma  - Style4" xfId="0"/>
    <cellStyle name="Comma  - Style4 2" xfId="0"/>
    <cellStyle name="Comma  - Style4 3" xfId="0"/>
    <cellStyle name="Comma  - Style4_RH et QS" xfId="0"/>
    <cellStyle name="Comma  - Style5" xfId="0"/>
    <cellStyle name="Comma  - Style5 2" xfId="0"/>
    <cellStyle name="Comma  - Style5 3" xfId="0"/>
    <cellStyle name="Comma  - Style5_RH et QS" xfId="0"/>
    <cellStyle name="Comma  - Style6" xfId="0"/>
    <cellStyle name="Comma  - Style6 2" xfId="0"/>
    <cellStyle name="Comma  - Style6 3" xfId="0"/>
    <cellStyle name="Comma  - Style6_RH et QS" xfId="0"/>
    <cellStyle name="Comma  - Style7" xfId="0"/>
    <cellStyle name="Comma  - Style7 2" xfId="0"/>
    <cellStyle name="Comma  - Style7 3" xfId="0"/>
    <cellStyle name="Comma  - Style7_RH et QS" xfId="0"/>
    <cellStyle name="Comma  - Style8" xfId="0"/>
    <cellStyle name="Comma  - Style8 2" xfId="0"/>
    <cellStyle name="Comma  - Style8 3" xfId="0"/>
    <cellStyle name="Comma  - Style8_RH et QS" xfId="0"/>
    <cellStyle name="Comma 2" xfId="0"/>
    <cellStyle name="Comma 2 2" xfId="0"/>
    <cellStyle name="Comma 2 3" xfId="0"/>
    <cellStyle name="Comma [00]" xfId="0"/>
    <cellStyle name="Comma [00] 2" xfId="0"/>
    <cellStyle name="Comma [00]_Parc Mobile" xfId="0"/>
    <cellStyle name="Comma [0]" xfId="0"/>
    <cellStyle name="Comma [0] 10" xfId="0"/>
    <cellStyle name="Comma [0] 10 2" xfId="0"/>
    <cellStyle name="Comma [0] 10 3" xfId="0"/>
    <cellStyle name="Comma [0] 11" xfId="0"/>
    <cellStyle name="Comma [0] 11 2" xfId="0"/>
    <cellStyle name="Comma [0] 11 3" xfId="0"/>
    <cellStyle name="Comma [0] 12" xfId="0"/>
    <cellStyle name="Comma [0] 12 2" xfId="0"/>
    <cellStyle name="Comma [0] 12 3" xfId="0"/>
    <cellStyle name="Comma [0] 13" xfId="0"/>
    <cellStyle name="Comma [0] 13 2" xfId="0"/>
    <cellStyle name="Comma [0] 13 3" xfId="0"/>
    <cellStyle name="Comma [0] 14" xfId="0"/>
    <cellStyle name="Comma [0] 14 2" xfId="0"/>
    <cellStyle name="Comma [0] 14 3" xfId="0"/>
    <cellStyle name="Comma [0] 15" xfId="0"/>
    <cellStyle name="Comma [0] 15 2" xfId="0"/>
    <cellStyle name="Comma [0] 15 3" xfId="0"/>
    <cellStyle name="Comma [0] 16" xfId="0"/>
    <cellStyle name="Comma [0] 16 2" xfId="0"/>
    <cellStyle name="Comma [0] 16 3" xfId="0"/>
    <cellStyle name="Comma [0] 17" xfId="0"/>
    <cellStyle name="Comma [0] 17 2" xfId="0"/>
    <cellStyle name="Comma [0] 17 3" xfId="0"/>
    <cellStyle name="Comma [0] 18" xfId="0"/>
    <cellStyle name="Comma [0] 18 2" xfId="0"/>
    <cellStyle name="Comma [0] 18 3" xfId="0"/>
    <cellStyle name="Comma [0] 19" xfId="0"/>
    <cellStyle name="Comma [0] 2" xfId="0"/>
    <cellStyle name="Comma [0] 2 2" xfId="0"/>
    <cellStyle name="Comma [0] 2 3" xfId="0"/>
    <cellStyle name="Comma [0] 20" xfId="0"/>
    <cellStyle name="Comma [0] 3" xfId="0"/>
    <cellStyle name="Comma [0] 3 2" xfId="0"/>
    <cellStyle name="Comma [0] 3 3" xfId="0"/>
    <cellStyle name="Comma [0] 4" xfId="0"/>
    <cellStyle name="Comma [0] 4 2" xfId="0"/>
    <cellStyle name="Comma [0] 4 3" xfId="0"/>
    <cellStyle name="Comma [0] 5" xfId="0"/>
    <cellStyle name="Comma [0] 5 2" xfId="0"/>
    <cellStyle name="Comma [0] 5 3" xfId="0"/>
    <cellStyle name="Comma [0] 6" xfId="0"/>
    <cellStyle name="Comma [0] 6 2" xfId="0"/>
    <cellStyle name="Comma [0] 6 3" xfId="0"/>
    <cellStyle name="Comma [0] 7" xfId="0"/>
    <cellStyle name="Comma [0] 7 2" xfId="0"/>
    <cellStyle name="Comma [0] 7 3" xfId="0"/>
    <cellStyle name="Comma [0] 8" xfId="0"/>
    <cellStyle name="Comma [0] 8 2" xfId="0"/>
    <cellStyle name="Comma [0] 8 3" xfId="0"/>
    <cellStyle name="Comma [0] 9" xfId="0"/>
    <cellStyle name="Comma [0] 9 2" xfId="0"/>
    <cellStyle name="Comma [0] 9 3" xfId="0"/>
    <cellStyle name="Comma [0]_RH et QS" xfId="0"/>
    <cellStyle name="Comma [1]" xfId="0"/>
    <cellStyle name="Comma0" xfId="0"/>
    <cellStyle name="Commentaire 2" xfId="0"/>
    <cellStyle name="Commentaire 2 2" xfId="0"/>
    <cellStyle name="Commentaire 2 2 2" xfId="0"/>
    <cellStyle name="Commentaire 2 2 2 2" xfId="0"/>
    <cellStyle name="Commentaire 2 2 3" xfId="0"/>
    <cellStyle name="Commentaire 2 3" xfId="0"/>
    <cellStyle name="Commentaire 2_RH et QS" xfId="0"/>
    <cellStyle name="Commentaire 3" xfId="0"/>
    <cellStyle name="Commentaire 3 2" xfId="0"/>
    <cellStyle name="Commentaire 3 2 2" xfId="0"/>
    <cellStyle name="Commentaire 3 2 2 2" xfId="0"/>
    <cellStyle name="Commentaire 3 2 3" xfId="0"/>
    <cellStyle name="Commentaire 3 3" xfId="0"/>
    <cellStyle name="Commentaire 3_RH et QS" xfId="0"/>
    <cellStyle name="Commentaire 4" xfId="0"/>
    <cellStyle name="Commentaire 4 2" xfId="0"/>
    <cellStyle name="Commentaire 4 2 2" xfId="0"/>
    <cellStyle name="Commentaire 4 2 2 2" xfId="0"/>
    <cellStyle name="Commentaire 4 2 3" xfId="0"/>
    <cellStyle name="Commentaire 4 3" xfId="0"/>
    <cellStyle name="Commentaire 4_RH et QS" xfId="0"/>
    <cellStyle name="Commentaire 5" xfId="0"/>
    <cellStyle name="Commentaire 5 2" xfId="0"/>
    <cellStyle name="Commentaire 5 2 2" xfId="0"/>
    <cellStyle name="Commentaire 5 2 2 2" xfId="0"/>
    <cellStyle name="Commentaire 5 2 3" xfId="0"/>
    <cellStyle name="Commentaire 5 3" xfId="0"/>
    <cellStyle name="Commentaire 5 3 2" xfId="0"/>
    <cellStyle name="Commentaire 5 3 2 2" xfId="0"/>
    <cellStyle name="Commentaire 5 3 2 2 2" xfId="0"/>
    <cellStyle name="Commentaire 5 3 2 2 2 2" xfId="0"/>
    <cellStyle name="Commentaire 5 3 2 2 3" xfId="0"/>
    <cellStyle name="Commentaire 5 3 2 3" xfId="0"/>
    <cellStyle name="Commentaire 5 3 2 3 2" xfId="0"/>
    <cellStyle name="Commentaire 5 3 2 4" xfId="0"/>
    <cellStyle name="Commentaire 5 3 2_RH et QS" xfId="0"/>
    <cellStyle name="Commentaire 5 3 3" xfId="0"/>
    <cellStyle name="Commentaire 5 3 3 2" xfId="0"/>
    <cellStyle name="Commentaire 5 3 3 2 2" xfId="0"/>
    <cellStyle name="Commentaire 5 3 3 2 2 2" xfId="0"/>
    <cellStyle name="Commentaire 5 3 3 2 3" xfId="0"/>
    <cellStyle name="Commentaire 5 3 3 3" xfId="0"/>
    <cellStyle name="Commentaire 5 3 3 3 2" xfId="0"/>
    <cellStyle name="Commentaire 5 3 3 4" xfId="0"/>
    <cellStyle name="Commentaire 5 3 3_RH et QS" xfId="0"/>
    <cellStyle name="Commentaire 5 3 4" xfId="0"/>
    <cellStyle name="Commentaire 5 3 4 2" xfId="0"/>
    <cellStyle name="Commentaire 5 3 4 2 2" xfId="0"/>
    <cellStyle name="Commentaire 5 3 4 3" xfId="0"/>
    <cellStyle name="Commentaire 5 3 5" xfId="0"/>
    <cellStyle name="Commentaire 5 3 5 2" xfId="0"/>
    <cellStyle name="Commentaire 5 3 6" xfId="0"/>
    <cellStyle name="Commentaire 5 3_RH et QS" xfId="0"/>
    <cellStyle name="Commentaire 5 4" xfId="0"/>
    <cellStyle name="Commentaire 5 4 2" xfId="0"/>
    <cellStyle name="Commentaire 5 4 2 2" xfId="0"/>
    <cellStyle name="Commentaire 5 4 2 2 2" xfId="0"/>
    <cellStyle name="Commentaire 5 4 2 3" xfId="0"/>
    <cellStyle name="Commentaire 5 4 3" xfId="0"/>
    <cellStyle name="Commentaire 5 4 3 2" xfId="0"/>
    <cellStyle name="Commentaire 5 4 4" xfId="0"/>
    <cellStyle name="Commentaire 5 4_RH et QS" xfId="0"/>
    <cellStyle name="Commentaire 5 5" xfId="0"/>
    <cellStyle name="Commentaire 5 5 2" xfId="0"/>
    <cellStyle name="Commentaire 5 5 2 2" xfId="0"/>
    <cellStyle name="Commentaire 5 5 2 2 2" xfId="0"/>
    <cellStyle name="Commentaire 5 5 2 3" xfId="0"/>
    <cellStyle name="Commentaire 5 5 3" xfId="0"/>
    <cellStyle name="Commentaire 5 5 3 2" xfId="0"/>
    <cellStyle name="Commentaire 5 5 4" xfId="0"/>
    <cellStyle name="Commentaire 5 5_RH et QS" xfId="0"/>
    <cellStyle name="Commentaire 5 6" xfId="0"/>
    <cellStyle name="Commentaire 5 6 2" xfId="0"/>
    <cellStyle name="Commentaire 5 6 2 2" xfId="0"/>
    <cellStyle name="Commentaire 5 6 3" xfId="0"/>
    <cellStyle name="Commentaire 5 7" xfId="0"/>
    <cellStyle name="Commentaire 5 7 2" xfId="0"/>
    <cellStyle name="Commentaire 5 7 2 2" xfId="0"/>
    <cellStyle name="Commentaire 5 7 3" xfId="0"/>
    <cellStyle name="Commentaire 5 8" xfId="0"/>
    <cellStyle name="Commentaire 5 8 2" xfId="0"/>
    <cellStyle name="Commentaire 5 9" xfId="0"/>
    <cellStyle name="Commentaire 5_RH et QS" xfId="0"/>
    <cellStyle name="Commentaire 6" xfId="0"/>
    <cellStyle name="Commentaire 6 2" xfId="0"/>
    <cellStyle name="Commentaire 6 2 2" xfId="0"/>
    <cellStyle name="Commentaire 6 2 2 2" xfId="0"/>
    <cellStyle name="Commentaire 6 2 3" xfId="0"/>
    <cellStyle name="Commentaire 6 3" xfId="0"/>
    <cellStyle name="Commentaire 6_RH et QS" xfId="0"/>
    <cellStyle name="Commentaire 7" xfId="0"/>
    <cellStyle name="Commentaire 7 2" xfId="0"/>
    <cellStyle name="Commentaire 7 2 2" xfId="0"/>
    <cellStyle name="Commentaire 7 2 2 2" xfId="0"/>
    <cellStyle name="Commentaire 7 2 3" xfId="0"/>
    <cellStyle name="Commentaire 7 3" xfId="0"/>
    <cellStyle name="Commentaire 7 3 2" xfId="0"/>
    <cellStyle name="Commentaire 7 3 2 2" xfId="0"/>
    <cellStyle name="Commentaire 7 3 3" xfId="0"/>
    <cellStyle name="Commentaire 7 4" xfId="0"/>
    <cellStyle name="Commentaire 7 4 2" xfId="0"/>
    <cellStyle name="Commentaire 7 4 2 2" xfId="0"/>
    <cellStyle name="Commentaire 7 4 3" xfId="0"/>
    <cellStyle name="Commentaire 7 5" xfId="0"/>
    <cellStyle name="Commentaire 7 5 2" xfId="0"/>
    <cellStyle name="Commentaire 7 6" xfId="0"/>
    <cellStyle name="Commentaire 7_RH et QS" xfId="0"/>
    <cellStyle name="Commentaire 8 2" xfId="0"/>
    <cellStyle name="Commentaire 8 2 2" xfId="0"/>
    <cellStyle name="Commentaire 8 2 2 2" xfId="0"/>
    <cellStyle name="Commentaire 8 2 3" xfId="0"/>
    <cellStyle name="Company" xfId="0"/>
    <cellStyle name="COMPS" xfId="0"/>
    <cellStyle name="COMPS 2" xfId="0"/>
    <cellStyle name="COMPS 2 2" xfId="0"/>
    <cellStyle name="Copied" xfId="0"/>
    <cellStyle name="Copy Decimal 0" xfId="0"/>
    <cellStyle name="Copy Decimal 0,00" xfId="0"/>
    <cellStyle name="Copy Decimal 0,00 2" xfId="0"/>
    <cellStyle name="Copy Decimal 0,00_RH et QS" xfId="0"/>
    <cellStyle name="Copy Percent 0" xfId="0"/>
    <cellStyle name="Copy Percent 0,00" xfId="0"/>
    <cellStyle name="Copy Percent 0,00 2" xfId="0"/>
    <cellStyle name="Copy Percent 0,00_RH et QS" xfId="0"/>
    <cellStyle name="CurRatio" xfId="0"/>
    <cellStyle name="Currency [00]" xfId="0"/>
    <cellStyle name="Currency [00] 2" xfId="0"/>
    <cellStyle name="Currency [00]_Parc Mobile" xfId="0"/>
    <cellStyle name="Currency [0]" xfId="0"/>
    <cellStyle name="Currency [0] 10" xfId="0"/>
    <cellStyle name="Currency [0] 11" xfId="0"/>
    <cellStyle name="Currency [0] 12" xfId="0"/>
    <cellStyle name="Currency [0] 13" xfId="0"/>
    <cellStyle name="Currency [0] 14" xfId="0"/>
    <cellStyle name="Currency [0] 15" xfId="0"/>
    <cellStyle name="Currency [0] 16" xfId="0"/>
    <cellStyle name="Currency [0] 17" xfId="0"/>
    <cellStyle name="Currency [0] 18" xfId="0"/>
    <cellStyle name="Currency [0] 2" xfId="0"/>
    <cellStyle name="Currency [0] 3" xfId="0"/>
    <cellStyle name="Currency [0] 4" xfId="0"/>
    <cellStyle name="Currency [0] 5" xfId="0"/>
    <cellStyle name="Currency [0] 6" xfId="0"/>
    <cellStyle name="Currency [0] 7" xfId="0"/>
    <cellStyle name="Currency [0] 8" xfId="0"/>
    <cellStyle name="Currency [0] 9" xfId="0"/>
    <cellStyle name="Currency [0]_RH et QS" xfId="0"/>
    <cellStyle name="Currency [1]" xfId="0"/>
    <cellStyle name="Currency [1] 10" xfId="0"/>
    <cellStyle name="Currency [1] 11" xfId="0"/>
    <cellStyle name="Currency [1] 12" xfId="0"/>
    <cellStyle name="Currency [1] 13" xfId="0"/>
    <cellStyle name="Currency [1] 14" xfId="0"/>
    <cellStyle name="Currency [1] 2" xfId="0"/>
    <cellStyle name="Currency [1] 3" xfId="0"/>
    <cellStyle name="Currency [1] 4" xfId="0"/>
    <cellStyle name="Currency [1] 5" xfId="0"/>
    <cellStyle name="Currency [1] 6" xfId="0"/>
    <cellStyle name="Currency [1] 7" xfId="0"/>
    <cellStyle name="Currency [1] 8" xfId="0"/>
    <cellStyle name="Currency [1] 9" xfId="0"/>
    <cellStyle name="Currency [1]_RH et QS" xfId="0"/>
    <cellStyle name="Currency [2]" xfId="0"/>
    <cellStyle name="Currency [2] 10" xfId="0"/>
    <cellStyle name="Currency [2] 11" xfId="0"/>
    <cellStyle name="Currency [2] 12" xfId="0"/>
    <cellStyle name="Currency [2] 13" xfId="0"/>
    <cellStyle name="Currency [2] 14" xfId="0"/>
    <cellStyle name="Currency [2] 2" xfId="0"/>
    <cellStyle name="Currency [2] 3" xfId="0"/>
    <cellStyle name="Currency [2] 4" xfId="0"/>
    <cellStyle name="Currency [2] 5" xfId="0"/>
    <cellStyle name="Currency [2] 6" xfId="0"/>
    <cellStyle name="Currency [2] 7" xfId="0"/>
    <cellStyle name="Currency [2] 8" xfId="0"/>
    <cellStyle name="Currency [2] 9" xfId="0"/>
    <cellStyle name="Currency [2]_RH et QS" xfId="0"/>
    <cellStyle name="Currency-protected" xfId="0"/>
    <cellStyle name="Currency0" xfId="0"/>
    <cellStyle name="current day" xfId="0"/>
    <cellStyle name="DAILY_TITLE" xfId="0"/>
    <cellStyle name="Data" xfId="0"/>
    <cellStyle name="Date" xfId="0"/>
    <cellStyle name="Date 2" xfId="0"/>
    <cellStyle name="Date 2 2" xfId="0"/>
    <cellStyle name="Date 3" xfId="0"/>
    <cellStyle name="Date [mm-d-yyyy]" xfId="0"/>
    <cellStyle name="Date [mmm-d-yyyy]" xfId="0"/>
    <cellStyle name="Date [mmm-yyyy]" xfId="0"/>
    <cellStyle name="Date Short" xfId="0"/>
    <cellStyle name="Date2" xfId="0"/>
    <cellStyle name="Date_2007-12 TBG suivi filiales Décembre 2007" xfId="0"/>
    <cellStyle name="Dates" xfId="0"/>
    <cellStyle name="Decimal 0,0" xfId="0"/>
    <cellStyle name="Decimal 0,00" xfId="0"/>
    <cellStyle name="Decimal 0,0000" xfId="0"/>
    <cellStyle name="Decimal 0,0000 2" xfId="0"/>
    <cellStyle name="Decimal 0,0000 3" xfId="0"/>
    <cellStyle name="Decimal 0,0000 4" xfId="0"/>
    <cellStyle name="Decimal 0,0000_RH et QS" xfId="0"/>
    <cellStyle name="default 1" xfId="0"/>
    <cellStyle name="Dezimal [+line]" xfId="0"/>
    <cellStyle name="Dezimal [0]_Acquisition stats" xfId="0"/>
    <cellStyle name="Dezimal_Acquisition stats" xfId="0"/>
    <cellStyle name="DimDown" xfId="0"/>
    <cellStyle name="DimDownBold" xfId="0"/>
    <cellStyle name="DimDownTitle" xfId="0"/>
    <cellStyle name="discount" xfId="0"/>
    <cellStyle name="Dollar" xfId="0"/>
    <cellStyle name="Dotted" xfId="0"/>
    <cellStyle name="DOWNFOOT" xfId="0"/>
    <cellStyle name="DOWNFOOT 2" xfId="0"/>
    <cellStyle name="DOWNFOOT 2 2" xfId="0"/>
    <cellStyle name="DOWNFOOT 3" xfId="0"/>
    <cellStyle name="DropDown" xfId="0"/>
    <cellStyle name="DropDown 2" xfId="0"/>
    <cellStyle name="DropDown 2 2" xfId="0"/>
    <cellStyle name="Dziesietny [0]_12" xfId="0"/>
    <cellStyle name="Dziesietny_12" xfId="0"/>
    <cellStyle name="Dziesiêtny [0]_MSC &amp; VLR Description" xfId="0"/>
    <cellStyle name="Dziesiêtny_MSC &amp; VLR Description" xfId="0"/>
    <cellStyle name="e xerox" xfId="0"/>
    <cellStyle name="Eingabe" xfId="0"/>
    <cellStyle name="Emphase 1" xfId="0"/>
    <cellStyle name="Emphase 2" xfId="0"/>
    <cellStyle name="Emphase 3" xfId="0"/>
    <cellStyle name="En-tête 1" xfId="0"/>
    <cellStyle name="En-tête 2" xfId="0"/>
    <cellStyle name="Enter Currency (0)" xfId="0"/>
    <cellStyle name="Enter Currency (0) 2" xfId="0"/>
    <cellStyle name="Enter Currency (0)_Parc Mobile" xfId="0"/>
    <cellStyle name="Enter Currency (2)" xfId="0"/>
    <cellStyle name="Enter Currency (2) 2" xfId="0"/>
    <cellStyle name="Enter Currency (2)_Parc Mobile" xfId="0"/>
    <cellStyle name="Enter Units (0)" xfId="0"/>
    <cellStyle name="Enter Units (0) 2" xfId="0"/>
    <cellStyle name="Enter Units (0)_Parc Mobile" xfId="0"/>
    <cellStyle name="Enter Units (1)" xfId="0"/>
    <cellStyle name="Enter Units (1) 2" xfId="0"/>
    <cellStyle name="Enter Units (1)_Parc Mobile" xfId="0"/>
    <cellStyle name="Enter Units (2)" xfId="0"/>
    <cellStyle name="Enter Units (2) 2" xfId="0"/>
    <cellStyle name="Enter Units (2)_Parc Mobile" xfId="0"/>
    <cellStyle name="Entered" xfId="0"/>
    <cellStyle name="entry box" xfId="0"/>
    <cellStyle name="entry box 2" xfId="0"/>
    <cellStyle name="entry box 2 2" xfId="0"/>
    <cellStyle name="Entrée 2" xfId="0"/>
    <cellStyle name="Entrée 2 2" xfId="0"/>
    <cellStyle name="Entrée 2 2 2" xfId="0"/>
    <cellStyle name="Entrée 2 2 2 2" xfId="0"/>
    <cellStyle name="Entrée 2 2 2 2 2" xfId="0"/>
    <cellStyle name="Entrée 2 2 2 3" xfId="0"/>
    <cellStyle name="Entrée 2 2 3" xfId="0"/>
    <cellStyle name="Entrée 2 2 3 2" xfId="0"/>
    <cellStyle name="Entrée 2 2 4" xfId="0"/>
    <cellStyle name="Entrée 2 2_Parc Mobile" xfId="0"/>
    <cellStyle name="Entrée 2 3" xfId="0"/>
    <cellStyle name="Entrée 2 3 2" xfId="0"/>
    <cellStyle name="Entrée 2 4" xfId="0"/>
    <cellStyle name="Entrée 2_RH et QS" xfId="0"/>
    <cellStyle name="Entrée 3" xfId="0"/>
    <cellStyle name="Entrée 3 2" xfId="0"/>
    <cellStyle name="Entrée 3 2 2" xfId="0"/>
    <cellStyle name="Entrée 3 2 2 2" xfId="0"/>
    <cellStyle name="Entrée 3 2 3" xfId="0"/>
    <cellStyle name="Entrée 3 3" xfId="0"/>
    <cellStyle name="Entrée 3 3 2" xfId="0"/>
    <cellStyle name="Entrée 3 4" xfId="0"/>
    <cellStyle name="Entrée 3_RH et QS" xfId="0"/>
    <cellStyle name="Entrée 4" xfId="0"/>
    <cellStyle name="Entrée 4 2" xfId="0"/>
    <cellStyle name="Entrée 4 2 2" xfId="0"/>
    <cellStyle name="Entrée 4 2 2 2" xfId="0"/>
    <cellStyle name="Entrée 4 2 3" xfId="0"/>
    <cellStyle name="Entrée 4 3" xfId="0"/>
    <cellStyle name="Entrée 4 3 2" xfId="0"/>
    <cellStyle name="Entrée 4 4" xfId="0"/>
    <cellStyle name="Entrée 4_RH et QS" xfId="0"/>
    <cellStyle name="Entrée 5" xfId="0"/>
    <cellStyle name="Entrée 5 2" xfId="0"/>
    <cellStyle name="Entrée 5 2 2" xfId="0"/>
    <cellStyle name="Entrée 5 2 2 2" xfId="0"/>
    <cellStyle name="Entrée 5 2 3" xfId="0"/>
    <cellStyle name="Entrée 5 3" xfId="0"/>
    <cellStyle name="Entrée 5 3 2" xfId="0"/>
    <cellStyle name="Entrée 5 4" xfId="0"/>
    <cellStyle name="Entrée 5_RH et QS" xfId="0"/>
    <cellStyle name="Entrée 6" xfId="0"/>
    <cellStyle name="Entrée 6 2" xfId="0"/>
    <cellStyle name="Entrée 6 2 2" xfId="0"/>
    <cellStyle name="Entrée 6 2 2 2" xfId="0"/>
    <cellStyle name="Entrée 6 2 3" xfId="0"/>
    <cellStyle name="Entrée 6 3" xfId="0"/>
    <cellStyle name="Entrée 6 3 2" xfId="0"/>
    <cellStyle name="Entrée 6 4" xfId="0"/>
    <cellStyle name="Entrée 6_RH et QS" xfId="0"/>
    <cellStyle name="Entrée 7 2" xfId="0"/>
    <cellStyle name="Entrée 7 2 2" xfId="0"/>
    <cellStyle name="Entrée 7 2 2 2" xfId="0"/>
    <cellStyle name="Entrée 7 2 3" xfId="0"/>
    <cellStyle name="Entrée 8 2" xfId="0"/>
    <cellStyle name="Entrée 8 2 2" xfId="0"/>
    <cellStyle name="Entrée 8 2 2 2" xfId="0"/>
    <cellStyle name="Entrée 8 2 3" xfId="0"/>
    <cellStyle name="Euro" xfId="0"/>
    <cellStyle name="Euro 10" xfId="0"/>
    <cellStyle name="Euro 10 2" xfId="0"/>
    <cellStyle name="Euro 11" xfId="0"/>
    <cellStyle name="Euro 12" xfId="0"/>
    <cellStyle name="Euro 13" xfId="0"/>
    <cellStyle name="Euro 13 2" xfId="0"/>
    <cellStyle name="Euro 14" xfId="0"/>
    <cellStyle name="Euro 14 2" xfId="0"/>
    <cellStyle name="Euro 15" xfId="0"/>
    <cellStyle name="Euro 16" xfId="0"/>
    <cellStyle name="Euro 17" xfId="0"/>
    <cellStyle name="Euro 2" xfId="0"/>
    <cellStyle name="Euro 2 2" xfId="0"/>
    <cellStyle name="Euro 2 2 2" xfId="0"/>
    <cellStyle name="Euro 2 2 2 2" xfId="0"/>
    <cellStyle name="Euro 2 2_RH et QS" xfId="0"/>
    <cellStyle name="Euro 2 3" xfId="0"/>
    <cellStyle name="Euro 2 3 2" xfId="0"/>
    <cellStyle name="Euro 2_RH et QS" xfId="0"/>
    <cellStyle name="Euro 3" xfId="0"/>
    <cellStyle name="Euro 3 2" xfId="0"/>
    <cellStyle name="Euro 3 2 2" xfId="0"/>
    <cellStyle name="Euro 3_RH et QS" xfId="0"/>
    <cellStyle name="Euro 4" xfId="0"/>
    <cellStyle name="Euro 4 2" xfId="0"/>
    <cellStyle name="Euro 4 2 2" xfId="0"/>
    <cellStyle name="Euro 4 3" xfId="0"/>
    <cellStyle name="Euro 4_RH et QS" xfId="0"/>
    <cellStyle name="Euro 5" xfId="0"/>
    <cellStyle name="Euro 5 2" xfId="0"/>
    <cellStyle name="Euro 5 3" xfId="0"/>
    <cellStyle name="Euro 5_RH et QS" xfId="0"/>
    <cellStyle name="Euro 6" xfId="0"/>
    <cellStyle name="Euro 7" xfId="0"/>
    <cellStyle name="Euro 8" xfId="0"/>
    <cellStyle name="Euro 8 2" xfId="0"/>
    <cellStyle name="Euro 9" xfId="0"/>
    <cellStyle name="Euro 9 2" xfId="0"/>
    <cellStyle name="Euro_Budget Telmob 2011" xfId="0"/>
    <cellStyle name="Explanatory Text 10" xfId="0"/>
    <cellStyle name="Explanatory Text 11" xfId="0"/>
    <cellStyle name="Explanatory Text 12" xfId="0"/>
    <cellStyle name="Explanatory Text 13" xfId="0"/>
    <cellStyle name="Explanatory Text 14" xfId="0"/>
    <cellStyle name="Explanatory Text 15" xfId="0"/>
    <cellStyle name="Explanatory Text 16" xfId="0"/>
    <cellStyle name="Explanatory Text 17" xfId="0"/>
    <cellStyle name="Explanatory Text 18" xfId="0"/>
    <cellStyle name="Explanatory Text 19" xfId="0"/>
    <cellStyle name="Explanatory Text 2" xfId="0"/>
    <cellStyle name="Explanatory Text 20" xfId="0"/>
    <cellStyle name="Explanatory Text 21" xfId="0"/>
    <cellStyle name="Explanatory Text 22" xfId="0"/>
    <cellStyle name="Explanatory Text 23" xfId="0"/>
    <cellStyle name="Explanatory Text 24" xfId="0"/>
    <cellStyle name="Explanatory Text 25" xfId="0"/>
    <cellStyle name="Explanatory Text 26" xfId="0"/>
    <cellStyle name="Explanatory Text 27" xfId="0"/>
    <cellStyle name="Explanatory Text 28" xfId="0"/>
    <cellStyle name="Explanatory Text 3" xfId="0"/>
    <cellStyle name="Explanatory Text 4" xfId="0"/>
    <cellStyle name="Explanatory Text 5" xfId="0"/>
    <cellStyle name="Explanatory Text 6" xfId="0"/>
    <cellStyle name="Explanatory Text 7" xfId="0"/>
    <cellStyle name="Explanatory Text 8" xfId="0"/>
    <cellStyle name="Explanatory Text 9" xfId="0"/>
    <cellStyle name="Ezres [0]_Cable" xfId="0"/>
    <cellStyle name="Ezres_Cable" xfId="0"/>
    <cellStyle name="F2" xfId="0"/>
    <cellStyle name="F3" xfId="0"/>
    <cellStyle name="F4" xfId="0"/>
    <cellStyle name="F5" xfId="0"/>
    <cellStyle name="F6" xfId="0"/>
    <cellStyle name="F7" xfId="0"/>
    <cellStyle name="F8" xfId="0"/>
    <cellStyle name="Financier0" xfId="0"/>
    <cellStyle name="Fixed" xfId="0"/>
    <cellStyle name="Fixed 2" xfId="0"/>
    <cellStyle name="Fixed 2 2" xfId="0"/>
    <cellStyle name="Fixed 3" xfId="0"/>
    <cellStyle name="Fixed [0]" xfId="0"/>
    <cellStyle name="Fixed_Parc Mobile" xfId="0"/>
    <cellStyle name="Followed Hyperlink_financing modelsc1" xfId="0"/>
    <cellStyle name="format - Style1" xfId="0"/>
    <cellStyle name="Formula" xfId="0"/>
    <cellStyle name="Giga" xfId="0"/>
    <cellStyle name="Giga 2" xfId="0"/>
    <cellStyle name="Giga_RH et QS" xfId="0"/>
    <cellStyle name="Good 10" xfId="0"/>
    <cellStyle name="Good 11" xfId="0"/>
    <cellStyle name="Good 12" xfId="0"/>
    <cellStyle name="Good 13" xfId="0"/>
    <cellStyle name="Good 14" xfId="0"/>
    <cellStyle name="Good 15" xfId="0"/>
    <cellStyle name="Good 16" xfId="0"/>
    <cellStyle name="Good 17" xfId="0"/>
    <cellStyle name="Good 18" xfId="0"/>
    <cellStyle name="Good 19" xfId="0"/>
    <cellStyle name="Good 2" xfId="0"/>
    <cellStyle name="Good 20" xfId="0"/>
    <cellStyle name="Good 21" xfId="0"/>
    <cellStyle name="Good 22" xfId="0"/>
    <cellStyle name="Good 23" xfId="0"/>
    <cellStyle name="Good 24" xfId="0"/>
    <cellStyle name="Good 25" xfId="0"/>
    <cellStyle name="Good 26" xfId="0"/>
    <cellStyle name="Good 27" xfId="0"/>
    <cellStyle name="Good 28" xfId="0"/>
    <cellStyle name="Good 3" xfId="0"/>
    <cellStyle name="Good 4" xfId="0"/>
    <cellStyle name="Good 5" xfId="0"/>
    <cellStyle name="Good 6" xfId="0"/>
    <cellStyle name="Good 7" xfId="0"/>
    <cellStyle name="Good 8" xfId="0"/>
    <cellStyle name="Good 9" xfId="0"/>
    <cellStyle name="GRAS" xfId="0"/>
    <cellStyle name="GRAS 2" xfId="0"/>
    <cellStyle name="GRAS_RH et QS" xfId="0"/>
    <cellStyle name="Grey" xfId="0"/>
    <cellStyle name="Growth" xfId="0"/>
    <cellStyle name="Header" xfId="0"/>
    <cellStyle name="Header - Style1" xfId="0"/>
    <cellStyle name="Header - Style1 2" xfId="0"/>
    <cellStyle name="Header Total" xfId="0"/>
    <cellStyle name="Header Total 2" xfId="0"/>
    <cellStyle name="Header1" xfId="0"/>
    <cellStyle name="Header2" xfId="0"/>
    <cellStyle name="Header2 2" xfId="0"/>
    <cellStyle name="Header2 2 2" xfId="0"/>
    <cellStyle name="Header2 3" xfId="0"/>
    <cellStyle name="Header3" xfId="0"/>
    <cellStyle name="Header3 2" xfId="0"/>
    <cellStyle name="Header4" xfId="0"/>
    <cellStyle name="Header4 2" xfId="0"/>
    <cellStyle name="Header4 2 2" xfId="0"/>
    <cellStyle name="HEADER_Access (6 circle) KPI Consolidation version 8" xfId="0"/>
    <cellStyle name="Heading 1 1" xfId="0"/>
    <cellStyle name="Heading 1 10" xfId="0"/>
    <cellStyle name="Heading 1 11" xfId="0"/>
    <cellStyle name="Heading 1 12" xfId="0"/>
    <cellStyle name="Heading 1 13" xfId="0"/>
    <cellStyle name="Heading 1 14" xfId="0"/>
    <cellStyle name="Heading 1 15" xfId="0"/>
    <cellStyle name="Heading 1 16" xfId="0"/>
    <cellStyle name="Heading 1 17" xfId="0"/>
    <cellStyle name="Heading 1 18" xfId="0"/>
    <cellStyle name="Heading 1 19" xfId="0"/>
    <cellStyle name="Heading 1 2" xfId="0"/>
    <cellStyle name="Heading 1 20" xfId="0"/>
    <cellStyle name="Heading 1 21" xfId="0"/>
    <cellStyle name="Heading 1 22" xfId="0"/>
    <cellStyle name="Heading 1 23" xfId="0"/>
    <cellStyle name="Heading 1 24" xfId="0"/>
    <cellStyle name="Heading 1 25" xfId="0"/>
    <cellStyle name="Heading 1 26" xfId="0"/>
    <cellStyle name="Heading 1 27" xfId="0"/>
    <cellStyle name="Heading 1 28" xfId="0"/>
    <cellStyle name="Heading 1 29" xfId="0"/>
    <cellStyle name="Heading 1 3" xfId="0"/>
    <cellStyle name="Heading 1 4" xfId="0"/>
    <cellStyle name="Heading 1 5" xfId="0"/>
    <cellStyle name="Heading 1 6" xfId="0"/>
    <cellStyle name="Heading 1 7" xfId="0"/>
    <cellStyle name="Heading 1 8" xfId="0"/>
    <cellStyle name="Heading 1 9" xfId="0"/>
    <cellStyle name="Heading 1_RH et QS" xfId="0"/>
    <cellStyle name="Heading 2 10" xfId="0"/>
    <cellStyle name="Heading 2 11" xfId="0"/>
    <cellStyle name="Heading 2 12" xfId="0"/>
    <cellStyle name="Heading 2 13" xfId="0"/>
    <cellStyle name="Heading 2 14" xfId="0"/>
    <cellStyle name="Heading 2 15" xfId="0"/>
    <cellStyle name="Heading 2 16" xfId="0"/>
    <cellStyle name="Heading 2 17" xfId="0"/>
    <cellStyle name="Heading 2 18" xfId="0"/>
    <cellStyle name="Heading 2 19" xfId="0"/>
    <cellStyle name="Heading 2 2" xfId="0"/>
    <cellStyle name="Heading 2 20" xfId="0"/>
    <cellStyle name="Heading 2 21" xfId="0"/>
    <cellStyle name="Heading 2 22" xfId="0"/>
    <cellStyle name="Heading 2 23" xfId="0"/>
    <cellStyle name="Heading 2 24" xfId="0"/>
    <cellStyle name="Heading 2 25" xfId="0"/>
    <cellStyle name="Heading 2 26" xfId="0"/>
    <cellStyle name="Heading 2 27" xfId="0"/>
    <cellStyle name="Heading 2 28" xfId="0"/>
    <cellStyle name="Heading 2 3" xfId="0"/>
    <cellStyle name="Heading 2 30" xfId="0"/>
    <cellStyle name="Heading 2 4" xfId="0"/>
    <cellStyle name="Heading 2 5" xfId="0"/>
    <cellStyle name="Heading 2 6" xfId="0"/>
    <cellStyle name="Heading 2 7" xfId="0"/>
    <cellStyle name="Heading 2 8" xfId="0"/>
    <cellStyle name="Heading 2 9" xfId="0"/>
    <cellStyle name="Heading 2_RH et QS" xfId="0"/>
    <cellStyle name="Heading 3" xfId="0"/>
    <cellStyle name="Heading 3 10" xfId="0"/>
    <cellStyle name="Heading 3 11" xfId="0"/>
    <cellStyle name="Heading 3 12" xfId="0"/>
    <cellStyle name="Heading 3 13" xfId="0"/>
    <cellStyle name="Heading 3 14" xfId="0"/>
    <cellStyle name="Heading 3 15" xfId="0"/>
    <cellStyle name="Heading 3 16" xfId="0"/>
    <cellStyle name="Heading 3 17" xfId="0"/>
    <cellStyle name="Heading 3 18" xfId="0"/>
    <cellStyle name="Heading 3 19" xfId="0"/>
    <cellStyle name="Heading 3 2" xfId="0"/>
    <cellStyle name="Heading 3 20" xfId="0"/>
    <cellStyle name="Heading 3 21" xfId="0"/>
    <cellStyle name="Heading 3 22" xfId="0"/>
    <cellStyle name="Heading 3 23" xfId="0"/>
    <cellStyle name="Heading 3 24" xfId="0"/>
    <cellStyle name="Heading 3 25" xfId="0"/>
    <cellStyle name="Heading 3 26" xfId="0"/>
    <cellStyle name="Heading 3 27" xfId="0"/>
    <cellStyle name="Heading 3 28" xfId="0"/>
    <cellStyle name="Heading 3 3" xfId="0"/>
    <cellStyle name="Heading 3 4" xfId="0"/>
    <cellStyle name="Heading 3 5" xfId="0"/>
    <cellStyle name="Heading 3 6" xfId="0"/>
    <cellStyle name="Heading 3 7" xfId="0"/>
    <cellStyle name="Heading 3 8" xfId="0"/>
    <cellStyle name="Heading 3 9" xfId="0"/>
    <cellStyle name="Heading 3_RH et QS" xfId="0"/>
    <cellStyle name="Heading 4" xfId="0"/>
    <cellStyle name="Heading 4 10" xfId="0"/>
    <cellStyle name="Heading 4 11" xfId="0"/>
    <cellStyle name="Heading 4 12" xfId="0"/>
    <cellStyle name="Heading 4 13" xfId="0"/>
    <cellStyle name="Heading 4 14" xfId="0"/>
    <cellStyle name="Heading 4 15" xfId="0"/>
    <cellStyle name="Heading 4 16" xfId="0"/>
    <cellStyle name="Heading 4 17" xfId="0"/>
    <cellStyle name="Heading 4 18" xfId="0"/>
    <cellStyle name="Heading 4 19" xfId="0"/>
    <cellStyle name="Heading 4 2" xfId="0"/>
    <cellStyle name="Heading 4 20" xfId="0"/>
    <cellStyle name="Heading 4 21" xfId="0"/>
    <cellStyle name="Heading 4 22" xfId="0"/>
    <cellStyle name="Heading 4 23" xfId="0"/>
    <cellStyle name="Heading 4 24" xfId="0"/>
    <cellStyle name="Heading 4 25" xfId="0"/>
    <cellStyle name="Heading 4 26" xfId="0"/>
    <cellStyle name="Heading 4 27" xfId="0"/>
    <cellStyle name="Heading 4 28" xfId="0"/>
    <cellStyle name="Heading 4 3" xfId="0"/>
    <cellStyle name="Heading 4 4" xfId="0"/>
    <cellStyle name="Heading 4 5" xfId="0"/>
    <cellStyle name="Heading 4 6" xfId="0"/>
    <cellStyle name="Heading 4 7" xfId="0"/>
    <cellStyle name="Heading 4 8" xfId="0"/>
    <cellStyle name="Heading 4 9" xfId="0"/>
    <cellStyle name="Heading 4_RH et QS" xfId="0"/>
    <cellStyle name="Heading 5" xfId="0"/>
    <cellStyle name="Heading 6" xfId="0"/>
    <cellStyle name="Heading 7" xfId="0"/>
    <cellStyle name="Heading 8" xfId="0"/>
    <cellStyle name="Heading bar" xfId="0"/>
    <cellStyle name="Heading I" xfId="0"/>
    <cellStyle name="Heading page" xfId="0"/>
    <cellStyle name="Heading2" xfId="0"/>
    <cellStyle name="Heading_Actu 1 du Budget Annuel Groupe IAM  2007" xfId="0"/>
    <cellStyle name="HEADINGS" xfId="0"/>
    <cellStyle name="HEADINGS 2" xfId="0"/>
    <cellStyle name="HEADINGS 2 2" xfId="0"/>
    <cellStyle name="HEADINGS 3" xfId="0"/>
    <cellStyle name="HEADINGSTOP" xfId="0"/>
    <cellStyle name="Headline1" xfId="0"/>
    <cellStyle name="Headline2" xfId="0"/>
    <cellStyle name="Headline3" xfId="0"/>
    <cellStyle name="helv" xfId="0"/>
    <cellStyle name="helv 2" xfId="0"/>
    <cellStyle name="Hidden" xfId="0"/>
    <cellStyle name="Hidden Decimal 0,00" xfId="0"/>
    <cellStyle name="Hidden_RH et QS" xfId="0"/>
    <cellStyle name="Hyperlink_Book1" xfId="0"/>
    <cellStyle name="In Dates" xfId="0"/>
    <cellStyle name="In Growth" xfId="0"/>
    <cellStyle name="In Growth 2" xfId="0"/>
    <cellStyle name="In Link" xfId="0"/>
    <cellStyle name="In Link 2" xfId="0"/>
    <cellStyle name="In Multiple" xfId="0"/>
    <cellStyle name="In Normal" xfId="0"/>
    <cellStyle name="In Percent" xfId="0"/>
    <cellStyle name="In Years" xfId="0"/>
    <cellStyle name="In Years 2" xfId="0"/>
    <cellStyle name="indicatif_nv" xfId="0"/>
    <cellStyle name="Input 10" xfId="0"/>
    <cellStyle name="Input 11" xfId="0"/>
    <cellStyle name="Input 12" xfId="0"/>
    <cellStyle name="Input 13" xfId="0"/>
    <cellStyle name="Input 14" xfId="0"/>
    <cellStyle name="Input 15" xfId="0"/>
    <cellStyle name="Input 16" xfId="0"/>
    <cellStyle name="Input 17" xfId="0"/>
    <cellStyle name="Input 18" xfId="0"/>
    <cellStyle name="Input 19" xfId="0"/>
    <cellStyle name="Input 2" xfId="0"/>
    <cellStyle name="Input 20" xfId="0"/>
    <cellStyle name="Input 21" xfId="0"/>
    <cellStyle name="Input 22" xfId="0"/>
    <cellStyle name="Input 23" xfId="0"/>
    <cellStyle name="Input 24" xfId="0"/>
    <cellStyle name="Input 25" xfId="0"/>
    <cellStyle name="Input 26" xfId="0"/>
    <cellStyle name="Input 27" xfId="0"/>
    <cellStyle name="Input 28" xfId="0"/>
    <cellStyle name="Input 29" xfId="0"/>
    <cellStyle name="Input 29 2" xfId="0"/>
    <cellStyle name="Input 3" xfId="0"/>
    <cellStyle name="Input 30" xfId="0"/>
    <cellStyle name="Input 4" xfId="0"/>
    <cellStyle name="Input 5" xfId="0"/>
    <cellStyle name="Input 6" xfId="0"/>
    <cellStyle name="Input 7" xfId="0"/>
    <cellStyle name="Input 8" xfId="0"/>
    <cellStyle name="Input 9" xfId="0"/>
    <cellStyle name="Input [%00]" xfId="0"/>
    <cellStyle name="Input [%00] 2" xfId="0"/>
    <cellStyle name="Input [%00] 2 2" xfId="0"/>
    <cellStyle name="Input [%0]" xfId="0"/>
    <cellStyle name="Input [%0] 2" xfId="0"/>
    <cellStyle name="Input [%0] 2 2" xfId="0"/>
    <cellStyle name="Input [%]" xfId="0"/>
    <cellStyle name="Input [%] 2" xfId="0"/>
    <cellStyle name="Input [%] 2 2" xfId="0"/>
    <cellStyle name="Input [00]" xfId="0"/>
    <cellStyle name="Input [00] 2" xfId="0"/>
    <cellStyle name="Input [00] 2 2" xfId="0"/>
    <cellStyle name="Input [0]" xfId="0"/>
    <cellStyle name="Input [0] 2" xfId="0"/>
    <cellStyle name="Input [0] 2 2" xfId="0"/>
    <cellStyle name="Input [yellow]" xfId="0"/>
    <cellStyle name="Input [yellow] 2" xfId="0"/>
    <cellStyle name="Input [yellow] 2 2" xfId="0"/>
    <cellStyle name="Input Cell" xfId="0"/>
    <cellStyle name="Input Currency" xfId="0"/>
    <cellStyle name="Input Currency 10" xfId="0"/>
    <cellStyle name="Input Currency 11" xfId="0"/>
    <cellStyle name="Input Currency 12" xfId="0"/>
    <cellStyle name="Input Currency 13" xfId="0"/>
    <cellStyle name="Input Currency 14" xfId="0"/>
    <cellStyle name="Input Currency 2" xfId="0"/>
    <cellStyle name="Input Currency 3" xfId="0"/>
    <cellStyle name="Input Currency 4" xfId="0"/>
    <cellStyle name="Input Currency 5" xfId="0"/>
    <cellStyle name="Input Currency 6" xfId="0"/>
    <cellStyle name="Input Currency 7" xfId="0"/>
    <cellStyle name="Input Currency 8" xfId="0"/>
    <cellStyle name="Input Currency 9" xfId="0"/>
    <cellStyle name="Input Currency_RH et QS" xfId="0"/>
    <cellStyle name="Input Decimal 0" xfId="0"/>
    <cellStyle name="Input Decimal 0,00" xfId="0"/>
    <cellStyle name="Input Normal" xfId="0"/>
    <cellStyle name="Input Normal 10" xfId="0"/>
    <cellStyle name="Input Normal 11" xfId="0"/>
    <cellStyle name="Input Normal 12" xfId="0"/>
    <cellStyle name="Input Normal 13" xfId="0"/>
    <cellStyle name="Input Normal 14" xfId="0"/>
    <cellStyle name="Input Normal 2" xfId="0"/>
    <cellStyle name="Input Normal 3" xfId="0"/>
    <cellStyle name="Input Normal 4" xfId="0"/>
    <cellStyle name="Input Normal 5" xfId="0"/>
    <cellStyle name="Input Normal 6" xfId="0"/>
    <cellStyle name="Input Normal 7" xfId="0"/>
    <cellStyle name="Input Normal 8" xfId="0"/>
    <cellStyle name="Input Normal 9" xfId="0"/>
    <cellStyle name="Input Normal_RH et QS" xfId="0"/>
    <cellStyle name="Input Percent" xfId="0"/>
    <cellStyle name="Input Percent 0" xfId="0"/>
    <cellStyle name="Input Percent 0,00" xfId="0"/>
    <cellStyle name="Input Percent 10" xfId="0"/>
    <cellStyle name="Input Percent 11" xfId="0"/>
    <cellStyle name="Input Percent 12" xfId="0"/>
    <cellStyle name="Input Percent 13" xfId="0"/>
    <cellStyle name="Input Percent 14" xfId="0"/>
    <cellStyle name="Input Percent 2" xfId="0"/>
    <cellStyle name="Input Percent 3" xfId="0"/>
    <cellStyle name="Input Percent 4" xfId="0"/>
    <cellStyle name="Input Percent 5" xfId="0"/>
    <cellStyle name="Input Percent 6" xfId="0"/>
    <cellStyle name="Input Percent 7" xfId="0"/>
    <cellStyle name="Input Percent 8" xfId="0"/>
    <cellStyle name="Input Percent 9" xfId="0"/>
    <cellStyle name="Input Percent_2007-12 TBG suivi filiales Décembre 2007" xfId="0"/>
    <cellStyle name="Input Titles" xfId="0"/>
    <cellStyle name="InputDetailDate" xfId="0"/>
    <cellStyle name="InputDetailDate 2" xfId="0"/>
    <cellStyle name="InputDetailDate 2 2" xfId="0"/>
    <cellStyle name="InputDetailDate 3" xfId="0"/>
    <cellStyle name="InputDetailInt" xfId="0"/>
    <cellStyle name="InputDetailInt 2" xfId="0"/>
    <cellStyle name="InputDetailInt 2 2" xfId="0"/>
    <cellStyle name="InputDetailInt 3" xfId="0"/>
    <cellStyle name="InputDetailPct" xfId="0"/>
    <cellStyle name="InputDetailPct 2" xfId="0"/>
    <cellStyle name="InputDetailPct 2 2" xfId="0"/>
    <cellStyle name="InputDetailPct 3" xfId="0"/>
    <cellStyle name="InputLockedInt" xfId="0"/>
    <cellStyle name="InputLockedInt 2" xfId="0"/>
    <cellStyle name="InputLockedInt 2 2" xfId="0"/>
    <cellStyle name="InputLockedInt 3" xfId="0"/>
    <cellStyle name="InputLockedPct" xfId="0"/>
    <cellStyle name="InputLockedPct 2" xfId="0"/>
    <cellStyle name="InputLockedPct 2 2" xfId="0"/>
    <cellStyle name="InputLockedPct 3" xfId="0"/>
    <cellStyle name="Insatisfaisant 2" xfId="0"/>
    <cellStyle name="Insatisfaisant 2 2" xfId="0"/>
    <cellStyle name="Insatisfaisant 2 2 2" xfId="0"/>
    <cellStyle name="Insatisfaisant 2 2_Parc Mobile" xfId="0"/>
    <cellStyle name="Insatisfaisant 2_RH et QS" xfId="0"/>
    <cellStyle name="Insatisfaisant 3" xfId="0"/>
    <cellStyle name="Insatisfaisant 3 2" xfId="0"/>
    <cellStyle name="Insatisfaisant 3_RH et QS" xfId="0"/>
    <cellStyle name="Insatisfaisant 4" xfId="0"/>
    <cellStyle name="Insatisfaisant 4 2" xfId="0"/>
    <cellStyle name="Insatisfaisant 4_RH et QS" xfId="0"/>
    <cellStyle name="Insatisfaisant 5" xfId="0"/>
    <cellStyle name="Insatisfaisant 5 2" xfId="0"/>
    <cellStyle name="Insatisfaisant 5_RH et QS" xfId="0"/>
    <cellStyle name="Insatisfaisant 6" xfId="0"/>
    <cellStyle name="Insatisfaisant 6 2" xfId="0"/>
    <cellStyle name="Insatisfaisant 6_RH et QS" xfId="0"/>
    <cellStyle name="Insatisfaisant 7 2" xfId="0"/>
    <cellStyle name="Insatisfaisant 8 2" xfId="0"/>
    <cellStyle name="Integer" xfId="0"/>
    <cellStyle name="Item" xfId="0"/>
    <cellStyle name="ItemTypeClass" xfId="0"/>
    <cellStyle name="ItemTypeClass 2" xfId="0"/>
    <cellStyle name="ItemTypeClass 2 2" xfId="0"/>
    <cellStyle name="ItemTypeClass 3" xfId="0"/>
    <cellStyle name="Kilo" xfId="0"/>
    <cellStyle name="Kilo 2" xfId="0"/>
    <cellStyle name="Kilo_RH et QS" xfId="0"/>
    <cellStyle name="Komma [0]_RESULTS" xfId="0"/>
    <cellStyle name="Komma_RESULTS" xfId="0"/>
    <cellStyle name="Legal 8½ x 14 in" xfId="0"/>
    <cellStyle name="Legal 8½ x 14 in 2" xfId="0"/>
    <cellStyle name="Legal 8½ x 14 in 3" xfId="0"/>
    <cellStyle name="Legal 8½ x 14 in 4" xfId="0"/>
    <cellStyle name="Legal 8½ x 14 in 5" xfId="0"/>
    <cellStyle name="Legal 8½ x 14 in 6" xfId="0"/>
    <cellStyle name="Legal 8½ x 14 in 7" xfId="0"/>
    <cellStyle name="Legal 8½ x 14 in 8" xfId="0"/>
    <cellStyle name="Legal 8½ x 14 in_RH et QS" xfId="0"/>
    <cellStyle name="Lien hypertexte 2" xfId="0"/>
    <cellStyle name="LineItemValue" xfId="0"/>
    <cellStyle name="Link Currency (0)" xfId="0"/>
    <cellStyle name="Link Currency (0) 2" xfId="0"/>
    <cellStyle name="Link Currency (0)_Parc Mobile" xfId="0"/>
    <cellStyle name="Link Currency (2)" xfId="0"/>
    <cellStyle name="Link Currency (2) 2" xfId="0"/>
    <cellStyle name="Link Currency (2)_Parc Mobile" xfId="0"/>
    <cellStyle name="Link Units (0)" xfId="0"/>
    <cellStyle name="Link Units (0) 2" xfId="0"/>
    <cellStyle name="Link Units (0)_Parc Mobile" xfId="0"/>
    <cellStyle name="Link Units (1)" xfId="0"/>
    <cellStyle name="Link Units (1) 2" xfId="0"/>
    <cellStyle name="Link Units (1)_Parc Mobile" xfId="0"/>
    <cellStyle name="Link Units (2)" xfId="0"/>
    <cellStyle name="Link Units (2) 2" xfId="0"/>
    <cellStyle name="Link Units (2)_Parc Mobile" xfId="0"/>
    <cellStyle name="Linked Cell 10" xfId="0"/>
    <cellStyle name="Linked Cell 11" xfId="0"/>
    <cellStyle name="Linked Cell 12" xfId="0"/>
    <cellStyle name="Linked Cell 13" xfId="0"/>
    <cellStyle name="Linked Cell 14" xfId="0"/>
    <cellStyle name="Linked Cell 15" xfId="0"/>
    <cellStyle name="Linked Cell 16" xfId="0"/>
    <cellStyle name="Linked Cell 17" xfId="0"/>
    <cellStyle name="Linked Cell 18" xfId="0"/>
    <cellStyle name="Linked Cell 19" xfId="0"/>
    <cellStyle name="Linked Cell 2" xfId="0"/>
    <cellStyle name="Linked Cell 20" xfId="0"/>
    <cellStyle name="Linked Cell 21" xfId="0"/>
    <cellStyle name="Linked Cell 22" xfId="0"/>
    <cellStyle name="Linked Cell 23" xfId="0"/>
    <cellStyle name="Linked Cell 24" xfId="0"/>
    <cellStyle name="Linked Cell 25" xfId="0"/>
    <cellStyle name="Linked Cell 26" xfId="0"/>
    <cellStyle name="Linked Cell 27" xfId="0"/>
    <cellStyle name="Linked Cell 28" xfId="0"/>
    <cellStyle name="Linked Cell 3" xfId="0"/>
    <cellStyle name="Linked Cell 4" xfId="0"/>
    <cellStyle name="Linked Cell 5" xfId="0"/>
    <cellStyle name="Linked Cell 6" xfId="0"/>
    <cellStyle name="Linked Cell 7" xfId="0"/>
    <cellStyle name="Linked Cell 8" xfId="0"/>
    <cellStyle name="Linked Cell 9" xfId="0"/>
    <cellStyle name="Mega" xfId="0"/>
    <cellStyle name="Mega 2" xfId="0"/>
    <cellStyle name="Mega_RH et QS" xfId="0"/>
    <cellStyle name="Millares [0]_BSC 3&amp;4" xfId="0"/>
    <cellStyle name="Millares_BSC 3&amp;4" xfId="0"/>
    <cellStyle name="Milliers 10" xfId="0"/>
    <cellStyle name="Milliers 10 2" xfId="0"/>
    <cellStyle name="Milliers 10 2 2" xfId="0"/>
    <cellStyle name="Milliers 10_RH et QS" xfId="0"/>
    <cellStyle name="Milliers 11" xfId="0"/>
    <cellStyle name="Milliers 11 2" xfId="0"/>
    <cellStyle name="Milliers 11 2 2" xfId="0"/>
    <cellStyle name="Milliers 11 3" xfId="0"/>
    <cellStyle name="Milliers 11_RH et QS" xfId="0"/>
    <cellStyle name="Milliers 12" xfId="0"/>
    <cellStyle name="Milliers 12 2" xfId="0"/>
    <cellStyle name="Milliers 12 2 2" xfId="0"/>
    <cellStyle name="Milliers 12 3" xfId="0"/>
    <cellStyle name="Milliers 12_RH et QS" xfId="0"/>
    <cellStyle name="Milliers 13" xfId="0"/>
    <cellStyle name="Milliers 13 2" xfId="0"/>
    <cellStyle name="Milliers 13 2 2" xfId="0"/>
    <cellStyle name="Milliers 13 3" xfId="0"/>
    <cellStyle name="Milliers 13_RH et QS" xfId="0"/>
    <cellStyle name="Milliers 14" xfId="0"/>
    <cellStyle name="Milliers 14 2" xfId="0"/>
    <cellStyle name="Milliers 14 2 2" xfId="0"/>
    <cellStyle name="Milliers 14 2 2 2" xfId="0"/>
    <cellStyle name="Milliers 14 2 2 2 2" xfId="0"/>
    <cellStyle name="Milliers 14 2 2 2 2 2" xfId="0"/>
    <cellStyle name="Milliers 14 2 2 2 3" xfId="0"/>
    <cellStyle name="Milliers 14 2 2 3" xfId="0"/>
    <cellStyle name="Milliers 14 2 2 3 2" xfId="0"/>
    <cellStyle name="Milliers 14 2 2 4" xfId="0"/>
    <cellStyle name="Milliers 14 2 2_RH et QS" xfId="0"/>
    <cellStyle name="Milliers 14 2 3" xfId="0"/>
    <cellStyle name="Milliers 14 2 3 2" xfId="0"/>
    <cellStyle name="Milliers 14 2 3 2 2" xfId="0"/>
    <cellStyle name="Milliers 14 2 3 2 2 2" xfId="0"/>
    <cellStyle name="Milliers 14 2 3 2 3" xfId="0"/>
    <cellStyle name="Milliers 14 2 3 3" xfId="0"/>
    <cellStyle name="Milliers 14 2 3 3 2" xfId="0"/>
    <cellStyle name="Milliers 14 2 3 4" xfId="0"/>
    <cellStyle name="Milliers 14 2 3_RH et QS" xfId="0"/>
    <cellStyle name="Milliers 14 2 4" xfId="0"/>
    <cellStyle name="Milliers 14 2 4 2" xfId="0"/>
    <cellStyle name="Milliers 14 2 4 2 2" xfId="0"/>
    <cellStyle name="Milliers 14 2 4 3" xfId="0"/>
    <cellStyle name="Milliers 14 2 5" xfId="0"/>
    <cellStyle name="Milliers 14 2 5 2" xfId="0"/>
    <cellStyle name="Milliers 14 2 6" xfId="0"/>
    <cellStyle name="Milliers 14 2_RH et QS" xfId="0"/>
    <cellStyle name="Milliers 14 3" xfId="0"/>
    <cellStyle name="Milliers 14 3 2" xfId="0"/>
    <cellStyle name="Milliers 14 3 2 2" xfId="0"/>
    <cellStyle name="Milliers 14 3 2 2 2" xfId="0"/>
    <cellStyle name="Milliers 14 3 2 3" xfId="0"/>
    <cellStyle name="Milliers 14 3 3" xfId="0"/>
    <cellStyle name="Milliers 14 3 3 2" xfId="0"/>
    <cellStyle name="Milliers 14 3 4" xfId="0"/>
    <cellStyle name="Milliers 14 3_RH et QS" xfId="0"/>
    <cellStyle name="Milliers 14 4" xfId="0"/>
    <cellStyle name="Milliers 14 4 2" xfId="0"/>
    <cellStyle name="Milliers 14 4 2 2" xfId="0"/>
    <cellStyle name="Milliers 14 4 2 2 2" xfId="0"/>
    <cellStyle name="Milliers 14 4 2 3" xfId="0"/>
    <cellStyle name="Milliers 14 4 3" xfId="0"/>
    <cellStyle name="Milliers 14 4 3 2" xfId="0"/>
    <cellStyle name="Milliers 14 4 4" xfId="0"/>
    <cellStyle name="Milliers 14 4_RH et QS" xfId="0"/>
    <cellStyle name="Milliers 14 5" xfId="0"/>
    <cellStyle name="Milliers 14 5 2" xfId="0"/>
    <cellStyle name="Milliers 14 5 2 2" xfId="0"/>
    <cellStyle name="Milliers 14 5 3" xfId="0"/>
    <cellStyle name="Milliers 14 6" xfId="0"/>
    <cellStyle name="Milliers 14 6 2" xfId="0"/>
    <cellStyle name="Milliers 14 7" xfId="0"/>
    <cellStyle name="Milliers 14_RH et QS" xfId="0"/>
    <cellStyle name="Milliers 15" xfId="0"/>
    <cellStyle name="Milliers 16" xfId="0"/>
    <cellStyle name="Milliers 16 2" xfId="0"/>
    <cellStyle name="Milliers 16 2 2" xfId="0"/>
    <cellStyle name="Milliers 16 2 2 2" xfId="0"/>
    <cellStyle name="Milliers 16 2 2 2 2" xfId="0"/>
    <cellStyle name="Milliers 16 2 2 3" xfId="0"/>
    <cellStyle name="Milliers 16 2 3" xfId="0"/>
    <cellStyle name="Milliers 16 2 3 2" xfId="0"/>
    <cellStyle name="Milliers 16 2 4" xfId="0"/>
    <cellStyle name="Milliers 16 2_RH et QS" xfId="0"/>
    <cellStyle name="Milliers 16 3" xfId="0"/>
    <cellStyle name="Milliers 16 3 2" xfId="0"/>
    <cellStyle name="Milliers 16 3 2 2" xfId="0"/>
    <cellStyle name="Milliers 16 3 2 2 2" xfId="0"/>
    <cellStyle name="Milliers 16 3 2 3" xfId="0"/>
    <cellStyle name="Milliers 16 3 3" xfId="0"/>
    <cellStyle name="Milliers 16 3 3 2" xfId="0"/>
    <cellStyle name="Milliers 16 3 4" xfId="0"/>
    <cellStyle name="Milliers 16 3_RH et QS" xfId="0"/>
    <cellStyle name="Milliers 16 4" xfId="0"/>
    <cellStyle name="Milliers 16 4 2" xfId="0"/>
    <cellStyle name="Milliers 16 4 2 2" xfId="0"/>
    <cellStyle name="Milliers 16 4 3" xfId="0"/>
    <cellStyle name="Milliers 16 5" xfId="0"/>
    <cellStyle name="Milliers 16 5 2" xfId="0"/>
    <cellStyle name="Milliers 16 6" xfId="0"/>
    <cellStyle name="Milliers 16_RH et QS" xfId="0"/>
    <cellStyle name="Milliers 17" xfId="0"/>
    <cellStyle name="Milliers 17 2" xfId="0"/>
    <cellStyle name="Milliers 18" xfId="0"/>
    <cellStyle name="Milliers 18 2" xfId="0"/>
    <cellStyle name="Milliers 18 2 2" xfId="0"/>
    <cellStyle name="Milliers 18 2 2 2" xfId="0"/>
    <cellStyle name="Milliers 18 2 2 2 2" xfId="0"/>
    <cellStyle name="Milliers 18 2 2 3" xfId="0"/>
    <cellStyle name="Milliers 18 2 3" xfId="0"/>
    <cellStyle name="Milliers 18 2 3 2" xfId="0"/>
    <cellStyle name="Milliers 18 2 4" xfId="0"/>
    <cellStyle name="Milliers 18 2_RH et QS" xfId="0"/>
    <cellStyle name="Milliers 18 3" xfId="0"/>
    <cellStyle name="Milliers 18 3 2" xfId="0"/>
    <cellStyle name="Milliers 18 3 2 2" xfId="0"/>
    <cellStyle name="Milliers 18 3 2 2 2" xfId="0"/>
    <cellStyle name="Milliers 18 3 2 3" xfId="0"/>
    <cellStyle name="Milliers 18 3 3" xfId="0"/>
    <cellStyle name="Milliers 18 3 3 2" xfId="0"/>
    <cellStyle name="Milliers 18 3 4" xfId="0"/>
    <cellStyle name="Milliers 18 3_RH et QS" xfId="0"/>
    <cellStyle name="Milliers 18 4" xfId="0"/>
    <cellStyle name="Milliers 18 4 2" xfId="0"/>
    <cellStyle name="Milliers 18 4 2 2" xfId="0"/>
    <cellStyle name="Milliers 18 4 3" xfId="0"/>
    <cellStyle name="Milliers 18 5" xfId="0"/>
    <cellStyle name="Milliers 18 5 2" xfId="0"/>
    <cellStyle name="Milliers 18 6" xfId="0"/>
    <cellStyle name="Milliers 18_RH et QS" xfId="0"/>
    <cellStyle name="Milliers 19" xfId="0"/>
    <cellStyle name="Milliers 19 2" xfId="0"/>
    <cellStyle name="Milliers 19 2 2" xfId="0"/>
    <cellStyle name="Milliers 19 3" xfId="0"/>
    <cellStyle name="Milliers 19_RH et QS" xfId="0"/>
    <cellStyle name="Milliers 2" xfId="0"/>
    <cellStyle name="Milliers 2 10" xfId="0"/>
    <cellStyle name="Milliers 2 10 2" xfId="0"/>
    <cellStyle name="Milliers 2 11" xfId="0"/>
    <cellStyle name="Milliers 2 11 2" xfId="0"/>
    <cellStyle name="Milliers 2 12" xfId="0"/>
    <cellStyle name="Milliers 2 12 2" xfId="0"/>
    <cellStyle name="Milliers 2 13" xfId="0"/>
    <cellStyle name="Milliers 2 13 2" xfId="0"/>
    <cellStyle name="Milliers 2 14" xfId="0"/>
    <cellStyle name="Milliers 2 14 2" xfId="0"/>
    <cellStyle name="Milliers 2 15" xfId="0"/>
    <cellStyle name="Milliers 2 15 2" xfId="0"/>
    <cellStyle name="Milliers 2 16" xfId="0"/>
    <cellStyle name="Milliers 2 16 2" xfId="0"/>
    <cellStyle name="Milliers 2 17" xfId="0"/>
    <cellStyle name="Milliers 2 17 2" xfId="0"/>
    <cellStyle name="Milliers 2 18" xfId="0"/>
    <cellStyle name="Milliers 2 19" xfId="0"/>
    <cellStyle name="Milliers 2 19 2" xfId="0"/>
    <cellStyle name="Milliers 2 2" xfId="0"/>
    <cellStyle name="Milliers 2 2 2" xfId="0"/>
    <cellStyle name="Milliers 2 2 2 2" xfId="0"/>
    <cellStyle name="Milliers 2 2 3" xfId="0"/>
    <cellStyle name="Milliers 2 2 3 2" xfId="0"/>
    <cellStyle name="Milliers 2 2 4" xfId="0"/>
    <cellStyle name="Milliers 2 20" xfId="0"/>
    <cellStyle name="Milliers 2 2_Parc Mobile" xfId="0"/>
    <cellStyle name="Milliers 2 3" xfId="0"/>
    <cellStyle name="Milliers 2 3 2" xfId="0"/>
    <cellStyle name="Milliers 2 4" xfId="0"/>
    <cellStyle name="Milliers 2 4 2" xfId="0"/>
    <cellStyle name="Milliers 2 4 2 2" xfId="0"/>
    <cellStyle name="Milliers 2 4_Parc Mobile" xfId="0"/>
    <cellStyle name="Milliers 2 5" xfId="0"/>
    <cellStyle name="Milliers 2 5 2" xfId="0"/>
    <cellStyle name="Milliers 2 6" xfId="0"/>
    <cellStyle name="Milliers 2 6 2" xfId="0"/>
    <cellStyle name="Milliers 2 6 2 2" xfId="0"/>
    <cellStyle name="Milliers 2 6 3" xfId="0"/>
    <cellStyle name="Milliers 2 6_Parc Mobile" xfId="0"/>
    <cellStyle name="Milliers 2 7" xfId="0"/>
    <cellStyle name="Milliers 2 7 2" xfId="0"/>
    <cellStyle name="Milliers 2 8" xfId="0"/>
    <cellStyle name="Milliers 2 8 2" xfId="0"/>
    <cellStyle name="Milliers 2 9" xfId="0"/>
    <cellStyle name="Milliers 2 9 2" xfId="0"/>
    <cellStyle name="Milliers 20" xfId="0"/>
    <cellStyle name="Milliers 20 2" xfId="0"/>
    <cellStyle name="Milliers 20 2 2" xfId="0"/>
    <cellStyle name="Milliers 20 2 2 2" xfId="0"/>
    <cellStyle name="Milliers 20 2 3" xfId="0"/>
    <cellStyle name="Milliers 20 3" xfId="0"/>
    <cellStyle name="Milliers 20 3 2" xfId="0"/>
    <cellStyle name="Milliers 20 4" xfId="0"/>
    <cellStyle name="Milliers 20_RH et QS" xfId="0"/>
    <cellStyle name="Milliers 21" xfId="0"/>
    <cellStyle name="Milliers 21 2" xfId="0"/>
    <cellStyle name="Milliers 21 2 2" xfId="0"/>
    <cellStyle name="Milliers 21 2 2 2" xfId="0"/>
    <cellStyle name="Milliers 21 2 3" xfId="0"/>
    <cellStyle name="Milliers 21 3" xfId="0"/>
    <cellStyle name="Milliers 21 3 2" xfId="0"/>
    <cellStyle name="Milliers 21 4" xfId="0"/>
    <cellStyle name="Milliers 21_RH et QS" xfId="0"/>
    <cellStyle name="Milliers 22" xfId="0"/>
    <cellStyle name="Milliers 22 2" xfId="0"/>
    <cellStyle name="Milliers 22 2 2" xfId="0"/>
    <cellStyle name="Milliers 22 3" xfId="0"/>
    <cellStyle name="Milliers 23" xfId="0"/>
    <cellStyle name="Milliers 23 2" xfId="0"/>
    <cellStyle name="Milliers 23 2 2" xfId="0"/>
    <cellStyle name="Milliers 23 3" xfId="0"/>
    <cellStyle name="Milliers 24" xfId="0"/>
    <cellStyle name="Milliers 2_RH et QS" xfId="0"/>
    <cellStyle name="Milliers 3" xfId="0"/>
    <cellStyle name="Milliers 3 10" xfId="0"/>
    <cellStyle name="Milliers 3 10 2" xfId="0"/>
    <cellStyle name="Milliers 3 11" xfId="0"/>
    <cellStyle name="Milliers 3 11 2" xfId="0"/>
    <cellStyle name="Milliers 3 11 2 2" xfId="0"/>
    <cellStyle name="Milliers 3 11 2 2 2" xfId="0"/>
    <cellStyle name="Milliers 3 11 2 2 2 2" xfId="0"/>
    <cellStyle name="Milliers 3 11 2 2 3" xfId="0"/>
    <cellStyle name="Milliers 3 11 2 3" xfId="0"/>
    <cellStyle name="Milliers 3 11 2 3 2" xfId="0"/>
    <cellStyle name="Milliers 3 11 2 4" xfId="0"/>
    <cellStyle name="Milliers 3 11 2_RH et QS" xfId="0"/>
    <cellStyle name="Milliers 3 11 3" xfId="0"/>
    <cellStyle name="Milliers 3 11 3 2" xfId="0"/>
    <cellStyle name="Milliers 3 11 3 2 2" xfId="0"/>
    <cellStyle name="Milliers 3 11 3 2 2 2" xfId="0"/>
    <cellStyle name="Milliers 3 11 3 2 3" xfId="0"/>
    <cellStyle name="Milliers 3 11 3 3" xfId="0"/>
    <cellStyle name="Milliers 3 11 3 3 2" xfId="0"/>
    <cellStyle name="Milliers 3 11 3 4" xfId="0"/>
    <cellStyle name="Milliers 3 11 3_RH et QS" xfId="0"/>
    <cellStyle name="Milliers 3 11 4" xfId="0"/>
    <cellStyle name="Milliers 3 11 4 2" xfId="0"/>
    <cellStyle name="Milliers 3 11 4 2 2" xfId="0"/>
    <cellStyle name="Milliers 3 11 4 3" xfId="0"/>
    <cellStyle name="Milliers 3 11 5" xfId="0"/>
    <cellStyle name="Milliers 3 11 5 2" xfId="0"/>
    <cellStyle name="Milliers 3 11 6" xfId="0"/>
    <cellStyle name="Milliers 3 11_RH et QS" xfId="0"/>
    <cellStyle name="Milliers 3 12" xfId="0"/>
    <cellStyle name="Milliers 3 13" xfId="0"/>
    <cellStyle name="Milliers 3 2" xfId="0"/>
    <cellStyle name="Milliers 3 2 2" xfId="0"/>
    <cellStyle name="Milliers 3 2 2 2" xfId="0"/>
    <cellStyle name="Milliers 3 2_RH et QS" xfId="0"/>
    <cellStyle name="Milliers 3 3" xfId="0"/>
    <cellStyle name="Milliers 3 3 2" xfId="0"/>
    <cellStyle name="Milliers 3 4" xfId="0"/>
    <cellStyle name="Milliers 3 4 2" xfId="0"/>
    <cellStyle name="Milliers 3 5" xfId="0"/>
    <cellStyle name="Milliers 3 5 2" xfId="0"/>
    <cellStyle name="Milliers 3 6" xfId="0"/>
    <cellStyle name="Milliers 3 6 2" xfId="0"/>
    <cellStyle name="Milliers 3 7" xfId="0"/>
    <cellStyle name="Milliers 3 7 2" xfId="0"/>
    <cellStyle name="Milliers 3 8" xfId="0"/>
    <cellStyle name="Milliers 3 8 2" xfId="0"/>
    <cellStyle name="Milliers 3 9" xfId="0"/>
    <cellStyle name="Milliers 3 9 2" xfId="0"/>
    <cellStyle name="Milliers 30" xfId="0"/>
    <cellStyle name="Milliers 3_RH et QS" xfId="0"/>
    <cellStyle name="Milliers 4" xfId="0"/>
    <cellStyle name="Milliers 4 10" xfId="0"/>
    <cellStyle name="Milliers 4 10 2" xfId="0"/>
    <cellStyle name="Milliers 4 11" xfId="0"/>
    <cellStyle name="Milliers 4 2" xfId="0"/>
    <cellStyle name="Milliers 4 2 2" xfId="0"/>
    <cellStyle name="Milliers 4 2 2 2" xfId="0"/>
    <cellStyle name="Milliers 4 2 3" xfId="0"/>
    <cellStyle name="Milliers 4 2 3 2" xfId="0"/>
    <cellStyle name="Milliers 4 2 4" xfId="0"/>
    <cellStyle name="Milliers 4 2_RH et QS" xfId="0"/>
    <cellStyle name="Milliers 4 3" xfId="0"/>
    <cellStyle name="Milliers 4 3 2" xfId="0"/>
    <cellStyle name="Milliers 4 3 2 2" xfId="0"/>
    <cellStyle name="Milliers 4 3_RH et QS" xfId="0"/>
    <cellStyle name="Milliers 4 4" xfId="0"/>
    <cellStyle name="Milliers 4 4 2" xfId="0"/>
    <cellStyle name="Milliers 4 5" xfId="0"/>
    <cellStyle name="Milliers 4 5 2" xfId="0"/>
    <cellStyle name="Milliers 4 6" xfId="0"/>
    <cellStyle name="Milliers 4 6 2" xfId="0"/>
    <cellStyle name="Milliers 4 7" xfId="0"/>
    <cellStyle name="Milliers 4 7 2" xfId="0"/>
    <cellStyle name="Milliers 4 8" xfId="0"/>
    <cellStyle name="Milliers 4 8 2" xfId="0"/>
    <cellStyle name="Milliers 4 9" xfId="0"/>
    <cellStyle name="Milliers 4 9 2" xfId="0"/>
    <cellStyle name="Milliers 4_RH et QS" xfId="0"/>
    <cellStyle name="Milliers 5" xfId="0"/>
    <cellStyle name="Milliers 5 2" xfId="0"/>
    <cellStyle name="Milliers 5 2 2" xfId="0"/>
    <cellStyle name="Milliers 5 2 2 2" xfId="0"/>
    <cellStyle name="Milliers 5 2_RH et QS" xfId="0"/>
    <cellStyle name="Milliers 5 3" xfId="0"/>
    <cellStyle name="Milliers 5 3 2" xfId="0"/>
    <cellStyle name="Milliers 5 3 2 2" xfId="0"/>
    <cellStyle name="Milliers 5 3 3" xfId="0"/>
    <cellStyle name="Milliers 5 3_RH et QS" xfId="0"/>
    <cellStyle name="Milliers 5 4" xfId="0"/>
    <cellStyle name="Milliers 5 4 2" xfId="0"/>
    <cellStyle name="Milliers 5 5" xfId="0"/>
    <cellStyle name="Milliers 5 5 2" xfId="0"/>
    <cellStyle name="Milliers 5 6" xfId="0"/>
    <cellStyle name="Milliers 5 6 2" xfId="0"/>
    <cellStyle name="Milliers 5 7" xfId="0"/>
    <cellStyle name="Milliers 5 7 2" xfId="0"/>
    <cellStyle name="Milliers 5 8" xfId="0"/>
    <cellStyle name="Milliers 5 9" xfId="0"/>
    <cellStyle name="Milliers 5_RH et QS" xfId="0"/>
    <cellStyle name="Milliers 6" xfId="0"/>
    <cellStyle name="Milliers 6 2" xfId="0"/>
    <cellStyle name="Milliers 6 2 2" xfId="0"/>
    <cellStyle name="Milliers 6 3" xfId="0"/>
    <cellStyle name="Milliers 6_RH et QS" xfId="0"/>
    <cellStyle name="Milliers 7" xfId="0"/>
    <cellStyle name="Milliers 7 2" xfId="0"/>
    <cellStyle name="Milliers 7 2 2" xfId="0"/>
    <cellStyle name="Milliers 7 2 2 2" xfId="0"/>
    <cellStyle name="Milliers 7 2 3" xfId="0"/>
    <cellStyle name="Milliers 7 2 3 2" xfId="0"/>
    <cellStyle name="Milliers 7 2 4" xfId="0"/>
    <cellStyle name="Milliers 7 2_RH et QS" xfId="0"/>
    <cellStyle name="Milliers 7 3" xfId="0"/>
    <cellStyle name="Milliers 7 3 2" xfId="0"/>
    <cellStyle name="Milliers 7 4" xfId="0"/>
    <cellStyle name="Milliers 7 4 2" xfId="0"/>
    <cellStyle name="Milliers 7 5" xfId="0"/>
    <cellStyle name="Milliers 7_RH et QS" xfId="0"/>
    <cellStyle name="Milliers 8" xfId="0"/>
    <cellStyle name="Milliers 8 2" xfId="0"/>
    <cellStyle name="Milliers 8 2 2" xfId="0"/>
    <cellStyle name="Milliers 8 3" xfId="0"/>
    <cellStyle name="Milliers 8 3 2" xfId="0"/>
    <cellStyle name="Milliers 8 4" xfId="0"/>
    <cellStyle name="Milliers 8_RH et QS" xfId="0"/>
    <cellStyle name="Milliers 9" xfId="0"/>
    <cellStyle name="Milliers 9 2" xfId="0"/>
    <cellStyle name="Milliers 9 2 2" xfId="0"/>
    <cellStyle name="Milliers 9 3" xfId="0"/>
    <cellStyle name="Milliers 9 3 2" xfId="0"/>
    <cellStyle name="Milliers 9_CA Fixe" xfId="0"/>
    <cellStyle name="Milliers [0] 2" xfId="0"/>
    <cellStyle name="Milliers [0] 2 2" xfId="0"/>
    <cellStyle name="Milliers [0] 3" xfId="0"/>
    <cellStyle name="Milliers [0] 3 2" xfId="0"/>
    <cellStyle name="Milliers [0] 7" xfId="0"/>
    <cellStyle name="Milliers [0] 9" xfId="0"/>
    <cellStyle name="Millions" xfId="0"/>
    <cellStyle name="Millions 10" xfId="0"/>
    <cellStyle name="millions 11" xfId="0"/>
    <cellStyle name="millions 12" xfId="0"/>
    <cellStyle name="millions 2" xfId="0"/>
    <cellStyle name="Millions 3" xfId="0"/>
    <cellStyle name="Millions 4" xfId="0"/>
    <cellStyle name="Millions 5" xfId="0"/>
    <cellStyle name="Millions 6" xfId="0"/>
    <cellStyle name="Millions 7" xfId="0"/>
    <cellStyle name="Millions 8" xfId="0"/>
    <cellStyle name="Millions 9" xfId="0"/>
    <cellStyle name="Millions_RH et QS" xfId="0"/>
    <cellStyle name="Mon_Year" xfId="0"/>
    <cellStyle name="Moneda [0]_BSC 3&amp;4" xfId="0"/>
    <cellStyle name="Moneda_BSC 3&amp;4" xfId="0"/>
    <cellStyle name="Monétaire 2" xfId="0"/>
    <cellStyle name="Monétaire 2 10" xfId="0"/>
    <cellStyle name="Monétaire 2 2" xfId="0"/>
    <cellStyle name="Monétaire 2 2 2" xfId="0"/>
    <cellStyle name="Monétaire 2 3" xfId="0"/>
    <cellStyle name="Monétaire 2 3 2" xfId="0"/>
    <cellStyle name="Monétaire 2 4" xfId="0"/>
    <cellStyle name="Monétaire 2 4 2" xfId="0"/>
    <cellStyle name="Monétaire 2 5" xfId="0"/>
    <cellStyle name="Monétaire 2 5 2" xfId="0"/>
    <cellStyle name="Monétaire 2 6" xfId="0"/>
    <cellStyle name="Monétaire 2 6 2" xfId="0"/>
    <cellStyle name="Monétaire 2 7" xfId="0"/>
    <cellStyle name="Monétaire 2 7 2" xfId="0"/>
    <cellStyle name="Monétaire 2 8" xfId="0"/>
    <cellStyle name="Monétaire 2 8 2" xfId="0"/>
    <cellStyle name="Monétaire 2 9" xfId="0"/>
    <cellStyle name="Monétaire 2 9 2" xfId="0"/>
    <cellStyle name="Monétaire 2_RH et QS" xfId="0"/>
    <cellStyle name="Monétaire0" xfId="0"/>
    <cellStyle name="MS_English" xfId="0"/>
    <cellStyle name="Multiple" xfId="0"/>
    <cellStyle name="NA is zero" xfId="0"/>
    <cellStyle name="NA is zero 10" xfId="0"/>
    <cellStyle name="NA is zero 11" xfId="0"/>
    <cellStyle name="NA is zero 12" xfId="0"/>
    <cellStyle name="NA is zero 13" xfId="0"/>
    <cellStyle name="NA is zero 14" xfId="0"/>
    <cellStyle name="NA is zero 2" xfId="0"/>
    <cellStyle name="NA is zero 3" xfId="0"/>
    <cellStyle name="NA is zero 4" xfId="0"/>
    <cellStyle name="NA is zero 5" xfId="0"/>
    <cellStyle name="NA is zero 6" xfId="0"/>
    <cellStyle name="NA is zero 7" xfId="0"/>
    <cellStyle name="NA is zero 8" xfId="0"/>
    <cellStyle name="NA is zero 9" xfId="0"/>
    <cellStyle name="NA is zero_RH et QS" xfId="0"/>
    <cellStyle name="Names" xfId="0"/>
    <cellStyle name="Neutral 10" xfId="0"/>
    <cellStyle name="Neutral 11" xfId="0"/>
    <cellStyle name="Neutral 12" xfId="0"/>
    <cellStyle name="Neutral 13" xfId="0"/>
    <cellStyle name="Neutral 14" xfId="0"/>
    <cellStyle name="Neutral 15" xfId="0"/>
    <cellStyle name="Neutral 16" xfId="0"/>
    <cellStyle name="Neutral 17" xfId="0"/>
    <cellStyle name="Neutral 18" xfId="0"/>
    <cellStyle name="Neutral 19" xfId="0"/>
    <cellStyle name="Neutral 2" xfId="0"/>
    <cellStyle name="Neutral 20" xfId="0"/>
    <cellStyle name="Neutral 21" xfId="0"/>
    <cellStyle name="Neutral 22" xfId="0"/>
    <cellStyle name="Neutral 23" xfId="0"/>
    <cellStyle name="Neutral 24" xfId="0"/>
    <cellStyle name="Neutral 25" xfId="0"/>
    <cellStyle name="Neutral 26" xfId="0"/>
    <cellStyle name="Neutral 27" xfId="0"/>
    <cellStyle name="Neutral 28" xfId="0"/>
    <cellStyle name="Neutral 3" xfId="0"/>
    <cellStyle name="Neutral 4" xfId="0"/>
    <cellStyle name="Neutral 5" xfId="0"/>
    <cellStyle name="Neutral 6" xfId="0"/>
    <cellStyle name="Neutral 7" xfId="0"/>
    <cellStyle name="Neutral 8" xfId="0"/>
    <cellStyle name="Neutral 9" xfId="0"/>
    <cellStyle name="Neutre 2" xfId="0"/>
    <cellStyle name="Neutre 2 2" xfId="0"/>
    <cellStyle name="Neutre 2 2 2" xfId="0"/>
    <cellStyle name="Neutre 2 2_Parc Mobile" xfId="0"/>
    <cellStyle name="Neutre 2_RH et QS" xfId="0"/>
    <cellStyle name="Neutre 3" xfId="0"/>
    <cellStyle name="Neutre 3 2" xfId="0"/>
    <cellStyle name="Neutre 3_RH et QS" xfId="0"/>
    <cellStyle name="Neutre 4" xfId="0"/>
    <cellStyle name="Neutre 4 2" xfId="0"/>
    <cellStyle name="Neutre 4_RH et QS" xfId="0"/>
    <cellStyle name="Neutre 5" xfId="0"/>
    <cellStyle name="Neutre 5 2" xfId="0"/>
    <cellStyle name="Neutre 5_RH et QS" xfId="0"/>
    <cellStyle name="Neutre 6" xfId="0"/>
    <cellStyle name="Neutre 6 2" xfId="0"/>
    <cellStyle name="Neutre 6_RH et QS" xfId="0"/>
    <cellStyle name="Neutre 7 2" xfId="0"/>
    <cellStyle name="Neutre 8 2" xfId="0"/>
    <cellStyle name="new style" xfId="0"/>
    <cellStyle name="new style 2" xfId="0"/>
    <cellStyle name="no dec" xfId="0"/>
    <cellStyle name="nonmultiple" xfId="0"/>
    <cellStyle name="NonPrint_Heading" xfId="0"/>
    <cellStyle name="Normal - Style1" xfId="0"/>
    <cellStyle name="Normal - Style1 2" xfId="0"/>
    <cellStyle name="Normal - Style1 3" xfId="0"/>
    <cellStyle name="Normal - Style1_Parc Mobile" xfId="0"/>
    <cellStyle name="Normal 10" xfId="0"/>
    <cellStyle name="Normal 10 2" xfId="0"/>
    <cellStyle name="Normal 100" xfId="0"/>
    <cellStyle name="Normal 100 2" xfId="0"/>
    <cellStyle name="Normal 100 2 2" xfId="0"/>
    <cellStyle name="Normal 100 2 2 2" xfId="0"/>
    <cellStyle name="Normal 100 2 3" xfId="0"/>
    <cellStyle name="Normal 100 3" xfId="0"/>
    <cellStyle name="Normal 100 3 2" xfId="0"/>
    <cellStyle name="Normal 100 4" xfId="0"/>
    <cellStyle name="Normal 100_RH et QS" xfId="0"/>
    <cellStyle name="Normal 101" xfId="0"/>
    <cellStyle name="Normal 101 2" xfId="0"/>
    <cellStyle name="Normal 101 2 2" xfId="0"/>
    <cellStyle name="Normal 101 2 2 2" xfId="0"/>
    <cellStyle name="Normal 101 2 2 2 2" xfId="0"/>
    <cellStyle name="Normal 101 2 2 3" xfId="0"/>
    <cellStyle name="Normal 101 2 3" xfId="0"/>
    <cellStyle name="Normal 101 2 3 2" xfId="0"/>
    <cellStyle name="Normal 101 2 4" xfId="0"/>
    <cellStyle name="Normal 101 3" xfId="0"/>
    <cellStyle name="Normal 101 3 2" xfId="0"/>
    <cellStyle name="Normal 101 3 2 2" xfId="0"/>
    <cellStyle name="Normal 101 3 3" xfId="0"/>
    <cellStyle name="Normal 101 4" xfId="0"/>
    <cellStyle name="Normal 101 4 2" xfId="0"/>
    <cellStyle name="Normal 101 5" xfId="0"/>
    <cellStyle name="Normal 101_RH et QS" xfId="0"/>
    <cellStyle name="Normal 102" xfId="0"/>
    <cellStyle name="Normal 102 2" xfId="0"/>
    <cellStyle name="Normal 102 2 2" xfId="0"/>
    <cellStyle name="Normal 102 2 2 2" xfId="0"/>
    <cellStyle name="Normal 102 2 3" xfId="0"/>
    <cellStyle name="Normal 102 3" xfId="0"/>
    <cellStyle name="Normal 102 3 2" xfId="0"/>
    <cellStyle name="Normal 102 4" xfId="0"/>
    <cellStyle name="Normal 102_RH et QS" xfId="0"/>
    <cellStyle name="Normal 103" xfId="0"/>
    <cellStyle name="Normal 103 2" xfId="0"/>
    <cellStyle name="Normal 103 2 2" xfId="0"/>
    <cellStyle name="Normal 103 2 2 2" xfId="0"/>
    <cellStyle name="Normal 103 2 3" xfId="0"/>
    <cellStyle name="Normal 103 3" xfId="0"/>
    <cellStyle name="Normal 103 3 2" xfId="0"/>
    <cellStyle name="Normal 103 4" xfId="0"/>
    <cellStyle name="Normal 103_RH et QS" xfId="0"/>
    <cellStyle name="Normal 104" xfId="0"/>
    <cellStyle name="Normal 104 2" xfId="0"/>
    <cellStyle name="Normal 104 2 2" xfId="0"/>
    <cellStyle name="Normal 104 2 2 2" xfId="0"/>
    <cellStyle name="Normal 104 2 3" xfId="0"/>
    <cellStyle name="Normal 104 3" xfId="0"/>
    <cellStyle name="Normal 104 3 2" xfId="0"/>
    <cellStyle name="Normal 104 4" xfId="0"/>
    <cellStyle name="Normal 104_RH et QS" xfId="0"/>
    <cellStyle name="Normal 105" xfId="0"/>
    <cellStyle name="Normal 105 2" xfId="0"/>
    <cellStyle name="Normal 105 2 2" xfId="0"/>
    <cellStyle name="Normal 105 3" xfId="0"/>
    <cellStyle name="Normal 106" xfId="0"/>
    <cellStyle name="Normal 107" xfId="0"/>
    <cellStyle name="Normal 11" xfId="0"/>
    <cellStyle name="Normal 11 2" xfId="0"/>
    <cellStyle name="Normal 11 2 2" xfId="0"/>
    <cellStyle name="Normal 11 2 2 2" xfId="0"/>
    <cellStyle name="Normal 11 2 2 2 2" xfId="0"/>
    <cellStyle name="Normal 11 2 2 3" xfId="0"/>
    <cellStyle name="Normal 11 2 3" xfId="0"/>
    <cellStyle name="Normal 11 2 3 2" xfId="0"/>
    <cellStyle name="Normal 11 2 4" xfId="0"/>
    <cellStyle name="Normal 11 2_RH et QS" xfId="0"/>
    <cellStyle name="Normal 112" xfId="0"/>
    <cellStyle name="Normal 12" xfId="0"/>
    <cellStyle name="Normal 12 10" xfId="0"/>
    <cellStyle name="Normal 12 10 2" xfId="0"/>
    <cellStyle name="Normal 12 11" xfId="0"/>
    <cellStyle name="Normal 12 2" xfId="0"/>
    <cellStyle name="Normal 12 2 10" xfId="0"/>
    <cellStyle name="Normal 12 2 10 2" xfId="0"/>
    <cellStyle name="Normal 12 2 11" xfId="0"/>
    <cellStyle name="Normal 12 2 2" xfId="0"/>
    <cellStyle name="Normal 12 2 3" xfId="0"/>
    <cellStyle name="Normal 12 2 3 2" xfId="0"/>
    <cellStyle name="Normal 12 2 3 2 2" xfId="0"/>
    <cellStyle name="Normal 12 2 3 2 2 2" xfId="0"/>
    <cellStyle name="Normal 12 2 3 2 2 2 2" xfId="0"/>
    <cellStyle name="Normal 12 2 3 2 2 3" xfId="0"/>
    <cellStyle name="Normal 12 2 3 2 3" xfId="0"/>
    <cellStyle name="Normal 12 2 3 2 3 2" xfId="0"/>
    <cellStyle name="Normal 12 2 3 2 4" xfId="0"/>
    <cellStyle name="Normal 12 2 3 2_RH et QS" xfId="0"/>
    <cellStyle name="Normal 12 2 3 3" xfId="0"/>
    <cellStyle name="Normal 12 2 3 3 2" xfId="0"/>
    <cellStyle name="Normal 12 2 3 3 2 2" xfId="0"/>
    <cellStyle name="Normal 12 2 3 3 2 2 2" xfId="0"/>
    <cellStyle name="Normal 12 2 3 3 2 3" xfId="0"/>
    <cellStyle name="Normal 12 2 3 3 3" xfId="0"/>
    <cellStyle name="Normal 12 2 3 3 3 2" xfId="0"/>
    <cellStyle name="Normal 12 2 3 3 4" xfId="0"/>
    <cellStyle name="Normal 12 2 3 3_RH et QS" xfId="0"/>
    <cellStyle name="Normal 12 2 3 4" xfId="0"/>
    <cellStyle name="Normal 12 2 3 4 2" xfId="0"/>
    <cellStyle name="Normal 12 2 3 4 2 2" xfId="0"/>
    <cellStyle name="Normal 12 2 3 4 3" xfId="0"/>
    <cellStyle name="Normal 12 2 3 5" xfId="0"/>
    <cellStyle name="Normal 12 2 3 5 2" xfId="0"/>
    <cellStyle name="Normal 12 2 3 6" xfId="0"/>
    <cellStyle name="Normal 12 2 3_RH et QS" xfId="0"/>
    <cellStyle name="Normal 12 2 4" xfId="0"/>
    <cellStyle name="Normal 12 2 4 2" xfId="0"/>
    <cellStyle name="Normal 12 2 4 2 2" xfId="0"/>
    <cellStyle name="Normal 12 2 4 2 2 2" xfId="0"/>
    <cellStyle name="Normal 12 2 4 2 2 2 2" xfId="0"/>
    <cellStyle name="Normal 12 2 4 2 2 3" xfId="0"/>
    <cellStyle name="Normal 12 2 4 2 3" xfId="0"/>
    <cellStyle name="Normal 12 2 4 2 3 2" xfId="0"/>
    <cellStyle name="Normal 12 2 4 2 4" xfId="0"/>
    <cellStyle name="Normal 12 2 4 2_RH et QS" xfId="0"/>
    <cellStyle name="Normal 12 2 4 3" xfId="0"/>
    <cellStyle name="Normal 12 2 4 3 2" xfId="0"/>
    <cellStyle name="Normal 12 2 4 3 2 2" xfId="0"/>
    <cellStyle name="Normal 12 2 4 3 2 2 2" xfId="0"/>
    <cellStyle name="Normal 12 2 4 3 2 3" xfId="0"/>
    <cellStyle name="Normal 12 2 4 3 3" xfId="0"/>
    <cellStyle name="Normal 12 2 4 3 3 2" xfId="0"/>
    <cellStyle name="Normal 12 2 4 3 4" xfId="0"/>
    <cellStyle name="Normal 12 2 4 3_RH et QS" xfId="0"/>
    <cellStyle name="Normal 12 2 4 4" xfId="0"/>
    <cellStyle name="Normal 12 2 4 4 2" xfId="0"/>
    <cellStyle name="Normal 12 2 4 4 2 2" xfId="0"/>
    <cellStyle name="Normal 12 2 4 4 3" xfId="0"/>
    <cellStyle name="Normal 12 2 4 5" xfId="0"/>
    <cellStyle name="Normal 12 2 4 5 2" xfId="0"/>
    <cellStyle name="Normal 12 2 4 6" xfId="0"/>
    <cellStyle name="Normal 12 2 4_RH et QS" xfId="0"/>
    <cellStyle name="Normal 12 2 5" xfId="0"/>
    <cellStyle name="Normal 12 2 5 2" xfId="0"/>
    <cellStyle name="Normal 12 2 5 2 2" xfId="0"/>
    <cellStyle name="Normal 12 2 5 2 2 2" xfId="0"/>
    <cellStyle name="Normal 12 2 5 2 3" xfId="0"/>
    <cellStyle name="Normal 12 2 5 3" xfId="0"/>
    <cellStyle name="Normal 12 2 5 3 2" xfId="0"/>
    <cellStyle name="Normal 12 2 5 4" xfId="0"/>
    <cellStyle name="Normal 12 2 5_RH et QS" xfId="0"/>
    <cellStyle name="Normal 12 2 6" xfId="0"/>
    <cellStyle name="Normal 12 2 6 2" xfId="0"/>
    <cellStyle name="Normal 12 2 6 2 2" xfId="0"/>
    <cellStyle name="Normal 12 2 6 2 2 2" xfId="0"/>
    <cellStyle name="Normal 12 2 6 2 3" xfId="0"/>
    <cellStyle name="Normal 12 2 6 3" xfId="0"/>
    <cellStyle name="Normal 12 2 6 3 2" xfId="0"/>
    <cellStyle name="Normal 12 2 6 4" xfId="0"/>
    <cellStyle name="Normal 12 2 6_RH et QS" xfId="0"/>
    <cellStyle name="Normal 12 2 7" xfId="0"/>
    <cellStyle name="Normal 12 2 7 2" xfId="0"/>
    <cellStyle name="Normal 12 2 7 2 2" xfId="0"/>
    <cellStyle name="Normal 12 2 7 2 2 2" xfId="0"/>
    <cellStyle name="Normal 12 2 7 2 3" xfId="0"/>
    <cellStyle name="Normal 12 2 7 3" xfId="0"/>
    <cellStyle name="Normal 12 2 7 3 2" xfId="0"/>
    <cellStyle name="Normal 12 2 7 4" xfId="0"/>
    <cellStyle name="Normal 12 2 7_RH et QS" xfId="0"/>
    <cellStyle name="Normal 12 2 8" xfId="0"/>
    <cellStyle name="Normal 12 2 8 2" xfId="0"/>
    <cellStyle name="Normal 12 2 8 2 2" xfId="0"/>
    <cellStyle name="Normal 12 2 8 3" xfId="0"/>
    <cellStyle name="Normal 12 2 9" xfId="0"/>
    <cellStyle name="Normal 12 2 9 2" xfId="0"/>
    <cellStyle name="Normal 12 2 9 2 2" xfId="0"/>
    <cellStyle name="Normal 12 2 9 3" xfId="0"/>
    <cellStyle name="Normal 12 2_RH et QS" xfId="0"/>
    <cellStyle name="Normal 12 3" xfId="0"/>
    <cellStyle name="Normal 12 4" xfId="0"/>
    <cellStyle name="Normal 12 4 2" xfId="0"/>
    <cellStyle name="Normal 12 4 2 2" xfId="0"/>
    <cellStyle name="Normal 12 4 2 2 2" xfId="0"/>
    <cellStyle name="Normal 12 4 2 2 2 2" xfId="0"/>
    <cellStyle name="Normal 12 4 2 2 3" xfId="0"/>
    <cellStyle name="Normal 12 4 2 3" xfId="0"/>
    <cellStyle name="Normal 12 4 2 3 2" xfId="0"/>
    <cellStyle name="Normal 12 4 2 4" xfId="0"/>
    <cellStyle name="Normal 12 4 2_RH et QS" xfId="0"/>
    <cellStyle name="Normal 12 4 3" xfId="0"/>
    <cellStyle name="Normal 12 4 3 2" xfId="0"/>
    <cellStyle name="Normal 12 4 3 2 2" xfId="0"/>
    <cellStyle name="Normal 12 4 3 2 2 2" xfId="0"/>
    <cellStyle name="Normal 12 4 3 2 3" xfId="0"/>
    <cellStyle name="Normal 12 4 3 3" xfId="0"/>
    <cellStyle name="Normal 12 4 3 3 2" xfId="0"/>
    <cellStyle name="Normal 12 4 3 4" xfId="0"/>
    <cellStyle name="Normal 12 4 3_RH et QS" xfId="0"/>
    <cellStyle name="Normal 12 4 4" xfId="0"/>
    <cellStyle name="Normal 12 4 4 2" xfId="0"/>
    <cellStyle name="Normal 12 4 4 2 2" xfId="0"/>
    <cellStyle name="Normal 12 4 4 3" xfId="0"/>
    <cellStyle name="Normal 12 4 5" xfId="0"/>
    <cellStyle name="Normal 12 4 5 2" xfId="0"/>
    <cellStyle name="Normal 12 4 6" xfId="0"/>
    <cellStyle name="Normal 12 4_RH et QS" xfId="0"/>
    <cellStyle name="Normal 12 5" xfId="0"/>
    <cellStyle name="Normal 12 5 2" xfId="0"/>
    <cellStyle name="Normal 12 5 2 2" xfId="0"/>
    <cellStyle name="Normal 12 5 2 2 2" xfId="0"/>
    <cellStyle name="Normal 12 5 2 2 2 2" xfId="0"/>
    <cellStyle name="Normal 12 5 2 2 3" xfId="0"/>
    <cellStyle name="Normal 12 5 2 3" xfId="0"/>
    <cellStyle name="Normal 12 5 2 3 2" xfId="0"/>
    <cellStyle name="Normal 12 5 2 4" xfId="0"/>
    <cellStyle name="Normal 12 5 2_RH et QS" xfId="0"/>
    <cellStyle name="Normal 12 5 3" xfId="0"/>
    <cellStyle name="Normal 12 5 3 2" xfId="0"/>
    <cellStyle name="Normal 12 5 3 2 2" xfId="0"/>
    <cellStyle name="Normal 12 5 3 2 2 2" xfId="0"/>
    <cellStyle name="Normal 12 5 3 2 3" xfId="0"/>
    <cellStyle name="Normal 12 5 3 3" xfId="0"/>
    <cellStyle name="Normal 12 5 3 3 2" xfId="0"/>
    <cellStyle name="Normal 12 5 3 4" xfId="0"/>
    <cellStyle name="Normal 12 5 3_RH et QS" xfId="0"/>
    <cellStyle name="Normal 12 5 4" xfId="0"/>
    <cellStyle name="Normal 12 5 4 2" xfId="0"/>
    <cellStyle name="Normal 12 5 4 2 2" xfId="0"/>
    <cellStyle name="Normal 12 5 4 3" xfId="0"/>
    <cellStyle name="Normal 12 5 5" xfId="0"/>
    <cellStyle name="Normal 12 5 5 2" xfId="0"/>
    <cellStyle name="Normal 12 5 6" xfId="0"/>
    <cellStyle name="Normal 12 5_RH et QS" xfId="0"/>
    <cellStyle name="Normal 12 6" xfId="0"/>
    <cellStyle name="Normal 12 6 2" xfId="0"/>
    <cellStyle name="Normal 12 6 2 2" xfId="0"/>
    <cellStyle name="Normal 12 6 2 2 2" xfId="0"/>
    <cellStyle name="Normal 12 6 2 3" xfId="0"/>
    <cellStyle name="Normal 12 6 3" xfId="0"/>
    <cellStyle name="Normal 12 6 3 2" xfId="0"/>
    <cellStyle name="Normal 12 6 4" xfId="0"/>
    <cellStyle name="Normal 12 6_RH et QS" xfId="0"/>
    <cellStyle name="Normal 12 7" xfId="0"/>
    <cellStyle name="Normal 12 7 2" xfId="0"/>
    <cellStyle name="Normal 12 7 2 2" xfId="0"/>
    <cellStyle name="Normal 12 7 2 2 2" xfId="0"/>
    <cellStyle name="Normal 12 7 2 3" xfId="0"/>
    <cellStyle name="Normal 12 7 3" xfId="0"/>
    <cellStyle name="Normal 12 7 3 2" xfId="0"/>
    <cellStyle name="Normal 12 7 4" xfId="0"/>
    <cellStyle name="Normal 12 7_RH et QS" xfId="0"/>
    <cellStyle name="Normal 12 8" xfId="0"/>
    <cellStyle name="Normal 12 8 2" xfId="0"/>
    <cellStyle name="Normal 12 8 2 2" xfId="0"/>
    <cellStyle name="Normal 12 8 3" xfId="0"/>
    <cellStyle name="Normal 12 9" xfId="0"/>
    <cellStyle name="Normal 12 9 2" xfId="0"/>
    <cellStyle name="Normal 12 9 2 2" xfId="0"/>
    <cellStyle name="Normal 12 9 3" xfId="0"/>
    <cellStyle name="Normal 12_Parc Mobile" xfId="0"/>
    <cellStyle name="Normal 13" xfId="0"/>
    <cellStyle name="Normal 13 2" xfId="0"/>
    <cellStyle name="Normal 13 2 2" xfId="0"/>
    <cellStyle name="Normal 13 2 2 2" xfId="0"/>
    <cellStyle name="Normal 13 2 2 2 2" xfId="0"/>
    <cellStyle name="Normal 13 2 2 2 2 2" xfId="0"/>
    <cellStyle name="Normal 13 2 2 2 3" xfId="0"/>
    <cellStyle name="Normal 13 2 2 3" xfId="0"/>
    <cellStyle name="Normal 13 2 2 3 2" xfId="0"/>
    <cellStyle name="Normal 13 2 2 4" xfId="0"/>
    <cellStyle name="Normal 13 2 2_RH et QS" xfId="0"/>
    <cellStyle name="Normal 13 3" xfId="0"/>
    <cellStyle name="Normal 13 3 2" xfId="0"/>
    <cellStyle name="Normal 13 3 2 2" xfId="0"/>
    <cellStyle name="Normal 13 3 2 2 2" xfId="0"/>
    <cellStyle name="Normal 13 3 2 3" xfId="0"/>
    <cellStyle name="Normal 13 3 3" xfId="0"/>
    <cellStyle name="Normal 13 3 3 2" xfId="0"/>
    <cellStyle name="Normal 13 3 4" xfId="0"/>
    <cellStyle name="Normal 13 3_RH et QS" xfId="0"/>
    <cellStyle name="Normal 13_RH et QS" xfId="0"/>
    <cellStyle name="Normal 14" xfId="0"/>
    <cellStyle name="Normal 14 2" xfId="0"/>
    <cellStyle name="Normal 14 2 2" xfId="0"/>
    <cellStyle name="Normal 14 2 2 2" xfId="0"/>
    <cellStyle name="Normal 14 2 2 2 2" xfId="0"/>
    <cellStyle name="Normal 14 2 2 2 2 2" xfId="0"/>
    <cellStyle name="Normal 14 2 2 2 3" xfId="0"/>
    <cellStyle name="Normal 14 2 2 3" xfId="0"/>
    <cellStyle name="Normal 14 2 2 3 2" xfId="0"/>
    <cellStyle name="Normal 14 2 2 4" xfId="0"/>
    <cellStyle name="Normal 14 2 2_RH et QS" xfId="0"/>
    <cellStyle name="Normal 14 3" xfId="0"/>
    <cellStyle name="Normal 14 3 2" xfId="0"/>
    <cellStyle name="Normal 14 3 2 2" xfId="0"/>
    <cellStyle name="Normal 14 3 2 2 2" xfId="0"/>
    <cellStyle name="Normal 14 3 2 3" xfId="0"/>
    <cellStyle name="Normal 14 3 3" xfId="0"/>
    <cellStyle name="Normal 14 3 3 2" xfId="0"/>
    <cellStyle name="Normal 14 3 4" xfId="0"/>
    <cellStyle name="Normal 14 3_RH et QS" xfId="0"/>
    <cellStyle name="Normal 14_RH et QS" xfId="0"/>
    <cellStyle name="Normal 15" xfId="0"/>
    <cellStyle name="Normal 15 2" xfId="0"/>
    <cellStyle name="Normal 15 2 2" xfId="0"/>
    <cellStyle name="Normal 15 2 2 2" xfId="0"/>
    <cellStyle name="Normal 15 2 2 2 2" xfId="0"/>
    <cellStyle name="Normal 15 2 2 2 2 2" xfId="0"/>
    <cellStyle name="Normal 15 2 2 2 3" xfId="0"/>
    <cellStyle name="Normal 15 2 2 3" xfId="0"/>
    <cellStyle name="Normal 15 2 2 3 2" xfId="0"/>
    <cellStyle name="Normal 15 2 2 4" xfId="0"/>
    <cellStyle name="Normal 15 2 2_RH et QS" xfId="0"/>
    <cellStyle name="Normal 15 3" xfId="0"/>
    <cellStyle name="Normal 15_RH et QS" xfId="0"/>
    <cellStyle name="Normal 16" xfId="0"/>
    <cellStyle name="Normal 16 2" xfId="0"/>
    <cellStyle name="Normal 16 2 2" xfId="0"/>
    <cellStyle name="Normal 16 2 2 2" xfId="0"/>
    <cellStyle name="Normal 16 2 2 2 2" xfId="0"/>
    <cellStyle name="Normal 16 2 2 2 2 2" xfId="0"/>
    <cellStyle name="Normal 16 2 2 2 3" xfId="0"/>
    <cellStyle name="Normal 16 2 2 3" xfId="0"/>
    <cellStyle name="Normal 16 2 2 3 2" xfId="0"/>
    <cellStyle name="Normal 16 2 2 4" xfId="0"/>
    <cellStyle name="Normal 16 2 2_RH et QS" xfId="0"/>
    <cellStyle name="Normal 16 2_RH et QS" xfId="0"/>
    <cellStyle name="Normal 16 3" xfId="0"/>
    <cellStyle name="Normal 16 4" xfId="0"/>
    <cellStyle name="Normal 16_RH et QS" xfId="0"/>
    <cellStyle name="Normal 17" xfId="0"/>
    <cellStyle name="Normal 17 2" xfId="0"/>
    <cellStyle name="Normal 17 2 2" xfId="0"/>
    <cellStyle name="Normal 17 2 2 2" xfId="0"/>
    <cellStyle name="Normal 17 2 2 2 2" xfId="0"/>
    <cellStyle name="Normal 17 2 2 2 2 2" xfId="0"/>
    <cellStyle name="Normal 17 2 2 2 3" xfId="0"/>
    <cellStyle name="Normal 17 2 2 3" xfId="0"/>
    <cellStyle name="Normal 17 2 2 3 2" xfId="0"/>
    <cellStyle name="Normal 17 2 2 4" xfId="0"/>
    <cellStyle name="Normal 17 2 2_RH et QS" xfId="0"/>
    <cellStyle name="Normal 17_RH et QS" xfId="0"/>
    <cellStyle name="Normal 18" xfId="0"/>
    <cellStyle name="Normal 18 2" xfId="0"/>
    <cellStyle name="Normal 18 2 2" xfId="0"/>
    <cellStyle name="Normal 18 2 2 2" xfId="0"/>
    <cellStyle name="Normal 18 2 2 2 2" xfId="0"/>
    <cellStyle name="Normal 18 2 2 2 2 2" xfId="0"/>
    <cellStyle name="Normal 18 2 2 2 3" xfId="0"/>
    <cellStyle name="Normal 18 2 2 3" xfId="0"/>
    <cellStyle name="Normal 18 2 2 3 2" xfId="0"/>
    <cellStyle name="Normal 18 2 2 4" xfId="0"/>
    <cellStyle name="Normal 18 2 2_RH et QS" xfId="0"/>
    <cellStyle name="Normal 18_RH et QS" xfId="0"/>
    <cellStyle name="Normal 19" xfId="0"/>
    <cellStyle name="Normal 19 2" xfId="0"/>
    <cellStyle name="Normal 19 2 2" xfId="0"/>
    <cellStyle name="Normal 19 2 2 2" xfId="0"/>
    <cellStyle name="Normal 19 2 2 2 2" xfId="0"/>
    <cellStyle name="Normal 19 2 2 2 2 2" xfId="0"/>
    <cellStyle name="Normal 19 2 2 2 3" xfId="0"/>
    <cellStyle name="Normal 19 2 2 3" xfId="0"/>
    <cellStyle name="Normal 19 2 2 3 2" xfId="0"/>
    <cellStyle name="Normal 19 2 2 4" xfId="0"/>
    <cellStyle name="Normal 19 2 2_RH et QS" xfId="0"/>
    <cellStyle name="Normal 19_RH et QS" xfId="0"/>
    <cellStyle name="Normal 2" xfId="0"/>
    <cellStyle name="Normal 2 10" xfId="0"/>
    <cellStyle name="Normal 2 11" xfId="0"/>
    <cellStyle name="Normal 2 12" xfId="0"/>
    <cellStyle name="Normal 2 2" xfId="0"/>
    <cellStyle name="Normal 2 2 10" xfId="0"/>
    <cellStyle name="Normal 2 2 2" xfId="0"/>
    <cellStyle name="Normal 2 2 3" xfId="0"/>
    <cellStyle name="Normal 2 2 3 2" xfId="0"/>
    <cellStyle name="Normal 2 2 3_RH et QS" xfId="0"/>
    <cellStyle name="Normal 2 2 4" xfId="0"/>
    <cellStyle name="Normal 2 2 5" xfId="0"/>
    <cellStyle name="Normal 2 2 6" xfId="0"/>
    <cellStyle name="Normal 2 2 7" xfId="0"/>
    <cellStyle name="Normal 2 2 8" xfId="0"/>
    <cellStyle name="Normal 2 2 9" xfId="0"/>
    <cellStyle name="Normal 2 2_CA- Fixe- Seg" xfId="0"/>
    <cellStyle name="Normal 2 3" xfId="0"/>
    <cellStyle name="Normal 2 3 2" xfId="0"/>
    <cellStyle name="Normal 2 3 3" xfId="0"/>
    <cellStyle name="Normal 2 3 4" xfId="0"/>
    <cellStyle name="Normal 2 3 5" xfId="0"/>
    <cellStyle name="Normal 2 3 6" xfId="0"/>
    <cellStyle name="Normal 2 3 7" xfId="0"/>
    <cellStyle name="Normal 2 3 8" xfId="0"/>
    <cellStyle name="Normal 2 3 9" xfId="0"/>
    <cellStyle name="Normal 2 4" xfId="0"/>
    <cellStyle name="Normal 2 5" xfId="0"/>
    <cellStyle name="Normal 2 6" xfId="0"/>
    <cellStyle name="Normal 2 7" xfId="0"/>
    <cellStyle name="Normal 2 8" xfId="0"/>
    <cellStyle name="Normal 2 9" xfId="0"/>
    <cellStyle name="Normal 20" xfId="0"/>
    <cellStyle name="Normal 20 10" xfId="0"/>
    <cellStyle name="Normal 20 2" xfId="0"/>
    <cellStyle name="Normal 20 2 2" xfId="0"/>
    <cellStyle name="Normal 20 2 2 2" xfId="0"/>
    <cellStyle name="Normal 20 2 2 2 2" xfId="0"/>
    <cellStyle name="Normal 20 2 2 2 2 2" xfId="0"/>
    <cellStyle name="Normal 20 2 2 2 2 2 2" xfId="0"/>
    <cellStyle name="Normal 20 2 2 2 2 3" xfId="0"/>
    <cellStyle name="Normal 20 2 2 2 3" xfId="0"/>
    <cellStyle name="Normal 20 2 2 2 3 2" xfId="0"/>
    <cellStyle name="Normal 20 2 2 2 4" xfId="0"/>
    <cellStyle name="Normal 20 2 2 2_RH et QS" xfId="0"/>
    <cellStyle name="Normal 20 2 2 3" xfId="0"/>
    <cellStyle name="Normal 20 2 2 3 2" xfId="0"/>
    <cellStyle name="Normal 20 2 2 3 2 2" xfId="0"/>
    <cellStyle name="Normal 20 2 2 3 2 2 2" xfId="0"/>
    <cellStyle name="Normal 20 2 2 3 2 3" xfId="0"/>
    <cellStyle name="Normal 20 2 2 3 3" xfId="0"/>
    <cellStyle name="Normal 20 2 2 3 3 2" xfId="0"/>
    <cellStyle name="Normal 20 2 2 3 4" xfId="0"/>
    <cellStyle name="Normal 20 2 2 3_RH et QS" xfId="0"/>
    <cellStyle name="Normal 20 2 2 4" xfId="0"/>
    <cellStyle name="Normal 20 2 2 4 2" xfId="0"/>
    <cellStyle name="Normal 20 2 2 4 2 2" xfId="0"/>
    <cellStyle name="Normal 20 2 2 4 3" xfId="0"/>
    <cellStyle name="Normal 20 2 2 5" xfId="0"/>
    <cellStyle name="Normal 20 2 2 5 2" xfId="0"/>
    <cellStyle name="Normal 20 2 2 6" xfId="0"/>
    <cellStyle name="Normal 20 2 2_RH et QS" xfId="0"/>
    <cellStyle name="Normal 20 2 3" xfId="0"/>
    <cellStyle name="Normal 20 2 3 2" xfId="0"/>
    <cellStyle name="Normal 20 2 3 2 2" xfId="0"/>
    <cellStyle name="Normal 20 2 3 2 2 2" xfId="0"/>
    <cellStyle name="Normal 20 2 3 2 2 2 2" xfId="0"/>
    <cellStyle name="Normal 20 2 3 2 2 3" xfId="0"/>
    <cellStyle name="Normal 20 2 3 2 3" xfId="0"/>
    <cellStyle name="Normal 20 2 3 2 3 2" xfId="0"/>
    <cellStyle name="Normal 20 2 3 2 4" xfId="0"/>
    <cellStyle name="Normal 20 2 3 2_RH et QS" xfId="0"/>
    <cellStyle name="Normal 20 2 3 3" xfId="0"/>
    <cellStyle name="Normal 20 2 3 3 2" xfId="0"/>
    <cellStyle name="Normal 20 2 3 3 2 2" xfId="0"/>
    <cellStyle name="Normal 20 2 3 3 2 2 2" xfId="0"/>
    <cellStyle name="Normal 20 2 3 3 2 3" xfId="0"/>
    <cellStyle name="Normal 20 2 3 3 3" xfId="0"/>
    <cellStyle name="Normal 20 2 3 3 3 2" xfId="0"/>
    <cellStyle name="Normal 20 2 3 3 4" xfId="0"/>
    <cellStyle name="Normal 20 2 3 3_RH et QS" xfId="0"/>
    <cellStyle name="Normal 20 2 3 4" xfId="0"/>
    <cellStyle name="Normal 20 2 3 4 2" xfId="0"/>
    <cellStyle name="Normal 20 2 3 4 2 2" xfId="0"/>
    <cellStyle name="Normal 20 2 3 4 3" xfId="0"/>
    <cellStyle name="Normal 20 2 3 5" xfId="0"/>
    <cellStyle name="Normal 20 2 3 5 2" xfId="0"/>
    <cellStyle name="Normal 20 2 3 6" xfId="0"/>
    <cellStyle name="Normal 20 2 3_RH et QS" xfId="0"/>
    <cellStyle name="Normal 20 2 4" xfId="0"/>
    <cellStyle name="Normal 20 2 4 2" xfId="0"/>
    <cellStyle name="Normal 20 2 4 2 2" xfId="0"/>
    <cellStyle name="Normal 20 2 4 2 2 2" xfId="0"/>
    <cellStyle name="Normal 20 2 4 2 3" xfId="0"/>
    <cellStyle name="Normal 20 2 4 3" xfId="0"/>
    <cellStyle name="Normal 20 2 4 3 2" xfId="0"/>
    <cellStyle name="Normal 20 2 4 4" xfId="0"/>
    <cellStyle name="Normal 20 2 4_RH et QS" xfId="0"/>
    <cellStyle name="Normal 20 2 5" xfId="0"/>
    <cellStyle name="Normal 20 2 5 2" xfId="0"/>
    <cellStyle name="Normal 20 2 5 2 2" xfId="0"/>
    <cellStyle name="Normal 20 2 5 2 2 2" xfId="0"/>
    <cellStyle name="Normal 20 2 5 2 3" xfId="0"/>
    <cellStyle name="Normal 20 2 5 3" xfId="0"/>
    <cellStyle name="Normal 20 2 5 3 2" xfId="0"/>
    <cellStyle name="Normal 20 2 5 4" xfId="0"/>
    <cellStyle name="Normal 20 2 5_RH et QS" xfId="0"/>
    <cellStyle name="Normal 20 2 6" xfId="0"/>
    <cellStyle name="Normal 20 2 6 2" xfId="0"/>
    <cellStyle name="Normal 20 2 6 2 2" xfId="0"/>
    <cellStyle name="Normal 20 2 6 2 2 2" xfId="0"/>
    <cellStyle name="Normal 20 2 6 2 3" xfId="0"/>
    <cellStyle name="Normal 20 2 6 3" xfId="0"/>
    <cellStyle name="Normal 20 2 6 3 2" xfId="0"/>
    <cellStyle name="Normal 20 2 6 4" xfId="0"/>
    <cellStyle name="Normal 20 2 6_RH et QS" xfId="0"/>
    <cellStyle name="Normal 20 2 7" xfId="0"/>
    <cellStyle name="Normal 20 2 7 2" xfId="0"/>
    <cellStyle name="Normal 20 2 7 2 2" xfId="0"/>
    <cellStyle name="Normal 20 2 7 3" xfId="0"/>
    <cellStyle name="Normal 20 2 8" xfId="0"/>
    <cellStyle name="Normal 20 2 8 2" xfId="0"/>
    <cellStyle name="Normal 20 2 9" xfId="0"/>
    <cellStyle name="Normal 20 2_RH et QS" xfId="0"/>
    <cellStyle name="Normal 20 3" xfId="0"/>
    <cellStyle name="Normal 20 4" xfId="0"/>
    <cellStyle name="Normal 20 4 2" xfId="0"/>
    <cellStyle name="Normal 20 4 2 2" xfId="0"/>
    <cellStyle name="Normal 20 4 2 2 2" xfId="0"/>
    <cellStyle name="Normal 20 4 2 2 2 2" xfId="0"/>
    <cellStyle name="Normal 20 4 2 2 3" xfId="0"/>
    <cellStyle name="Normal 20 4 2 3" xfId="0"/>
    <cellStyle name="Normal 20 4 2 3 2" xfId="0"/>
    <cellStyle name="Normal 20 4 2 4" xfId="0"/>
    <cellStyle name="Normal 20 4 2_RH et QS" xfId="0"/>
    <cellStyle name="Normal 20 4 3" xfId="0"/>
    <cellStyle name="Normal 20 4 3 2" xfId="0"/>
    <cellStyle name="Normal 20 4 3 2 2" xfId="0"/>
    <cellStyle name="Normal 20 4 3 2 2 2" xfId="0"/>
    <cellStyle name="Normal 20 4 3 2 3" xfId="0"/>
    <cellStyle name="Normal 20 4 3 3" xfId="0"/>
    <cellStyle name="Normal 20 4 3 3 2" xfId="0"/>
    <cellStyle name="Normal 20 4 3 4" xfId="0"/>
    <cellStyle name="Normal 20 4 3_RH et QS" xfId="0"/>
    <cellStyle name="Normal 20 4 4" xfId="0"/>
    <cellStyle name="Normal 20 4 4 2" xfId="0"/>
    <cellStyle name="Normal 20 4 4 2 2" xfId="0"/>
    <cellStyle name="Normal 20 4 4 3" xfId="0"/>
    <cellStyle name="Normal 20 4 5" xfId="0"/>
    <cellStyle name="Normal 20 4 5 2" xfId="0"/>
    <cellStyle name="Normal 20 4 6" xfId="0"/>
    <cellStyle name="Normal 20 4_RH et QS" xfId="0"/>
    <cellStyle name="Normal 20 5" xfId="0"/>
    <cellStyle name="Normal 20 5 2" xfId="0"/>
    <cellStyle name="Normal 20 5 2 2" xfId="0"/>
    <cellStyle name="Normal 20 5 2 2 2" xfId="0"/>
    <cellStyle name="Normal 20 5 2 2 2 2" xfId="0"/>
    <cellStyle name="Normal 20 5 2 2 3" xfId="0"/>
    <cellStyle name="Normal 20 5 2 3" xfId="0"/>
    <cellStyle name="Normal 20 5 2 3 2" xfId="0"/>
    <cellStyle name="Normal 20 5 2 4" xfId="0"/>
    <cellStyle name="Normal 20 5 2_RH et QS" xfId="0"/>
    <cellStyle name="Normal 20 5 3" xfId="0"/>
    <cellStyle name="Normal 20 5 3 2" xfId="0"/>
    <cellStyle name="Normal 20 5 3 2 2" xfId="0"/>
    <cellStyle name="Normal 20 5 3 2 2 2" xfId="0"/>
    <cellStyle name="Normal 20 5 3 2 3" xfId="0"/>
    <cellStyle name="Normal 20 5 3 3" xfId="0"/>
    <cellStyle name="Normal 20 5 3 3 2" xfId="0"/>
    <cellStyle name="Normal 20 5 3 4" xfId="0"/>
    <cellStyle name="Normal 20 5 3_RH et QS" xfId="0"/>
    <cellStyle name="Normal 20 5 4" xfId="0"/>
    <cellStyle name="Normal 20 5 4 2" xfId="0"/>
    <cellStyle name="Normal 20 5 4 2 2" xfId="0"/>
    <cellStyle name="Normal 20 5 4 3" xfId="0"/>
    <cellStyle name="Normal 20 5 5" xfId="0"/>
    <cellStyle name="Normal 20 5 5 2" xfId="0"/>
    <cellStyle name="Normal 20 5 6" xfId="0"/>
    <cellStyle name="Normal 20 5_RH et QS" xfId="0"/>
    <cellStyle name="Normal 20 6" xfId="0"/>
    <cellStyle name="Normal 20 6 2" xfId="0"/>
    <cellStyle name="Normal 20 6 2 2" xfId="0"/>
    <cellStyle name="Normal 20 6 2 2 2" xfId="0"/>
    <cellStyle name="Normal 20 6 2 3" xfId="0"/>
    <cellStyle name="Normal 20 6 3" xfId="0"/>
    <cellStyle name="Normal 20 6 3 2" xfId="0"/>
    <cellStyle name="Normal 20 6 4" xfId="0"/>
    <cellStyle name="Normal 20 6_RH et QS" xfId="0"/>
    <cellStyle name="Normal 20 7" xfId="0"/>
    <cellStyle name="Normal 20 7 2" xfId="0"/>
    <cellStyle name="Normal 20 7 2 2" xfId="0"/>
    <cellStyle name="Normal 20 7 2 2 2" xfId="0"/>
    <cellStyle name="Normal 20 7 2 3" xfId="0"/>
    <cellStyle name="Normal 20 7 3" xfId="0"/>
    <cellStyle name="Normal 20 7 3 2" xfId="0"/>
    <cellStyle name="Normal 20 7 4" xfId="0"/>
    <cellStyle name="Normal 20 7_RH et QS" xfId="0"/>
    <cellStyle name="Normal 20 8" xfId="0"/>
    <cellStyle name="Normal 20 8 2" xfId="0"/>
    <cellStyle name="Normal 20 8 2 2" xfId="0"/>
    <cellStyle name="Normal 20 8 3" xfId="0"/>
    <cellStyle name="Normal 20 9" xfId="0"/>
    <cellStyle name="Normal 20 9 2" xfId="0"/>
    <cellStyle name="Normal 20_RH et QS" xfId="0"/>
    <cellStyle name="Normal 21" xfId="0"/>
    <cellStyle name="Normal 21 10" xfId="0"/>
    <cellStyle name="Normal 21 2" xfId="0"/>
    <cellStyle name="Normal 21 2 2" xfId="0"/>
    <cellStyle name="Normal 21 2 2 2" xfId="0"/>
    <cellStyle name="Normal 21 2 2 2 2" xfId="0"/>
    <cellStyle name="Normal 21 2 2 2 2 2" xfId="0"/>
    <cellStyle name="Normal 21 2 2 2 2 2 2" xfId="0"/>
    <cellStyle name="Normal 21 2 2 2 2 3" xfId="0"/>
    <cellStyle name="Normal 21 2 2 2 3" xfId="0"/>
    <cellStyle name="Normal 21 2 2 2 3 2" xfId="0"/>
    <cellStyle name="Normal 21 2 2 2 4" xfId="0"/>
    <cellStyle name="Normal 21 2 2 2_RH et QS" xfId="0"/>
    <cellStyle name="Normal 21 2 2 3" xfId="0"/>
    <cellStyle name="Normal 21 2 2 3 2" xfId="0"/>
    <cellStyle name="Normal 21 2 2 3 2 2" xfId="0"/>
    <cellStyle name="Normal 21 2 2 3 2 2 2" xfId="0"/>
    <cellStyle name="Normal 21 2 2 3 2 3" xfId="0"/>
    <cellStyle name="Normal 21 2 2 3 3" xfId="0"/>
    <cellStyle name="Normal 21 2 2 3 3 2" xfId="0"/>
    <cellStyle name="Normal 21 2 2 3 4" xfId="0"/>
    <cellStyle name="Normal 21 2 2 3_RH et QS" xfId="0"/>
    <cellStyle name="Normal 21 2 2 4" xfId="0"/>
    <cellStyle name="Normal 21 2 2 4 2" xfId="0"/>
    <cellStyle name="Normal 21 2 2 4 2 2" xfId="0"/>
    <cellStyle name="Normal 21 2 2 4 3" xfId="0"/>
    <cellStyle name="Normal 21 2 2 5" xfId="0"/>
    <cellStyle name="Normal 21 2 2 5 2" xfId="0"/>
    <cellStyle name="Normal 21 2 2 6" xfId="0"/>
    <cellStyle name="Normal 21 2 2_RH et QS" xfId="0"/>
    <cellStyle name="Normal 21 2 3" xfId="0"/>
    <cellStyle name="Normal 21 2 3 2" xfId="0"/>
    <cellStyle name="Normal 21 2 3 2 2" xfId="0"/>
    <cellStyle name="Normal 21 2 3 2 2 2" xfId="0"/>
    <cellStyle name="Normal 21 2 3 2 2 2 2" xfId="0"/>
    <cellStyle name="Normal 21 2 3 2 2 3" xfId="0"/>
    <cellStyle name="Normal 21 2 3 2 3" xfId="0"/>
    <cellStyle name="Normal 21 2 3 2 3 2" xfId="0"/>
    <cellStyle name="Normal 21 2 3 2 4" xfId="0"/>
    <cellStyle name="Normal 21 2 3 2_RH et QS" xfId="0"/>
    <cellStyle name="Normal 21 2 3 3" xfId="0"/>
    <cellStyle name="Normal 21 2 3 3 2" xfId="0"/>
    <cellStyle name="Normal 21 2 3 3 2 2" xfId="0"/>
    <cellStyle name="Normal 21 2 3 3 2 2 2" xfId="0"/>
    <cellStyle name="Normal 21 2 3 3 2 3" xfId="0"/>
    <cellStyle name="Normal 21 2 3 3 3" xfId="0"/>
    <cellStyle name="Normal 21 2 3 3 3 2" xfId="0"/>
    <cellStyle name="Normal 21 2 3 3 4" xfId="0"/>
    <cellStyle name="Normal 21 2 3 3_RH et QS" xfId="0"/>
    <cellStyle name="Normal 21 2 3 4" xfId="0"/>
    <cellStyle name="Normal 21 2 3 4 2" xfId="0"/>
    <cellStyle name="Normal 21 2 3 4 2 2" xfId="0"/>
    <cellStyle name="Normal 21 2 3 4 3" xfId="0"/>
    <cellStyle name="Normal 21 2 3 5" xfId="0"/>
    <cellStyle name="Normal 21 2 3 5 2" xfId="0"/>
    <cellStyle name="Normal 21 2 3 6" xfId="0"/>
    <cellStyle name="Normal 21 2 3_RH et QS" xfId="0"/>
    <cellStyle name="Normal 21 2 4" xfId="0"/>
    <cellStyle name="Normal 21 2 4 2" xfId="0"/>
    <cellStyle name="Normal 21 2 4 2 2" xfId="0"/>
    <cellStyle name="Normal 21 2 4 2 2 2" xfId="0"/>
    <cellStyle name="Normal 21 2 4 2 3" xfId="0"/>
    <cellStyle name="Normal 21 2 4 3" xfId="0"/>
    <cellStyle name="Normal 21 2 4 3 2" xfId="0"/>
    <cellStyle name="Normal 21 2 4 4" xfId="0"/>
    <cellStyle name="Normal 21 2 4_RH et QS" xfId="0"/>
    <cellStyle name="Normal 21 2 5" xfId="0"/>
    <cellStyle name="Normal 21 2 5 2" xfId="0"/>
    <cellStyle name="Normal 21 2 5 2 2" xfId="0"/>
    <cellStyle name="Normal 21 2 5 2 2 2" xfId="0"/>
    <cellStyle name="Normal 21 2 5 2 3" xfId="0"/>
    <cellStyle name="Normal 21 2 5 3" xfId="0"/>
    <cellStyle name="Normal 21 2 5 3 2" xfId="0"/>
    <cellStyle name="Normal 21 2 5 4" xfId="0"/>
    <cellStyle name="Normal 21 2 5_RH et QS" xfId="0"/>
    <cellStyle name="Normal 21 2 6" xfId="0"/>
    <cellStyle name="Normal 21 2 6 2" xfId="0"/>
    <cellStyle name="Normal 21 2 6 2 2" xfId="0"/>
    <cellStyle name="Normal 21 2 6 2 2 2" xfId="0"/>
    <cellStyle name="Normal 21 2 6 2 3" xfId="0"/>
    <cellStyle name="Normal 21 2 6 3" xfId="0"/>
    <cellStyle name="Normal 21 2 6 3 2" xfId="0"/>
    <cellStyle name="Normal 21 2 6 4" xfId="0"/>
    <cellStyle name="Normal 21 2 6_RH et QS" xfId="0"/>
    <cellStyle name="Normal 21 2 7" xfId="0"/>
    <cellStyle name="Normal 21 2 7 2" xfId="0"/>
    <cellStyle name="Normal 21 2 7 2 2" xfId="0"/>
    <cellStyle name="Normal 21 2 7 3" xfId="0"/>
    <cellStyle name="Normal 21 2 8" xfId="0"/>
    <cellStyle name="Normal 21 2 8 2" xfId="0"/>
    <cellStyle name="Normal 21 2 9" xfId="0"/>
    <cellStyle name="Normal 21 2_RH et QS" xfId="0"/>
    <cellStyle name="Normal 21 3" xfId="0"/>
    <cellStyle name="Normal 21 4" xfId="0"/>
    <cellStyle name="Normal 21 4 2" xfId="0"/>
    <cellStyle name="Normal 21 4 2 2" xfId="0"/>
    <cellStyle name="Normal 21 4 2 2 2" xfId="0"/>
    <cellStyle name="Normal 21 4 2 2 2 2" xfId="0"/>
    <cellStyle name="Normal 21 4 2 2 3" xfId="0"/>
    <cellStyle name="Normal 21 4 2 3" xfId="0"/>
    <cellStyle name="Normal 21 4 2 3 2" xfId="0"/>
    <cellStyle name="Normal 21 4 2 4" xfId="0"/>
    <cellStyle name="Normal 21 4 2_RH et QS" xfId="0"/>
    <cellStyle name="Normal 21 4 3" xfId="0"/>
    <cellStyle name="Normal 21 4 3 2" xfId="0"/>
    <cellStyle name="Normal 21 4 3 2 2" xfId="0"/>
    <cellStyle name="Normal 21 4 3 2 2 2" xfId="0"/>
    <cellStyle name="Normal 21 4 3 2 3" xfId="0"/>
    <cellStyle name="Normal 21 4 3 3" xfId="0"/>
    <cellStyle name="Normal 21 4 3 3 2" xfId="0"/>
    <cellStyle name="Normal 21 4 3 4" xfId="0"/>
    <cellStyle name="Normal 21 4 3_RH et QS" xfId="0"/>
    <cellStyle name="Normal 21 4 4" xfId="0"/>
    <cellStyle name="Normal 21 4 4 2" xfId="0"/>
    <cellStyle name="Normal 21 4 4 2 2" xfId="0"/>
    <cellStyle name="Normal 21 4 4 3" xfId="0"/>
    <cellStyle name="Normal 21 4 5" xfId="0"/>
    <cellStyle name="Normal 21 4 5 2" xfId="0"/>
    <cellStyle name="Normal 21 4 6" xfId="0"/>
    <cellStyle name="Normal 21 4_RH et QS" xfId="0"/>
    <cellStyle name="Normal 21 5" xfId="0"/>
    <cellStyle name="Normal 21 5 2" xfId="0"/>
    <cellStyle name="Normal 21 5 2 2" xfId="0"/>
    <cellStyle name="Normal 21 5 2 2 2" xfId="0"/>
    <cellStyle name="Normal 21 5 2 2 2 2" xfId="0"/>
    <cellStyle name="Normal 21 5 2 2 3" xfId="0"/>
    <cellStyle name="Normal 21 5 2 3" xfId="0"/>
    <cellStyle name="Normal 21 5 2 3 2" xfId="0"/>
    <cellStyle name="Normal 21 5 2 4" xfId="0"/>
    <cellStyle name="Normal 21 5 2_RH et QS" xfId="0"/>
    <cellStyle name="Normal 21 5 3" xfId="0"/>
    <cellStyle name="Normal 21 5 3 2" xfId="0"/>
    <cellStyle name="Normal 21 5 3 2 2" xfId="0"/>
    <cellStyle name="Normal 21 5 3 2 2 2" xfId="0"/>
    <cellStyle name="Normal 21 5 3 2 3" xfId="0"/>
    <cellStyle name="Normal 21 5 3 3" xfId="0"/>
    <cellStyle name="Normal 21 5 3 3 2" xfId="0"/>
    <cellStyle name="Normal 21 5 3 4" xfId="0"/>
    <cellStyle name="Normal 21 5 3_RH et QS" xfId="0"/>
    <cellStyle name="Normal 21 5 4" xfId="0"/>
    <cellStyle name="Normal 21 5 4 2" xfId="0"/>
    <cellStyle name="Normal 21 5 4 2 2" xfId="0"/>
    <cellStyle name="Normal 21 5 4 3" xfId="0"/>
    <cellStyle name="Normal 21 5 5" xfId="0"/>
    <cellStyle name="Normal 21 5 5 2" xfId="0"/>
    <cellStyle name="Normal 21 5 6" xfId="0"/>
    <cellStyle name="Normal 21 5_RH et QS" xfId="0"/>
    <cellStyle name="Normal 21 6" xfId="0"/>
    <cellStyle name="Normal 21 6 2" xfId="0"/>
    <cellStyle name="Normal 21 6 2 2" xfId="0"/>
    <cellStyle name="Normal 21 6 2 2 2" xfId="0"/>
    <cellStyle name="Normal 21 6 2 3" xfId="0"/>
    <cellStyle name="Normal 21 6 3" xfId="0"/>
    <cellStyle name="Normal 21 6 3 2" xfId="0"/>
    <cellStyle name="Normal 21 6 4" xfId="0"/>
    <cellStyle name="Normal 21 6_RH et QS" xfId="0"/>
    <cellStyle name="Normal 21 7" xfId="0"/>
    <cellStyle name="Normal 21 7 2" xfId="0"/>
    <cellStyle name="Normal 21 7 2 2" xfId="0"/>
    <cellStyle name="Normal 21 7 2 2 2" xfId="0"/>
    <cellStyle name="Normal 21 7 2 3" xfId="0"/>
    <cellStyle name="Normal 21 7 3" xfId="0"/>
    <cellStyle name="Normal 21 7 3 2" xfId="0"/>
    <cellStyle name="Normal 21 7 4" xfId="0"/>
    <cellStyle name="Normal 21 7_RH et QS" xfId="0"/>
    <cellStyle name="Normal 21 8" xfId="0"/>
    <cellStyle name="Normal 21 8 2" xfId="0"/>
    <cellStyle name="Normal 21 8 2 2" xfId="0"/>
    <cellStyle name="Normal 21 8 3" xfId="0"/>
    <cellStyle name="Normal 21 9" xfId="0"/>
    <cellStyle name="Normal 21 9 2" xfId="0"/>
    <cellStyle name="Normal 21_RH et QS" xfId="0"/>
    <cellStyle name="Normal 22" xfId="0"/>
    <cellStyle name="Normal 22 2" xfId="0"/>
    <cellStyle name="Normal 22 2 2" xfId="0"/>
    <cellStyle name="Normal 22 2 2 2" xfId="0"/>
    <cellStyle name="Normal 22 2 2 2 2" xfId="0"/>
    <cellStyle name="Normal 22 2 2 2 2 2" xfId="0"/>
    <cellStyle name="Normal 22 2 2 2 3" xfId="0"/>
    <cellStyle name="Normal 22 2 2 3" xfId="0"/>
    <cellStyle name="Normal 22 2 2 3 2" xfId="0"/>
    <cellStyle name="Normal 22 2 2 4" xfId="0"/>
    <cellStyle name="Normal 22 2 2_RH et QS" xfId="0"/>
    <cellStyle name="Normal 22_RH et QS" xfId="0"/>
    <cellStyle name="Normal 23" xfId="0"/>
    <cellStyle name="Normal 23 2" xfId="0"/>
    <cellStyle name="Normal 23 2 2" xfId="0"/>
    <cellStyle name="Normal 23 2 2 2" xfId="0"/>
    <cellStyle name="Normal 23 2 2 2 2" xfId="0"/>
    <cellStyle name="Normal 23 2 2 2 2 2" xfId="0"/>
    <cellStyle name="Normal 23 2 2 2 3" xfId="0"/>
    <cellStyle name="Normal 23 2 2 3" xfId="0"/>
    <cellStyle name="Normal 23 2 2 3 2" xfId="0"/>
    <cellStyle name="Normal 23 2 2 4" xfId="0"/>
    <cellStyle name="Normal 23 2 2_RH et QS" xfId="0"/>
    <cellStyle name="Normal 23 2 3" xfId="0"/>
    <cellStyle name="Normal 23 2 3 2" xfId="0"/>
    <cellStyle name="Normal 23 2 3 2 2" xfId="0"/>
    <cellStyle name="Normal 23 2 3 2 2 2" xfId="0"/>
    <cellStyle name="Normal 23 2 3 2 3" xfId="0"/>
    <cellStyle name="Normal 23 2 3 3" xfId="0"/>
    <cellStyle name="Normal 23 2 3 3 2" xfId="0"/>
    <cellStyle name="Normal 23 2 3 4" xfId="0"/>
    <cellStyle name="Normal 23 2 3_RH et QS" xfId="0"/>
    <cellStyle name="Normal 23 2 4" xfId="0"/>
    <cellStyle name="Normal 23 2 4 2" xfId="0"/>
    <cellStyle name="Normal 23 2 4 2 2" xfId="0"/>
    <cellStyle name="Normal 23 2 4 3" xfId="0"/>
    <cellStyle name="Normal 23 2 5" xfId="0"/>
    <cellStyle name="Normal 23 2 5 2" xfId="0"/>
    <cellStyle name="Normal 23 2 6" xfId="0"/>
    <cellStyle name="Normal 23 2_RH et QS" xfId="0"/>
    <cellStyle name="Normal 23 3" xfId="0"/>
    <cellStyle name="Normal 23 4" xfId="0"/>
    <cellStyle name="Normal 23 4 2" xfId="0"/>
    <cellStyle name="Normal 23 4 2 2" xfId="0"/>
    <cellStyle name="Normal 23 4 2 2 2" xfId="0"/>
    <cellStyle name="Normal 23 4 2 3" xfId="0"/>
    <cellStyle name="Normal 23 4 3" xfId="0"/>
    <cellStyle name="Normal 23 4 3 2" xfId="0"/>
    <cellStyle name="Normal 23 4 4" xfId="0"/>
    <cellStyle name="Normal 23 4_RH et QS" xfId="0"/>
    <cellStyle name="Normal 23 5" xfId="0"/>
    <cellStyle name="Normal 23 5 2" xfId="0"/>
    <cellStyle name="Normal 23 5 2 2" xfId="0"/>
    <cellStyle name="Normal 23 5 2 2 2" xfId="0"/>
    <cellStyle name="Normal 23 5 2 3" xfId="0"/>
    <cellStyle name="Normal 23 5 3" xfId="0"/>
    <cellStyle name="Normal 23 5 3 2" xfId="0"/>
    <cellStyle name="Normal 23 5 4" xfId="0"/>
    <cellStyle name="Normal 23 5_RH et QS" xfId="0"/>
    <cellStyle name="Normal 23 6" xfId="0"/>
    <cellStyle name="Normal 23 6 2" xfId="0"/>
    <cellStyle name="Normal 23 6 2 2" xfId="0"/>
    <cellStyle name="Normal 23 6 3" xfId="0"/>
    <cellStyle name="Normal 23 7" xfId="0"/>
    <cellStyle name="Normal 23 7 2" xfId="0"/>
    <cellStyle name="Normal 23 8" xfId="0"/>
    <cellStyle name="Normal 23_RH et QS" xfId="0"/>
    <cellStyle name="Normal 24" xfId="0"/>
    <cellStyle name="Normal 24 2" xfId="0"/>
    <cellStyle name="Normal 24 2 2" xfId="0"/>
    <cellStyle name="Normal 24 2 2 2" xfId="0"/>
    <cellStyle name="Normal 24 2 2 2 2" xfId="0"/>
    <cellStyle name="Normal 24 2 2 2 2 2" xfId="0"/>
    <cellStyle name="Normal 24 2 2 2 3" xfId="0"/>
    <cellStyle name="Normal 24 2 2 3" xfId="0"/>
    <cellStyle name="Normal 24 2 2 3 2" xfId="0"/>
    <cellStyle name="Normal 24 2 2 4" xfId="0"/>
    <cellStyle name="Normal 24 2 2_RH et QS" xfId="0"/>
    <cellStyle name="Normal 24 2 3" xfId="0"/>
    <cellStyle name="Normal 24 2 3 2" xfId="0"/>
    <cellStyle name="Normal 24 2 3 2 2" xfId="0"/>
    <cellStyle name="Normal 24 2 3 2 2 2" xfId="0"/>
    <cellStyle name="Normal 24 2 3 2 3" xfId="0"/>
    <cellStyle name="Normal 24 2 3 3" xfId="0"/>
    <cellStyle name="Normal 24 2 3 3 2" xfId="0"/>
    <cellStyle name="Normal 24 2 3 4" xfId="0"/>
    <cellStyle name="Normal 24 2 3_RH et QS" xfId="0"/>
    <cellStyle name="Normal 24 2 4" xfId="0"/>
    <cellStyle name="Normal 24 2 4 2" xfId="0"/>
    <cellStyle name="Normal 24 2 4 2 2" xfId="0"/>
    <cellStyle name="Normal 24 2 4 3" xfId="0"/>
    <cellStyle name="Normal 24 2 5" xfId="0"/>
    <cellStyle name="Normal 24 2 5 2" xfId="0"/>
    <cellStyle name="Normal 24 2 6" xfId="0"/>
    <cellStyle name="Normal 24 2_RH et QS" xfId="0"/>
    <cellStyle name="Normal 24 3" xfId="0"/>
    <cellStyle name="Normal 24 4" xfId="0"/>
    <cellStyle name="Normal 24 4 2" xfId="0"/>
    <cellStyle name="Normal 24 4 2 2" xfId="0"/>
    <cellStyle name="Normal 24 4 2 2 2" xfId="0"/>
    <cellStyle name="Normal 24 4 2 3" xfId="0"/>
    <cellStyle name="Normal 24 4 3" xfId="0"/>
    <cellStyle name="Normal 24 4 3 2" xfId="0"/>
    <cellStyle name="Normal 24 4 4" xfId="0"/>
    <cellStyle name="Normal 24 4_RH et QS" xfId="0"/>
    <cellStyle name="Normal 24 5" xfId="0"/>
    <cellStyle name="Normal 24 5 2" xfId="0"/>
    <cellStyle name="Normal 24 5 2 2" xfId="0"/>
    <cellStyle name="Normal 24 5 2 2 2" xfId="0"/>
    <cellStyle name="Normal 24 5 2 3" xfId="0"/>
    <cellStyle name="Normal 24 5 3" xfId="0"/>
    <cellStyle name="Normal 24 5 3 2" xfId="0"/>
    <cellStyle name="Normal 24 5 4" xfId="0"/>
    <cellStyle name="Normal 24 5_RH et QS" xfId="0"/>
    <cellStyle name="Normal 24 6" xfId="0"/>
    <cellStyle name="Normal 24 6 2" xfId="0"/>
    <cellStyle name="Normal 24 6 2 2" xfId="0"/>
    <cellStyle name="Normal 24 6 3" xfId="0"/>
    <cellStyle name="Normal 24 7" xfId="0"/>
    <cellStyle name="Normal 24 7 2" xfId="0"/>
    <cellStyle name="Normal 24 8" xfId="0"/>
    <cellStyle name="Normal 24_Parc Mobile" xfId="0"/>
    <cellStyle name="Normal 25" xfId="0"/>
    <cellStyle name="Normal 25 2" xfId="0"/>
    <cellStyle name="Normal 25 2 2" xfId="0"/>
    <cellStyle name="Normal 25 2 2 2" xfId="0"/>
    <cellStyle name="Normal 25 2 2 2 2" xfId="0"/>
    <cellStyle name="Normal 25 2 2 2 2 2" xfId="0"/>
    <cellStyle name="Normal 25 2 2 2 3" xfId="0"/>
    <cellStyle name="Normal 25 2 2 3" xfId="0"/>
    <cellStyle name="Normal 25 2 2 3 2" xfId="0"/>
    <cellStyle name="Normal 25 2 2 4" xfId="0"/>
    <cellStyle name="Normal 25 2 2_RH et QS" xfId="0"/>
    <cellStyle name="Normal 25 2 3" xfId="0"/>
    <cellStyle name="Normal 25 2 3 2" xfId="0"/>
    <cellStyle name="Normal 25 2 3 2 2" xfId="0"/>
    <cellStyle name="Normal 25 2 3 2 2 2" xfId="0"/>
    <cellStyle name="Normal 25 2 3 2 3" xfId="0"/>
    <cellStyle name="Normal 25 2 3 3" xfId="0"/>
    <cellStyle name="Normal 25 2 3 3 2" xfId="0"/>
    <cellStyle name="Normal 25 2 3 4" xfId="0"/>
    <cellStyle name="Normal 25 2 3_RH et QS" xfId="0"/>
    <cellStyle name="Normal 25 2 4" xfId="0"/>
    <cellStyle name="Normal 25 2 4 2" xfId="0"/>
    <cellStyle name="Normal 25 2 4 2 2" xfId="0"/>
    <cellStyle name="Normal 25 2 4 3" xfId="0"/>
    <cellStyle name="Normal 25 2 5" xfId="0"/>
    <cellStyle name="Normal 25 2 5 2" xfId="0"/>
    <cellStyle name="Normal 25 2 6" xfId="0"/>
    <cellStyle name="Normal 25 2_RH et QS" xfId="0"/>
    <cellStyle name="Normal 25 3" xfId="0"/>
    <cellStyle name="Normal 25 4" xfId="0"/>
    <cellStyle name="Normal 25 4 2" xfId="0"/>
    <cellStyle name="Normal 25 4 2 2" xfId="0"/>
    <cellStyle name="Normal 25 4 2 2 2" xfId="0"/>
    <cellStyle name="Normal 25 4 2 3" xfId="0"/>
    <cellStyle name="Normal 25 4 3" xfId="0"/>
    <cellStyle name="Normal 25 4 3 2" xfId="0"/>
    <cellStyle name="Normal 25 4 4" xfId="0"/>
    <cellStyle name="Normal 25 4_RH et QS" xfId="0"/>
    <cellStyle name="Normal 25 5" xfId="0"/>
    <cellStyle name="Normal 25 5 2" xfId="0"/>
    <cellStyle name="Normal 25 5 2 2" xfId="0"/>
    <cellStyle name="Normal 25 5 2 2 2" xfId="0"/>
    <cellStyle name="Normal 25 5 2 3" xfId="0"/>
    <cellStyle name="Normal 25 5 3" xfId="0"/>
    <cellStyle name="Normal 25 5 3 2" xfId="0"/>
    <cellStyle name="Normal 25 5 4" xfId="0"/>
    <cellStyle name="Normal 25 5_RH et QS" xfId="0"/>
    <cellStyle name="Normal 25 6" xfId="0"/>
    <cellStyle name="Normal 25 6 2" xfId="0"/>
    <cellStyle name="Normal 25 6 2 2" xfId="0"/>
    <cellStyle name="Normal 25 6 3" xfId="0"/>
    <cellStyle name="Normal 25 7" xfId="0"/>
    <cellStyle name="Normal 25 7 2" xfId="0"/>
    <cellStyle name="Normal 25 8" xfId="0"/>
    <cellStyle name="Normal 25_Parc Mobile" xfId="0"/>
    <cellStyle name="Normal 26" xfId="0"/>
    <cellStyle name="Normal 26 2" xfId="0"/>
    <cellStyle name="Normal 26 2 2" xfId="0"/>
    <cellStyle name="Normal 26 2 2 2" xfId="0"/>
    <cellStyle name="Normal 26 2 2 2 2" xfId="0"/>
    <cellStyle name="Normal 26 2 2 2 2 2" xfId="0"/>
    <cellStyle name="Normal 26 2 2 2 3" xfId="0"/>
    <cellStyle name="Normal 26 2 2 3" xfId="0"/>
    <cellStyle name="Normal 26 2 2 3 2" xfId="0"/>
    <cellStyle name="Normal 26 2 2 4" xfId="0"/>
    <cellStyle name="Normal 26 2 2_RH et QS" xfId="0"/>
    <cellStyle name="Normal 26 2 3" xfId="0"/>
    <cellStyle name="Normal 26 2 3 2" xfId="0"/>
    <cellStyle name="Normal 26 2 3 2 2" xfId="0"/>
    <cellStyle name="Normal 26 2 3 2 2 2" xfId="0"/>
    <cellStyle name="Normal 26 2 3 2 3" xfId="0"/>
    <cellStyle name="Normal 26 2 3 3" xfId="0"/>
    <cellStyle name="Normal 26 2 3 3 2" xfId="0"/>
    <cellStyle name="Normal 26 2 3 4" xfId="0"/>
    <cellStyle name="Normal 26 2 3_RH et QS" xfId="0"/>
    <cellStyle name="Normal 26 2 4" xfId="0"/>
    <cellStyle name="Normal 26 2 4 2" xfId="0"/>
    <cellStyle name="Normal 26 2 4 2 2" xfId="0"/>
    <cellStyle name="Normal 26 2 4 3" xfId="0"/>
    <cellStyle name="Normal 26 2 5" xfId="0"/>
    <cellStyle name="Normal 26 2 5 2" xfId="0"/>
    <cellStyle name="Normal 26 2 6" xfId="0"/>
    <cellStyle name="Normal 26 2_RH et QS" xfId="0"/>
    <cellStyle name="Normal 26 3" xfId="0"/>
    <cellStyle name="Normal 26 4" xfId="0"/>
    <cellStyle name="Normal 26 4 2" xfId="0"/>
    <cellStyle name="Normal 26 4 2 2" xfId="0"/>
    <cellStyle name="Normal 26 4 2 2 2" xfId="0"/>
    <cellStyle name="Normal 26 4 2 3" xfId="0"/>
    <cellStyle name="Normal 26 4 3" xfId="0"/>
    <cellStyle name="Normal 26 4 3 2" xfId="0"/>
    <cellStyle name="Normal 26 4 4" xfId="0"/>
    <cellStyle name="Normal 26 4_RH et QS" xfId="0"/>
    <cellStyle name="Normal 26 5" xfId="0"/>
    <cellStyle name="Normal 26 5 2" xfId="0"/>
    <cellStyle name="Normal 26 5 2 2" xfId="0"/>
    <cellStyle name="Normal 26 5 2 2 2" xfId="0"/>
    <cellStyle name="Normal 26 5 2 3" xfId="0"/>
    <cellStyle name="Normal 26 5 3" xfId="0"/>
    <cellStyle name="Normal 26 5 3 2" xfId="0"/>
    <cellStyle name="Normal 26 5 4" xfId="0"/>
    <cellStyle name="Normal 26 5_RH et QS" xfId="0"/>
    <cellStyle name="Normal 26 6" xfId="0"/>
    <cellStyle name="Normal 26 6 2" xfId="0"/>
    <cellStyle name="Normal 26 6 2 2" xfId="0"/>
    <cellStyle name="Normal 26 6 3" xfId="0"/>
    <cellStyle name="Normal 26 7" xfId="0"/>
    <cellStyle name="Normal 26 7 2" xfId="0"/>
    <cellStyle name="Normal 26 8" xfId="0"/>
    <cellStyle name="Normal 26_Parc Mobile" xfId="0"/>
    <cellStyle name="Normal 27" xfId="0"/>
    <cellStyle name="Normal 27 2" xfId="0"/>
    <cellStyle name="Normal 27 2 2" xfId="0"/>
    <cellStyle name="Normal 27 2 2 2" xfId="0"/>
    <cellStyle name="Normal 27 2 2 2 2" xfId="0"/>
    <cellStyle name="Normal 27 2 2 2 2 2" xfId="0"/>
    <cellStyle name="Normal 27 2 2 2 3" xfId="0"/>
    <cellStyle name="Normal 27 2 2 3" xfId="0"/>
    <cellStyle name="Normal 27 2 2 3 2" xfId="0"/>
    <cellStyle name="Normal 27 2 2 4" xfId="0"/>
    <cellStyle name="Normal 27 2 2_RH et QS" xfId="0"/>
    <cellStyle name="Normal 27 2 3" xfId="0"/>
    <cellStyle name="Normal 27 2 3 2" xfId="0"/>
    <cellStyle name="Normal 27 2 3 2 2" xfId="0"/>
    <cellStyle name="Normal 27 2 3 2 2 2" xfId="0"/>
    <cellStyle name="Normal 27 2 3 2 3" xfId="0"/>
    <cellStyle name="Normal 27 2 3 3" xfId="0"/>
    <cellStyle name="Normal 27 2 3 3 2" xfId="0"/>
    <cellStyle name="Normal 27 2 3 4" xfId="0"/>
    <cellStyle name="Normal 27 2 3_RH et QS" xfId="0"/>
    <cellStyle name="Normal 27 2 4" xfId="0"/>
    <cellStyle name="Normal 27 2 4 2" xfId="0"/>
    <cellStyle name="Normal 27 2 4 2 2" xfId="0"/>
    <cellStyle name="Normal 27 2 4 3" xfId="0"/>
    <cellStyle name="Normal 27 2 5" xfId="0"/>
    <cellStyle name="Normal 27 2 5 2" xfId="0"/>
    <cellStyle name="Normal 27 2 6" xfId="0"/>
    <cellStyle name="Normal 27 2_RH et QS" xfId="0"/>
    <cellStyle name="Normal 27 3" xfId="0"/>
    <cellStyle name="Normal 27 4" xfId="0"/>
    <cellStyle name="Normal 27 4 2" xfId="0"/>
    <cellStyle name="Normal 27 4 2 2" xfId="0"/>
    <cellStyle name="Normal 27 4 2 2 2" xfId="0"/>
    <cellStyle name="Normal 27 4 2 3" xfId="0"/>
    <cellStyle name="Normal 27 4 3" xfId="0"/>
    <cellStyle name="Normal 27 4 3 2" xfId="0"/>
    <cellStyle name="Normal 27 4 4" xfId="0"/>
    <cellStyle name="Normal 27 4_RH et QS" xfId="0"/>
    <cellStyle name="Normal 27 5" xfId="0"/>
    <cellStyle name="Normal 27 5 2" xfId="0"/>
    <cellStyle name="Normal 27 5 2 2" xfId="0"/>
    <cellStyle name="Normal 27 5 2 2 2" xfId="0"/>
    <cellStyle name="Normal 27 5 2 3" xfId="0"/>
    <cellStyle name="Normal 27 5 3" xfId="0"/>
    <cellStyle name="Normal 27 5 3 2" xfId="0"/>
    <cellStyle name="Normal 27 5 4" xfId="0"/>
    <cellStyle name="Normal 27 5_RH et QS" xfId="0"/>
    <cellStyle name="Normal 27 6" xfId="0"/>
    <cellStyle name="Normal 27 6 2" xfId="0"/>
    <cellStyle name="Normal 27 6 2 2" xfId="0"/>
    <cellStyle name="Normal 27 6 3" xfId="0"/>
    <cellStyle name="Normal 27 7" xfId="0"/>
    <cellStyle name="Normal 27 7 2" xfId="0"/>
    <cellStyle name="Normal 27 8" xfId="0"/>
    <cellStyle name="Normal 27_Parc Mobile" xfId="0"/>
    <cellStyle name="Normal 28" xfId="0"/>
    <cellStyle name="Normal 29" xfId="0"/>
    <cellStyle name="Normal 2_banfora" xfId="0"/>
    <cellStyle name="Normal 3" xfId="0"/>
    <cellStyle name="Normal 3 10" xfId="0"/>
    <cellStyle name="Normal 3 11" xfId="0"/>
    <cellStyle name="Normal 3 12" xfId="0"/>
    <cellStyle name="Normal 3 12 2" xfId="0"/>
    <cellStyle name="Normal 3 12 2 2" xfId="0"/>
    <cellStyle name="Normal 3 12 2 2 2" xfId="0"/>
    <cellStyle name="Normal 3 12 2 2 2 2" xfId="0"/>
    <cellStyle name="Normal 3 12 2 2 3" xfId="0"/>
    <cellStyle name="Normal 3 12 2 3" xfId="0"/>
    <cellStyle name="Normal 3 12 2 3 2" xfId="0"/>
    <cellStyle name="Normal 3 12 2 4" xfId="0"/>
    <cellStyle name="Normal 3 12 2_RH et QS" xfId="0"/>
    <cellStyle name="Normal 3 12 3" xfId="0"/>
    <cellStyle name="Normal 3 12 3 2" xfId="0"/>
    <cellStyle name="Normal 3 12 3 2 2" xfId="0"/>
    <cellStyle name="Normal 3 12 3 2 2 2" xfId="0"/>
    <cellStyle name="Normal 3 12 3 2 3" xfId="0"/>
    <cellStyle name="Normal 3 12 3 3" xfId="0"/>
    <cellStyle name="Normal 3 12 3 3 2" xfId="0"/>
    <cellStyle name="Normal 3 12 3 4" xfId="0"/>
    <cellStyle name="Normal 3 12 3_RH et QS" xfId="0"/>
    <cellStyle name="Normal 3 12 4" xfId="0"/>
    <cellStyle name="Normal 3 12 4 2" xfId="0"/>
    <cellStyle name="Normal 3 12 4 2 2" xfId="0"/>
    <cellStyle name="Normal 3 12 4 3" xfId="0"/>
    <cellStyle name="Normal 3 12 5" xfId="0"/>
    <cellStyle name="Normal 3 12 5 2" xfId="0"/>
    <cellStyle name="Normal 3 12 6" xfId="0"/>
    <cellStyle name="Normal 3 12_RH et QS" xfId="0"/>
    <cellStyle name="Normal 3 13" xfId="0"/>
    <cellStyle name="Normal 3 13 2" xfId="0"/>
    <cellStyle name="Normal 3 13 2 2" xfId="0"/>
    <cellStyle name="Normal 3 13 2 2 2" xfId="0"/>
    <cellStyle name="Normal 3 13 2 3" xfId="0"/>
    <cellStyle name="Normal 3 13 3" xfId="0"/>
    <cellStyle name="Normal 3 13 3 2" xfId="0"/>
    <cellStyle name="Normal 3 13 4" xfId="0"/>
    <cellStyle name="Normal 3 13_RH et QS" xfId="0"/>
    <cellStyle name="Normal 3 14" xfId="0"/>
    <cellStyle name="Normal 3 14 2" xfId="0"/>
    <cellStyle name="Normal 3 15" xfId="0"/>
    <cellStyle name="Normal 3 2" xfId="0"/>
    <cellStyle name="Normal 3 2 10" xfId="0"/>
    <cellStyle name="Normal 3 2 2" xfId="0"/>
    <cellStyle name="Normal 3 2 2 2" xfId="0"/>
    <cellStyle name="Normal 3 2 2 2 2" xfId="0"/>
    <cellStyle name="Normal 3 2 2 2 2 2" xfId="0"/>
    <cellStyle name="Normal 3 2 2 2 2 2 2" xfId="0"/>
    <cellStyle name="Normal 3 2 2 2 2 2 2 2" xfId="0"/>
    <cellStyle name="Normal 3 2 2 2 2 2 3" xfId="0"/>
    <cellStyle name="Normal 3 2 2 2 2 3" xfId="0"/>
    <cellStyle name="Normal 3 2 2 2 2 3 2" xfId="0"/>
    <cellStyle name="Normal 3 2 2 2 2 4" xfId="0"/>
    <cellStyle name="Normal 3 2 2 2 2_RH et QS" xfId="0"/>
    <cellStyle name="Normal 3 2 2 2 3" xfId="0"/>
    <cellStyle name="Normal 3 2 2 2 3 2" xfId="0"/>
    <cellStyle name="Normal 3 2 2 2 3 2 2" xfId="0"/>
    <cellStyle name="Normal 3 2 2 2 3 2 2 2" xfId="0"/>
    <cellStyle name="Normal 3 2 2 2 3 2 3" xfId="0"/>
    <cellStyle name="Normal 3 2 2 2 3 3" xfId="0"/>
    <cellStyle name="Normal 3 2 2 2 3 3 2" xfId="0"/>
    <cellStyle name="Normal 3 2 2 2 3 4" xfId="0"/>
    <cellStyle name="Normal 3 2 2 2 3_RH et QS" xfId="0"/>
    <cellStyle name="Normal 3 2 2 2 4" xfId="0"/>
    <cellStyle name="Normal 3 2 2 2 4 2" xfId="0"/>
    <cellStyle name="Normal 3 2 2 2 4 2 2" xfId="0"/>
    <cellStyle name="Normal 3 2 2 2 4 3" xfId="0"/>
    <cellStyle name="Normal 3 2 2 2 5" xfId="0"/>
    <cellStyle name="Normal 3 2 2 2 5 2" xfId="0"/>
    <cellStyle name="Normal 3 2 2 2 6" xfId="0"/>
    <cellStyle name="Normal 3 2 2 2_RH et QS" xfId="0"/>
    <cellStyle name="Normal 3 2 2 3" xfId="0"/>
    <cellStyle name="Normal 3 2 2 3 2" xfId="0"/>
    <cellStyle name="Normal 3 2 2 3 2 2" xfId="0"/>
    <cellStyle name="Normal 3 2 2 3 2 2 2" xfId="0"/>
    <cellStyle name="Normal 3 2 2 3 2 2 2 2" xfId="0"/>
    <cellStyle name="Normal 3 2 2 3 2 2 3" xfId="0"/>
    <cellStyle name="Normal 3 2 2 3 2 3" xfId="0"/>
    <cellStyle name="Normal 3 2 2 3 2 3 2" xfId="0"/>
    <cellStyle name="Normal 3 2 2 3 2 4" xfId="0"/>
    <cellStyle name="Normal 3 2 2 3 2_RH et QS" xfId="0"/>
    <cellStyle name="Normal 3 2 2 3 3" xfId="0"/>
    <cellStyle name="Normal 3 2 2 3 3 2" xfId="0"/>
    <cellStyle name="Normal 3 2 2 3 3 2 2" xfId="0"/>
    <cellStyle name="Normal 3 2 2 3 3 2 2 2" xfId="0"/>
    <cellStyle name="Normal 3 2 2 3 3 2 3" xfId="0"/>
    <cellStyle name="Normal 3 2 2 3 3 3" xfId="0"/>
    <cellStyle name="Normal 3 2 2 3 3 3 2" xfId="0"/>
    <cellStyle name="Normal 3 2 2 3 3 4" xfId="0"/>
    <cellStyle name="Normal 3 2 2 3 3_RH et QS" xfId="0"/>
    <cellStyle name="Normal 3 2 2 3 4" xfId="0"/>
    <cellStyle name="Normal 3 2 2 3 4 2" xfId="0"/>
    <cellStyle name="Normal 3 2 2 3 4 2 2" xfId="0"/>
    <cellStyle name="Normal 3 2 2 3 4 3" xfId="0"/>
    <cellStyle name="Normal 3 2 2 3 5" xfId="0"/>
    <cellStyle name="Normal 3 2 2 3 5 2" xfId="0"/>
    <cellStyle name="Normal 3 2 2 3 6" xfId="0"/>
    <cellStyle name="Normal 3 2 2 3_RH et QS" xfId="0"/>
    <cellStyle name="Normal 3 2 2 4" xfId="0"/>
    <cellStyle name="Normal 3 2 2 4 2" xfId="0"/>
    <cellStyle name="Normal 3 2 2 4 2 2" xfId="0"/>
    <cellStyle name="Normal 3 2 2 4 2 2 2" xfId="0"/>
    <cellStyle name="Normal 3 2 2 4 2 3" xfId="0"/>
    <cellStyle name="Normal 3 2 2 4 3" xfId="0"/>
    <cellStyle name="Normal 3 2 2 4 3 2" xfId="0"/>
    <cellStyle name="Normal 3 2 2 4 4" xfId="0"/>
    <cellStyle name="Normal 3 2 2 4_RH et QS" xfId="0"/>
    <cellStyle name="Normal 3 2 2 5" xfId="0"/>
    <cellStyle name="Normal 3 2 2 5 2" xfId="0"/>
    <cellStyle name="Normal 3 2 2 5 2 2" xfId="0"/>
    <cellStyle name="Normal 3 2 2 5 2 2 2" xfId="0"/>
    <cellStyle name="Normal 3 2 2 5 2 3" xfId="0"/>
    <cellStyle name="Normal 3 2 2 5 3" xfId="0"/>
    <cellStyle name="Normal 3 2 2 5 3 2" xfId="0"/>
    <cellStyle name="Normal 3 2 2 5 4" xfId="0"/>
    <cellStyle name="Normal 3 2 2 5_RH et QS" xfId="0"/>
    <cellStyle name="Normal 3 2 2 6" xfId="0"/>
    <cellStyle name="Normal 3 2 2 6 2" xfId="0"/>
    <cellStyle name="Normal 3 2 2 6 2 2" xfId="0"/>
    <cellStyle name="Normal 3 2 2 6 3" xfId="0"/>
    <cellStyle name="Normal 3 2 2 7" xfId="0"/>
    <cellStyle name="Normal 3 2 2 7 2" xfId="0"/>
    <cellStyle name="Normal 3 2 2 8" xfId="0"/>
    <cellStyle name="Normal 3 2 2_RH et QS" xfId="0"/>
    <cellStyle name="Normal 3 2 3" xfId="0"/>
    <cellStyle name="Normal 3 2 4" xfId="0"/>
    <cellStyle name="Normal 3 2 4 2" xfId="0"/>
    <cellStyle name="Normal 3 2 4 2 2" xfId="0"/>
    <cellStyle name="Normal 3 2 4 2 2 2" xfId="0"/>
    <cellStyle name="Normal 3 2 4 2 2 2 2" xfId="0"/>
    <cellStyle name="Normal 3 2 4 2 2 3" xfId="0"/>
    <cellStyle name="Normal 3 2 4 2 3" xfId="0"/>
    <cellStyle name="Normal 3 2 4 2 3 2" xfId="0"/>
    <cellStyle name="Normal 3 2 4 2 4" xfId="0"/>
    <cellStyle name="Normal 3 2 4 2_RH et QS" xfId="0"/>
    <cellStyle name="Normal 3 2 4 3" xfId="0"/>
    <cellStyle name="Normal 3 2 4 3 2" xfId="0"/>
    <cellStyle name="Normal 3 2 4 3 2 2" xfId="0"/>
    <cellStyle name="Normal 3 2 4 3 2 2 2" xfId="0"/>
    <cellStyle name="Normal 3 2 4 3 2 3" xfId="0"/>
    <cellStyle name="Normal 3 2 4 3 3" xfId="0"/>
    <cellStyle name="Normal 3 2 4 3 3 2" xfId="0"/>
    <cellStyle name="Normal 3 2 4 3 4" xfId="0"/>
    <cellStyle name="Normal 3 2 4 3_RH et QS" xfId="0"/>
    <cellStyle name="Normal 3 2 4 4" xfId="0"/>
    <cellStyle name="Normal 3 2 4 4 2" xfId="0"/>
    <cellStyle name="Normal 3 2 4 4 2 2" xfId="0"/>
    <cellStyle name="Normal 3 2 4 4 3" xfId="0"/>
    <cellStyle name="Normal 3 2 4 5" xfId="0"/>
    <cellStyle name="Normal 3 2 4 5 2" xfId="0"/>
    <cellStyle name="Normal 3 2 4 6" xfId="0"/>
    <cellStyle name="Normal 3 2 4_RH et QS" xfId="0"/>
    <cellStyle name="Normal 3 2 5" xfId="0"/>
    <cellStyle name="Normal 3 2 5 2" xfId="0"/>
    <cellStyle name="Normal 3 2 5 2 2" xfId="0"/>
    <cellStyle name="Normal 3 2 5 2 2 2" xfId="0"/>
    <cellStyle name="Normal 3 2 5 2 2 2 2" xfId="0"/>
    <cellStyle name="Normal 3 2 5 2 2 3" xfId="0"/>
    <cellStyle name="Normal 3 2 5 2 3" xfId="0"/>
    <cellStyle name="Normal 3 2 5 2 3 2" xfId="0"/>
    <cellStyle name="Normal 3 2 5 2 4" xfId="0"/>
    <cellStyle name="Normal 3 2 5 2_RH et QS" xfId="0"/>
    <cellStyle name="Normal 3 2 5 3" xfId="0"/>
    <cellStyle name="Normal 3 2 5 3 2" xfId="0"/>
    <cellStyle name="Normal 3 2 5 3 2 2" xfId="0"/>
    <cellStyle name="Normal 3 2 5 3 2 2 2" xfId="0"/>
    <cellStyle name="Normal 3 2 5 3 2 3" xfId="0"/>
    <cellStyle name="Normal 3 2 5 3 3" xfId="0"/>
    <cellStyle name="Normal 3 2 5 3 3 2" xfId="0"/>
    <cellStyle name="Normal 3 2 5 3 4" xfId="0"/>
    <cellStyle name="Normal 3 2 5 3_RH et QS" xfId="0"/>
    <cellStyle name="Normal 3 2 5 4" xfId="0"/>
    <cellStyle name="Normal 3 2 5 4 2" xfId="0"/>
    <cellStyle name="Normal 3 2 5 4 2 2" xfId="0"/>
    <cellStyle name="Normal 3 2 5 4 3" xfId="0"/>
    <cellStyle name="Normal 3 2 5 5" xfId="0"/>
    <cellStyle name="Normal 3 2 5 5 2" xfId="0"/>
    <cellStyle name="Normal 3 2 5 6" xfId="0"/>
    <cellStyle name="Normal 3 2 5_RH et QS" xfId="0"/>
    <cellStyle name="Normal 3 2 6" xfId="0"/>
    <cellStyle name="Normal 3 2 6 2" xfId="0"/>
    <cellStyle name="Normal 3 2 6 2 2" xfId="0"/>
    <cellStyle name="Normal 3 2 6 2 2 2" xfId="0"/>
    <cellStyle name="Normal 3 2 6 2 3" xfId="0"/>
    <cellStyle name="Normal 3 2 6 3" xfId="0"/>
    <cellStyle name="Normal 3 2 6 3 2" xfId="0"/>
    <cellStyle name="Normal 3 2 6 4" xfId="0"/>
    <cellStyle name="Normal 3 2 6_RH et QS" xfId="0"/>
    <cellStyle name="Normal 3 2 7" xfId="0"/>
    <cellStyle name="Normal 3 2 7 2" xfId="0"/>
    <cellStyle name="Normal 3 2 7 2 2" xfId="0"/>
    <cellStyle name="Normal 3 2 7 2 2 2" xfId="0"/>
    <cellStyle name="Normal 3 2 7 2 3" xfId="0"/>
    <cellStyle name="Normal 3 2 7 3" xfId="0"/>
    <cellStyle name="Normal 3 2 7 3 2" xfId="0"/>
    <cellStyle name="Normal 3 2 7 4" xfId="0"/>
    <cellStyle name="Normal 3 2 7_RH et QS" xfId="0"/>
    <cellStyle name="Normal 3 2 8" xfId="0"/>
    <cellStyle name="Normal 3 2 8 2" xfId="0"/>
    <cellStyle name="Normal 3 2 8 2 2" xfId="0"/>
    <cellStyle name="Normal 3 2 8 3" xfId="0"/>
    <cellStyle name="Normal 3 2 9" xfId="0"/>
    <cellStyle name="Normal 3 2 9 2" xfId="0"/>
    <cellStyle name="Normal 3 2_RH et QS" xfId="0"/>
    <cellStyle name="Normal 3 3" xfId="0"/>
    <cellStyle name="Normal 3 3 2" xfId="0"/>
    <cellStyle name="Normal 3 3 3" xfId="0"/>
    <cellStyle name="Normal 3 3 3 2" xfId="0"/>
    <cellStyle name="Normal 3 3 3 2 2" xfId="0"/>
    <cellStyle name="Normal 3 3 3 2 2 2" xfId="0"/>
    <cellStyle name="Normal 3 3 3 2 2 2 2" xfId="0"/>
    <cellStyle name="Normal 3 3 3 2 2 3" xfId="0"/>
    <cellStyle name="Normal 3 3 3 2 3" xfId="0"/>
    <cellStyle name="Normal 3 3 3 2 3 2" xfId="0"/>
    <cellStyle name="Normal 3 3 3 2 4" xfId="0"/>
    <cellStyle name="Normal 3 3 3 2_RH et QS" xfId="0"/>
    <cellStyle name="Normal 3 3 3 3" xfId="0"/>
    <cellStyle name="Normal 3 3 3 3 2" xfId="0"/>
    <cellStyle name="Normal 3 3 3 3 2 2" xfId="0"/>
    <cellStyle name="Normal 3 3 3 3 2 2 2" xfId="0"/>
    <cellStyle name="Normal 3 3 3 3 2 3" xfId="0"/>
    <cellStyle name="Normal 3 3 3 3 3" xfId="0"/>
    <cellStyle name="Normal 3 3 3 3 3 2" xfId="0"/>
    <cellStyle name="Normal 3 3 3 3 4" xfId="0"/>
    <cellStyle name="Normal 3 3 3 3_RH et QS" xfId="0"/>
    <cellStyle name="Normal 3 3 3 4" xfId="0"/>
    <cellStyle name="Normal 3 3 3 4 2" xfId="0"/>
    <cellStyle name="Normal 3 3 3 4 2 2" xfId="0"/>
    <cellStyle name="Normal 3 3 3 4 3" xfId="0"/>
    <cellStyle name="Normal 3 3 3 5" xfId="0"/>
    <cellStyle name="Normal 3 3 3 5 2" xfId="0"/>
    <cellStyle name="Normal 3 3 3 6" xfId="0"/>
    <cellStyle name="Normal 3 3 3_RH et QS" xfId="0"/>
    <cellStyle name="Normal 3 3 4" xfId="0"/>
    <cellStyle name="Normal 3 3 4 2" xfId="0"/>
    <cellStyle name="Normal 3 3 4 2 2" xfId="0"/>
    <cellStyle name="Normal 3 3 4 2 2 2" xfId="0"/>
    <cellStyle name="Normal 3 3 4 2 3" xfId="0"/>
    <cellStyle name="Normal 3 3 4 3" xfId="0"/>
    <cellStyle name="Normal 3 3 4 3 2" xfId="0"/>
    <cellStyle name="Normal 3 3 4 4" xfId="0"/>
    <cellStyle name="Normal 3 3 4_RH et QS" xfId="0"/>
    <cellStyle name="Normal 3 3 5" xfId="0"/>
    <cellStyle name="Normal 3 3 5 2" xfId="0"/>
    <cellStyle name="Normal 3 3 5 2 2" xfId="0"/>
    <cellStyle name="Normal 3 3 5 2 2 2" xfId="0"/>
    <cellStyle name="Normal 3 3 5 2 3" xfId="0"/>
    <cellStyle name="Normal 3 3 5 3" xfId="0"/>
    <cellStyle name="Normal 3 3 5 3 2" xfId="0"/>
    <cellStyle name="Normal 3 3 5 4" xfId="0"/>
    <cellStyle name="Normal 3 3 5_RH et QS" xfId="0"/>
    <cellStyle name="Normal 3 3 6" xfId="0"/>
    <cellStyle name="Normal 3 3 6 2" xfId="0"/>
    <cellStyle name="Normal 3 3 6 2 2" xfId="0"/>
    <cellStyle name="Normal 3 3 6 3" xfId="0"/>
    <cellStyle name="Normal 3 3 7" xfId="0"/>
    <cellStyle name="Normal 3 3 7 2" xfId="0"/>
    <cellStyle name="Normal 3 3 8" xfId="0"/>
    <cellStyle name="Normal 3 3_RH et QS" xfId="0"/>
    <cellStyle name="Normal 3 4" xfId="0"/>
    <cellStyle name="Normal 3 5" xfId="0"/>
    <cellStyle name="Normal 3 6" xfId="0"/>
    <cellStyle name="Normal 3 7" xfId="0"/>
    <cellStyle name="Normal 3 8" xfId="0"/>
    <cellStyle name="Normal 3 9" xfId="0"/>
    <cellStyle name="Normal 30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banfora" xfId="0"/>
    <cellStyle name="Normal 4" xfId="0"/>
    <cellStyle name="Normal 4 10" xfId="0"/>
    <cellStyle name="Normal 4 11" xfId="0"/>
    <cellStyle name="Normal 4 12" xfId="0"/>
    <cellStyle name="Normal 4 13" xfId="0"/>
    <cellStyle name="Normal 4 14" xfId="0"/>
    <cellStyle name="Normal 4 14 2" xfId="0"/>
    <cellStyle name="Normal 4 14 2 2" xfId="0"/>
    <cellStyle name="Normal 4 14 2 2 2" xfId="0"/>
    <cellStyle name="Normal 4 14 2 2 2 2" xfId="0"/>
    <cellStyle name="Normal 4 14 2 2 3" xfId="0"/>
    <cellStyle name="Normal 4 14 2 3" xfId="0"/>
    <cellStyle name="Normal 4 14 2 3 2" xfId="0"/>
    <cellStyle name="Normal 4 14 2 4" xfId="0"/>
    <cellStyle name="Normal 4 14 2_RH et QS" xfId="0"/>
    <cellStyle name="Normal 4 14 3" xfId="0"/>
    <cellStyle name="Normal 4 14 3 2" xfId="0"/>
    <cellStyle name="Normal 4 14 3 2 2" xfId="0"/>
    <cellStyle name="Normal 4 14 3 2 2 2" xfId="0"/>
    <cellStyle name="Normal 4 14 3 2 3" xfId="0"/>
    <cellStyle name="Normal 4 14 3 3" xfId="0"/>
    <cellStyle name="Normal 4 14 3 3 2" xfId="0"/>
    <cellStyle name="Normal 4 14 3 4" xfId="0"/>
    <cellStyle name="Normal 4 14 3_RH et QS" xfId="0"/>
    <cellStyle name="Normal 4 14 4" xfId="0"/>
    <cellStyle name="Normal 4 14 4 2" xfId="0"/>
    <cellStyle name="Normal 4 14 4 2 2" xfId="0"/>
    <cellStyle name="Normal 4 14 4 3" xfId="0"/>
    <cellStyle name="Normal 4 14 5" xfId="0"/>
    <cellStyle name="Normal 4 14 5 2" xfId="0"/>
    <cellStyle name="Normal 4 14 6" xfId="0"/>
    <cellStyle name="Normal 4 14_RH et QS" xfId="0"/>
    <cellStyle name="Normal 4 15" xfId="0"/>
    <cellStyle name="Normal 4 16" xfId="0"/>
    <cellStyle name="Normal 4 16 2" xfId="0"/>
    <cellStyle name="Normal 4 16 2 2" xfId="0"/>
    <cellStyle name="Normal 4 16 2 2 2" xfId="0"/>
    <cellStyle name="Normal 4 16 2 2 2 2" xfId="0"/>
    <cellStyle name="Normal 4 16 2 2 3" xfId="0"/>
    <cellStyle name="Normal 4 16 2 3" xfId="0"/>
    <cellStyle name="Normal 4 16 2 3 2" xfId="0"/>
    <cellStyle name="Normal 4 16 2 4" xfId="0"/>
    <cellStyle name="Normal 4 16 2_RH et QS" xfId="0"/>
    <cellStyle name="Normal 4 16 3" xfId="0"/>
    <cellStyle name="Normal 4 16 3 2" xfId="0"/>
    <cellStyle name="Normal 4 16 3 2 2" xfId="0"/>
    <cellStyle name="Normal 4 16 3 2 2 2" xfId="0"/>
    <cellStyle name="Normal 4 16 3 2 3" xfId="0"/>
    <cellStyle name="Normal 4 16 3 3" xfId="0"/>
    <cellStyle name="Normal 4 16 3 3 2" xfId="0"/>
    <cellStyle name="Normal 4 16 3 4" xfId="0"/>
    <cellStyle name="Normal 4 16 3_RH et QS" xfId="0"/>
    <cellStyle name="Normal 4 16 4" xfId="0"/>
    <cellStyle name="Normal 4 16 4 2" xfId="0"/>
    <cellStyle name="Normal 4 16 4 2 2" xfId="0"/>
    <cellStyle name="Normal 4 16 4 3" xfId="0"/>
    <cellStyle name="Normal 4 16 5" xfId="0"/>
    <cellStyle name="Normal 4 16 5 2" xfId="0"/>
    <cellStyle name="Normal 4 16 6" xfId="0"/>
    <cellStyle name="Normal 4 16_RH et QS" xfId="0"/>
    <cellStyle name="Normal 4 17" xfId="0"/>
    <cellStyle name="Normal 4 17 2" xfId="0"/>
    <cellStyle name="Normal 4 17 2 2" xfId="0"/>
    <cellStyle name="Normal 4 17 2 2 2" xfId="0"/>
    <cellStyle name="Normal 4 17 2 3" xfId="0"/>
    <cellStyle name="Normal 4 17 3" xfId="0"/>
    <cellStyle name="Normal 4 17 3 2" xfId="0"/>
    <cellStyle name="Normal 4 17 4" xfId="0"/>
    <cellStyle name="Normal 4 17_RH et QS" xfId="0"/>
    <cellStyle name="Normal 4 18" xfId="0"/>
    <cellStyle name="Normal 4 18 2" xfId="0"/>
    <cellStyle name="Normal 4 18 2 2" xfId="0"/>
    <cellStyle name="Normal 4 18 2 2 2" xfId="0"/>
    <cellStyle name="Normal 4 18 2 3" xfId="0"/>
    <cellStyle name="Normal 4 18 3" xfId="0"/>
    <cellStyle name="Normal 4 18 3 2" xfId="0"/>
    <cellStyle name="Normal 4 18 4" xfId="0"/>
    <cellStyle name="Normal 4 18_RH et QS" xfId="0"/>
    <cellStyle name="Normal 4 19" xfId="0"/>
    <cellStyle name="Normal 4 19 2" xfId="0"/>
    <cellStyle name="Normal 4 19 2 2" xfId="0"/>
    <cellStyle name="Normal 4 19 3" xfId="0"/>
    <cellStyle name="Normal 4 2" xfId="0"/>
    <cellStyle name="Normal 4 2 2" xfId="0"/>
    <cellStyle name="Normal 4 2 3" xfId="0"/>
    <cellStyle name="Normal 4 2 3 2" xfId="0"/>
    <cellStyle name="Normal 4 2 3 2 2" xfId="0"/>
    <cellStyle name="Normal 4 2 3 2 2 2" xfId="0"/>
    <cellStyle name="Normal 4 2 3 2 2 2 2" xfId="0"/>
    <cellStyle name="Normal 4 2 3 2 2 3" xfId="0"/>
    <cellStyle name="Normal 4 2 3 2 3" xfId="0"/>
    <cellStyle name="Normal 4 2 3 2 3 2" xfId="0"/>
    <cellStyle name="Normal 4 2 3 2 4" xfId="0"/>
    <cellStyle name="Normal 4 2 3 2_RH et QS" xfId="0"/>
    <cellStyle name="Normal 4 2 3 3" xfId="0"/>
    <cellStyle name="Normal 4 2 3 3 2" xfId="0"/>
    <cellStyle name="Normal 4 2 3 3 2 2" xfId="0"/>
    <cellStyle name="Normal 4 2 3 3 2 2 2" xfId="0"/>
    <cellStyle name="Normal 4 2 3 3 2 3" xfId="0"/>
    <cellStyle name="Normal 4 2 3 3 3" xfId="0"/>
    <cellStyle name="Normal 4 2 3 3 3 2" xfId="0"/>
    <cellStyle name="Normal 4 2 3 3 4" xfId="0"/>
    <cellStyle name="Normal 4 2 3 3_RH et QS" xfId="0"/>
    <cellStyle name="Normal 4 2 3 4" xfId="0"/>
    <cellStyle name="Normal 4 2 3 4 2" xfId="0"/>
    <cellStyle name="Normal 4 2 3 4 2 2" xfId="0"/>
    <cellStyle name="Normal 4 2 3 4 3" xfId="0"/>
    <cellStyle name="Normal 4 2 3 5" xfId="0"/>
    <cellStyle name="Normal 4 2 3 5 2" xfId="0"/>
    <cellStyle name="Normal 4 2 3 6" xfId="0"/>
    <cellStyle name="Normal 4 2 3_RH et QS" xfId="0"/>
    <cellStyle name="Normal 4 2 4" xfId="0"/>
    <cellStyle name="Normal 4 2 4 2" xfId="0"/>
    <cellStyle name="Normal 4 2 4 2 2" xfId="0"/>
    <cellStyle name="Normal 4 2 4 2 2 2" xfId="0"/>
    <cellStyle name="Normal 4 2 4 2 2 2 2" xfId="0"/>
    <cellStyle name="Normal 4 2 4 2 2 3" xfId="0"/>
    <cellStyle name="Normal 4 2 4 2 3" xfId="0"/>
    <cellStyle name="Normal 4 2 4 2 3 2" xfId="0"/>
    <cellStyle name="Normal 4 2 4 2 4" xfId="0"/>
    <cellStyle name="Normal 4 2 4 2_RH et QS" xfId="0"/>
    <cellStyle name="Normal 4 2 4 3" xfId="0"/>
    <cellStyle name="Normal 4 2 4 3 2" xfId="0"/>
    <cellStyle name="Normal 4 2 4 3 2 2" xfId="0"/>
    <cellStyle name="Normal 4 2 4 3 2 2 2" xfId="0"/>
    <cellStyle name="Normal 4 2 4 3 2 3" xfId="0"/>
    <cellStyle name="Normal 4 2 4 3 3" xfId="0"/>
    <cellStyle name="Normal 4 2 4 3 3 2" xfId="0"/>
    <cellStyle name="Normal 4 2 4 3 4" xfId="0"/>
    <cellStyle name="Normal 4 2 4 3_RH et QS" xfId="0"/>
    <cellStyle name="Normal 4 2 4 4" xfId="0"/>
    <cellStyle name="Normal 4 2 4 4 2" xfId="0"/>
    <cellStyle name="Normal 4 2 4 4 2 2" xfId="0"/>
    <cellStyle name="Normal 4 2 4 4 3" xfId="0"/>
    <cellStyle name="Normal 4 2 4 5" xfId="0"/>
    <cellStyle name="Normal 4 2 4 5 2" xfId="0"/>
    <cellStyle name="Normal 4 2 4 6" xfId="0"/>
    <cellStyle name="Normal 4 2 4_RH et QS" xfId="0"/>
    <cellStyle name="Normal 4 2 5" xfId="0"/>
    <cellStyle name="Normal 4 2 5 2" xfId="0"/>
    <cellStyle name="Normal 4 2 5 2 2" xfId="0"/>
    <cellStyle name="Normal 4 2 5 2 2 2" xfId="0"/>
    <cellStyle name="Normal 4 2 5 2 3" xfId="0"/>
    <cellStyle name="Normal 4 2 5 3" xfId="0"/>
    <cellStyle name="Normal 4 2 5 3 2" xfId="0"/>
    <cellStyle name="Normal 4 2 5 4" xfId="0"/>
    <cellStyle name="Normal 4 2 5_RH et QS" xfId="0"/>
    <cellStyle name="Normal 4 2 6" xfId="0"/>
    <cellStyle name="Normal 4 2 6 2" xfId="0"/>
    <cellStyle name="Normal 4 2 6 2 2" xfId="0"/>
    <cellStyle name="Normal 4 2 6 2 2 2" xfId="0"/>
    <cellStyle name="Normal 4 2 6 2 3" xfId="0"/>
    <cellStyle name="Normal 4 2 6 3" xfId="0"/>
    <cellStyle name="Normal 4 2 6 3 2" xfId="0"/>
    <cellStyle name="Normal 4 2 6 4" xfId="0"/>
    <cellStyle name="Normal 4 2 6_RH et QS" xfId="0"/>
    <cellStyle name="Normal 4 2 7" xfId="0"/>
    <cellStyle name="Normal 4 2 7 2" xfId="0"/>
    <cellStyle name="Normal 4 2 7 2 2" xfId="0"/>
    <cellStyle name="Normal 4 2 7 3" xfId="0"/>
    <cellStyle name="Normal 4 2 8" xfId="0"/>
    <cellStyle name="Normal 4 2 8 2" xfId="0"/>
    <cellStyle name="Normal 4 2 9" xfId="0"/>
    <cellStyle name="Normal 4 20" xfId="0"/>
    <cellStyle name="Normal 4 20 2" xfId="0"/>
    <cellStyle name="Normal 4 21" xfId="0"/>
    <cellStyle name="Normal 4 2_RH et QS" xfId="0"/>
    <cellStyle name="Normal 4 3" xfId="0"/>
    <cellStyle name="Normal 4 4" xfId="0"/>
    <cellStyle name="Normal 4 5" xfId="0"/>
    <cellStyle name="Normal 4 6" xfId="0"/>
    <cellStyle name="Normal 4 7" xfId="0"/>
    <cellStyle name="Normal 4 8" xfId="0"/>
    <cellStyle name="Normal 4 9" xfId="0"/>
    <cellStyle name="Normal 40" xfId="0"/>
    <cellStyle name="Normal 41" xfId="0"/>
    <cellStyle name="Normal 42" xfId="0"/>
    <cellStyle name="Normal 43" xfId="0"/>
    <cellStyle name="Normal 43 2" xfId="0"/>
    <cellStyle name="Normal 43 2 2" xfId="0"/>
    <cellStyle name="Normal 43 2 2 2" xfId="0"/>
    <cellStyle name="Normal 43 2 2 2 2" xfId="0"/>
    <cellStyle name="Normal 43 2 2 3" xfId="0"/>
    <cellStyle name="Normal 43 2 3" xfId="0"/>
    <cellStyle name="Normal 43 2 3 2" xfId="0"/>
    <cellStyle name="Normal 43 2 4" xfId="0"/>
    <cellStyle name="Normal 43 2_RH et QS" xfId="0"/>
    <cellStyle name="Normal 43 3" xfId="0"/>
    <cellStyle name="Normal 43 3 2" xfId="0"/>
    <cellStyle name="Normal 43 3 2 2" xfId="0"/>
    <cellStyle name="Normal 43 3 2 2 2" xfId="0"/>
    <cellStyle name="Normal 43 3 2 3" xfId="0"/>
    <cellStyle name="Normal 43 3 3" xfId="0"/>
    <cellStyle name="Normal 43 3 3 2" xfId="0"/>
    <cellStyle name="Normal 43 3 4" xfId="0"/>
    <cellStyle name="Normal 43 3_RH et QS" xfId="0"/>
    <cellStyle name="Normal 43 4" xfId="0"/>
    <cellStyle name="Normal 43 4 2" xfId="0"/>
    <cellStyle name="Normal 43 4 2 2" xfId="0"/>
    <cellStyle name="Normal 43 4 3" xfId="0"/>
    <cellStyle name="Normal 43 5" xfId="0"/>
    <cellStyle name="Normal 43 5 2" xfId="0"/>
    <cellStyle name="Normal 43 6" xfId="0"/>
    <cellStyle name="Normal 43_RH et QS" xfId="0"/>
    <cellStyle name="Normal 44" xfId="0"/>
    <cellStyle name="Normal 45" xfId="0"/>
    <cellStyle name="Normal 46" xfId="0"/>
    <cellStyle name="Normal 47" xfId="0"/>
    <cellStyle name="Normal 48" xfId="0"/>
    <cellStyle name="Normal 49" xfId="0"/>
    <cellStyle name="Normal 4_Parc Mobile" xfId="0"/>
    <cellStyle name="Normal 5" xfId="0"/>
    <cellStyle name="Normal 5 2" xfId="0"/>
    <cellStyle name="Normal 5 2 10" xfId="0"/>
    <cellStyle name="Normal 5 2 10 2" xfId="0"/>
    <cellStyle name="Normal 5 2 11" xfId="0"/>
    <cellStyle name="Normal 5 2 2" xfId="0"/>
    <cellStyle name="Normal 5 2 2 2" xfId="0"/>
    <cellStyle name="Normal 5 2 2 2 2" xfId="0"/>
    <cellStyle name="Normal 5 2 2 2 2 2" xfId="0"/>
    <cellStyle name="Normal 5 2 2 2 2 2 2" xfId="0"/>
    <cellStyle name="Normal 5 2 2 2 2 2 2 2" xfId="0"/>
    <cellStyle name="Normal 5 2 2 2 2 2 3" xfId="0"/>
    <cellStyle name="Normal 5 2 2 2 2 3" xfId="0"/>
    <cellStyle name="Normal 5 2 2 2 2 3 2" xfId="0"/>
    <cellStyle name="Normal 5 2 2 2 2 4" xfId="0"/>
    <cellStyle name="Normal 5 2 2 2 2_RH et QS" xfId="0"/>
    <cellStyle name="Normal 5 2 2 2 3" xfId="0"/>
    <cellStyle name="Normal 5 2 2 2 3 2" xfId="0"/>
    <cellStyle name="Normal 5 2 2 2 3 2 2" xfId="0"/>
    <cellStyle name="Normal 5 2 2 2 3 2 2 2" xfId="0"/>
    <cellStyle name="Normal 5 2 2 2 3 2 3" xfId="0"/>
    <cellStyle name="Normal 5 2 2 2 3 3" xfId="0"/>
    <cellStyle name="Normal 5 2 2 2 3 3 2" xfId="0"/>
    <cellStyle name="Normal 5 2 2 2 3 4" xfId="0"/>
    <cellStyle name="Normal 5 2 2 2 3_RH et QS" xfId="0"/>
    <cellStyle name="Normal 5 2 2 2 4" xfId="0"/>
    <cellStyle name="Normal 5 2 2 2 4 2" xfId="0"/>
    <cellStyle name="Normal 5 2 2 2 4 2 2" xfId="0"/>
    <cellStyle name="Normal 5 2 2 2 4 3" xfId="0"/>
    <cellStyle name="Normal 5 2 2 2 5" xfId="0"/>
    <cellStyle name="Normal 5 2 2 2 5 2" xfId="0"/>
    <cellStyle name="Normal 5 2 2 2 6" xfId="0"/>
    <cellStyle name="Normal 5 2 2 2_RH et QS" xfId="0"/>
    <cellStyle name="Normal 5 2 2 3" xfId="0"/>
    <cellStyle name="Normal 5 2 2 3 2" xfId="0"/>
    <cellStyle name="Normal 5 2 2 3 2 2" xfId="0"/>
    <cellStyle name="Normal 5 2 2 3 2 2 2" xfId="0"/>
    <cellStyle name="Normal 5 2 2 3 2 2 2 2" xfId="0"/>
    <cellStyle name="Normal 5 2 2 3 2 2 3" xfId="0"/>
    <cellStyle name="Normal 5 2 2 3 2 3" xfId="0"/>
    <cellStyle name="Normal 5 2 2 3 2 3 2" xfId="0"/>
    <cellStyle name="Normal 5 2 2 3 2 4" xfId="0"/>
    <cellStyle name="Normal 5 2 2 3 2_RH et QS" xfId="0"/>
    <cellStyle name="Normal 5 2 2 3 3" xfId="0"/>
    <cellStyle name="Normal 5 2 2 3 3 2" xfId="0"/>
    <cellStyle name="Normal 5 2 2 3 3 2 2" xfId="0"/>
    <cellStyle name="Normal 5 2 2 3 3 2 2 2" xfId="0"/>
    <cellStyle name="Normal 5 2 2 3 3 2 3" xfId="0"/>
    <cellStyle name="Normal 5 2 2 3 3 3" xfId="0"/>
    <cellStyle name="Normal 5 2 2 3 3 3 2" xfId="0"/>
    <cellStyle name="Normal 5 2 2 3 3 4" xfId="0"/>
    <cellStyle name="Normal 5 2 2 3 3_RH et QS" xfId="0"/>
    <cellStyle name="Normal 5 2 2 3 4" xfId="0"/>
    <cellStyle name="Normal 5 2 2 3 4 2" xfId="0"/>
    <cellStyle name="Normal 5 2 2 3 4 2 2" xfId="0"/>
    <cellStyle name="Normal 5 2 2 3 4 3" xfId="0"/>
    <cellStyle name="Normal 5 2 2 3 5" xfId="0"/>
    <cellStyle name="Normal 5 2 2 3 5 2" xfId="0"/>
    <cellStyle name="Normal 5 2 2 3 6" xfId="0"/>
    <cellStyle name="Normal 5 2 2 3_RH et QS" xfId="0"/>
    <cellStyle name="Normal 5 2 2 4" xfId="0"/>
    <cellStyle name="Normal 5 2 2 4 2" xfId="0"/>
    <cellStyle name="Normal 5 2 2 4 2 2" xfId="0"/>
    <cellStyle name="Normal 5 2 2 4 2 2 2" xfId="0"/>
    <cellStyle name="Normal 5 2 2 4 2 3" xfId="0"/>
    <cellStyle name="Normal 5 2 2 4 3" xfId="0"/>
    <cellStyle name="Normal 5 2 2 4 3 2" xfId="0"/>
    <cellStyle name="Normal 5 2 2 4 4" xfId="0"/>
    <cellStyle name="Normal 5 2 2 4_RH et QS" xfId="0"/>
    <cellStyle name="Normal 5 2 2 5" xfId="0"/>
    <cellStyle name="Normal 5 2 2 5 2" xfId="0"/>
    <cellStyle name="Normal 5 2 2 5 2 2" xfId="0"/>
    <cellStyle name="Normal 5 2 2 5 2 2 2" xfId="0"/>
    <cellStyle name="Normal 5 2 2 5 2 3" xfId="0"/>
    <cellStyle name="Normal 5 2 2 5 3" xfId="0"/>
    <cellStyle name="Normal 5 2 2 5 3 2" xfId="0"/>
    <cellStyle name="Normal 5 2 2 5 4" xfId="0"/>
    <cellStyle name="Normal 5 2 2 5_RH et QS" xfId="0"/>
    <cellStyle name="Normal 5 2 2 6" xfId="0"/>
    <cellStyle name="Normal 5 2 2 6 2" xfId="0"/>
    <cellStyle name="Normal 5 2 2 6 2 2" xfId="0"/>
    <cellStyle name="Normal 5 2 2 6 3" xfId="0"/>
    <cellStyle name="Normal 5 2 2 7" xfId="0"/>
    <cellStyle name="Normal 5 2 2 7 2" xfId="0"/>
    <cellStyle name="Normal 5 2 2 8" xfId="0"/>
    <cellStyle name="Normal 5 2 2_RH et QS" xfId="0"/>
    <cellStyle name="Normal 5 2 3" xfId="0"/>
    <cellStyle name="Normal 5 2 4" xfId="0"/>
    <cellStyle name="Normal 5 2 4 2" xfId="0"/>
    <cellStyle name="Normal 5 2 4 2 2" xfId="0"/>
    <cellStyle name="Normal 5 2 4 2 2 2" xfId="0"/>
    <cellStyle name="Normal 5 2 4 2 2 2 2" xfId="0"/>
    <cellStyle name="Normal 5 2 4 2 2 3" xfId="0"/>
    <cellStyle name="Normal 5 2 4 2 3" xfId="0"/>
    <cellStyle name="Normal 5 2 4 2 3 2" xfId="0"/>
    <cellStyle name="Normal 5 2 4 2 4" xfId="0"/>
    <cellStyle name="Normal 5 2 4 2_RH et QS" xfId="0"/>
    <cellStyle name="Normal 5 2 4 3" xfId="0"/>
    <cellStyle name="Normal 5 2 4 3 2" xfId="0"/>
    <cellStyle name="Normal 5 2 4 3 2 2" xfId="0"/>
    <cellStyle name="Normal 5 2 4 3 2 2 2" xfId="0"/>
    <cellStyle name="Normal 5 2 4 3 2 3" xfId="0"/>
    <cellStyle name="Normal 5 2 4 3 3" xfId="0"/>
    <cellStyle name="Normal 5 2 4 3 3 2" xfId="0"/>
    <cellStyle name="Normal 5 2 4 3 4" xfId="0"/>
    <cellStyle name="Normal 5 2 4 3_RH et QS" xfId="0"/>
    <cellStyle name="Normal 5 2 4 4" xfId="0"/>
    <cellStyle name="Normal 5 2 4 4 2" xfId="0"/>
    <cellStyle name="Normal 5 2 4 4 2 2" xfId="0"/>
    <cellStyle name="Normal 5 2 4 4 3" xfId="0"/>
    <cellStyle name="Normal 5 2 4 5" xfId="0"/>
    <cellStyle name="Normal 5 2 4 5 2" xfId="0"/>
    <cellStyle name="Normal 5 2 4 6" xfId="0"/>
    <cellStyle name="Normal 5 2 4_RH et QS" xfId="0"/>
    <cellStyle name="Normal 5 2 5" xfId="0"/>
    <cellStyle name="Normal 5 2 5 2" xfId="0"/>
    <cellStyle name="Normal 5 2 5 2 2" xfId="0"/>
    <cellStyle name="Normal 5 2 5 2 2 2" xfId="0"/>
    <cellStyle name="Normal 5 2 5 2 2 2 2" xfId="0"/>
    <cellStyle name="Normal 5 2 5 2 2 3" xfId="0"/>
    <cellStyle name="Normal 5 2 5 2 3" xfId="0"/>
    <cellStyle name="Normal 5 2 5 2 3 2" xfId="0"/>
    <cellStyle name="Normal 5 2 5 2 4" xfId="0"/>
    <cellStyle name="Normal 5 2 5 2_RH et QS" xfId="0"/>
    <cellStyle name="Normal 5 2 5 3" xfId="0"/>
    <cellStyle name="Normal 5 2 5 3 2" xfId="0"/>
    <cellStyle name="Normal 5 2 5 3 2 2" xfId="0"/>
    <cellStyle name="Normal 5 2 5 3 2 2 2" xfId="0"/>
    <cellStyle name="Normal 5 2 5 3 2 3" xfId="0"/>
    <cellStyle name="Normal 5 2 5 3 3" xfId="0"/>
    <cellStyle name="Normal 5 2 5 3 3 2" xfId="0"/>
    <cellStyle name="Normal 5 2 5 3 4" xfId="0"/>
    <cellStyle name="Normal 5 2 5 3_RH et QS" xfId="0"/>
    <cellStyle name="Normal 5 2 5 4" xfId="0"/>
    <cellStyle name="Normal 5 2 5 4 2" xfId="0"/>
    <cellStyle name="Normal 5 2 5 4 2 2" xfId="0"/>
    <cellStyle name="Normal 5 2 5 4 3" xfId="0"/>
    <cellStyle name="Normal 5 2 5 5" xfId="0"/>
    <cellStyle name="Normal 5 2 5 5 2" xfId="0"/>
    <cellStyle name="Normal 5 2 5 6" xfId="0"/>
    <cellStyle name="Normal 5 2 5_RH et QS" xfId="0"/>
    <cellStyle name="Normal 5 2 6" xfId="0"/>
    <cellStyle name="Normal 5 2 7" xfId="0"/>
    <cellStyle name="Normal 5 2 7 2" xfId="0"/>
    <cellStyle name="Normal 5 2 7 2 2" xfId="0"/>
    <cellStyle name="Normal 5 2 7 2 2 2" xfId="0"/>
    <cellStyle name="Normal 5 2 7 2 3" xfId="0"/>
    <cellStyle name="Normal 5 2 7 3" xfId="0"/>
    <cellStyle name="Normal 5 2 7 3 2" xfId="0"/>
    <cellStyle name="Normal 5 2 7 4" xfId="0"/>
    <cellStyle name="Normal 5 2 7_RH et QS" xfId="0"/>
    <cellStyle name="Normal 5 2 8" xfId="0"/>
    <cellStyle name="Normal 5 2 8 2" xfId="0"/>
    <cellStyle name="Normal 5 2 8 2 2" xfId="0"/>
    <cellStyle name="Normal 5 2 8 2 2 2" xfId="0"/>
    <cellStyle name="Normal 5 2 8 2 3" xfId="0"/>
    <cellStyle name="Normal 5 2 8 3" xfId="0"/>
    <cellStyle name="Normal 5 2 8 3 2" xfId="0"/>
    <cellStyle name="Normal 5 2 8 4" xfId="0"/>
    <cellStyle name="Normal 5 2 8_RH et QS" xfId="0"/>
    <cellStyle name="Normal 5 2 9" xfId="0"/>
    <cellStyle name="Normal 5 2 9 2" xfId="0"/>
    <cellStyle name="Normal 5 2 9 2 2" xfId="0"/>
    <cellStyle name="Normal 5 2 9 3" xfId="0"/>
    <cellStyle name="Normal 5 2_RH et QS" xfId="0"/>
    <cellStyle name="Normal 5 3" xfId="0"/>
    <cellStyle name="Normal 50" xfId="0"/>
    <cellStyle name="Normal 51" xfId="0"/>
    <cellStyle name="Normal 52" xfId="0"/>
    <cellStyle name="Normal 53" xfId="0"/>
    <cellStyle name="Normal 54" xfId="0"/>
    <cellStyle name="Normal 55" xfId="0"/>
    <cellStyle name="Normal 55 2" xfId="0"/>
    <cellStyle name="Normal 55 2 2" xfId="0"/>
    <cellStyle name="Normal 55 2 2 2" xfId="0"/>
    <cellStyle name="Normal 55 2 2 2 2" xfId="0"/>
    <cellStyle name="Normal 55 2 2 3" xfId="0"/>
    <cellStyle name="Normal 55 2 3" xfId="0"/>
    <cellStyle name="Normal 55 2 3 2" xfId="0"/>
    <cellStyle name="Normal 55 2 4" xfId="0"/>
    <cellStyle name="Normal 55 2_RH et QS" xfId="0"/>
    <cellStyle name="Normal 55 3" xfId="0"/>
    <cellStyle name="Normal 55 3 2" xfId="0"/>
    <cellStyle name="Normal 55 3 2 2" xfId="0"/>
    <cellStyle name="Normal 55 3 2 2 2" xfId="0"/>
    <cellStyle name="Normal 55 3 2 3" xfId="0"/>
    <cellStyle name="Normal 55 3 3" xfId="0"/>
    <cellStyle name="Normal 55 3 3 2" xfId="0"/>
    <cellStyle name="Normal 55 3 4" xfId="0"/>
    <cellStyle name="Normal 55 3_RH et QS" xfId="0"/>
    <cellStyle name="Normal 55 4" xfId="0"/>
    <cellStyle name="Normal 55 4 2" xfId="0"/>
    <cellStyle name="Normal 55 4 2 2" xfId="0"/>
    <cellStyle name="Normal 55 4 3" xfId="0"/>
    <cellStyle name="Normal 55 5" xfId="0"/>
    <cellStyle name="Normal 55 5 2" xfId="0"/>
    <cellStyle name="Normal 55 6" xfId="0"/>
    <cellStyle name="Normal 55_RH et QS" xfId="0"/>
    <cellStyle name="Normal 56" xfId="0"/>
    <cellStyle name="Normal 57" xfId="0"/>
    <cellStyle name="Normal 58" xfId="0"/>
    <cellStyle name="Normal 59" xfId="0"/>
    <cellStyle name="Normal 5_ouaga distribution" xfId="0"/>
    <cellStyle name="Normal 6" xfId="0"/>
    <cellStyle name="Normal 6 2" xfId="0"/>
    <cellStyle name="Normal 6 2 10" xfId="0"/>
    <cellStyle name="Normal 6 2 2" xfId="0"/>
    <cellStyle name="Normal 6 2 3" xfId="0"/>
    <cellStyle name="Normal 6 2 3 2" xfId="0"/>
    <cellStyle name="Normal 6 2 3 2 2" xfId="0"/>
    <cellStyle name="Normal 6 2 3 2 2 2" xfId="0"/>
    <cellStyle name="Normal 6 2 3 2 2 2 2" xfId="0"/>
    <cellStyle name="Normal 6 2 3 2 2 2 2 2" xfId="0"/>
    <cellStyle name="Normal 6 2 3 2 2 2 3" xfId="0"/>
    <cellStyle name="Normal 6 2 3 2 2 3" xfId="0"/>
    <cellStyle name="Normal 6 2 3 2 2 3 2" xfId="0"/>
    <cellStyle name="Normal 6 2 3 2 2 4" xfId="0"/>
    <cellStyle name="Normal 6 2 3 2 2_RH et QS" xfId="0"/>
    <cellStyle name="Normal 6 2 3 2 3" xfId="0"/>
    <cellStyle name="Normal 6 2 3 2 3 2" xfId="0"/>
    <cellStyle name="Normal 6 2 3 2 3 2 2" xfId="0"/>
    <cellStyle name="Normal 6 2 3 2 3 2 2 2" xfId="0"/>
    <cellStyle name="Normal 6 2 3 2 3 2 3" xfId="0"/>
    <cellStyle name="Normal 6 2 3 2 3 3" xfId="0"/>
    <cellStyle name="Normal 6 2 3 2 3 3 2" xfId="0"/>
    <cellStyle name="Normal 6 2 3 2 3 4" xfId="0"/>
    <cellStyle name="Normal 6 2 3 2 3_RH et QS" xfId="0"/>
    <cellStyle name="Normal 6 2 3 2 4" xfId="0"/>
    <cellStyle name="Normal 6 2 3 2 4 2" xfId="0"/>
    <cellStyle name="Normal 6 2 3 2 4 2 2" xfId="0"/>
    <cellStyle name="Normal 6 2 3 2 4 3" xfId="0"/>
    <cellStyle name="Normal 6 2 3 2 5" xfId="0"/>
    <cellStyle name="Normal 6 2 3 2 5 2" xfId="0"/>
    <cellStyle name="Normal 6 2 3 2 6" xfId="0"/>
    <cellStyle name="Normal 6 2 3 2_RH et QS" xfId="0"/>
    <cellStyle name="Normal 6 2 3 3" xfId="0"/>
    <cellStyle name="Normal 6 2 3 3 2" xfId="0"/>
    <cellStyle name="Normal 6 2 3 3 2 2" xfId="0"/>
    <cellStyle name="Normal 6 2 3 3 2 2 2" xfId="0"/>
    <cellStyle name="Normal 6 2 3 3 2 2 2 2" xfId="0"/>
    <cellStyle name="Normal 6 2 3 3 2 2 3" xfId="0"/>
    <cellStyle name="Normal 6 2 3 3 2 3" xfId="0"/>
    <cellStyle name="Normal 6 2 3 3 2 3 2" xfId="0"/>
    <cellStyle name="Normal 6 2 3 3 2 4" xfId="0"/>
    <cellStyle name="Normal 6 2 3 3 2_RH et QS" xfId="0"/>
    <cellStyle name="Normal 6 2 3 3 3" xfId="0"/>
    <cellStyle name="Normal 6 2 3 3 3 2" xfId="0"/>
    <cellStyle name="Normal 6 2 3 3 3 2 2" xfId="0"/>
    <cellStyle name="Normal 6 2 3 3 3 2 2 2" xfId="0"/>
    <cellStyle name="Normal 6 2 3 3 3 2 3" xfId="0"/>
    <cellStyle name="Normal 6 2 3 3 3 3" xfId="0"/>
    <cellStyle name="Normal 6 2 3 3 3 3 2" xfId="0"/>
    <cellStyle name="Normal 6 2 3 3 3 4" xfId="0"/>
    <cellStyle name="Normal 6 2 3 3 3_RH et QS" xfId="0"/>
    <cellStyle name="Normal 6 2 3 3 4" xfId="0"/>
    <cellStyle name="Normal 6 2 3 3 4 2" xfId="0"/>
    <cellStyle name="Normal 6 2 3 3 4 2 2" xfId="0"/>
    <cellStyle name="Normal 6 2 3 3 4 3" xfId="0"/>
    <cellStyle name="Normal 6 2 3 3 5" xfId="0"/>
    <cellStyle name="Normal 6 2 3 3 5 2" xfId="0"/>
    <cellStyle name="Normal 6 2 3 3 6" xfId="0"/>
    <cellStyle name="Normal 6 2 3 3_RH et QS" xfId="0"/>
    <cellStyle name="Normal 6 2 3 4" xfId="0"/>
    <cellStyle name="Normal 6 2 3 4 2" xfId="0"/>
    <cellStyle name="Normal 6 2 3 4 2 2" xfId="0"/>
    <cellStyle name="Normal 6 2 3 4 2 2 2" xfId="0"/>
    <cellStyle name="Normal 6 2 3 4 2 3" xfId="0"/>
    <cellStyle name="Normal 6 2 3 4 3" xfId="0"/>
    <cellStyle name="Normal 6 2 3 4 3 2" xfId="0"/>
    <cellStyle name="Normal 6 2 3 4 4" xfId="0"/>
    <cellStyle name="Normal 6 2 3 4_RH et QS" xfId="0"/>
    <cellStyle name="Normal 6 2 3 5" xfId="0"/>
    <cellStyle name="Normal 6 2 3 5 2" xfId="0"/>
    <cellStyle name="Normal 6 2 3 5 2 2" xfId="0"/>
    <cellStyle name="Normal 6 2 3 5 2 2 2" xfId="0"/>
    <cellStyle name="Normal 6 2 3 5 2 3" xfId="0"/>
    <cellStyle name="Normal 6 2 3 5 3" xfId="0"/>
    <cellStyle name="Normal 6 2 3 5 3 2" xfId="0"/>
    <cellStyle name="Normal 6 2 3 5 4" xfId="0"/>
    <cellStyle name="Normal 6 2 3 5_RH et QS" xfId="0"/>
    <cellStyle name="Normal 6 2 3 6" xfId="0"/>
    <cellStyle name="Normal 6 2 3 6 2" xfId="0"/>
    <cellStyle name="Normal 6 2 3 6 2 2" xfId="0"/>
    <cellStyle name="Normal 6 2 3 6 3" xfId="0"/>
    <cellStyle name="Normal 6 2 3 7" xfId="0"/>
    <cellStyle name="Normal 6 2 3 7 2" xfId="0"/>
    <cellStyle name="Normal 6 2 3 8" xfId="0"/>
    <cellStyle name="Normal 6 2 3_RH et QS" xfId="0"/>
    <cellStyle name="Normal 6 2 4" xfId="0"/>
    <cellStyle name="Normal 6 2 4 2" xfId="0"/>
    <cellStyle name="Normal 6 2 4 2 2" xfId="0"/>
    <cellStyle name="Normal 6 2 4 2 2 2" xfId="0"/>
    <cellStyle name="Normal 6 2 4 2 2 2 2" xfId="0"/>
    <cellStyle name="Normal 6 2 4 2 2 3" xfId="0"/>
    <cellStyle name="Normal 6 2 4 2 3" xfId="0"/>
    <cellStyle name="Normal 6 2 4 2 3 2" xfId="0"/>
    <cellStyle name="Normal 6 2 4 2 4" xfId="0"/>
    <cellStyle name="Normal 6 2 4 2_RH et QS" xfId="0"/>
    <cellStyle name="Normal 6 2 4 3" xfId="0"/>
    <cellStyle name="Normal 6 2 4 3 2" xfId="0"/>
    <cellStyle name="Normal 6 2 4 3 2 2" xfId="0"/>
    <cellStyle name="Normal 6 2 4 3 2 2 2" xfId="0"/>
    <cellStyle name="Normal 6 2 4 3 2 3" xfId="0"/>
    <cellStyle name="Normal 6 2 4 3 3" xfId="0"/>
    <cellStyle name="Normal 6 2 4 3 3 2" xfId="0"/>
    <cellStyle name="Normal 6 2 4 3 4" xfId="0"/>
    <cellStyle name="Normal 6 2 4 3_RH et QS" xfId="0"/>
    <cellStyle name="Normal 6 2 4 4" xfId="0"/>
    <cellStyle name="Normal 6 2 4 4 2" xfId="0"/>
    <cellStyle name="Normal 6 2 4 4 2 2" xfId="0"/>
    <cellStyle name="Normal 6 2 4 4 3" xfId="0"/>
    <cellStyle name="Normal 6 2 4 5" xfId="0"/>
    <cellStyle name="Normal 6 2 4 5 2" xfId="0"/>
    <cellStyle name="Normal 6 2 4 6" xfId="0"/>
    <cellStyle name="Normal 6 2 4_RH et QS" xfId="0"/>
    <cellStyle name="Normal 6 2 5" xfId="0"/>
    <cellStyle name="Normal 6 2 5 2" xfId="0"/>
    <cellStyle name="Normal 6 2 5 2 2" xfId="0"/>
    <cellStyle name="Normal 6 2 5 2 2 2" xfId="0"/>
    <cellStyle name="Normal 6 2 5 2 2 2 2" xfId="0"/>
    <cellStyle name="Normal 6 2 5 2 2 3" xfId="0"/>
    <cellStyle name="Normal 6 2 5 2 3" xfId="0"/>
    <cellStyle name="Normal 6 2 5 2 3 2" xfId="0"/>
    <cellStyle name="Normal 6 2 5 2 4" xfId="0"/>
    <cellStyle name="Normal 6 2 5 2_RH et QS" xfId="0"/>
    <cellStyle name="Normal 6 2 5 3" xfId="0"/>
    <cellStyle name="Normal 6 2 5 3 2" xfId="0"/>
    <cellStyle name="Normal 6 2 5 3 2 2" xfId="0"/>
    <cellStyle name="Normal 6 2 5 3 2 2 2" xfId="0"/>
    <cellStyle name="Normal 6 2 5 3 2 3" xfId="0"/>
    <cellStyle name="Normal 6 2 5 3 3" xfId="0"/>
    <cellStyle name="Normal 6 2 5 3 3 2" xfId="0"/>
    <cellStyle name="Normal 6 2 5 3 4" xfId="0"/>
    <cellStyle name="Normal 6 2 5 3_RH et QS" xfId="0"/>
    <cellStyle name="Normal 6 2 5 4" xfId="0"/>
    <cellStyle name="Normal 6 2 5 4 2" xfId="0"/>
    <cellStyle name="Normal 6 2 5 4 2 2" xfId="0"/>
    <cellStyle name="Normal 6 2 5 4 3" xfId="0"/>
    <cellStyle name="Normal 6 2 5 5" xfId="0"/>
    <cellStyle name="Normal 6 2 5 5 2" xfId="0"/>
    <cellStyle name="Normal 6 2 5 6" xfId="0"/>
    <cellStyle name="Normal 6 2 5_RH et QS" xfId="0"/>
    <cellStyle name="Normal 6 2 6" xfId="0"/>
    <cellStyle name="Normal 6 2 6 2" xfId="0"/>
    <cellStyle name="Normal 6 2 6 2 2" xfId="0"/>
    <cellStyle name="Normal 6 2 6 2 2 2" xfId="0"/>
    <cellStyle name="Normal 6 2 6 2 3" xfId="0"/>
    <cellStyle name="Normal 6 2 6 3" xfId="0"/>
    <cellStyle name="Normal 6 2 6 3 2" xfId="0"/>
    <cellStyle name="Normal 6 2 6 4" xfId="0"/>
    <cellStyle name="Normal 6 2 6_RH et QS" xfId="0"/>
    <cellStyle name="Normal 6 2 7" xfId="0"/>
    <cellStyle name="Normal 6 2 7 2" xfId="0"/>
    <cellStyle name="Normal 6 2 7 2 2" xfId="0"/>
    <cellStyle name="Normal 6 2 7 2 2 2" xfId="0"/>
    <cellStyle name="Normal 6 2 7 2 3" xfId="0"/>
    <cellStyle name="Normal 6 2 7 3" xfId="0"/>
    <cellStyle name="Normal 6 2 7 3 2" xfId="0"/>
    <cellStyle name="Normal 6 2 7 4" xfId="0"/>
    <cellStyle name="Normal 6 2 7_RH et QS" xfId="0"/>
    <cellStyle name="Normal 6 2 8" xfId="0"/>
    <cellStyle name="Normal 6 2 8 2" xfId="0"/>
    <cellStyle name="Normal 6 2 8 2 2" xfId="0"/>
    <cellStyle name="Normal 6 2 8 3" xfId="0"/>
    <cellStyle name="Normal 6 2 9" xfId="0"/>
    <cellStyle name="Normal 6 2 9 2" xfId="0"/>
    <cellStyle name="Normal 6 2_CA Fixe" xfId="0"/>
    <cellStyle name="Normal 6 3" xfId="0"/>
    <cellStyle name="Normal 6 4" xfId="0"/>
    <cellStyle name="Normal 60" xfId="0"/>
    <cellStyle name="Normal 61" xfId="0"/>
    <cellStyle name="Normal 62" xfId="0"/>
    <cellStyle name="Normal 63" xfId="0"/>
    <cellStyle name="Normal 64" xfId="0"/>
    <cellStyle name="Normal 65" xfId="0"/>
    <cellStyle name="Normal 66" xfId="0"/>
    <cellStyle name="Normal 67" xfId="0"/>
    <cellStyle name="Normal 68" xfId="0"/>
    <cellStyle name="Normal 69" xfId="0"/>
    <cellStyle name="Normal 7" xfId="0"/>
    <cellStyle name="Normal 7 2" xfId="0"/>
    <cellStyle name="Normal 70" xfId="0"/>
    <cellStyle name="Normal 71" xfId="0"/>
    <cellStyle name="Normal 72" xfId="0"/>
    <cellStyle name="Normal 73" xfId="0"/>
    <cellStyle name="Normal 74" xfId="0"/>
    <cellStyle name="Normal 74 2" xfId="0"/>
    <cellStyle name="Normal 74 2 2" xfId="0"/>
    <cellStyle name="Normal 74 2 2 2" xfId="0"/>
    <cellStyle name="Normal 74 2 2 2 2" xfId="0"/>
    <cellStyle name="Normal 74 2 2 3" xfId="0"/>
    <cellStyle name="Normal 74 2 3" xfId="0"/>
    <cellStyle name="Normal 74 2 3 2" xfId="0"/>
    <cellStyle name="Normal 74 2 4" xfId="0"/>
    <cellStyle name="Normal 74 2_RH et QS" xfId="0"/>
    <cellStyle name="Normal 74 3" xfId="0"/>
    <cellStyle name="Normal 74 3 2" xfId="0"/>
    <cellStyle name="Normal 74 3 2 2" xfId="0"/>
    <cellStyle name="Normal 74 3 2 2 2" xfId="0"/>
    <cellStyle name="Normal 74 3 2 3" xfId="0"/>
    <cellStyle name="Normal 74 3 3" xfId="0"/>
    <cellStyle name="Normal 74 3 3 2" xfId="0"/>
    <cellStyle name="Normal 74 3 4" xfId="0"/>
    <cellStyle name="Normal 74 3_RH et QS" xfId="0"/>
    <cellStyle name="Normal 74 4" xfId="0"/>
    <cellStyle name="Normal 74 4 2" xfId="0"/>
    <cellStyle name="Normal 74 4 2 2" xfId="0"/>
    <cellStyle name="Normal 74 4 3" xfId="0"/>
    <cellStyle name="Normal 74 5" xfId="0"/>
    <cellStyle name="Normal 74 5 2" xfId="0"/>
    <cellStyle name="Normal 74 6" xfId="0"/>
    <cellStyle name="Normal 74_RH et QS" xfId="0"/>
    <cellStyle name="Normal 75" xfId="0"/>
    <cellStyle name="Normal 75 2" xfId="0"/>
    <cellStyle name="Normal 75 2 2" xfId="0"/>
    <cellStyle name="Normal 75 2 2 2" xfId="0"/>
    <cellStyle name="Normal 75 2 2 2 2" xfId="0"/>
    <cellStyle name="Normal 75 2 2 3" xfId="0"/>
    <cellStyle name="Normal 75 2 3" xfId="0"/>
    <cellStyle name="Normal 75 2 3 2" xfId="0"/>
    <cellStyle name="Normal 75 2 4" xfId="0"/>
    <cellStyle name="Normal 75 2_RH et QS" xfId="0"/>
    <cellStyle name="Normal 75 3" xfId="0"/>
    <cellStyle name="Normal 75 3 2" xfId="0"/>
    <cellStyle name="Normal 75 3 2 2" xfId="0"/>
    <cellStyle name="Normal 75 3 2 2 2" xfId="0"/>
    <cellStyle name="Normal 75 3 2 3" xfId="0"/>
    <cellStyle name="Normal 75 3 3" xfId="0"/>
    <cellStyle name="Normal 75 3 3 2" xfId="0"/>
    <cellStyle name="Normal 75 3 4" xfId="0"/>
    <cellStyle name="Normal 75 3_RH et QS" xfId="0"/>
    <cellStyle name="Normal 75 4" xfId="0"/>
    <cellStyle name="Normal 75 4 2" xfId="0"/>
    <cellStyle name="Normal 75 4 2 2" xfId="0"/>
    <cellStyle name="Normal 75 4 3" xfId="0"/>
    <cellStyle name="Normal 75 5" xfId="0"/>
    <cellStyle name="Normal 75 5 2" xfId="0"/>
    <cellStyle name="Normal 75 6" xfId="0"/>
    <cellStyle name="Normal 75_RH et QS" xfId="0"/>
    <cellStyle name="Normal 76" xfId="0"/>
    <cellStyle name="Normal 76 2" xfId="0"/>
    <cellStyle name="Normal 76 2 2" xfId="0"/>
    <cellStyle name="Normal 76 2 2 2" xfId="0"/>
    <cellStyle name="Normal 76 2 2 2 2" xfId="0"/>
    <cellStyle name="Normal 76 2 2 3" xfId="0"/>
    <cellStyle name="Normal 76 2 3" xfId="0"/>
    <cellStyle name="Normal 76 2 3 2" xfId="0"/>
    <cellStyle name="Normal 76 2 4" xfId="0"/>
    <cellStyle name="Normal 76 2_RH et QS" xfId="0"/>
    <cellStyle name="Normal 76 3" xfId="0"/>
    <cellStyle name="Normal 76 3 2" xfId="0"/>
    <cellStyle name="Normal 76 3 2 2" xfId="0"/>
    <cellStyle name="Normal 76 3 2 2 2" xfId="0"/>
    <cellStyle name="Normal 76 3 2 3" xfId="0"/>
    <cellStyle name="Normal 76 3 3" xfId="0"/>
    <cellStyle name="Normal 76 3 3 2" xfId="0"/>
    <cellStyle name="Normal 76 3 4" xfId="0"/>
    <cellStyle name="Normal 76 3_RH et QS" xfId="0"/>
    <cellStyle name="Normal 76 4" xfId="0"/>
    <cellStyle name="Normal 76 4 2" xfId="0"/>
    <cellStyle name="Normal 76 4 2 2" xfId="0"/>
    <cellStyle name="Normal 76 4 3" xfId="0"/>
    <cellStyle name="Normal 76 5" xfId="0"/>
    <cellStyle name="Normal 76 5 2" xfId="0"/>
    <cellStyle name="Normal 76 6" xfId="0"/>
    <cellStyle name="Normal 76_RH et QS" xfId="0"/>
    <cellStyle name="Normal 77" xfId="0"/>
    <cellStyle name="Normal 77 2" xfId="0"/>
    <cellStyle name="Normal 77 2 2" xfId="0"/>
    <cellStyle name="Normal 77 2 2 2" xfId="0"/>
    <cellStyle name="Normal 77 2 2 2 2" xfId="0"/>
    <cellStyle name="Normal 77 2 2 3" xfId="0"/>
    <cellStyle name="Normal 77 2 3" xfId="0"/>
    <cellStyle name="Normal 77 2 3 2" xfId="0"/>
    <cellStyle name="Normal 77 2 4" xfId="0"/>
    <cellStyle name="Normal 77 2_RH et QS" xfId="0"/>
    <cellStyle name="Normal 77 3" xfId="0"/>
    <cellStyle name="Normal 77 3 2" xfId="0"/>
    <cellStyle name="Normal 77 3 2 2" xfId="0"/>
    <cellStyle name="Normal 77 3 2 2 2" xfId="0"/>
    <cellStyle name="Normal 77 3 2 3" xfId="0"/>
    <cellStyle name="Normal 77 3 3" xfId="0"/>
    <cellStyle name="Normal 77 3 3 2" xfId="0"/>
    <cellStyle name="Normal 77 3 4" xfId="0"/>
    <cellStyle name="Normal 77 3_RH et QS" xfId="0"/>
    <cellStyle name="Normal 77 4" xfId="0"/>
    <cellStyle name="Normal 77 4 2" xfId="0"/>
    <cellStyle name="Normal 77 4 2 2" xfId="0"/>
    <cellStyle name="Normal 77 4 3" xfId="0"/>
    <cellStyle name="Normal 77 5" xfId="0"/>
    <cellStyle name="Normal 77 5 2" xfId="0"/>
    <cellStyle name="Normal 77 6" xfId="0"/>
    <cellStyle name="Normal 77_RH et QS" xfId="0"/>
    <cellStyle name="Normal 78" xfId="0"/>
    <cellStyle name="Normal 78 2" xfId="0"/>
    <cellStyle name="Normal 78 2 2" xfId="0"/>
    <cellStyle name="Normal 78 2 2 2" xfId="0"/>
    <cellStyle name="Normal 78 2 2 2 2" xfId="0"/>
    <cellStyle name="Normal 78 2 2 3" xfId="0"/>
    <cellStyle name="Normal 78 2 3" xfId="0"/>
    <cellStyle name="Normal 78 2 3 2" xfId="0"/>
    <cellStyle name="Normal 78 2 4" xfId="0"/>
    <cellStyle name="Normal 78 2_RH et QS" xfId="0"/>
    <cellStyle name="Normal 78 3" xfId="0"/>
    <cellStyle name="Normal 78 3 2" xfId="0"/>
    <cellStyle name="Normal 78 3 2 2" xfId="0"/>
    <cellStyle name="Normal 78 3 2 2 2" xfId="0"/>
    <cellStyle name="Normal 78 3 2 3" xfId="0"/>
    <cellStyle name="Normal 78 3 3" xfId="0"/>
    <cellStyle name="Normal 78 3 3 2" xfId="0"/>
    <cellStyle name="Normal 78 3 4" xfId="0"/>
    <cellStyle name="Normal 78 3_RH et QS" xfId="0"/>
    <cellStyle name="Normal 78 4" xfId="0"/>
    <cellStyle name="Normal 78 4 2" xfId="0"/>
    <cellStyle name="Normal 78 4 2 2" xfId="0"/>
    <cellStyle name="Normal 78 4 3" xfId="0"/>
    <cellStyle name="Normal 78 5" xfId="0"/>
    <cellStyle name="Normal 78 5 2" xfId="0"/>
    <cellStyle name="Normal 78 6" xfId="0"/>
    <cellStyle name="Normal 78_RH et QS" xfId="0"/>
    <cellStyle name="Normal 79" xfId="0"/>
    <cellStyle name="Normal 79 2" xfId="0"/>
    <cellStyle name="Normal 79 2 2" xfId="0"/>
    <cellStyle name="Normal 79 2 2 2" xfId="0"/>
    <cellStyle name="Normal 79 2 2 2 2" xfId="0"/>
    <cellStyle name="Normal 79 2 2 3" xfId="0"/>
    <cellStyle name="Normal 79 2 3" xfId="0"/>
    <cellStyle name="Normal 79 2 3 2" xfId="0"/>
    <cellStyle name="Normal 79 2 4" xfId="0"/>
    <cellStyle name="Normal 79 2_RH et QS" xfId="0"/>
    <cellStyle name="Normal 79 3" xfId="0"/>
    <cellStyle name="Normal 79 3 2" xfId="0"/>
    <cellStyle name="Normal 79 3 2 2" xfId="0"/>
    <cellStyle name="Normal 79 3 2 2 2" xfId="0"/>
    <cellStyle name="Normal 79 3 2 3" xfId="0"/>
    <cellStyle name="Normal 79 3 3" xfId="0"/>
    <cellStyle name="Normal 79 3 3 2" xfId="0"/>
    <cellStyle name="Normal 79 3 4" xfId="0"/>
    <cellStyle name="Normal 79 3_RH et QS" xfId="0"/>
    <cellStyle name="Normal 79 4" xfId="0"/>
    <cellStyle name="Normal 79 4 2" xfId="0"/>
    <cellStyle name="Normal 79 4 2 2" xfId="0"/>
    <cellStyle name="Normal 79 4 3" xfId="0"/>
    <cellStyle name="Normal 79 5" xfId="0"/>
    <cellStyle name="Normal 79 5 2" xfId="0"/>
    <cellStyle name="Normal 79 6" xfId="0"/>
    <cellStyle name="Normal 79_RH et QS" xfId="0"/>
    <cellStyle name="Normal 8" xfId="0"/>
    <cellStyle name="Normal 8 10" xfId="0"/>
    <cellStyle name="Normal 8 2" xfId="0"/>
    <cellStyle name="Normal 8 2 2" xfId="0"/>
    <cellStyle name="Normal 8 2 2 2" xfId="0"/>
    <cellStyle name="Normal 8 2 2 2 2" xfId="0"/>
    <cellStyle name="Normal 8 2 2 2 2 2" xfId="0"/>
    <cellStyle name="Normal 8 2 2 2 2 2 2" xfId="0"/>
    <cellStyle name="Normal 8 2 2 2 2 3" xfId="0"/>
    <cellStyle name="Normal 8 2 2 2 3" xfId="0"/>
    <cellStyle name="Normal 8 2 2 2 3 2" xfId="0"/>
    <cellStyle name="Normal 8 2 2 2 4" xfId="0"/>
    <cellStyle name="Normal 8 2 2 2_RH et QS" xfId="0"/>
    <cellStyle name="Normal 8 2 2 3" xfId="0"/>
    <cellStyle name="Normal 8 2 2 3 2" xfId="0"/>
    <cellStyle name="Normal 8 2 2 3 2 2" xfId="0"/>
    <cellStyle name="Normal 8 2 2 3 2 2 2" xfId="0"/>
    <cellStyle name="Normal 8 2 2 3 2 3" xfId="0"/>
    <cellStyle name="Normal 8 2 2 3 3" xfId="0"/>
    <cellStyle name="Normal 8 2 2 3 3 2" xfId="0"/>
    <cellStyle name="Normal 8 2 2 3 4" xfId="0"/>
    <cellStyle name="Normal 8 2 2 3_RH et QS" xfId="0"/>
    <cellStyle name="Normal 8 2 2 4" xfId="0"/>
    <cellStyle name="Normal 8 2 2 4 2" xfId="0"/>
    <cellStyle name="Normal 8 2 2 4 2 2" xfId="0"/>
    <cellStyle name="Normal 8 2 2 4 3" xfId="0"/>
    <cellStyle name="Normal 8 2 2 5" xfId="0"/>
    <cellStyle name="Normal 8 2 2 5 2" xfId="0"/>
    <cellStyle name="Normal 8 2 2 6" xfId="0"/>
    <cellStyle name="Normal 8 2 2_RH et QS" xfId="0"/>
    <cellStyle name="Normal 8 2 3" xfId="0"/>
    <cellStyle name="Normal 8 2 3 2" xfId="0"/>
    <cellStyle name="Normal 8 2 3 2 2" xfId="0"/>
    <cellStyle name="Normal 8 2 3 2 2 2" xfId="0"/>
    <cellStyle name="Normal 8 2 3 2 2 2 2" xfId="0"/>
    <cellStyle name="Normal 8 2 3 2 2 3" xfId="0"/>
    <cellStyle name="Normal 8 2 3 2 3" xfId="0"/>
    <cellStyle name="Normal 8 2 3 2 3 2" xfId="0"/>
    <cellStyle name="Normal 8 2 3 2 4" xfId="0"/>
    <cellStyle name="Normal 8 2 3 2_RH et QS" xfId="0"/>
    <cellStyle name="Normal 8 2 3 3" xfId="0"/>
    <cellStyle name="Normal 8 2 3 3 2" xfId="0"/>
    <cellStyle name="Normal 8 2 3 3 2 2" xfId="0"/>
    <cellStyle name="Normal 8 2 3 3 2 2 2" xfId="0"/>
    <cellStyle name="Normal 8 2 3 3 2 3" xfId="0"/>
    <cellStyle name="Normal 8 2 3 3 3" xfId="0"/>
    <cellStyle name="Normal 8 2 3 3 3 2" xfId="0"/>
    <cellStyle name="Normal 8 2 3 3 4" xfId="0"/>
    <cellStyle name="Normal 8 2 3 3_RH et QS" xfId="0"/>
    <cellStyle name="Normal 8 2 3 4" xfId="0"/>
    <cellStyle name="Normal 8 2 3 4 2" xfId="0"/>
    <cellStyle name="Normal 8 2 3 4 2 2" xfId="0"/>
    <cellStyle name="Normal 8 2 3 4 3" xfId="0"/>
    <cellStyle name="Normal 8 2 3 5" xfId="0"/>
    <cellStyle name="Normal 8 2 3 5 2" xfId="0"/>
    <cellStyle name="Normal 8 2 3 6" xfId="0"/>
    <cellStyle name="Normal 8 2 3_RH et QS" xfId="0"/>
    <cellStyle name="Normal 8 2 4" xfId="0"/>
    <cellStyle name="Normal 8 2 4 2" xfId="0"/>
    <cellStyle name="Normal 8 2 4 2 2" xfId="0"/>
    <cellStyle name="Normal 8 2 4 2 2 2" xfId="0"/>
    <cellStyle name="Normal 8 2 4 2 3" xfId="0"/>
    <cellStyle name="Normal 8 2 4 3" xfId="0"/>
    <cellStyle name="Normal 8 2 4 3 2" xfId="0"/>
    <cellStyle name="Normal 8 2 4 4" xfId="0"/>
    <cellStyle name="Normal 8 2 4_RH et QS" xfId="0"/>
    <cellStyle name="Normal 8 2 5" xfId="0"/>
    <cellStyle name="Normal 8 2 5 2" xfId="0"/>
    <cellStyle name="Normal 8 2 5 2 2" xfId="0"/>
    <cellStyle name="Normal 8 2 5 2 2 2" xfId="0"/>
    <cellStyle name="Normal 8 2 5 2 3" xfId="0"/>
    <cellStyle name="Normal 8 2 5 3" xfId="0"/>
    <cellStyle name="Normal 8 2 5 3 2" xfId="0"/>
    <cellStyle name="Normal 8 2 5 4" xfId="0"/>
    <cellStyle name="Normal 8 2 5_RH et QS" xfId="0"/>
    <cellStyle name="Normal 8 2 6" xfId="0"/>
    <cellStyle name="Normal 8 2 6 2" xfId="0"/>
    <cellStyle name="Normal 8 2 6 2 2" xfId="0"/>
    <cellStyle name="Normal 8 2 6 2 2 2" xfId="0"/>
    <cellStyle name="Normal 8 2 6 2 3" xfId="0"/>
    <cellStyle name="Normal 8 2 6 3" xfId="0"/>
    <cellStyle name="Normal 8 2 6 3 2" xfId="0"/>
    <cellStyle name="Normal 8 2 6 4" xfId="0"/>
    <cellStyle name="Normal 8 2 6_RH et QS" xfId="0"/>
    <cellStyle name="Normal 8 2 7" xfId="0"/>
    <cellStyle name="Normal 8 2 7 2" xfId="0"/>
    <cellStyle name="Normal 8 2 7 2 2" xfId="0"/>
    <cellStyle name="Normal 8 2 7 3" xfId="0"/>
    <cellStyle name="Normal 8 2 8" xfId="0"/>
    <cellStyle name="Normal 8 2 8 2" xfId="0"/>
    <cellStyle name="Normal 8 2 9" xfId="0"/>
    <cellStyle name="Normal 8 2_RH et QS" xfId="0"/>
    <cellStyle name="Normal 8 3" xfId="0"/>
    <cellStyle name="Normal 8 4" xfId="0"/>
    <cellStyle name="Normal 8 4 2" xfId="0"/>
    <cellStyle name="Normal 8 4 2 2" xfId="0"/>
    <cellStyle name="Normal 8 4 2 2 2" xfId="0"/>
    <cellStyle name="Normal 8 4 2 2 2 2" xfId="0"/>
    <cellStyle name="Normal 8 4 2 2 3" xfId="0"/>
    <cellStyle name="Normal 8 4 2 3" xfId="0"/>
    <cellStyle name="Normal 8 4 2 3 2" xfId="0"/>
    <cellStyle name="Normal 8 4 2 4" xfId="0"/>
    <cellStyle name="Normal 8 4 2_RH et QS" xfId="0"/>
    <cellStyle name="Normal 8 4 3" xfId="0"/>
    <cellStyle name="Normal 8 4 3 2" xfId="0"/>
    <cellStyle name="Normal 8 4 3 2 2" xfId="0"/>
    <cellStyle name="Normal 8 4 3 2 2 2" xfId="0"/>
    <cellStyle name="Normal 8 4 3 2 3" xfId="0"/>
    <cellStyle name="Normal 8 4 3 3" xfId="0"/>
    <cellStyle name="Normal 8 4 3 3 2" xfId="0"/>
    <cellStyle name="Normal 8 4 3 4" xfId="0"/>
    <cellStyle name="Normal 8 4 3_RH et QS" xfId="0"/>
    <cellStyle name="Normal 8 4 4" xfId="0"/>
    <cellStyle name="Normal 8 4 4 2" xfId="0"/>
    <cellStyle name="Normal 8 4 4 2 2" xfId="0"/>
    <cellStyle name="Normal 8 4 4 3" xfId="0"/>
    <cellStyle name="Normal 8 4 5" xfId="0"/>
    <cellStyle name="Normal 8 4 5 2" xfId="0"/>
    <cellStyle name="Normal 8 4 6" xfId="0"/>
    <cellStyle name="Normal 8 4_RH et QS" xfId="0"/>
    <cellStyle name="Normal 8 5" xfId="0"/>
    <cellStyle name="Normal 8 5 2" xfId="0"/>
    <cellStyle name="Normal 8 5 2 2" xfId="0"/>
    <cellStyle name="Normal 8 5 2 2 2" xfId="0"/>
    <cellStyle name="Normal 8 5 2 2 2 2" xfId="0"/>
    <cellStyle name="Normal 8 5 2 2 3" xfId="0"/>
    <cellStyle name="Normal 8 5 2 3" xfId="0"/>
    <cellStyle name="Normal 8 5 2 3 2" xfId="0"/>
    <cellStyle name="Normal 8 5 2 4" xfId="0"/>
    <cellStyle name="Normal 8 5 2_RH et QS" xfId="0"/>
    <cellStyle name="Normal 8 5 3" xfId="0"/>
    <cellStyle name="Normal 8 5 3 2" xfId="0"/>
    <cellStyle name="Normal 8 5 3 2 2" xfId="0"/>
    <cellStyle name="Normal 8 5 3 2 2 2" xfId="0"/>
    <cellStyle name="Normal 8 5 3 2 3" xfId="0"/>
    <cellStyle name="Normal 8 5 3 3" xfId="0"/>
    <cellStyle name="Normal 8 5 3 3 2" xfId="0"/>
    <cellStyle name="Normal 8 5 3 4" xfId="0"/>
    <cellStyle name="Normal 8 5 3_RH et QS" xfId="0"/>
    <cellStyle name="Normal 8 5 4" xfId="0"/>
    <cellStyle name="Normal 8 5 4 2" xfId="0"/>
    <cellStyle name="Normal 8 5 4 2 2" xfId="0"/>
    <cellStyle name="Normal 8 5 4 3" xfId="0"/>
    <cellStyle name="Normal 8 5 5" xfId="0"/>
    <cellStyle name="Normal 8 5 5 2" xfId="0"/>
    <cellStyle name="Normal 8 5 6" xfId="0"/>
    <cellStyle name="Normal 8 5_RH et QS" xfId="0"/>
    <cellStyle name="Normal 8 6" xfId="0"/>
    <cellStyle name="Normal 8 6 2" xfId="0"/>
    <cellStyle name="Normal 8 6 2 2" xfId="0"/>
    <cellStyle name="Normal 8 6 2 2 2" xfId="0"/>
    <cellStyle name="Normal 8 6 2 3" xfId="0"/>
    <cellStyle name="Normal 8 6 3" xfId="0"/>
    <cellStyle name="Normal 8 6 3 2" xfId="0"/>
    <cellStyle name="Normal 8 6 4" xfId="0"/>
    <cellStyle name="Normal 8 6_RH et QS" xfId="0"/>
    <cellStyle name="Normal 8 7" xfId="0"/>
    <cellStyle name="Normal 8 7 2" xfId="0"/>
    <cellStyle name="Normal 8 7 2 2" xfId="0"/>
    <cellStyle name="Normal 8 7 2 2 2" xfId="0"/>
    <cellStyle name="Normal 8 7 2 3" xfId="0"/>
    <cellStyle name="Normal 8 7 3" xfId="0"/>
    <cellStyle name="Normal 8 7 3 2" xfId="0"/>
    <cellStyle name="Normal 8 7 4" xfId="0"/>
    <cellStyle name="Normal 8 7_RH et QS" xfId="0"/>
    <cellStyle name="Normal 8 8" xfId="0"/>
    <cellStyle name="Normal 8 8 2" xfId="0"/>
    <cellStyle name="Normal 8 8 2 2" xfId="0"/>
    <cellStyle name="Normal 8 8 3" xfId="0"/>
    <cellStyle name="Normal 8 9" xfId="0"/>
    <cellStyle name="Normal 8 9 2" xfId="0"/>
    <cellStyle name="Normal 80" xfId="0"/>
    <cellStyle name="Normal 80 2" xfId="0"/>
    <cellStyle name="Normal 80 2 2" xfId="0"/>
    <cellStyle name="Normal 80 2 2 2" xfId="0"/>
    <cellStyle name="Normal 80 2 2 2 2" xfId="0"/>
    <cellStyle name="Normal 80 2 2 3" xfId="0"/>
    <cellStyle name="Normal 80 2 3" xfId="0"/>
    <cellStyle name="Normal 80 2 3 2" xfId="0"/>
    <cellStyle name="Normal 80 2 4" xfId="0"/>
    <cellStyle name="Normal 80 2_RH et QS" xfId="0"/>
    <cellStyle name="Normal 80 3" xfId="0"/>
    <cellStyle name="Normal 80 3 2" xfId="0"/>
    <cellStyle name="Normal 80 3 2 2" xfId="0"/>
    <cellStyle name="Normal 80 3 2 2 2" xfId="0"/>
    <cellStyle name="Normal 80 3 2 3" xfId="0"/>
    <cellStyle name="Normal 80 3 3" xfId="0"/>
    <cellStyle name="Normal 80 3 3 2" xfId="0"/>
    <cellStyle name="Normal 80 3 4" xfId="0"/>
    <cellStyle name="Normal 80 3_RH et QS" xfId="0"/>
    <cellStyle name="Normal 80 4" xfId="0"/>
    <cellStyle name="Normal 80 4 2" xfId="0"/>
    <cellStyle name="Normal 80 4 2 2" xfId="0"/>
    <cellStyle name="Normal 80 4 3" xfId="0"/>
    <cellStyle name="Normal 80 5" xfId="0"/>
    <cellStyle name="Normal 80 5 2" xfId="0"/>
    <cellStyle name="Normal 80 6" xfId="0"/>
    <cellStyle name="Normal 80_RH et QS" xfId="0"/>
    <cellStyle name="Normal 81" xfId="0"/>
    <cellStyle name="Normal 81 2" xfId="0"/>
    <cellStyle name="Normal 81 2 2" xfId="0"/>
    <cellStyle name="Normal 81 2 2 2" xfId="0"/>
    <cellStyle name="Normal 81 2 2 2 2" xfId="0"/>
    <cellStyle name="Normal 81 2 2 3" xfId="0"/>
    <cellStyle name="Normal 81 2 3" xfId="0"/>
    <cellStyle name="Normal 81 2 3 2" xfId="0"/>
    <cellStyle name="Normal 81 2 4" xfId="0"/>
    <cellStyle name="Normal 81 2_RH et QS" xfId="0"/>
    <cellStyle name="Normal 81 3" xfId="0"/>
    <cellStyle name="Normal 81 3 2" xfId="0"/>
    <cellStyle name="Normal 81 3 2 2" xfId="0"/>
    <cellStyle name="Normal 81 3 2 2 2" xfId="0"/>
    <cellStyle name="Normal 81 3 2 3" xfId="0"/>
    <cellStyle name="Normal 81 3 3" xfId="0"/>
    <cellStyle name="Normal 81 3 3 2" xfId="0"/>
    <cellStyle name="Normal 81 3 4" xfId="0"/>
    <cellStyle name="Normal 81 3_RH et QS" xfId="0"/>
    <cellStyle name="Normal 81 4" xfId="0"/>
    <cellStyle name="Normal 81 4 2" xfId="0"/>
    <cellStyle name="Normal 81 4 2 2" xfId="0"/>
    <cellStyle name="Normal 81 4 3" xfId="0"/>
    <cellStyle name="Normal 81 5" xfId="0"/>
    <cellStyle name="Normal 81 5 2" xfId="0"/>
    <cellStyle name="Normal 81 6" xfId="0"/>
    <cellStyle name="Normal 81_RH et QS" xfId="0"/>
    <cellStyle name="Normal 82" xfId="0"/>
    <cellStyle name="Normal 82 2" xfId="0"/>
    <cellStyle name="Normal 82 2 2" xfId="0"/>
    <cellStyle name="Normal 82 3" xfId="0"/>
    <cellStyle name="Normal 83" xfId="0"/>
    <cellStyle name="Normal 83 2" xfId="0"/>
    <cellStyle name="Normal 83 2 2" xfId="0"/>
    <cellStyle name="Normal 83 2 2 2" xfId="0"/>
    <cellStyle name="Normal 83 2 2 2 2" xfId="0"/>
    <cellStyle name="Normal 83 2 2 3" xfId="0"/>
    <cellStyle name="Normal 83 2 3" xfId="0"/>
    <cellStyle name="Normal 83 2 3 2" xfId="0"/>
    <cellStyle name="Normal 83 2 4" xfId="0"/>
    <cellStyle name="Normal 83 2_RH et QS" xfId="0"/>
    <cellStyle name="Normal 83 3" xfId="0"/>
    <cellStyle name="Normal 83 3 2" xfId="0"/>
    <cellStyle name="Normal 83 3 2 2" xfId="0"/>
    <cellStyle name="Normal 83 3 2 2 2" xfId="0"/>
    <cellStyle name="Normal 83 3 2 3" xfId="0"/>
    <cellStyle name="Normal 83 3 3" xfId="0"/>
    <cellStyle name="Normal 83 3 3 2" xfId="0"/>
    <cellStyle name="Normal 83 3 4" xfId="0"/>
    <cellStyle name="Normal 83 3_RH et QS" xfId="0"/>
    <cellStyle name="Normal 83 4" xfId="0"/>
    <cellStyle name="Normal 83 4 2" xfId="0"/>
    <cellStyle name="Normal 83 4 2 2" xfId="0"/>
    <cellStyle name="Normal 83 4 3" xfId="0"/>
    <cellStyle name="Normal 83 5" xfId="0"/>
    <cellStyle name="Normal 83 5 2" xfId="0"/>
    <cellStyle name="Normal 83 6" xfId="0"/>
    <cellStyle name="Normal 83_RH et QS" xfId="0"/>
    <cellStyle name="Normal 84" xfId="0"/>
    <cellStyle name="Normal 84 2" xfId="0"/>
    <cellStyle name="Normal 84 2 2" xfId="0"/>
    <cellStyle name="Normal 84 3" xfId="0"/>
    <cellStyle name="Normal 85" xfId="0"/>
    <cellStyle name="Normal 85 2" xfId="0"/>
    <cellStyle name="Normal 85 2 2" xfId="0"/>
    <cellStyle name="Normal 85 2 2 2" xfId="0"/>
    <cellStyle name="Normal 85 2 2 2 2" xfId="0"/>
    <cellStyle name="Normal 85 2 2 3" xfId="0"/>
    <cellStyle name="Normal 85 2 3" xfId="0"/>
    <cellStyle name="Normal 85 2 3 2" xfId="0"/>
    <cellStyle name="Normal 85 2 4" xfId="0"/>
    <cellStyle name="Normal 85 2_RH et QS" xfId="0"/>
    <cellStyle name="Normal 85 3" xfId="0"/>
    <cellStyle name="Normal 85 3 2" xfId="0"/>
    <cellStyle name="Normal 85 3 2 2" xfId="0"/>
    <cellStyle name="Normal 85 3 2 2 2" xfId="0"/>
    <cellStyle name="Normal 85 3 2 3" xfId="0"/>
    <cellStyle name="Normal 85 3 3" xfId="0"/>
    <cellStyle name="Normal 85 3 3 2" xfId="0"/>
    <cellStyle name="Normal 85 3 4" xfId="0"/>
    <cellStyle name="Normal 85 3_RH et QS" xfId="0"/>
    <cellStyle name="Normal 85 4" xfId="0"/>
    <cellStyle name="Normal 85 4 2" xfId="0"/>
    <cellStyle name="Normal 85 4 2 2" xfId="0"/>
    <cellStyle name="Normal 85 4 3" xfId="0"/>
    <cellStyle name="Normal 85 5" xfId="0"/>
    <cellStyle name="Normal 85 5 2" xfId="0"/>
    <cellStyle name="Normal 85 6" xfId="0"/>
    <cellStyle name="Normal 85_RH et QS" xfId="0"/>
    <cellStyle name="Normal 86" xfId="0"/>
    <cellStyle name="Normal 86 2" xfId="0"/>
    <cellStyle name="Normal 86 2 2" xfId="0"/>
    <cellStyle name="Normal 86 2 2 2" xfId="0"/>
    <cellStyle name="Normal 86 2 2 2 2" xfId="0"/>
    <cellStyle name="Normal 86 2 2 3" xfId="0"/>
    <cellStyle name="Normal 86 2 3" xfId="0"/>
    <cellStyle name="Normal 86 2 3 2" xfId="0"/>
    <cellStyle name="Normal 86 2 4" xfId="0"/>
    <cellStyle name="Normal 86 2_RH et QS" xfId="0"/>
    <cellStyle name="Normal 86 3" xfId="0"/>
    <cellStyle name="Normal 86 3 2" xfId="0"/>
    <cellStyle name="Normal 86 3 2 2" xfId="0"/>
    <cellStyle name="Normal 86 3 2 2 2" xfId="0"/>
    <cellStyle name="Normal 86 3 2 3" xfId="0"/>
    <cellStyle name="Normal 86 3 3" xfId="0"/>
    <cellStyle name="Normal 86 3 3 2" xfId="0"/>
    <cellStyle name="Normal 86 3 4" xfId="0"/>
    <cellStyle name="Normal 86 3_RH et QS" xfId="0"/>
    <cellStyle name="Normal 86 4" xfId="0"/>
    <cellStyle name="Normal 86 4 2" xfId="0"/>
    <cellStyle name="Normal 86 4 2 2" xfId="0"/>
    <cellStyle name="Normal 86 4 3" xfId="0"/>
    <cellStyle name="Normal 86 5" xfId="0"/>
    <cellStyle name="Normal 86 5 2" xfId="0"/>
    <cellStyle name="Normal 86 6" xfId="0"/>
    <cellStyle name="Normal 86_RH et QS" xfId="0"/>
    <cellStyle name="Normal 87" xfId="0"/>
    <cellStyle name="Normal 87 2" xfId="0"/>
    <cellStyle name="Normal 87 2 2" xfId="0"/>
    <cellStyle name="Normal 87 2 2 2" xfId="0"/>
    <cellStyle name="Normal 87 2 2 2 2" xfId="0"/>
    <cellStyle name="Normal 87 2 2 3" xfId="0"/>
    <cellStyle name="Normal 87 2 3" xfId="0"/>
    <cellStyle name="Normal 87 2 3 2" xfId="0"/>
    <cellStyle name="Normal 87 2 4" xfId="0"/>
    <cellStyle name="Normal 87 2_RH et QS" xfId="0"/>
    <cellStyle name="Normal 87 3" xfId="0"/>
    <cellStyle name="Normal 87 3 2" xfId="0"/>
    <cellStyle name="Normal 87 3 2 2" xfId="0"/>
    <cellStyle name="Normal 87 3 2 2 2" xfId="0"/>
    <cellStyle name="Normal 87 3 2 3" xfId="0"/>
    <cellStyle name="Normal 87 3 3" xfId="0"/>
    <cellStyle name="Normal 87 3 3 2" xfId="0"/>
    <cellStyle name="Normal 87 3 4" xfId="0"/>
    <cellStyle name="Normal 87 3_RH et QS" xfId="0"/>
    <cellStyle name="Normal 87 4" xfId="0"/>
    <cellStyle name="Normal 87 4 2" xfId="0"/>
    <cellStyle name="Normal 87 4 2 2" xfId="0"/>
    <cellStyle name="Normal 87 4 3" xfId="0"/>
    <cellStyle name="Normal 87 5" xfId="0"/>
    <cellStyle name="Normal 87 5 2" xfId="0"/>
    <cellStyle name="Normal 87 6" xfId="0"/>
    <cellStyle name="Normal 87_RH et QS" xfId="0"/>
    <cellStyle name="Normal 88" xfId="0"/>
    <cellStyle name="Normal 88 2" xfId="0"/>
    <cellStyle name="Normal 88 2 2" xfId="0"/>
    <cellStyle name="Normal 88 2 2 2" xfId="0"/>
    <cellStyle name="Normal 88 2 2 2 2" xfId="0"/>
    <cellStyle name="Normal 88 2 2 3" xfId="0"/>
    <cellStyle name="Normal 88 2 3" xfId="0"/>
    <cellStyle name="Normal 88 2 3 2" xfId="0"/>
    <cellStyle name="Normal 88 2 4" xfId="0"/>
    <cellStyle name="Normal 88 2_RH et QS" xfId="0"/>
    <cellStyle name="Normal 88 3" xfId="0"/>
    <cellStyle name="Normal 88 3 2" xfId="0"/>
    <cellStyle name="Normal 88 3 2 2" xfId="0"/>
    <cellStyle name="Normal 88 3 2 2 2" xfId="0"/>
    <cellStyle name="Normal 88 3 2 3" xfId="0"/>
    <cellStyle name="Normal 88 3 3" xfId="0"/>
    <cellStyle name="Normal 88 3 3 2" xfId="0"/>
    <cellStyle name="Normal 88 3 4" xfId="0"/>
    <cellStyle name="Normal 88 3_RH et QS" xfId="0"/>
    <cellStyle name="Normal 88 4" xfId="0"/>
    <cellStyle name="Normal 88 4 2" xfId="0"/>
    <cellStyle name="Normal 88 4 2 2" xfId="0"/>
    <cellStyle name="Normal 88 4 3" xfId="0"/>
    <cellStyle name="Normal 88 5" xfId="0"/>
    <cellStyle name="Normal 88 5 2" xfId="0"/>
    <cellStyle name="Normal 88 6" xfId="0"/>
    <cellStyle name="Normal 88_RH et QS" xfId="0"/>
    <cellStyle name="Normal 89" xfId="0"/>
    <cellStyle name="Normal 89 2" xfId="0"/>
    <cellStyle name="Normal 89 2 2" xfId="0"/>
    <cellStyle name="Normal 89 2 2 2" xfId="0"/>
    <cellStyle name="Normal 89 2 2 2 2" xfId="0"/>
    <cellStyle name="Normal 89 2 2 3" xfId="0"/>
    <cellStyle name="Normal 89 2 3" xfId="0"/>
    <cellStyle name="Normal 89 2 3 2" xfId="0"/>
    <cellStyle name="Normal 89 2 4" xfId="0"/>
    <cellStyle name="Normal 89 2_RH et QS" xfId="0"/>
    <cellStyle name="Normal 89 3" xfId="0"/>
    <cellStyle name="Normal 89 3 2" xfId="0"/>
    <cellStyle name="Normal 89 3 2 2" xfId="0"/>
    <cellStyle name="Normal 89 3 2 2 2" xfId="0"/>
    <cellStyle name="Normal 89 3 2 3" xfId="0"/>
    <cellStyle name="Normal 89 3 3" xfId="0"/>
    <cellStyle name="Normal 89 3 3 2" xfId="0"/>
    <cellStyle name="Normal 89 3 4" xfId="0"/>
    <cellStyle name="Normal 89 3_RH et QS" xfId="0"/>
    <cellStyle name="Normal 89 4" xfId="0"/>
    <cellStyle name="Normal 89 4 2" xfId="0"/>
    <cellStyle name="Normal 89 4 2 2" xfId="0"/>
    <cellStyle name="Normal 89 4 3" xfId="0"/>
    <cellStyle name="Normal 89 5" xfId="0"/>
    <cellStyle name="Normal 89 5 2" xfId="0"/>
    <cellStyle name="Normal 89 6" xfId="0"/>
    <cellStyle name="Normal 89_RH et QS" xfId="0"/>
    <cellStyle name="Normal 8_RH et QS" xfId="0"/>
    <cellStyle name="Normal 9" xfId="0"/>
    <cellStyle name="Normal 9 2" xfId="0"/>
    <cellStyle name="Normal 9 2 2" xfId="0"/>
    <cellStyle name="Normal 9 2 2 2" xfId="0"/>
    <cellStyle name="Normal 9 2 2 2 2" xfId="0"/>
    <cellStyle name="Normal 9 2 2 3" xfId="0"/>
    <cellStyle name="Normal 9 2 3" xfId="0"/>
    <cellStyle name="Normal 9 2 3 2" xfId="0"/>
    <cellStyle name="Normal 9 2 4" xfId="0"/>
    <cellStyle name="Normal 9 2_RH et QS" xfId="0"/>
    <cellStyle name="Normal 90" xfId="0"/>
    <cellStyle name="Normal 90 2" xfId="0"/>
    <cellStyle name="Normal 90 2 2" xfId="0"/>
    <cellStyle name="Normal 90 2 2 2" xfId="0"/>
    <cellStyle name="Normal 90 2 2 2 2" xfId="0"/>
    <cellStyle name="Normal 90 2 2 3" xfId="0"/>
    <cellStyle name="Normal 90 2 3" xfId="0"/>
    <cellStyle name="Normal 90 2 3 2" xfId="0"/>
    <cellStyle name="Normal 90 2 4" xfId="0"/>
    <cellStyle name="Normal 90 2_RH et QS" xfId="0"/>
    <cellStyle name="Normal 90 3" xfId="0"/>
    <cellStyle name="Normal 90 3 2" xfId="0"/>
    <cellStyle name="Normal 90 3 2 2" xfId="0"/>
    <cellStyle name="Normal 90 3 2 2 2" xfId="0"/>
    <cellStyle name="Normal 90 3 2 3" xfId="0"/>
    <cellStyle name="Normal 90 3 3" xfId="0"/>
    <cellStyle name="Normal 90 3 3 2" xfId="0"/>
    <cellStyle name="Normal 90 3 4" xfId="0"/>
    <cellStyle name="Normal 90 3_RH et QS" xfId="0"/>
    <cellStyle name="Normal 90 4" xfId="0"/>
    <cellStyle name="Normal 90 4 2" xfId="0"/>
    <cellStyle name="Normal 90 4 2 2" xfId="0"/>
    <cellStyle name="Normal 90 4 3" xfId="0"/>
    <cellStyle name="Normal 90 5" xfId="0"/>
    <cellStyle name="Normal 90 5 2" xfId="0"/>
    <cellStyle name="Normal 90 6" xfId="0"/>
    <cellStyle name="Normal 90_RH et QS" xfId="0"/>
    <cellStyle name="Normal 91" xfId="0"/>
    <cellStyle name="Normal 91 2" xfId="0"/>
    <cellStyle name="Normal 91 2 2" xfId="0"/>
    <cellStyle name="Normal 91 2 2 2" xfId="0"/>
    <cellStyle name="Normal 91 2 2 2 2" xfId="0"/>
    <cellStyle name="Normal 91 2 2 3" xfId="0"/>
    <cellStyle name="Normal 91 2 3" xfId="0"/>
    <cellStyle name="Normal 91 2 3 2" xfId="0"/>
    <cellStyle name="Normal 91 2 4" xfId="0"/>
    <cellStyle name="Normal 91 2_RH et QS" xfId="0"/>
    <cellStyle name="Normal 91 3" xfId="0"/>
    <cellStyle name="Normal 91 3 2" xfId="0"/>
    <cellStyle name="Normal 91 3 2 2" xfId="0"/>
    <cellStyle name="Normal 91 3 2 2 2" xfId="0"/>
    <cellStyle name="Normal 91 3 2 3" xfId="0"/>
    <cellStyle name="Normal 91 3 3" xfId="0"/>
    <cellStyle name="Normal 91 3 3 2" xfId="0"/>
    <cellStyle name="Normal 91 3 4" xfId="0"/>
    <cellStyle name="Normal 91 3_RH et QS" xfId="0"/>
    <cellStyle name="Normal 91 4" xfId="0"/>
    <cellStyle name="Normal 91 4 2" xfId="0"/>
    <cellStyle name="Normal 91 4 2 2" xfId="0"/>
    <cellStyle name="Normal 91 4 3" xfId="0"/>
    <cellStyle name="Normal 91 5" xfId="0"/>
    <cellStyle name="Normal 91 5 2" xfId="0"/>
    <cellStyle name="Normal 91 6" xfId="0"/>
    <cellStyle name="Normal 91_RH et QS" xfId="0"/>
    <cellStyle name="Normal 92" xfId="0"/>
    <cellStyle name="Normal 92 2" xfId="0"/>
    <cellStyle name="Normal 92 2 2" xfId="0"/>
    <cellStyle name="Normal 92 2 2 2" xfId="0"/>
    <cellStyle name="Normal 92 2 2 2 2" xfId="0"/>
    <cellStyle name="Normal 92 2 2 3" xfId="0"/>
    <cellStyle name="Normal 92 2 3" xfId="0"/>
    <cellStyle name="Normal 92 2 3 2" xfId="0"/>
    <cellStyle name="Normal 92 2 4" xfId="0"/>
    <cellStyle name="Normal 92 2_RH et QS" xfId="0"/>
    <cellStyle name="Normal 92 3" xfId="0"/>
    <cellStyle name="Normal 92 3 2" xfId="0"/>
    <cellStyle name="Normal 92 3 2 2" xfId="0"/>
    <cellStyle name="Normal 92 3 2 2 2" xfId="0"/>
    <cellStyle name="Normal 92 3 2 3" xfId="0"/>
    <cellStyle name="Normal 92 3 3" xfId="0"/>
    <cellStyle name="Normal 92 3 3 2" xfId="0"/>
    <cellStyle name="Normal 92 3 4" xfId="0"/>
    <cellStyle name="Normal 92 3_RH et QS" xfId="0"/>
    <cellStyle name="Normal 92 4" xfId="0"/>
    <cellStyle name="Normal 92 4 2" xfId="0"/>
    <cellStyle name="Normal 92 4 2 2" xfId="0"/>
    <cellStyle name="Normal 92 4 3" xfId="0"/>
    <cellStyle name="Normal 92 5" xfId="0"/>
    <cellStyle name="Normal 92 5 2" xfId="0"/>
    <cellStyle name="Normal 92 6" xfId="0"/>
    <cellStyle name="Normal 92_RH et QS" xfId="0"/>
    <cellStyle name="Normal 93" xfId="0"/>
    <cellStyle name="Normal 93 2" xfId="0"/>
    <cellStyle name="Normal 93 2 2" xfId="0"/>
    <cellStyle name="Normal 93 2 2 2" xfId="0"/>
    <cellStyle name="Normal 93 2 2 2 2" xfId="0"/>
    <cellStyle name="Normal 93 2 2 3" xfId="0"/>
    <cellStyle name="Normal 93 2 3" xfId="0"/>
    <cellStyle name="Normal 93 2 3 2" xfId="0"/>
    <cellStyle name="Normal 93 2 4" xfId="0"/>
    <cellStyle name="Normal 93 2_RH et QS" xfId="0"/>
    <cellStyle name="Normal 93 3" xfId="0"/>
    <cellStyle name="Normal 93 3 2" xfId="0"/>
    <cellStyle name="Normal 93 3 2 2" xfId="0"/>
    <cellStyle name="Normal 93 3 2 2 2" xfId="0"/>
    <cellStyle name="Normal 93 3 2 3" xfId="0"/>
    <cellStyle name="Normal 93 3 3" xfId="0"/>
    <cellStyle name="Normal 93 3 3 2" xfId="0"/>
    <cellStyle name="Normal 93 3 4" xfId="0"/>
    <cellStyle name="Normal 93 3_RH et QS" xfId="0"/>
    <cellStyle name="Normal 93 4" xfId="0"/>
    <cellStyle name="Normal 93 4 2" xfId="0"/>
    <cellStyle name="Normal 93 4 2 2" xfId="0"/>
    <cellStyle name="Normal 93 4 3" xfId="0"/>
    <cellStyle name="Normal 93 5" xfId="0"/>
    <cellStyle name="Normal 93 5 2" xfId="0"/>
    <cellStyle name="Normal 93 6" xfId="0"/>
    <cellStyle name="Normal 93_RH et QS" xfId="0"/>
    <cellStyle name="Normal 94" xfId="0"/>
    <cellStyle name="Normal 94 2" xfId="0"/>
    <cellStyle name="Normal 94 2 2" xfId="0"/>
    <cellStyle name="Normal 94 2 2 2" xfId="0"/>
    <cellStyle name="Normal 94 2 2 2 2" xfId="0"/>
    <cellStyle name="Normal 94 2 2 3" xfId="0"/>
    <cellStyle name="Normal 94 2 3" xfId="0"/>
    <cellStyle name="Normal 94 2 3 2" xfId="0"/>
    <cellStyle name="Normal 94 2 4" xfId="0"/>
    <cellStyle name="Normal 94 2_RH et QS" xfId="0"/>
    <cellStyle name="Normal 94 3" xfId="0"/>
    <cellStyle name="Normal 94 3 2" xfId="0"/>
    <cellStyle name="Normal 94 3 2 2" xfId="0"/>
    <cellStyle name="Normal 94 3 2 2 2" xfId="0"/>
    <cellStyle name="Normal 94 3 2 3" xfId="0"/>
    <cellStyle name="Normal 94 3 3" xfId="0"/>
    <cellStyle name="Normal 94 3 3 2" xfId="0"/>
    <cellStyle name="Normal 94 3 4" xfId="0"/>
    <cellStyle name="Normal 94 3_RH et QS" xfId="0"/>
    <cellStyle name="Normal 94 4" xfId="0"/>
    <cellStyle name="Normal 94 4 2" xfId="0"/>
    <cellStyle name="Normal 94 4 2 2" xfId="0"/>
    <cellStyle name="Normal 94 4 3" xfId="0"/>
    <cellStyle name="Normal 94 5" xfId="0"/>
    <cellStyle name="Normal 94 5 2" xfId="0"/>
    <cellStyle name="Normal 94 6" xfId="0"/>
    <cellStyle name="Normal 94_RH et QS" xfId="0"/>
    <cellStyle name="Normal 95" xfId="0"/>
    <cellStyle name="Normal 95 2" xfId="0"/>
    <cellStyle name="Normal 95 2 2" xfId="0"/>
    <cellStyle name="Normal 95 2 2 2" xfId="0"/>
    <cellStyle name="Normal 95 2 2 2 2" xfId="0"/>
    <cellStyle name="Normal 95 2 2 3" xfId="0"/>
    <cellStyle name="Normal 95 2 3" xfId="0"/>
    <cellStyle name="Normal 95 2 3 2" xfId="0"/>
    <cellStyle name="Normal 95 2 4" xfId="0"/>
    <cellStyle name="Normal 95 2_RH et QS" xfId="0"/>
    <cellStyle name="Normal 95 3" xfId="0"/>
    <cellStyle name="Normal 95 3 2" xfId="0"/>
    <cellStyle name="Normal 95 3 2 2" xfId="0"/>
    <cellStyle name="Normal 95 3 2 2 2" xfId="0"/>
    <cellStyle name="Normal 95 3 2 3" xfId="0"/>
    <cellStyle name="Normal 95 3 3" xfId="0"/>
    <cellStyle name="Normal 95 3 3 2" xfId="0"/>
    <cellStyle name="Normal 95 3 4" xfId="0"/>
    <cellStyle name="Normal 95 3_RH et QS" xfId="0"/>
    <cellStyle name="Normal 95 4" xfId="0"/>
    <cellStyle name="Normal 95 4 2" xfId="0"/>
    <cellStyle name="Normal 95 4 2 2" xfId="0"/>
    <cellStyle name="Normal 95 4 3" xfId="0"/>
    <cellStyle name="Normal 95 5" xfId="0"/>
    <cellStyle name="Normal 95 5 2" xfId="0"/>
    <cellStyle name="Normal 95 6" xfId="0"/>
    <cellStyle name="Normal 95_RH et QS" xfId="0"/>
    <cellStyle name="Normal 96" xfId="0"/>
    <cellStyle name="Normal 96 2" xfId="0"/>
    <cellStyle name="Normal 96 2 2" xfId="0"/>
    <cellStyle name="Normal 96 2 2 2" xfId="0"/>
    <cellStyle name="Normal 96 2 3" xfId="0"/>
    <cellStyle name="Normal 96 3" xfId="0"/>
    <cellStyle name="Normal 96 3 2" xfId="0"/>
    <cellStyle name="Normal 96 4" xfId="0"/>
    <cellStyle name="Normal 96_RH et QS" xfId="0"/>
    <cellStyle name="Normal 97" xfId="0"/>
    <cellStyle name="Normal 97 2" xfId="0"/>
    <cellStyle name="Normal 97 2 2" xfId="0"/>
    <cellStyle name="Normal 97 2 2 2" xfId="0"/>
    <cellStyle name="Normal 97 2 3" xfId="0"/>
    <cellStyle name="Normal 97 3" xfId="0"/>
    <cellStyle name="Normal 97 3 2" xfId="0"/>
    <cellStyle name="Normal 97 4" xfId="0"/>
    <cellStyle name="Normal 97_RH et QS" xfId="0"/>
    <cellStyle name="Normal 98" xfId="0"/>
    <cellStyle name="Normal 98 2" xfId="0"/>
    <cellStyle name="Normal 98 2 2" xfId="0"/>
    <cellStyle name="Normal 98 2 2 2" xfId="0"/>
    <cellStyle name="Normal 98 2 3" xfId="0"/>
    <cellStyle name="Normal 98 3" xfId="0"/>
    <cellStyle name="Normal 98 3 2" xfId="0"/>
    <cellStyle name="Normal 98 4" xfId="0"/>
    <cellStyle name="Normal 98_RH et QS" xfId="0"/>
    <cellStyle name="Normal 99" xfId="0"/>
    <cellStyle name="Normal 99 2" xfId="0"/>
    <cellStyle name="Normal 99 2 2" xfId="0"/>
    <cellStyle name="Normal 99 2 2 2" xfId="0"/>
    <cellStyle name="Normal 99 2 3" xfId="0"/>
    <cellStyle name="Normal 99 3" xfId="0"/>
    <cellStyle name="Normal 99 3 2" xfId="0"/>
    <cellStyle name="Normal 99 4" xfId="0"/>
    <cellStyle name="Normal 99_RH et QS" xfId="0"/>
    <cellStyle name="Normal [0]" xfId="0"/>
    <cellStyle name="Normal [0] 10" xfId="0"/>
    <cellStyle name="Normal [0] 10 2" xfId="0"/>
    <cellStyle name="Normal [0] 10 2 2" xfId="0"/>
    <cellStyle name="Normal [0] 11" xfId="0"/>
    <cellStyle name="Normal [0] 11 2" xfId="0"/>
    <cellStyle name="Normal [0] 11 2 2" xfId="0"/>
    <cellStyle name="Normal [0] 12" xfId="0"/>
    <cellStyle name="Normal [0] 12 2" xfId="0"/>
    <cellStyle name="Normal [0] 12 2 2" xfId="0"/>
    <cellStyle name="Normal [0] 13" xfId="0"/>
    <cellStyle name="Normal [0] 13 2" xfId="0"/>
    <cellStyle name="Normal [0] 13 2 2" xfId="0"/>
    <cellStyle name="Normal [0] 14" xfId="0"/>
    <cellStyle name="Normal [0] 14 2" xfId="0"/>
    <cellStyle name="Normal [0] 14 2 2" xfId="0"/>
    <cellStyle name="Normal [0] 15" xfId="0"/>
    <cellStyle name="Normal [0] 15 2" xfId="0"/>
    <cellStyle name="Normal [0] 2" xfId="0"/>
    <cellStyle name="Normal [0] 2 2" xfId="0"/>
    <cellStyle name="Normal [0] 2 2 2" xfId="0"/>
    <cellStyle name="Normal [0] 3" xfId="0"/>
    <cellStyle name="Normal [0] 3 2" xfId="0"/>
    <cellStyle name="Normal [0] 3 2 2" xfId="0"/>
    <cellStyle name="Normal [0] 4" xfId="0"/>
    <cellStyle name="Normal [0] 4 2" xfId="0"/>
    <cellStyle name="Normal [0] 4 2 2" xfId="0"/>
    <cellStyle name="Normal [0] 5" xfId="0"/>
    <cellStyle name="Normal [0] 5 2" xfId="0"/>
    <cellStyle name="Normal [0] 5 2 2" xfId="0"/>
    <cellStyle name="Normal [0] 6" xfId="0"/>
    <cellStyle name="Normal [0] 6 2" xfId="0"/>
    <cellStyle name="Normal [0] 6 2 2" xfId="0"/>
    <cellStyle name="Normal [0] 7" xfId="0"/>
    <cellStyle name="Normal [0] 7 2" xfId="0"/>
    <cellStyle name="Normal [0] 7 2 2" xfId="0"/>
    <cellStyle name="Normal [0] 8" xfId="0"/>
    <cellStyle name="Normal [0] 8 2" xfId="0"/>
    <cellStyle name="Normal [0] 8 2 2" xfId="0"/>
    <cellStyle name="Normal [0] 9" xfId="0"/>
    <cellStyle name="Normal [0] 9 2" xfId="0"/>
    <cellStyle name="Normal [0] 9 2 2" xfId="0"/>
    <cellStyle name="Normal [0]_RH et QS" xfId="0"/>
    <cellStyle name="Normal [1]" xfId="0"/>
    <cellStyle name="Normal [2]" xfId="0"/>
    <cellStyle name="Normal [3]" xfId="0"/>
    <cellStyle name="Normal Bold" xfId="0"/>
    <cellStyle name="Normal Pct" xfId="0"/>
    <cellStyle name="Normal text" xfId="0"/>
    <cellStyle name="Normal_BUDTRESO11" xfId="0"/>
    <cellStyle name="Normal_Reporting Onatel Aout 2008-V1" xfId="0"/>
    <cellStyle name="Normal_TBG IAM v  27" xfId="0"/>
    <cellStyle name="Normalny_12" xfId="0"/>
    <cellStyle name="Normál_Book2000" xfId="0"/>
    <cellStyle name="Note 10" xfId="0"/>
    <cellStyle name="Note 11" xfId="0"/>
    <cellStyle name="Note 12" xfId="0"/>
    <cellStyle name="Note 13" xfId="0"/>
    <cellStyle name="Note 14" xfId="0"/>
    <cellStyle name="Note 15" xfId="0"/>
    <cellStyle name="Note 16" xfId="0"/>
    <cellStyle name="Note 17" xfId="0"/>
    <cellStyle name="Note 18" xfId="0"/>
    <cellStyle name="Note 19" xfId="0"/>
    <cellStyle name="Note 2" xfId="0"/>
    <cellStyle name="Note 20" xfId="0"/>
    <cellStyle name="Note 21" xfId="0"/>
    <cellStyle name="Note 22" xfId="0"/>
    <cellStyle name="Note 23" xfId="0"/>
    <cellStyle name="Note 24" xfId="0"/>
    <cellStyle name="Note 25" xfId="0"/>
    <cellStyle name="Note 26" xfId="0"/>
    <cellStyle name="Note 27" xfId="0"/>
    <cellStyle name="Note 28" xfId="0"/>
    <cellStyle name="Note 3" xfId="0"/>
    <cellStyle name="Note 31" xfId="0"/>
    <cellStyle name="Note 4" xfId="0"/>
    <cellStyle name="Note 5" xfId="0"/>
    <cellStyle name="Note 6" xfId="0"/>
    <cellStyle name="Note 7" xfId="0"/>
    <cellStyle name="Note 8" xfId="0"/>
    <cellStyle name="Note 9" xfId="0"/>
    <cellStyle name="Note_RH et QS" xfId="0"/>
    <cellStyle name="NPPESalesPct" xfId="0"/>
    <cellStyle name="NPPESalesPct 10" xfId="0"/>
    <cellStyle name="NPPESalesPct 11" xfId="0"/>
    <cellStyle name="NPPESalesPct 12" xfId="0"/>
    <cellStyle name="NPPESalesPct 13" xfId="0"/>
    <cellStyle name="NPPESalesPct 14" xfId="0"/>
    <cellStyle name="NPPESalesPct 2" xfId="0"/>
    <cellStyle name="NPPESalesPct 3" xfId="0"/>
    <cellStyle name="NPPESalesPct 4" xfId="0"/>
    <cellStyle name="NPPESalesPct 5" xfId="0"/>
    <cellStyle name="NPPESalesPct 6" xfId="0"/>
    <cellStyle name="NPPESalesPct 7" xfId="0"/>
    <cellStyle name="NPPESalesPct 8" xfId="0"/>
    <cellStyle name="NPPESalesPct 9" xfId="0"/>
    <cellStyle name="NPPESalesPct_RH et QS" xfId="0"/>
    <cellStyle name="Number" xfId="0"/>
    <cellStyle name="Numéro_Tab" xfId="0"/>
    <cellStyle name="NWI%S" xfId="0"/>
    <cellStyle name="NWI%S 10" xfId="0"/>
    <cellStyle name="NWI%S 11" xfId="0"/>
    <cellStyle name="NWI%S 12" xfId="0"/>
    <cellStyle name="NWI%S 13" xfId="0"/>
    <cellStyle name="NWI%S 14" xfId="0"/>
    <cellStyle name="NWI%S 2" xfId="0"/>
    <cellStyle name="NWI%S 3" xfId="0"/>
    <cellStyle name="NWI%S 4" xfId="0"/>
    <cellStyle name="NWI%S 5" xfId="0"/>
    <cellStyle name="NWI%S 6" xfId="0"/>
    <cellStyle name="NWI%S 7" xfId="0"/>
    <cellStyle name="NWI%S 8" xfId="0"/>
    <cellStyle name="NWI%S 9" xfId="0"/>
    <cellStyle name="NWI%S_RH et QS" xfId="0"/>
    <cellStyle name="Obsolete" xfId="0"/>
    <cellStyle name="Output 10" xfId="0"/>
    <cellStyle name="Output 11" xfId="0"/>
    <cellStyle name="Output 12" xfId="0"/>
    <cellStyle name="Output 13" xfId="0"/>
    <cellStyle name="Output 14" xfId="0"/>
    <cellStyle name="Output 15" xfId="0"/>
    <cellStyle name="Output 16" xfId="0"/>
    <cellStyle name="Output 17" xfId="0"/>
    <cellStyle name="Output 18" xfId="0"/>
    <cellStyle name="Output 19" xfId="0"/>
    <cellStyle name="Output 2" xfId="0"/>
    <cellStyle name="Output 20" xfId="0"/>
    <cellStyle name="Output 21" xfId="0"/>
    <cellStyle name="Output 22" xfId="0"/>
    <cellStyle name="Output 23" xfId="0"/>
    <cellStyle name="Output 24" xfId="0"/>
    <cellStyle name="Output 25" xfId="0"/>
    <cellStyle name="Output 26" xfId="0"/>
    <cellStyle name="Output 27" xfId="0"/>
    <cellStyle name="Output 28" xfId="0"/>
    <cellStyle name="Output 3" xfId="0"/>
    <cellStyle name="Output 4" xfId="0"/>
    <cellStyle name="Output 5" xfId="0"/>
    <cellStyle name="Output 6" xfId="0"/>
    <cellStyle name="Output 7" xfId="0"/>
    <cellStyle name="Output 8" xfId="0"/>
    <cellStyle name="Output 9" xfId="0"/>
    <cellStyle name="Output Amounts" xfId="0"/>
    <cellStyle name="Output Column Headings" xfId="0"/>
    <cellStyle name="Output Line Items" xfId="0"/>
    <cellStyle name="Output Report Heading" xfId="0"/>
    <cellStyle name="Output Report Title" xfId="0"/>
    <cellStyle name="Override" xfId="0"/>
    <cellStyle name="Override 2" xfId="0"/>
    <cellStyle name="Override 2 2" xfId="0"/>
    <cellStyle name="Override 2 2 2" xfId="0"/>
    <cellStyle name="Override 3" xfId="0"/>
    <cellStyle name="Override 3 2" xfId="0"/>
    <cellStyle name="Override_Budget Telmob 2011" xfId="0"/>
    <cellStyle name="Page Heading Large" xfId="0"/>
    <cellStyle name="Page Heading Small" xfId="0"/>
    <cellStyle name="per.style" xfId="0"/>
    <cellStyle name="Percent (0)" xfId="0"/>
    <cellStyle name="Percent 0" xfId="0"/>
    <cellStyle name="Percent 0,00" xfId="0"/>
    <cellStyle name="Percent 0,00 2" xfId="0"/>
    <cellStyle name="Percent 0,00_RH et QS" xfId="0"/>
    <cellStyle name="Percent 2" xfId="0"/>
    <cellStyle name="Percent [00]" xfId="0"/>
    <cellStyle name="Percent [00] 2" xfId="0"/>
    <cellStyle name="Percent [00]_Parc Mobile" xfId="0"/>
    <cellStyle name="Percent [0]" xfId="0"/>
    <cellStyle name="Percent [1]" xfId="0"/>
    <cellStyle name="Percent [1] 2" xfId="0"/>
    <cellStyle name="Percent [1] 3" xfId="0"/>
    <cellStyle name="Percent [2]" xfId="0"/>
    <cellStyle name="Percent [2] 2" xfId="0"/>
    <cellStyle name="Percent [2] 3" xfId="0"/>
    <cellStyle name="Percent Hard" xfId="0"/>
    <cellStyle name="PercentChange" xfId="0"/>
    <cellStyle name="PercentSales" xfId="0"/>
    <cellStyle name="PercentSales 10" xfId="0"/>
    <cellStyle name="PercentSales 11" xfId="0"/>
    <cellStyle name="PercentSales 12" xfId="0"/>
    <cellStyle name="PercentSales 13" xfId="0"/>
    <cellStyle name="PercentSales 14" xfId="0"/>
    <cellStyle name="PercentSales 2" xfId="0"/>
    <cellStyle name="PercentSales 3" xfId="0"/>
    <cellStyle name="PercentSales 4" xfId="0"/>
    <cellStyle name="PercentSales 5" xfId="0"/>
    <cellStyle name="PercentSales 6" xfId="0"/>
    <cellStyle name="PercentSales 7" xfId="0"/>
    <cellStyle name="PercentSales 8" xfId="0"/>
    <cellStyle name="PercentSales 9" xfId="0"/>
    <cellStyle name="PercentSales_RH et QS" xfId="0"/>
    <cellStyle name="PillarData" xfId="0"/>
    <cellStyle name="PillarData 2" xfId="0"/>
    <cellStyle name="PillarData_RH et QS" xfId="0"/>
    <cellStyle name="PillarHeading" xfId="0"/>
    <cellStyle name="PillarText" xfId="0"/>
    <cellStyle name="PillarText 2" xfId="0"/>
    <cellStyle name="PillarText_RH et QS" xfId="0"/>
    <cellStyle name="PillarTotal" xfId="0"/>
    <cellStyle name="PillarTotal 2" xfId="0"/>
    <cellStyle name="PillarTotal_RH et QS" xfId="0"/>
    <cellStyle name="Pourcentage 10" xfId="0"/>
    <cellStyle name="Pourcentage 11" xfId="0"/>
    <cellStyle name="Pourcentage 11 2" xfId="0"/>
    <cellStyle name="Pourcentage 11_RH et QS" xfId="0"/>
    <cellStyle name="Pourcentage 12" xfId="0"/>
    <cellStyle name="Pourcentage 12 2" xfId="0"/>
    <cellStyle name="Pourcentage 12_RH et QS" xfId="0"/>
    <cellStyle name="Pourcentage 13" xfId="0"/>
    <cellStyle name="Pourcentage 14" xfId="0"/>
    <cellStyle name="Pourcentage 14 2" xfId="0"/>
    <cellStyle name="Pourcentage 14_RH et QS" xfId="0"/>
    <cellStyle name="Pourcentage 15" xfId="0"/>
    <cellStyle name="Pourcentage 16" xfId="0"/>
    <cellStyle name="Pourcentage 17" xfId="0"/>
    <cellStyle name="Pourcentage 17 2" xfId="0"/>
    <cellStyle name="Pourcentage 17 2 2" xfId="0"/>
    <cellStyle name="Pourcentage 17 2 2 2" xfId="0"/>
    <cellStyle name="Pourcentage 17 2 2 2 2" xfId="0"/>
    <cellStyle name="Pourcentage 17 2 2 2 2 2" xfId="0"/>
    <cellStyle name="Pourcentage 17 2 2 2 2 2 2" xfId="0"/>
    <cellStyle name="Pourcentage 17 2 2 2 2 3" xfId="0"/>
    <cellStyle name="Pourcentage 17 2 2 2 3" xfId="0"/>
    <cellStyle name="Pourcentage 17 2 2 2 3 2" xfId="0"/>
    <cellStyle name="Pourcentage 17 2 2 2 4" xfId="0"/>
    <cellStyle name="Pourcentage 17 2 2 2_RH et QS" xfId="0"/>
    <cellStyle name="Pourcentage 17 2 2 3" xfId="0"/>
    <cellStyle name="Pourcentage 17 2 2 3 2" xfId="0"/>
    <cellStyle name="Pourcentage 17 2 2 3 2 2" xfId="0"/>
    <cellStyle name="Pourcentage 17 2 2 3 2 2 2" xfId="0"/>
    <cellStyle name="Pourcentage 17 2 2 3 2 3" xfId="0"/>
    <cellStyle name="Pourcentage 17 2 2 3 3" xfId="0"/>
    <cellStyle name="Pourcentage 17 2 2 3 3 2" xfId="0"/>
    <cellStyle name="Pourcentage 17 2 2 3 4" xfId="0"/>
    <cellStyle name="Pourcentage 17 2 2 3_RH et QS" xfId="0"/>
    <cellStyle name="Pourcentage 17 2 2 4" xfId="0"/>
    <cellStyle name="Pourcentage 17 2 2 4 2" xfId="0"/>
    <cellStyle name="Pourcentage 17 2 2 4 2 2" xfId="0"/>
    <cellStyle name="Pourcentage 17 2 2 4 3" xfId="0"/>
    <cellStyle name="Pourcentage 17 2 2 5" xfId="0"/>
    <cellStyle name="Pourcentage 17 2 2 5 2" xfId="0"/>
    <cellStyle name="Pourcentage 17 2 2 6" xfId="0"/>
    <cellStyle name="Pourcentage 17 2 2_RH et QS" xfId="0"/>
    <cellStyle name="Pourcentage 17 2 3" xfId="0"/>
    <cellStyle name="Pourcentage 17 2 3 2" xfId="0"/>
    <cellStyle name="Pourcentage 17 2 3 2 2" xfId="0"/>
    <cellStyle name="Pourcentage 17 2 3 2 2 2" xfId="0"/>
    <cellStyle name="Pourcentage 17 2 3 2 2 2 2" xfId="0"/>
    <cellStyle name="Pourcentage 17 2 3 2 2 3" xfId="0"/>
    <cellStyle name="Pourcentage 17 2 3 2 3" xfId="0"/>
    <cellStyle name="Pourcentage 17 2 3 2 3 2" xfId="0"/>
    <cellStyle name="Pourcentage 17 2 3 2 4" xfId="0"/>
    <cellStyle name="Pourcentage 17 2 3 2_RH et QS" xfId="0"/>
    <cellStyle name="Pourcentage 17 2 3 3" xfId="0"/>
    <cellStyle name="Pourcentage 17 2 3 3 2" xfId="0"/>
    <cellStyle name="Pourcentage 17 2 3 3 2 2" xfId="0"/>
    <cellStyle name="Pourcentage 17 2 3 3 2 2 2" xfId="0"/>
    <cellStyle name="Pourcentage 17 2 3 3 2 3" xfId="0"/>
    <cellStyle name="Pourcentage 17 2 3 3 3" xfId="0"/>
    <cellStyle name="Pourcentage 17 2 3 3 3 2" xfId="0"/>
    <cellStyle name="Pourcentage 17 2 3 3 4" xfId="0"/>
    <cellStyle name="Pourcentage 17 2 3 3_RH et QS" xfId="0"/>
    <cellStyle name="Pourcentage 17 2 3 4" xfId="0"/>
    <cellStyle name="Pourcentage 17 2 3 4 2" xfId="0"/>
    <cellStyle name="Pourcentage 17 2 3 4 2 2" xfId="0"/>
    <cellStyle name="Pourcentage 17 2 3 4 3" xfId="0"/>
    <cellStyle name="Pourcentage 17 2 3 5" xfId="0"/>
    <cellStyle name="Pourcentage 17 2 3 5 2" xfId="0"/>
    <cellStyle name="Pourcentage 17 2 3 6" xfId="0"/>
    <cellStyle name="Pourcentage 17 2 3_RH et QS" xfId="0"/>
    <cellStyle name="Pourcentage 17 2 4" xfId="0"/>
    <cellStyle name="Pourcentage 17 2 4 2" xfId="0"/>
    <cellStyle name="Pourcentage 17 2 4 2 2" xfId="0"/>
    <cellStyle name="Pourcentage 17 2 4 2 2 2" xfId="0"/>
    <cellStyle name="Pourcentage 17 2 4 2 3" xfId="0"/>
    <cellStyle name="Pourcentage 17 2 4 3" xfId="0"/>
    <cellStyle name="Pourcentage 17 2 4 3 2" xfId="0"/>
    <cellStyle name="Pourcentage 17 2 4 4" xfId="0"/>
    <cellStyle name="Pourcentage 17 2 4_RH et QS" xfId="0"/>
    <cellStyle name="Pourcentage 17 2 5" xfId="0"/>
    <cellStyle name="Pourcentage 17 2 5 2" xfId="0"/>
    <cellStyle name="Pourcentage 17 2 5 2 2" xfId="0"/>
    <cellStyle name="Pourcentage 17 2 5 2 2 2" xfId="0"/>
    <cellStyle name="Pourcentage 17 2 5 2 3" xfId="0"/>
    <cellStyle name="Pourcentage 17 2 5 3" xfId="0"/>
    <cellStyle name="Pourcentage 17 2 5 3 2" xfId="0"/>
    <cellStyle name="Pourcentage 17 2 5 4" xfId="0"/>
    <cellStyle name="Pourcentage 17 2 5_RH et QS" xfId="0"/>
    <cellStyle name="Pourcentage 17 2 6" xfId="0"/>
    <cellStyle name="Pourcentage 17 2 6 2" xfId="0"/>
    <cellStyle name="Pourcentage 17 2 6 2 2" xfId="0"/>
    <cellStyle name="Pourcentage 17 2 6 3" xfId="0"/>
    <cellStyle name="Pourcentage 17 2 7" xfId="0"/>
    <cellStyle name="Pourcentage 17 2 7 2" xfId="0"/>
    <cellStyle name="Pourcentage 17 2 8" xfId="0"/>
    <cellStyle name="Pourcentage 17 2_RH et QS" xfId="0"/>
    <cellStyle name="Pourcentage 17 3" xfId="0"/>
    <cellStyle name="Pourcentage 17 3 2" xfId="0"/>
    <cellStyle name="Pourcentage 17 3 2 2" xfId="0"/>
    <cellStyle name="Pourcentage 17 3 2 2 2" xfId="0"/>
    <cellStyle name="Pourcentage 17 3 2 2 2 2" xfId="0"/>
    <cellStyle name="Pourcentage 17 3 2 2 3" xfId="0"/>
    <cellStyle name="Pourcentage 17 3 2 3" xfId="0"/>
    <cellStyle name="Pourcentage 17 3 2 3 2" xfId="0"/>
    <cellStyle name="Pourcentage 17 3 2 4" xfId="0"/>
    <cellStyle name="Pourcentage 17 3 2_RH et QS" xfId="0"/>
    <cellStyle name="Pourcentage 17 3 3" xfId="0"/>
    <cellStyle name="Pourcentage 17 3 3 2" xfId="0"/>
    <cellStyle name="Pourcentage 17 3 3 2 2" xfId="0"/>
    <cellStyle name="Pourcentage 17 3 3 2 2 2" xfId="0"/>
    <cellStyle name="Pourcentage 17 3 3 2 3" xfId="0"/>
    <cellStyle name="Pourcentage 17 3 3 3" xfId="0"/>
    <cellStyle name="Pourcentage 17 3 3 3 2" xfId="0"/>
    <cellStyle name="Pourcentage 17 3 3 4" xfId="0"/>
    <cellStyle name="Pourcentage 17 3 3_RH et QS" xfId="0"/>
    <cellStyle name="Pourcentage 17 3 4" xfId="0"/>
    <cellStyle name="Pourcentage 17 3 4 2" xfId="0"/>
    <cellStyle name="Pourcentage 17 3 4 2 2" xfId="0"/>
    <cellStyle name="Pourcentage 17 3 4 3" xfId="0"/>
    <cellStyle name="Pourcentage 17 3 5" xfId="0"/>
    <cellStyle name="Pourcentage 17 3 5 2" xfId="0"/>
    <cellStyle name="Pourcentage 17 3 6" xfId="0"/>
    <cellStyle name="Pourcentage 17 3_RH et QS" xfId="0"/>
    <cellStyle name="Pourcentage 17 4" xfId="0"/>
    <cellStyle name="Pourcentage 17 4 2" xfId="0"/>
    <cellStyle name="Pourcentage 17 4 2 2" xfId="0"/>
    <cellStyle name="Pourcentage 17 4 2 2 2" xfId="0"/>
    <cellStyle name="Pourcentage 17 4 2 2 2 2" xfId="0"/>
    <cellStyle name="Pourcentage 17 4 2 2 3" xfId="0"/>
    <cellStyle name="Pourcentage 17 4 2 3" xfId="0"/>
    <cellStyle name="Pourcentage 17 4 2 3 2" xfId="0"/>
    <cellStyle name="Pourcentage 17 4 2 4" xfId="0"/>
    <cellStyle name="Pourcentage 17 4 2_RH et QS" xfId="0"/>
    <cellStyle name="Pourcentage 17 4 3" xfId="0"/>
    <cellStyle name="Pourcentage 17 4 3 2" xfId="0"/>
    <cellStyle name="Pourcentage 17 4 3 2 2" xfId="0"/>
    <cellStyle name="Pourcentage 17 4 3 2 2 2" xfId="0"/>
    <cellStyle name="Pourcentage 17 4 3 2 3" xfId="0"/>
    <cellStyle name="Pourcentage 17 4 3 3" xfId="0"/>
    <cellStyle name="Pourcentage 17 4 3 3 2" xfId="0"/>
    <cellStyle name="Pourcentage 17 4 3 4" xfId="0"/>
    <cellStyle name="Pourcentage 17 4 3_RH et QS" xfId="0"/>
    <cellStyle name="Pourcentage 17 4 4" xfId="0"/>
    <cellStyle name="Pourcentage 17 4 4 2" xfId="0"/>
    <cellStyle name="Pourcentage 17 4 4 2 2" xfId="0"/>
    <cellStyle name="Pourcentage 17 4 4 3" xfId="0"/>
    <cellStyle name="Pourcentage 17 4 5" xfId="0"/>
    <cellStyle name="Pourcentage 17 4 5 2" xfId="0"/>
    <cellStyle name="Pourcentage 17 4 6" xfId="0"/>
    <cellStyle name="Pourcentage 17 4_RH et QS" xfId="0"/>
    <cellStyle name="Pourcentage 17 5" xfId="0"/>
    <cellStyle name="Pourcentage 17 5 2" xfId="0"/>
    <cellStyle name="Pourcentage 17 5 2 2" xfId="0"/>
    <cellStyle name="Pourcentage 17 5 2 2 2" xfId="0"/>
    <cellStyle name="Pourcentage 17 5 2 3" xfId="0"/>
    <cellStyle name="Pourcentage 17 5 3" xfId="0"/>
    <cellStyle name="Pourcentage 17 5 3 2" xfId="0"/>
    <cellStyle name="Pourcentage 17 5 4" xfId="0"/>
    <cellStyle name="Pourcentage 17 5_RH et QS" xfId="0"/>
    <cellStyle name="Pourcentage 17 6" xfId="0"/>
    <cellStyle name="Pourcentage 17 6 2" xfId="0"/>
    <cellStyle name="Pourcentage 17 6 2 2" xfId="0"/>
    <cellStyle name="Pourcentage 17 6 2 2 2" xfId="0"/>
    <cellStyle name="Pourcentage 17 6 2 3" xfId="0"/>
    <cellStyle name="Pourcentage 17 6 3" xfId="0"/>
    <cellStyle name="Pourcentage 17 6 3 2" xfId="0"/>
    <cellStyle name="Pourcentage 17 6 4" xfId="0"/>
    <cellStyle name="Pourcentage 17 6_RH et QS" xfId="0"/>
    <cellStyle name="Pourcentage 17 7" xfId="0"/>
    <cellStyle name="Pourcentage 17 7 2" xfId="0"/>
    <cellStyle name="Pourcentage 17 7 2 2" xfId="0"/>
    <cellStyle name="Pourcentage 17 7 3" xfId="0"/>
    <cellStyle name="Pourcentage 17 8" xfId="0"/>
    <cellStyle name="Pourcentage 17 8 2" xfId="0"/>
    <cellStyle name="Pourcentage 17 9" xfId="0"/>
    <cellStyle name="Pourcentage 17_RH et QS" xfId="0"/>
    <cellStyle name="Pourcentage 18" xfId="0"/>
    <cellStyle name="Pourcentage 18 2" xfId="0"/>
    <cellStyle name="Pourcentage 18 2 2" xfId="0"/>
    <cellStyle name="Pourcentage 18 2 2 2" xfId="0"/>
    <cellStyle name="Pourcentage 18 2 2 2 2" xfId="0"/>
    <cellStyle name="Pourcentage 18 2 2 2 2 2" xfId="0"/>
    <cellStyle name="Pourcentage 18 2 2 2 2 2 2" xfId="0"/>
    <cellStyle name="Pourcentage 18 2 2 2 2 3" xfId="0"/>
    <cellStyle name="Pourcentage 18 2 2 2 3" xfId="0"/>
    <cellStyle name="Pourcentage 18 2 2 2 3 2" xfId="0"/>
    <cellStyle name="Pourcentage 18 2 2 2 4" xfId="0"/>
    <cellStyle name="Pourcentage 18 2 2 2_RH et QS" xfId="0"/>
    <cellStyle name="Pourcentage 18 2 2 3" xfId="0"/>
    <cellStyle name="Pourcentage 18 2 2 3 2" xfId="0"/>
    <cellStyle name="Pourcentage 18 2 2 3 2 2" xfId="0"/>
    <cellStyle name="Pourcentage 18 2 2 3 2 2 2" xfId="0"/>
    <cellStyle name="Pourcentage 18 2 2 3 2 3" xfId="0"/>
    <cellStyle name="Pourcentage 18 2 2 3 3" xfId="0"/>
    <cellStyle name="Pourcentage 18 2 2 3 3 2" xfId="0"/>
    <cellStyle name="Pourcentage 18 2 2 3 4" xfId="0"/>
    <cellStyle name="Pourcentage 18 2 2 3_RH et QS" xfId="0"/>
    <cellStyle name="Pourcentage 18 2 2 4" xfId="0"/>
    <cellStyle name="Pourcentage 18 2 2 4 2" xfId="0"/>
    <cellStyle name="Pourcentage 18 2 2 4 2 2" xfId="0"/>
    <cellStyle name="Pourcentage 18 2 2 4 3" xfId="0"/>
    <cellStyle name="Pourcentage 18 2 2 5" xfId="0"/>
    <cellStyle name="Pourcentage 18 2 2 5 2" xfId="0"/>
    <cellStyle name="Pourcentage 18 2 2 6" xfId="0"/>
    <cellStyle name="Pourcentage 18 2 2_RH et QS" xfId="0"/>
    <cellStyle name="Pourcentage 18 2 3" xfId="0"/>
    <cellStyle name="Pourcentage 18 2 3 2" xfId="0"/>
    <cellStyle name="Pourcentage 18 2 3 2 2" xfId="0"/>
    <cellStyle name="Pourcentage 18 2 3 2 2 2" xfId="0"/>
    <cellStyle name="Pourcentage 18 2 3 2 2 2 2" xfId="0"/>
    <cellStyle name="Pourcentage 18 2 3 2 2 3" xfId="0"/>
    <cellStyle name="Pourcentage 18 2 3 2 3" xfId="0"/>
    <cellStyle name="Pourcentage 18 2 3 2 3 2" xfId="0"/>
    <cellStyle name="Pourcentage 18 2 3 2 4" xfId="0"/>
    <cellStyle name="Pourcentage 18 2 3 2_RH et QS" xfId="0"/>
    <cellStyle name="Pourcentage 18 2 3 3" xfId="0"/>
    <cellStyle name="Pourcentage 18 2 3 3 2" xfId="0"/>
    <cellStyle name="Pourcentage 18 2 3 3 2 2" xfId="0"/>
    <cellStyle name="Pourcentage 18 2 3 3 2 2 2" xfId="0"/>
    <cellStyle name="Pourcentage 18 2 3 3 2 3" xfId="0"/>
    <cellStyle name="Pourcentage 18 2 3 3 3" xfId="0"/>
    <cellStyle name="Pourcentage 18 2 3 3 3 2" xfId="0"/>
    <cellStyle name="Pourcentage 18 2 3 3 4" xfId="0"/>
    <cellStyle name="Pourcentage 18 2 3 3_RH et QS" xfId="0"/>
    <cellStyle name="Pourcentage 18 2 3 4" xfId="0"/>
    <cellStyle name="Pourcentage 18 2 3 4 2" xfId="0"/>
    <cellStyle name="Pourcentage 18 2 3 4 2 2" xfId="0"/>
    <cellStyle name="Pourcentage 18 2 3 4 3" xfId="0"/>
    <cellStyle name="Pourcentage 18 2 3 5" xfId="0"/>
    <cellStyle name="Pourcentage 18 2 3 5 2" xfId="0"/>
    <cellStyle name="Pourcentage 18 2 3 6" xfId="0"/>
    <cellStyle name="Pourcentage 18 2 3_RH et QS" xfId="0"/>
    <cellStyle name="Pourcentage 18 2 4" xfId="0"/>
    <cellStyle name="Pourcentage 18 2 4 2" xfId="0"/>
    <cellStyle name="Pourcentage 18 2 4 2 2" xfId="0"/>
    <cellStyle name="Pourcentage 18 2 4 2 2 2" xfId="0"/>
    <cellStyle name="Pourcentage 18 2 4 2 3" xfId="0"/>
    <cellStyle name="Pourcentage 18 2 4 3" xfId="0"/>
    <cellStyle name="Pourcentage 18 2 4 3 2" xfId="0"/>
    <cellStyle name="Pourcentage 18 2 4 4" xfId="0"/>
    <cellStyle name="Pourcentage 18 2 4_RH et QS" xfId="0"/>
    <cellStyle name="Pourcentage 18 2 5" xfId="0"/>
    <cellStyle name="Pourcentage 18 2 5 2" xfId="0"/>
    <cellStyle name="Pourcentage 18 2 5 2 2" xfId="0"/>
    <cellStyle name="Pourcentage 18 2 5 2 2 2" xfId="0"/>
    <cellStyle name="Pourcentage 18 2 5 2 3" xfId="0"/>
    <cellStyle name="Pourcentage 18 2 5 3" xfId="0"/>
    <cellStyle name="Pourcentage 18 2 5 3 2" xfId="0"/>
    <cellStyle name="Pourcentage 18 2 5 4" xfId="0"/>
    <cellStyle name="Pourcentage 18 2 5_RH et QS" xfId="0"/>
    <cellStyle name="Pourcentage 18 2 6" xfId="0"/>
    <cellStyle name="Pourcentage 18 2 6 2" xfId="0"/>
    <cellStyle name="Pourcentage 18 2 6 2 2" xfId="0"/>
    <cellStyle name="Pourcentage 18 2 6 3" xfId="0"/>
    <cellStyle name="Pourcentage 18 2 7" xfId="0"/>
    <cellStyle name="Pourcentage 18 2 7 2" xfId="0"/>
    <cellStyle name="Pourcentage 18 2 8" xfId="0"/>
    <cellStyle name="Pourcentage 18 2_RH et QS" xfId="0"/>
    <cellStyle name="Pourcentage 18 3" xfId="0"/>
    <cellStyle name="Pourcentage 18 3 2" xfId="0"/>
    <cellStyle name="Pourcentage 18 3 2 2" xfId="0"/>
    <cellStyle name="Pourcentage 18 3 2 2 2" xfId="0"/>
    <cellStyle name="Pourcentage 18 3 2 2 2 2" xfId="0"/>
    <cellStyle name="Pourcentage 18 3 2 2 3" xfId="0"/>
    <cellStyle name="Pourcentage 18 3 2 3" xfId="0"/>
    <cellStyle name="Pourcentage 18 3 2 3 2" xfId="0"/>
    <cellStyle name="Pourcentage 18 3 2 4" xfId="0"/>
    <cellStyle name="Pourcentage 18 3 2_RH et QS" xfId="0"/>
    <cellStyle name="Pourcentage 18 3 3" xfId="0"/>
    <cellStyle name="Pourcentage 18 3 3 2" xfId="0"/>
    <cellStyle name="Pourcentage 18 3 3 2 2" xfId="0"/>
    <cellStyle name="Pourcentage 18 3 3 2 2 2" xfId="0"/>
    <cellStyle name="Pourcentage 18 3 3 2 3" xfId="0"/>
    <cellStyle name="Pourcentage 18 3 3 3" xfId="0"/>
    <cellStyle name="Pourcentage 18 3 3 3 2" xfId="0"/>
    <cellStyle name="Pourcentage 18 3 3 4" xfId="0"/>
    <cellStyle name="Pourcentage 18 3 3_RH et QS" xfId="0"/>
    <cellStyle name="Pourcentage 18 3 4" xfId="0"/>
    <cellStyle name="Pourcentage 18 3 4 2" xfId="0"/>
    <cellStyle name="Pourcentage 18 3 4 2 2" xfId="0"/>
    <cellStyle name="Pourcentage 18 3 4 3" xfId="0"/>
    <cellStyle name="Pourcentage 18 3 5" xfId="0"/>
    <cellStyle name="Pourcentage 18 3 5 2" xfId="0"/>
    <cellStyle name="Pourcentage 18 3 6" xfId="0"/>
    <cellStyle name="Pourcentage 18 3_RH et QS" xfId="0"/>
    <cellStyle name="Pourcentage 18 4" xfId="0"/>
    <cellStyle name="Pourcentage 18 4 2" xfId="0"/>
    <cellStyle name="Pourcentage 18 4 2 2" xfId="0"/>
    <cellStyle name="Pourcentage 18 4 2 2 2" xfId="0"/>
    <cellStyle name="Pourcentage 18 4 2 2 2 2" xfId="0"/>
    <cellStyle name="Pourcentage 18 4 2 2 3" xfId="0"/>
    <cellStyle name="Pourcentage 18 4 2 3" xfId="0"/>
    <cellStyle name="Pourcentage 18 4 2 3 2" xfId="0"/>
    <cellStyle name="Pourcentage 18 4 2 4" xfId="0"/>
    <cellStyle name="Pourcentage 18 4 2_RH et QS" xfId="0"/>
    <cellStyle name="Pourcentage 18 4 3" xfId="0"/>
    <cellStyle name="Pourcentage 18 4 3 2" xfId="0"/>
    <cellStyle name="Pourcentage 18 4 3 2 2" xfId="0"/>
    <cellStyle name="Pourcentage 18 4 3 2 2 2" xfId="0"/>
    <cellStyle name="Pourcentage 18 4 3 2 3" xfId="0"/>
    <cellStyle name="Pourcentage 18 4 3 3" xfId="0"/>
    <cellStyle name="Pourcentage 18 4 3 3 2" xfId="0"/>
    <cellStyle name="Pourcentage 18 4 3 4" xfId="0"/>
    <cellStyle name="Pourcentage 18 4 3_RH et QS" xfId="0"/>
    <cellStyle name="Pourcentage 18 4 4" xfId="0"/>
    <cellStyle name="Pourcentage 18 4 4 2" xfId="0"/>
    <cellStyle name="Pourcentage 18 4 4 2 2" xfId="0"/>
    <cellStyle name="Pourcentage 18 4 4 3" xfId="0"/>
    <cellStyle name="Pourcentage 18 4 5" xfId="0"/>
    <cellStyle name="Pourcentage 18 4 5 2" xfId="0"/>
    <cellStyle name="Pourcentage 18 4 6" xfId="0"/>
    <cellStyle name="Pourcentage 18 4_RH et QS" xfId="0"/>
    <cellStyle name="Pourcentage 18 5" xfId="0"/>
    <cellStyle name="Pourcentage 18 5 2" xfId="0"/>
    <cellStyle name="Pourcentage 18 5 2 2" xfId="0"/>
    <cellStyle name="Pourcentage 18 5 2 2 2" xfId="0"/>
    <cellStyle name="Pourcentage 18 5 2 3" xfId="0"/>
    <cellStyle name="Pourcentage 18 5 3" xfId="0"/>
    <cellStyle name="Pourcentage 18 5 3 2" xfId="0"/>
    <cellStyle name="Pourcentage 18 5 4" xfId="0"/>
    <cellStyle name="Pourcentage 18 5_RH et QS" xfId="0"/>
    <cellStyle name="Pourcentage 18 6" xfId="0"/>
    <cellStyle name="Pourcentage 18 6 2" xfId="0"/>
    <cellStyle name="Pourcentage 18 6 2 2" xfId="0"/>
    <cellStyle name="Pourcentage 18 6 2 2 2" xfId="0"/>
    <cellStyle name="Pourcentage 18 6 2 3" xfId="0"/>
    <cellStyle name="Pourcentage 18 6 3" xfId="0"/>
    <cellStyle name="Pourcentage 18 6 3 2" xfId="0"/>
    <cellStyle name="Pourcentage 18 6 4" xfId="0"/>
    <cellStyle name="Pourcentage 18 6_RH et QS" xfId="0"/>
    <cellStyle name="Pourcentage 18 7" xfId="0"/>
    <cellStyle name="Pourcentage 18 7 2" xfId="0"/>
    <cellStyle name="Pourcentage 18 7 2 2" xfId="0"/>
    <cellStyle name="Pourcentage 18 7 3" xfId="0"/>
    <cellStyle name="Pourcentage 18 8" xfId="0"/>
    <cellStyle name="Pourcentage 18 8 2" xfId="0"/>
    <cellStyle name="Pourcentage 18 9" xfId="0"/>
    <cellStyle name="Pourcentage 18_RH et QS" xfId="0"/>
    <cellStyle name="Pourcentage 19" xfId="0"/>
    <cellStyle name="Pourcentage 19 2" xfId="0"/>
    <cellStyle name="Pourcentage 19 2 2" xfId="0"/>
    <cellStyle name="Pourcentage 19 2 2 2" xfId="0"/>
    <cellStyle name="Pourcentage 19 2 2 2 2" xfId="0"/>
    <cellStyle name="Pourcentage 19 2 2 3" xfId="0"/>
    <cellStyle name="Pourcentage 19 2 3" xfId="0"/>
    <cellStyle name="Pourcentage 19 2 3 2" xfId="0"/>
    <cellStyle name="Pourcentage 19 2 4" xfId="0"/>
    <cellStyle name="Pourcentage 19 2_RH et QS" xfId="0"/>
    <cellStyle name="Pourcentage 19 3" xfId="0"/>
    <cellStyle name="Pourcentage 19 3 2" xfId="0"/>
    <cellStyle name="Pourcentage 19 3 2 2" xfId="0"/>
    <cellStyle name="Pourcentage 19 3 2 2 2" xfId="0"/>
    <cellStyle name="Pourcentage 19 3 2 3" xfId="0"/>
    <cellStyle name="Pourcentage 19 3 3" xfId="0"/>
    <cellStyle name="Pourcentage 19 3 3 2" xfId="0"/>
    <cellStyle name="Pourcentage 19 3 4" xfId="0"/>
    <cellStyle name="Pourcentage 19 3_RH et QS" xfId="0"/>
    <cellStyle name="Pourcentage 19 4" xfId="0"/>
    <cellStyle name="Pourcentage 19 4 2" xfId="0"/>
    <cellStyle name="Pourcentage 19 4 2 2" xfId="0"/>
    <cellStyle name="Pourcentage 19 4 3" xfId="0"/>
    <cellStyle name="Pourcentage 19 5" xfId="0"/>
    <cellStyle name="Pourcentage 19 5 2" xfId="0"/>
    <cellStyle name="Pourcentage 19 6" xfId="0"/>
    <cellStyle name="Pourcentage 19_RH et QS" xfId="0"/>
    <cellStyle name="Pourcentage 2" xfId="0"/>
    <cellStyle name="Pourcentage 2 10" xfId="0"/>
    <cellStyle name="Pourcentage 2 11" xfId="0"/>
    <cellStyle name="Pourcentage 2 12" xfId="0"/>
    <cellStyle name="Pourcentage 2 13" xfId="0"/>
    <cellStyle name="Pourcentage 2 13 2" xfId="0"/>
    <cellStyle name="Pourcentage 2 2" xfId="0"/>
    <cellStyle name="Pourcentage 2 2 2" xfId="0"/>
    <cellStyle name="Pourcentage 2 2 3" xfId="0"/>
    <cellStyle name="Pourcentage 2 2 4" xfId="0"/>
    <cellStyle name="Pourcentage 2 2 5" xfId="0"/>
    <cellStyle name="Pourcentage 2 2 6" xfId="0"/>
    <cellStyle name="Pourcentage 2 2 7" xfId="0"/>
    <cellStyle name="Pourcentage 2 2 8" xfId="0"/>
    <cellStyle name="Pourcentage 2 2 9" xfId="0"/>
    <cellStyle name="Pourcentage 2 2_RH et QS" xfId="0"/>
    <cellStyle name="Pourcentage 2 3" xfId="0"/>
    <cellStyle name="Pourcentage 2 3 2" xfId="0"/>
    <cellStyle name="Pourcentage 2 3_RH et QS" xfId="0"/>
    <cellStyle name="Pourcentage 2 4" xfId="0"/>
    <cellStyle name="Pourcentage 2 5" xfId="0"/>
    <cellStyle name="Pourcentage 2 6" xfId="0"/>
    <cellStyle name="Pourcentage 2 7" xfId="0"/>
    <cellStyle name="Pourcentage 2 8" xfId="0"/>
    <cellStyle name="Pourcentage 2 9" xfId="0"/>
    <cellStyle name="Pourcentage 20" xfId="0"/>
    <cellStyle name="Pourcentage 20 2" xfId="0"/>
    <cellStyle name="Pourcentage 20 2 2" xfId="0"/>
    <cellStyle name="Pourcentage 20 2 2 2" xfId="0"/>
    <cellStyle name="Pourcentage 20 2 3" xfId="0"/>
    <cellStyle name="Pourcentage 20 3" xfId="0"/>
    <cellStyle name="Pourcentage 20 3 2" xfId="0"/>
    <cellStyle name="Pourcentage 20 4" xfId="0"/>
    <cellStyle name="Pourcentage 20_RH et QS" xfId="0"/>
    <cellStyle name="Pourcentage 21" xfId="0"/>
    <cellStyle name="Pourcentage 21 2" xfId="0"/>
    <cellStyle name="Pourcentage 21 2 2" xfId="0"/>
    <cellStyle name="Pourcentage 21 2 2 2" xfId="0"/>
    <cellStyle name="Pourcentage 21 2 3" xfId="0"/>
    <cellStyle name="Pourcentage 21 3" xfId="0"/>
    <cellStyle name="Pourcentage 21 3 2" xfId="0"/>
    <cellStyle name="Pourcentage 21 4" xfId="0"/>
    <cellStyle name="Pourcentage 21_RH et QS" xfId="0"/>
    <cellStyle name="Pourcentage 22" xfId="0"/>
    <cellStyle name="Pourcentage 22 2" xfId="0"/>
    <cellStyle name="Pourcentage 22 2 2" xfId="0"/>
    <cellStyle name="Pourcentage 22 3" xfId="0"/>
    <cellStyle name="Pourcentage 23" xfId="0"/>
    <cellStyle name="Pourcentage 23 2" xfId="0"/>
    <cellStyle name="Pourcentage 23 2 2" xfId="0"/>
    <cellStyle name="Pourcentage 23 3" xfId="0"/>
    <cellStyle name="Pourcentage 24" xfId="0"/>
    <cellStyle name="Pourcentage 24 2" xfId="0"/>
    <cellStyle name="Pourcentage 24 2 2" xfId="0"/>
    <cellStyle name="Pourcentage 24 3" xfId="0"/>
    <cellStyle name="Pourcentage 24 4" xfId="0"/>
    <cellStyle name="Pourcentage 25" xfId="0"/>
    <cellStyle name="Pourcentage 2_RH et QS" xfId="0"/>
    <cellStyle name="Pourcentage 3" xfId="0"/>
    <cellStyle name="Pourcentage 3 2" xfId="0"/>
    <cellStyle name="Pourcentage 3 3" xfId="0"/>
    <cellStyle name="Pourcentage 3 3 2" xfId="0"/>
    <cellStyle name="Pourcentage 3 3 2 2" xfId="0"/>
    <cellStyle name="Pourcentage 3 3 2 2 2" xfId="0"/>
    <cellStyle name="Pourcentage 3 3 2 2 2 2" xfId="0"/>
    <cellStyle name="Pourcentage 3 3 2 2 2 2 2" xfId="0"/>
    <cellStyle name="Pourcentage 3 3 2 2 2 3" xfId="0"/>
    <cellStyle name="Pourcentage 3 3 2 2 3" xfId="0"/>
    <cellStyle name="Pourcentage 3 3 2 2 3 2" xfId="0"/>
    <cellStyle name="Pourcentage 3 3 2 2 4" xfId="0"/>
    <cellStyle name="Pourcentage 3 3 2 2_RH et QS" xfId="0"/>
    <cellStyle name="Pourcentage 3 3 2 3" xfId="0"/>
    <cellStyle name="Pourcentage 3 3 2 3 2" xfId="0"/>
    <cellStyle name="Pourcentage 3 3 2 3 2 2" xfId="0"/>
    <cellStyle name="Pourcentage 3 3 2 3 2 2 2" xfId="0"/>
    <cellStyle name="Pourcentage 3 3 2 3 2 3" xfId="0"/>
    <cellStyle name="Pourcentage 3 3 2 3 3" xfId="0"/>
    <cellStyle name="Pourcentage 3 3 2 3 3 2" xfId="0"/>
    <cellStyle name="Pourcentage 3 3 2 3 4" xfId="0"/>
    <cellStyle name="Pourcentage 3 3 2 3_RH et QS" xfId="0"/>
    <cellStyle name="Pourcentage 3 3 2 4" xfId="0"/>
    <cellStyle name="Pourcentage 3 3 2 4 2" xfId="0"/>
    <cellStyle name="Pourcentage 3 3 2 4 2 2" xfId="0"/>
    <cellStyle name="Pourcentage 3 3 2 4 3" xfId="0"/>
    <cellStyle name="Pourcentage 3 3 2 5" xfId="0"/>
    <cellStyle name="Pourcentage 3 3 2 5 2" xfId="0"/>
    <cellStyle name="Pourcentage 3 3 2 6" xfId="0"/>
    <cellStyle name="Pourcentage 3 3 2_RH et QS" xfId="0"/>
    <cellStyle name="Pourcentage 3 3 3" xfId="0"/>
    <cellStyle name="Pourcentage 3 3 4" xfId="0"/>
    <cellStyle name="Pourcentage 3 3 4 2" xfId="0"/>
    <cellStyle name="Pourcentage 3 3 4 2 2" xfId="0"/>
    <cellStyle name="Pourcentage 3 3 4 2 2 2" xfId="0"/>
    <cellStyle name="Pourcentage 3 3 4 2 3" xfId="0"/>
    <cellStyle name="Pourcentage 3 3 4 3" xfId="0"/>
    <cellStyle name="Pourcentage 3 3 4 3 2" xfId="0"/>
    <cellStyle name="Pourcentage 3 3 4 4" xfId="0"/>
    <cellStyle name="Pourcentage 3 3 4_RH et QS" xfId="0"/>
    <cellStyle name="Pourcentage 3 3 5" xfId="0"/>
    <cellStyle name="Pourcentage 3 3 5 2" xfId="0"/>
    <cellStyle name="Pourcentage 3 3 5 2 2" xfId="0"/>
    <cellStyle name="Pourcentage 3 3 5 2 2 2" xfId="0"/>
    <cellStyle name="Pourcentage 3 3 5 2 3" xfId="0"/>
    <cellStyle name="Pourcentage 3 3 5 3" xfId="0"/>
    <cellStyle name="Pourcentage 3 3 5 3 2" xfId="0"/>
    <cellStyle name="Pourcentage 3 3 5 4" xfId="0"/>
    <cellStyle name="Pourcentage 3 3 5_RH et QS" xfId="0"/>
    <cellStyle name="Pourcentage 3 3 6" xfId="0"/>
    <cellStyle name="Pourcentage 3 3 6 2" xfId="0"/>
    <cellStyle name="Pourcentage 3 3 6 2 2" xfId="0"/>
    <cellStyle name="Pourcentage 3 3 6 3" xfId="0"/>
    <cellStyle name="Pourcentage 3 3 7" xfId="0"/>
    <cellStyle name="Pourcentage 3 3 7 2" xfId="0"/>
    <cellStyle name="Pourcentage 3 3 8" xfId="0"/>
    <cellStyle name="Pourcentage 3 3_RH et QS" xfId="0"/>
    <cellStyle name="Pourcentage 3 4" xfId="0"/>
    <cellStyle name="Pourcentage 3 5" xfId="0"/>
    <cellStyle name="Pourcentage 3_RH et QS" xfId="0"/>
    <cellStyle name="Pourcentage 4" xfId="0"/>
    <cellStyle name="Pourcentage 4 2" xfId="0"/>
    <cellStyle name="Pourcentage 4 3" xfId="0"/>
    <cellStyle name="Pourcentage 4_RH et QS" xfId="0"/>
    <cellStyle name="Pourcentage 5" xfId="0"/>
    <cellStyle name="Pourcentage 5 2" xfId="0"/>
    <cellStyle name="Pourcentage 5_RH et QS" xfId="0"/>
    <cellStyle name="Pourcentage 6" xfId="0"/>
    <cellStyle name="Pourcentage 7" xfId="0"/>
    <cellStyle name="Pourcentage 7 2" xfId="0"/>
    <cellStyle name="Pourcentage 7 2 2" xfId="0"/>
    <cellStyle name="Pourcentage 7 2_RH et QS" xfId="0"/>
    <cellStyle name="Pourcentage 7 3" xfId="0"/>
    <cellStyle name="Pourcentage 7 4" xfId="0"/>
    <cellStyle name="Pourcentage 7 5" xfId="0"/>
    <cellStyle name="Pourcentage 7_RH et QS" xfId="0"/>
    <cellStyle name="Pourcentage 8" xfId="0"/>
    <cellStyle name="Pourcentage 8 2" xfId="0"/>
    <cellStyle name="Pourcentage 8 2 2" xfId="0"/>
    <cellStyle name="Pourcentage 8 2_RH et QS" xfId="0"/>
    <cellStyle name="Pourcentage 8 3" xfId="0"/>
    <cellStyle name="Pourcentage 8 3 2" xfId="0"/>
    <cellStyle name="Pourcentage 8 3_RH et QS" xfId="0"/>
    <cellStyle name="Pourcentage 8 4" xfId="0"/>
    <cellStyle name="Pourcentage 8 5" xfId="0"/>
    <cellStyle name="Pourcentage 8 6" xfId="0"/>
    <cellStyle name="Pourcentage 8 7" xfId="0"/>
    <cellStyle name="Pourcentage 8 7 2" xfId="0"/>
    <cellStyle name="Pourcentage 8 7 2 2" xfId="0"/>
    <cellStyle name="Pourcentage 8 7 2 2 2" xfId="0"/>
    <cellStyle name="Pourcentage 8 7 2 3" xfId="0"/>
    <cellStyle name="Pourcentage 8 7 3" xfId="0"/>
    <cellStyle name="Pourcentage 8 7 3 2" xfId="0"/>
    <cellStyle name="Pourcentage 8 7 4" xfId="0"/>
    <cellStyle name="Pourcentage 8 7_RH et QS" xfId="0"/>
    <cellStyle name="Pourcentage 8_RH et QS" xfId="0"/>
    <cellStyle name="Pourcentage 9" xfId="0"/>
    <cellStyle name="Pourcentage 9 2" xfId="0"/>
    <cellStyle name="Pourcentage 9 2 2" xfId="0"/>
    <cellStyle name="Pourcentage 9 2_RH et QS" xfId="0"/>
    <cellStyle name="Pourcentage 9 3" xfId="0"/>
    <cellStyle name="Pourcentage 9 4" xfId="0"/>
    <cellStyle name="Pourcentage 9_RH et QS" xfId="0"/>
    <cellStyle name="Prefilled" xfId="0"/>
    <cellStyle name="Prefilled 2" xfId="0"/>
    <cellStyle name="Prefilled 2 2" xfId="0"/>
    <cellStyle name="PrePop Currency (0)" xfId="0"/>
    <cellStyle name="PrePop Currency (0) 2" xfId="0"/>
    <cellStyle name="PrePop Currency (0)_Parc Mobile" xfId="0"/>
    <cellStyle name="PrePop Currency (2)" xfId="0"/>
    <cellStyle name="PrePop Currency (2) 2" xfId="0"/>
    <cellStyle name="PrePop Currency (2)_Parc Mobile" xfId="0"/>
    <cellStyle name="PrePop Units (0)" xfId="0"/>
    <cellStyle name="PrePop Units (0) 2" xfId="0"/>
    <cellStyle name="PrePop Units (0)_Parc Mobile" xfId="0"/>
    <cellStyle name="PrePop Units (1)" xfId="0"/>
    <cellStyle name="PrePop Units (1) 2" xfId="0"/>
    <cellStyle name="PrePop Units (1)_Parc Mobile" xfId="0"/>
    <cellStyle name="PrePop Units (2)" xfId="0"/>
    <cellStyle name="PrePop Units (2) 2" xfId="0"/>
    <cellStyle name="PrePop Units (2)_Parc Mobile" xfId="0"/>
    <cellStyle name="Pricelist_level1" xfId="0"/>
    <cellStyle name="pricing" xfId="0"/>
    <cellStyle name="Product Title" xfId="0"/>
    <cellStyle name="PropGenCurrencyFormat" xfId="0"/>
    <cellStyle name="Protected" xfId="0"/>
    <cellStyle name="Prozent +line" xfId="0"/>
    <cellStyle name="Prozent(+line)" xfId="0"/>
    <cellStyle name="Prozent_7.2.3. CAPEX" xfId="0"/>
    <cellStyle name="PSChar" xfId="0"/>
    <cellStyle name="PSDate" xfId="0"/>
    <cellStyle name="PSDec" xfId="0"/>
    <cellStyle name="PSHeading" xfId="0"/>
    <cellStyle name="PSHeading 2" xfId="0"/>
    <cellStyle name="PSHeading 2 2" xfId="0"/>
    <cellStyle name="PSHeading 3" xfId="0"/>
    <cellStyle name="PSInt" xfId="0"/>
    <cellStyle name="PSSpacer" xfId="0"/>
    <cellStyle name="Pénznem [0]_Cable" xfId="0"/>
    <cellStyle name="Pénznem_Cable" xfId="0"/>
    <cellStyle name="Qté calculées" xfId="0"/>
    <cellStyle name="Qté calculées 2" xfId="0"/>
    <cellStyle name="Qté calculées 2 2" xfId="0"/>
    <cellStyle name="QTé entrées" xfId="0"/>
    <cellStyle name="RatioX" xfId="0"/>
    <cellStyle name="Red font" xfId="0"/>
    <cellStyle name="Reference" xfId="0"/>
    <cellStyle name="Reference (O%)" xfId="0"/>
    <cellStyle name="Reference [00]" xfId="0"/>
    <cellStyle name="Reference_Actu 1 du Budget Annuel Groupe IAM  2007" xfId="0"/>
    <cellStyle name="regstoresfromspecstores" xfId="0"/>
    <cellStyle name="RevList" xfId="0"/>
    <cellStyle name="RowHeader_Indent3" xfId="0"/>
    <cellStyle name="réel" xfId="0"/>
    <cellStyle name="réel 2" xfId="0"/>
    <cellStyle name="réel 2 2" xfId="0"/>
    <cellStyle name="réel 2_RH et QS" xfId="0"/>
    <cellStyle name="réel 3" xfId="0"/>
    <cellStyle name="réel 3 2" xfId="0"/>
    <cellStyle name="réel 3_RH et QS" xfId="0"/>
    <cellStyle name="réel 4" xfId="0"/>
    <cellStyle name="réel_Kombissiri" xfId="0"/>
    <cellStyle name="SAPBEXaggData" xfId="0"/>
    <cellStyle name="SAPBEXaggData 2" xfId="0"/>
    <cellStyle name="SAPBEXaggData 2 2" xfId="0"/>
    <cellStyle name="SAPBEXaggData 3" xfId="0"/>
    <cellStyle name="SAPBEXaggDataEmph" xfId="0"/>
    <cellStyle name="SAPBEXaggDataEmph 2" xfId="0"/>
    <cellStyle name="SAPBEXaggDataEmph 2 2" xfId="0"/>
    <cellStyle name="SAPBEXaggDataEmph 3" xfId="0"/>
    <cellStyle name="SAPBEXaggItem" xfId="0"/>
    <cellStyle name="SAPBEXaggItem 2" xfId="0"/>
    <cellStyle name="SAPBEXaggItem 2 2" xfId="0"/>
    <cellStyle name="SAPBEXaggItem 3" xfId="0"/>
    <cellStyle name="SAPBEXaggItemX" xfId="0"/>
    <cellStyle name="SAPBEXaggItemX 2" xfId="0"/>
    <cellStyle name="SAPBEXaggItemX 2 2" xfId="0"/>
    <cellStyle name="SAPBEXaggItemX 3" xfId="0"/>
    <cellStyle name="SAPBEXchaText" xfId="0"/>
    <cellStyle name="SAPBEXchaText 2" xfId="0"/>
    <cellStyle name="SAPBEXchaText 2 2" xfId="0"/>
    <cellStyle name="SAPBEXchaText 3" xfId="0"/>
    <cellStyle name="SAPBEXexcBad7" xfId="0"/>
    <cellStyle name="SAPBEXexcBad7 2" xfId="0"/>
    <cellStyle name="SAPBEXexcBad7 2 2" xfId="0"/>
    <cellStyle name="SAPBEXexcBad7 3" xfId="0"/>
    <cellStyle name="SAPBEXexcBad8" xfId="0"/>
    <cellStyle name="SAPBEXexcBad8 2" xfId="0"/>
    <cellStyle name="SAPBEXexcBad8 2 2" xfId="0"/>
    <cellStyle name="SAPBEXexcBad8 3" xfId="0"/>
    <cellStyle name="SAPBEXexcBad9" xfId="0"/>
    <cellStyle name="SAPBEXexcBad9 2" xfId="0"/>
    <cellStyle name="SAPBEXexcBad9 2 2" xfId="0"/>
    <cellStyle name="SAPBEXexcBad9 3" xfId="0"/>
    <cellStyle name="SAPBEXexcCritical4" xfId="0"/>
    <cellStyle name="SAPBEXexcCritical4 2" xfId="0"/>
    <cellStyle name="SAPBEXexcCritical4 2 2" xfId="0"/>
    <cellStyle name="SAPBEXexcCritical4 3" xfId="0"/>
    <cellStyle name="SAPBEXexcCritical5" xfId="0"/>
    <cellStyle name="SAPBEXexcCritical5 2" xfId="0"/>
    <cellStyle name="SAPBEXexcCritical5 2 2" xfId="0"/>
    <cellStyle name="SAPBEXexcCritical5 3" xfId="0"/>
    <cellStyle name="SAPBEXexcCritical6" xfId="0"/>
    <cellStyle name="SAPBEXexcCritical6 2" xfId="0"/>
    <cellStyle name="SAPBEXexcCritical6 2 2" xfId="0"/>
    <cellStyle name="SAPBEXexcCritical6 3" xfId="0"/>
    <cellStyle name="SAPBEXexcGood1" xfId="0"/>
    <cellStyle name="SAPBEXexcGood1 2" xfId="0"/>
    <cellStyle name="SAPBEXexcGood1 2 2" xfId="0"/>
    <cellStyle name="SAPBEXexcGood1 3" xfId="0"/>
    <cellStyle name="SAPBEXexcGood2" xfId="0"/>
    <cellStyle name="SAPBEXexcGood2 2" xfId="0"/>
    <cellStyle name="SAPBEXexcGood2 2 2" xfId="0"/>
    <cellStyle name="SAPBEXexcGood2 3" xfId="0"/>
    <cellStyle name="SAPBEXexcGood3" xfId="0"/>
    <cellStyle name="SAPBEXexcGood3 2" xfId="0"/>
    <cellStyle name="SAPBEXexcGood3 2 2" xfId="0"/>
    <cellStyle name="SAPBEXexcGood3 3" xfId="0"/>
    <cellStyle name="SAPBEXfilterDrill" xfId="0"/>
    <cellStyle name="SAPBEXfilterDrill 2" xfId="0"/>
    <cellStyle name="SAPBEXfilterDrill 2 2" xfId="0"/>
    <cellStyle name="SAPBEXfilterDrill 3" xfId="0"/>
    <cellStyle name="SAPBEXfilterItem" xfId="0"/>
    <cellStyle name="SAPBEXfilterItem 2" xfId="0"/>
    <cellStyle name="SAPBEXfilterItem 2 2" xfId="0"/>
    <cellStyle name="SAPBEXfilterItem 3" xfId="0"/>
    <cellStyle name="SAPBEXfilterText" xfId="0"/>
    <cellStyle name="SAPBEXformats" xfId="0"/>
    <cellStyle name="SAPBEXformats 2" xfId="0"/>
    <cellStyle name="SAPBEXformats 2 2" xfId="0"/>
    <cellStyle name="SAPBEXformats 3" xfId="0"/>
    <cellStyle name="SAPBEXheaderItem" xfId="0"/>
    <cellStyle name="SAPBEXheaderItem 2" xfId="0"/>
    <cellStyle name="SAPBEXheaderItem 2 2" xfId="0"/>
    <cellStyle name="SAPBEXheaderItem 3" xfId="0"/>
    <cellStyle name="SAPBEXheaderText" xfId="0"/>
    <cellStyle name="SAPBEXheaderText 2" xfId="0"/>
    <cellStyle name="SAPBEXheaderText 2 2" xfId="0"/>
    <cellStyle name="SAPBEXheaderText 3" xfId="0"/>
    <cellStyle name="SAPBEXHLevel0" xfId="0"/>
    <cellStyle name="SAPBEXHLevel0 2" xfId="0"/>
    <cellStyle name="SAPBEXHLevel0 2 2" xfId="0"/>
    <cellStyle name="SAPBEXHLevel0 3" xfId="0"/>
    <cellStyle name="SAPBEXHLevel0X" xfId="0"/>
    <cellStyle name="SAPBEXHLevel0X 2" xfId="0"/>
    <cellStyle name="SAPBEXHLevel0X 2 2" xfId="0"/>
    <cellStyle name="SAPBEXHLevel0X 3" xfId="0"/>
    <cellStyle name="SAPBEXHLevel1" xfId="0"/>
    <cellStyle name="SAPBEXHLevel1 2" xfId="0"/>
    <cellStyle name="SAPBEXHLevel1 2 2" xfId="0"/>
    <cellStyle name="SAPBEXHLevel1 3" xfId="0"/>
    <cellStyle name="SAPBEXHLevel1X" xfId="0"/>
    <cellStyle name="SAPBEXHLevel1X 2" xfId="0"/>
    <cellStyle name="SAPBEXHLevel1X 2 2" xfId="0"/>
    <cellStyle name="SAPBEXHLevel1X 3" xfId="0"/>
    <cellStyle name="SAPBEXHLevel2" xfId="0"/>
    <cellStyle name="SAPBEXHLevel2 2" xfId="0"/>
    <cellStyle name="SAPBEXHLevel2 2 2" xfId="0"/>
    <cellStyle name="SAPBEXHLevel2 3" xfId="0"/>
    <cellStyle name="SAPBEXHLevel2X" xfId="0"/>
    <cellStyle name="SAPBEXHLevel2X 2" xfId="0"/>
    <cellStyle name="SAPBEXHLevel2X 2 2" xfId="0"/>
    <cellStyle name="SAPBEXHLevel2X 3" xfId="0"/>
    <cellStyle name="SAPBEXHLevel3" xfId="0"/>
    <cellStyle name="SAPBEXHLevel3 2" xfId="0"/>
    <cellStyle name="SAPBEXHLevel3 2 2" xfId="0"/>
    <cellStyle name="SAPBEXHLevel3 3" xfId="0"/>
    <cellStyle name="SAPBEXHLevel3X" xfId="0"/>
    <cellStyle name="SAPBEXHLevel3X 2" xfId="0"/>
    <cellStyle name="SAPBEXHLevel3X 2 2" xfId="0"/>
    <cellStyle name="SAPBEXHLevel3X 3" xfId="0"/>
    <cellStyle name="SAPBEXresData" xfId="0"/>
    <cellStyle name="SAPBEXresData 2" xfId="0"/>
    <cellStyle name="SAPBEXresData 2 2" xfId="0"/>
    <cellStyle name="SAPBEXresData 3" xfId="0"/>
    <cellStyle name="SAPBEXresDataEmph" xfId="0"/>
    <cellStyle name="SAPBEXresDataEmph 2" xfId="0"/>
    <cellStyle name="SAPBEXresDataEmph 2 2" xfId="0"/>
    <cellStyle name="SAPBEXresDataEmph 3" xfId="0"/>
    <cellStyle name="SAPBEXresItem" xfId="0"/>
    <cellStyle name="SAPBEXresItem 2" xfId="0"/>
    <cellStyle name="SAPBEXresItem 2 2" xfId="0"/>
    <cellStyle name="SAPBEXresItem 3" xfId="0"/>
    <cellStyle name="SAPBEXresItemX" xfId="0"/>
    <cellStyle name="SAPBEXresItemX 2" xfId="0"/>
    <cellStyle name="SAPBEXresItemX 2 2" xfId="0"/>
    <cellStyle name="SAPBEXresItemX 3" xfId="0"/>
    <cellStyle name="SAPBEXstdData" xfId="0"/>
    <cellStyle name="SAPBEXstdData 2" xfId="0"/>
    <cellStyle name="SAPBEXstdData 2 2" xfId="0"/>
    <cellStyle name="SAPBEXstdData 3" xfId="0"/>
    <cellStyle name="SAPBEXstdDataEmph" xfId="0"/>
    <cellStyle name="SAPBEXstdDataEmph 2" xfId="0"/>
    <cellStyle name="SAPBEXstdDataEmph 2 2" xfId="0"/>
    <cellStyle name="SAPBEXstdDataEmph 3" xfId="0"/>
    <cellStyle name="SAPBEXstdItem" xfId="0"/>
    <cellStyle name="SAPBEXstdItem 2" xfId="0"/>
    <cellStyle name="SAPBEXstdItem 2 2" xfId="0"/>
    <cellStyle name="SAPBEXstdItem 3" xfId="0"/>
    <cellStyle name="SAPBEXstdItemX" xfId="0"/>
    <cellStyle name="SAPBEXstdItemX 2" xfId="0"/>
    <cellStyle name="SAPBEXstdItemX 2 2" xfId="0"/>
    <cellStyle name="SAPBEXstdItemX 3" xfId="0"/>
    <cellStyle name="SAPBEXtitle" xfId="0"/>
    <cellStyle name="SAPBEXundefined" xfId="0"/>
    <cellStyle name="SAPBEXundefined 2" xfId="0"/>
    <cellStyle name="SAPBEXundefined 2 2" xfId="0"/>
    <cellStyle name="SAPBEXundefined 3" xfId="0"/>
    <cellStyle name="Satisfaisant 2" xfId="0"/>
    <cellStyle name="Satisfaisant 2 2" xfId="0"/>
    <cellStyle name="Satisfaisant 2 2 2" xfId="0"/>
    <cellStyle name="Satisfaisant 2 2_Parc Mobile" xfId="0"/>
    <cellStyle name="Satisfaisant 2_RH et QS" xfId="0"/>
    <cellStyle name="Satisfaisant 3" xfId="0"/>
    <cellStyle name="Satisfaisant 3 2" xfId="0"/>
    <cellStyle name="Satisfaisant 3_RH et QS" xfId="0"/>
    <cellStyle name="Satisfaisant 4" xfId="0"/>
    <cellStyle name="Satisfaisant 4 2" xfId="0"/>
    <cellStyle name="Satisfaisant 4_RH et QS" xfId="0"/>
    <cellStyle name="Satisfaisant 5" xfId="0"/>
    <cellStyle name="Satisfaisant 5 2" xfId="0"/>
    <cellStyle name="Satisfaisant 5_RH et QS" xfId="0"/>
    <cellStyle name="Satisfaisant 6" xfId="0"/>
    <cellStyle name="Satisfaisant 6 2" xfId="0"/>
    <cellStyle name="Satisfaisant 6_RH et QS" xfId="0"/>
    <cellStyle name="Satisfaisant 7 2" xfId="0"/>
    <cellStyle name="Satisfaisant 8 2" xfId="0"/>
    <cellStyle name="ScripFactor" xfId="0"/>
    <cellStyle name="Shaded" xfId="0"/>
    <cellStyle name="SHADEDSTORES" xfId="0"/>
    <cellStyle name="SHADEDSTORES 2" xfId="0"/>
    <cellStyle name="SHADEDSTORES 2 2" xfId="0"/>
    <cellStyle name="SHADEDSTORES 3" xfId="0"/>
    <cellStyle name="ShOut" xfId="0"/>
    <cellStyle name="Small" xfId="0"/>
    <cellStyle name="Small 2" xfId="0"/>
    <cellStyle name="Small 2 2" xfId="0"/>
    <cellStyle name="Sortie 2" xfId="0"/>
    <cellStyle name="Sortie 2 2" xfId="0"/>
    <cellStyle name="Sortie 2 2 2" xfId="0"/>
    <cellStyle name="Sortie 2 2 2 2" xfId="0"/>
    <cellStyle name="Sortie 2 2 2 2 2" xfId="0"/>
    <cellStyle name="Sortie 2 2 2 3" xfId="0"/>
    <cellStyle name="Sortie 2 2 3" xfId="0"/>
    <cellStyle name="Sortie 2 2 3 2" xfId="0"/>
    <cellStyle name="Sortie 2 2 4" xfId="0"/>
    <cellStyle name="Sortie 2 2_Parc Mobile" xfId="0"/>
    <cellStyle name="Sortie 2 3" xfId="0"/>
    <cellStyle name="Sortie 2 3 2" xfId="0"/>
    <cellStyle name="Sortie 2 4" xfId="0"/>
    <cellStyle name="Sortie 2_RH et QS" xfId="0"/>
    <cellStyle name="Sortie 3" xfId="0"/>
    <cellStyle name="Sortie 3 2" xfId="0"/>
    <cellStyle name="Sortie 3 2 2" xfId="0"/>
    <cellStyle name="Sortie 3 2 2 2" xfId="0"/>
    <cellStyle name="Sortie 3 2 3" xfId="0"/>
    <cellStyle name="Sortie 3 3" xfId="0"/>
    <cellStyle name="Sortie 3 3 2" xfId="0"/>
    <cellStyle name="Sortie 3 4" xfId="0"/>
    <cellStyle name="Sortie 3_RH et QS" xfId="0"/>
    <cellStyle name="Sortie 4" xfId="0"/>
    <cellStyle name="Sortie 4 2" xfId="0"/>
    <cellStyle name="Sortie 4 2 2" xfId="0"/>
    <cellStyle name="Sortie 4 2 2 2" xfId="0"/>
    <cellStyle name="Sortie 4 2 3" xfId="0"/>
    <cellStyle name="Sortie 4 3" xfId="0"/>
    <cellStyle name="Sortie 4 3 2" xfId="0"/>
    <cellStyle name="Sortie 4 4" xfId="0"/>
    <cellStyle name="Sortie 4_RH et QS" xfId="0"/>
    <cellStyle name="Sortie 5" xfId="0"/>
    <cellStyle name="Sortie 5 2" xfId="0"/>
    <cellStyle name="Sortie 5 2 2" xfId="0"/>
    <cellStyle name="Sortie 5 2 2 2" xfId="0"/>
    <cellStyle name="Sortie 5 2 3" xfId="0"/>
    <cellStyle name="Sortie 5 3" xfId="0"/>
    <cellStyle name="Sortie 5 3 2" xfId="0"/>
    <cellStyle name="Sortie 5 4" xfId="0"/>
    <cellStyle name="Sortie 5_RH et QS" xfId="0"/>
    <cellStyle name="Sortie 6" xfId="0"/>
    <cellStyle name="Sortie 6 2" xfId="0"/>
    <cellStyle name="Sortie 6 2 2" xfId="0"/>
    <cellStyle name="Sortie 6 2 2 2" xfId="0"/>
    <cellStyle name="Sortie 6 2 3" xfId="0"/>
    <cellStyle name="Sortie 6 3" xfId="0"/>
    <cellStyle name="Sortie 6 3 2" xfId="0"/>
    <cellStyle name="Sortie 6 4" xfId="0"/>
    <cellStyle name="Sortie 6_RH et QS" xfId="0"/>
    <cellStyle name="Sortie 7 2" xfId="0"/>
    <cellStyle name="Sortie 7 2 2" xfId="0"/>
    <cellStyle name="Sortie 7 2 2 2" xfId="0"/>
    <cellStyle name="Sortie 7 2 3" xfId="0"/>
    <cellStyle name="Sortie 8 2" xfId="0"/>
    <cellStyle name="Sortie 8 2 2" xfId="0"/>
    <cellStyle name="Sortie 8 2 2 2" xfId="0"/>
    <cellStyle name="Sortie 8 2 3" xfId="0"/>
    <cellStyle name="specstores" xfId="0"/>
    <cellStyle name="Standaard_Residential" xfId="0"/>
    <cellStyle name="Standard" xfId="0"/>
    <cellStyle name="Style 1" xfId="0"/>
    <cellStyle name="Style 1 2" xfId="0"/>
    <cellStyle name="Style 1 3" xfId="0"/>
    <cellStyle name="Style 1 4" xfId="0"/>
    <cellStyle name="Style 1 5" xfId="0"/>
    <cellStyle name="Style 1 6" xfId="0"/>
    <cellStyle name="Style 1 7" xfId="0"/>
    <cellStyle name="Style 1 8" xfId="0"/>
    <cellStyle name="Style 1_Parc Mobile" xfId="0"/>
    <cellStyle name="Style 2" xfId="0"/>
    <cellStyle name="Style 3" xfId="0"/>
    <cellStyle name="SubTitle" xfId="0"/>
    <cellStyle name="Subtotal" xfId="0"/>
    <cellStyle name="Summe" xfId="0"/>
    <cellStyle name="Switch" xfId="0"/>
    <cellStyle name="Table Col Head" xfId="0"/>
    <cellStyle name="Table Sub Head" xfId="0"/>
    <cellStyle name="Table Title" xfId="0"/>
    <cellStyle name="Table Title 2" xfId="0"/>
    <cellStyle name="Table Title_RH et QS" xfId="0"/>
    <cellStyle name="Table Units" xfId="0"/>
    <cellStyle name="taples Plaza" xfId="0"/>
    <cellStyle name="Tariff" xfId="0"/>
    <cellStyle name="Text 2" xfId="0"/>
    <cellStyle name="Text 3" xfId="0"/>
    <cellStyle name="Text 32" xfId="0"/>
    <cellStyle name="Text 4" xfId="0"/>
    <cellStyle name="Text allg" xfId="0"/>
    <cellStyle name="Text allg 2" xfId="0"/>
    <cellStyle name="Text allg 2 2" xfId="0"/>
    <cellStyle name="Text Indent A" xfId="0"/>
    <cellStyle name="Text Indent B" xfId="0"/>
    <cellStyle name="Text Indent B 2" xfId="0"/>
    <cellStyle name="Text Indent B_Parc Mobile" xfId="0"/>
    <cellStyle name="Text Indent C" xfId="0"/>
    <cellStyle name="Text Indent C 2" xfId="0"/>
    <cellStyle name="Text Indent C_Parc Mobile" xfId="0"/>
    <cellStyle name="Text_FRA Master 1 Tableaux Etats Fi exercice 2005 BU 2212" xfId="0"/>
    <cellStyle name="TextData" xfId="0"/>
    <cellStyle name="TextDataFlag" xfId="0"/>
    <cellStyle name="TextDataLong" xfId="0"/>
    <cellStyle name="Texte explicatif 2" xfId="0"/>
    <cellStyle name="Texte explicatif 2 2" xfId="0"/>
    <cellStyle name="Texte explicatif 2_RH et QS" xfId="0"/>
    <cellStyle name="Texte explicatif 3" xfId="0"/>
    <cellStyle name="Texte explicatif 3 2" xfId="0"/>
    <cellStyle name="Texte explicatif 3_RH et QS" xfId="0"/>
    <cellStyle name="Texte explicatif 4" xfId="0"/>
    <cellStyle name="Texte explicatif 4 2" xfId="0"/>
    <cellStyle name="Texte explicatif 4_RH et QS" xfId="0"/>
    <cellStyle name="Texte explicatif 5" xfId="0"/>
    <cellStyle name="Texte explicatif 5 2" xfId="0"/>
    <cellStyle name="Texte explicatif 5_RH et QS" xfId="0"/>
    <cellStyle name="Texte explicatif 6" xfId="0"/>
    <cellStyle name="Texte explicatif 6 2" xfId="0"/>
    <cellStyle name="Texte explicatif 6_RH et QS" xfId="0"/>
    <cellStyle name="Texte explicatif 7 2" xfId="0"/>
    <cellStyle name="Texte explicatif 8 2" xfId="0"/>
    <cellStyle name="TFCF" xfId="0"/>
    <cellStyle name="Thousand" xfId="0"/>
    <cellStyle name="Thousands" xfId="0"/>
    <cellStyle name="times new roman" xfId="0"/>
    <cellStyle name="Title" xfId="0"/>
    <cellStyle name="Title 10" xfId="0"/>
    <cellStyle name="Title 11" xfId="0"/>
    <cellStyle name="Title 12" xfId="0"/>
    <cellStyle name="Title 13" xfId="0"/>
    <cellStyle name="Title 14" xfId="0"/>
    <cellStyle name="Title 15" xfId="0"/>
    <cellStyle name="Title 16" xfId="0"/>
    <cellStyle name="Title 17" xfId="0"/>
    <cellStyle name="Title 18" xfId="0"/>
    <cellStyle name="Title 19" xfId="0"/>
    <cellStyle name="Title 2" xfId="0"/>
    <cellStyle name="Title 20" xfId="0"/>
    <cellStyle name="Title 21" xfId="0"/>
    <cellStyle name="Title 22" xfId="0"/>
    <cellStyle name="Title 23" xfId="0"/>
    <cellStyle name="Title 24" xfId="0"/>
    <cellStyle name="Title 25" xfId="0"/>
    <cellStyle name="Title 26" xfId="0"/>
    <cellStyle name="Title 27" xfId="0"/>
    <cellStyle name="Title 28" xfId="0"/>
    <cellStyle name="Title 3" xfId="0"/>
    <cellStyle name="Title 4" xfId="0"/>
    <cellStyle name="Title 5" xfId="0"/>
    <cellStyle name="Title 6" xfId="0"/>
    <cellStyle name="Title 7" xfId="0"/>
    <cellStyle name="Title 8" xfId="0"/>
    <cellStyle name="Title 9" xfId="0"/>
    <cellStyle name="Title2" xfId="0"/>
    <cellStyle name="Title_RH et QS" xfId="0"/>
    <cellStyle name="Titles" xfId="0"/>
    <cellStyle name="TitleVertical" xfId="0"/>
    <cellStyle name="Titre 2" xfId="0"/>
    <cellStyle name="Titre 2 2" xfId="0"/>
    <cellStyle name="Titre 2 3" xfId="0"/>
    <cellStyle name="Titre 2 4" xfId="0"/>
    <cellStyle name="Titre 2_RH et QS" xfId="0"/>
    <cellStyle name="Titre 3" xfId="0"/>
    <cellStyle name="Titre 3 2" xfId="0"/>
    <cellStyle name="Titre 3_RH et QS" xfId="0"/>
    <cellStyle name="Titre 4" xfId="0"/>
    <cellStyle name="Titre 4 2" xfId="0"/>
    <cellStyle name="Titre 4_RH et QS" xfId="0"/>
    <cellStyle name="Titre 5" xfId="0"/>
    <cellStyle name="Titre 5 2" xfId="0"/>
    <cellStyle name="Titre 5_RH et QS" xfId="0"/>
    <cellStyle name="Titre 6" xfId="0"/>
    <cellStyle name="Titre 6 2" xfId="0"/>
    <cellStyle name="Titre 6_RH et QS" xfId="0"/>
    <cellStyle name="Titre 7 2" xfId="0"/>
    <cellStyle name="Titre 8 2" xfId="0"/>
    <cellStyle name="Titre de la feuille" xfId="0"/>
    <cellStyle name="Titre 1 2" xfId="0"/>
    <cellStyle name="Titre 1 2 2" xfId="0"/>
    <cellStyle name="Titre 1 2 2 2" xfId="0"/>
    <cellStyle name="Titre 1 2 2_Parc Mobile" xfId="0"/>
    <cellStyle name="Titre 1 2_RH et QS" xfId="0"/>
    <cellStyle name="Titre 1 3" xfId="0"/>
    <cellStyle name="Titre 1 3 2" xfId="0"/>
    <cellStyle name="Titre 1 3_RH et QS" xfId="0"/>
    <cellStyle name="Titre 1 4" xfId="0"/>
    <cellStyle name="Titre 1 4 2" xfId="0"/>
    <cellStyle name="Titre 1 4_RH et QS" xfId="0"/>
    <cellStyle name="Titre 1 5" xfId="0"/>
    <cellStyle name="Titre 1 5 2" xfId="0"/>
    <cellStyle name="Titre 1 5_RH et QS" xfId="0"/>
    <cellStyle name="Titre 1 6" xfId="0"/>
    <cellStyle name="Titre 1 6 2" xfId="0"/>
    <cellStyle name="Titre 1 6_RH et QS" xfId="0"/>
    <cellStyle name="Titre 1 7 2" xfId="0"/>
    <cellStyle name="Titre 1 8 2" xfId="0"/>
    <cellStyle name="Titre 2 2 2" xfId="0"/>
    <cellStyle name="Titre 2 2 2 2" xfId="0"/>
    <cellStyle name="Titre 2 2 2_Parc Mobile" xfId="0"/>
    <cellStyle name="Titre 2 2_RH et QS" xfId="0"/>
    <cellStyle name="Titre 2 3 2" xfId="0"/>
    <cellStyle name="Titre 2 3_RH et QS" xfId="0"/>
    <cellStyle name="Titre 2 4 2" xfId="0"/>
    <cellStyle name="Titre 2 4_RH et QS" xfId="0"/>
    <cellStyle name="Titre 2 5" xfId="0"/>
    <cellStyle name="Titre 2 5 2" xfId="0"/>
    <cellStyle name="Titre 2 5_RH et QS" xfId="0"/>
    <cellStyle name="Titre 2 6" xfId="0"/>
    <cellStyle name="Titre 2 6 2" xfId="0"/>
    <cellStyle name="Titre 2 6_RH et QS" xfId="0"/>
    <cellStyle name="Titre 2 7 2" xfId="0"/>
    <cellStyle name="Titre 2 8 2" xfId="0"/>
    <cellStyle name="Titre 3 2 2" xfId="0"/>
    <cellStyle name="Titre 3 2 2 2" xfId="0"/>
    <cellStyle name="Titre 3 2 2 2 2" xfId="0"/>
    <cellStyle name="Titre 3 2 2 3" xfId="0"/>
    <cellStyle name="Titre 3 2 2_Parc Mobile" xfId="0"/>
    <cellStyle name="Titre 3 2 3" xfId="0"/>
    <cellStyle name="Titre 3 2_RH et QS" xfId="0"/>
    <cellStyle name="Titre 3 3" xfId="0"/>
    <cellStyle name="Titre 3 3 2" xfId="0"/>
    <cellStyle name="Titre 3 3 2 2" xfId="0"/>
    <cellStyle name="Titre 3 3 3" xfId="0"/>
    <cellStyle name="Titre 3 3_RH et QS" xfId="0"/>
    <cellStyle name="Titre 3 4" xfId="0"/>
    <cellStyle name="Titre 3 4 2" xfId="0"/>
    <cellStyle name="Titre 3 4 2 2" xfId="0"/>
    <cellStyle name="Titre 3 4 3" xfId="0"/>
    <cellStyle name="Titre 3 4_RH et QS" xfId="0"/>
    <cellStyle name="Titre 3 5" xfId="0"/>
    <cellStyle name="Titre 3 5 2" xfId="0"/>
    <cellStyle name="Titre 3 5 2 2" xfId="0"/>
    <cellStyle name="Titre 3 5 3" xfId="0"/>
    <cellStyle name="Titre 3 5_RH et QS" xfId="0"/>
    <cellStyle name="Titre 3 6" xfId="0"/>
    <cellStyle name="Titre 3 6 2" xfId="0"/>
    <cellStyle name="Titre 3 6 2 2" xfId="0"/>
    <cellStyle name="Titre 3 6 3" xfId="0"/>
    <cellStyle name="Titre 3 6_RH et QS" xfId="0"/>
    <cellStyle name="Titre 3 7 2" xfId="0"/>
    <cellStyle name="Titre 3 7 2 2" xfId="0"/>
    <cellStyle name="Titre 3 8 2" xfId="0"/>
    <cellStyle name="Titre 3 8 2 2" xfId="0"/>
    <cellStyle name="Titre 4 2 2" xfId="0"/>
    <cellStyle name="Titre 4 2 2 2" xfId="0"/>
    <cellStyle name="Titre 4 2 2_Parc Mobile" xfId="0"/>
    <cellStyle name="Titre 4 2_RH et QS" xfId="0"/>
    <cellStyle name="Titre 4 3" xfId="0"/>
    <cellStyle name="Titre 4 3 2" xfId="0"/>
    <cellStyle name="Titre 4 3_RH et QS" xfId="0"/>
    <cellStyle name="Titre 4 4" xfId="0"/>
    <cellStyle name="Titre 4 4 2" xfId="0"/>
    <cellStyle name="Titre 4 4_RH et QS" xfId="0"/>
    <cellStyle name="Titre 4 5" xfId="0"/>
    <cellStyle name="Titre 4 5 2" xfId="0"/>
    <cellStyle name="Titre 4 5_RH et QS" xfId="0"/>
    <cellStyle name="Titre 4 6" xfId="0"/>
    <cellStyle name="Titre 4 6 2" xfId="0"/>
    <cellStyle name="Titre 4 6_RH et QS" xfId="0"/>
    <cellStyle name="Titre 4 7 2" xfId="0"/>
    <cellStyle name="Titre 4 8 2" xfId="0"/>
    <cellStyle name="Top_Border" xfId="0"/>
    <cellStyle name="Total 10" xfId="0"/>
    <cellStyle name="Total 11" xfId="0"/>
    <cellStyle name="Total 12" xfId="0"/>
    <cellStyle name="Total 13" xfId="0"/>
    <cellStyle name="Total 14" xfId="0"/>
    <cellStyle name="Total 15" xfId="0"/>
    <cellStyle name="Total 16" xfId="0"/>
    <cellStyle name="Total 17" xfId="0"/>
    <cellStyle name="Total 18" xfId="0"/>
    <cellStyle name="Total 19" xfId="0"/>
    <cellStyle name="Total 2" xfId="0"/>
    <cellStyle name="Total 2 10" xfId="0"/>
    <cellStyle name="Total 2 10 2" xfId="0"/>
    <cellStyle name="Total 2 11" xfId="0"/>
    <cellStyle name="Total 2 2" xfId="0"/>
    <cellStyle name="Total 2 2 2" xfId="0"/>
    <cellStyle name="Total 2 2 2 2" xfId="0"/>
    <cellStyle name="Total 2 2 2 2 2" xfId="0"/>
    <cellStyle name="Total 2 2 2 3" xfId="0"/>
    <cellStyle name="Total 2 2 3" xfId="0"/>
    <cellStyle name="Total 2 2 3 2" xfId="0"/>
    <cellStyle name="Total 2 2 4" xfId="0"/>
    <cellStyle name="Total 2 2_Parc Mobile" xfId="0"/>
    <cellStyle name="Total 2 3" xfId="0"/>
    <cellStyle name="Total 2 4" xfId="0"/>
    <cellStyle name="Total 2 5" xfId="0"/>
    <cellStyle name="Total 2 6" xfId="0"/>
    <cellStyle name="Total 2 7" xfId="0"/>
    <cellStyle name="Total 2 8" xfId="0"/>
    <cellStyle name="Total 2 9" xfId="0"/>
    <cellStyle name="Total 20" xfId="0"/>
    <cellStyle name="Total 21" xfId="0"/>
    <cellStyle name="Total 22" xfId="0"/>
    <cellStyle name="Total 23" xfId="0"/>
    <cellStyle name="Total 24" xfId="0"/>
    <cellStyle name="Total 25" xfId="0"/>
    <cellStyle name="Total 26" xfId="0"/>
    <cellStyle name="Total 27" xfId="0"/>
    <cellStyle name="Total 28" xfId="0"/>
    <cellStyle name="Total 29 2" xfId="0"/>
    <cellStyle name="Total 2_RH et QS" xfId="0"/>
    <cellStyle name="Total 3" xfId="0"/>
    <cellStyle name="Total 3 2" xfId="0"/>
    <cellStyle name="Total 3 2 2" xfId="0"/>
    <cellStyle name="Total 3 2 2 2" xfId="0"/>
    <cellStyle name="Total 3 2 3" xfId="0"/>
    <cellStyle name="Total 3 3" xfId="0"/>
    <cellStyle name="Total 3 3 2" xfId="0"/>
    <cellStyle name="Total 3 4" xfId="0"/>
    <cellStyle name="Total 30 2" xfId="0"/>
    <cellStyle name="Total 31 2" xfId="0"/>
    <cellStyle name="Total 32 2" xfId="0"/>
    <cellStyle name="Total 33 2" xfId="0"/>
    <cellStyle name="Total 34 2" xfId="0"/>
    <cellStyle name="Total 3_Parc Mobile" xfId="0"/>
    <cellStyle name="Total 4" xfId="0"/>
    <cellStyle name="Total 4 2" xfId="0"/>
    <cellStyle name="Total 4 2 2" xfId="0"/>
    <cellStyle name="Total 4 2 2 2" xfId="0"/>
    <cellStyle name="Total 4 2 3" xfId="0"/>
    <cellStyle name="Total 4 3" xfId="0"/>
    <cellStyle name="Total 4 3 2" xfId="0"/>
    <cellStyle name="Total 4 4" xfId="0"/>
    <cellStyle name="Total 4_Parc Mobile" xfId="0"/>
    <cellStyle name="Total 5" xfId="0"/>
    <cellStyle name="Total 5 2" xfId="0"/>
    <cellStyle name="Total 5 2 2" xfId="0"/>
    <cellStyle name="Total 5 3" xfId="0"/>
    <cellStyle name="Total 6" xfId="0"/>
    <cellStyle name="Total 6 2" xfId="0"/>
    <cellStyle name="Total 6 2 2" xfId="0"/>
    <cellStyle name="Total 6 3" xfId="0"/>
    <cellStyle name="Total 7" xfId="0"/>
    <cellStyle name="Total 8" xfId="0"/>
    <cellStyle name="Total 9" xfId="0"/>
    <cellStyle name="Tusental (0)_pldt" xfId="0"/>
    <cellStyle name="Tusental_NPV" xfId="0"/>
    <cellStyle name="Underline" xfId="0"/>
    <cellStyle name="Unlocked" xfId="0"/>
    <cellStyle name="Unlocked 2" xfId="0"/>
    <cellStyle name="Unlocked 2 2" xfId="0"/>
    <cellStyle name="Unlocked 3" xfId="0"/>
    <cellStyle name="Valuta (0)_pldt" xfId="0"/>
    <cellStyle name="Valuta [0]_RESULTS" xfId="0"/>
    <cellStyle name="Valuta_NPV" xfId="0"/>
    <cellStyle name="ViewDate" xfId="0"/>
    <cellStyle name="ViewDetailDate" xfId="0"/>
    <cellStyle name="ViewDetailDate 2" xfId="0"/>
    <cellStyle name="ViewDetailDate 2 2" xfId="0"/>
    <cellStyle name="ViewDetailDate 3" xfId="0"/>
    <cellStyle name="ViewDetailInt" xfId="0"/>
    <cellStyle name="ViewDetailInt 2" xfId="0"/>
    <cellStyle name="ViewDetailInt 2 2" xfId="0"/>
    <cellStyle name="ViewDetailInt 3" xfId="0"/>
    <cellStyle name="ViewDetailPct" xfId="0"/>
    <cellStyle name="ViewDetailPct 2" xfId="0"/>
    <cellStyle name="ViewDetailPct 2 2" xfId="0"/>
    <cellStyle name="ViewDetailPct 3" xfId="0"/>
    <cellStyle name="ViewGrndTotalInt" xfId="0"/>
    <cellStyle name="ViewGrndTotalInt 2" xfId="0"/>
    <cellStyle name="ViewGrndTotalInt 2 2" xfId="0"/>
    <cellStyle name="ViewGrndTotalInt 3" xfId="0"/>
    <cellStyle name="ViewGrndTotalPct" xfId="0"/>
    <cellStyle name="ViewGrndTotalPct 2" xfId="0"/>
    <cellStyle name="ViewGrndTotalPct 2 2" xfId="0"/>
    <cellStyle name="ViewGrndTotalPct 3" xfId="0"/>
    <cellStyle name="ViewHide" xfId="0"/>
    <cellStyle name="ViewHide 2" xfId="0"/>
    <cellStyle name="ViewHide 3" xfId="0"/>
    <cellStyle name="ViewTotal" xfId="0"/>
    <cellStyle name="ViewTotal 2" xfId="0"/>
    <cellStyle name="ViewTotal 2 2" xfId="0"/>
    <cellStyle name="ViewTotal 3" xfId="0"/>
    <cellStyle name="ViewTotalHide" xfId="0"/>
    <cellStyle name="ViewTotalHide 2" xfId="0"/>
    <cellStyle name="ViewTotalHide 2 2" xfId="0"/>
    <cellStyle name="ViewTotalHide 3" xfId="0"/>
    <cellStyle name="ViewTotalInt" xfId="0"/>
    <cellStyle name="ViewTotalInt 2" xfId="0"/>
    <cellStyle name="ViewTotalInt 2 2" xfId="0"/>
    <cellStyle name="ViewTotalInt 3" xfId="0"/>
    <cellStyle name="ViewTotalPct" xfId="0"/>
    <cellStyle name="ViewTotalPct 2" xfId="0"/>
    <cellStyle name="ViewTotalPct 2 2" xfId="0"/>
    <cellStyle name="ViewTotalPct 3" xfId="0"/>
    <cellStyle name="Virgule fixe" xfId="0"/>
    <cellStyle name="Vérification 2" xfId="0"/>
    <cellStyle name="Vérification 2 2" xfId="0"/>
    <cellStyle name="Vérification 2_RH et QS" xfId="0"/>
    <cellStyle name="Vérification 3" xfId="0"/>
    <cellStyle name="Vérification 3 2" xfId="0"/>
    <cellStyle name="Vérification 3_RH et QS" xfId="0"/>
    <cellStyle name="Vérification 4" xfId="0"/>
    <cellStyle name="Vérification 4 2" xfId="0"/>
    <cellStyle name="Vérification 4_RH et QS" xfId="0"/>
    <cellStyle name="Vérification 5" xfId="0"/>
    <cellStyle name="Vérification 5 2" xfId="0"/>
    <cellStyle name="Vérification 5_RH et QS" xfId="0"/>
    <cellStyle name="Vérification 6" xfId="0"/>
    <cellStyle name="Vérification 6 2" xfId="0"/>
    <cellStyle name="Vérification 6_RH et QS" xfId="0"/>
    <cellStyle name="Vérification 7 2" xfId="0"/>
    <cellStyle name="Vérification 8 2" xfId="0"/>
    <cellStyle name="Walutowy [0]_12" xfId="0"/>
    <cellStyle name="Walutowy_12" xfId="0"/>
    <cellStyle name="Warning 33" xfId="0"/>
    <cellStyle name="Warning Text 10" xfId="0"/>
    <cellStyle name="Warning Text 11" xfId="0"/>
    <cellStyle name="Warning Text 12" xfId="0"/>
    <cellStyle name="Warning Text 13" xfId="0"/>
    <cellStyle name="Warning Text 14" xfId="0"/>
    <cellStyle name="Warning Text 15" xfId="0"/>
    <cellStyle name="Warning Text 16" xfId="0"/>
    <cellStyle name="Warning Text 17" xfId="0"/>
    <cellStyle name="Warning Text 18" xfId="0"/>
    <cellStyle name="Warning Text 19" xfId="0"/>
    <cellStyle name="Warning Text 2" xfId="0"/>
    <cellStyle name="Warning Text 20" xfId="0"/>
    <cellStyle name="Warning Text 21" xfId="0"/>
    <cellStyle name="Warning Text 22" xfId="0"/>
    <cellStyle name="Warning Text 23" xfId="0"/>
    <cellStyle name="Warning Text 24" xfId="0"/>
    <cellStyle name="Warning Text 25" xfId="0"/>
    <cellStyle name="Warning Text 26" xfId="0"/>
    <cellStyle name="Warning Text 27" xfId="0"/>
    <cellStyle name="Warning Text 28" xfId="0"/>
    <cellStyle name="Warning Text 3" xfId="0"/>
    <cellStyle name="Warning Text 4" xfId="0"/>
    <cellStyle name="Warning Text 5" xfId="0"/>
    <cellStyle name="Warning Text 6" xfId="0"/>
    <cellStyle name="Warning Text 7" xfId="0"/>
    <cellStyle name="Warning Text 8" xfId="0"/>
    <cellStyle name="Warning Text 9" xfId="0"/>
    <cellStyle name="WHead - Style2" xfId="0"/>
    <cellStyle name="Währung [0]_Acquisition stats" xfId="0"/>
    <cellStyle name="Währung_Acquisition stats" xfId="0"/>
    <cellStyle name="x" xfId="0"/>
    <cellStyle name="x 2" xfId="0"/>
    <cellStyle name="x 2 2" xfId="0"/>
    <cellStyle name="x_RH et QS" xfId="0"/>
    <cellStyle name="Year" xfId="0"/>
    <cellStyle name="Year 2" xfId="0"/>
    <cellStyle name="Year_RH et QS" xfId="0"/>
    <cellStyle name="Years" xfId="0"/>
    <cellStyle name="Yellow" xfId="0"/>
    <cellStyle name="ÄÞ¸¶ [0]_laroux" xfId="0"/>
    <cellStyle name="ÄÞ¸¶_laroux" xfId="0"/>
    <cellStyle name="ÅëÈ­ [0]_laroux" xfId="0"/>
    <cellStyle name="ÅëÈ­_laroux" xfId="0"/>
    <cellStyle name="Ç¥ÁØ_ÀÎÀç°³¹ß¿ø" xfId="0"/>
    <cellStyle name="Œ…‹æØ‚è [0.00]_laroux" xfId="0"/>
    <cellStyle name="Œ…‹æØ‚è_laroux" xfId="0"/>
    <cellStyle name="Βασικό_τιμοκατ-σύμβασης-for-diekat" xfId="0"/>
    <cellStyle name="Обычный_PrimTel-offer-r2" xfId="0"/>
    <cellStyle name="•W_laroux" xfId="0"/>
    <cellStyle name="一般_1999_CORP ACCTG" xfId="0"/>
    <cellStyle name="千位[0]_laroux" xfId="0"/>
    <cellStyle name="千位_laroux" xfId="0"/>
    <cellStyle name="千位分隔_IRAQI" xfId="0"/>
    <cellStyle name="千分位[0]_laroux" xfId="0"/>
    <cellStyle name="千分位_laroux" xfId="0"/>
    <cellStyle name="常规_1622720030624011detail" xfId="0"/>
    <cellStyle name="普通_laroux" xfId="0"/>
    <cellStyle name="標準_NTT G.Lite Pricing Jan 25th" xfId="0"/>
    <cellStyle name="貨幣 [0]_PERSONAL" xfId="0"/>
    <cellStyle name="貨幣_PERSONAL" xfId="0"/>
    <cellStyle name="通貨 [0.00]_NTT G.Lite Pricing Jan 25th" xfId="0"/>
    <cellStyle name="Excel Built-in Comma [0] 1" xfId="0"/>
  </cellStyles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externalLink" Target="externalLinks/externalLink1.xml"/><Relationship Id="rId19" Type="http://schemas.openxmlformats.org/officeDocument/2006/relationships/externalLink" Target="externalLinks/externalLink2.xml"/><Relationship Id="rId20" Type="http://schemas.openxmlformats.org/officeDocument/2006/relationships/externalLink" Target="externalLinks/externalLink3.xml"/><Relationship Id="rId21" Type="http://schemas.openxmlformats.org/officeDocument/2006/relationships/externalLink" Target="externalLinks/externalLink4.xml"/><Relationship Id="rId22" Type="http://schemas.openxmlformats.org/officeDocument/2006/relationships/externalLink" Target="externalLinks/externalLink5.xml"/><Relationship Id="rId23" Type="http://schemas.openxmlformats.org/officeDocument/2006/relationships/externalLink" Target="externalLinks/externalLink6.xml"/><Relationship Id="rId2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27000</xdr:colOff>
      <xdr:row>16</xdr:row>
      <xdr:rowOff>128880</xdr:rowOff>
    </xdr:from>
    <xdr:to>
      <xdr:col>15</xdr:col>
      <xdr:colOff>450720</xdr:colOff>
      <xdr:row>16</xdr:row>
      <xdr:rowOff>401400</xdr:rowOff>
    </xdr:to>
    <xdr:sp>
      <xdr:nvSpPr>
        <xdr:cNvPr id="0" name="ZoneTexte 2"/>
        <xdr:cNvSpPr/>
      </xdr:nvSpPr>
      <xdr:spPr>
        <a:xfrm rot="19298400">
          <a:off x="10445760" y="3119400"/>
          <a:ext cx="1235160" cy="2725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fr-FR" sz="1200" spc="-1" strike="noStrike">
              <a:solidFill>
                <a:srgbClr val="000000"/>
              </a:solidFill>
              <a:latin typeface="Calibri"/>
            </a:rPr>
            <a:t>Confidentiel</a:t>
          </a:r>
          <a:endParaRPr b="0" lang="en-IN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410760</xdr:colOff>
      <xdr:row>22</xdr:row>
      <xdr:rowOff>31680</xdr:rowOff>
    </xdr:from>
    <xdr:to>
      <xdr:col>5</xdr:col>
      <xdr:colOff>745560</xdr:colOff>
      <xdr:row>26</xdr:row>
      <xdr:rowOff>93240</xdr:rowOff>
    </xdr:to>
    <xdr:pic>
      <xdr:nvPicPr>
        <xdr:cNvPr id="1" name="Image 3" descr="cid:image004.png@01D6E450.FF708890"/>
        <xdr:cNvPicPr/>
      </xdr:nvPicPr>
      <xdr:blipFill>
        <a:blip r:embed="rId1"/>
        <a:stretch/>
      </xdr:blipFill>
      <xdr:spPr>
        <a:xfrm>
          <a:off x="1868760" y="4565520"/>
          <a:ext cx="1240200" cy="7092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C-siege7/User/WINDOWS/TEMP/MODELE/REEL/oldiesR2000ssta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8C97B5C3/CENTRAL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Hpnasv02/planstrat/DOCUME~1/CONS/LOCALS~1/Temp/Rar$DI00.172/TEMP/Prev_activ/Prev_Activ_V2.2002/Prev_activ/Prev_activ_V1.2002/Prev_activ/Prev_activ_V12.2001/TEMP/Projet/Retention/RETENTION_DIRECTE/Reporting%20Ret%20Direc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../Hpnasv02/planstrat/Documents%20and%20Settings/m.ghanim/Local%20Settings/Temporary%20Internet%20Files/OLK99/TCP%20V09%2002%2008%20(2)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CIFSETB01/Redirect_DossiersDF/Garde_sankara_ouss&#233;ni/dossiers%202008/TBG%202008/TBG%20NOVEMBRE%202008/Documents%20and%20Settings/Sanfo/Mes%20documents/2008/budget2008%20de%20la%20DS/TdB%20et%20Objectifs%20Data%20et%20Internet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../../Hpnasv02/planstrat/Documents%20and%20Settings/m.benkhajjou/Local%20Settings/Temporary%20Internet%20Files/OLK2/Documents%20and%20Settings/y.berrada/Bureau/SI%20OC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/>
      <sheetData sheetId="1"/>
      <sheetData sheetId="2"/>
      <sheetData sheetId="3"/>
      <sheetData sheetId="4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O561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D4" activeCellId="0" sqref="D4"/>
    </sheetView>
  </sheetViews>
  <sheetFormatPr defaultColWidth="11.515625" defaultRowHeight="12.7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.16"/>
    <col collapsed="false" customWidth="true" hidden="false" outlineLevel="0" max="3" min="3" style="2" width="3.16"/>
    <col collapsed="false" customWidth="true" hidden="false" outlineLevel="0" max="13" min="4" style="1" width="12.83"/>
    <col collapsed="false" customWidth="false" hidden="false" outlineLevel="0" max="16" min="14" style="1" width="11.5"/>
    <col collapsed="false" customWidth="true" hidden="false" outlineLevel="0" max="17" min="17" style="1" width="2.84"/>
    <col collapsed="false" customWidth="true" hidden="false" outlineLevel="0" max="18" min="18" style="1" width="1.85"/>
    <col collapsed="false" customWidth="true" hidden="false" outlineLevel="0" max="19" min="19" style="1" width="1.16"/>
    <col collapsed="false" customWidth="false" hidden="false" outlineLevel="0" max="21" min="20" style="1" width="11.5"/>
    <col collapsed="false" customWidth="true" hidden="false" outlineLevel="0" max="22" min="22" style="1" width="17.33"/>
    <col collapsed="false" customWidth="false" hidden="false" outlineLevel="0" max="23" min="23" style="1" width="11.5"/>
    <col collapsed="false" customWidth="true" hidden="false" outlineLevel="0" max="24" min="24" style="1" width="13.33"/>
    <col collapsed="false" customWidth="false" hidden="false" outlineLevel="0" max="51" min="25" style="1" width="11.5"/>
    <col collapsed="false" customWidth="true" hidden="false" outlineLevel="0" max="52" min="52" style="1" width="9.16"/>
    <col collapsed="false" customWidth="false" hidden="false" outlineLevel="0" max="1024" min="53" style="1" width="11.5"/>
  </cols>
  <sheetData>
    <row r="1" customFormat="false" ht="8.2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3"/>
      <c r="R2" s="3"/>
    </row>
    <row r="3" customFormat="false" ht="12.75" hidden="false" customHeight="false" outlineLevel="0" collapsed="false">
      <c r="A3" s="3"/>
      <c r="R3" s="3"/>
    </row>
    <row r="4" customFormat="false" ht="12.75" hidden="false" customHeight="false" outlineLevel="0" collapsed="false">
      <c r="A4" s="3"/>
      <c r="R4" s="3"/>
    </row>
    <row r="5" customFormat="false" ht="12.75" hidden="false" customHeight="false" outlineLevel="0" collapsed="false">
      <c r="A5" s="3"/>
      <c r="R5" s="3"/>
    </row>
    <row r="6" customFormat="false" ht="12.75" hidden="false" customHeight="false" outlineLevel="0" collapsed="false">
      <c r="A6" s="3"/>
      <c r="R6" s="3"/>
    </row>
    <row r="7" customFormat="false" ht="12.75" hidden="false" customHeight="false" outlineLevel="0" collapsed="false">
      <c r="A7" s="3"/>
      <c r="R7" s="3"/>
    </row>
    <row r="8" customFormat="false" ht="12.75" hidden="false" customHeight="false" outlineLevel="0" collapsed="false">
      <c r="A8" s="3"/>
      <c r="R8" s="3"/>
    </row>
    <row r="9" customFormat="false" ht="12.75" hidden="false" customHeight="false" outlineLevel="0" collapsed="false">
      <c r="A9" s="3"/>
      <c r="R9" s="3"/>
    </row>
    <row r="10" customFormat="false" ht="12.75" hidden="false" customHeight="false" outlineLevel="0" collapsed="false">
      <c r="A10" s="3"/>
      <c r="R10" s="3"/>
    </row>
    <row r="11" customFormat="false" ht="12.75" hidden="false" customHeight="false" outlineLevel="0" collapsed="false">
      <c r="A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R11" s="3"/>
    </row>
    <row r="12" customFormat="false" ht="12.75" hidden="false" customHeight="false" outlineLevel="0" collapsed="false">
      <c r="A12" s="3"/>
      <c r="R12" s="3"/>
    </row>
    <row r="13" customFormat="false" ht="13.5" hidden="false" customHeight="false" outlineLevel="0" collapsed="false">
      <c r="A13" s="3"/>
      <c r="R13" s="3"/>
    </row>
    <row r="14" customFormat="false" ht="12.75" hidden="false" customHeight="false" outlineLevel="0" collapsed="false">
      <c r="A14" s="3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  <c r="R14" s="3"/>
    </row>
    <row r="15" customFormat="false" ht="42" hidden="false" customHeight="true" outlineLevel="0" collapsed="false">
      <c r="A15" s="3"/>
      <c r="D15" s="8"/>
      <c r="E15" s="9" t="s">
        <v>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  <c r="Q15" s="11"/>
      <c r="R15" s="3"/>
      <c r="V15" s="12"/>
    </row>
    <row r="16" customFormat="false" ht="15.75" hidden="false" customHeight="false" outlineLevel="0" collapsed="false">
      <c r="A16" s="3"/>
      <c r="D16" s="13"/>
      <c r="E16" s="14"/>
      <c r="F16" s="14"/>
      <c r="G16" s="14"/>
      <c r="H16" s="15"/>
      <c r="I16" s="15"/>
      <c r="J16" s="15"/>
      <c r="K16" s="15"/>
      <c r="L16" s="15"/>
      <c r="M16" s="14"/>
      <c r="N16" s="14"/>
      <c r="O16" s="14"/>
      <c r="P16" s="16"/>
      <c r="Q16" s="17"/>
      <c r="R16" s="3"/>
    </row>
    <row r="17" customFormat="false" ht="33" hidden="false" customHeight="false" outlineLevel="0" collapsed="false">
      <c r="A17" s="3"/>
      <c r="D17" s="13"/>
      <c r="E17" s="18" t="n">
        <v>45627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6"/>
      <c r="Q17" s="17"/>
      <c r="R17" s="3"/>
    </row>
    <row r="18" customFormat="false" ht="24" hidden="false" customHeight="true" outlineLevel="0" collapsed="false">
      <c r="A18" s="3"/>
      <c r="D18" s="13"/>
      <c r="E18" s="19"/>
      <c r="F18" s="19"/>
      <c r="G18" s="20"/>
      <c r="H18" s="20"/>
      <c r="I18" s="20"/>
      <c r="J18" s="20"/>
      <c r="K18" s="20"/>
      <c r="L18" s="20"/>
      <c r="M18" s="20"/>
      <c r="N18" s="19"/>
      <c r="O18" s="19"/>
      <c r="P18" s="16"/>
      <c r="Q18" s="17"/>
      <c r="R18" s="3"/>
    </row>
    <row r="19" customFormat="false" ht="22.5" hidden="false" customHeight="true" outlineLevel="0" collapsed="false">
      <c r="A19" s="3"/>
      <c r="D19" s="2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4"/>
      <c r="R19" s="3"/>
    </row>
    <row r="20" customFormat="false" ht="14.25" hidden="false" customHeight="true" outlineLevel="0" collapsed="false">
      <c r="A20" s="3"/>
      <c r="D20" s="25"/>
      <c r="O20" s="26"/>
      <c r="P20" s="26"/>
      <c r="Q20" s="26"/>
      <c r="R20" s="3"/>
    </row>
    <row r="21" customFormat="false" ht="15" hidden="false" customHeight="true" outlineLevel="0" collapsed="false">
      <c r="A21" s="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R21" s="3"/>
    </row>
    <row r="22" customFormat="false" ht="12.75" hidden="false" customHeight="false" outlineLevel="0" collapsed="false">
      <c r="A22" s="3"/>
      <c r="R22" s="3"/>
    </row>
    <row r="23" customFormat="false" ht="12.75" hidden="false" customHeight="false" outlineLevel="0" collapsed="false">
      <c r="A23" s="3"/>
      <c r="R23" s="3"/>
    </row>
    <row r="24" customFormat="false" ht="12.75" hidden="false" customHeight="false" outlineLevel="0" collapsed="false">
      <c r="A24" s="3"/>
      <c r="R24" s="3"/>
    </row>
    <row r="25" customFormat="false" ht="12.75" hidden="false" customHeight="false" outlineLevel="0" collapsed="false">
      <c r="A25" s="3"/>
      <c r="R25" s="3"/>
    </row>
    <row r="26" customFormat="false" ht="12.75" hidden="false" customHeight="false" outlineLevel="0" collapsed="false">
      <c r="A26" s="3"/>
      <c r="R26" s="3"/>
      <c r="V26" s="28"/>
      <c r="W26" s="28"/>
      <c r="X26" s="28"/>
    </row>
    <row r="27" customFormat="false" ht="12.75" hidden="false" customHeight="false" outlineLevel="0" collapsed="false">
      <c r="A27" s="3"/>
      <c r="G27" s="1" t="s">
        <v>1</v>
      </c>
      <c r="R27" s="3"/>
      <c r="V27" s="28"/>
      <c r="W27" s="28"/>
      <c r="X27" s="28"/>
    </row>
    <row r="28" customFormat="false" ht="12.75" hidden="false" customHeight="false" outlineLevel="0" collapsed="false">
      <c r="A28" s="3"/>
      <c r="R28" s="3"/>
      <c r="V28" s="28"/>
      <c r="W28" s="28"/>
      <c r="X28" s="28"/>
    </row>
    <row r="29" customFormat="false" ht="12.75" hidden="false" customHeight="false" outlineLevel="0" collapsed="false">
      <c r="A29" s="3"/>
      <c r="R29" s="3"/>
    </row>
    <row r="30" customFormat="false" ht="12.75" hidden="false" customHeight="false" outlineLevel="0" collapsed="false">
      <c r="A30" s="3"/>
      <c r="E30" s="29"/>
      <c r="R30" s="3"/>
    </row>
    <row r="31" customFormat="false" ht="12.75" hidden="false" customHeight="false" outlineLevel="0" collapsed="false">
      <c r="A31" s="3"/>
      <c r="R31" s="3"/>
    </row>
    <row r="32" customFormat="false" ht="12.75" hidden="false" customHeight="false" outlineLevel="0" collapsed="false">
      <c r="A32" s="3"/>
      <c r="R32" s="3"/>
    </row>
    <row r="33" customFormat="false" ht="12.75" hidden="false" customHeight="false" outlineLevel="0" collapsed="false">
      <c r="A33" s="3"/>
      <c r="D33" s="30"/>
      <c r="R33" s="3"/>
    </row>
    <row r="34" customFormat="false" ht="12.75" hidden="false" customHeight="false" outlineLevel="0" collapsed="false">
      <c r="A34" s="3"/>
      <c r="R34" s="3"/>
    </row>
    <row r="35" customFormat="false" ht="12.75" hidden="false" customHeight="false" outlineLevel="0" collapsed="false">
      <c r="A35" s="3"/>
      <c r="R35" s="3"/>
    </row>
    <row r="36" customFormat="false" ht="12.75" hidden="false" customHeight="false" outlineLevel="0" collapsed="false">
      <c r="A36" s="3"/>
      <c r="R36" s="3"/>
      <c r="AO36" s="31"/>
    </row>
    <row r="37" customFormat="false" ht="7.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6" hidden="false" customHeight="true" outlineLevel="0" collapsed="false"/>
    <row r="41" customFormat="false" ht="24" hidden="false" customHeight="true" outlineLevel="0" collapsed="false"/>
    <row r="62" customFormat="false" ht="12.75" hidden="false" customHeight="false" outlineLevel="0" collapsed="false">
      <c r="AN62" s="32"/>
    </row>
    <row r="5602" customFormat="false" ht="12.75" hidden="false" customHeight="false" outlineLevel="0" collapsed="false">
      <c r="F5602" s="33"/>
      <c r="G5602" s="34"/>
      <c r="H5602" s="33"/>
      <c r="I5602" s="33"/>
      <c r="J5602" s="34"/>
      <c r="K5602" s="34"/>
      <c r="L5602" s="34"/>
      <c r="M5602" s="33"/>
    </row>
    <row r="5603" customFormat="false" ht="12.75" hidden="false" customHeight="false" outlineLevel="0" collapsed="false">
      <c r="A5603" s="35" t="n">
        <v>41743</v>
      </c>
      <c r="B5603" s="33"/>
      <c r="C5603" s="33"/>
      <c r="D5603" s="33"/>
      <c r="E5603" s="34"/>
      <c r="F5603" s="33"/>
      <c r="G5603" s="34"/>
      <c r="H5603" s="33"/>
      <c r="I5603" s="33"/>
      <c r="J5603" s="34"/>
      <c r="K5603" s="34"/>
      <c r="L5603" s="34"/>
      <c r="M5603" s="33"/>
    </row>
    <row r="5604" customFormat="false" ht="12.75" hidden="false" customHeight="false" outlineLevel="0" collapsed="false">
      <c r="A5604" s="35" t="n">
        <v>41743</v>
      </c>
      <c r="B5604" s="33"/>
      <c r="C5604" s="33"/>
      <c r="D5604" s="33"/>
      <c r="E5604" s="34"/>
      <c r="F5604" s="33"/>
      <c r="G5604" s="34"/>
      <c r="H5604" s="33"/>
      <c r="I5604" s="33"/>
      <c r="J5604" s="34"/>
      <c r="K5604" s="34"/>
      <c r="L5604" s="34"/>
      <c r="M5604" s="33"/>
    </row>
    <row r="5605" customFormat="false" ht="12.75" hidden="false" customHeight="false" outlineLevel="0" collapsed="false">
      <c r="A5605" s="35" t="n">
        <v>41744</v>
      </c>
      <c r="B5605" s="33"/>
      <c r="C5605" s="33"/>
      <c r="D5605" s="33"/>
      <c r="E5605" s="34"/>
      <c r="F5605" s="33"/>
      <c r="G5605" s="34"/>
      <c r="H5605" s="33"/>
      <c r="I5605" s="33"/>
      <c r="J5605" s="34"/>
      <c r="K5605" s="34"/>
      <c r="L5605" s="34"/>
      <c r="M5605" s="33"/>
    </row>
    <row r="5606" customFormat="false" ht="12.75" hidden="false" customHeight="false" outlineLevel="0" collapsed="false">
      <c r="A5606" s="35" t="n">
        <v>41744</v>
      </c>
      <c r="B5606" s="33"/>
      <c r="C5606" s="33"/>
      <c r="D5606" s="33"/>
      <c r="E5606" s="34"/>
      <c r="F5606" s="33"/>
      <c r="G5606" s="34"/>
      <c r="H5606" s="33"/>
      <c r="I5606" s="33"/>
      <c r="J5606" s="34"/>
      <c r="K5606" s="34"/>
      <c r="L5606" s="34"/>
      <c r="M5606" s="33"/>
    </row>
    <row r="5607" customFormat="false" ht="12.75" hidden="false" customHeight="false" outlineLevel="0" collapsed="false">
      <c r="A5607" s="35" t="n">
        <v>41744</v>
      </c>
      <c r="B5607" s="33"/>
      <c r="C5607" s="33"/>
      <c r="D5607" s="33"/>
      <c r="E5607" s="34"/>
      <c r="F5607" s="33"/>
      <c r="G5607" s="34"/>
      <c r="H5607" s="33"/>
      <c r="I5607" s="33"/>
      <c r="J5607" s="34"/>
      <c r="K5607" s="34"/>
      <c r="L5607" s="34"/>
      <c r="M5607" s="33"/>
    </row>
    <row r="5608" customFormat="false" ht="12.75" hidden="false" customHeight="false" outlineLevel="0" collapsed="false">
      <c r="A5608" s="35" t="n">
        <v>41744</v>
      </c>
      <c r="B5608" s="33"/>
      <c r="C5608" s="33"/>
      <c r="D5608" s="33"/>
      <c r="E5608" s="34"/>
      <c r="F5608" s="33"/>
      <c r="G5608" s="34"/>
      <c r="H5608" s="33"/>
      <c r="I5608" s="33"/>
      <c r="J5608" s="34"/>
      <c r="K5608" s="34"/>
      <c r="L5608" s="34"/>
      <c r="M5608" s="33"/>
    </row>
    <row r="5609" customFormat="false" ht="12.75" hidden="false" customHeight="false" outlineLevel="0" collapsed="false">
      <c r="A5609" s="35" t="n">
        <v>41744</v>
      </c>
      <c r="B5609" s="33"/>
      <c r="C5609" s="33"/>
      <c r="D5609" s="33"/>
      <c r="E5609" s="34"/>
      <c r="F5609" s="33"/>
      <c r="G5609" s="34"/>
      <c r="H5609" s="33"/>
      <c r="I5609" s="33"/>
      <c r="J5609" s="34"/>
      <c r="K5609" s="34"/>
      <c r="L5609" s="34"/>
      <c r="M5609" s="33"/>
    </row>
    <row r="5610" customFormat="false" ht="12.75" hidden="false" customHeight="false" outlineLevel="0" collapsed="false">
      <c r="A5610" s="35" t="n">
        <v>41744</v>
      </c>
      <c r="B5610" s="33"/>
      <c r="C5610" s="33"/>
      <c r="D5610" s="33"/>
      <c r="E5610" s="34"/>
      <c r="F5610" s="33"/>
      <c r="G5610" s="34"/>
      <c r="H5610" s="33"/>
      <c r="I5610" s="33"/>
      <c r="J5610" s="34"/>
      <c r="K5610" s="34"/>
      <c r="L5610" s="34"/>
      <c r="M5610" s="33"/>
    </row>
    <row r="5611" customFormat="false" ht="12.75" hidden="false" customHeight="false" outlineLevel="0" collapsed="false">
      <c r="A5611" s="35" t="n">
        <v>41744</v>
      </c>
      <c r="B5611" s="33"/>
      <c r="C5611" s="33"/>
      <c r="D5611" s="33"/>
      <c r="E5611" s="34"/>
      <c r="F5611" s="33"/>
      <c r="G5611" s="34"/>
      <c r="H5611" s="33"/>
      <c r="I5611" s="33"/>
      <c r="J5611" s="34"/>
      <c r="K5611" s="34"/>
      <c r="L5611" s="34"/>
      <c r="M5611" s="33"/>
    </row>
    <row r="5612" customFormat="false" ht="12.75" hidden="false" customHeight="false" outlineLevel="0" collapsed="false">
      <c r="A5612" s="35" t="n">
        <v>41744</v>
      </c>
      <c r="B5612" s="33"/>
      <c r="C5612" s="33"/>
      <c r="D5612" s="33"/>
      <c r="E5612" s="34"/>
      <c r="F5612" s="33"/>
      <c r="G5612" s="34"/>
      <c r="H5612" s="33"/>
      <c r="I5612" s="33"/>
      <c r="J5612" s="34"/>
      <c r="K5612" s="34"/>
      <c r="L5612" s="34"/>
      <c r="M5612" s="33"/>
    </row>
    <row r="5613" customFormat="false" ht="12.75" hidden="false" customHeight="false" outlineLevel="0" collapsed="false">
      <c r="A5613" s="35" t="n">
        <v>41744</v>
      </c>
      <c r="B5613" s="33"/>
      <c r="C5613" s="33"/>
      <c r="D5613" s="33"/>
      <c r="E5613" s="34"/>
      <c r="F5613" s="33"/>
      <c r="G5613" s="34"/>
      <c r="H5613" s="33"/>
      <c r="I5613" s="33"/>
      <c r="J5613" s="34"/>
      <c r="K5613" s="34"/>
      <c r="L5613" s="34"/>
      <c r="M5613" s="33"/>
    </row>
    <row r="5614" customFormat="false" ht="12.75" hidden="false" customHeight="false" outlineLevel="0" collapsed="false">
      <c r="A5614" s="35" t="n">
        <v>41744</v>
      </c>
      <c r="B5614" s="33"/>
      <c r="C5614" s="33"/>
      <c r="D5614" s="33"/>
      <c r="E5614" s="34"/>
      <c r="F5614" s="33"/>
      <c r="G5614" s="34"/>
      <c r="H5614" s="33"/>
      <c r="I5614" s="33"/>
      <c r="J5614" s="34"/>
      <c r="K5614" s="34"/>
      <c r="L5614" s="34"/>
      <c r="M5614" s="33"/>
    </row>
    <row r="5615" customFormat="false" ht="12.75" hidden="false" customHeight="false" outlineLevel="0" collapsed="false">
      <c r="A5615" s="35" t="n">
        <v>41744</v>
      </c>
      <c r="B5615" s="33"/>
      <c r="C5615" s="33"/>
      <c r="D5615" s="33"/>
      <c r="E5615" s="34"/>
      <c r="F5615" s="33"/>
      <c r="G5615" s="34"/>
      <c r="H5615" s="33"/>
      <c r="I5615" s="33"/>
      <c r="J5615" s="34"/>
    </row>
  </sheetData>
  <mergeCells count="5">
    <mergeCell ref="D11:N11"/>
    <mergeCell ref="E15:O15"/>
    <mergeCell ref="H16:L16"/>
    <mergeCell ref="E17:O17"/>
    <mergeCell ref="G18:M18"/>
  </mergeCells>
  <printOptions headings="false" gridLines="false" gridLinesSet="true" horizontalCentered="true" verticalCentered="true"/>
  <pageMargins left="0.196527777777778" right="0.196527777777778" top="0.354166666666667" bottom="0.43333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Z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21" activeCellId="0" sqref="D21"/>
    </sheetView>
  </sheetViews>
  <sheetFormatPr defaultColWidth="11.515625" defaultRowHeight="12.75" zeroHeight="false" outlineLevelRow="1" outlineLevelCol="0"/>
  <cols>
    <col collapsed="false" customWidth="true" hidden="false" outlineLevel="0" max="1" min="1" style="36" width="24.83"/>
    <col collapsed="false" customWidth="true" hidden="false" outlineLevel="0" max="2" min="2" style="36" width="6.83"/>
    <col collapsed="false" customWidth="true" hidden="false" outlineLevel="0" max="3" min="3" style="36" width="5.5"/>
    <col collapsed="false" customWidth="true" hidden="false" outlineLevel="0" max="4" min="4" style="36" width="12.5"/>
    <col collapsed="false" customWidth="true" hidden="false" outlineLevel="0" max="5" min="5" style="36" width="12.33"/>
    <col collapsed="false" customWidth="true" hidden="false" outlineLevel="0" max="6" min="6" style="36" width="10.16"/>
    <col collapsed="false" customWidth="true" hidden="false" outlineLevel="0" max="7" min="7" style="36" width="13.17"/>
    <col collapsed="false" customWidth="true" hidden="false" outlineLevel="0" max="8" min="8" style="36" width="9.66"/>
    <col collapsed="false" customWidth="true" hidden="false" outlineLevel="0" max="9" min="9" style="36" width="0.33"/>
    <col collapsed="false" customWidth="true" hidden="false" outlineLevel="0" max="11" min="10" style="36" width="12.5"/>
    <col collapsed="false" customWidth="true" hidden="false" outlineLevel="0" max="12" min="12" style="36" width="10.84"/>
    <col collapsed="false" customWidth="true" hidden="false" outlineLevel="0" max="13" min="13" style="36" width="11.99"/>
    <col collapsed="false" customWidth="true" hidden="false" outlineLevel="0" max="14" min="14" style="36" width="7.83"/>
    <col collapsed="false" customWidth="true" hidden="false" outlineLevel="0" max="15" min="15" style="36" width="0.52"/>
    <col collapsed="false" customWidth="true" hidden="false" outlineLevel="0" max="16" min="16" style="37" width="14.16"/>
    <col collapsed="false" customWidth="true" hidden="false" outlineLevel="0" max="17" min="17" style="37" width="12.17"/>
    <col collapsed="false" customWidth="true" hidden="false" outlineLevel="0" max="18" min="18" style="37" width="11.16"/>
    <col collapsed="false" customWidth="true" hidden="false" outlineLevel="0" max="19" min="19" style="37" width="13.17"/>
    <col collapsed="false" customWidth="true" hidden="false" outlineLevel="0" max="20" min="20" style="38" width="9.33"/>
    <col collapsed="false" customWidth="true" hidden="false" outlineLevel="0" max="21" min="21" style="36" width="0.33"/>
    <col collapsed="false" customWidth="true" hidden="false" outlineLevel="0" max="22" min="22" style="36" width="11.84"/>
    <col collapsed="false" customWidth="true" hidden="false" outlineLevel="0" max="23" min="23" style="36" width="12.5"/>
    <col collapsed="false" customWidth="true" hidden="false" outlineLevel="0" max="24" min="24" style="36" width="12.66"/>
    <col collapsed="false" customWidth="true" hidden="false" outlineLevel="0" max="25" min="25" style="36" width="11.33"/>
    <col collapsed="false" customWidth="true" hidden="false" outlineLevel="0" max="26" min="26" style="36" width="10.5"/>
    <col collapsed="false" customWidth="true" hidden="false" outlineLevel="0" max="27" min="27" style="36" width="12.5"/>
    <col collapsed="false" customWidth="true" hidden="false" outlineLevel="0" max="28" min="28" style="39" width="10.5"/>
    <col collapsed="false" customWidth="true" hidden="false" outlineLevel="0" max="29" min="29" style="36" width="0.16"/>
    <col collapsed="false" customWidth="true" hidden="false" outlineLevel="0" max="30" min="30" style="36" width="12.33"/>
    <col collapsed="false" customWidth="true" hidden="false" outlineLevel="0" max="31" min="31" style="36" width="12.5"/>
    <col collapsed="false" customWidth="true" hidden="false" outlineLevel="0" max="32" min="32" style="36" width="15.15"/>
    <col collapsed="false" customWidth="false" hidden="false" outlineLevel="0" max="34" min="33" style="36" width="11.5"/>
    <col collapsed="false" customWidth="true" hidden="false" outlineLevel="0" max="35" min="35" style="36" width="12.5"/>
    <col collapsed="false" customWidth="true" hidden="false" outlineLevel="0" max="36" min="36" style="36" width="8.33"/>
    <col collapsed="false" customWidth="true" hidden="false" outlineLevel="0" max="37" min="37" style="36" width="0.52"/>
    <col collapsed="false" customWidth="true" hidden="false" outlineLevel="0" max="38" min="38" style="36" width="13.17"/>
    <col collapsed="false" customWidth="true" hidden="false" outlineLevel="0" max="39" min="39" style="36" width="10.16"/>
    <col collapsed="false" customWidth="true" hidden="false" outlineLevel="0" max="40" min="40" style="36" width="9.16"/>
    <col collapsed="false" customWidth="true" hidden="false" outlineLevel="0" max="42" min="41" style="36" width="9.51"/>
    <col collapsed="false" customWidth="true" hidden="false" outlineLevel="0" max="43" min="43" style="36" width="10"/>
    <col collapsed="false" customWidth="true" hidden="false" outlineLevel="0" max="44" min="44" style="36" width="11.33"/>
    <col collapsed="false" customWidth="true" hidden="false" outlineLevel="0" max="45" min="45" style="36" width="10.33"/>
    <col collapsed="false" customWidth="true" hidden="false" outlineLevel="0" max="46" min="46" style="36" width="0.16"/>
    <col collapsed="false" customWidth="true" hidden="false" outlineLevel="0" max="47" min="47" style="36" width="12.33"/>
    <col collapsed="false" customWidth="true" hidden="false" outlineLevel="0" max="48" min="48" style="36" width="12.5"/>
    <col collapsed="false" customWidth="true" hidden="false" outlineLevel="0" max="49" min="49" style="36" width="9.83"/>
    <col collapsed="false" customWidth="true" hidden="false" outlineLevel="0" max="50" min="50" style="36" width="11.33"/>
    <col collapsed="false" customWidth="true" hidden="false" outlineLevel="0" max="51" min="51" style="36" width="10.5"/>
    <col collapsed="false" customWidth="true" hidden="false" outlineLevel="0" max="52" min="52" style="36" width="12.33"/>
    <col collapsed="false" customWidth="true" hidden="false" outlineLevel="0" max="53" min="53" style="36" width="9.51"/>
    <col collapsed="false" customWidth="true" hidden="false" outlineLevel="0" max="54" min="54" style="36" width="0.33"/>
    <col collapsed="false" customWidth="true" hidden="false" outlineLevel="0" max="55" min="55" style="36" width="14.5"/>
    <col collapsed="false" customWidth="true" hidden="false" outlineLevel="0" max="56" min="56" style="36" width="12.5"/>
    <col collapsed="false" customWidth="true" hidden="false" outlineLevel="0" max="57" min="57" style="36" width="14.83"/>
    <col collapsed="false" customWidth="true" hidden="false" outlineLevel="0" max="58" min="58" style="36" width="11.99"/>
    <col collapsed="false" customWidth="true" hidden="false" outlineLevel="0" max="59" min="59" style="36" width="11.84"/>
    <col collapsed="false" customWidth="true" hidden="false" outlineLevel="0" max="60" min="60" style="36" width="12.33"/>
    <col collapsed="false" customWidth="true" hidden="false" outlineLevel="0" max="61" min="61" style="40" width="10.5"/>
    <col collapsed="false" customWidth="true" hidden="false" outlineLevel="0" max="62" min="62" style="36" width="0.16"/>
    <col collapsed="false" customWidth="true" hidden="false" outlineLevel="0" max="63" min="63" style="36" width="10.99"/>
    <col collapsed="false" customWidth="true" hidden="false" outlineLevel="0" max="64" min="64" style="36" width="8.52"/>
    <col collapsed="false" customWidth="true" hidden="false" outlineLevel="0" max="65" min="65" style="36" width="10.33"/>
    <col collapsed="false" customWidth="true" hidden="false" outlineLevel="0" max="66" min="66" style="36" width="9.16"/>
    <col collapsed="false" customWidth="true" hidden="false" outlineLevel="0" max="68" min="67" style="36" width="10.33"/>
    <col collapsed="false" customWidth="true" hidden="false" outlineLevel="0" max="69" min="69" style="36" width="10.5"/>
    <col collapsed="false" customWidth="true" hidden="false" outlineLevel="0" max="70" min="70" style="36" width="11.99"/>
    <col collapsed="false" customWidth="true" hidden="false" outlineLevel="0" max="71" min="71" style="36" width="0.83"/>
    <col collapsed="false" customWidth="true" hidden="false" outlineLevel="0" max="72" min="72" style="36" width="11.33"/>
    <col collapsed="false" customWidth="true" hidden="false" outlineLevel="0" max="74" min="73" style="36" width="10.99"/>
    <col collapsed="false" customWidth="true" hidden="false" outlineLevel="0" max="75" min="75" style="36" width="11.33"/>
    <col collapsed="false" customWidth="true" hidden="false" outlineLevel="0" max="76" min="76" style="36" width="9.33"/>
    <col collapsed="false" customWidth="true" hidden="false" outlineLevel="0" max="77" min="77" style="36" width="10.99"/>
    <col collapsed="false" customWidth="true" hidden="false" outlineLevel="0" max="78" min="78" style="36" width="11.33"/>
    <col collapsed="false" customWidth="true" hidden="false" outlineLevel="0" max="79" min="79" style="36" width="0.52"/>
    <col collapsed="false" customWidth="true" hidden="false" outlineLevel="0" max="80" min="80" style="36" width="13.83"/>
    <col collapsed="false" customWidth="false" hidden="false" outlineLevel="0" max="81" min="81" style="36" width="11.5"/>
    <col collapsed="false" customWidth="true" hidden="false" outlineLevel="0" max="82" min="82" style="36" width="13.02"/>
    <col collapsed="false" customWidth="true" hidden="false" outlineLevel="0" max="83" min="83" style="36" width="10.99"/>
    <col collapsed="false" customWidth="true" hidden="false" outlineLevel="0" max="84" min="84" style="36" width="11.99"/>
    <col collapsed="false" customWidth="true" hidden="false" outlineLevel="0" max="85" min="85" style="36" width="11.33"/>
    <col collapsed="false" customWidth="true" hidden="false" outlineLevel="0" max="86" min="86" style="36" width="8.83"/>
    <col collapsed="false" customWidth="true" hidden="false" outlineLevel="0" max="87" min="87" style="36" width="0.52"/>
    <col collapsed="false" customWidth="true" hidden="false" outlineLevel="0" max="88" min="88" style="41" width="12.17"/>
    <col collapsed="false" customWidth="false" hidden="false" outlineLevel="0" max="90" min="89" style="36" width="11.5"/>
    <col collapsed="false" customWidth="true" hidden="false" outlineLevel="0" max="91" min="91" style="42" width="13.5"/>
    <col collapsed="false" customWidth="true" hidden="false" outlineLevel="0" max="92" min="92" style="42" width="10.99"/>
    <col collapsed="false" customWidth="true" hidden="false" outlineLevel="0" max="93" min="93" style="36" width="13.17"/>
    <col collapsed="false" customWidth="true" hidden="false" outlineLevel="0" max="94" min="94" style="36" width="10.33"/>
    <col collapsed="false" customWidth="true" hidden="false" outlineLevel="0" max="95" min="95" style="36" width="0.52"/>
    <col collapsed="false" customWidth="true" hidden="false" outlineLevel="0" max="96" min="96" style="42" width="15.15"/>
    <col collapsed="false" customWidth="true" hidden="false" outlineLevel="0" max="97" min="97" style="42" width="13.83"/>
    <col collapsed="false" customWidth="true" hidden="false" outlineLevel="0" max="98" min="98" style="42" width="13.66"/>
    <col collapsed="false" customWidth="true" hidden="false" outlineLevel="0" max="100" min="99" style="42" width="12.17"/>
    <col collapsed="false" customWidth="true" hidden="false" outlineLevel="0" max="101" min="101" style="43" width="15.49"/>
    <col collapsed="false" customWidth="true" hidden="false" outlineLevel="0" max="102" min="102" style="40" width="7.67"/>
    <col collapsed="false" customWidth="true" hidden="false" outlineLevel="0" max="103" min="103" style="36" width="0.52"/>
    <col collapsed="false" customWidth="true" hidden="false" outlineLevel="0" max="104" min="104" style="43" width="12.5"/>
    <col collapsed="false" customWidth="true" hidden="false" outlineLevel="0" max="105" min="105" style="43" width="12.17"/>
    <col collapsed="false" customWidth="true" hidden="false" outlineLevel="0" max="106" min="106" style="43" width="12.5"/>
    <col collapsed="false" customWidth="true" hidden="false" outlineLevel="0" max="108" min="107" style="43" width="13.02"/>
    <col collapsed="false" customWidth="false" hidden="false" outlineLevel="0" max="109" min="109" style="41" width="11.5"/>
    <col collapsed="false" customWidth="true" hidden="false" outlineLevel="0" max="111" min="110" style="41" width="10.5"/>
    <col collapsed="false" customWidth="true" hidden="false" outlineLevel="0" max="112" min="112" style="41" width="12.5"/>
    <col collapsed="false" customWidth="true" hidden="false" outlineLevel="0" max="113" min="113" style="14" width="12.17"/>
    <col collapsed="false" customWidth="true" hidden="false" outlineLevel="0" max="114" min="114" style="14" width="14.16"/>
    <col collapsed="false" customWidth="false" hidden="false" outlineLevel="0" max="115" min="115" style="14" width="11.5"/>
    <col collapsed="false" customWidth="false" hidden="false" outlineLevel="0" max="123" min="116" style="36" width="11.5"/>
    <col collapsed="false" customWidth="true" hidden="false" outlineLevel="0" max="124" min="124" style="2" width="20.98"/>
    <col collapsed="false" customWidth="false" hidden="false" outlineLevel="0" max="1024" min="126" style="36" width="11.5"/>
  </cols>
  <sheetData>
    <row r="1" s="45" customFormat="true" ht="22.5" hidden="false" customHeight="true" outlineLevel="0" collapsed="false">
      <c r="A1" s="44" t="s">
        <v>2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 t="n">
        <f aca="false">+V25+'Opex Consolidés'!V7</f>
        <v>0</v>
      </c>
      <c r="W1" s="46"/>
      <c r="X1" s="46"/>
      <c r="Y1" s="46"/>
      <c r="Z1" s="46"/>
      <c r="AA1" s="46"/>
      <c r="AB1" s="46"/>
      <c r="AC1" s="46"/>
      <c r="AD1" s="46" t="n">
        <f aca="false">+AD25+'Opex Consolidés'!AD7</f>
        <v>0</v>
      </c>
      <c r="AE1" s="46"/>
      <c r="AF1" s="46"/>
      <c r="AG1" s="46"/>
      <c r="AH1" s="46"/>
      <c r="AI1" s="46"/>
      <c r="AJ1" s="46"/>
      <c r="AK1" s="46"/>
      <c r="AL1" s="46" t="n">
        <f aca="false">+AL25+'Opex Consolidés'!AL7</f>
        <v>0</v>
      </c>
      <c r="AM1" s="46"/>
      <c r="AN1" s="46"/>
      <c r="AO1" s="46"/>
      <c r="AP1" s="46"/>
      <c r="AQ1" s="46"/>
      <c r="AR1" s="46"/>
      <c r="AS1" s="46"/>
      <c r="AT1" s="46"/>
      <c r="AU1" s="46" t="e">
        <f aca="false">#REF!</f>
        <v>#REF!</v>
      </c>
      <c r="AV1" s="46"/>
      <c r="AW1" s="46"/>
      <c r="AX1" s="46"/>
      <c r="AY1" s="46"/>
      <c r="AZ1" s="46"/>
      <c r="BA1" s="46"/>
      <c r="BB1" s="46"/>
      <c r="BC1" s="46" t="n">
        <v>577.074091127882</v>
      </c>
      <c r="BD1" s="46"/>
      <c r="BE1" s="46"/>
      <c r="BF1" s="46"/>
      <c r="BG1" s="46"/>
      <c r="BH1" s="46"/>
      <c r="BI1" s="46"/>
      <c r="BJ1" s="46"/>
      <c r="BK1" s="46" t="n">
        <f aca="false">+BK25+'Opex Consolidés'!BD7</f>
        <v>0</v>
      </c>
      <c r="BL1" s="46"/>
      <c r="BM1" s="46"/>
      <c r="BN1" s="46"/>
      <c r="BO1" s="46"/>
      <c r="BP1" s="46"/>
      <c r="BQ1" s="46"/>
      <c r="BR1" s="46"/>
      <c r="BS1" s="46"/>
      <c r="BT1" s="46" t="n">
        <v>-68804439</v>
      </c>
      <c r="BU1" s="46"/>
      <c r="BV1" s="46"/>
      <c r="BW1" s="46" t="n">
        <f aca="false">BV4</f>
        <v>0</v>
      </c>
      <c r="BX1" s="46"/>
      <c r="BY1" s="46"/>
      <c r="BZ1" s="46"/>
      <c r="CA1" s="46"/>
      <c r="CB1" s="46" t="n">
        <f aca="false">+CB25+'Opex Consolidés'!BU7</f>
        <v>0</v>
      </c>
      <c r="CC1" s="46"/>
      <c r="CD1" s="46"/>
      <c r="CE1" s="46"/>
      <c r="CF1" s="46"/>
      <c r="CG1" s="46"/>
      <c r="CH1" s="46"/>
      <c r="CI1" s="46"/>
      <c r="CJ1" s="46" t="n">
        <f aca="false">+CJ25+'Opex Consolidés'!CC7</f>
        <v>0</v>
      </c>
      <c r="CK1" s="46"/>
      <c r="CL1" s="46"/>
      <c r="CM1" s="46"/>
      <c r="CN1" s="46"/>
      <c r="CO1" s="46"/>
      <c r="CP1" s="46"/>
      <c r="CQ1" s="46"/>
      <c r="CR1" s="46" t="n">
        <f aca="false">+CR25+'Opex Consolidés'!CR7</f>
        <v>0</v>
      </c>
      <c r="CS1" s="46" t="n">
        <v>17000.4990347094</v>
      </c>
      <c r="CT1" s="47" t="n">
        <f aca="false">CT25+'Opex Consolidés'!CT7</f>
        <v>0</v>
      </c>
      <c r="CU1" s="48"/>
      <c r="CV1" s="47"/>
      <c r="CW1" s="49" t="n">
        <v>16458.0885856793</v>
      </c>
      <c r="CX1" s="47"/>
      <c r="CY1" s="50"/>
      <c r="CZ1" s="51" t="n">
        <v>26225.7904576426</v>
      </c>
      <c r="DA1" s="51"/>
      <c r="DB1" s="51"/>
      <c r="DC1" s="51" t="n">
        <v>8378.96251629305</v>
      </c>
      <c r="DD1" s="51"/>
      <c r="DE1" s="52"/>
      <c r="DF1" s="52"/>
      <c r="DG1" s="52"/>
      <c r="DH1" s="52"/>
      <c r="DI1" s="53"/>
      <c r="DJ1" s="53"/>
      <c r="DK1" s="53"/>
      <c r="DT1" s="40"/>
      <c r="DU1" s="40"/>
    </row>
    <row r="2" s="45" customFormat="true" ht="11.25" hidden="false" customHeight="true" outlineLevel="0" collapsed="false">
      <c r="A2" s="54"/>
      <c r="P2" s="55"/>
      <c r="Q2" s="56"/>
      <c r="R2" s="56"/>
      <c r="S2" s="56"/>
      <c r="T2" s="57"/>
      <c r="V2" s="56"/>
      <c r="W2" s="56"/>
      <c r="X2" s="58"/>
      <c r="AA2" s="58"/>
      <c r="AB2" s="59"/>
      <c r="AD2" s="56"/>
      <c r="AH2" s="60"/>
      <c r="AL2" s="56"/>
      <c r="AM2" s="61"/>
      <c r="AO2" s="58"/>
      <c r="AU2" s="56"/>
      <c r="BC2" s="56"/>
      <c r="BI2" s="62"/>
      <c r="BK2" s="61"/>
      <c r="BL2" s="63"/>
      <c r="BM2" s="63"/>
      <c r="BN2" s="63"/>
      <c r="BO2" s="63"/>
      <c r="BP2" s="63"/>
      <c r="BQ2" s="63"/>
      <c r="BR2" s="63"/>
      <c r="BS2" s="50"/>
      <c r="BT2" s="61"/>
      <c r="BU2" s="50"/>
      <c r="BV2" s="50"/>
      <c r="BW2" s="50"/>
      <c r="BX2" s="50"/>
      <c r="BY2" s="50"/>
      <c r="BZ2" s="50"/>
      <c r="CA2" s="50"/>
      <c r="CB2" s="61"/>
      <c r="CC2" s="50"/>
      <c r="CD2" s="50"/>
      <c r="CE2" s="50"/>
      <c r="CF2" s="64"/>
      <c r="CG2" s="50"/>
      <c r="CH2" s="50"/>
      <c r="CI2" s="50"/>
      <c r="CJ2" s="65"/>
      <c r="CK2" s="66"/>
      <c r="CL2" s="67"/>
      <c r="CM2" s="66"/>
      <c r="CN2" s="66"/>
      <c r="CO2" s="68"/>
      <c r="CP2" s="67"/>
      <c r="CQ2" s="50"/>
      <c r="CR2" s="69"/>
      <c r="CS2" s="66"/>
      <c r="CT2" s="66"/>
      <c r="CU2" s="67"/>
      <c r="CV2" s="66"/>
      <c r="CW2" s="70"/>
      <c r="CX2" s="66"/>
      <c r="CY2" s="50"/>
      <c r="CZ2" s="65"/>
      <c r="DA2" s="65"/>
      <c r="DB2" s="65"/>
      <c r="DC2" s="65"/>
      <c r="DD2" s="65"/>
      <c r="DE2" s="71"/>
      <c r="DF2" s="71"/>
      <c r="DG2" s="71"/>
      <c r="DH2" s="71"/>
      <c r="DI2" s="53"/>
      <c r="DJ2" s="53"/>
      <c r="DK2" s="53"/>
    </row>
    <row r="3" s="45" customFormat="true" ht="6" hidden="false" customHeight="true" outlineLevel="0" collapsed="false">
      <c r="A3" s="54"/>
      <c r="D3" s="72"/>
      <c r="E3" s="73" t="n">
        <v>0</v>
      </c>
      <c r="F3" s="54"/>
      <c r="G3" s="74" t="n">
        <v>0</v>
      </c>
      <c r="P3" s="75"/>
      <c r="Q3" s="56"/>
      <c r="R3" s="56"/>
      <c r="S3" s="56"/>
      <c r="T3" s="57"/>
      <c r="V3" s="56"/>
      <c r="W3" s="56"/>
      <c r="X3" s="58"/>
      <c r="AA3" s="58"/>
      <c r="AB3" s="59"/>
      <c r="AD3" s="56" t="n">
        <v>0</v>
      </c>
      <c r="AL3" s="56"/>
      <c r="AM3" s="61"/>
      <c r="AO3" s="58"/>
      <c r="AU3" s="56"/>
      <c r="BC3" s="56"/>
      <c r="BI3" s="62"/>
      <c r="BK3" s="61"/>
      <c r="BL3" s="63"/>
      <c r="BM3" s="63"/>
      <c r="BN3" s="63"/>
      <c r="BO3" s="63"/>
      <c r="BP3" s="63"/>
      <c r="BQ3" s="63"/>
      <c r="BR3" s="63"/>
      <c r="BS3" s="50"/>
      <c r="BT3" s="61"/>
      <c r="BU3" s="50"/>
      <c r="BV3" s="50"/>
      <c r="BW3" s="50"/>
      <c r="BX3" s="50"/>
      <c r="BY3" s="50"/>
      <c r="BZ3" s="50"/>
      <c r="CA3" s="50"/>
      <c r="CB3" s="61"/>
      <c r="CC3" s="50"/>
      <c r="CD3" s="50"/>
      <c r="CE3" s="50"/>
      <c r="CF3" s="64"/>
      <c r="CG3" s="50"/>
      <c r="CH3" s="50"/>
      <c r="CI3" s="50"/>
      <c r="CJ3" s="70"/>
      <c r="CK3" s="66"/>
      <c r="CL3" s="67"/>
      <c r="CM3" s="66"/>
      <c r="CN3" s="66"/>
      <c r="CO3" s="68"/>
      <c r="CP3" s="67"/>
      <c r="CQ3" s="50"/>
      <c r="CR3" s="69"/>
      <c r="CS3" s="66"/>
      <c r="CT3" s="66"/>
      <c r="CU3" s="67"/>
      <c r="CV3" s="66"/>
      <c r="CW3" s="70"/>
      <c r="CX3" s="66"/>
      <c r="CY3" s="50"/>
      <c r="CZ3" s="72" t="n">
        <v>0</v>
      </c>
      <c r="DA3" s="70"/>
      <c r="DB3" s="70"/>
      <c r="DC3" s="70"/>
      <c r="DD3" s="72" t="n">
        <v>0</v>
      </c>
      <c r="DE3" s="71"/>
      <c r="DF3" s="71"/>
      <c r="DG3" s="71"/>
      <c r="DH3" s="71"/>
      <c r="DI3" s="53"/>
      <c r="DJ3" s="53"/>
      <c r="DK3" s="53"/>
    </row>
    <row r="4" s="76" customFormat="true" ht="12.75" hidden="false" customHeight="false" outlineLevel="0" collapsed="false">
      <c r="D4" s="77" t="n">
        <v>45292</v>
      </c>
      <c r="E4" s="77"/>
      <c r="F4" s="77"/>
      <c r="G4" s="77"/>
      <c r="H4" s="77"/>
      <c r="I4" s="78"/>
      <c r="J4" s="77" t="n">
        <v>45323</v>
      </c>
      <c r="K4" s="77"/>
      <c r="L4" s="77"/>
      <c r="M4" s="77"/>
      <c r="N4" s="77"/>
      <c r="O4" s="78"/>
      <c r="P4" s="77" t="n">
        <v>45352</v>
      </c>
      <c r="Q4" s="77"/>
      <c r="R4" s="77"/>
      <c r="S4" s="77"/>
      <c r="T4" s="77"/>
      <c r="U4" s="79"/>
      <c r="V4" s="77" t="n">
        <v>45383</v>
      </c>
      <c r="W4" s="77"/>
      <c r="X4" s="77"/>
      <c r="Y4" s="77"/>
      <c r="Z4" s="77"/>
      <c r="AA4" s="77"/>
      <c r="AB4" s="77"/>
      <c r="AC4" s="79"/>
      <c r="AD4" s="80" t="n">
        <v>45413</v>
      </c>
      <c r="AE4" s="80"/>
      <c r="AF4" s="80"/>
      <c r="AG4" s="80"/>
      <c r="AH4" s="80"/>
      <c r="AI4" s="80"/>
      <c r="AJ4" s="80"/>
      <c r="AK4" s="81"/>
      <c r="AL4" s="80" t="n">
        <v>45444</v>
      </c>
      <c r="AM4" s="80"/>
      <c r="AN4" s="80"/>
      <c r="AO4" s="80"/>
      <c r="AP4" s="80"/>
      <c r="AQ4" s="80"/>
      <c r="AR4" s="80"/>
      <c r="AS4" s="80"/>
      <c r="AT4" s="82"/>
      <c r="AU4" s="80" t="n">
        <v>45474</v>
      </c>
      <c r="AV4" s="80"/>
      <c r="AW4" s="80"/>
      <c r="AX4" s="80"/>
      <c r="AY4" s="80"/>
      <c r="AZ4" s="80"/>
      <c r="BA4" s="80"/>
      <c r="BB4" s="82"/>
      <c r="BC4" s="80" t="n">
        <v>45505</v>
      </c>
      <c r="BD4" s="80"/>
      <c r="BE4" s="80"/>
      <c r="BF4" s="80"/>
      <c r="BG4" s="80"/>
      <c r="BH4" s="80"/>
      <c r="BI4" s="80"/>
      <c r="BJ4" s="82"/>
      <c r="BK4" s="80" t="n">
        <v>45536</v>
      </c>
      <c r="BL4" s="80"/>
      <c r="BM4" s="80"/>
      <c r="BN4" s="80"/>
      <c r="BO4" s="80"/>
      <c r="BP4" s="80"/>
      <c r="BQ4" s="80"/>
      <c r="BR4" s="80"/>
      <c r="BS4" s="82"/>
      <c r="BT4" s="80" t="n">
        <v>45566</v>
      </c>
      <c r="BU4" s="80"/>
      <c r="BV4" s="80"/>
      <c r="BW4" s="80"/>
      <c r="BX4" s="80"/>
      <c r="BY4" s="80"/>
      <c r="BZ4" s="80"/>
      <c r="CA4" s="82"/>
      <c r="CB4" s="80" t="n">
        <v>45597</v>
      </c>
      <c r="CC4" s="80"/>
      <c r="CD4" s="80"/>
      <c r="CE4" s="80"/>
      <c r="CF4" s="80"/>
      <c r="CG4" s="80"/>
      <c r="CH4" s="80"/>
      <c r="CI4" s="82"/>
      <c r="CJ4" s="80" t="n">
        <v>45627</v>
      </c>
      <c r="CK4" s="80"/>
      <c r="CL4" s="80"/>
      <c r="CM4" s="80"/>
      <c r="CN4" s="80"/>
      <c r="CO4" s="80"/>
      <c r="CP4" s="80"/>
      <c r="CQ4" s="82"/>
      <c r="CR4" s="83" t="s">
        <v>3</v>
      </c>
      <c r="CS4" s="83"/>
      <c r="CT4" s="83"/>
      <c r="CU4" s="83"/>
      <c r="CV4" s="83"/>
      <c r="CW4" s="83"/>
      <c r="CX4" s="83"/>
      <c r="CZ4" s="84" t="s">
        <v>4</v>
      </c>
      <c r="DA4" s="84"/>
      <c r="DB4" s="84"/>
      <c r="DC4" s="84"/>
      <c r="DD4" s="84"/>
      <c r="DE4" s="84"/>
      <c r="DF4" s="84"/>
      <c r="DG4" s="84"/>
      <c r="DH4" s="84"/>
      <c r="DT4" s="79"/>
      <c r="DU4" s="79"/>
    </row>
    <row r="5" s="85" customFormat="true" ht="29.25" hidden="false" customHeight="true" outlineLevel="0" collapsed="false">
      <c r="A5" s="85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89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91"/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94"/>
      <c r="DT5" s="91"/>
      <c r="DU5" s="91"/>
    </row>
    <row r="6" customFormat="false" ht="3" hidden="false" customHeight="true" outlineLevel="0" collapsed="false">
      <c r="D6" s="95"/>
      <c r="E6" s="95"/>
      <c r="F6" s="96"/>
      <c r="G6" s="95"/>
      <c r="H6" s="95"/>
      <c r="I6" s="95"/>
      <c r="J6" s="95"/>
      <c r="K6" s="95"/>
      <c r="L6" s="96"/>
      <c r="M6" s="95"/>
      <c r="N6" s="95"/>
      <c r="O6" s="95"/>
      <c r="P6" s="97"/>
      <c r="Q6" s="97"/>
      <c r="R6" s="97"/>
      <c r="S6" s="97"/>
      <c r="T6" s="98"/>
      <c r="U6" s="99"/>
      <c r="V6" s="97"/>
      <c r="W6" s="97"/>
      <c r="X6" s="97"/>
      <c r="Y6" s="97"/>
      <c r="Z6" s="97"/>
      <c r="AA6" s="97"/>
      <c r="AB6" s="100"/>
      <c r="AC6" s="99"/>
      <c r="AD6" s="95"/>
      <c r="AE6" s="95"/>
      <c r="AF6" s="95"/>
      <c r="AG6" s="96"/>
      <c r="AH6" s="96"/>
      <c r="AI6" s="95"/>
      <c r="AJ6" s="101"/>
      <c r="AK6" s="99"/>
      <c r="AL6" s="95"/>
      <c r="AM6" s="95"/>
      <c r="AN6" s="95"/>
      <c r="AO6" s="95"/>
      <c r="AP6" s="96"/>
      <c r="AQ6" s="96"/>
      <c r="AR6" s="95"/>
      <c r="AS6" s="95"/>
      <c r="AT6" s="99"/>
      <c r="AU6" s="95"/>
      <c r="AV6" s="95"/>
      <c r="AW6" s="95"/>
      <c r="AX6" s="95"/>
      <c r="AY6" s="95"/>
      <c r="AZ6" s="95"/>
      <c r="BA6" s="95"/>
      <c r="BB6" s="99"/>
      <c r="BC6" s="95"/>
      <c r="BD6" s="95"/>
      <c r="BE6" s="95"/>
      <c r="BF6" s="95"/>
      <c r="BG6" s="95"/>
      <c r="BH6" s="95"/>
      <c r="BI6" s="100"/>
      <c r="BJ6" s="99"/>
      <c r="BK6" s="95"/>
      <c r="BL6" s="95"/>
      <c r="BM6" s="95"/>
      <c r="BN6" s="95"/>
      <c r="BO6" s="96"/>
      <c r="BP6" s="96"/>
      <c r="BQ6" s="95"/>
      <c r="BR6" s="95"/>
      <c r="BS6" s="99"/>
      <c r="BT6" s="95"/>
      <c r="BU6" s="95"/>
      <c r="BV6" s="95"/>
      <c r="BW6" s="95"/>
      <c r="BX6" s="95"/>
      <c r="BY6" s="95"/>
      <c r="BZ6" s="95"/>
      <c r="CA6" s="99"/>
      <c r="CB6" s="95"/>
      <c r="CC6" s="95"/>
      <c r="CD6" s="95"/>
      <c r="CE6" s="96"/>
      <c r="CF6" s="96"/>
      <c r="CG6" s="95"/>
      <c r="CH6" s="95"/>
      <c r="CI6" s="99"/>
      <c r="CJ6" s="95"/>
      <c r="CK6" s="95"/>
      <c r="CL6" s="95"/>
      <c r="CM6" s="96"/>
      <c r="CN6" s="96"/>
      <c r="CO6" s="95"/>
      <c r="CP6" s="101"/>
      <c r="CQ6" s="99"/>
      <c r="CR6" s="102"/>
      <c r="CS6" s="96"/>
      <c r="CT6" s="96"/>
      <c r="CU6" s="96"/>
      <c r="CV6" s="96"/>
      <c r="CW6" s="96"/>
      <c r="CX6" s="100"/>
      <c r="CY6" s="103"/>
      <c r="CZ6" s="96"/>
      <c r="DA6" s="96"/>
      <c r="DB6" s="96"/>
      <c r="DC6" s="96"/>
      <c r="DD6" s="96"/>
      <c r="DE6" s="95"/>
      <c r="DF6" s="95"/>
      <c r="DG6" s="95"/>
      <c r="DH6" s="95"/>
    </row>
    <row r="7" s="36" customFormat="true" ht="17.25" hidden="false" customHeight="true" outlineLevel="0" collapsed="false">
      <c r="A7" s="104" t="s">
        <v>21</v>
      </c>
      <c r="B7" s="105"/>
      <c r="C7" s="106" t="s">
        <v>22</v>
      </c>
      <c r="D7" s="107"/>
      <c r="E7" s="107"/>
      <c r="F7" s="107"/>
      <c r="G7" s="107"/>
      <c r="H7" s="108"/>
      <c r="I7" s="109"/>
      <c r="J7" s="107"/>
      <c r="K7" s="107"/>
      <c r="L7" s="107"/>
      <c r="M7" s="107"/>
      <c r="N7" s="108"/>
      <c r="O7" s="109"/>
      <c r="P7" s="107"/>
      <c r="Q7" s="107"/>
      <c r="R7" s="107"/>
      <c r="S7" s="107"/>
      <c r="T7" s="108"/>
      <c r="U7" s="110"/>
      <c r="V7" s="107"/>
      <c r="W7" s="107"/>
      <c r="X7" s="107"/>
      <c r="Y7" s="107"/>
      <c r="Z7" s="107"/>
      <c r="AA7" s="107"/>
      <c r="AB7" s="108"/>
      <c r="AC7" s="110"/>
      <c r="AD7" s="107"/>
      <c r="AE7" s="107"/>
      <c r="AF7" s="107"/>
      <c r="AG7" s="107"/>
      <c r="AH7" s="107"/>
      <c r="AI7" s="107"/>
      <c r="AJ7" s="108"/>
      <c r="AK7" s="111"/>
      <c r="AL7" s="107"/>
      <c r="AM7" s="107"/>
      <c r="AN7" s="107"/>
      <c r="AO7" s="107"/>
      <c r="AP7" s="107"/>
      <c r="AQ7" s="107"/>
      <c r="AR7" s="107"/>
      <c r="AS7" s="109"/>
      <c r="AT7" s="112"/>
      <c r="AU7" s="107"/>
      <c r="AV7" s="107"/>
      <c r="AW7" s="107"/>
      <c r="AX7" s="107"/>
      <c r="AY7" s="107"/>
      <c r="AZ7" s="107"/>
      <c r="BA7" s="109"/>
      <c r="BB7" s="111"/>
      <c r="BC7" s="107"/>
      <c r="BD7" s="107"/>
      <c r="BE7" s="107"/>
      <c r="BF7" s="107"/>
      <c r="BG7" s="107"/>
      <c r="BH7" s="107"/>
      <c r="BI7" s="109"/>
      <c r="BJ7" s="111"/>
      <c r="BK7" s="107"/>
      <c r="BL7" s="107"/>
      <c r="BM7" s="107"/>
      <c r="BN7" s="107"/>
      <c r="BO7" s="107"/>
      <c r="BP7" s="107"/>
      <c r="BQ7" s="107"/>
      <c r="BR7" s="113"/>
      <c r="BS7" s="111"/>
      <c r="BT7" s="107"/>
      <c r="BU7" s="107"/>
      <c r="BV7" s="107"/>
      <c r="BW7" s="107"/>
      <c r="BX7" s="107"/>
      <c r="BY7" s="107"/>
      <c r="BZ7" s="113"/>
      <c r="CA7" s="111"/>
      <c r="CB7" s="107"/>
      <c r="CC7" s="107"/>
      <c r="CD7" s="107"/>
      <c r="CE7" s="107"/>
      <c r="CF7" s="107"/>
      <c r="CG7" s="107"/>
      <c r="CH7" s="109"/>
      <c r="CI7" s="111"/>
      <c r="CJ7" s="107"/>
      <c r="CK7" s="107"/>
      <c r="CL7" s="107"/>
      <c r="CM7" s="107"/>
      <c r="CN7" s="107"/>
      <c r="CO7" s="107"/>
      <c r="CP7" s="109"/>
      <c r="CQ7" s="111"/>
      <c r="CR7" s="107"/>
      <c r="CS7" s="107"/>
      <c r="CT7" s="107"/>
      <c r="CU7" s="107" t="n">
        <f aca="false">+CR7-CS7</f>
        <v>0</v>
      </c>
      <c r="CV7" s="107" t="n">
        <f aca="false">+CR7-CT7</f>
        <v>0</v>
      </c>
      <c r="CW7" s="107"/>
      <c r="CX7" s="109" t="str">
        <f aca="false">IFERROR(CR7/CW7-1, "-")</f>
        <v>-</v>
      </c>
      <c r="CY7" s="114"/>
      <c r="CZ7" s="107"/>
      <c r="DA7" s="107"/>
      <c r="DB7" s="107"/>
      <c r="DC7" s="107"/>
      <c r="DD7" s="107"/>
      <c r="DE7" s="109" t="e">
        <f aca="false">CZ7/DD7-1</f>
        <v>#DIV/0!</v>
      </c>
      <c r="DF7" s="115" t="e">
        <f aca="false">DA7/DD7-1</f>
        <v>#DIV/0!</v>
      </c>
      <c r="DG7" s="109" t="e">
        <f aca="false">DB7/DD7-1</f>
        <v>#DIV/0!</v>
      </c>
      <c r="DH7" s="109" t="e">
        <f aca="false">DC7/DD7-1</f>
        <v>#DIV/0!</v>
      </c>
      <c r="DI7" s="116"/>
      <c r="DJ7" s="117"/>
      <c r="DK7" s="117"/>
      <c r="DL7" s="117"/>
      <c r="DM7" s="117"/>
      <c r="DN7" s="118"/>
      <c r="DO7" s="14"/>
      <c r="DX7" s="2"/>
      <c r="DY7" s="2"/>
      <c r="DZ7" s="2"/>
    </row>
    <row r="8" s="128" customFormat="true" ht="12.75" hidden="true" customHeight="true" outlineLevel="0" collapsed="false">
      <c r="A8" s="119" t="s">
        <v>23</v>
      </c>
      <c r="B8" s="105"/>
      <c r="C8" s="106" t="s">
        <v>24</v>
      </c>
      <c r="D8" s="120"/>
      <c r="E8" s="120"/>
      <c r="F8" s="120"/>
      <c r="G8" s="120"/>
      <c r="H8" s="121"/>
      <c r="I8" s="122"/>
      <c r="J8" s="120"/>
      <c r="K8" s="120"/>
      <c r="L8" s="120"/>
      <c r="M8" s="120"/>
      <c r="N8" s="121"/>
      <c r="O8" s="122"/>
      <c r="P8" s="120"/>
      <c r="Q8" s="120"/>
      <c r="R8" s="120"/>
      <c r="S8" s="120"/>
      <c r="T8" s="121"/>
      <c r="U8" s="123"/>
      <c r="V8" s="120"/>
      <c r="W8" s="120"/>
      <c r="X8" s="120"/>
      <c r="Y8" s="120"/>
      <c r="Z8" s="120"/>
      <c r="AA8" s="120"/>
      <c r="AB8" s="121"/>
      <c r="AC8" s="123"/>
      <c r="AD8" s="120"/>
      <c r="AE8" s="120"/>
      <c r="AF8" s="120"/>
      <c r="AG8" s="120"/>
      <c r="AH8" s="120"/>
      <c r="AI8" s="120"/>
      <c r="AJ8" s="121"/>
      <c r="AK8" s="124"/>
      <c r="AL8" s="120"/>
      <c r="AM8" s="120"/>
      <c r="AN8" s="120"/>
      <c r="AO8" s="120"/>
      <c r="AP8" s="120"/>
      <c r="AQ8" s="120"/>
      <c r="AR8" s="120"/>
      <c r="AS8" s="122"/>
      <c r="AT8" s="125"/>
      <c r="AU8" s="120"/>
      <c r="AV8" s="120"/>
      <c r="AW8" s="120"/>
      <c r="AX8" s="120"/>
      <c r="AY8" s="120"/>
      <c r="AZ8" s="120"/>
      <c r="BA8" s="122"/>
      <c r="BB8" s="124"/>
      <c r="BC8" s="120"/>
      <c r="BD8" s="120"/>
      <c r="BE8" s="120"/>
      <c r="BF8" s="120"/>
      <c r="BG8" s="120"/>
      <c r="BH8" s="120"/>
      <c r="BI8" s="122"/>
      <c r="BJ8" s="124"/>
      <c r="BK8" s="120"/>
      <c r="BL8" s="120"/>
      <c r="BM8" s="120"/>
      <c r="BN8" s="120"/>
      <c r="BO8" s="120"/>
      <c r="BP8" s="120"/>
      <c r="BQ8" s="120"/>
      <c r="BR8" s="122"/>
      <c r="BS8" s="124"/>
      <c r="BT8" s="120"/>
      <c r="BU8" s="120"/>
      <c r="BV8" s="120"/>
      <c r="BW8" s="120"/>
      <c r="BX8" s="120"/>
      <c r="BY8" s="120"/>
      <c r="BZ8" s="122"/>
      <c r="CA8" s="124"/>
      <c r="CB8" s="120"/>
      <c r="CC8" s="120"/>
      <c r="CD8" s="120"/>
      <c r="CE8" s="120"/>
      <c r="CF8" s="120"/>
      <c r="CG8" s="120"/>
      <c r="CH8" s="122"/>
      <c r="CI8" s="124"/>
      <c r="CJ8" s="120"/>
      <c r="CK8" s="120"/>
      <c r="CL8" s="120"/>
      <c r="CM8" s="120"/>
      <c r="CN8" s="120"/>
      <c r="CO8" s="120"/>
      <c r="CP8" s="122"/>
      <c r="CQ8" s="124"/>
      <c r="CR8" s="120"/>
      <c r="CS8" s="120"/>
      <c r="CT8" s="120"/>
      <c r="CU8" s="120" t="n">
        <f aca="false">+CR8-CS8</f>
        <v>0</v>
      </c>
      <c r="CV8" s="120" t="n">
        <f aca="false">+CR8-CT8</f>
        <v>0</v>
      </c>
      <c r="CW8" s="120"/>
      <c r="CX8" s="122" t="str">
        <f aca="false">IFERROR(CR8/CW8-1, "-")</f>
        <v>-</v>
      </c>
      <c r="CY8" s="126"/>
      <c r="CZ8" s="120"/>
      <c r="DA8" s="120"/>
      <c r="DB8" s="120"/>
      <c r="DC8" s="120"/>
      <c r="DD8" s="120"/>
      <c r="DE8" s="122"/>
      <c r="DF8" s="127"/>
      <c r="DG8" s="122"/>
      <c r="DH8" s="122"/>
      <c r="DI8" s="116"/>
      <c r="DJ8" s="117"/>
      <c r="DK8" s="117"/>
      <c r="DL8" s="117"/>
      <c r="DM8" s="117"/>
      <c r="DN8" s="118"/>
      <c r="DO8" s="91"/>
      <c r="DX8" s="107"/>
      <c r="DY8" s="107"/>
      <c r="DZ8" s="107"/>
    </row>
    <row r="9" s="128" customFormat="true" ht="12.75" hidden="false" customHeight="true" outlineLevel="0" collapsed="false">
      <c r="A9" s="129" t="s">
        <v>25</v>
      </c>
      <c r="B9" s="105"/>
      <c r="C9" s="106" t="s">
        <v>26</v>
      </c>
      <c r="D9" s="130"/>
      <c r="E9" s="130"/>
      <c r="F9" s="130"/>
      <c r="G9" s="130"/>
      <c r="H9" s="131"/>
      <c r="I9" s="127"/>
      <c r="J9" s="130"/>
      <c r="K9" s="130"/>
      <c r="L9" s="130"/>
      <c r="M9" s="130"/>
      <c r="N9" s="131"/>
      <c r="O9" s="127"/>
      <c r="P9" s="130"/>
      <c r="Q9" s="130"/>
      <c r="R9" s="130"/>
      <c r="S9" s="130"/>
      <c r="T9" s="131"/>
      <c r="U9" s="132"/>
      <c r="V9" s="130"/>
      <c r="W9" s="130"/>
      <c r="X9" s="130"/>
      <c r="Y9" s="130"/>
      <c r="Z9" s="130"/>
      <c r="AA9" s="130"/>
      <c r="AB9" s="131"/>
      <c r="AC9" s="132"/>
      <c r="AD9" s="130"/>
      <c r="AE9" s="130"/>
      <c r="AF9" s="130"/>
      <c r="AG9" s="130"/>
      <c r="AH9" s="130"/>
      <c r="AI9" s="130"/>
      <c r="AJ9" s="131"/>
      <c r="AK9" s="125"/>
      <c r="AL9" s="130"/>
      <c r="AM9" s="130"/>
      <c r="AN9" s="130"/>
      <c r="AO9" s="130"/>
      <c r="AP9" s="130"/>
      <c r="AQ9" s="130"/>
      <c r="AR9" s="130"/>
      <c r="AS9" s="127"/>
      <c r="AT9" s="125"/>
      <c r="AU9" s="130"/>
      <c r="AV9" s="130"/>
      <c r="AW9" s="130"/>
      <c r="AX9" s="130"/>
      <c r="AY9" s="130"/>
      <c r="AZ9" s="130"/>
      <c r="BA9" s="127"/>
      <c r="BB9" s="125"/>
      <c r="BC9" s="130"/>
      <c r="BD9" s="130"/>
      <c r="BE9" s="130"/>
      <c r="BF9" s="130"/>
      <c r="BG9" s="130"/>
      <c r="BH9" s="130"/>
      <c r="BI9" s="127"/>
      <c r="BJ9" s="125"/>
      <c r="BK9" s="130"/>
      <c r="BL9" s="130"/>
      <c r="BM9" s="130"/>
      <c r="BN9" s="130"/>
      <c r="BO9" s="130"/>
      <c r="BP9" s="130"/>
      <c r="BQ9" s="130"/>
      <c r="BR9" s="127"/>
      <c r="BS9" s="125"/>
      <c r="BT9" s="130"/>
      <c r="BU9" s="130"/>
      <c r="BV9" s="130"/>
      <c r="BW9" s="130"/>
      <c r="BX9" s="130"/>
      <c r="BY9" s="130"/>
      <c r="BZ9" s="127"/>
      <c r="CA9" s="125"/>
      <c r="CB9" s="130"/>
      <c r="CC9" s="130"/>
      <c r="CD9" s="130"/>
      <c r="CE9" s="130"/>
      <c r="CF9" s="130"/>
      <c r="CG9" s="130"/>
      <c r="CH9" s="127"/>
      <c r="CI9" s="125"/>
      <c r="CJ9" s="130"/>
      <c r="CK9" s="130"/>
      <c r="CL9" s="130"/>
      <c r="CM9" s="130"/>
      <c r="CN9" s="130"/>
      <c r="CO9" s="130"/>
      <c r="CP9" s="127"/>
      <c r="CQ9" s="125"/>
      <c r="CR9" s="130"/>
      <c r="CS9" s="130"/>
      <c r="CT9" s="130"/>
      <c r="CU9" s="130" t="n">
        <f aca="false">+CR9-CS9</f>
        <v>0</v>
      </c>
      <c r="CV9" s="130" t="n">
        <f aca="false">+CR9-CT9</f>
        <v>0</v>
      </c>
      <c r="CW9" s="130"/>
      <c r="CX9" s="127" t="str">
        <f aca="false">IFERROR(CR9/CW9-1, "-")</f>
        <v>-</v>
      </c>
      <c r="CY9" s="126"/>
      <c r="CZ9" s="130"/>
      <c r="DA9" s="130"/>
      <c r="DB9" s="130"/>
      <c r="DC9" s="130"/>
      <c r="DD9" s="130"/>
      <c r="DE9" s="127" t="e">
        <f aca="false">CZ9/DD9-1</f>
        <v>#DIV/0!</v>
      </c>
      <c r="DF9" s="127"/>
      <c r="DG9" s="127" t="e">
        <f aca="false">DB9/DD9-1</f>
        <v>#DIV/0!</v>
      </c>
      <c r="DH9" s="127" t="e">
        <f aca="false">DC9/DD9-1</f>
        <v>#DIV/0!</v>
      </c>
      <c r="DI9" s="116"/>
      <c r="DJ9" s="117"/>
      <c r="DK9" s="117"/>
      <c r="DL9" s="117"/>
      <c r="DM9" s="117"/>
      <c r="DN9" s="118"/>
      <c r="DO9" s="91"/>
      <c r="DX9" s="107"/>
      <c r="DY9" s="107"/>
      <c r="DZ9" s="107"/>
    </row>
    <row r="10" s="142" customFormat="true" ht="15.75" hidden="false" customHeight="true" outlineLevel="0" collapsed="false">
      <c r="A10" s="133" t="s">
        <v>27</v>
      </c>
      <c r="B10" s="134"/>
      <c r="C10" s="106" t="s">
        <v>28</v>
      </c>
      <c r="D10" s="135"/>
      <c r="E10" s="135"/>
      <c r="F10" s="135"/>
      <c r="G10" s="135"/>
      <c r="H10" s="136"/>
      <c r="I10" s="137"/>
      <c r="J10" s="135"/>
      <c r="K10" s="135"/>
      <c r="L10" s="135"/>
      <c r="M10" s="135"/>
      <c r="N10" s="136"/>
      <c r="O10" s="137"/>
      <c r="P10" s="135"/>
      <c r="Q10" s="135"/>
      <c r="R10" s="135"/>
      <c r="S10" s="135"/>
      <c r="T10" s="136"/>
      <c r="U10" s="138"/>
      <c r="V10" s="135"/>
      <c r="W10" s="135"/>
      <c r="X10" s="135"/>
      <c r="Y10" s="135"/>
      <c r="Z10" s="135"/>
      <c r="AA10" s="135"/>
      <c r="AB10" s="136"/>
      <c r="AC10" s="138"/>
      <c r="AD10" s="135"/>
      <c r="AE10" s="135"/>
      <c r="AF10" s="135"/>
      <c r="AG10" s="135"/>
      <c r="AH10" s="135"/>
      <c r="AI10" s="135"/>
      <c r="AJ10" s="136"/>
      <c r="AK10" s="139"/>
      <c r="AL10" s="135"/>
      <c r="AM10" s="135"/>
      <c r="AN10" s="135"/>
      <c r="AO10" s="135"/>
      <c r="AP10" s="135"/>
      <c r="AQ10" s="135"/>
      <c r="AR10" s="135"/>
      <c r="AS10" s="137"/>
      <c r="AT10" s="139"/>
      <c r="AU10" s="135"/>
      <c r="AV10" s="135"/>
      <c r="AW10" s="135"/>
      <c r="AX10" s="135"/>
      <c r="AY10" s="135"/>
      <c r="AZ10" s="135"/>
      <c r="BA10" s="137"/>
      <c r="BB10" s="139"/>
      <c r="BC10" s="135"/>
      <c r="BD10" s="135"/>
      <c r="BE10" s="135"/>
      <c r="BF10" s="135"/>
      <c r="BG10" s="135"/>
      <c r="BH10" s="135"/>
      <c r="BI10" s="137"/>
      <c r="BJ10" s="139"/>
      <c r="BK10" s="135"/>
      <c r="BL10" s="135"/>
      <c r="BM10" s="135"/>
      <c r="BN10" s="135"/>
      <c r="BO10" s="135"/>
      <c r="BP10" s="135"/>
      <c r="BQ10" s="135"/>
      <c r="BR10" s="137"/>
      <c r="BS10" s="139"/>
      <c r="BT10" s="135"/>
      <c r="BU10" s="135"/>
      <c r="BV10" s="135"/>
      <c r="BW10" s="135"/>
      <c r="BX10" s="135"/>
      <c r="BY10" s="135"/>
      <c r="BZ10" s="137"/>
      <c r="CA10" s="139"/>
      <c r="CB10" s="135"/>
      <c r="CC10" s="135"/>
      <c r="CD10" s="135"/>
      <c r="CE10" s="135"/>
      <c r="CF10" s="135"/>
      <c r="CG10" s="135"/>
      <c r="CH10" s="137"/>
      <c r="CI10" s="139"/>
      <c r="CJ10" s="135"/>
      <c r="CK10" s="135"/>
      <c r="CL10" s="135"/>
      <c r="CM10" s="135"/>
      <c r="CN10" s="135"/>
      <c r="CO10" s="135"/>
      <c r="CP10" s="137"/>
      <c r="CQ10" s="139"/>
      <c r="CR10" s="135"/>
      <c r="CS10" s="135"/>
      <c r="CT10" s="135"/>
      <c r="CU10" s="135" t="n">
        <f aca="false">+CR10-CS10</f>
        <v>0</v>
      </c>
      <c r="CV10" s="135" t="n">
        <f aca="false">+CR10-CT10</f>
        <v>0</v>
      </c>
      <c r="CW10" s="135"/>
      <c r="CX10" s="137" t="str">
        <f aca="false">IFERROR(CR10/CW10-1, "-")</f>
        <v>-</v>
      </c>
      <c r="CY10" s="140"/>
      <c r="CZ10" s="135"/>
      <c r="DA10" s="135"/>
      <c r="DB10" s="135"/>
      <c r="DC10" s="135"/>
      <c r="DD10" s="135"/>
      <c r="DE10" s="137" t="e">
        <f aca="false">CZ10/DD10-1</f>
        <v>#DIV/0!</v>
      </c>
      <c r="DF10" s="137" t="e">
        <f aca="false">DA10/DD10-1</f>
        <v>#DIV/0!</v>
      </c>
      <c r="DG10" s="137" t="e">
        <f aca="false">DB10/DD10-1</f>
        <v>#DIV/0!</v>
      </c>
      <c r="DH10" s="137" t="e">
        <f aca="false">DC10/DD10-1</f>
        <v>#DIV/0!</v>
      </c>
      <c r="DI10" s="116"/>
      <c r="DJ10" s="117"/>
      <c r="DK10" s="117"/>
      <c r="DL10" s="117"/>
      <c r="DM10" s="117"/>
      <c r="DN10" s="118"/>
      <c r="DO10" s="141"/>
      <c r="DX10" s="107"/>
      <c r="DY10" s="107"/>
      <c r="DZ10" s="107"/>
    </row>
    <row r="11" s="150" customFormat="true" ht="6" hidden="false" customHeight="true" outlineLevel="0" collapsed="false">
      <c r="A11" s="143"/>
      <c r="B11" s="38"/>
      <c r="C11" s="106" t="s">
        <v>29</v>
      </c>
      <c r="D11" s="144"/>
      <c r="E11" s="144"/>
      <c r="F11" s="144"/>
      <c r="G11" s="144"/>
      <c r="H11" s="145"/>
      <c r="I11" s="146"/>
      <c r="J11" s="144"/>
      <c r="K11" s="144"/>
      <c r="L11" s="144"/>
      <c r="M11" s="144"/>
      <c r="N11" s="145"/>
      <c r="O11" s="146"/>
      <c r="P11" s="144"/>
      <c r="Q11" s="144"/>
      <c r="R11" s="144"/>
      <c r="S11" s="144"/>
      <c r="T11" s="145"/>
      <c r="U11" s="147"/>
      <c r="V11" s="144"/>
      <c r="W11" s="144"/>
      <c r="X11" s="144"/>
      <c r="Y11" s="144"/>
      <c r="Z11" s="144"/>
      <c r="AA11" s="144"/>
      <c r="AB11" s="145"/>
      <c r="AC11" s="147"/>
      <c r="AD11" s="144"/>
      <c r="AE11" s="144"/>
      <c r="AF11" s="144"/>
      <c r="AG11" s="144"/>
      <c r="AH11" s="144"/>
      <c r="AI11" s="144"/>
      <c r="AJ11" s="145"/>
      <c r="AK11" s="148"/>
      <c r="AL11" s="144"/>
      <c r="AM11" s="144"/>
      <c r="AN11" s="144"/>
      <c r="AO11" s="144"/>
      <c r="AP11" s="144"/>
      <c r="AQ11" s="144"/>
      <c r="AR11" s="144"/>
      <c r="AS11" s="146"/>
      <c r="AT11" s="148"/>
      <c r="AU11" s="144"/>
      <c r="AV11" s="144"/>
      <c r="AW11" s="144"/>
      <c r="AX11" s="144"/>
      <c r="AY11" s="144"/>
      <c r="AZ11" s="144"/>
      <c r="BA11" s="146"/>
      <c r="BB11" s="148"/>
      <c r="BC11" s="144"/>
      <c r="BD11" s="144"/>
      <c r="BE11" s="144"/>
      <c r="BF11" s="144"/>
      <c r="BG11" s="144"/>
      <c r="BH11" s="144"/>
      <c r="BI11" s="146"/>
      <c r="BJ11" s="148"/>
      <c r="BK11" s="144"/>
      <c r="BL11" s="144"/>
      <c r="BM11" s="144"/>
      <c r="BN11" s="144"/>
      <c r="BO11" s="144"/>
      <c r="BP11" s="144"/>
      <c r="BQ11" s="144"/>
      <c r="BR11" s="146"/>
      <c r="BS11" s="148"/>
      <c r="BT11" s="144"/>
      <c r="BU11" s="144"/>
      <c r="BV11" s="144"/>
      <c r="BW11" s="144"/>
      <c r="BX11" s="144"/>
      <c r="BY11" s="144"/>
      <c r="BZ11" s="146"/>
      <c r="CA11" s="148"/>
      <c r="CB11" s="144"/>
      <c r="CC11" s="144"/>
      <c r="CD11" s="144"/>
      <c r="CE11" s="144"/>
      <c r="CF11" s="144"/>
      <c r="CG11" s="144"/>
      <c r="CH11" s="146"/>
      <c r="CI11" s="148"/>
      <c r="CJ11" s="144"/>
      <c r="CK11" s="144"/>
      <c r="CL11" s="144"/>
      <c r="CM11" s="144"/>
      <c r="CN11" s="144"/>
      <c r="CO11" s="144"/>
      <c r="CP11" s="146"/>
      <c r="CQ11" s="148"/>
      <c r="CR11" s="144"/>
      <c r="CS11" s="144"/>
      <c r="CT11" s="144"/>
      <c r="CU11" s="144" t="n">
        <f aca="false">+CR11-CS11</f>
        <v>0</v>
      </c>
      <c r="CV11" s="144" t="n">
        <f aca="false">+CR11-CT11</f>
        <v>0</v>
      </c>
      <c r="CW11" s="144"/>
      <c r="CX11" s="146" t="str">
        <f aca="false">IFERROR(CR11/CW11-1, "-")</f>
        <v>-</v>
      </c>
      <c r="CY11" s="149"/>
      <c r="CZ11" s="144"/>
      <c r="DA11" s="144"/>
      <c r="DB11" s="144"/>
      <c r="DC11" s="144"/>
      <c r="DD11" s="144"/>
      <c r="DE11" s="146"/>
      <c r="DF11" s="146"/>
      <c r="DG11" s="146"/>
      <c r="DH11" s="146"/>
      <c r="DI11" s="116"/>
      <c r="DJ11" s="117"/>
      <c r="DK11" s="117"/>
      <c r="DL11" s="117"/>
      <c r="DM11" s="117"/>
      <c r="DN11" s="118"/>
      <c r="DO11" s="141"/>
      <c r="DX11" s="107"/>
      <c r="DY11" s="107"/>
      <c r="DZ11" s="107"/>
    </row>
    <row r="12" s="150" customFormat="true" ht="15.75" hidden="true" customHeight="true" outlineLevel="0" collapsed="false">
      <c r="A12" s="151" t="s">
        <v>30</v>
      </c>
      <c r="B12" s="38"/>
      <c r="C12" s="106" t="s">
        <v>31</v>
      </c>
      <c r="D12" s="144"/>
      <c r="E12" s="144"/>
      <c r="F12" s="144"/>
      <c r="G12" s="144"/>
      <c r="H12" s="145"/>
      <c r="I12" s="146"/>
      <c r="J12" s="144"/>
      <c r="K12" s="144"/>
      <c r="L12" s="144"/>
      <c r="M12" s="144"/>
      <c r="N12" s="145"/>
      <c r="O12" s="146"/>
      <c r="P12" s="144"/>
      <c r="Q12" s="144"/>
      <c r="R12" s="144"/>
      <c r="S12" s="144"/>
      <c r="T12" s="145"/>
      <c r="U12" s="147"/>
      <c r="V12" s="144"/>
      <c r="W12" s="144"/>
      <c r="X12" s="144"/>
      <c r="Y12" s="144"/>
      <c r="Z12" s="144"/>
      <c r="AA12" s="144"/>
      <c r="AB12" s="145"/>
      <c r="AC12" s="147"/>
      <c r="AD12" s="144"/>
      <c r="AE12" s="144"/>
      <c r="AF12" s="144"/>
      <c r="AG12" s="144"/>
      <c r="AH12" s="144"/>
      <c r="AI12" s="144"/>
      <c r="AJ12" s="145"/>
      <c r="AK12" s="148"/>
      <c r="AL12" s="144"/>
      <c r="AM12" s="144"/>
      <c r="AN12" s="144"/>
      <c r="AO12" s="144"/>
      <c r="AP12" s="144"/>
      <c r="AQ12" s="144"/>
      <c r="AR12" s="144"/>
      <c r="AS12" s="146"/>
      <c r="AT12" s="148"/>
      <c r="AU12" s="144"/>
      <c r="AV12" s="144"/>
      <c r="AW12" s="144"/>
      <c r="AX12" s="144"/>
      <c r="AY12" s="144"/>
      <c r="AZ12" s="144"/>
      <c r="BA12" s="146"/>
      <c r="BB12" s="148"/>
      <c r="BC12" s="144"/>
      <c r="BD12" s="144"/>
      <c r="BE12" s="144"/>
      <c r="BF12" s="144"/>
      <c r="BG12" s="144"/>
      <c r="BH12" s="144"/>
      <c r="BI12" s="146"/>
      <c r="BJ12" s="148"/>
      <c r="BK12" s="144"/>
      <c r="BL12" s="144"/>
      <c r="BM12" s="144"/>
      <c r="BN12" s="144"/>
      <c r="BO12" s="144"/>
      <c r="BP12" s="144"/>
      <c r="BQ12" s="144"/>
      <c r="BR12" s="146"/>
      <c r="BS12" s="148"/>
      <c r="BT12" s="144"/>
      <c r="BU12" s="144"/>
      <c r="BV12" s="144"/>
      <c r="BW12" s="144"/>
      <c r="BX12" s="144"/>
      <c r="BY12" s="144"/>
      <c r="BZ12" s="146"/>
      <c r="CA12" s="148"/>
      <c r="CB12" s="144"/>
      <c r="CC12" s="144"/>
      <c r="CD12" s="144"/>
      <c r="CE12" s="144"/>
      <c r="CF12" s="144"/>
      <c r="CG12" s="144"/>
      <c r="CH12" s="146"/>
      <c r="CI12" s="148"/>
      <c r="CJ12" s="144"/>
      <c r="CK12" s="144"/>
      <c r="CL12" s="144"/>
      <c r="CM12" s="144"/>
      <c r="CN12" s="144"/>
      <c r="CO12" s="144"/>
      <c r="CP12" s="146"/>
      <c r="CQ12" s="148"/>
      <c r="CR12" s="144"/>
      <c r="CS12" s="144"/>
      <c r="CT12" s="144"/>
      <c r="CU12" s="144" t="n">
        <f aca="false">+CR12-CS12</f>
        <v>0</v>
      </c>
      <c r="CV12" s="144" t="n">
        <f aca="false">+CR12-CT12</f>
        <v>0</v>
      </c>
      <c r="CW12" s="144"/>
      <c r="CX12" s="146" t="str">
        <f aca="false">IFERROR(CR12/CW12-1, "-")</f>
        <v>-</v>
      </c>
      <c r="CY12" s="149"/>
      <c r="CZ12" s="144"/>
      <c r="DA12" s="144"/>
      <c r="DB12" s="144"/>
      <c r="DC12" s="144"/>
      <c r="DD12" s="144"/>
      <c r="DE12" s="146" t="e">
        <f aca="false">CZ12/DD12-1</f>
        <v>#DIV/0!</v>
      </c>
      <c r="DF12" s="146"/>
      <c r="DG12" s="146"/>
      <c r="DH12" s="146"/>
      <c r="DI12" s="116"/>
      <c r="DJ12" s="117"/>
      <c r="DK12" s="117"/>
      <c r="DL12" s="117"/>
      <c r="DM12" s="117"/>
      <c r="DN12" s="118"/>
      <c r="DO12" s="141"/>
      <c r="DX12" s="107"/>
      <c r="DY12" s="107"/>
      <c r="DZ12" s="107"/>
    </row>
    <row r="13" s="150" customFormat="true" ht="35.25" hidden="true" customHeight="true" outlineLevel="0" collapsed="false">
      <c r="A13" s="151" t="s">
        <v>32</v>
      </c>
      <c r="B13" s="38"/>
      <c r="C13" s="106" t="s">
        <v>33</v>
      </c>
      <c r="D13" s="144"/>
      <c r="E13" s="144"/>
      <c r="F13" s="144"/>
      <c r="G13" s="144"/>
      <c r="H13" s="145"/>
      <c r="I13" s="146"/>
      <c r="J13" s="144"/>
      <c r="K13" s="144"/>
      <c r="L13" s="144"/>
      <c r="M13" s="144"/>
      <c r="N13" s="145"/>
      <c r="O13" s="146"/>
      <c r="P13" s="144"/>
      <c r="Q13" s="144"/>
      <c r="R13" s="144"/>
      <c r="S13" s="144"/>
      <c r="T13" s="145"/>
      <c r="U13" s="147"/>
      <c r="V13" s="144"/>
      <c r="W13" s="144"/>
      <c r="X13" s="144"/>
      <c r="Y13" s="144"/>
      <c r="Z13" s="144"/>
      <c r="AA13" s="144"/>
      <c r="AB13" s="145"/>
      <c r="AC13" s="147"/>
      <c r="AD13" s="144"/>
      <c r="AE13" s="144"/>
      <c r="AF13" s="144"/>
      <c r="AG13" s="144"/>
      <c r="AH13" s="144"/>
      <c r="AI13" s="144"/>
      <c r="AJ13" s="145"/>
      <c r="AK13" s="148"/>
      <c r="AL13" s="144"/>
      <c r="AM13" s="144"/>
      <c r="AN13" s="144"/>
      <c r="AO13" s="144"/>
      <c r="AP13" s="144"/>
      <c r="AQ13" s="144"/>
      <c r="AR13" s="144"/>
      <c r="AS13" s="146"/>
      <c r="AT13" s="148"/>
      <c r="AU13" s="144"/>
      <c r="AV13" s="144"/>
      <c r="AW13" s="144"/>
      <c r="AX13" s="144"/>
      <c r="AY13" s="144"/>
      <c r="AZ13" s="144"/>
      <c r="BA13" s="146"/>
      <c r="BB13" s="148"/>
      <c r="BC13" s="144"/>
      <c r="BD13" s="144"/>
      <c r="BE13" s="144"/>
      <c r="BF13" s="144"/>
      <c r="BG13" s="144"/>
      <c r="BH13" s="144"/>
      <c r="BI13" s="146"/>
      <c r="BJ13" s="148"/>
      <c r="BK13" s="144"/>
      <c r="BL13" s="144"/>
      <c r="BM13" s="144"/>
      <c r="BN13" s="144"/>
      <c r="BO13" s="144"/>
      <c r="BP13" s="144"/>
      <c r="BQ13" s="144"/>
      <c r="BR13" s="146"/>
      <c r="BS13" s="148"/>
      <c r="BT13" s="144"/>
      <c r="BU13" s="144"/>
      <c r="BV13" s="144"/>
      <c r="BW13" s="144"/>
      <c r="BX13" s="144"/>
      <c r="BY13" s="144"/>
      <c r="BZ13" s="146"/>
      <c r="CA13" s="148"/>
      <c r="CB13" s="144"/>
      <c r="CC13" s="144"/>
      <c r="CD13" s="144"/>
      <c r="CE13" s="144"/>
      <c r="CF13" s="144"/>
      <c r="CG13" s="144"/>
      <c r="CH13" s="146"/>
      <c r="CI13" s="148"/>
      <c r="CJ13" s="144"/>
      <c r="CK13" s="144"/>
      <c r="CL13" s="144"/>
      <c r="CM13" s="144"/>
      <c r="CN13" s="144"/>
      <c r="CO13" s="144"/>
      <c r="CP13" s="146"/>
      <c r="CQ13" s="148"/>
      <c r="CR13" s="144"/>
      <c r="CS13" s="144"/>
      <c r="CT13" s="144"/>
      <c r="CU13" s="144" t="n">
        <f aca="false">+CR13-CS13</f>
        <v>0</v>
      </c>
      <c r="CV13" s="144" t="n">
        <f aca="false">+CR13-CT13</f>
        <v>0</v>
      </c>
      <c r="CW13" s="144"/>
      <c r="CX13" s="146" t="str">
        <f aca="false">IFERROR(CR13/CW13-1, "-")</f>
        <v>-</v>
      </c>
      <c r="CY13" s="149"/>
      <c r="CZ13" s="144"/>
      <c r="DA13" s="144"/>
      <c r="DB13" s="144"/>
      <c r="DC13" s="144"/>
      <c r="DD13" s="144"/>
      <c r="DE13" s="146" t="e">
        <f aca="false">CZ13/DD13-1</f>
        <v>#DIV/0!</v>
      </c>
      <c r="DF13" s="146"/>
      <c r="DG13" s="146"/>
      <c r="DH13" s="146"/>
      <c r="DI13" s="116"/>
      <c r="DJ13" s="117"/>
      <c r="DK13" s="117"/>
      <c r="DL13" s="117"/>
      <c r="DM13" s="117"/>
      <c r="DN13" s="118"/>
      <c r="DO13" s="141"/>
      <c r="DX13" s="107"/>
      <c r="DY13" s="107"/>
      <c r="DZ13" s="107"/>
    </row>
    <row r="14" s="36" customFormat="true" ht="37.5" hidden="true" customHeight="true" outlineLevel="0" collapsed="false">
      <c r="A14" s="152"/>
      <c r="B14" s="38"/>
      <c r="C14" s="106" t="s">
        <v>34</v>
      </c>
      <c r="D14" s="144"/>
      <c r="E14" s="144"/>
      <c r="F14" s="144"/>
      <c r="G14" s="144"/>
      <c r="H14" s="145"/>
      <c r="I14" s="146"/>
      <c r="J14" s="144"/>
      <c r="K14" s="144"/>
      <c r="L14" s="144"/>
      <c r="M14" s="144"/>
      <c r="N14" s="145"/>
      <c r="O14" s="146"/>
      <c r="P14" s="144"/>
      <c r="Q14" s="144"/>
      <c r="R14" s="144"/>
      <c r="S14" s="144"/>
      <c r="T14" s="145"/>
      <c r="U14" s="147"/>
      <c r="V14" s="144"/>
      <c r="W14" s="144"/>
      <c r="X14" s="144"/>
      <c r="Y14" s="144"/>
      <c r="Z14" s="144"/>
      <c r="AA14" s="144"/>
      <c r="AB14" s="145"/>
      <c r="AC14" s="147"/>
      <c r="AD14" s="144"/>
      <c r="AE14" s="144"/>
      <c r="AF14" s="144"/>
      <c r="AG14" s="144"/>
      <c r="AH14" s="144"/>
      <c r="AI14" s="144"/>
      <c r="AJ14" s="145"/>
      <c r="AK14" s="148"/>
      <c r="AL14" s="144"/>
      <c r="AM14" s="144"/>
      <c r="AN14" s="144"/>
      <c r="AO14" s="144"/>
      <c r="AP14" s="144"/>
      <c r="AQ14" s="144"/>
      <c r="AR14" s="144"/>
      <c r="AS14" s="146"/>
      <c r="AT14" s="148"/>
      <c r="AU14" s="144"/>
      <c r="AV14" s="144"/>
      <c r="AW14" s="144"/>
      <c r="AX14" s="144"/>
      <c r="AY14" s="144"/>
      <c r="AZ14" s="144"/>
      <c r="BA14" s="146"/>
      <c r="BB14" s="148"/>
      <c r="BC14" s="144"/>
      <c r="BD14" s="144"/>
      <c r="BE14" s="144"/>
      <c r="BF14" s="144"/>
      <c r="BG14" s="144"/>
      <c r="BH14" s="144"/>
      <c r="BI14" s="146"/>
      <c r="BJ14" s="148"/>
      <c r="BK14" s="144"/>
      <c r="BL14" s="144"/>
      <c r="BM14" s="144"/>
      <c r="BN14" s="144"/>
      <c r="BO14" s="144"/>
      <c r="BP14" s="144"/>
      <c r="BQ14" s="144"/>
      <c r="BR14" s="146"/>
      <c r="BS14" s="148"/>
      <c r="BT14" s="144"/>
      <c r="BU14" s="144"/>
      <c r="BV14" s="144"/>
      <c r="BW14" s="144"/>
      <c r="BX14" s="144"/>
      <c r="BY14" s="144"/>
      <c r="BZ14" s="146"/>
      <c r="CA14" s="148"/>
      <c r="CB14" s="144"/>
      <c r="CC14" s="144"/>
      <c r="CD14" s="144"/>
      <c r="CE14" s="144"/>
      <c r="CF14" s="144"/>
      <c r="CG14" s="144"/>
      <c r="CH14" s="146"/>
      <c r="CI14" s="148"/>
      <c r="CJ14" s="144"/>
      <c r="CK14" s="144"/>
      <c r="CL14" s="144"/>
      <c r="CM14" s="144"/>
      <c r="CN14" s="144"/>
      <c r="CO14" s="144"/>
      <c r="CP14" s="146"/>
      <c r="CQ14" s="148"/>
      <c r="CR14" s="144"/>
      <c r="CS14" s="144"/>
      <c r="CT14" s="144"/>
      <c r="CU14" s="144" t="n">
        <f aca="false">+CR14-CS14</f>
        <v>0</v>
      </c>
      <c r="CV14" s="144" t="n">
        <f aca="false">+CR14-CT14</f>
        <v>0</v>
      </c>
      <c r="CW14" s="144"/>
      <c r="CX14" s="146" t="str">
        <f aca="false">IFERROR(CR14/CW14-1, "-")</f>
        <v>-</v>
      </c>
      <c r="CY14" s="149"/>
      <c r="CZ14" s="144"/>
      <c r="DA14" s="144"/>
      <c r="DB14" s="144"/>
      <c r="DC14" s="144"/>
      <c r="DD14" s="144"/>
      <c r="DE14" s="146" t="e">
        <f aca="false">CZ14/DD14-1</f>
        <v>#DIV/0!</v>
      </c>
      <c r="DF14" s="146"/>
      <c r="DG14" s="146"/>
      <c r="DH14" s="146"/>
      <c r="DI14" s="116"/>
      <c r="DJ14" s="117"/>
      <c r="DK14" s="117"/>
      <c r="DL14" s="117"/>
      <c r="DM14" s="117"/>
      <c r="DN14" s="118"/>
      <c r="DO14" s="14"/>
      <c r="DX14" s="107"/>
      <c r="DY14" s="107"/>
      <c r="DZ14" s="107"/>
    </row>
    <row r="15" s="156" customFormat="true" ht="26.25" hidden="false" customHeight="true" outlineLevel="0" collapsed="false">
      <c r="A15" s="153" t="s">
        <v>35</v>
      </c>
      <c r="B15" s="105"/>
      <c r="C15" s="106" t="s">
        <v>36</v>
      </c>
      <c r="D15" s="130"/>
      <c r="E15" s="130"/>
      <c r="F15" s="130"/>
      <c r="G15" s="130"/>
      <c r="H15" s="131"/>
      <c r="I15" s="127"/>
      <c r="J15" s="130"/>
      <c r="K15" s="130"/>
      <c r="L15" s="130"/>
      <c r="M15" s="130"/>
      <c r="N15" s="131"/>
      <c r="O15" s="127"/>
      <c r="P15" s="130"/>
      <c r="Q15" s="130"/>
      <c r="R15" s="130"/>
      <c r="S15" s="130"/>
      <c r="T15" s="131"/>
      <c r="U15" s="132"/>
      <c r="V15" s="130"/>
      <c r="W15" s="130"/>
      <c r="X15" s="130"/>
      <c r="Y15" s="130"/>
      <c r="Z15" s="130"/>
      <c r="AA15" s="130"/>
      <c r="AB15" s="131"/>
      <c r="AC15" s="132"/>
      <c r="AD15" s="130"/>
      <c r="AE15" s="130"/>
      <c r="AF15" s="130"/>
      <c r="AG15" s="130"/>
      <c r="AH15" s="130"/>
      <c r="AI15" s="130"/>
      <c r="AJ15" s="131"/>
      <c r="AK15" s="125"/>
      <c r="AL15" s="130"/>
      <c r="AM15" s="130"/>
      <c r="AN15" s="130"/>
      <c r="AO15" s="130"/>
      <c r="AP15" s="130"/>
      <c r="AQ15" s="130"/>
      <c r="AR15" s="130"/>
      <c r="AS15" s="127"/>
      <c r="AT15" s="125"/>
      <c r="AU15" s="130"/>
      <c r="AV15" s="130"/>
      <c r="AW15" s="130"/>
      <c r="AX15" s="130"/>
      <c r="AY15" s="130"/>
      <c r="AZ15" s="130"/>
      <c r="BA15" s="127"/>
      <c r="BB15" s="125"/>
      <c r="BC15" s="130"/>
      <c r="BD15" s="130"/>
      <c r="BE15" s="130"/>
      <c r="BF15" s="130"/>
      <c r="BG15" s="130"/>
      <c r="BH15" s="130"/>
      <c r="BI15" s="127"/>
      <c r="BJ15" s="125"/>
      <c r="BK15" s="130"/>
      <c r="BL15" s="130"/>
      <c r="BM15" s="130"/>
      <c r="BN15" s="130"/>
      <c r="BO15" s="130"/>
      <c r="BP15" s="130"/>
      <c r="BQ15" s="130"/>
      <c r="BR15" s="127"/>
      <c r="BS15" s="125"/>
      <c r="BT15" s="130"/>
      <c r="BU15" s="130"/>
      <c r="BV15" s="130"/>
      <c r="BW15" s="130"/>
      <c r="BX15" s="130"/>
      <c r="BY15" s="130"/>
      <c r="BZ15" s="127"/>
      <c r="CA15" s="125"/>
      <c r="CB15" s="130"/>
      <c r="CC15" s="130"/>
      <c r="CD15" s="130"/>
      <c r="CE15" s="130"/>
      <c r="CF15" s="130"/>
      <c r="CG15" s="130"/>
      <c r="CH15" s="127"/>
      <c r="CI15" s="125"/>
      <c r="CJ15" s="130"/>
      <c r="CK15" s="130"/>
      <c r="CL15" s="130"/>
      <c r="CM15" s="130"/>
      <c r="CN15" s="130"/>
      <c r="CO15" s="130"/>
      <c r="CP15" s="127"/>
      <c r="CQ15" s="125"/>
      <c r="CR15" s="130"/>
      <c r="CS15" s="130"/>
      <c r="CT15" s="130"/>
      <c r="CU15" s="130" t="n">
        <f aca="false">+CR15-CS15</f>
        <v>0</v>
      </c>
      <c r="CV15" s="130" t="n">
        <f aca="false">+CR15-CT15</f>
        <v>0</v>
      </c>
      <c r="CW15" s="130"/>
      <c r="CX15" s="127" t="str">
        <f aca="false">IFERROR(CR15/CW15-1, "-")</f>
        <v>-</v>
      </c>
      <c r="CY15" s="154"/>
      <c r="CZ15" s="130"/>
      <c r="DA15" s="130"/>
      <c r="DB15" s="130"/>
      <c r="DC15" s="130"/>
      <c r="DD15" s="130"/>
      <c r="DE15" s="127" t="e">
        <f aca="false">(CZ15/DD15-1)</f>
        <v>#DIV/0!</v>
      </c>
      <c r="DF15" s="127" t="e">
        <f aca="false">DA15/DD15-1</f>
        <v>#DIV/0!</v>
      </c>
      <c r="DG15" s="127" t="e">
        <f aca="false">DB15/DD15-1</f>
        <v>#DIV/0!</v>
      </c>
      <c r="DH15" s="127" t="e">
        <f aca="false">DC15/DD15-1</f>
        <v>#DIV/0!</v>
      </c>
      <c r="DI15" s="116"/>
      <c r="DJ15" s="117"/>
      <c r="DK15" s="117"/>
      <c r="DL15" s="117"/>
      <c r="DM15" s="117"/>
      <c r="DN15" s="118"/>
      <c r="DO15" s="155"/>
      <c r="DX15" s="107"/>
      <c r="DY15" s="107"/>
      <c r="DZ15" s="107"/>
    </row>
    <row r="16" s="36" customFormat="true" ht="12.75" hidden="true" customHeight="false" outlineLevel="0" collapsed="false">
      <c r="A16" s="157" t="s">
        <v>23</v>
      </c>
      <c r="B16" s="38"/>
      <c r="C16" s="106" t="s">
        <v>37</v>
      </c>
      <c r="D16" s="144"/>
      <c r="E16" s="144"/>
      <c r="F16" s="144"/>
      <c r="G16" s="144"/>
      <c r="H16" s="145"/>
      <c r="I16" s="146"/>
      <c r="J16" s="144"/>
      <c r="K16" s="144"/>
      <c r="L16" s="144"/>
      <c r="M16" s="144"/>
      <c r="N16" s="145"/>
      <c r="O16" s="146"/>
      <c r="P16" s="144"/>
      <c r="Q16" s="144"/>
      <c r="R16" s="144"/>
      <c r="S16" s="144"/>
      <c r="T16" s="145"/>
      <c r="U16" s="147"/>
      <c r="V16" s="144"/>
      <c r="W16" s="144"/>
      <c r="X16" s="144"/>
      <c r="Y16" s="144"/>
      <c r="Z16" s="144"/>
      <c r="AA16" s="144"/>
      <c r="AB16" s="145"/>
      <c r="AC16" s="147"/>
      <c r="AD16" s="144"/>
      <c r="AE16" s="144"/>
      <c r="AF16" s="144"/>
      <c r="AG16" s="144"/>
      <c r="AH16" s="144"/>
      <c r="AI16" s="144"/>
      <c r="AJ16" s="145"/>
      <c r="AK16" s="148"/>
      <c r="AL16" s="144"/>
      <c r="AM16" s="144"/>
      <c r="AN16" s="144"/>
      <c r="AO16" s="144"/>
      <c r="AP16" s="144"/>
      <c r="AQ16" s="144"/>
      <c r="AR16" s="144"/>
      <c r="AS16" s="146"/>
      <c r="AT16" s="148"/>
      <c r="AU16" s="144"/>
      <c r="AV16" s="144"/>
      <c r="AW16" s="144"/>
      <c r="AX16" s="144"/>
      <c r="AY16" s="144"/>
      <c r="AZ16" s="144"/>
      <c r="BA16" s="146"/>
      <c r="BB16" s="148"/>
      <c r="BC16" s="144"/>
      <c r="BD16" s="144"/>
      <c r="BE16" s="144"/>
      <c r="BF16" s="144"/>
      <c r="BG16" s="144"/>
      <c r="BH16" s="144"/>
      <c r="BI16" s="146"/>
      <c r="BJ16" s="148"/>
      <c r="BK16" s="144"/>
      <c r="BL16" s="144"/>
      <c r="BM16" s="144"/>
      <c r="BN16" s="144"/>
      <c r="BO16" s="144"/>
      <c r="BP16" s="144"/>
      <c r="BQ16" s="144"/>
      <c r="BR16" s="146"/>
      <c r="BS16" s="148"/>
      <c r="BT16" s="144"/>
      <c r="BU16" s="144"/>
      <c r="BV16" s="144"/>
      <c r="BW16" s="144"/>
      <c r="BX16" s="144"/>
      <c r="BY16" s="144"/>
      <c r="BZ16" s="146"/>
      <c r="CA16" s="148"/>
      <c r="CB16" s="144"/>
      <c r="CC16" s="144"/>
      <c r="CD16" s="144"/>
      <c r="CE16" s="144"/>
      <c r="CF16" s="144"/>
      <c r="CG16" s="144"/>
      <c r="CH16" s="146"/>
      <c r="CI16" s="148"/>
      <c r="CJ16" s="144"/>
      <c r="CK16" s="144"/>
      <c r="CL16" s="144"/>
      <c r="CM16" s="144"/>
      <c r="CN16" s="144"/>
      <c r="CO16" s="144"/>
      <c r="CP16" s="146"/>
      <c r="CQ16" s="148"/>
      <c r="CR16" s="144"/>
      <c r="CS16" s="144"/>
      <c r="CT16" s="144"/>
      <c r="CU16" s="144" t="n">
        <f aca="false">+CR16-CS16</f>
        <v>0</v>
      </c>
      <c r="CV16" s="144" t="n">
        <f aca="false">+CR16-CT16</f>
        <v>0</v>
      </c>
      <c r="CW16" s="144"/>
      <c r="CX16" s="146" t="str">
        <f aca="false">IFERROR(CR16/CW16-1, "-")</f>
        <v>-</v>
      </c>
      <c r="CY16" s="149"/>
      <c r="CZ16" s="144"/>
      <c r="DA16" s="144"/>
      <c r="DB16" s="144"/>
      <c r="DC16" s="144"/>
      <c r="DD16" s="144"/>
      <c r="DE16" s="146" t="e">
        <f aca="false">CZ16/DD16-1</f>
        <v>#DIV/0!</v>
      </c>
      <c r="DF16" s="146"/>
      <c r="DG16" s="146"/>
      <c r="DH16" s="146"/>
      <c r="DI16" s="116"/>
      <c r="DJ16" s="117"/>
      <c r="DK16" s="117"/>
      <c r="DL16" s="117"/>
      <c r="DM16" s="117"/>
      <c r="DN16" s="118"/>
      <c r="DO16" s="14"/>
      <c r="DX16" s="107"/>
      <c r="DY16" s="107"/>
      <c r="DZ16" s="107"/>
    </row>
    <row r="17" s="36" customFormat="true" ht="12.75" hidden="false" customHeight="true" outlineLevel="0" collapsed="false">
      <c r="A17" s="157" t="s">
        <v>25</v>
      </c>
      <c r="B17" s="38"/>
      <c r="C17" s="106" t="s">
        <v>38</v>
      </c>
      <c r="D17" s="144"/>
      <c r="E17" s="144"/>
      <c r="F17" s="144"/>
      <c r="G17" s="144"/>
      <c r="H17" s="145"/>
      <c r="I17" s="146"/>
      <c r="J17" s="144"/>
      <c r="K17" s="144"/>
      <c r="L17" s="144"/>
      <c r="M17" s="144"/>
      <c r="N17" s="145"/>
      <c r="O17" s="146"/>
      <c r="P17" s="144"/>
      <c r="Q17" s="144"/>
      <c r="R17" s="144"/>
      <c r="S17" s="144"/>
      <c r="T17" s="145"/>
      <c r="U17" s="147"/>
      <c r="V17" s="144"/>
      <c r="W17" s="144"/>
      <c r="X17" s="144"/>
      <c r="Y17" s="144"/>
      <c r="Z17" s="144"/>
      <c r="AA17" s="144"/>
      <c r="AB17" s="145"/>
      <c r="AC17" s="147"/>
      <c r="AD17" s="144"/>
      <c r="AE17" s="144"/>
      <c r="AF17" s="144"/>
      <c r="AG17" s="144"/>
      <c r="AH17" s="144"/>
      <c r="AI17" s="144"/>
      <c r="AJ17" s="145"/>
      <c r="AK17" s="148"/>
      <c r="AL17" s="144"/>
      <c r="AM17" s="144"/>
      <c r="AN17" s="144"/>
      <c r="AO17" s="144"/>
      <c r="AP17" s="144"/>
      <c r="AQ17" s="144"/>
      <c r="AR17" s="144"/>
      <c r="AS17" s="146"/>
      <c r="AT17" s="148"/>
      <c r="AU17" s="144"/>
      <c r="AV17" s="144"/>
      <c r="AW17" s="144"/>
      <c r="AX17" s="144"/>
      <c r="AY17" s="144"/>
      <c r="AZ17" s="144"/>
      <c r="BA17" s="146"/>
      <c r="BB17" s="148"/>
      <c r="BC17" s="144"/>
      <c r="BD17" s="144"/>
      <c r="BE17" s="144"/>
      <c r="BF17" s="144"/>
      <c r="BG17" s="144"/>
      <c r="BH17" s="144"/>
      <c r="BI17" s="146"/>
      <c r="BJ17" s="148"/>
      <c r="BK17" s="144"/>
      <c r="BL17" s="144"/>
      <c r="BM17" s="144"/>
      <c r="BN17" s="144"/>
      <c r="BO17" s="144"/>
      <c r="BP17" s="144"/>
      <c r="BQ17" s="144"/>
      <c r="BR17" s="146"/>
      <c r="BS17" s="148"/>
      <c r="BT17" s="144"/>
      <c r="BU17" s="144"/>
      <c r="BV17" s="144"/>
      <c r="BW17" s="144"/>
      <c r="BX17" s="144"/>
      <c r="BY17" s="144"/>
      <c r="BZ17" s="146"/>
      <c r="CA17" s="148"/>
      <c r="CB17" s="144"/>
      <c r="CC17" s="144"/>
      <c r="CD17" s="144"/>
      <c r="CE17" s="144"/>
      <c r="CF17" s="144"/>
      <c r="CG17" s="144"/>
      <c r="CH17" s="146"/>
      <c r="CI17" s="148"/>
      <c r="CJ17" s="144"/>
      <c r="CK17" s="144"/>
      <c r="CL17" s="144"/>
      <c r="CM17" s="144"/>
      <c r="CN17" s="144"/>
      <c r="CO17" s="144"/>
      <c r="CP17" s="146"/>
      <c r="CQ17" s="148"/>
      <c r="CR17" s="144"/>
      <c r="CS17" s="144"/>
      <c r="CT17" s="144"/>
      <c r="CU17" s="144" t="n">
        <f aca="false">+CR17-CS17</f>
        <v>0</v>
      </c>
      <c r="CV17" s="144" t="n">
        <f aca="false">+CR17-CT17</f>
        <v>0</v>
      </c>
      <c r="CW17" s="144"/>
      <c r="CX17" s="146" t="str">
        <f aca="false">IFERROR(CR17/CW17-1, "-")</f>
        <v>-</v>
      </c>
      <c r="CY17" s="149"/>
      <c r="CZ17" s="144"/>
      <c r="DA17" s="144"/>
      <c r="DB17" s="144"/>
      <c r="DC17" s="144"/>
      <c r="DD17" s="144"/>
      <c r="DE17" s="146" t="e">
        <f aca="false">(CZ17/DD17-1)</f>
        <v>#DIV/0!</v>
      </c>
      <c r="DF17" s="146" t="e">
        <f aca="false">DA17/DD17-1</f>
        <v>#DIV/0!</v>
      </c>
      <c r="DG17" s="146" t="e">
        <f aca="false">DB17/DD17-1</f>
        <v>#DIV/0!</v>
      </c>
      <c r="DH17" s="146" t="e">
        <f aca="false">DC17/DD17-1</f>
        <v>#DIV/0!</v>
      </c>
      <c r="DI17" s="116"/>
      <c r="DJ17" s="117"/>
      <c r="DK17" s="117"/>
      <c r="DL17" s="117"/>
      <c r="DM17" s="117"/>
      <c r="DN17" s="118"/>
      <c r="DO17" s="14"/>
      <c r="DX17" s="107"/>
      <c r="DY17" s="107"/>
      <c r="DZ17" s="107"/>
    </row>
    <row r="18" s="142" customFormat="true" ht="15" hidden="false" customHeight="true" outlineLevel="0" collapsed="false">
      <c r="A18" s="133" t="s">
        <v>27</v>
      </c>
      <c r="B18" s="134"/>
      <c r="C18" s="106" t="s">
        <v>39</v>
      </c>
      <c r="D18" s="135"/>
      <c r="E18" s="135"/>
      <c r="F18" s="135"/>
      <c r="G18" s="135"/>
      <c r="H18" s="136"/>
      <c r="I18" s="137"/>
      <c r="J18" s="135"/>
      <c r="K18" s="135"/>
      <c r="L18" s="135"/>
      <c r="M18" s="135"/>
      <c r="N18" s="136"/>
      <c r="O18" s="137"/>
      <c r="P18" s="135"/>
      <c r="Q18" s="135"/>
      <c r="R18" s="135"/>
      <c r="S18" s="135"/>
      <c r="T18" s="136"/>
      <c r="U18" s="138"/>
      <c r="V18" s="135"/>
      <c r="W18" s="135"/>
      <c r="X18" s="135"/>
      <c r="Y18" s="135"/>
      <c r="Z18" s="135"/>
      <c r="AA18" s="135"/>
      <c r="AB18" s="136"/>
      <c r="AC18" s="138"/>
      <c r="AD18" s="135"/>
      <c r="AE18" s="135"/>
      <c r="AF18" s="135"/>
      <c r="AG18" s="135"/>
      <c r="AH18" s="135"/>
      <c r="AI18" s="135"/>
      <c r="AJ18" s="136"/>
      <c r="AK18" s="139"/>
      <c r="AL18" s="135"/>
      <c r="AM18" s="135"/>
      <c r="AN18" s="135"/>
      <c r="AO18" s="135"/>
      <c r="AP18" s="135"/>
      <c r="AQ18" s="135"/>
      <c r="AR18" s="135"/>
      <c r="AS18" s="137"/>
      <c r="AT18" s="139"/>
      <c r="AU18" s="135"/>
      <c r="AV18" s="135"/>
      <c r="AW18" s="135"/>
      <c r="AX18" s="135"/>
      <c r="AY18" s="135"/>
      <c r="AZ18" s="135"/>
      <c r="BA18" s="137"/>
      <c r="BB18" s="139"/>
      <c r="BC18" s="135"/>
      <c r="BD18" s="135"/>
      <c r="BE18" s="135"/>
      <c r="BF18" s="135"/>
      <c r="BG18" s="135"/>
      <c r="BH18" s="135"/>
      <c r="BI18" s="137"/>
      <c r="BJ18" s="139"/>
      <c r="BK18" s="135"/>
      <c r="BL18" s="135"/>
      <c r="BM18" s="135"/>
      <c r="BN18" s="135"/>
      <c r="BO18" s="135"/>
      <c r="BP18" s="135"/>
      <c r="BQ18" s="135"/>
      <c r="BR18" s="137"/>
      <c r="BS18" s="139"/>
      <c r="BT18" s="135"/>
      <c r="BU18" s="135"/>
      <c r="BV18" s="135"/>
      <c r="BW18" s="135"/>
      <c r="BX18" s="135"/>
      <c r="BY18" s="135"/>
      <c r="BZ18" s="137"/>
      <c r="CA18" s="139"/>
      <c r="CB18" s="135"/>
      <c r="CC18" s="135"/>
      <c r="CD18" s="135"/>
      <c r="CE18" s="135"/>
      <c r="CF18" s="135"/>
      <c r="CG18" s="135"/>
      <c r="CH18" s="137"/>
      <c r="CI18" s="139"/>
      <c r="CJ18" s="135"/>
      <c r="CK18" s="135"/>
      <c r="CL18" s="135"/>
      <c r="CM18" s="135"/>
      <c r="CN18" s="135"/>
      <c r="CO18" s="135"/>
      <c r="CP18" s="137"/>
      <c r="CQ18" s="139"/>
      <c r="CR18" s="135"/>
      <c r="CS18" s="135"/>
      <c r="CT18" s="135"/>
      <c r="CU18" s="135" t="n">
        <f aca="false">+CR18-CS18</f>
        <v>0</v>
      </c>
      <c r="CV18" s="135" t="n">
        <f aca="false">+CR18-CT18</f>
        <v>0</v>
      </c>
      <c r="CW18" s="135"/>
      <c r="CX18" s="137" t="str">
        <f aca="false">IFERROR(CR18/CW18-1, "-")</f>
        <v>-</v>
      </c>
      <c r="CY18" s="140"/>
      <c r="CZ18" s="135"/>
      <c r="DA18" s="135"/>
      <c r="DB18" s="135"/>
      <c r="DC18" s="135"/>
      <c r="DD18" s="135"/>
      <c r="DE18" s="137" t="e">
        <f aca="false">(CZ18/DD18-1)</f>
        <v>#DIV/0!</v>
      </c>
      <c r="DF18" s="137" t="e">
        <f aca="false">DA18/DD18-1</f>
        <v>#DIV/0!</v>
      </c>
      <c r="DG18" s="137" t="e">
        <f aca="false">DB18/DD18-1</f>
        <v>#DIV/0!</v>
      </c>
      <c r="DH18" s="137" t="e">
        <f aca="false">DC18/DD18-1</f>
        <v>#DIV/0!</v>
      </c>
      <c r="DI18" s="116"/>
      <c r="DJ18" s="117"/>
      <c r="DK18" s="117"/>
      <c r="DL18" s="117"/>
      <c r="DM18" s="117"/>
      <c r="DN18" s="118"/>
      <c r="DO18" s="141"/>
      <c r="DX18" s="107"/>
      <c r="DY18" s="107"/>
      <c r="DZ18" s="107"/>
    </row>
    <row r="19" s="36" customFormat="true" ht="12.75" hidden="false" customHeight="false" outlineLevel="0" collapsed="false">
      <c r="A19" s="152"/>
      <c r="B19" s="38"/>
      <c r="C19" s="106" t="s">
        <v>40</v>
      </c>
      <c r="D19" s="158"/>
      <c r="E19" s="158"/>
      <c r="F19" s="144"/>
      <c r="G19" s="158"/>
      <c r="H19" s="145"/>
      <c r="I19" s="146"/>
      <c r="J19" s="158"/>
      <c r="K19" s="158"/>
      <c r="L19" s="144"/>
      <c r="M19" s="158"/>
      <c r="N19" s="145"/>
      <c r="O19" s="146"/>
      <c r="P19" s="158"/>
      <c r="Q19" s="158"/>
      <c r="R19" s="144"/>
      <c r="S19" s="158"/>
      <c r="T19" s="145"/>
      <c r="U19" s="147"/>
      <c r="V19" s="158"/>
      <c r="W19" s="158"/>
      <c r="X19" s="158"/>
      <c r="Y19" s="144"/>
      <c r="Z19" s="144"/>
      <c r="AA19" s="158"/>
      <c r="AB19" s="145"/>
      <c r="AC19" s="147"/>
      <c r="AD19" s="158"/>
      <c r="AE19" s="158"/>
      <c r="AF19" s="158"/>
      <c r="AG19" s="144"/>
      <c r="AH19" s="144"/>
      <c r="AI19" s="158"/>
      <c r="AJ19" s="145"/>
      <c r="AK19" s="148"/>
      <c r="AL19" s="158"/>
      <c r="AM19" s="158"/>
      <c r="AN19" s="158"/>
      <c r="AO19" s="158"/>
      <c r="AP19" s="144"/>
      <c r="AQ19" s="144"/>
      <c r="AR19" s="158"/>
      <c r="AS19" s="146"/>
      <c r="AT19" s="148"/>
      <c r="AU19" s="158"/>
      <c r="AV19" s="158"/>
      <c r="AW19" s="158"/>
      <c r="AX19" s="144"/>
      <c r="AY19" s="144"/>
      <c r="AZ19" s="158"/>
      <c r="BA19" s="146"/>
      <c r="BB19" s="148"/>
      <c r="BC19" s="158"/>
      <c r="BD19" s="158"/>
      <c r="BE19" s="158"/>
      <c r="BF19" s="144"/>
      <c r="BG19" s="144"/>
      <c r="BH19" s="158"/>
      <c r="BI19" s="146"/>
      <c r="BJ19" s="148"/>
      <c r="BK19" s="158"/>
      <c r="BL19" s="158"/>
      <c r="BM19" s="158"/>
      <c r="BN19" s="158"/>
      <c r="BO19" s="144"/>
      <c r="BP19" s="144"/>
      <c r="BQ19" s="158"/>
      <c r="BR19" s="146"/>
      <c r="BS19" s="148"/>
      <c r="BT19" s="158"/>
      <c r="BU19" s="158"/>
      <c r="BV19" s="158"/>
      <c r="BW19" s="144"/>
      <c r="BX19" s="144"/>
      <c r="BY19" s="158"/>
      <c r="BZ19" s="146"/>
      <c r="CA19" s="148"/>
      <c r="CB19" s="158"/>
      <c r="CC19" s="158"/>
      <c r="CD19" s="158"/>
      <c r="CE19" s="144"/>
      <c r="CF19" s="144"/>
      <c r="CG19" s="158"/>
      <c r="CH19" s="146"/>
      <c r="CI19" s="148"/>
      <c r="CJ19" s="158"/>
      <c r="CK19" s="158"/>
      <c r="CL19" s="158"/>
      <c r="CM19" s="144"/>
      <c r="CN19" s="144"/>
      <c r="CO19" s="158"/>
      <c r="CP19" s="146"/>
      <c r="CQ19" s="148"/>
      <c r="CR19" s="158"/>
      <c r="CS19" s="144"/>
      <c r="CT19" s="144"/>
      <c r="CU19" s="144" t="n">
        <f aca="false">+CR19-CS19</f>
        <v>0</v>
      </c>
      <c r="CV19" s="144" t="n">
        <f aca="false">+CR19-CT19</f>
        <v>0</v>
      </c>
      <c r="CW19" s="144"/>
      <c r="CX19" s="146" t="str">
        <f aca="false">IFERROR(CR19/CW19-1, "-")</f>
        <v>-</v>
      </c>
      <c r="CY19" s="149"/>
      <c r="CZ19" s="158"/>
      <c r="DA19" s="158"/>
      <c r="DB19" s="158"/>
      <c r="DC19" s="158"/>
      <c r="DD19" s="158"/>
      <c r="DE19" s="146"/>
      <c r="DF19" s="146"/>
      <c r="DG19" s="146"/>
      <c r="DH19" s="146"/>
      <c r="DI19" s="116"/>
      <c r="DJ19" s="117"/>
      <c r="DK19" s="117"/>
      <c r="DL19" s="117"/>
      <c r="DM19" s="117"/>
      <c r="DN19" s="118"/>
      <c r="DO19" s="14"/>
      <c r="DX19" s="107"/>
      <c r="DY19" s="107"/>
      <c r="DZ19" s="107"/>
    </row>
    <row r="20" s="156" customFormat="true" ht="12.75" hidden="false" customHeight="false" outlineLevel="0" collapsed="false">
      <c r="A20" s="153" t="s">
        <v>41</v>
      </c>
      <c r="B20" s="105"/>
      <c r="C20" s="106" t="s">
        <v>42</v>
      </c>
      <c r="D20" s="130"/>
      <c r="E20" s="130"/>
      <c r="F20" s="130"/>
      <c r="G20" s="130"/>
      <c r="H20" s="131"/>
      <c r="I20" s="127"/>
      <c r="J20" s="130"/>
      <c r="K20" s="130"/>
      <c r="L20" s="130"/>
      <c r="M20" s="130"/>
      <c r="N20" s="131"/>
      <c r="O20" s="127"/>
      <c r="P20" s="130"/>
      <c r="Q20" s="130"/>
      <c r="R20" s="130"/>
      <c r="S20" s="130"/>
      <c r="T20" s="131"/>
      <c r="U20" s="132"/>
      <c r="V20" s="130"/>
      <c r="W20" s="130"/>
      <c r="X20" s="130"/>
      <c r="Y20" s="130"/>
      <c r="Z20" s="130"/>
      <c r="AA20" s="130"/>
      <c r="AB20" s="131"/>
      <c r="AC20" s="132"/>
      <c r="AD20" s="130"/>
      <c r="AE20" s="130"/>
      <c r="AF20" s="130"/>
      <c r="AG20" s="130"/>
      <c r="AH20" s="130"/>
      <c r="AI20" s="130"/>
      <c r="AJ20" s="131"/>
      <c r="AK20" s="125"/>
      <c r="AL20" s="130"/>
      <c r="AM20" s="130"/>
      <c r="AN20" s="130"/>
      <c r="AO20" s="130"/>
      <c r="AP20" s="130"/>
      <c r="AQ20" s="130"/>
      <c r="AR20" s="130"/>
      <c r="AS20" s="127"/>
      <c r="AT20" s="125"/>
      <c r="AU20" s="130"/>
      <c r="AV20" s="130"/>
      <c r="AW20" s="130"/>
      <c r="AX20" s="130"/>
      <c r="AY20" s="130"/>
      <c r="AZ20" s="130"/>
      <c r="BA20" s="127"/>
      <c r="BB20" s="125"/>
      <c r="BC20" s="130"/>
      <c r="BD20" s="130"/>
      <c r="BE20" s="130"/>
      <c r="BF20" s="130"/>
      <c r="BG20" s="130"/>
      <c r="BH20" s="130"/>
      <c r="BI20" s="127"/>
      <c r="BJ20" s="125"/>
      <c r="BK20" s="130"/>
      <c r="BL20" s="130"/>
      <c r="BM20" s="130"/>
      <c r="BN20" s="130"/>
      <c r="BO20" s="130"/>
      <c r="BP20" s="130"/>
      <c r="BQ20" s="130"/>
      <c r="BR20" s="127"/>
      <c r="BS20" s="125"/>
      <c r="BT20" s="130"/>
      <c r="BU20" s="130"/>
      <c r="BV20" s="130"/>
      <c r="BW20" s="130"/>
      <c r="BX20" s="130"/>
      <c r="BY20" s="130"/>
      <c r="BZ20" s="127"/>
      <c r="CA20" s="125"/>
      <c r="CB20" s="130"/>
      <c r="CC20" s="130"/>
      <c r="CD20" s="130"/>
      <c r="CE20" s="130"/>
      <c r="CF20" s="130"/>
      <c r="CG20" s="130"/>
      <c r="CH20" s="127"/>
      <c r="CI20" s="125"/>
      <c r="CJ20" s="130"/>
      <c r="CK20" s="130"/>
      <c r="CL20" s="130"/>
      <c r="CM20" s="130"/>
      <c r="CN20" s="130"/>
      <c r="CO20" s="130"/>
      <c r="CP20" s="127"/>
      <c r="CQ20" s="125"/>
      <c r="CR20" s="130"/>
      <c r="CS20" s="130"/>
      <c r="CT20" s="130"/>
      <c r="CU20" s="130" t="n">
        <f aca="false">+CR20-CS20</f>
        <v>0</v>
      </c>
      <c r="CV20" s="130" t="n">
        <f aca="false">+CR20-CT20</f>
        <v>0</v>
      </c>
      <c r="CW20" s="130"/>
      <c r="CX20" s="127" t="str">
        <f aca="false">IFERROR(CR20/CW20-1, "-")</f>
        <v>-</v>
      </c>
      <c r="CY20" s="154"/>
      <c r="CZ20" s="130"/>
      <c r="DA20" s="130"/>
      <c r="DB20" s="130"/>
      <c r="DC20" s="130"/>
      <c r="DD20" s="130"/>
      <c r="DE20" s="127" t="e">
        <f aca="false">CZ20/DD20-1</f>
        <v>#DIV/0!</v>
      </c>
      <c r="DF20" s="127" t="e">
        <f aca="false">DA20/DD20-1</f>
        <v>#DIV/0!</v>
      </c>
      <c r="DG20" s="127" t="e">
        <f aca="false">DB20/DD20-1</f>
        <v>#DIV/0!</v>
      </c>
      <c r="DH20" s="127" t="e">
        <f aca="false">DC20/DD20-1</f>
        <v>#DIV/0!</v>
      </c>
      <c r="DI20" s="116"/>
      <c r="DJ20" s="117"/>
      <c r="DK20" s="117"/>
      <c r="DL20" s="117"/>
      <c r="DM20" s="117"/>
      <c r="DN20" s="118"/>
      <c r="DO20" s="155"/>
      <c r="DX20" s="107"/>
      <c r="DY20" s="107"/>
      <c r="DZ20" s="107"/>
    </row>
    <row r="21" s="167" customFormat="true" ht="12.75" hidden="false" customHeight="false" outlineLevel="0" collapsed="false">
      <c r="A21" s="159" t="s">
        <v>43</v>
      </c>
      <c r="B21" s="127"/>
      <c r="C21" s="106" t="s">
        <v>44</v>
      </c>
      <c r="D21" s="127"/>
      <c r="E21" s="127"/>
      <c r="F21" s="146"/>
      <c r="G21" s="127"/>
      <c r="H21" s="160"/>
      <c r="I21" s="161"/>
      <c r="J21" s="127"/>
      <c r="K21" s="127"/>
      <c r="L21" s="146"/>
      <c r="M21" s="127"/>
      <c r="N21" s="160"/>
      <c r="O21" s="161"/>
      <c r="P21" s="127"/>
      <c r="Q21" s="127"/>
      <c r="R21" s="146"/>
      <c r="S21" s="127"/>
      <c r="T21" s="160"/>
      <c r="U21" s="162"/>
      <c r="V21" s="127"/>
      <c r="W21" s="127"/>
      <c r="X21" s="127"/>
      <c r="Y21" s="146"/>
      <c r="Z21" s="146"/>
      <c r="AA21" s="127"/>
      <c r="AB21" s="160"/>
      <c r="AC21" s="162"/>
      <c r="AD21" s="127"/>
      <c r="AE21" s="127"/>
      <c r="AF21" s="127"/>
      <c r="AG21" s="146"/>
      <c r="AH21" s="146"/>
      <c r="AI21" s="127"/>
      <c r="AJ21" s="160"/>
      <c r="AK21" s="163"/>
      <c r="AL21" s="127"/>
      <c r="AM21" s="127"/>
      <c r="AN21" s="127"/>
      <c r="AO21" s="127"/>
      <c r="AP21" s="161"/>
      <c r="AQ21" s="161"/>
      <c r="AR21" s="127"/>
      <c r="AS21" s="161"/>
      <c r="AT21" s="163"/>
      <c r="AU21" s="127"/>
      <c r="AV21" s="127"/>
      <c r="AW21" s="127"/>
      <c r="AX21" s="164"/>
      <c r="AY21" s="164"/>
      <c r="AZ21" s="127"/>
      <c r="BA21" s="161"/>
      <c r="BB21" s="163"/>
      <c r="BC21" s="127"/>
      <c r="BD21" s="127"/>
      <c r="BE21" s="127"/>
      <c r="BF21" s="164"/>
      <c r="BG21" s="164"/>
      <c r="BH21" s="127"/>
      <c r="BI21" s="161"/>
      <c r="BJ21" s="163"/>
      <c r="BK21" s="127"/>
      <c r="BL21" s="127"/>
      <c r="BM21" s="127"/>
      <c r="BN21" s="127"/>
      <c r="BO21" s="164"/>
      <c r="BP21" s="164"/>
      <c r="BQ21" s="127"/>
      <c r="BR21" s="161"/>
      <c r="BS21" s="163"/>
      <c r="BT21" s="127"/>
      <c r="BU21" s="127"/>
      <c r="BV21" s="127"/>
      <c r="BW21" s="164"/>
      <c r="BX21" s="164"/>
      <c r="BY21" s="127"/>
      <c r="BZ21" s="161"/>
      <c r="CA21" s="163"/>
      <c r="CB21" s="127"/>
      <c r="CC21" s="127"/>
      <c r="CD21" s="127"/>
      <c r="CE21" s="164"/>
      <c r="CF21" s="164"/>
      <c r="CG21" s="127"/>
      <c r="CH21" s="161"/>
      <c r="CI21" s="163"/>
      <c r="CJ21" s="127"/>
      <c r="CK21" s="127"/>
      <c r="CL21" s="127"/>
      <c r="CM21" s="164"/>
      <c r="CN21" s="164"/>
      <c r="CO21" s="127"/>
      <c r="CP21" s="161"/>
      <c r="CQ21" s="163"/>
      <c r="CR21" s="127"/>
      <c r="CS21" s="127"/>
      <c r="CT21" s="127"/>
      <c r="CU21" s="164" t="n">
        <f aca="false">+(CR21-CS21)</f>
        <v>0</v>
      </c>
      <c r="CV21" s="164" t="n">
        <f aca="false">+(CR21-CT21)</f>
        <v>0</v>
      </c>
      <c r="CW21" s="127"/>
      <c r="CX21" s="165" t="str">
        <f aca="false">IFERROR(CR21/CW21-1, "-")</f>
        <v>-</v>
      </c>
      <c r="CY21" s="125"/>
      <c r="CZ21" s="127"/>
      <c r="DA21" s="127"/>
      <c r="DB21" s="127"/>
      <c r="DC21" s="127"/>
      <c r="DD21" s="127"/>
      <c r="DE21" s="165" t="n">
        <f aca="false">+(CZ21-DD21)</f>
        <v>0</v>
      </c>
      <c r="DF21" s="127" t="e">
        <f aca="false">DA21/DD21-1</f>
        <v>#DIV/0!</v>
      </c>
      <c r="DG21" s="127" t="e">
        <f aca="false">DB21/DD21-1</f>
        <v>#DIV/0!</v>
      </c>
      <c r="DH21" s="160" t="e">
        <f aca="false">DC21/DD21-1</f>
        <v>#DIV/0!</v>
      </c>
      <c r="DI21" s="116"/>
      <c r="DJ21" s="117"/>
      <c r="DK21" s="117"/>
      <c r="DL21" s="117"/>
      <c r="DM21" s="117"/>
      <c r="DN21" s="118"/>
      <c r="DO21" s="166"/>
      <c r="DX21" s="107"/>
      <c r="DY21" s="107"/>
      <c r="DZ21" s="107"/>
    </row>
    <row r="22" s="36" customFormat="true" ht="14.25" hidden="true" customHeight="true" outlineLevel="0" collapsed="false">
      <c r="A22" s="157" t="s">
        <v>23</v>
      </c>
      <c r="B22" s="38"/>
      <c r="C22" s="106" t="s">
        <v>45</v>
      </c>
      <c r="D22" s="168"/>
      <c r="E22" s="168"/>
      <c r="F22" s="144"/>
      <c r="G22" s="168"/>
      <c r="H22" s="145"/>
      <c r="I22" s="146"/>
      <c r="J22" s="168"/>
      <c r="K22" s="168"/>
      <c r="L22" s="144"/>
      <c r="M22" s="168"/>
      <c r="N22" s="145"/>
      <c r="O22" s="146"/>
      <c r="P22" s="168"/>
      <c r="Q22" s="168"/>
      <c r="R22" s="144"/>
      <c r="S22" s="168"/>
      <c r="T22" s="145"/>
      <c r="U22" s="147"/>
      <c r="V22" s="168"/>
      <c r="W22" s="168"/>
      <c r="X22" s="168"/>
      <c r="Y22" s="144"/>
      <c r="Z22" s="144"/>
      <c r="AA22" s="168"/>
      <c r="AB22" s="145"/>
      <c r="AC22" s="147"/>
      <c r="AD22" s="168"/>
      <c r="AE22" s="168"/>
      <c r="AF22" s="168"/>
      <c r="AG22" s="144"/>
      <c r="AH22" s="144"/>
      <c r="AI22" s="168"/>
      <c r="AJ22" s="145"/>
      <c r="AK22" s="148"/>
      <c r="AL22" s="168"/>
      <c r="AM22" s="168"/>
      <c r="AN22" s="168"/>
      <c r="AO22" s="168"/>
      <c r="AP22" s="144"/>
      <c r="AQ22" s="144"/>
      <c r="AR22" s="168"/>
      <c r="AS22" s="146"/>
      <c r="AT22" s="148"/>
      <c r="AU22" s="168"/>
      <c r="AV22" s="168"/>
      <c r="AW22" s="168"/>
      <c r="AX22" s="144"/>
      <c r="AY22" s="144"/>
      <c r="AZ22" s="168"/>
      <c r="BA22" s="146"/>
      <c r="BB22" s="148"/>
      <c r="BC22" s="168"/>
      <c r="BD22" s="168"/>
      <c r="BE22" s="168"/>
      <c r="BF22" s="144"/>
      <c r="BG22" s="144"/>
      <c r="BH22" s="168"/>
      <c r="BI22" s="146"/>
      <c r="BJ22" s="148"/>
      <c r="BK22" s="168"/>
      <c r="BL22" s="168"/>
      <c r="BM22" s="168"/>
      <c r="BN22" s="168"/>
      <c r="BO22" s="144"/>
      <c r="BP22" s="144"/>
      <c r="BQ22" s="168"/>
      <c r="BR22" s="146"/>
      <c r="BS22" s="148"/>
      <c r="BT22" s="168"/>
      <c r="BU22" s="168"/>
      <c r="BV22" s="168"/>
      <c r="BW22" s="144"/>
      <c r="BX22" s="144"/>
      <c r="BY22" s="168"/>
      <c r="BZ22" s="146"/>
      <c r="CA22" s="148"/>
      <c r="CB22" s="168"/>
      <c r="CC22" s="168"/>
      <c r="CD22" s="168"/>
      <c r="CE22" s="144"/>
      <c r="CF22" s="144"/>
      <c r="CG22" s="168"/>
      <c r="CH22" s="146"/>
      <c r="CI22" s="148"/>
      <c r="CJ22" s="168"/>
      <c r="CK22" s="168"/>
      <c r="CL22" s="168"/>
      <c r="CM22" s="144"/>
      <c r="CN22" s="144"/>
      <c r="CO22" s="168"/>
      <c r="CP22" s="146"/>
      <c r="CQ22" s="148"/>
      <c r="CR22" s="168"/>
      <c r="CS22" s="144"/>
      <c r="CT22" s="168"/>
      <c r="CU22" s="144" t="n">
        <f aca="false">+CR22-CS22</f>
        <v>0</v>
      </c>
      <c r="CV22" s="144" t="n">
        <f aca="false">+CR22-CT22</f>
        <v>0</v>
      </c>
      <c r="CW22" s="144"/>
      <c r="CX22" s="146" t="str">
        <f aca="false">IFERROR(CR22/CW22-1, "-")</f>
        <v>-</v>
      </c>
      <c r="CY22" s="149"/>
      <c r="CZ22" s="168"/>
      <c r="DA22" s="168"/>
      <c r="DB22" s="168"/>
      <c r="DC22" s="168"/>
      <c r="DD22" s="168"/>
      <c r="DE22" s="146" t="e">
        <f aca="false">CZ22/DD22-1</f>
        <v>#DIV/0!</v>
      </c>
      <c r="DF22" s="146"/>
      <c r="DG22" s="146"/>
      <c r="DH22" s="146"/>
      <c r="DI22" s="116"/>
      <c r="DJ22" s="117"/>
      <c r="DK22" s="117"/>
      <c r="DL22" s="117"/>
      <c r="DM22" s="117"/>
      <c r="DN22" s="118"/>
      <c r="DO22" s="14"/>
      <c r="DX22" s="107"/>
      <c r="DY22" s="107"/>
      <c r="DZ22" s="107"/>
    </row>
    <row r="23" s="36" customFormat="true" ht="12.75" hidden="false" customHeight="true" outlineLevel="0" collapsed="false">
      <c r="A23" s="157" t="s">
        <v>25</v>
      </c>
      <c r="B23" s="38"/>
      <c r="C23" s="106" t="s">
        <v>46</v>
      </c>
      <c r="D23" s="144"/>
      <c r="E23" s="144"/>
      <c r="F23" s="144"/>
      <c r="G23" s="144"/>
      <c r="H23" s="145"/>
      <c r="I23" s="146"/>
      <c r="J23" s="144"/>
      <c r="K23" s="144"/>
      <c r="L23" s="144"/>
      <c r="M23" s="144"/>
      <c r="N23" s="145"/>
      <c r="O23" s="146"/>
      <c r="P23" s="144"/>
      <c r="Q23" s="144"/>
      <c r="R23" s="144"/>
      <c r="S23" s="144"/>
      <c r="T23" s="145"/>
      <c r="U23" s="147"/>
      <c r="V23" s="144"/>
      <c r="W23" s="144"/>
      <c r="X23" s="144"/>
      <c r="Y23" s="144"/>
      <c r="Z23" s="144"/>
      <c r="AA23" s="144"/>
      <c r="AB23" s="145"/>
      <c r="AC23" s="147"/>
      <c r="AD23" s="144"/>
      <c r="AE23" s="144"/>
      <c r="AF23" s="144"/>
      <c r="AG23" s="144"/>
      <c r="AH23" s="144"/>
      <c r="AI23" s="144"/>
      <c r="AJ23" s="145"/>
      <c r="AK23" s="148"/>
      <c r="AL23" s="144"/>
      <c r="AM23" s="144"/>
      <c r="AN23" s="144"/>
      <c r="AO23" s="144"/>
      <c r="AP23" s="144"/>
      <c r="AQ23" s="144"/>
      <c r="AR23" s="144"/>
      <c r="AS23" s="146"/>
      <c r="AT23" s="148"/>
      <c r="AU23" s="144"/>
      <c r="AV23" s="144"/>
      <c r="AW23" s="144"/>
      <c r="AX23" s="144"/>
      <c r="AY23" s="144"/>
      <c r="AZ23" s="144"/>
      <c r="BA23" s="146"/>
      <c r="BB23" s="148"/>
      <c r="BC23" s="144"/>
      <c r="BD23" s="144"/>
      <c r="BE23" s="144"/>
      <c r="BF23" s="144"/>
      <c r="BG23" s="144"/>
      <c r="BH23" s="144"/>
      <c r="BI23" s="146"/>
      <c r="BJ23" s="148"/>
      <c r="BK23" s="144"/>
      <c r="BL23" s="144"/>
      <c r="BM23" s="144"/>
      <c r="BN23" s="144"/>
      <c r="BO23" s="144"/>
      <c r="BP23" s="144"/>
      <c r="BQ23" s="144"/>
      <c r="BR23" s="146"/>
      <c r="BS23" s="148"/>
      <c r="BT23" s="144"/>
      <c r="BU23" s="144"/>
      <c r="BV23" s="144"/>
      <c r="BW23" s="144"/>
      <c r="BX23" s="144"/>
      <c r="BY23" s="144"/>
      <c r="BZ23" s="146"/>
      <c r="CA23" s="148"/>
      <c r="CB23" s="144"/>
      <c r="CC23" s="144"/>
      <c r="CD23" s="144"/>
      <c r="CE23" s="144"/>
      <c r="CF23" s="144"/>
      <c r="CG23" s="144"/>
      <c r="CH23" s="146"/>
      <c r="CI23" s="148"/>
      <c r="CJ23" s="144"/>
      <c r="CK23" s="144"/>
      <c r="CL23" s="144"/>
      <c r="CM23" s="144"/>
      <c r="CN23" s="144"/>
      <c r="CO23" s="144"/>
      <c r="CP23" s="146"/>
      <c r="CQ23" s="148"/>
      <c r="CR23" s="144"/>
      <c r="CS23" s="144"/>
      <c r="CT23" s="144"/>
      <c r="CU23" s="144" t="n">
        <f aca="false">+CR23-CS23</f>
        <v>0</v>
      </c>
      <c r="CV23" s="144" t="n">
        <f aca="false">+CR23-CT23</f>
        <v>0</v>
      </c>
      <c r="CW23" s="130"/>
      <c r="CX23" s="146" t="str">
        <f aca="false">IFERROR(CR23/CW23-1, "-")</f>
        <v>-</v>
      </c>
      <c r="CY23" s="149"/>
      <c r="CZ23" s="144"/>
      <c r="DA23" s="144"/>
      <c r="DB23" s="144"/>
      <c r="DC23" s="144"/>
      <c r="DD23" s="144"/>
      <c r="DE23" s="146" t="e">
        <f aca="false">(CZ23/DD23-1)</f>
        <v>#DIV/0!</v>
      </c>
      <c r="DF23" s="146" t="e">
        <f aca="false">DA23/DD23-1</f>
        <v>#DIV/0!</v>
      </c>
      <c r="DG23" s="146" t="e">
        <f aca="false">DB23/DD23-1</f>
        <v>#DIV/0!</v>
      </c>
      <c r="DH23" s="146" t="e">
        <f aca="false">DC23/DD23-1</f>
        <v>#DIV/0!</v>
      </c>
      <c r="DI23" s="116"/>
      <c r="DJ23" s="117"/>
      <c r="DK23" s="117"/>
      <c r="DL23" s="117"/>
      <c r="DM23" s="117"/>
      <c r="DN23" s="118"/>
      <c r="DO23" s="14"/>
      <c r="DX23" s="107"/>
      <c r="DY23" s="107"/>
      <c r="DZ23" s="107"/>
    </row>
    <row r="24" s="36" customFormat="true" ht="12.75" hidden="false" customHeight="false" outlineLevel="0" collapsed="false">
      <c r="A24" s="152"/>
      <c r="B24" s="38"/>
      <c r="C24" s="106" t="s">
        <v>47</v>
      </c>
      <c r="D24" s="144"/>
      <c r="E24" s="144"/>
      <c r="F24" s="144"/>
      <c r="G24" s="144"/>
      <c r="H24" s="145"/>
      <c r="I24" s="146"/>
      <c r="J24" s="144"/>
      <c r="K24" s="144"/>
      <c r="L24" s="144"/>
      <c r="M24" s="144"/>
      <c r="N24" s="145"/>
      <c r="O24" s="146"/>
      <c r="P24" s="144"/>
      <c r="Q24" s="144"/>
      <c r="R24" s="144"/>
      <c r="S24" s="144"/>
      <c r="T24" s="145"/>
      <c r="U24" s="147"/>
      <c r="V24" s="144"/>
      <c r="W24" s="144"/>
      <c r="X24" s="144"/>
      <c r="Y24" s="144"/>
      <c r="Z24" s="144"/>
      <c r="AA24" s="144"/>
      <c r="AB24" s="145"/>
      <c r="AC24" s="147"/>
      <c r="AD24" s="144"/>
      <c r="AE24" s="144"/>
      <c r="AF24" s="144"/>
      <c r="AG24" s="144"/>
      <c r="AH24" s="144"/>
      <c r="AI24" s="144"/>
      <c r="AJ24" s="145"/>
      <c r="AK24" s="148"/>
      <c r="AL24" s="144"/>
      <c r="AM24" s="144"/>
      <c r="AN24" s="144"/>
      <c r="AO24" s="144"/>
      <c r="AP24" s="144"/>
      <c r="AQ24" s="144"/>
      <c r="AR24" s="144"/>
      <c r="AS24" s="146"/>
      <c r="AT24" s="148"/>
      <c r="AU24" s="144"/>
      <c r="AV24" s="144"/>
      <c r="AW24" s="144"/>
      <c r="AX24" s="144"/>
      <c r="AY24" s="144"/>
      <c r="AZ24" s="144"/>
      <c r="BA24" s="146"/>
      <c r="BB24" s="148"/>
      <c r="BC24" s="144"/>
      <c r="BD24" s="144"/>
      <c r="BE24" s="144"/>
      <c r="BF24" s="144"/>
      <c r="BG24" s="144"/>
      <c r="BH24" s="144"/>
      <c r="BI24" s="146"/>
      <c r="BJ24" s="148"/>
      <c r="BK24" s="144"/>
      <c r="BL24" s="144"/>
      <c r="BM24" s="144"/>
      <c r="BN24" s="144"/>
      <c r="BO24" s="144"/>
      <c r="BP24" s="144"/>
      <c r="BQ24" s="144"/>
      <c r="BR24" s="146"/>
      <c r="BS24" s="148"/>
      <c r="BT24" s="144"/>
      <c r="BU24" s="144"/>
      <c r="BV24" s="144"/>
      <c r="BW24" s="144"/>
      <c r="BX24" s="144"/>
      <c r="BY24" s="144"/>
      <c r="BZ24" s="146"/>
      <c r="CA24" s="148"/>
      <c r="CB24" s="144"/>
      <c r="CC24" s="144"/>
      <c r="CD24" s="144"/>
      <c r="CE24" s="144"/>
      <c r="CF24" s="144"/>
      <c r="CG24" s="144"/>
      <c r="CH24" s="146"/>
      <c r="CI24" s="148"/>
      <c r="CJ24" s="144"/>
      <c r="CK24" s="144"/>
      <c r="CL24" s="144"/>
      <c r="CM24" s="144"/>
      <c r="CN24" s="144"/>
      <c r="CO24" s="144"/>
      <c r="CP24" s="146"/>
      <c r="CQ24" s="148"/>
      <c r="CR24" s="144"/>
      <c r="CS24" s="144"/>
      <c r="CT24" s="144"/>
      <c r="CU24" s="144" t="n">
        <f aca="false">+CR24-CS24</f>
        <v>0</v>
      </c>
      <c r="CV24" s="144" t="n">
        <f aca="false">+CR24-CT24</f>
        <v>0</v>
      </c>
      <c r="CW24" s="144"/>
      <c r="CX24" s="146" t="str">
        <f aca="false">IFERROR(CR24/CW24-1, "-")</f>
        <v>-</v>
      </c>
      <c r="CY24" s="149"/>
      <c r="CZ24" s="144"/>
      <c r="DA24" s="144"/>
      <c r="DB24" s="144"/>
      <c r="DC24" s="144"/>
      <c r="DD24" s="144"/>
      <c r="DE24" s="146"/>
      <c r="DF24" s="146"/>
      <c r="DG24" s="146"/>
      <c r="DH24" s="146"/>
      <c r="DI24" s="116"/>
      <c r="DJ24" s="117"/>
      <c r="DK24" s="117"/>
      <c r="DL24" s="117"/>
      <c r="DM24" s="117"/>
      <c r="DN24" s="118"/>
      <c r="DO24" s="14"/>
      <c r="DX24" s="107"/>
      <c r="DY24" s="107"/>
      <c r="DZ24" s="107"/>
    </row>
    <row r="25" s="156" customFormat="true" ht="12.75" hidden="false" customHeight="false" outlineLevel="0" collapsed="false">
      <c r="A25" s="153" t="s">
        <v>48</v>
      </c>
      <c r="B25" s="105"/>
      <c r="C25" s="106" t="s">
        <v>49</v>
      </c>
      <c r="D25" s="130"/>
      <c r="E25" s="130"/>
      <c r="F25" s="130"/>
      <c r="G25" s="130"/>
      <c r="H25" s="131"/>
      <c r="I25" s="127"/>
      <c r="J25" s="130"/>
      <c r="K25" s="130"/>
      <c r="L25" s="130"/>
      <c r="M25" s="130"/>
      <c r="N25" s="131"/>
      <c r="O25" s="127"/>
      <c r="P25" s="130"/>
      <c r="Q25" s="130"/>
      <c r="R25" s="130"/>
      <c r="S25" s="130"/>
      <c r="T25" s="131"/>
      <c r="U25" s="132"/>
      <c r="V25" s="130"/>
      <c r="W25" s="130"/>
      <c r="X25" s="130"/>
      <c r="Y25" s="130"/>
      <c r="Z25" s="130"/>
      <c r="AA25" s="130"/>
      <c r="AB25" s="131"/>
      <c r="AC25" s="132"/>
      <c r="AD25" s="130"/>
      <c r="AE25" s="130"/>
      <c r="AF25" s="130"/>
      <c r="AG25" s="130"/>
      <c r="AH25" s="130"/>
      <c r="AI25" s="130"/>
      <c r="AJ25" s="131"/>
      <c r="AK25" s="125"/>
      <c r="AL25" s="130"/>
      <c r="AM25" s="130"/>
      <c r="AN25" s="130"/>
      <c r="AO25" s="130"/>
      <c r="AP25" s="130"/>
      <c r="AQ25" s="130"/>
      <c r="AR25" s="130"/>
      <c r="AS25" s="127"/>
      <c r="AT25" s="125"/>
      <c r="AU25" s="130"/>
      <c r="AV25" s="130"/>
      <c r="AW25" s="130"/>
      <c r="AX25" s="130"/>
      <c r="AY25" s="130"/>
      <c r="AZ25" s="130"/>
      <c r="BA25" s="127"/>
      <c r="BB25" s="125"/>
      <c r="BC25" s="130"/>
      <c r="BD25" s="130"/>
      <c r="BE25" s="130"/>
      <c r="BF25" s="130"/>
      <c r="BG25" s="130"/>
      <c r="BH25" s="130"/>
      <c r="BI25" s="127"/>
      <c r="BJ25" s="125"/>
      <c r="BK25" s="130"/>
      <c r="BL25" s="130"/>
      <c r="BM25" s="130"/>
      <c r="BN25" s="130"/>
      <c r="BO25" s="130"/>
      <c r="BP25" s="130"/>
      <c r="BQ25" s="130"/>
      <c r="BR25" s="127"/>
      <c r="BS25" s="125"/>
      <c r="BT25" s="130"/>
      <c r="BU25" s="130"/>
      <c r="BV25" s="130"/>
      <c r="BW25" s="130"/>
      <c r="BX25" s="130"/>
      <c r="BY25" s="130"/>
      <c r="BZ25" s="127"/>
      <c r="CA25" s="125"/>
      <c r="CB25" s="130"/>
      <c r="CC25" s="130"/>
      <c r="CD25" s="130"/>
      <c r="CE25" s="130"/>
      <c r="CF25" s="130"/>
      <c r="CG25" s="130"/>
      <c r="CH25" s="127"/>
      <c r="CI25" s="125"/>
      <c r="CJ25" s="130"/>
      <c r="CK25" s="130"/>
      <c r="CL25" s="130"/>
      <c r="CM25" s="130"/>
      <c r="CN25" s="130"/>
      <c r="CO25" s="130"/>
      <c r="CP25" s="127"/>
      <c r="CQ25" s="125"/>
      <c r="CR25" s="130"/>
      <c r="CS25" s="130"/>
      <c r="CT25" s="130"/>
      <c r="CU25" s="130" t="n">
        <f aca="false">+CR25-CS25</f>
        <v>0</v>
      </c>
      <c r="CV25" s="130" t="n">
        <f aca="false">+CR25-CT25</f>
        <v>0</v>
      </c>
      <c r="CW25" s="130"/>
      <c r="CX25" s="127" t="str">
        <f aca="false">IFERROR(CR25/CW25-1, "-")</f>
        <v>-</v>
      </c>
      <c r="CY25" s="154"/>
      <c r="CZ25" s="130"/>
      <c r="DA25" s="130"/>
      <c r="DB25" s="130"/>
      <c r="DC25" s="130"/>
      <c r="DD25" s="130"/>
      <c r="DE25" s="127" t="e">
        <f aca="false">CZ25/DD25-1</f>
        <v>#DIV/0!</v>
      </c>
      <c r="DF25" s="127" t="e">
        <f aca="false">DA25/DD25-1</f>
        <v>#DIV/0!</v>
      </c>
      <c r="DG25" s="127" t="e">
        <f aca="false">DB25/DD25-1</f>
        <v>#DIV/0!</v>
      </c>
      <c r="DH25" s="127" t="e">
        <f aca="false">DC25/DD25-1</f>
        <v>#DIV/0!</v>
      </c>
      <c r="DI25" s="116"/>
      <c r="DJ25" s="117"/>
      <c r="DK25" s="117"/>
      <c r="DL25" s="117"/>
      <c r="DM25" s="117"/>
      <c r="DN25" s="118"/>
      <c r="DO25" s="155"/>
      <c r="DX25" s="107"/>
      <c r="DY25" s="107"/>
      <c r="DZ25" s="107"/>
    </row>
    <row r="26" s="36" customFormat="true" ht="12.75" hidden="true" customHeight="true" outlineLevel="0" collapsed="false">
      <c r="A26" s="157" t="s">
        <v>23</v>
      </c>
      <c r="B26" s="38"/>
      <c r="C26" s="106" t="s">
        <v>50</v>
      </c>
      <c r="D26" s="144"/>
      <c r="E26" s="144"/>
      <c r="F26" s="144"/>
      <c r="G26" s="144"/>
      <c r="H26" s="145"/>
      <c r="I26" s="146"/>
      <c r="J26" s="144"/>
      <c r="K26" s="144"/>
      <c r="L26" s="144"/>
      <c r="M26" s="144"/>
      <c r="N26" s="145"/>
      <c r="O26" s="146"/>
      <c r="P26" s="144"/>
      <c r="Q26" s="144"/>
      <c r="R26" s="144"/>
      <c r="S26" s="144"/>
      <c r="T26" s="145"/>
      <c r="U26" s="147"/>
      <c r="V26" s="144"/>
      <c r="W26" s="144"/>
      <c r="X26" s="144"/>
      <c r="Y26" s="144"/>
      <c r="Z26" s="144"/>
      <c r="AA26" s="144"/>
      <c r="AB26" s="145"/>
      <c r="AC26" s="147"/>
      <c r="AD26" s="144"/>
      <c r="AE26" s="144"/>
      <c r="AF26" s="144"/>
      <c r="AG26" s="144"/>
      <c r="AH26" s="144"/>
      <c r="AI26" s="144"/>
      <c r="AJ26" s="145"/>
      <c r="AK26" s="148"/>
      <c r="AL26" s="144"/>
      <c r="AM26" s="144"/>
      <c r="AN26" s="144"/>
      <c r="AO26" s="144"/>
      <c r="AP26" s="144"/>
      <c r="AQ26" s="144"/>
      <c r="AR26" s="144"/>
      <c r="AS26" s="146"/>
      <c r="AT26" s="148"/>
      <c r="AU26" s="144"/>
      <c r="AV26" s="144"/>
      <c r="AW26" s="144"/>
      <c r="AX26" s="144"/>
      <c r="AY26" s="144"/>
      <c r="AZ26" s="144"/>
      <c r="BA26" s="146"/>
      <c r="BB26" s="148"/>
      <c r="BC26" s="144"/>
      <c r="BD26" s="144"/>
      <c r="BE26" s="144"/>
      <c r="BF26" s="144"/>
      <c r="BG26" s="144"/>
      <c r="BH26" s="144"/>
      <c r="BI26" s="146"/>
      <c r="BJ26" s="148"/>
      <c r="BK26" s="144"/>
      <c r="BL26" s="144"/>
      <c r="BM26" s="144"/>
      <c r="BN26" s="144"/>
      <c r="BO26" s="144"/>
      <c r="BP26" s="144"/>
      <c r="BQ26" s="144"/>
      <c r="BR26" s="146"/>
      <c r="BS26" s="148"/>
      <c r="BT26" s="144"/>
      <c r="BU26" s="144"/>
      <c r="BV26" s="144"/>
      <c r="BW26" s="144"/>
      <c r="BX26" s="144"/>
      <c r="BY26" s="144"/>
      <c r="BZ26" s="146"/>
      <c r="CA26" s="148"/>
      <c r="CB26" s="144"/>
      <c r="CC26" s="144"/>
      <c r="CD26" s="144"/>
      <c r="CE26" s="144"/>
      <c r="CF26" s="144"/>
      <c r="CG26" s="144"/>
      <c r="CH26" s="146"/>
      <c r="CI26" s="148"/>
      <c r="CJ26" s="144"/>
      <c r="CK26" s="144"/>
      <c r="CL26" s="144"/>
      <c r="CM26" s="144"/>
      <c r="CN26" s="144"/>
      <c r="CO26" s="144"/>
      <c r="CP26" s="146"/>
      <c r="CQ26" s="148"/>
      <c r="CR26" s="144"/>
      <c r="CS26" s="144"/>
      <c r="CT26" s="144"/>
      <c r="CU26" s="144" t="n">
        <f aca="false">+CR26-CS26</f>
        <v>0</v>
      </c>
      <c r="CV26" s="144" t="n">
        <f aca="false">+CR26-CT26</f>
        <v>0</v>
      </c>
      <c r="CW26" s="144"/>
      <c r="CX26" s="146" t="str">
        <f aca="false">IFERROR(CR26/CW26-1, "-")</f>
        <v>-</v>
      </c>
      <c r="CY26" s="149"/>
      <c r="CZ26" s="144"/>
      <c r="DA26" s="144"/>
      <c r="DB26" s="144"/>
      <c r="DC26" s="144"/>
      <c r="DD26" s="144"/>
      <c r="DE26" s="146" t="e">
        <f aca="false">CZ26/DD26-1</f>
        <v>#DIV/0!</v>
      </c>
      <c r="DF26" s="146"/>
      <c r="DG26" s="146"/>
      <c r="DH26" s="146"/>
      <c r="DI26" s="116"/>
      <c r="DJ26" s="117"/>
      <c r="DK26" s="117"/>
      <c r="DL26" s="117"/>
      <c r="DM26" s="117"/>
      <c r="DN26" s="118"/>
      <c r="DO26" s="14"/>
      <c r="DX26" s="107"/>
      <c r="DY26" s="107"/>
      <c r="DZ26" s="107"/>
    </row>
    <row r="27" s="142" customFormat="true" ht="18.75" hidden="true" customHeight="true" outlineLevel="0" collapsed="false">
      <c r="A27" s="133" t="s">
        <v>51</v>
      </c>
      <c r="B27" s="134"/>
      <c r="C27" s="106" t="s">
        <v>52</v>
      </c>
      <c r="D27" s="135"/>
      <c r="E27" s="135"/>
      <c r="F27" s="135"/>
      <c r="G27" s="135"/>
      <c r="H27" s="136"/>
      <c r="I27" s="137"/>
      <c r="J27" s="135"/>
      <c r="K27" s="135"/>
      <c r="L27" s="135"/>
      <c r="M27" s="135"/>
      <c r="N27" s="136"/>
      <c r="O27" s="137"/>
      <c r="P27" s="135"/>
      <c r="Q27" s="135"/>
      <c r="R27" s="135"/>
      <c r="S27" s="135"/>
      <c r="T27" s="136"/>
      <c r="U27" s="138"/>
      <c r="V27" s="135"/>
      <c r="W27" s="135"/>
      <c r="X27" s="135"/>
      <c r="Y27" s="135"/>
      <c r="Z27" s="135"/>
      <c r="AA27" s="135"/>
      <c r="AB27" s="136"/>
      <c r="AC27" s="138"/>
      <c r="AD27" s="135"/>
      <c r="AE27" s="135"/>
      <c r="AF27" s="135"/>
      <c r="AG27" s="135"/>
      <c r="AH27" s="135"/>
      <c r="AI27" s="135"/>
      <c r="AJ27" s="136"/>
      <c r="AK27" s="139"/>
      <c r="AL27" s="135"/>
      <c r="AM27" s="135"/>
      <c r="AN27" s="135"/>
      <c r="AO27" s="135"/>
      <c r="AP27" s="135"/>
      <c r="AQ27" s="135"/>
      <c r="AR27" s="135"/>
      <c r="AS27" s="137"/>
      <c r="AT27" s="139"/>
      <c r="AU27" s="135"/>
      <c r="AV27" s="135"/>
      <c r="AW27" s="135"/>
      <c r="AX27" s="135"/>
      <c r="AY27" s="135"/>
      <c r="AZ27" s="135"/>
      <c r="BA27" s="137"/>
      <c r="BB27" s="139"/>
      <c r="BC27" s="135"/>
      <c r="BD27" s="135"/>
      <c r="BE27" s="135"/>
      <c r="BF27" s="135"/>
      <c r="BG27" s="135"/>
      <c r="BH27" s="135"/>
      <c r="BI27" s="137"/>
      <c r="BJ27" s="139"/>
      <c r="BK27" s="135"/>
      <c r="BL27" s="135"/>
      <c r="BM27" s="135"/>
      <c r="BN27" s="135"/>
      <c r="BO27" s="135"/>
      <c r="BP27" s="135"/>
      <c r="BQ27" s="135"/>
      <c r="BR27" s="137"/>
      <c r="BS27" s="139"/>
      <c r="BT27" s="135"/>
      <c r="BU27" s="135"/>
      <c r="BV27" s="135"/>
      <c r="BW27" s="135"/>
      <c r="BX27" s="135"/>
      <c r="BY27" s="135"/>
      <c r="BZ27" s="137"/>
      <c r="CA27" s="139"/>
      <c r="CB27" s="135"/>
      <c r="CC27" s="135"/>
      <c r="CD27" s="135"/>
      <c r="CE27" s="135"/>
      <c r="CF27" s="135"/>
      <c r="CG27" s="135"/>
      <c r="CH27" s="137"/>
      <c r="CI27" s="139"/>
      <c r="CJ27" s="135"/>
      <c r="CK27" s="135"/>
      <c r="CL27" s="135"/>
      <c r="CM27" s="135"/>
      <c r="CN27" s="135"/>
      <c r="CO27" s="135"/>
      <c r="CP27" s="137"/>
      <c r="CQ27" s="139"/>
      <c r="CR27" s="135"/>
      <c r="CS27" s="135"/>
      <c r="CT27" s="135"/>
      <c r="CU27" s="135" t="n">
        <f aca="false">+CR27-CS27</f>
        <v>0</v>
      </c>
      <c r="CV27" s="135" t="n">
        <f aca="false">+CR27-CT27</f>
        <v>0</v>
      </c>
      <c r="CW27" s="135"/>
      <c r="CX27" s="137" t="str">
        <f aca="false">IFERROR(CR27/CW27-1, "-")</f>
        <v>-</v>
      </c>
      <c r="CY27" s="140"/>
      <c r="CZ27" s="135"/>
      <c r="DA27" s="135"/>
      <c r="DB27" s="135"/>
      <c r="DC27" s="135"/>
      <c r="DD27" s="135"/>
      <c r="DE27" s="137" t="e">
        <f aca="false">CZ27/DD27-1</f>
        <v>#DIV/0!</v>
      </c>
      <c r="DF27" s="137"/>
      <c r="DG27" s="137"/>
      <c r="DH27" s="137"/>
      <c r="DI27" s="116"/>
      <c r="DJ27" s="117"/>
      <c r="DK27" s="117"/>
      <c r="DL27" s="117"/>
      <c r="DM27" s="117"/>
      <c r="DN27" s="118"/>
      <c r="DO27" s="141"/>
      <c r="DX27" s="107"/>
      <c r="DY27" s="107"/>
      <c r="DZ27" s="107"/>
    </row>
    <row r="28" s="36" customFormat="true" ht="12.75" hidden="false" customHeight="true" outlineLevel="0" collapsed="false">
      <c r="A28" s="157" t="s">
        <v>25</v>
      </c>
      <c r="B28" s="38"/>
      <c r="C28" s="106" t="s">
        <v>53</v>
      </c>
      <c r="D28" s="144"/>
      <c r="E28" s="144"/>
      <c r="F28" s="144"/>
      <c r="G28" s="144"/>
      <c r="H28" s="145"/>
      <c r="I28" s="146"/>
      <c r="J28" s="144"/>
      <c r="K28" s="144"/>
      <c r="L28" s="144"/>
      <c r="M28" s="144"/>
      <c r="N28" s="145"/>
      <c r="O28" s="146"/>
      <c r="P28" s="144"/>
      <c r="Q28" s="144"/>
      <c r="R28" s="144"/>
      <c r="S28" s="144"/>
      <c r="T28" s="145"/>
      <c r="U28" s="147"/>
      <c r="V28" s="144"/>
      <c r="W28" s="144"/>
      <c r="X28" s="144"/>
      <c r="Y28" s="144"/>
      <c r="Z28" s="144"/>
      <c r="AA28" s="144"/>
      <c r="AB28" s="145"/>
      <c r="AC28" s="147"/>
      <c r="AD28" s="144"/>
      <c r="AE28" s="144"/>
      <c r="AF28" s="144"/>
      <c r="AG28" s="144"/>
      <c r="AH28" s="144"/>
      <c r="AI28" s="144"/>
      <c r="AJ28" s="145"/>
      <c r="AK28" s="148"/>
      <c r="AL28" s="144"/>
      <c r="AM28" s="144"/>
      <c r="AN28" s="144"/>
      <c r="AO28" s="144"/>
      <c r="AP28" s="144"/>
      <c r="AQ28" s="144"/>
      <c r="AR28" s="144"/>
      <c r="AS28" s="146"/>
      <c r="AT28" s="148"/>
      <c r="AU28" s="144"/>
      <c r="AV28" s="144"/>
      <c r="AW28" s="144"/>
      <c r="AX28" s="144"/>
      <c r="AY28" s="144"/>
      <c r="AZ28" s="144"/>
      <c r="BA28" s="146"/>
      <c r="BB28" s="148"/>
      <c r="BC28" s="144"/>
      <c r="BD28" s="144"/>
      <c r="BE28" s="144"/>
      <c r="BF28" s="144"/>
      <c r="BG28" s="144"/>
      <c r="BH28" s="144"/>
      <c r="BI28" s="146"/>
      <c r="BJ28" s="148"/>
      <c r="BK28" s="144"/>
      <c r="BL28" s="144"/>
      <c r="BM28" s="144"/>
      <c r="BN28" s="144"/>
      <c r="BO28" s="144"/>
      <c r="BP28" s="144"/>
      <c r="BQ28" s="144"/>
      <c r="BR28" s="146"/>
      <c r="BS28" s="148"/>
      <c r="BT28" s="144"/>
      <c r="BU28" s="144"/>
      <c r="BV28" s="144"/>
      <c r="BW28" s="144"/>
      <c r="BX28" s="144"/>
      <c r="BY28" s="144"/>
      <c r="BZ28" s="146"/>
      <c r="CA28" s="148"/>
      <c r="CB28" s="144"/>
      <c r="CC28" s="144"/>
      <c r="CD28" s="144"/>
      <c r="CE28" s="144"/>
      <c r="CF28" s="144"/>
      <c r="CG28" s="144"/>
      <c r="CH28" s="146"/>
      <c r="CI28" s="148"/>
      <c r="CJ28" s="144"/>
      <c r="CK28" s="144"/>
      <c r="CL28" s="144"/>
      <c r="CM28" s="144"/>
      <c r="CN28" s="144"/>
      <c r="CO28" s="144"/>
      <c r="CP28" s="146"/>
      <c r="CQ28" s="148"/>
      <c r="CR28" s="144"/>
      <c r="CS28" s="144"/>
      <c r="CT28" s="144"/>
      <c r="CU28" s="144" t="n">
        <f aca="false">+CR28-CS28</f>
        <v>0</v>
      </c>
      <c r="CV28" s="144" t="n">
        <f aca="false">+CR28-CT28</f>
        <v>0</v>
      </c>
      <c r="CW28" s="144"/>
      <c r="CX28" s="146" t="str">
        <f aca="false">IFERROR(CR28/CW28-1, "-")</f>
        <v>-</v>
      </c>
      <c r="CY28" s="149"/>
      <c r="CZ28" s="144"/>
      <c r="DA28" s="144"/>
      <c r="DB28" s="144"/>
      <c r="DC28" s="144"/>
      <c r="DD28" s="144"/>
      <c r="DE28" s="146" t="e">
        <f aca="false">CZ28/DD28-1</f>
        <v>#DIV/0!</v>
      </c>
      <c r="DF28" s="146" t="e">
        <f aca="false">DA28/DD28-1</f>
        <v>#DIV/0!</v>
      </c>
      <c r="DG28" s="146" t="e">
        <f aca="false">DB28/DD28-1</f>
        <v>#DIV/0!</v>
      </c>
      <c r="DH28" s="146" t="e">
        <f aca="false">DC28/DD28-1</f>
        <v>#DIV/0!</v>
      </c>
      <c r="DI28" s="116"/>
      <c r="DJ28" s="117"/>
      <c r="DK28" s="117"/>
      <c r="DL28" s="117"/>
      <c r="DM28" s="117"/>
      <c r="DN28" s="118"/>
      <c r="DO28" s="14"/>
      <c r="DX28" s="107"/>
      <c r="DY28" s="107"/>
      <c r="DZ28" s="107"/>
    </row>
    <row r="29" s="142" customFormat="true" ht="12.75" hidden="false" customHeight="true" outlineLevel="0" collapsed="false">
      <c r="A29" s="133" t="s">
        <v>27</v>
      </c>
      <c r="B29" s="134"/>
      <c r="C29" s="106" t="s">
        <v>54</v>
      </c>
      <c r="D29" s="135"/>
      <c r="E29" s="135"/>
      <c r="F29" s="135"/>
      <c r="G29" s="135"/>
      <c r="H29" s="136"/>
      <c r="I29" s="137"/>
      <c r="J29" s="135"/>
      <c r="K29" s="135"/>
      <c r="L29" s="135"/>
      <c r="M29" s="135"/>
      <c r="N29" s="136"/>
      <c r="O29" s="137"/>
      <c r="P29" s="135"/>
      <c r="Q29" s="135"/>
      <c r="R29" s="135"/>
      <c r="S29" s="135"/>
      <c r="T29" s="136"/>
      <c r="U29" s="138"/>
      <c r="V29" s="135"/>
      <c r="W29" s="135"/>
      <c r="X29" s="135"/>
      <c r="Y29" s="135"/>
      <c r="Z29" s="135"/>
      <c r="AA29" s="135"/>
      <c r="AB29" s="136"/>
      <c r="AC29" s="138"/>
      <c r="AD29" s="135"/>
      <c r="AE29" s="135"/>
      <c r="AF29" s="135"/>
      <c r="AG29" s="135"/>
      <c r="AH29" s="135"/>
      <c r="AI29" s="135"/>
      <c r="AJ29" s="136"/>
      <c r="AK29" s="139"/>
      <c r="AL29" s="135"/>
      <c r="AM29" s="135"/>
      <c r="AN29" s="135"/>
      <c r="AO29" s="135"/>
      <c r="AP29" s="135"/>
      <c r="AQ29" s="135"/>
      <c r="AR29" s="135"/>
      <c r="AS29" s="137"/>
      <c r="AT29" s="139"/>
      <c r="AU29" s="135"/>
      <c r="AV29" s="135"/>
      <c r="AW29" s="135"/>
      <c r="AX29" s="135"/>
      <c r="AY29" s="135"/>
      <c r="AZ29" s="135"/>
      <c r="BA29" s="137"/>
      <c r="BB29" s="139"/>
      <c r="BC29" s="135"/>
      <c r="BD29" s="135"/>
      <c r="BE29" s="135"/>
      <c r="BF29" s="135"/>
      <c r="BG29" s="135"/>
      <c r="BH29" s="135"/>
      <c r="BI29" s="137"/>
      <c r="BJ29" s="139"/>
      <c r="BK29" s="135"/>
      <c r="BL29" s="135"/>
      <c r="BM29" s="135"/>
      <c r="BN29" s="135"/>
      <c r="BO29" s="135"/>
      <c r="BP29" s="135"/>
      <c r="BQ29" s="135"/>
      <c r="BR29" s="137"/>
      <c r="BS29" s="139"/>
      <c r="BT29" s="135"/>
      <c r="BU29" s="135"/>
      <c r="BV29" s="135"/>
      <c r="BW29" s="135"/>
      <c r="BX29" s="135"/>
      <c r="BY29" s="135"/>
      <c r="BZ29" s="137"/>
      <c r="CA29" s="139"/>
      <c r="CB29" s="135"/>
      <c r="CC29" s="135"/>
      <c r="CD29" s="135"/>
      <c r="CE29" s="135"/>
      <c r="CF29" s="135"/>
      <c r="CG29" s="135"/>
      <c r="CH29" s="137"/>
      <c r="CI29" s="139"/>
      <c r="CJ29" s="135"/>
      <c r="CK29" s="135"/>
      <c r="CL29" s="135"/>
      <c r="CM29" s="135"/>
      <c r="CN29" s="135"/>
      <c r="CO29" s="135"/>
      <c r="CP29" s="137"/>
      <c r="CQ29" s="139"/>
      <c r="CR29" s="135"/>
      <c r="CS29" s="135"/>
      <c r="CT29" s="135"/>
      <c r="CU29" s="135" t="n">
        <f aca="false">+CR29-CS29</f>
        <v>0</v>
      </c>
      <c r="CV29" s="135" t="n">
        <f aca="false">+CR29-CT29</f>
        <v>0</v>
      </c>
      <c r="CW29" s="135"/>
      <c r="CX29" s="137" t="str">
        <f aca="false">IFERROR(CR29/CW29-1, "-")</f>
        <v>-</v>
      </c>
      <c r="CY29" s="140"/>
      <c r="CZ29" s="135"/>
      <c r="DA29" s="135"/>
      <c r="DB29" s="135"/>
      <c r="DC29" s="135"/>
      <c r="DD29" s="135"/>
      <c r="DE29" s="137" t="e">
        <f aca="false">CZ29/DD29-1</f>
        <v>#DIV/0!</v>
      </c>
      <c r="DF29" s="137" t="e">
        <f aca="false">DA29/DD29-1</f>
        <v>#DIV/0!</v>
      </c>
      <c r="DG29" s="137"/>
      <c r="DH29" s="137" t="e">
        <f aca="false">DC29/DD29-1</f>
        <v>#DIV/0!</v>
      </c>
      <c r="DI29" s="116"/>
      <c r="DJ29" s="117"/>
      <c r="DK29" s="117"/>
      <c r="DL29" s="117"/>
      <c r="DM29" s="117"/>
      <c r="DN29" s="118"/>
      <c r="DO29" s="141"/>
      <c r="DX29" s="107"/>
      <c r="DY29" s="107"/>
      <c r="DZ29" s="107"/>
    </row>
    <row r="30" s="36" customFormat="true" ht="15" hidden="false" customHeight="true" outlineLevel="0" collapsed="false">
      <c r="A30" s="157"/>
      <c r="B30" s="38"/>
      <c r="C30" s="106" t="s">
        <v>55</v>
      </c>
      <c r="D30" s="144"/>
      <c r="E30" s="144"/>
      <c r="F30" s="144"/>
      <c r="G30" s="144"/>
      <c r="H30" s="145"/>
      <c r="I30" s="146"/>
      <c r="J30" s="144"/>
      <c r="K30" s="144"/>
      <c r="L30" s="144"/>
      <c r="M30" s="144"/>
      <c r="N30" s="145"/>
      <c r="O30" s="146"/>
      <c r="P30" s="144"/>
      <c r="Q30" s="144"/>
      <c r="R30" s="144"/>
      <c r="S30" s="144"/>
      <c r="T30" s="145"/>
      <c r="U30" s="147"/>
      <c r="V30" s="144"/>
      <c r="W30" s="144"/>
      <c r="X30" s="144"/>
      <c r="Y30" s="144"/>
      <c r="Z30" s="144"/>
      <c r="AA30" s="144"/>
      <c r="AB30" s="145"/>
      <c r="AC30" s="147"/>
      <c r="AD30" s="144"/>
      <c r="AE30" s="144"/>
      <c r="AF30" s="144"/>
      <c r="AG30" s="144"/>
      <c r="AH30" s="144"/>
      <c r="AI30" s="144"/>
      <c r="AJ30" s="145"/>
      <c r="AK30" s="148"/>
      <c r="AL30" s="144"/>
      <c r="AM30" s="144"/>
      <c r="AN30" s="144"/>
      <c r="AO30" s="144"/>
      <c r="AP30" s="144"/>
      <c r="AQ30" s="144"/>
      <c r="AR30" s="144"/>
      <c r="AS30" s="146"/>
      <c r="AT30" s="148"/>
      <c r="AU30" s="144"/>
      <c r="AV30" s="144"/>
      <c r="AW30" s="144"/>
      <c r="AX30" s="144"/>
      <c r="AY30" s="144"/>
      <c r="AZ30" s="144"/>
      <c r="BA30" s="146"/>
      <c r="BB30" s="148"/>
      <c r="BC30" s="144"/>
      <c r="BD30" s="144"/>
      <c r="BE30" s="144"/>
      <c r="BF30" s="144"/>
      <c r="BG30" s="144"/>
      <c r="BH30" s="144"/>
      <c r="BI30" s="146"/>
      <c r="BJ30" s="148"/>
      <c r="BK30" s="144"/>
      <c r="BL30" s="144"/>
      <c r="BM30" s="144"/>
      <c r="BN30" s="144"/>
      <c r="BO30" s="144"/>
      <c r="BP30" s="144"/>
      <c r="BQ30" s="144"/>
      <c r="BR30" s="146"/>
      <c r="BS30" s="148"/>
      <c r="BT30" s="144"/>
      <c r="BU30" s="144"/>
      <c r="BV30" s="144"/>
      <c r="BW30" s="144"/>
      <c r="BX30" s="144"/>
      <c r="BY30" s="144"/>
      <c r="BZ30" s="146"/>
      <c r="CA30" s="148"/>
      <c r="CB30" s="144"/>
      <c r="CC30" s="144"/>
      <c r="CD30" s="144"/>
      <c r="CE30" s="144"/>
      <c r="CF30" s="144"/>
      <c r="CG30" s="144"/>
      <c r="CH30" s="146"/>
      <c r="CI30" s="148"/>
      <c r="CJ30" s="144"/>
      <c r="CK30" s="144"/>
      <c r="CL30" s="144"/>
      <c r="CM30" s="144"/>
      <c r="CN30" s="144"/>
      <c r="CO30" s="144"/>
      <c r="CP30" s="146"/>
      <c r="CQ30" s="148"/>
      <c r="CR30" s="144"/>
      <c r="CS30" s="144"/>
      <c r="CT30" s="144"/>
      <c r="CU30" s="144"/>
      <c r="CV30" s="144"/>
      <c r="CW30" s="144"/>
      <c r="CX30" s="146" t="str">
        <f aca="false">IFERROR(CR30/CW30-1, "-")</f>
        <v>-</v>
      </c>
      <c r="CY30" s="149"/>
      <c r="CZ30" s="144"/>
      <c r="DA30" s="144"/>
      <c r="DB30" s="144"/>
      <c r="DC30" s="144"/>
      <c r="DD30" s="144"/>
      <c r="DE30" s="146"/>
      <c r="DF30" s="146"/>
      <c r="DG30" s="146"/>
      <c r="DH30" s="146"/>
      <c r="DI30" s="116"/>
      <c r="DJ30" s="117"/>
      <c r="DK30" s="117"/>
      <c r="DL30" s="117"/>
      <c r="DM30" s="117"/>
      <c r="DN30" s="118"/>
      <c r="DO30" s="14"/>
      <c r="DX30" s="107"/>
      <c r="DY30" s="107"/>
      <c r="DZ30" s="107"/>
    </row>
    <row r="31" s="156" customFormat="true" ht="12.75" hidden="false" customHeight="false" outlineLevel="0" collapsed="false">
      <c r="A31" s="153" t="s">
        <v>56</v>
      </c>
      <c r="B31" s="105"/>
      <c r="C31" s="106" t="s">
        <v>57</v>
      </c>
      <c r="D31" s="130"/>
      <c r="E31" s="130"/>
      <c r="F31" s="130"/>
      <c r="G31" s="130"/>
      <c r="H31" s="131"/>
      <c r="I31" s="127"/>
      <c r="J31" s="130"/>
      <c r="K31" s="130"/>
      <c r="L31" s="130"/>
      <c r="M31" s="130"/>
      <c r="N31" s="131"/>
      <c r="O31" s="127"/>
      <c r="P31" s="130"/>
      <c r="Q31" s="130"/>
      <c r="R31" s="130"/>
      <c r="S31" s="130"/>
      <c r="T31" s="131"/>
      <c r="U31" s="132"/>
      <c r="V31" s="130"/>
      <c r="W31" s="130"/>
      <c r="X31" s="130"/>
      <c r="Y31" s="130"/>
      <c r="Z31" s="130"/>
      <c r="AA31" s="130"/>
      <c r="AB31" s="131"/>
      <c r="AC31" s="132"/>
      <c r="AD31" s="130"/>
      <c r="AE31" s="130"/>
      <c r="AF31" s="130"/>
      <c r="AG31" s="130"/>
      <c r="AH31" s="130"/>
      <c r="AI31" s="130"/>
      <c r="AJ31" s="131"/>
      <c r="AK31" s="125"/>
      <c r="AL31" s="130"/>
      <c r="AM31" s="130"/>
      <c r="AN31" s="130"/>
      <c r="AO31" s="130"/>
      <c r="AP31" s="130"/>
      <c r="AQ31" s="130"/>
      <c r="AR31" s="130"/>
      <c r="AS31" s="127"/>
      <c r="AT31" s="125"/>
      <c r="AU31" s="130"/>
      <c r="AV31" s="130"/>
      <c r="AW31" s="130"/>
      <c r="AX31" s="130"/>
      <c r="AY31" s="130"/>
      <c r="AZ31" s="130"/>
      <c r="BA31" s="127"/>
      <c r="BB31" s="125"/>
      <c r="BC31" s="130"/>
      <c r="BD31" s="130"/>
      <c r="BE31" s="130"/>
      <c r="BF31" s="130"/>
      <c r="BG31" s="130"/>
      <c r="BH31" s="130"/>
      <c r="BI31" s="127"/>
      <c r="BJ31" s="125"/>
      <c r="BK31" s="130"/>
      <c r="BL31" s="130"/>
      <c r="BM31" s="130"/>
      <c r="BN31" s="130"/>
      <c r="BO31" s="130"/>
      <c r="BP31" s="130"/>
      <c r="BQ31" s="130"/>
      <c r="BR31" s="127"/>
      <c r="BS31" s="125"/>
      <c r="BT31" s="130"/>
      <c r="BU31" s="130"/>
      <c r="BV31" s="130"/>
      <c r="BW31" s="130"/>
      <c r="BX31" s="130"/>
      <c r="BY31" s="130"/>
      <c r="BZ31" s="127"/>
      <c r="CA31" s="125"/>
      <c r="CB31" s="130"/>
      <c r="CC31" s="130"/>
      <c r="CD31" s="130"/>
      <c r="CE31" s="130"/>
      <c r="CF31" s="130"/>
      <c r="CG31" s="130"/>
      <c r="CH31" s="127"/>
      <c r="CI31" s="125"/>
      <c r="CJ31" s="130"/>
      <c r="CK31" s="130"/>
      <c r="CL31" s="130"/>
      <c r="CM31" s="130"/>
      <c r="CN31" s="130"/>
      <c r="CO31" s="130"/>
      <c r="CP31" s="127"/>
      <c r="CQ31" s="125"/>
      <c r="CR31" s="130"/>
      <c r="CS31" s="130"/>
      <c r="CT31" s="130"/>
      <c r="CU31" s="130" t="n">
        <f aca="false">+CR31-CS31</f>
        <v>0</v>
      </c>
      <c r="CV31" s="130" t="n">
        <f aca="false">+CR31-CT31</f>
        <v>0</v>
      </c>
      <c r="CW31" s="130"/>
      <c r="CX31" s="127" t="str">
        <f aca="false">IFERROR(CR31/CW31-1, "-")</f>
        <v>-</v>
      </c>
      <c r="CY31" s="154"/>
      <c r="CZ31" s="130"/>
      <c r="DA31" s="130"/>
      <c r="DB31" s="130"/>
      <c r="DC31" s="130"/>
      <c r="DD31" s="130"/>
      <c r="DE31" s="127" t="e">
        <f aca="false">CZ31/DD31-1</f>
        <v>#DIV/0!</v>
      </c>
      <c r="DF31" s="127" t="e">
        <f aca="false">DA31/DD31-1</f>
        <v>#DIV/0!</v>
      </c>
      <c r="DG31" s="127" t="e">
        <f aca="false">DB31/DD31-1</f>
        <v>#DIV/0!</v>
      </c>
      <c r="DH31" s="127" t="e">
        <f aca="false">DC31/DD31-1</f>
        <v>#DIV/0!</v>
      </c>
      <c r="DI31" s="116"/>
      <c r="DJ31" s="117"/>
      <c r="DK31" s="117"/>
      <c r="DL31" s="117"/>
      <c r="DM31" s="117"/>
      <c r="DN31" s="118"/>
      <c r="DO31" s="155"/>
      <c r="DX31" s="107"/>
      <c r="DY31" s="107"/>
      <c r="DZ31" s="107"/>
    </row>
    <row r="32" s="167" customFormat="true" ht="12.75" hidden="false" customHeight="false" outlineLevel="0" collapsed="false">
      <c r="A32" s="169" t="s">
        <v>43</v>
      </c>
      <c r="B32" s="127"/>
      <c r="C32" s="106" t="s">
        <v>58</v>
      </c>
      <c r="D32" s="127"/>
      <c r="E32" s="127"/>
      <c r="F32" s="127"/>
      <c r="G32" s="127"/>
      <c r="H32" s="160"/>
      <c r="I32" s="161"/>
      <c r="J32" s="127"/>
      <c r="K32" s="127"/>
      <c r="L32" s="127"/>
      <c r="M32" s="127"/>
      <c r="N32" s="160"/>
      <c r="O32" s="161"/>
      <c r="P32" s="127"/>
      <c r="Q32" s="127"/>
      <c r="R32" s="127"/>
      <c r="S32" s="127"/>
      <c r="T32" s="160"/>
      <c r="U32" s="162"/>
      <c r="V32" s="127"/>
      <c r="W32" s="127"/>
      <c r="X32" s="127"/>
      <c r="Y32" s="127"/>
      <c r="Z32" s="127"/>
      <c r="AA32" s="127"/>
      <c r="AB32" s="160"/>
      <c r="AC32" s="162"/>
      <c r="AD32" s="127"/>
      <c r="AE32" s="127"/>
      <c r="AF32" s="127"/>
      <c r="AG32" s="127"/>
      <c r="AH32" s="127"/>
      <c r="AI32" s="127"/>
      <c r="AJ32" s="160"/>
      <c r="AK32" s="163"/>
      <c r="AL32" s="127"/>
      <c r="AM32" s="127"/>
      <c r="AN32" s="127"/>
      <c r="AO32" s="127"/>
      <c r="AP32" s="161"/>
      <c r="AQ32" s="161"/>
      <c r="AR32" s="127"/>
      <c r="AS32" s="161"/>
      <c r="AT32" s="163"/>
      <c r="AU32" s="127"/>
      <c r="AV32" s="127"/>
      <c r="AW32" s="127"/>
      <c r="AX32" s="161"/>
      <c r="AY32" s="161"/>
      <c r="AZ32" s="127"/>
      <c r="BA32" s="161"/>
      <c r="BB32" s="163"/>
      <c r="BC32" s="127"/>
      <c r="BD32" s="127"/>
      <c r="BE32" s="127"/>
      <c r="BF32" s="161"/>
      <c r="BG32" s="161"/>
      <c r="BH32" s="127"/>
      <c r="BI32" s="161"/>
      <c r="BJ32" s="163"/>
      <c r="BK32" s="127"/>
      <c r="BL32" s="127"/>
      <c r="BM32" s="127"/>
      <c r="BN32" s="127"/>
      <c r="BO32" s="161"/>
      <c r="BP32" s="161"/>
      <c r="BQ32" s="127"/>
      <c r="BR32" s="161"/>
      <c r="BS32" s="163"/>
      <c r="BT32" s="127"/>
      <c r="BU32" s="127"/>
      <c r="BV32" s="127"/>
      <c r="BW32" s="161"/>
      <c r="BX32" s="161"/>
      <c r="BY32" s="127"/>
      <c r="BZ32" s="161"/>
      <c r="CA32" s="163"/>
      <c r="CB32" s="127"/>
      <c r="CC32" s="127"/>
      <c r="CD32" s="127"/>
      <c r="CE32" s="161"/>
      <c r="CF32" s="161"/>
      <c r="CG32" s="127"/>
      <c r="CH32" s="161"/>
      <c r="CI32" s="163"/>
      <c r="CJ32" s="127"/>
      <c r="CK32" s="127"/>
      <c r="CL32" s="127"/>
      <c r="CM32" s="161"/>
      <c r="CN32" s="161"/>
      <c r="CO32" s="127"/>
      <c r="CP32" s="161"/>
      <c r="CQ32" s="163"/>
      <c r="CR32" s="127"/>
      <c r="CS32" s="127"/>
      <c r="CT32" s="127"/>
      <c r="CU32" s="161" t="n">
        <f aca="false">+(CR32-CS32)</f>
        <v>0</v>
      </c>
      <c r="CV32" s="161" t="n">
        <f aca="false">+(CR32-CT32)</f>
        <v>0</v>
      </c>
      <c r="CW32" s="127"/>
      <c r="CX32" s="161" t="str">
        <f aca="false">IFERROR(CR32/CW32-1, "-")</f>
        <v>-</v>
      </c>
      <c r="CY32" s="125"/>
      <c r="CZ32" s="127"/>
      <c r="DA32" s="127"/>
      <c r="DB32" s="127"/>
      <c r="DC32" s="127"/>
      <c r="DD32" s="127"/>
      <c r="DE32" s="161" t="n">
        <f aca="false">(CZ32-DD32)</f>
        <v>0</v>
      </c>
      <c r="DF32" s="127" t="e">
        <f aca="false">DA32/DD32-1</f>
        <v>#DIV/0!</v>
      </c>
      <c r="DG32" s="127" t="e">
        <f aca="false">DB32/DD32-1</f>
        <v>#DIV/0!</v>
      </c>
      <c r="DH32" s="160" t="e">
        <f aca="false">DC32/DD32-1</f>
        <v>#DIV/0!</v>
      </c>
      <c r="DI32" s="116"/>
      <c r="DJ32" s="117"/>
      <c r="DK32" s="117"/>
      <c r="DL32" s="117"/>
      <c r="DM32" s="117"/>
      <c r="DN32" s="118"/>
      <c r="DO32" s="166"/>
      <c r="DX32" s="107"/>
      <c r="DY32" s="107"/>
      <c r="DZ32" s="107"/>
    </row>
    <row r="33" s="36" customFormat="true" ht="9" hidden="true" customHeight="true" outlineLevel="0" collapsed="false">
      <c r="A33" s="157" t="s">
        <v>23</v>
      </c>
      <c r="B33" s="38"/>
      <c r="C33" s="106" t="s">
        <v>59</v>
      </c>
      <c r="D33" s="144"/>
      <c r="E33" s="144"/>
      <c r="F33" s="130"/>
      <c r="G33" s="144"/>
      <c r="H33" s="145"/>
      <c r="I33" s="146"/>
      <c r="J33" s="144"/>
      <c r="K33" s="144"/>
      <c r="L33" s="130"/>
      <c r="M33" s="144"/>
      <c r="N33" s="145"/>
      <c r="O33" s="146"/>
      <c r="P33" s="144"/>
      <c r="Q33" s="144"/>
      <c r="R33" s="130"/>
      <c r="S33" s="144"/>
      <c r="T33" s="145"/>
      <c r="U33" s="147"/>
      <c r="V33" s="144"/>
      <c r="W33" s="144"/>
      <c r="X33" s="144"/>
      <c r="Y33" s="130"/>
      <c r="Z33" s="130"/>
      <c r="AA33" s="144"/>
      <c r="AB33" s="145"/>
      <c r="AC33" s="147"/>
      <c r="AD33" s="144"/>
      <c r="AE33" s="144"/>
      <c r="AF33" s="144"/>
      <c r="AG33" s="130"/>
      <c r="AH33" s="130"/>
      <c r="AI33" s="144"/>
      <c r="AJ33" s="145"/>
      <c r="AK33" s="148"/>
      <c r="AL33" s="144"/>
      <c r="AM33" s="144"/>
      <c r="AN33" s="144"/>
      <c r="AO33" s="144"/>
      <c r="AP33" s="144"/>
      <c r="AQ33" s="144"/>
      <c r="AR33" s="144"/>
      <c r="AS33" s="146"/>
      <c r="AT33" s="148"/>
      <c r="AU33" s="144"/>
      <c r="AV33" s="144"/>
      <c r="AW33" s="144"/>
      <c r="AX33" s="144"/>
      <c r="AY33" s="144"/>
      <c r="AZ33" s="144"/>
      <c r="BA33" s="146"/>
      <c r="BB33" s="148"/>
      <c r="BC33" s="144"/>
      <c r="BD33" s="144"/>
      <c r="BE33" s="144"/>
      <c r="BF33" s="144"/>
      <c r="BG33" s="144"/>
      <c r="BH33" s="144"/>
      <c r="BI33" s="146"/>
      <c r="BJ33" s="148"/>
      <c r="BK33" s="144"/>
      <c r="BL33" s="144"/>
      <c r="BM33" s="144"/>
      <c r="BN33" s="144"/>
      <c r="BO33" s="144"/>
      <c r="BP33" s="144"/>
      <c r="BQ33" s="144"/>
      <c r="BR33" s="146"/>
      <c r="BS33" s="148"/>
      <c r="BT33" s="144"/>
      <c r="BU33" s="144"/>
      <c r="BV33" s="144"/>
      <c r="BW33" s="144"/>
      <c r="BX33" s="144"/>
      <c r="BY33" s="144"/>
      <c r="BZ33" s="146"/>
      <c r="CA33" s="148"/>
      <c r="CB33" s="144"/>
      <c r="CC33" s="144"/>
      <c r="CD33" s="144"/>
      <c r="CE33" s="144"/>
      <c r="CF33" s="144"/>
      <c r="CG33" s="144"/>
      <c r="CH33" s="146"/>
      <c r="CI33" s="148"/>
      <c r="CJ33" s="144"/>
      <c r="CK33" s="144"/>
      <c r="CL33" s="144"/>
      <c r="CM33" s="144"/>
      <c r="CN33" s="144"/>
      <c r="CO33" s="144"/>
      <c r="CP33" s="146"/>
      <c r="CQ33" s="148"/>
      <c r="CR33" s="144"/>
      <c r="CS33" s="144"/>
      <c r="CT33" s="144"/>
      <c r="CU33" s="144" t="n">
        <f aca="false">+CR33-CS33</f>
        <v>0</v>
      </c>
      <c r="CV33" s="144" t="n">
        <f aca="false">+CR33-CT33</f>
        <v>0</v>
      </c>
      <c r="CW33" s="144"/>
      <c r="CX33" s="146" t="str">
        <f aca="false">IFERROR(CR33/CW33-1, "-")</f>
        <v>-</v>
      </c>
      <c r="CY33" s="149"/>
      <c r="CZ33" s="144"/>
      <c r="DA33" s="144"/>
      <c r="DB33" s="144"/>
      <c r="DC33" s="144"/>
      <c r="DD33" s="144"/>
      <c r="DE33" s="146" t="e">
        <f aca="false">CZ33/DD33-1</f>
        <v>#DIV/0!</v>
      </c>
      <c r="DF33" s="146"/>
      <c r="DG33" s="146"/>
      <c r="DH33" s="146"/>
      <c r="DI33" s="116"/>
      <c r="DJ33" s="117"/>
      <c r="DK33" s="117"/>
      <c r="DL33" s="117"/>
      <c r="DM33" s="117"/>
      <c r="DN33" s="118"/>
      <c r="DO33" s="14"/>
      <c r="DX33" s="107"/>
      <c r="DY33" s="107"/>
      <c r="DZ33" s="107"/>
    </row>
    <row r="34" s="172" customFormat="true" ht="12.75" hidden="false" customHeight="true" outlineLevel="0" collapsed="false">
      <c r="A34" s="170" t="s">
        <v>25</v>
      </c>
      <c r="B34" s="134"/>
      <c r="C34" s="106" t="s">
        <v>60</v>
      </c>
      <c r="D34" s="135"/>
      <c r="E34" s="135"/>
      <c r="F34" s="135"/>
      <c r="G34" s="135"/>
      <c r="H34" s="136"/>
      <c r="I34" s="137"/>
      <c r="J34" s="135"/>
      <c r="K34" s="135"/>
      <c r="L34" s="135"/>
      <c r="M34" s="135"/>
      <c r="N34" s="136"/>
      <c r="O34" s="137"/>
      <c r="P34" s="135"/>
      <c r="Q34" s="135"/>
      <c r="R34" s="135"/>
      <c r="S34" s="135"/>
      <c r="T34" s="136"/>
      <c r="U34" s="138"/>
      <c r="V34" s="135"/>
      <c r="W34" s="135"/>
      <c r="X34" s="135"/>
      <c r="Y34" s="135"/>
      <c r="Z34" s="135"/>
      <c r="AA34" s="135"/>
      <c r="AB34" s="136"/>
      <c r="AC34" s="138"/>
      <c r="AD34" s="135"/>
      <c r="AE34" s="135"/>
      <c r="AF34" s="135"/>
      <c r="AG34" s="135"/>
      <c r="AH34" s="135"/>
      <c r="AI34" s="135"/>
      <c r="AJ34" s="136"/>
      <c r="AK34" s="139"/>
      <c r="AL34" s="135"/>
      <c r="AM34" s="135"/>
      <c r="AN34" s="135"/>
      <c r="AO34" s="135"/>
      <c r="AP34" s="135"/>
      <c r="AQ34" s="135"/>
      <c r="AR34" s="135"/>
      <c r="AS34" s="137"/>
      <c r="AT34" s="139"/>
      <c r="AU34" s="135"/>
      <c r="AV34" s="135"/>
      <c r="AW34" s="135"/>
      <c r="AX34" s="135"/>
      <c r="AY34" s="135"/>
      <c r="AZ34" s="135"/>
      <c r="BA34" s="137"/>
      <c r="BB34" s="139"/>
      <c r="BC34" s="135"/>
      <c r="BD34" s="135"/>
      <c r="BE34" s="135"/>
      <c r="BF34" s="135"/>
      <c r="BG34" s="135"/>
      <c r="BH34" s="135"/>
      <c r="BI34" s="137"/>
      <c r="BJ34" s="139"/>
      <c r="BK34" s="135"/>
      <c r="BL34" s="135"/>
      <c r="BM34" s="135"/>
      <c r="BN34" s="135"/>
      <c r="BO34" s="135"/>
      <c r="BP34" s="135"/>
      <c r="BQ34" s="135"/>
      <c r="BR34" s="137"/>
      <c r="BS34" s="139"/>
      <c r="BT34" s="135"/>
      <c r="BU34" s="135"/>
      <c r="BV34" s="135"/>
      <c r="BW34" s="135"/>
      <c r="BX34" s="135"/>
      <c r="BY34" s="135"/>
      <c r="BZ34" s="137"/>
      <c r="CA34" s="139"/>
      <c r="CB34" s="135"/>
      <c r="CC34" s="135"/>
      <c r="CD34" s="135"/>
      <c r="CE34" s="135"/>
      <c r="CF34" s="135"/>
      <c r="CG34" s="135"/>
      <c r="CH34" s="137"/>
      <c r="CI34" s="139"/>
      <c r="CJ34" s="135"/>
      <c r="CK34" s="135"/>
      <c r="CL34" s="135"/>
      <c r="CM34" s="135"/>
      <c r="CN34" s="135"/>
      <c r="CO34" s="135"/>
      <c r="CP34" s="137"/>
      <c r="CQ34" s="139"/>
      <c r="CR34" s="135"/>
      <c r="CS34" s="135"/>
      <c r="CT34" s="135"/>
      <c r="CU34" s="135" t="n">
        <f aca="false">+CR34-CS34</f>
        <v>0</v>
      </c>
      <c r="CV34" s="135" t="n">
        <f aca="false">+CR34-CT34</f>
        <v>0</v>
      </c>
      <c r="CW34" s="135"/>
      <c r="CX34" s="137" t="str">
        <f aca="false">IFERROR(CR34/CW34-1, "-")</f>
        <v>-</v>
      </c>
      <c r="CY34" s="140"/>
      <c r="CZ34" s="135"/>
      <c r="DA34" s="135"/>
      <c r="DB34" s="135"/>
      <c r="DC34" s="135"/>
      <c r="DD34" s="135"/>
      <c r="DE34" s="137" t="e">
        <f aca="false">CZ34/DD34-1</f>
        <v>#DIV/0!</v>
      </c>
      <c r="DF34" s="137" t="e">
        <f aca="false">DA34/DD34-1</f>
        <v>#DIV/0!</v>
      </c>
      <c r="DG34" s="171" t="e">
        <f aca="false">DB34/DD34-1</f>
        <v>#DIV/0!</v>
      </c>
      <c r="DH34" s="137" t="e">
        <f aca="false">DC34/DD34-1</f>
        <v>#DIV/0!</v>
      </c>
      <c r="DI34" s="116"/>
      <c r="DJ34" s="117"/>
      <c r="DK34" s="117"/>
      <c r="DL34" s="117"/>
      <c r="DM34" s="117"/>
      <c r="DN34" s="118"/>
      <c r="DO34" s="14"/>
      <c r="DX34" s="107"/>
      <c r="DY34" s="107"/>
      <c r="DZ34" s="107"/>
    </row>
    <row r="35" s="36" customFormat="true" ht="12.75" hidden="false" customHeight="false" outlineLevel="0" collapsed="false">
      <c r="A35" s="152"/>
      <c r="B35" s="38"/>
      <c r="C35" s="106" t="s">
        <v>61</v>
      </c>
      <c r="D35" s="144"/>
      <c r="E35" s="144"/>
      <c r="F35" s="144"/>
      <c r="G35" s="144"/>
      <c r="H35" s="145"/>
      <c r="I35" s="146"/>
      <c r="J35" s="144"/>
      <c r="K35" s="144"/>
      <c r="L35" s="144"/>
      <c r="M35" s="144"/>
      <c r="N35" s="145"/>
      <c r="O35" s="146"/>
      <c r="P35" s="144"/>
      <c r="Q35" s="144"/>
      <c r="R35" s="144"/>
      <c r="S35" s="144"/>
      <c r="T35" s="145"/>
      <c r="U35" s="147"/>
      <c r="V35" s="144"/>
      <c r="W35" s="144"/>
      <c r="X35" s="144"/>
      <c r="Y35" s="144"/>
      <c r="Z35" s="144"/>
      <c r="AA35" s="144"/>
      <c r="AB35" s="145"/>
      <c r="AC35" s="147"/>
      <c r="AD35" s="144"/>
      <c r="AE35" s="144"/>
      <c r="AF35" s="144"/>
      <c r="AG35" s="144"/>
      <c r="AH35" s="144"/>
      <c r="AI35" s="144"/>
      <c r="AJ35" s="145"/>
      <c r="AK35" s="148"/>
      <c r="AL35" s="144"/>
      <c r="AM35" s="144"/>
      <c r="AN35" s="144"/>
      <c r="AO35" s="144"/>
      <c r="AP35" s="144"/>
      <c r="AQ35" s="144"/>
      <c r="AR35" s="144"/>
      <c r="AS35" s="146"/>
      <c r="AT35" s="148"/>
      <c r="AU35" s="144"/>
      <c r="AV35" s="144"/>
      <c r="AW35" s="144"/>
      <c r="AX35" s="144"/>
      <c r="AY35" s="144"/>
      <c r="AZ35" s="144"/>
      <c r="BA35" s="146"/>
      <c r="BB35" s="148"/>
      <c r="BC35" s="144"/>
      <c r="BD35" s="144"/>
      <c r="BE35" s="144"/>
      <c r="BF35" s="144"/>
      <c r="BG35" s="144"/>
      <c r="BH35" s="144"/>
      <c r="BI35" s="146"/>
      <c r="BJ35" s="148"/>
      <c r="BK35" s="144"/>
      <c r="BL35" s="144"/>
      <c r="BM35" s="144"/>
      <c r="BN35" s="144"/>
      <c r="BO35" s="144"/>
      <c r="BP35" s="144"/>
      <c r="BQ35" s="144"/>
      <c r="BR35" s="146"/>
      <c r="BS35" s="148"/>
      <c r="BT35" s="144"/>
      <c r="BU35" s="144"/>
      <c r="BV35" s="144"/>
      <c r="BW35" s="144"/>
      <c r="BX35" s="144"/>
      <c r="BY35" s="144"/>
      <c r="BZ35" s="146"/>
      <c r="CA35" s="148"/>
      <c r="CB35" s="144"/>
      <c r="CC35" s="144"/>
      <c r="CD35" s="144"/>
      <c r="CE35" s="144"/>
      <c r="CF35" s="144"/>
      <c r="CG35" s="144"/>
      <c r="CH35" s="146"/>
      <c r="CI35" s="148"/>
      <c r="CJ35" s="144"/>
      <c r="CK35" s="144"/>
      <c r="CL35" s="144"/>
      <c r="CM35" s="144"/>
      <c r="CN35" s="144"/>
      <c r="CO35" s="144"/>
      <c r="CP35" s="146"/>
      <c r="CQ35" s="148"/>
      <c r="CR35" s="144"/>
      <c r="CS35" s="144"/>
      <c r="CT35" s="144"/>
      <c r="CU35" s="144" t="n">
        <f aca="false">+CR35-CS35</f>
        <v>0</v>
      </c>
      <c r="CV35" s="144" t="n">
        <f aca="false">+CR35-CT35</f>
        <v>0</v>
      </c>
      <c r="CW35" s="144"/>
      <c r="CX35" s="146" t="str">
        <f aca="false">IFERROR(CR35/CW35-1, "-")</f>
        <v>-</v>
      </c>
      <c r="CY35" s="149"/>
      <c r="CZ35" s="144"/>
      <c r="DA35" s="144"/>
      <c r="DB35" s="144"/>
      <c r="DC35" s="144"/>
      <c r="DD35" s="144"/>
      <c r="DE35" s="146"/>
      <c r="DF35" s="146"/>
      <c r="DG35" s="146"/>
      <c r="DH35" s="146"/>
      <c r="DI35" s="116"/>
      <c r="DJ35" s="117"/>
      <c r="DK35" s="117"/>
      <c r="DL35" s="117"/>
      <c r="DM35" s="117"/>
      <c r="DN35" s="118"/>
      <c r="DO35" s="14"/>
      <c r="DX35" s="107"/>
      <c r="DY35" s="107"/>
      <c r="DZ35" s="107"/>
    </row>
    <row r="36" s="36" customFormat="true" ht="12.75" hidden="false" customHeight="false" outlineLevel="0" collapsed="false">
      <c r="A36" s="152" t="s">
        <v>62</v>
      </c>
      <c r="B36" s="38"/>
      <c r="C36" s="106" t="s">
        <v>63</v>
      </c>
      <c r="D36" s="130"/>
      <c r="E36" s="144"/>
      <c r="F36" s="144"/>
      <c r="G36" s="144"/>
      <c r="H36" s="145"/>
      <c r="I36" s="146"/>
      <c r="J36" s="130"/>
      <c r="K36" s="144"/>
      <c r="L36" s="144"/>
      <c r="M36" s="144"/>
      <c r="N36" s="145"/>
      <c r="O36" s="146"/>
      <c r="P36" s="130"/>
      <c r="Q36" s="144"/>
      <c r="R36" s="144"/>
      <c r="S36" s="144"/>
      <c r="T36" s="145"/>
      <c r="U36" s="147"/>
      <c r="V36" s="130"/>
      <c r="W36" s="144"/>
      <c r="X36" s="144"/>
      <c r="Y36" s="144"/>
      <c r="Z36" s="144"/>
      <c r="AA36" s="144"/>
      <c r="AB36" s="145"/>
      <c r="AC36" s="147"/>
      <c r="AD36" s="130"/>
      <c r="AE36" s="144"/>
      <c r="AF36" s="144"/>
      <c r="AG36" s="144"/>
      <c r="AH36" s="144"/>
      <c r="AI36" s="144"/>
      <c r="AJ36" s="145"/>
      <c r="AK36" s="148"/>
      <c r="AL36" s="144"/>
      <c r="AM36" s="144"/>
      <c r="AN36" s="144"/>
      <c r="AO36" s="144"/>
      <c r="AP36" s="144"/>
      <c r="AQ36" s="144"/>
      <c r="AR36" s="144"/>
      <c r="AS36" s="146"/>
      <c r="AT36" s="148"/>
      <c r="AU36" s="144"/>
      <c r="AV36" s="144"/>
      <c r="AW36" s="144"/>
      <c r="AX36" s="144"/>
      <c r="AY36" s="144"/>
      <c r="AZ36" s="144"/>
      <c r="BA36" s="146"/>
      <c r="BB36" s="148"/>
      <c r="BC36" s="130"/>
      <c r="BD36" s="144"/>
      <c r="BE36" s="144"/>
      <c r="BF36" s="144"/>
      <c r="BG36" s="144"/>
      <c r="BH36" s="144"/>
      <c r="BI36" s="146"/>
      <c r="BJ36" s="148"/>
      <c r="BK36" s="130"/>
      <c r="BL36" s="130"/>
      <c r="BM36" s="130"/>
      <c r="BN36" s="130"/>
      <c r="BO36" s="144"/>
      <c r="BP36" s="144"/>
      <c r="BQ36" s="144"/>
      <c r="BR36" s="146"/>
      <c r="BS36" s="148"/>
      <c r="BT36" s="130"/>
      <c r="BU36" s="130"/>
      <c r="BV36" s="130"/>
      <c r="BW36" s="144"/>
      <c r="BX36" s="144"/>
      <c r="BY36" s="144"/>
      <c r="BZ36" s="146"/>
      <c r="CA36" s="148"/>
      <c r="CB36" s="130"/>
      <c r="CC36" s="130"/>
      <c r="CD36" s="130"/>
      <c r="CE36" s="130"/>
      <c r="CF36" s="130"/>
      <c r="CG36" s="130"/>
      <c r="CH36" s="127"/>
      <c r="CI36" s="148"/>
      <c r="CJ36" s="130"/>
      <c r="CK36" s="130"/>
      <c r="CL36" s="130"/>
      <c r="CM36" s="130"/>
      <c r="CN36" s="130"/>
      <c r="CO36" s="130"/>
      <c r="CP36" s="127"/>
      <c r="CQ36" s="148"/>
      <c r="CR36" s="173"/>
      <c r="CS36" s="144"/>
      <c r="CT36" s="144"/>
      <c r="CU36" s="144" t="n">
        <f aca="false">+CR36-CS36</f>
        <v>0</v>
      </c>
      <c r="CV36" s="144" t="n">
        <f aca="false">+CR36-CT36</f>
        <v>0</v>
      </c>
      <c r="CW36" s="144"/>
      <c r="CX36" s="146" t="str">
        <f aca="false">IFERROR(CR36/CW36-1, "-")</f>
        <v>-</v>
      </c>
      <c r="CY36" s="149"/>
      <c r="CZ36" s="144"/>
      <c r="DA36" s="144"/>
      <c r="DB36" s="144"/>
      <c r="DC36" s="144"/>
      <c r="DD36" s="144"/>
      <c r="DE36" s="146" t="e">
        <f aca="false">CZ36/DD36-1</f>
        <v>#DIV/0!</v>
      </c>
      <c r="DF36" s="146" t="e">
        <f aca="false">DA36/DD36-1</f>
        <v>#DIV/0!</v>
      </c>
      <c r="DG36" s="146" t="e">
        <f aca="false">DB36/DD36-1</f>
        <v>#DIV/0!</v>
      </c>
      <c r="DH36" s="146" t="e">
        <f aca="false">DC36/DD36-1</f>
        <v>#DIV/0!</v>
      </c>
      <c r="DI36" s="116"/>
      <c r="DJ36" s="117"/>
      <c r="DK36" s="117"/>
      <c r="DL36" s="117"/>
      <c r="DM36" s="117"/>
      <c r="DN36" s="118"/>
      <c r="DO36" s="14"/>
      <c r="DX36" s="107"/>
      <c r="DY36" s="107"/>
      <c r="DZ36" s="107"/>
    </row>
    <row r="37" s="36" customFormat="true" ht="12.75" hidden="true" customHeight="false" outlineLevel="0" collapsed="false">
      <c r="A37" s="152" t="s">
        <v>64</v>
      </c>
      <c r="B37" s="38"/>
      <c r="C37" s="106" t="s">
        <v>65</v>
      </c>
      <c r="D37" s="144"/>
      <c r="E37" s="144"/>
      <c r="F37" s="144"/>
      <c r="G37" s="144"/>
      <c r="H37" s="145"/>
      <c r="I37" s="146"/>
      <c r="J37" s="144"/>
      <c r="K37" s="144"/>
      <c r="L37" s="144"/>
      <c r="M37" s="144"/>
      <c r="N37" s="145"/>
      <c r="O37" s="146"/>
      <c r="P37" s="144"/>
      <c r="Q37" s="144"/>
      <c r="R37" s="144"/>
      <c r="S37" s="144"/>
      <c r="T37" s="145"/>
      <c r="U37" s="147"/>
      <c r="V37" s="144"/>
      <c r="W37" s="144"/>
      <c r="X37" s="144"/>
      <c r="Y37" s="144"/>
      <c r="Z37" s="144"/>
      <c r="AA37" s="144"/>
      <c r="AB37" s="145"/>
      <c r="AC37" s="147"/>
      <c r="AD37" s="144"/>
      <c r="AE37" s="144"/>
      <c r="AF37" s="144"/>
      <c r="AG37" s="144"/>
      <c r="AH37" s="144"/>
      <c r="AI37" s="144"/>
      <c r="AJ37" s="145"/>
      <c r="AK37" s="148"/>
      <c r="AL37" s="144"/>
      <c r="AM37" s="144"/>
      <c r="AN37" s="144"/>
      <c r="AO37" s="144"/>
      <c r="AP37" s="144"/>
      <c r="AQ37" s="144"/>
      <c r="AR37" s="144"/>
      <c r="AS37" s="146"/>
      <c r="AT37" s="148"/>
      <c r="AU37" s="144"/>
      <c r="AV37" s="144"/>
      <c r="AW37" s="144"/>
      <c r="AX37" s="144"/>
      <c r="AY37" s="144"/>
      <c r="AZ37" s="144"/>
      <c r="BA37" s="146"/>
      <c r="BB37" s="148"/>
      <c r="BC37" s="144"/>
      <c r="BD37" s="144"/>
      <c r="BE37" s="144"/>
      <c r="BF37" s="144"/>
      <c r="BG37" s="144"/>
      <c r="BH37" s="144"/>
      <c r="BI37" s="146"/>
      <c r="BJ37" s="148"/>
      <c r="BK37" s="144"/>
      <c r="BL37" s="144"/>
      <c r="BM37" s="144"/>
      <c r="BN37" s="144"/>
      <c r="BO37" s="144"/>
      <c r="BP37" s="144"/>
      <c r="BQ37" s="144"/>
      <c r="BR37" s="146"/>
      <c r="BS37" s="148"/>
      <c r="BT37" s="144"/>
      <c r="BU37" s="144"/>
      <c r="BV37" s="144"/>
      <c r="BW37" s="144"/>
      <c r="BX37" s="144"/>
      <c r="BY37" s="144"/>
      <c r="BZ37" s="146"/>
      <c r="CA37" s="148"/>
      <c r="CB37" s="144"/>
      <c r="CC37" s="144"/>
      <c r="CD37" s="144"/>
      <c r="CE37" s="144"/>
      <c r="CF37" s="144"/>
      <c r="CG37" s="144"/>
      <c r="CH37" s="146"/>
      <c r="CI37" s="148"/>
      <c r="CJ37" s="144"/>
      <c r="CK37" s="144"/>
      <c r="CL37" s="144"/>
      <c r="CM37" s="144"/>
      <c r="CN37" s="144"/>
      <c r="CO37" s="144"/>
      <c r="CP37" s="146"/>
      <c r="CQ37" s="148"/>
      <c r="CR37" s="144"/>
      <c r="CS37" s="144"/>
      <c r="CT37" s="144"/>
      <c r="CU37" s="144" t="n">
        <f aca="false">+CR37-CS37</f>
        <v>0</v>
      </c>
      <c r="CV37" s="144" t="n">
        <f aca="false">+CR37-CT37</f>
        <v>0</v>
      </c>
      <c r="CW37" s="144"/>
      <c r="CX37" s="146" t="str">
        <f aca="false">IFERROR(CR37/CW37-1, "-")</f>
        <v>-</v>
      </c>
      <c r="CY37" s="149"/>
      <c r="CZ37" s="144"/>
      <c r="DA37" s="144"/>
      <c r="DB37" s="144"/>
      <c r="DC37" s="144"/>
      <c r="DD37" s="144"/>
      <c r="DE37" s="146"/>
      <c r="DF37" s="146"/>
      <c r="DG37" s="146"/>
      <c r="DH37" s="146"/>
      <c r="DI37" s="116"/>
      <c r="DJ37" s="117"/>
      <c r="DK37" s="117"/>
      <c r="DL37" s="117"/>
      <c r="DM37" s="117"/>
      <c r="DN37" s="118"/>
      <c r="DO37" s="14"/>
      <c r="DX37" s="107"/>
      <c r="DY37" s="107"/>
      <c r="DZ37" s="107"/>
    </row>
    <row r="38" s="36" customFormat="true" ht="12.75" hidden="true" customHeight="false" outlineLevel="0" collapsed="false">
      <c r="A38" s="152" t="s">
        <v>66</v>
      </c>
      <c r="B38" s="38"/>
      <c r="C38" s="106" t="s">
        <v>67</v>
      </c>
      <c r="D38" s="144"/>
      <c r="E38" s="144"/>
      <c r="F38" s="144"/>
      <c r="G38" s="144"/>
      <c r="H38" s="145"/>
      <c r="I38" s="146"/>
      <c r="J38" s="144"/>
      <c r="K38" s="144"/>
      <c r="L38" s="144"/>
      <c r="M38" s="144"/>
      <c r="N38" s="145"/>
      <c r="O38" s="146"/>
      <c r="P38" s="144"/>
      <c r="Q38" s="144"/>
      <c r="R38" s="144"/>
      <c r="S38" s="144"/>
      <c r="T38" s="145"/>
      <c r="U38" s="147"/>
      <c r="V38" s="144"/>
      <c r="W38" s="144"/>
      <c r="X38" s="144"/>
      <c r="Y38" s="144"/>
      <c r="Z38" s="144"/>
      <c r="AA38" s="144"/>
      <c r="AB38" s="145"/>
      <c r="AC38" s="147"/>
      <c r="AD38" s="144"/>
      <c r="AE38" s="144"/>
      <c r="AF38" s="144"/>
      <c r="AG38" s="144"/>
      <c r="AH38" s="144"/>
      <c r="AI38" s="144"/>
      <c r="AJ38" s="145"/>
      <c r="AK38" s="148"/>
      <c r="AL38" s="144"/>
      <c r="AM38" s="144"/>
      <c r="AN38" s="144"/>
      <c r="AO38" s="144"/>
      <c r="AP38" s="144"/>
      <c r="AQ38" s="144"/>
      <c r="AR38" s="144"/>
      <c r="AS38" s="146"/>
      <c r="AT38" s="148"/>
      <c r="AU38" s="144"/>
      <c r="AV38" s="144"/>
      <c r="AW38" s="144"/>
      <c r="AX38" s="144"/>
      <c r="AY38" s="144"/>
      <c r="AZ38" s="144"/>
      <c r="BA38" s="146"/>
      <c r="BB38" s="148"/>
      <c r="BC38" s="144"/>
      <c r="BD38" s="144"/>
      <c r="BE38" s="144"/>
      <c r="BF38" s="144"/>
      <c r="BG38" s="144"/>
      <c r="BH38" s="144"/>
      <c r="BI38" s="146"/>
      <c r="BJ38" s="148"/>
      <c r="BK38" s="144"/>
      <c r="BL38" s="144"/>
      <c r="BM38" s="144"/>
      <c r="BN38" s="144"/>
      <c r="BO38" s="144"/>
      <c r="BP38" s="144"/>
      <c r="BQ38" s="144"/>
      <c r="BR38" s="146"/>
      <c r="BS38" s="148"/>
      <c r="BT38" s="144"/>
      <c r="BU38" s="144"/>
      <c r="BV38" s="144"/>
      <c r="BW38" s="144"/>
      <c r="BX38" s="144"/>
      <c r="BY38" s="144"/>
      <c r="BZ38" s="146"/>
      <c r="CA38" s="148"/>
      <c r="CB38" s="144"/>
      <c r="CC38" s="144"/>
      <c r="CD38" s="144"/>
      <c r="CE38" s="144"/>
      <c r="CF38" s="144"/>
      <c r="CG38" s="144"/>
      <c r="CH38" s="146"/>
      <c r="CI38" s="148"/>
      <c r="CJ38" s="144"/>
      <c r="CK38" s="144"/>
      <c r="CL38" s="144"/>
      <c r="CM38" s="144"/>
      <c r="CN38" s="144"/>
      <c r="CO38" s="144"/>
      <c r="CP38" s="146"/>
      <c r="CQ38" s="148"/>
      <c r="CR38" s="144"/>
      <c r="CS38" s="144"/>
      <c r="CT38" s="144"/>
      <c r="CU38" s="144" t="n">
        <f aca="false">+CR38-CS38</f>
        <v>0</v>
      </c>
      <c r="CV38" s="144" t="n">
        <f aca="false">+CR38-CT38</f>
        <v>0</v>
      </c>
      <c r="CW38" s="144"/>
      <c r="CX38" s="146" t="str">
        <f aca="false">IFERROR(CR38/CW38-1, "-")</f>
        <v>-</v>
      </c>
      <c r="CY38" s="149"/>
      <c r="CZ38" s="144"/>
      <c r="DA38" s="144"/>
      <c r="DB38" s="144"/>
      <c r="DC38" s="144"/>
      <c r="DD38" s="144"/>
      <c r="DE38" s="146"/>
      <c r="DF38" s="146"/>
      <c r="DG38" s="146"/>
      <c r="DH38" s="146"/>
      <c r="DI38" s="116"/>
      <c r="DJ38" s="117"/>
      <c r="DK38" s="117"/>
      <c r="DL38" s="117"/>
      <c r="DM38" s="117"/>
      <c r="DN38" s="118"/>
      <c r="DO38" s="14"/>
      <c r="DX38" s="107"/>
      <c r="DY38" s="107"/>
      <c r="DZ38" s="107"/>
    </row>
    <row r="39" s="36" customFormat="true" ht="12.75" hidden="true" customHeight="false" outlineLevel="0" collapsed="false">
      <c r="A39" s="152" t="s">
        <v>68</v>
      </c>
      <c r="B39" s="38"/>
      <c r="C39" s="106" t="s">
        <v>69</v>
      </c>
      <c r="D39" s="144"/>
      <c r="E39" s="144"/>
      <c r="F39" s="144"/>
      <c r="G39" s="144"/>
      <c r="H39" s="145"/>
      <c r="I39" s="146"/>
      <c r="J39" s="144"/>
      <c r="K39" s="144"/>
      <c r="L39" s="144"/>
      <c r="M39" s="144"/>
      <c r="N39" s="145"/>
      <c r="O39" s="146"/>
      <c r="P39" s="144"/>
      <c r="Q39" s="144"/>
      <c r="R39" s="144"/>
      <c r="S39" s="144"/>
      <c r="T39" s="145"/>
      <c r="U39" s="147"/>
      <c r="V39" s="144"/>
      <c r="W39" s="144"/>
      <c r="X39" s="144"/>
      <c r="Y39" s="144"/>
      <c r="Z39" s="144"/>
      <c r="AA39" s="144"/>
      <c r="AB39" s="145"/>
      <c r="AC39" s="147"/>
      <c r="AD39" s="144"/>
      <c r="AE39" s="144"/>
      <c r="AF39" s="144"/>
      <c r="AG39" s="144"/>
      <c r="AH39" s="144"/>
      <c r="AI39" s="144"/>
      <c r="AJ39" s="145"/>
      <c r="AK39" s="148"/>
      <c r="AL39" s="144"/>
      <c r="AM39" s="144"/>
      <c r="AN39" s="144"/>
      <c r="AO39" s="144"/>
      <c r="AP39" s="144"/>
      <c r="AQ39" s="144"/>
      <c r="AR39" s="144"/>
      <c r="AS39" s="146"/>
      <c r="AT39" s="148"/>
      <c r="AU39" s="144"/>
      <c r="AV39" s="144"/>
      <c r="AW39" s="144"/>
      <c r="AX39" s="144"/>
      <c r="AY39" s="144"/>
      <c r="AZ39" s="144"/>
      <c r="BA39" s="146"/>
      <c r="BB39" s="148"/>
      <c r="BC39" s="144"/>
      <c r="BD39" s="144"/>
      <c r="BE39" s="144"/>
      <c r="BF39" s="144"/>
      <c r="BG39" s="144"/>
      <c r="BH39" s="144"/>
      <c r="BI39" s="146"/>
      <c r="BJ39" s="148"/>
      <c r="BK39" s="144"/>
      <c r="BL39" s="144"/>
      <c r="BM39" s="144"/>
      <c r="BN39" s="144"/>
      <c r="BO39" s="144"/>
      <c r="BP39" s="144"/>
      <c r="BQ39" s="144"/>
      <c r="BR39" s="146"/>
      <c r="BS39" s="148"/>
      <c r="BT39" s="144"/>
      <c r="BU39" s="144"/>
      <c r="BV39" s="144"/>
      <c r="BW39" s="144"/>
      <c r="BX39" s="144"/>
      <c r="BY39" s="144"/>
      <c r="BZ39" s="146"/>
      <c r="CA39" s="148"/>
      <c r="CB39" s="144"/>
      <c r="CC39" s="144"/>
      <c r="CD39" s="144"/>
      <c r="CE39" s="144"/>
      <c r="CF39" s="144"/>
      <c r="CG39" s="144"/>
      <c r="CH39" s="146"/>
      <c r="CI39" s="148"/>
      <c r="CJ39" s="144"/>
      <c r="CK39" s="144"/>
      <c r="CL39" s="144"/>
      <c r="CM39" s="144"/>
      <c r="CN39" s="144"/>
      <c r="CO39" s="144"/>
      <c r="CP39" s="146"/>
      <c r="CQ39" s="148"/>
      <c r="CR39" s="144"/>
      <c r="CS39" s="144"/>
      <c r="CT39" s="144"/>
      <c r="CU39" s="144" t="n">
        <f aca="false">+CR39-CS39</f>
        <v>0</v>
      </c>
      <c r="CV39" s="144" t="n">
        <f aca="false">+CR39-CT39</f>
        <v>0</v>
      </c>
      <c r="CW39" s="144"/>
      <c r="CX39" s="146" t="str">
        <f aca="false">IFERROR(CR39/CW39-1, "-")</f>
        <v>-</v>
      </c>
      <c r="CY39" s="149"/>
      <c r="CZ39" s="144"/>
      <c r="DA39" s="144"/>
      <c r="DB39" s="144"/>
      <c r="DC39" s="144"/>
      <c r="DD39" s="144"/>
      <c r="DE39" s="146"/>
      <c r="DF39" s="146"/>
      <c r="DG39" s="146"/>
      <c r="DH39" s="146"/>
      <c r="DI39" s="116"/>
      <c r="DJ39" s="117"/>
      <c r="DK39" s="117"/>
      <c r="DL39" s="117"/>
      <c r="DM39" s="117"/>
      <c r="DN39" s="118"/>
      <c r="DO39" s="14"/>
      <c r="DX39" s="107"/>
      <c r="DY39" s="107"/>
      <c r="DZ39" s="107"/>
    </row>
    <row r="40" s="36" customFormat="true" ht="12.75" hidden="true" customHeight="false" outlineLevel="0" collapsed="false">
      <c r="A40" s="152"/>
      <c r="B40" s="38"/>
      <c r="C40" s="106" t="s">
        <v>70</v>
      </c>
      <c r="D40" s="144"/>
      <c r="E40" s="144"/>
      <c r="F40" s="144"/>
      <c r="G40" s="144"/>
      <c r="H40" s="145"/>
      <c r="I40" s="146"/>
      <c r="J40" s="144"/>
      <c r="K40" s="144"/>
      <c r="L40" s="144"/>
      <c r="M40" s="144"/>
      <c r="N40" s="145"/>
      <c r="O40" s="146"/>
      <c r="P40" s="144"/>
      <c r="Q40" s="144"/>
      <c r="R40" s="144"/>
      <c r="S40" s="144"/>
      <c r="T40" s="145"/>
      <c r="U40" s="147"/>
      <c r="V40" s="144"/>
      <c r="W40" s="144"/>
      <c r="X40" s="144"/>
      <c r="Y40" s="144"/>
      <c r="Z40" s="144"/>
      <c r="AA40" s="144"/>
      <c r="AB40" s="145"/>
      <c r="AC40" s="147"/>
      <c r="AD40" s="144"/>
      <c r="AE40" s="144"/>
      <c r="AF40" s="144"/>
      <c r="AG40" s="144"/>
      <c r="AH40" s="144"/>
      <c r="AI40" s="144"/>
      <c r="AJ40" s="145"/>
      <c r="AK40" s="148"/>
      <c r="AL40" s="144"/>
      <c r="AM40" s="144"/>
      <c r="AN40" s="144"/>
      <c r="AO40" s="144"/>
      <c r="AP40" s="144"/>
      <c r="AQ40" s="144"/>
      <c r="AR40" s="144"/>
      <c r="AS40" s="146"/>
      <c r="AT40" s="148"/>
      <c r="AU40" s="144"/>
      <c r="AV40" s="144"/>
      <c r="AW40" s="144"/>
      <c r="AX40" s="144"/>
      <c r="AY40" s="144"/>
      <c r="AZ40" s="144"/>
      <c r="BA40" s="146"/>
      <c r="BB40" s="148"/>
      <c r="BC40" s="144"/>
      <c r="BD40" s="144"/>
      <c r="BE40" s="144"/>
      <c r="BF40" s="144"/>
      <c r="BG40" s="144"/>
      <c r="BH40" s="144"/>
      <c r="BI40" s="146"/>
      <c r="BJ40" s="148"/>
      <c r="BK40" s="144"/>
      <c r="BL40" s="144"/>
      <c r="BM40" s="144"/>
      <c r="BN40" s="144"/>
      <c r="BO40" s="144"/>
      <c r="BP40" s="144"/>
      <c r="BQ40" s="144"/>
      <c r="BR40" s="146"/>
      <c r="BS40" s="148"/>
      <c r="BT40" s="144"/>
      <c r="BU40" s="144"/>
      <c r="BV40" s="144"/>
      <c r="BW40" s="144"/>
      <c r="BX40" s="144"/>
      <c r="BY40" s="144"/>
      <c r="BZ40" s="146"/>
      <c r="CA40" s="148"/>
      <c r="CB40" s="144"/>
      <c r="CC40" s="144"/>
      <c r="CD40" s="144"/>
      <c r="CE40" s="144"/>
      <c r="CF40" s="144"/>
      <c r="CG40" s="144"/>
      <c r="CH40" s="146"/>
      <c r="CI40" s="148"/>
      <c r="CJ40" s="144"/>
      <c r="CK40" s="144"/>
      <c r="CL40" s="144"/>
      <c r="CM40" s="144"/>
      <c r="CN40" s="144"/>
      <c r="CO40" s="144"/>
      <c r="CP40" s="146"/>
      <c r="CQ40" s="148"/>
      <c r="CR40" s="144"/>
      <c r="CS40" s="144"/>
      <c r="CT40" s="144"/>
      <c r="CU40" s="144" t="n">
        <f aca="false">+CR40-CS40</f>
        <v>0</v>
      </c>
      <c r="CV40" s="144" t="n">
        <f aca="false">+CR40-CT40</f>
        <v>0</v>
      </c>
      <c r="CW40" s="144"/>
      <c r="CX40" s="146" t="str">
        <f aca="false">IFERROR(CR40/CW40-1, "-")</f>
        <v>-</v>
      </c>
      <c r="CY40" s="149"/>
      <c r="CZ40" s="144"/>
      <c r="DA40" s="144"/>
      <c r="DB40" s="144"/>
      <c r="DC40" s="144"/>
      <c r="DD40" s="144"/>
      <c r="DE40" s="146"/>
      <c r="DF40" s="146"/>
      <c r="DG40" s="146"/>
      <c r="DH40" s="146"/>
      <c r="DI40" s="116"/>
      <c r="DJ40" s="117"/>
      <c r="DK40" s="117"/>
      <c r="DL40" s="117"/>
      <c r="DM40" s="117"/>
      <c r="DN40" s="118"/>
      <c r="DO40" s="14"/>
      <c r="DX40" s="107"/>
      <c r="DY40" s="107"/>
      <c r="DZ40" s="107"/>
    </row>
    <row r="41" s="156" customFormat="true" ht="12.75" hidden="false" customHeight="false" outlineLevel="0" collapsed="false">
      <c r="A41" s="153" t="s">
        <v>71</v>
      </c>
      <c r="B41" s="38"/>
      <c r="C41" s="106" t="s">
        <v>72</v>
      </c>
      <c r="D41" s="130"/>
      <c r="E41" s="130"/>
      <c r="F41" s="130"/>
      <c r="G41" s="130"/>
      <c r="H41" s="131"/>
      <c r="I41" s="127"/>
      <c r="J41" s="130"/>
      <c r="K41" s="130"/>
      <c r="L41" s="130"/>
      <c r="M41" s="130"/>
      <c r="N41" s="131"/>
      <c r="O41" s="127"/>
      <c r="P41" s="130"/>
      <c r="Q41" s="130"/>
      <c r="R41" s="130"/>
      <c r="S41" s="130"/>
      <c r="T41" s="131"/>
      <c r="U41" s="132"/>
      <c r="V41" s="130"/>
      <c r="W41" s="130"/>
      <c r="X41" s="130"/>
      <c r="Y41" s="130"/>
      <c r="Z41" s="130"/>
      <c r="AA41" s="130"/>
      <c r="AB41" s="131"/>
      <c r="AC41" s="132"/>
      <c r="AD41" s="130"/>
      <c r="AE41" s="130"/>
      <c r="AF41" s="130"/>
      <c r="AG41" s="130"/>
      <c r="AH41" s="130"/>
      <c r="AI41" s="130"/>
      <c r="AJ41" s="131"/>
      <c r="AK41" s="125"/>
      <c r="AL41" s="130"/>
      <c r="AM41" s="130"/>
      <c r="AN41" s="130"/>
      <c r="AO41" s="130"/>
      <c r="AP41" s="130"/>
      <c r="AQ41" s="130"/>
      <c r="AR41" s="130"/>
      <c r="AS41" s="127"/>
      <c r="AT41" s="125"/>
      <c r="AU41" s="130"/>
      <c r="AV41" s="130"/>
      <c r="AW41" s="130"/>
      <c r="AX41" s="130"/>
      <c r="AY41" s="130"/>
      <c r="AZ41" s="130"/>
      <c r="BA41" s="127"/>
      <c r="BB41" s="125"/>
      <c r="BC41" s="130"/>
      <c r="BD41" s="130"/>
      <c r="BE41" s="130"/>
      <c r="BF41" s="130"/>
      <c r="BG41" s="130"/>
      <c r="BH41" s="130"/>
      <c r="BI41" s="127"/>
      <c r="BJ41" s="125"/>
      <c r="BK41" s="130"/>
      <c r="BL41" s="130"/>
      <c r="BM41" s="130"/>
      <c r="BN41" s="130"/>
      <c r="BO41" s="130"/>
      <c r="BP41" s="130"/>
      <c r="BQ41" s="130"/>
      <c r="BR41" s="127"/>
      <c r="BS41" s="125"/>
      <c r="BT41" s="130"/>
      <c r="BU41" s="130"/>
      <c r="BV41" s="130"/>
      <c r="BW41" s="130"/>
      <c r="BX41" s="130"/>
      <c r="BY41" s="130"/>
      <c r="BZ41" s="127"/>
      <c r="CA41" s="125"/>
      <c r="CB41" s="130"/>
      <c r="CC41" s="130"/>
      <c r="CD41" s="130"/>
      <c r="CE41" s="130"/>
      <c r="CF41" s="130"/>
      <c r="CG41" s="130"/>
      <c r="CH41" s="127"/>
      <c r="CI41" s="125"/>
      <c r="CJ41" s="130"/>
      <c r="CK41" s="130"/>
      <c r="CL41" s="130"/>
      <c r="CM41" s="130"/>
      <c r="CN41" s="130"/>
      <c r="CO41" s="130"/>
      <c r="CP41" s="127"/>
      <c r="CQ41" s="125"/>
      <c r="CR41" s="130"/>
      <c r="CS41" s="130"/>
      <c r="CT41" s="130"/>
      <c r="CU41" s="130" t="n">
        <f aca="false">+CR41-CS41</f>
        <v>0</v>
      </c>
      <c r="CV41" s="130" t="n">
        <f aca="false">+CR41-CT41</f>
        <v>0</v>
      </c>
      <c r="CW41" s="130"/>
      <c r="CX41" s="127" t="str">
        <f aca="false">IFERROR(CR41/CW41-1, "-")</f>
        <v>-</v>
      </c>
      <c r="CY41" s="149"/>
      <c r="CZ41" s="130"/>
      <c r="DA41" s="130"/>
      <c r="DB41" s="130"/>
      <c r="DC41" s="130"/>
      <c r="DD41" s="130"/>
      <c r="DE41" s="127" t="e">
        <f aca="false">CZ41/DD41-1</f>
        <v>#DIV/0!</v>
      </c>
      <c r="DF41" s="127" t="e">
        <f aca="false">DA41/DD41-1</f>
        <v>#DIV/0!</v>
      </c>
      <c r="DG41" s="127" t="e">
        <f aca="false">DB41/DD41-1</f>
        <v>#DIV/0!</v>
      </c>
      <c r="DH41" s="127" t="e">
        <f aca="false">DC41/DD41-1</f>
        <v>#DIV/0!</v>
      </c>
      <c r="DI41" s="116"/>
      <c r="DJ41" s="117"/>
      <c r="DK41" s="117"/>
      <c r="DL41" s="117"/>
      <c r="DM41" s="117"/>
      <c r="DN41" s="118"/>
      <c r="DO41" s="155"/>
      <c r="DX41" s="107"/>
      <c r="DY41" s="107"/>
      <c r="DZ41" s="107"/>
    </row>
    <row r="42" s="167" customFormat="true" ht="12.75" hidden="false" customHeight="false" outlineLevel="0" collapsed="false">
      <c r="A42" s="169" t="s">
        <v>43</v>
      </c>
      <c r="B42" s="127"/>
      <c r="C42" s="106" t="s">
        <v>73</v>
      </c>
      <c r="D42" s="174"/>
      <c r="E42" s="127"/>
      <c r="F42" s="164"/>
      <c r="G42" s="127"/>
      <c r="H42" s="175"/>
      <c r="I42" s="176"/>
      <c r="J42" s="174"/>
      <c r="K42" s="127"/>
      <c r="L42" s="164"/>
      <c r="M42" s="127"/>
      <c r="N42" s="175"/>
      <c r="O42" s="176"/>
      <c r="P42" s="174"/>
      <c r="Q42" s="127"/>
      <c r="R42" s="164"/>
      <c r="S42" s="127"/>
      <c r="T42" s="175"/>
      <c r="U42" s="177"/>
      <c r="V42" s="174"/>
      <c r="W42" s="127"/>
      <c r="X42" s="127"/>
      <c r="Y42" s="164"/>
      <c r="Z42" s="164"/>
      <c r="AA42" s="127"/>
      <c r="AB42" s="175"/>
      <c r="AC42" s="177"/>
      <c r="AD42" s="174"/>
      <c r="AE42" s="127"/>
      <c r="AF42" s="127"/>
      <c r="AG42" s="164"/>
      <c r="AH42" s="164"/>
      <c r="AI42" s="127"/>
      <c r="AJ42" s="175"/>
      <c r="AK42" s="178"/>
      <c r="AL42" s="127"/>
      <c r="AM42" s="127"/>
      <c r="AN42" s="127"/>
      <c r="AO42" s="127"/>
      <c r="AP42" s="164"/>
      <c r="AQ42" s="164"/>
      <c r="AR42" s="127"/>
      <c r="AS42" s="176"/>
      <c r="AT42" s="178"/>
      <c r="AU42" s="127"/>
      <c r="AV42" s="127"/>
      <c r="AW42" s="127"/>
      <c r="AX42" s="164"/>
      <c r="AY42" s="164"/>
      <c r="AZ42" s="127"/>
      <c r="BA42" s="176"/>
      <c r="BB42" s="178"/>
      <c r="BC42" s="127"/>
      <c r="BD42" s="127"/>
      <c r="BE42" s="127"/>
      <c r="BF42" s="164"/>
      <c r="BG42" s="164"/>
      <c r="BH42" s="127"/>
      <c r="BI42" s="176"/>
      <c r="BJ42" s="178"/>
      <c r="BK42" s="174"/>
      <c r="BL42" s="127"/>
      <c r="BM42" s="127"/>
      <c r="BN42" s="127"/>
      <c r="BO42" s="164"/>
      <c r="BP42" s="164"/>
      <c r="BQ42" s="127"/>
      <c r="BR42" s="176"/>
      <c r="BS42" s="178"/>
      <c r="BT42" s="174"/>
      <c r="BU42" s="127"/>
      <c r="BV42" s="127"/>
      <c r="BW42" s="164"/>
      <c r="BX42" s="164"/>
      <c r="BY42" s="127"/>
      <c r="BZ42" s="176"/>
      <c r="CA42" s="178"/>
      <c r="CB42" s="174"/>
      <c r="CC42" s="127"/>
      <c r="CD42" s="127"/>
      <c r="CE42" s="164"/>
      <c r="CF42" s="164"/>
      <c r="CG42" s="127"/>
      <c r="CH42" s="176"/>
      <c r="CI42" s="178"/>
      <c r="CJ42" s="174"/>
      <c r="CK42" s="127"/>
      <c r="CL42" s="127"/>
      <c r="CM42" s="164"/>
      <c r="CN42" s="164"/>
      <c r="CO42" s="127"/>
      <c r="CP42" s="176"/>
      <c r="CQ42" s="178"/>
      <c r="CR42" s="127"/>
      <c r="CS42" s="174"/>
      <c r="CT42" s="174"/>
      <c r="CU42" s="164" t="n">
        <f aca="false">+(CR42-CS42)*100</f>
        <v>0</v>
      </c>
      <c r="CV42" s="164" t="n">
        <f aca="false">+(CR42-CT42)*100</f>
        <v>0</v>
      </c>
      <c r="CW42" s="174"/>
      <c r="CX42" s="176" t="str">
        <f aca="false">IFERROR(CR42/CW42-1, "-")</f>
        <v>-</v>
      </c>
      <c r="CY42" s="125"/>
      <c r="CZ42" s="127"/>
      <c r="DA42" s="127"/>
      <c r="DB42" s="127"/>
      <c r="DC42" s="127"/>
      <c r="DD42" s="127"/>
      <c r="DE42" s="164" t="n">
        <f aca="false">+(CZ42-DD42)*100</f>
        <v>0</v>
      </c>
      <c r="DF42" s="127" t="e">
        <f aca="false">DA42/DD42-1</f>
        <v>#DIV/0!</v>
      </c>
      <c r="DG42" s="127" t="e">
        <f aca="false">DB42/DD42-1</f>
        <v>#DIV/0!</v>
      </c>
      <c r="DH42" s="179" t="e">
        <f aca="false">DC42/DD42-1</f>
        <v>#DIV/0!</v>
      </c>
      <c r="DI42" s="116"/>
      <c r="DJ42" s="117"/>
      <c r="DK42" s="117"/>
      <c r="DL42" s="117"/>
      <c r="DM42" s="117"/>
      <c r="DN42" s="118"/>
      <c r="DO42" s="166"/>
      <c r="DX42" s="107"/>
      <c r="DY42" s="107"/>
      <c r="DZ42" s="107"/>
    </row>
    <row r="43" s="181" customFormat="true" ht="12" hidden="true" customHeight="true" outlineLevel="0" collapsed="false">
      <c r="A43" s="157" t="s">
        <v>23</v>
      </c>
      <c r="B43" s="38"/>
      <c r="C43" s="106" t="s">
        <v>74</v>
      </c>
      <c r="D43" s="144"/>
      <c r="E43" s="144"/>
      <c r="F43" s="144"/>
      <c r="G43" s="144"/>
      <c r="H43" s="145"/>
      <c r="I43" s="146"/>
      <c r="J43" s="144"/>
      <c r="K43" s="144"/>
      <c r="L43" s="144"/>
      <c r="M43" s="144"/>
      <c r="N43" s="145"/>
      <c r="O43" s="146"/>
      <c r="P43" s="144"/>
      <c r="Q43" s="144"/>
      <c r="R43" s="144"/>
      <c r="S43" s="144"/>
      <c r="T43" s="145"/>
      <c r="U43" s="147"/>
      <c r="V43" s="144"/>
      <c r="W43" s="144"/>
      <c r="X43" s="144"/>
      <c r="Y43" s="144"/>
      <c r="Z43" s="144"/>
      <c r="AA43" s="144"/>
      <c r="AB43" s="145"/>
      <c r="AC43" s="147"/>
      <c r="AD43" s="144"/>
      <c r="AE43" s="144"/>
      <c r="AF43" s="144"/>
      <c r="AG43" s="144"/>
      <c r="AH43" s="144"/>
      <c r="AI43" s="144"/>
      <c r="AJ43" s="145"/>
      <c r="AK43" s="148"/>
      <c r="AL43" s="144"/>
      <c r="AM43" s="144"/>
      <c r="AN43" s="144"/>
      <c r="AO43" s="144"/>
      <c r="AP43" s="144"/>
      <c r="AQ43" s="144"/>
      <c r="AR43" s="144"/>
      <c r="AS43" s="146"/>
      <c r="AT43" s="148"/>
      <c r="AU43" s="144"/>
      <c r="AV43" s="144"/>
      <c r="AW43" s="144"/>
      <c r="AX43" s="144"/>
      <c r="AY43" s="144"/>
      <c r="AZ43" s="144"/>
      <c r="BA43" s="146"/>
      <c r="BB43" s="148"/>
      <c r="BC43" s="144"/>
      <c r="BD43" s="144"/>
      <c r="BE43" s="144"/>
      <c r="BF43" s="144"/>
      <c r="BG43" s="144"/>
      <c r="BH43" s="144"/>
      <c r="BI43" s="146"/>
      <c r="BJ43" s="148"/>
      <c r="BK43" s="144"/>
      <c r="BL43" s="144"/>
      <c r="BM43" s="144"/>
      <c r="BN43" s="144"/>
      <c r="BO43" s="144"/>
      <c r="BP43" s="144"/>
      <c r="BQ43" s="144"/>
      <c r="BR43" s="146"/>
      <c r="BS43" s="148"/>
      <c r="BT43" s="144"/>
      <c r="BU43" s="144"/>
      <c r="BV43" s="144"/>
      <c r="BW43" s="144"/>
      <c r="BX43" s="144"/>
      <c r="BY43" s="144"/>
      <c r="BZ43" s="146"/>
      <c r="CA43" s="148"/>
      <c r="CB43" s="144"/>
      <c r="CC43" s="144"/>
      <c r="CD43" s="144"/>
      <c r="CE43" s="144"/>
      <c r="CF43" s="144"/>
      <c r="CG43" s="144"/>
      <c r="CH43" s="146"/>
      <c r="CI43" s="148"/>
      <c r="CJ43" s="144"/>
      <c r="CK43" s="144"/>
      <c r="CL43" s="144"/>
      <c r="CM43" s="144"/>
      <c r="CN43" s="144"/>
      <c r="CO43" s="144"/>
      <c r="CP43" s="146"/>
      <c r="CQ43" s="148"/>
      <c r="CR43" s="144"/>
      <c r="CS43" s="144"/>
      <c r="CT43" s="144"/>
      <c r="CU43" s="144" t="n">
        <f aca="false">+CR43-CS43</f>
        <v>0</v>
      </c>
      <c r="CV43" s="144" t="n">
        <f aca="false">+CR43-CT43</f>
        <v>0</v>
      </c>
      <c r="CW43" s="144"/>
      <c r="CX43" s="146" t="str">
        <f aca="false">IFERROR(CR43/CW43-1, "-")</f>
        <v>-</v>
      </c>
      <c r="CY43" s="149"/>
      <c r="CZ43" s="144"/>
      <c r="DA43" s="144"/>
      <c r="DB43" s="144"/>
      <c r="DC43" s="144"/>
      <c r="DD43" s="144"/>
      <c r="DE43" s="146" t="e">
        <f aca="false">CZ43/DD43-1</f>
        <v>#DIV/0!</v>
      </c>
      <c r="DF43" s="146"/>
      <c r="DG43" s="146"/>
      <c r="DH43" s="146"/>
      <c r="DI43" s="116"/>
      <c r="DJ43" s="117"/>
      <c r="DK43" s="117"/>
      <c r="DL43" s="117"/>
      <c r="DM43" s="117"/>
      <c r="DN43" s="118"/>
      <c r="DO43" s="180"/>
      <c r="DX43" s="107"/>
      <c r="DY43" s="107"/>
      <c r="DZ43" s="107"/>
    </row>
    <row r="44" s="181" customFormat="true" ht="12" hidden="true" customHeight="true" outlineLevel="0" collapsed="false">
      <c r="A44" s="157" t="s">
        <v>25</v>
      </c>
      <c r="B44" s="38"/>
      <c r="C44" s="106" t="s">
        <v>75</v>
      </c>
      <c r="D44" s="144"/>
      <c r="E44" s="144"/>
      <c r="F44" s="144"/>
      <c r="G44" s="144"/>
      <c r="H44" s="145"/>
      <c r="I44" s="146"/>
      <c r="J44" s="144"/>
      <c r="K44" s="144"/>
      <c r="L44" s="144"/>
      <c r="M44" s="144"/>
      <c r="N44" s="145"/>
      <c r="O44" s="146"/>
      <c r="P44" s="144"/>
      <c r="Q44" s="144"/>
      <c r="R44" s="144"/>
      <c r="S44" s="144"/>
      <c r="T44" s="145"/>
      <c r="U44" s="147"/>
      <c r="V44" s="144"/>
      <c r="W44" s="144"/>
      <c r="X44" s="144"/>
      <c r="Y44" s="144"/>
      <c r="Z44" s="144"/>
      <c r="AA44" s="144"/>
      <c r="AB44" s="145"/>
      <c r="AC44" s="147"/>
      <c r="AD44" s="144"/>
      <c r="AE44" s="144"/>
      <c r="AF44" s="144"/>
      <c r="AG44" s="144"/>
      <c r="AH44" s="144"/>
      <c r="AI44" s="144"/>
      <c r="AJ44" s="145"/>
      <c r="AK44" s="148"/>
      <c r="AL44" s="144"/>
      <c r="AM44" s="144"/>
      <c r="AN44" s="144"/>
      <c r="AO44" s="144"/>
      <c r="AP44" s="144"/>
      <c r="AQ44" s="144"/>
      <c r="AR44" s="144"/>
      <c r="AS44" s="146"/>
      <c r="AT44" s="148"/>
      <c r="AU44" s="144"/>
      <c r="AV44" s="144"/>
      <c r="AW44" s="144"/>
      <c r="AX44" s="144"/>
      <c r="AY44" s="144"/>
      <c r="AZ44" s="144"/>
      <c r="BA44" s="146"/>
      <c r="BB44" s="148"/>
      <c r="BC44" s="144"/>
      <c r="BD44" s="144"/>
      <c r="BE44" s="144"/>
      <c r="BF44" s="144"/>
      <c r="BG44" s="144"/>
      <c r="BH44" s="144"/>
      <c r="BI44" s="146"/>
      <c r="BJ44" s="148"/>
      <c r="BK44" s="144"/>
      <c r="BL44" s="144"/>
      <c r="BM44" s="144"/>
      <c r="BN44" s="144"/>
      <c r="BO44" s="144"/>
      <c r="BP44" s="144"/>
      <c r="BQ44" s="144"/>
      <c r="BR44" s="146"/>
      <c r="BS44" s="148"/>
      <c r="BT44" s="144"/>
      <c r="BU44" s="144"/>
      <c r="BV44" s="144"/>
      <c r="BW44" s="144"/>
      <c r="BX44" s="144"/>
      <c r="BY44" s="144"/>
      <c r="BZ44" s="146"/>
      <c r="CA44" s="148"/>
      <c r="CB44" s="144"/>
      <c r="CC44" s="144"/>
      <c r="CD44" s="144"/>
      <c r="CE44" s="144"/>
      <c r="CF44" s="144"/>
      <c r="CG44" s="144"/>
      <c r="CH44" s="146"/>
      <c r="CI44" s="148"/>
      <c r="CJ44" s="144"/>
      <c r="CK44" s="144"/>
      <c r="CL44" s="144"/>
      <c r="CM44" s="144"/>
      <c r="CN44" s="144"/>
      <c r="CO44" s="144"/>
      <c r="CP44" s="146"/>
      <c r="CQ44" s="148"/>
      <c r="CR44" s="144"/>
      <c r="CS44" s="144"/>
      <c r="CT44" s="144"/>
      <c r="CU44" s="144" t="n">
        <f aca="false">+CR44-CS44</f>
        <v>0</v>
      </c>
      <c r="CV44" s="144" t="n">
        <f aca="false">+CR44-CT44</f>
        <v>0</v>
      </c>
      <c r="CW44" s="144"/>
      <c r="CX44" s="146" t="str">
        <f aca="false">IFERROR(CR44/CW44-1, "-")</f>
        <v>-</v>
      </c>
      <c r="CY44" s="149"/>
      <c r="CZ44" s="144"/>
      <c r="DA44" s="144"/>
      <c r="DB44" s="144"/>
      <c r="DC44" s="144"/>
      <c r="DD44" s="144"/>
      <c r="DE44" s="146" t="e">
        <f aca="false">CZ44/DD44-1</f>
        <v>#DIV/0!</v>
      </c>
      <c r="DF44" s="146"/>
      <c r="DG44" s="146"/>
      <c r="DH44" s="146"/>
      <c r="DI44" s="116"/>
      <c r="DJ44" s="117"/>
      <c r="DK44" s="117"/>
      <c r="DL44" s="117"/>
      <c r="DM44" s="117"/>
      <c r="DN44" s="118"/>
      <c r="DO44" s="180"/>
      <c r="DX44" s="107"/>
      <c r="DY44" s="107"/>
      <c r="DZ44" s="107"/>
    </row>
    <row r="45" s="181" customFormat="true" ht="12" hidden="true" customHeight="true" outlineLevel="0" collapsed="false">
      <c r="A45" s="182"/>
      <c r="B45" s="38"/>
      <c r="C45" s="106" t="s">
        <v>76</v>
      </c>
      <c r="D45" s="144"/>
      <c r="E45" s="144"/>
      <c r="F45" s="144"/>
      <c r="G45" s="144"/>
      <c r="H45" s="145"/>
      <c r="I45" s="146"/>
      <c r="J45" s="144"/>
      <c r="K45" s="144"/>
      <c r="L45" s="144"/>
      <c r="M45" s="144"/>
      <c r="N45" s="145"/>
      <c r="O45" s="146"/>
      <c r="P45" s="144"/>
      <c r="Q45" s="144"/>
      <c r="R45" s="144"/>
      <c r="S45" s="144"/>
      <c r="T45" s="145"/>
      <c r="U45" s="147"/>
      <c r="V45" s="144"/>
      <c r="W45" s="144"/>
      <c r="X45" s="144"/>
      <c r="Y45" s="144"/>
      <c r="Z45" s="144"/>
      <c r="AA45" s="144"/>
      <c r="AB45" s="145"/>
      <c r="AC45" s="147"/>
      <c r="AD45" s="144"/>
      <c r="AE45" s="144"/>
      <c r="AF45" s="144"/>
      <c r="AG45" s="144"/>
      <c r="AH45" s="144"/>
      <c r="AI45" s="144"/>
      <c r="AJ45" s="145"/>
      <c r="AK45" s="148"/>
      <c r="AL45" s="144"/>
      <c r="AM45" s="144"/>
      <c r="AN45" s="144"/>
      <c r="AO45" s="144"/>
      <c r="AP45" s="144"/>
      <c r="AQ45" s="144"/>
      <c r="AR45" s="144"/>
      <c r="AS45" s="146"/>
      <c r="AT45" s="148"/>
      <c r="AU45" s="144"/>
      <c r="AV45" s="144"/>
      <c r="AW45" s="144"/>
      <c r="AX45" s="144"/>
      <c r="AY45" s="144"/>
      <c r="AZ45" s="144"/>
      <c r="BA45" s="146"/>
      <c r="BB45" s="148"/>
      <c r="BC45" s="144"/>
      <c r="BD45" s="144"/>
      <c r="BE45" s="144"/>
      <c r="BF45" s="144"/>
      <c r="BG45" s="144"/>
      <c r="BH45" s="144"/>
      <c r="BI45" s="146"/>
      <c r="BJ45" s="148"/>
      <c r="BK45" s="144"/>
      <c r="BL45" s="144"/>
      <c r="BM45" s="144"/>
      <c r="BN45" s="144"/>
      <c r="BO45" s="144"/>
      <c r="BP45" s="144"/>
      <c r="BQ45" s="144"/>
      <c r="BR45" s="146"/>
      <c r="BS45" s="148"/>
      <c r="BT45" s="144"/>
      <c r="BU45" s="144"/>
      <c r="BV45" s="144"/>
      <c r="BW45" s="144"/>
      <c r="BX45" s="144"/>
      <c r="BY45" s="144"/>
      <c r="BZ45" s="146"/>
      <c r="CA45" s="148"/>
      <c r="CB45" s="144"/>
      <c r="CC45" s="144"/>
      <c r="CD45" s="144"/>
      <c r="CE45" s="144"/>
      <c r="CF45" s="144"/>
      <c r="CG45" s="144"/>
      <c r="CH45" s="146"/>
      <c r="CI45" s="148"/>
      <c r="CJ45" s="144"/>
      <c r="CK45" s="144"/>
      <c r="CL45" s="144"/>
      <c r="CM45" s="144"/>
      <c r="CN45" s="144"/>
      <c r="CO45" s="144"/>
      <c r="CP45" s="146"/>
      <c r="CQ45" s="148"/>
      <c r="CR45" s="144"/>
      <c r="CS45" s="144"/>
      <c r="CT45" s="144"/>
      <c r="CU45" s="144" t="n">
        <f aca="false">+CR45-CS45</f>
        <v>0</v>
      </c>
      <c r="CV45" s="144" t="n">
        <f aca="false">+CR45-CT45</f>
        <v>0</v>
      </c>
      <c r="CW45" s="144"/>
      <c r="CX45" s="146" t="str">
        <f aca="false">IFERROR(CR45/CW45-1, "-")</f>
        <v>-</v>
      </c>
      <c r="CY45" s="149"/>
      <c r="CZ45" s="144"/>
      <c r="DA45" s="144"/>
      <c r="DB45" s="144"/>
      <c r="DC45" s="144"/>
      <c r="DD45" s="144"/>
      <c r="DE45" s="146" t="e">
        <f aca="false">CZ45/DD45-1</f>
        <v>#DIV/0!</v>
      </c>
      <c r="DF45" s="146"/>
      <c r="DG45" s="146"/>
      <c r="DH45" s="146"/>
      <c r="DI45" s="116"/>
      <c r="DJ45" s="117"/>
      <c r="DK45" s="117"/>
      <c r="DL45" s="117"/>
      <c r="DM45" s="117"/>
      <c r="DN45" s="118"/>
      <c r="DO45" s="180"/>
      <c r="DX45" s="107"/>
      <c r="DY45" s="107"/>
      <c r="DZ45" s="107"/>
    </row>
    <row r="46" s="181" customFormat="true" ht="12.75" hidden="true" customHeight="false" outlineLevel="0" collapsed="false">
      <c r="A46" s="183"/>
      <c r="B46" s="38"/>
      <c r="C46" s="106" t="s">
        <v>77</v>
      </c>
      <c r="D46" s="144"/>
      <c r="E46" s="144"/>
      <c r="F46" s="144"/>
      <c r="G46" s="144"/>
      <c r="H46" s="145"/>
      <c r="I46" s="146"/>
      <c r="J46" s="144"/>
      <c r="K46" s="144"/>
      <c r="L46" s="144"/>
      <c r="M46" s="144"/>
      <c r="N46" s="145"/>
      <c r="O46" s="146"/>
      <c r="P46" s="144"/>
      <c r="Q46" s="144"/>
      <c r="R46" s="144"/>
      <c r="S46" s="144"/>
      <c r="T46" s="145"/>
      <c r="U46" s="147"/>
      <c r="V46" s="144"/>
      <c r="W46" s="144"/>
      <c r="X46" s="144"/>
      <c r="Y46" s="144"/>
      <c r="Z46" s="144"/>
      <c r="AA46" s="144"/>
      <c r="AB46" s="145"/>
      <c r="AC46" s="147"/>
      <c r="AD46" s="144"/>
      <c r="AE46" s="144"/>
      <c r="AF46" s="144"/>
      <c r="AG46" s="144"/>
      <c r="AH46" s="144"/>
      <c r="AI46" s="144"/>
      <c r="AJ46" s="145"/>
      <c r="AK46" s="148"/>
      <c r="AL46" s="144"/>
      <c r="AM46" s="144"/>
      <c r="AN46" s="144"/>
      <c r="AO46" s="144"/>
      <c r="AP46" s="144"/>
      <c r="AQ46" s="144"/>
      <c r="AR46" s="144"/>
      <c r="AS46" s="146"/>
      <c r="AT46" s="148"/>
      <c r="AU46" s="144"/>
      <c r="AV46" s="144"/>
      <c r="AW46" s="144"/>
      <c r="AX46" s="144"/>
      <c r="AY46" s="144"/>
      <c r="AZ46" s="144"/>
      <c r="BA46" s="146"/>
      <c r="BB46" s="148"/>
      <c r="BC46" s="144"/>
      <c r="BD46" s="144"/>
      <c r="BE46" s="144"/>
      <c r="BF46" s="144"/>
      <c r="BG46" s="144"/>
      <c r="BH46" s="144"/>
      <c r="BI46" s="146"/>
      <c r="BJ46" s="148"/>
      <c r="BK46" s="144"/>
      <c r="BL46" s="144"/>
      <c r="BM46" s="144"/>
      <c r="BN46" s="144"/>
      <c r="BO46" s="144"/>
      <c r="BP46" s="144"/>
      <c r="BQ46" s="144"/>
      <c r="BR46" s="146"/>
      <c r="BS46" s="148"/>
      <c r="BT46" s="144"/>
      <c r="BU46" s="144"/>
      <c r="BV46" s="144"/>
      <c r="BW46" s="144"/>
      <c r="BX46" s="144"/>
      <c r="BY46" s="144"/>
      <c r="BZ46" s="146"/>
      <c r="CA46" s="148"/>
      <c r="CB46" s="144"/>
      <c r="CC46" s="144"/>
      <c r="CD46" s="144"/>
      <c r="CE46" s="144"/>
      <c r="CF46" s="144"/>
      <c r="CG46" s="144"/>
      <c r="CH46" s="146"/>
      <c r="CI46" s="148"/>
      <c r="CJ46" s="144"/>
      <c r="CK46" s="144"/>
      <c r="CL46" s="144"/>
      <c r="CM46" s="144"/>
      <c r="CN46" s="144"/>
      <c r="CO46" s="144"/>
      <c r="CP46" s="146"/>
      <c r="CQ46" s="148"/>
      <c r="CR46" s="144"/>
      <c r="CS46" s="144"/>
      <c r="CT46" s="144"/>
      <c r="CU46" s="144" t="n">
        <f aca="false">+CR46-CS46</f>
        <v>0</v>
      </c>
      <c r="CV46" s="144" t="n">
        <f aca="false">+CR46-CT46</f>
        <v>0</v>
      </c>
      <c r="CW46" s="144"/>
      <c r="CX46" s="146" t="str">
        <f aca="false">IFERROR(CR46/CW46-1, "-")</f>
        <v>-</v>
      </c>
      <c r="CY46" s="149"/>
      <c r="CZ46" s="144"/>
      <c r="DA46" s="144"/>
      <c r="DB46" s="144"/>
      <c r="DC46" s="144"/>
      <c r="DD46" s="144"/>
      <c r="DE46" s="146"/>
      <c r="DF46" s="146"/>
      <c r="DG46" s="146"/>
      <c r="DH46" s="146"/>
      <c r="DI46" s="116"/>
      <c r="DJ46" s="117"/>
      <c r="DK46" s="117"/>
      <c r="DL46" s="117"/>
      <c r="DM46" s="117"/>
      <c r="DN46" s="118"/>
      <c r="DO46" s="180"/>
      <c r="DX46" s="107"/>
      <c r="DY46" s="107"/>
      <c r="DZ46" s="107"/>
    </row>
    <row r="47" s="156" customFormat="true" ht="12.75" hidden="false" customHeight="false" outlineLevel="0" collapsed="false">
      <c r="A47" s="153" t="s">
        <v>78</v>
      </c>
      <c r="B47" s="38"/>
      <c r="C47" s="106" t="s">
        <v>79</v>
      </c>
      <c r="D47" s="130"/>
      <c r="E47" s="130"/>
      <c r="F47" s="130"/>
      <c r="G47" s="130"/>
      <c r="H47" s="131"/>
      <c r="I47" s="127"/>
      <c r="J47" s="130"/>
      <c r="K47" s="130"/>
      <c r="L47" s="130"/>
      <c r="M47" s="130"/>
      <c r="N47" s="131"/>
      <c r="O47" s="127"/>
      <c r="P47" s="130"/>
      <c r="Q47" s="130"/>
      <c r="R47" s="130"/>
      <c r="S47" s="130"/>
      <c r="T47" s="131"/>
      <c r="U47" s="132"/>
      <c r="V47" s="130"/>
      <c r="W47" s="130"/>
      <c r="X47" s="130"/>
      <c r="Y47" s="130"/>
      <c r="Z47" s="130"/>
      <c r="AA47" s="130"/>
      <c r="AB47" s="131"/>
      <c r="AC47" s="132"/>
      <c r="AD47" s="130"/>
      <c r="AE47" s="130"/>
      <c r="AF47" s="130"/>
      <c r="AG47" s="130"/>
      <c r="AH47" s="130"/>
      <c r="AI47" s="130"/>
      <c r="AJ47" s="131"/>
      <c r="AK47" s="125"/>
      <c r="AL47" s="184"/>
      <c r="AM47" s="130"/>
      <c r="AN47" s="130"/>
      <c r="AO47" s="130"/>
      <c r="AP47" s="130"/>
      <c r="AQ47" s="130"/>
      <c r="AR47" s="130"/>
      <c r="AS47" s="127"/>
      <c r="AT47" s="185"/>
      <c r="AU47" s="184"/>
      <c r="AV47" s="130"/>
      <c r="AW47" s="130"/>
      <c r="AX47" s="130"/>
      <c r="AY47" s="130"/>
      <c r="AZ47" s="130"/>
      <c r="BA47" s="127"/>
      <c r="BB47" s="125"/>
      <c r="BC47" s="184"/>
      <c r="BD47" s="130"/>
      <c r="BE47" s="130"/>
      <c r="BF47" s="130"/>
      <c r="BG47" s="130"/>
      <c r="BH47" s="130"/>
      <c r="BI47" s="127"/>
      <c r="BJ47" s="125"/>
      <c r="BK47" s="130"/>
      <c r="BL47" s="130"/>
      <c r="BM47" s="130"/>
      <c r="BN47" s="130"/>
      <c r="BO47" s="130"/>
      <c r="BP47" s="130"/>
      <c r="BQ47" s="130"/>
      <c r="BR47" s="127"/>
      <c r="BS47" s="125"/>
      <c r="BT47" s="130"/>
      <c r="BU47" s="130"/>
      <c r="BV47" s="130"/>
      <c r="BW47" s="130"/>
      <c r="BX47" s="130"/>
      <c r="BY47" s="130"/>
      <c r="BZ47" s="127"/>
      <c r="CA47" s="125"/>
      <c r="CB47" s="130"/>
      <c r="CC47" s="130"/>
      <c r="CD47" s="130"/>
      <c r="CE47" s="130"/>
      <c r="CF47" s="130"/>
      <c r="CG47" s="130"/>
      <c r="CH47" s="127"/>
      <c r="CI47" s="125"/>
      <c r="CJ47" s="130"/>
      <c r="CK47" s="130"/>
      <c r="CL47" s="130"/>
      <c r="CM47" s="130"/>
      <c r="CN47" s="130"/>
      <c r="CO47" s="130"/>
      <c r="CP47" s="127"/>
      <c r="CQ47" s="125"/>
      <c r="CR47" s="184"/>
      <c r="CS47" s="130"/>
      <c r="CT47" s="130"/>
      <c r="CU47" s="130" t="n">
        <f aca="false">+CR47-CS47</f>
        <v>0</v>
      </c>
      <c r="CV47" s="130" t="n">
        <f aca="false">+CR47-CT47</f>
        <v>0</v>
      </c>
      <c r="CW47" s="130"/>
      <c r="CX47" s="127" t="str">
        <f aca="false">IFERROR(CR47/CW47-1, "-")</f>
        <v>-</v>
      </c>
      <c r="CY47" s="149"/>
      <c r="CZ47" s="130"/>
      <c r="DA47" s="130"/>
      <c r="DB47" s="130"/>
      <c r="DC47" s="130"/>
      <c r="DD47" s="130"/>
      <c r="DE47" s="127" t="e">
        <f aca="false">CZ47/DD47-1</f>
        <v>#DIV/0!</v>
      </c>
      <c r="DF47" s="127" t="e">
        <f aca="false">DA47/DD47-1</f>
        <v>#DIV/0!</v>
      </c>
      <c r="DG47" s="127" t="e">
        <f aca="false">DB47/DD47-1</f>
        <v>#DIV/0!</v>
      </c>
      <c r="DH47" s="127" t="e">
        <f aca="false">DC47/DD47-1</f>
        <v>#DIV/0!</v>
      </c>
      <c r="DI47" s="116"/>
      <c r="DJ47" s="117"/>
      <c r="DK47" s="117"/>
      <c r="DL47" s="117"/>
      <c r="DM47" s="117"/>
      <c r="DN47" s="118"/>
      <c r="DO47" s="155"/>
      <c r="DX47" s="107"/>
      <c r="DY47" s="107"/>
      <c r="DZ47" s="107"/>
    </row>
    <row r="48" s="156" customFormat="true" ht="12.75" hidden="true" customHeight="false" outlineLevel="0" collapsed="false">
      <c r="A48" s="186" t="s">
        <v>80</v>
      </c>
      <c r="B48" s="38"/>
      <c r="C48" s="106" t="s">
        <v>81</v>
      </c>
      <c r="D48" s="130"/>
      <c r="E48" s="130"/>
      <c r="F48" s="130"/>
      <c r="G48" s="130"/>
      <c r="H48" s="131"/>
      <c r="I48" s="127"/>
      <c r="J48" s="130"/>
      <c r="K48" s="130"/>
      <c r="L48" s="130"/>
      <c r="M48" s="130"/>
      <c r="N48" s="131"/>
      <c r="O48" s="127"/>
      <c r="P48" s="130"/>
      <c r="Q48" s="130"/>
      <c r="R48" s="130"/>
      <c r="S48" s="130"/>
      <c r="T48" s="131"/>
      <c r="U48" s="132"/>
      <c r="V48" s="130"/>
      <c r="W48" s="130"/>
      <c r="X48" s="130"/>
      <c r="Y48" s="130"/>
      <c r="Z48" s="130"/>
      <c r="AA48" s="130"/>
      <c r="AB48" s="131"/>
      <c r="AC48" s="132"/>
      <c r="AD48" s="130"/>
      <c r="AE48" s="130"/>
      <c r="AF48" s="130"/>
      <c r="AG48" s="130"/>
      <c r="AH48" s="130"/>
      <c r="AI48" s="130"/>
      <c r="AJ48" s="131"/>
      <c r="AK48" s="125"/>
      <c r="AL48" s="130"/>
      <c r="AM48" s="130"/>
      <c r="AN48" s="130"/>
      <c r="AO48" s="130"/>
      <c r="AP48" s="130"/>
      <c r="AQ48" s="130"/>
      <c r="AR48" s="130"/>
      <c r="AS48" s="127"/>
      <c r="AT48" s="125"/>
      <c r="AU48" s="130"/>
      <c r="AV48" s="130"/>
      <c r="AW48" s="130"/>
      <c r="AX48" s="130"/>
      <c r="AY48" s="130"/>
      <c r="AZ48" s="130"/>
      <c r="BA48" s="127"/>
      <c r="BB48" s="125"/>
      <c r="BC48" s="130"/>
      <c r="BD48" s="130"/>
      <c r="BE48" s="130"/>
      <c r="BF48" s="130"/>
      <c r="BG48" s="130"/>
      <c r="BH48" s="130"/>
      <c r="BI48" s="127"/>
      <c r="BJ48" s="125"/>
      <c r="BK48" s="130"/>
      <c r="BL48" s="130"/>
      <c r="BM48" s="130"/>
      <c r="BN48" s="130"/>
      <c r="BO48" s="130"/>
      <c r="BP48" s="130"/>
      <c r="BQ48" s="130"/>
      <c r="BR48" s="127"/>
      <c r="BS48" s="125"/>
      <c r="BT48" s="130"/>
      <c r="BU48" s="130"/>
      <c r="BV48" s="130"/>
      <c r="BW48" s="130"/>
      <c r="BX48" s="130"/>
      <c r="BY48" s="130"/>
      <c r="BZ48" s="127"/>
      <c r="CA48" s="125"/>
      <c r="CB48" s="130"/>
      <c r="CC48" s="130"/>
      <c r="CD48" s="130"/>
      <c r="CE48" s="130"/>
      <c r="CF48" s="130"/>
      <c r="CG48" s="130"/>
      <c r="CH48" s="127"/>
      <c r="CI48" s="125"/>
      <c r="CJ48" s="130"/>
      <c r="CK48" s="130"/>
      <c r="CL48" s="130"/>
      <c r="CM48" s="130"/>
      <c r="CN48" s="130"/>
      <c r="CO48" s="130"/>
      <c r="CP48" s="127"/>
      <c r="CQ48" s="125"/>
      <c r="CR48" s="130"/>
      <c r="CS48" s="130"/>
      <c r="CT48" s="130"/>
      <c r="CU48" s="130" t="n">
        <f aca="false">+CR48-CS48</f>
        <v>0</v>
      </c>
      <c r="CV48" s="130" t="n">
        <f aca="false">+CR48-CT48</f>
        <v>0</v>
      </c>
      <c r="CW48" s="130"/>
      <c r="CX48" s="127" t="str">
        <f aca="false">IFERROR(CR48/CW48-1, "-")</f>
        <v>-</v>
      </c>
      <c r="CY48" s="149"/>
      <c r="CZ48" s="130"/>
      <c r="DA48" s="130"/>
      <c r="DB48" s="130"/>
      <c r="DC48" s="130"/>
      <c r="DD48" s="130"/>
      <c r="DE48" s="127"/>
      <c r="DF48" s="127" t="e">
        <f aca="false">DA48/DD48-1</f>
        <v>#DIV/0!</v>
      </c>
      <c r="DG48" s="127" t="e">
        <f aca="false">DB48/DD48-1</f>
        <v>#DIV/0!</v>
      </c>
      <c r="DH48" s="127"/>
      <c r="DI48" s="116"/>
      <c r="DJ48" s="117"/>
      <c r="DK48" s="117"/>
      <c r="DL48" s="117"/>
      <c r="DM48" s="117"/>
      <c r="DN48" s="118"/>
      <c r="DO48" s="155"/>
      <c r="DX48" s="107"/>
      <c r="DY48" s="107"/>
      <c r="DZ48" s="107"/>
    </row>
    <row r="49" s="36" customFormat="true" ht="12.75" hidden="false" customHeight="false" outlineLevel="0" collapsed="false">
      <c r="A49" s="152"/>
      <c r="B49" s="38"/>
      <c r="C49" s="106" t="s">
        <v>82</v>
      </c>
      <c r="D49" s="144"/>
      <c r="E49" s="144"/>
      <c r="F49" s="144"/>
      <c r="G49" s="144"/>
      <c r="H49" s="145"/>
      <c r="I49" s="146"/>
      <c r="J49" s="144"/>
      <c r="K49" s="144"/>
      <c r="L49" s="144"/>
      <c r="M49" s="144"/>
      <c r="N49" s="145"/>
      <c r="O49" s="146"/>
      <c r="P49" s="144"/>
      <c r="Q49" s="144"/>
      <c r="R49" s="144"/>
      <c r="S49" s="144"/>
      <c r="T49" s="145"/>
      <c r="U49" s="147"/>
      <c r="V49" s="144"/>
      <c r="W49" s="144"/>
      <c r="X49" s="144"/>
      <c r="Y49" s="144"/>
      <c r="Z49" s="144"/>
      <c r="AA49" s="144"/>
      <c r="AB49" s="145"/>
      <c r="AC49" s="147"/>
      <c r="AD49" s="144"/>
      <c r="AE49" s="144"/>
      <c r="AF49" s="144"/>
      <c r="AG49" s="144"/>
      <c r="AH49" s="144"/>
      <c r="AI49" s="144"/>
      <c r="AJ49" s="145"/>
      <c r="AK49" s="148"/>
      <c r="AL49" s="144"/>
      <c r="AM49" s="144"/>
      <c r="AN49" s="144"/>
      <c r="AO49" s="144"/>
      <c r="AP49" s="144"/>
      <c r="AQ49" s="144"/>
      <c r="AR49" s="144"/>
      <c r="AS49" s="146"/>
      <c r="AT49" s="148"/>
      <c r="AU49" s="144"/>
      <c r="AV49" s="144"/>
      <c r="AW49" s="144"/>
      <c r="AX49" s="144"/>
      <c r="AY49" s="144"/>
      <c r="AZ49" s="144"/>
      <c r="BA49" s="146"/>
      <c r="BB49" s="148"/>
      <c r="BC49" s="144"/>
      <c r="BD49" s="144"/>
      <c r="BE49" s="144"/>
      <c r="BF49" s="144"/>
      <c r="BG49" s="144"/>
      <c r="BH49" s="144"/>
      <c r="BI49" s="146"/>
      <c r="BJ49" s="148"/>
      <c r="BK49" s="144"/>
      <c r="BL49" s="144"/>
      <c r="BM49" s="144"/>
      <c r="BN49" s="144"/>
      <c r="BO49" s="144"/>
      <c r="BP49" s="144"/>
      <c r="BQ49" s="144"/>
      <c r="BR49" s="146"/>
      <c r="BS49" s="148"/>
      <c r="BT49" s="144"/>
      <c r="BU49" s="144"/>
      <c r="BV49" s="144"/>
      <c r="BW49" s="144"/>
      <c r="BX49" s="144"/>
      <c r="BY49" s="144"/>
      <c r="BZ49" s="146"/>
      <c r="CA49" s="148"/>
      <c r="CB49" s="144"/>
      <c r="CC49" s="144"/>
      <c r="CD49" s="144"/>
      <c r="CE49" s="144"/>
      <c r="CF49" s="144"/>
      <c r="CG49" s="144"/>
      <c r="CH49" s="146"/>
      <c r="CI49" s="148"/>
      <c r="CJ49" s="144"/>
      <c r="CK49" s="144"/>
      <c r="CL49" s="144"/>
      <c r="CM49" s="144"/>
      <c r="CN49" s="144"/>
      <c r="CO49" s="144"/>
      <c r="CP49" s="146"/>
      <c r="CQ49" s="148"/>
      <c r="CR49" s="144"/>
      <c r="CS49" s="144"/>
      <c r="CT49" s="144"/>
      <c r="CU49" s="144" t="n">
        <f aca="false">+CR49-CS49</f>
        <v>0</v>
      </c>
      <c r="CV49" s="144" t="n">
        <f aca="false">+CR49-CT49</f>
        <v>0</v>
      </c>
      <c r="CW49" s="144"/>
      <c r="CX49" s="146" t="str">
        <f aca="false">IFERROR(CR49/CW49-1, "-")</f>
        <v>-</v>
      </c>
      <c r="CY49" s="149"/>
      <c r="CZ49" s="144"/>
      <c r="DA49" s="144"/>
      <c r="DB49" s="144"/>
      <c r="DC49" s="144"/>
      <c r="DD49" s="144"/>
      <c r="DE49" s="146"/>
      <c r="DF49" s="146"/>
      <c r="DG49" s="146"/>
      <c r="DH49" s="146"/>
      <c r="DI49" s="116"/>
      <c r="DJ49" s="117"/>
      <c r="DK49" s="117"/>
      <c r="DL49" s="117"/>
      <c r="DM49" s="117"/>
      <c r="DN49" s="118"/>
      <c r="DO49" s="14"/>
      <c r="DX49" s="107"/>
      <c r="DY49" s="107"/>
      <c r="DZ49" s="107"/>
    </row>
    <row r="50" s="156" customFormat="true" ht="12.75" hidden="false" customHeight="false" outlineLevel="0" collapsed="false">
      <c r="A50" s="153" t="s">
        <v>83</v>
      </c>
      <c r="B50" s="38"/>
      <c r="C50" s="106" t="s">
        <v>84</v>
      </c>
      <c r="D50" s="130"/>
      <c r="E50" s="130"/>
      <c r="F50" s="130"/>
      <c r="G50" s="130"/>
      <c r="H50" s="131"/>
      <c r="I50" s="127"/>
      <c r="J50" s="130"/>
      <c r="K50" s="130"/>
      <c r="L50" s="130"/>
      <c r="M50" s="130"/>
      <c r="N50" s="131"/>
      <c r="O50" s="127"/>
      <c r="P50" s="130"/>
      <c r="Q50" s="130"/>
      <c r="R50" s="130"/>
      <c r="S50" s="130"/>
      <c r="T50" s="131"/>
      <c r="U50" s="132"/>
      <c r="V50" s="130"/>
      <c r="W50" s="130"/>
      <c r="X50" s="130"/>
      <c r="Y50" s="130"/>
      <c r="Z50" s="130"/>
      <c r="AA50" s="130"/>
      <c r="AB50" s="131"/>
      <c r="AC50" s="132"/>
      <c r="AD50" s="130"/>
      <c r="AE50" s="130"/>
      <c r="AF50" s="130"/>
      <c r="AG50" s="130"/>
      <c r="AH50" s="130"/>
      <c r="AI50" s="130"/>
      <c r="AJ50" s="131"/>
      <c r="AK50" s="125"/>
      <c r="AL50" s="130"/>
      <c r="AM50" s="130"/>
      <c r="AN50" s="130"/>
      <c r="AO50" s="130"/>
      <c r="AP50" s="130"/>
      <c r="AQ50" s="130"/>
      <c r="AR50" s="130"/>
      <c r="AS50" s="127"/>
      <c r="AT50" s="125"/>
      <c r="AU50" s="130"/>
      <c r="AV50" s="130"/>
      <c r="AW50" s="130"/>
      <c r="AX50" s="130"/>
      <c r="AY50" s="130"/>
      <c r="AZ50" s="130"/>
      <c r="BA50" s="127"/>
      <c r="BB50" s="125"/>
      <c r="BC50" s="130"/>
      <c r="BD50" s="130"/>
      <c r="BE50" s="130"/>
      <c r="BF50" s="130"/>
      <c r="BG50" s="130"/>
      <c r="BH50" s="130"/>
      <c r="BI50" s="127"/>
      <c r="BJ50" s="125"/>
      <c r="BK50" s="130"/>
      <c r="BL50" s="130"/>
      <c r="BM50" s="130"/>
      <c r="BN50" s="130"/>
      <c r="BO50" s="130"/>
      <c r="BP50" s="130"/>
      <c r="BQ50" s="130"/>
      <c r="BR50" s="127"/>
      <c r="BS50" s="125"/>
      <c r="BT50" s="130"/>
      <c r="BU50" s="130"/>
      <c r="BV50" s="130"/>
      <c r="BW50" s="130"/>
      <c r="BX50" s="130"/>
      <c r="BY50" s="130"/>
      <c r="BZ50" s="127"/>
      <c r="CA50" s="125"/>
      <c r="CB50" s="130"/>
      <c r="CC50" s="130"/>
      <c r="CD50" s="130"/>
      <c r="CE50" s="130"/>
      <c r="CF50" s="130"/>
      <c r="CG50" s="130"/>
      <c r="CH50" s="127"/>
      <c r="CI50" s="125"/>
      <c r="CJ50" s="130"/>
      <c r="CK50" s="130"/>
      <c r="CL50" s="130"/>
      <c r="CM50" s="130"/>
      <c r="CN50" s="130"/>
      <c r="CO50" s="130"/>
      <c r="CP50" s="127"/>
      <c r="CQ50" s="125"/>
      <c r="CR50" s="130"/>
      <c r="CS50" s="130"/>
      <c r="CT50" s="130"/>
      <c r="CU50" s="130" t="n">
        <f aca="false">+CR50-CS50</f>
        <v>0</v>
      </c>
      <c r="CV50" s="130" t="n">
        <f aca="false">+CR50-CT50</f>
        <v>0</v>
      </c>
      <c r="CW50" s="130"/>
      <c r="CX50" s="127" t="str">
        <f aca="false">IFERROR(CR50/CW50-1, "-")</f>
        <v>-</v>
      </c>
      <c r="CY50" s="154"/>
      <c r="CZ50" s="130"/>
      <c r="DA50" s="130"/>
      <c r="DB50" s="130"/>
      <c r="DC50" s="130"/>
      <c r="DD50" s="130"/>
      <c r="DE50" s="127" t="e">
        <f aca="false">CZ50/DD50-1</f>
        <v>#DIV/0!</v>
      </c>
      <c r="DF50" s="127" t="e">
        <f aca="false">DA50/DD50-1</f>
        <v>#DIV/0!</v>
      </c>
      <c r="DG50" s="127" t="e">
        <f aca="false">DB50/DD50-1</f>
        <v>#DIV/0!</v>
      </c>
      <c r="DH50" s="127" t="e">
        <f aca="false">DC50/DD50-1</f>
        <v>#DIV/0!</v>
      </c>
      <c r="DI50" s="116"/>
      <c r="DJ50" s="117"/>
      <c r="DK50" s="117"/>
      <c r="DL50" s="117"/>
      <c r="DM50" s="117"/>
      <c r="DN50" s="118"/>
      <c r="DO50" s="155"/>
      <c r="DX50" s="107"/>
      <c r="DY50" s="107"/>
      <c r="DZ50" s="107"/>
    </row>
    <row r="51" s="36" customFormat="true" ht="12.75" hidden="false" customHeight="false" outlineLevel="0" collapsed="false">
      <c r="A51" s="152" t="s">
        <v>85</v>
      </c>
      <c r="B51" s="38"/>
      <c r="C51" s="106" t="s">
        <v>86</v>
      </c>
      <c r="D51" s="130"/>
      <c r="E51" s="130"/>
      <c r="F51" s="144"/>
      <c r="G51" s="130"/>
      <c r="H51" s="131"/>
      <c r="I51" s="127"/>
      <c r="J51" s="130"/>
      <c r="K51" s="130"/>
      <c r="L51" s="144"/>
      <c r="M51" s="130"/>
      <c r="N51" s="131"/>
      <c r="O51" s="127"/>
      <c r="P51" s="130"/>
      <c r="Q51" s="130"/>
      <c r="R51" s="144"/>
      <c r="S51" s="130"/>
      <c r="T51" s="131"/>
      <c r="U51" s="132"/>
      <c r="V51" s="130"/>
      <c r="W51" s="130"/>
      <c r="X51" s="130"/>
      <c r="Y51" s="144"/>
      <c r="Z51" s="144"/>
      <c r="AA51" s="130"/>
      <c r="AB51" s="131"/>
      <c r="AC51" s="132"/>
      <c r="AD51" s="130"/>
      <c r="AE51" s="130"/>
      <c r="AF51" s="130"/>
      <c r="AG51" s="144"/>
      <c r="AH51" s="144"/>
      <c r="AI51" s="130"/>
      <c r="AJ51" s="131"/>
      <c r="AK51" s="125"/>
      <c r="AL51" s="130"/>
      <c r="AM51" s="130"/>
      <c r="AN51" s="130"/>
      <c r="AO51" s="130"/>
      <c r="AP51" s="144"/>
      <c r="AQ51" s="144"/>
      <c r="AR51" s="130"/>
      <c r="AS51" s="127"/>
      <c r="AT51" s="125"/>
      <c r="AU51" s="130"/>
      <c r="AV51" s="130"/>
      <c r="AW51" s="130"/>
      <c r="AX51" s="144"/>
      <c r="AY51" s="144"/>
      <c r="AZ51" s="130"/>
      <c r="BA51" s="127"/>
      <c r="BB51" s="125"/>
      <c r="BC51" s="130"/>
      <c r="BD51" s="130"/>
      <c r="BE51" s="130"/>
      <c r="BF51" s="144"/>
      <c r="BG51" s="144"/>
      <c r="BH51" s="130"/>
      <c r="BI51" s="127"/>
      <c r="BJ51" s="125"/>
      <c r="BK51" s="130"/>
      <c r="BL51" s="130"/>
      <c r="BM51" s="130"/>
      <c r="BN51" s="130"/>
      <c r="BO51" s="144"/>
      <c r="BP51" s="144"/>
      <c r="BQ51" s="130"/>
      <c r="BR51" s="127"/>
      <c r="BS51" s="125"/>
      <c r="BT51" s="130"/>
      <c r="BU51" s="130"/>
      <c r="BV51" s="130"/>
      <c r="BW51" s="144"/>
      <c r="BX51" s="144"/>
      <c r="BY51" s="130"/>
      <c r="BZ51" s="127"/>
      <c r="CA51" s="125"/>
      <c r="CB51" s="130"/>
      <c r="CC51" s="130"/>
      <c r="CD51" s="130"/>
      <c r="CE51" s="144"/>
      <c r="CF51" s="144"/>
      <c r="CG51" s="130"/>
      <c r="CH51" s="127"/>
      <c r="CI51" s="125"/>
      <c r="CJ51" s="130"/>
      <c r="CK51" s="130"/>
      <c r="CL51" s="130"/>
      <c r="CM51" s="144"/>
      <c r="CN51" s="144"/>
      <c r="CO51" s="130"/>
      <c r="CP51" s="127"/>
      <c r="CQ51" s="125"/>
      <c r="CR51" s="130"/>
      <c r="CS51" s="144"/>
      <c r="CT51" s="144"/>
      <c r="CU51" s="144" t="n">
        <f aca="false">+CR51-CS51</f>
        <v>0</v>
      </c>
      <c r="CV51" s="144" t="n">
        <f aca="false">+CR51-CT51</f>
        <v>0</v>
      </c>
      <c r="CW51" s="144"/>
      <c r="CX51" s="127" t="str">
        <f aca="false">IFERROR(CR51/CW51-1, "-")</f>
        <v>-</v>
      </c>
      <c r="CY51" s="149"/>
      <c r="CZ51" s="130"/>
      <c r="DA51" s="130"/>
      <c r="DB51" s="130"/>
      <c r="DC51" s="130"/>
      <c r="DD51" s="130"/>
      <c r="DE51" s="127" t="e">
        <f aca="false">CZ51/DD51-1</f>
        <v>#DIV/0!</v>
      </c>
      <c r="DF51" s="127" t="e">
        <f aca="false">DA51/DD51-1</f>
        <v>#DIV/0!</v>
      </c>
      <c r="DG51" s="127" t="e">
        <f aca="false">DB51/DD51-1</f>
        <v>#DIV/0!</v>
      </c>
      <c r="DH51" s="127" t="e">
        <f aca="false">DC51/DF51-1</f>
        <v>#DIV/0!</v>
      </c>
      <c r="DI51" s="116"/>
      <c r="DJ51" s="117"/>
      <c r="DK51" s="117"/>
      <c r="DL51" s="117"/>
      <c r="DM51" s="117"/>
      <c r="DN51" s="118"/>
      <c r="DO51" s="14"/>
      <c r="DX51" s="107"/>
      <c r="DY51" s="107"/>
      <c r="DZ51" s="107"/>
    </row>
    <row r="52" s="36" customFormat="true" ht="12.75" hidden="false" customHeight="false" outlineLevel="0" collapsed="false">
      <c r="A52" s="152" t="s">
        <v>87</v>
      </c>
      <c r="B52" s="38"/>
      <c r="C52" s="106" t="s">
        <v>88</v>
      </c>
      <c r="D52" s="187"/>
      <c r="E52" s="187"/>
      <c r="F52" s="144"/>
      <c r="G52" s="187"/>
      <c r="H52" s="131"/>
      <c r="I52" s="127"/>
      <c r="J52" s="187"/>
      <c r="K52" s="187"/>
      <c r="L52" s="144"/>
      <c r="M52" s="187"/>
      <c r="N52" s="131"/>
      <c r="O52" s="127"/>
      <c r="P52" s="187"/>
      <c r="Q52" s="187"/>
      <c r="R52" s="144"/>
      <c r="S52" s="187"/>
      <c r="T52" s="131"/>
      <c r="U52" s="132"/>
      <c r="V52" s="187"/>
      <c r="W52" s="187"/>
      <c r="X52" s="187"/>
      <c r="Y52" s="144"/>
      <c r="Z52" s="144"/>
      <c r="AA52" s="187"/>
      <c r="AB52" s="131"/>
      <c r="AC52" s="132"/>
      <c r="AD52" s="187"/>
      <c r="AE52" s="187"/>
      <c r="AF52" s="187"/>
      <c r="AG52" s="144"/>
      <c r="AH52" s="144"/>
      <c r="AI52" s="187"/>
      <c r="AJ52" s="131"/>
      <c r="AK52" s="125"/>
      <c r="AL52" s="187"/>
      <c r="AM52" s="187"/>
      <c r="AN52" s="187"/>
      <c r="AO52" s="187"/>
      <c r="AP52" s="144"/>
      <c r="AQ52" s="144"/>
      <c r="AR52" s="187"/>
      <c r="AS52" s="127"/>
      <c r="AT52" s="125"/>
      <c r="AU52" s="187"/>
      <c r="AV52" s="187"/>
      <c r="AW52" s="187"/>
      <c r="AX52" s="144"/>
      <c r="AY52" s="144"/>
      <c r="AZ52" s="187"/>
      <c r="BA52" s="127"/>
      <c r="BB52" s="125"/>
      <c r="BC52" s="187"/>
      <c r="BD52" s="187"/>
      <c r="BE52" s="187"/>
      <c r="BF52" s="144"/>
      <c r="BG52" s="144"/>
      <c r="BH52" s="187"/>
      <c r="BI52" s="127"/>
      <c r="BJ52" s="125"/>
      <c r="BK52" s="187"/>
      <c r="BL52" s="187"/>
      <c r="BM52" s="187"/>
      <c r="BN52" s="187"/>
      <c r="BO52" s="144"/>
      <c r="BP52" s="144"/>
      <c r="BQ52" s="187"/>
      <c r="BR52" s="127"/>
      <c r="BS52" s="125"/>
      <c r="BT52" s="187"/>
      <c r="BU52" s="187"/>
      <c r="BV52" s="187"/>
      <c r="BW52" s="144"/>
      <c r="BX52" s="144"/>
      <c r="BY52" s="187"/>
      <c r="BZ52" s="127"/>
      <c r="CA52" s="125"/>
      <c r="CB52" s="187"/>
      <c r="CC52" s="187"/>
      <c r="CD52" s="187"/>
      <c r="CE52" s="144"/>
      <c r="CF52" s="144"/>
      <c r="CG52" s="187"/>
      <c r="CH52" s="127"/>
      <c r="CI52" s="125"/>
      <c r="CJ52" s="187"/>
      <c r="CK52" s="187"/>
      <c r="CL52" s="187"/>
      <c r="CM52" s="144"/>
      <c r="CN52" s="144"/>
      <c r="CO52" s="187"/>
      <c r="CP52" s="127"/>
      <c r="CQ52" s="125"/>
      <c r="CR52" s="130"/>
      <c r="CS52" s="144"/>
      <c r="CT52" s="144"/>
      <c r="CU52" s="144" t="n">
        <f aca="false">+CR52-CS52</f>
        <v>0</v>
      </c>
      <c r="CV52" s="144" t="n">
        <f aca="false">+CR52-CT52</f>
        <v>0</v>
      </c>
      <c r="CW52" s="144"/>
      <c r="CX52" s="127" t="str">
        <f aca="false">IFERROR(CR52/CW52-1, "-")</f>
        <v>-</v>
      </c>
      <c r="CY52" s="149"/>
      <c r="CZ52" s="187"/>
      <c r="DA52" s="187"/>
      <c r="DB52" s="187"/>
      <c r="DC52" s="187"/>
      <c r="DD52" s="187"/>
      <c r="DE52" s="127" t="e">
        <f aca="false">CZ52/DD52-1</f>
        <v>#DIV/0!</v>
      </c>
      <c r="DF52" s="127" t="e">
        <f aca="false">DA52/DD52-1</f>
        <v>#DIV/0!</v>
      </c>
      <c r="DG52" s="127" t="e">
        <f aca="false">DB52/DD52-1</f>
        <v>#DIV/0!</v>
      </c>
      <c r="DH52" s="127" t="e">
        <f aca="false">DC52/DF52-1</f>
        <v>#DIV/0!</v>
      </c>
      <c r="DI52" s="116"/>
      <c r="DJ52" s="117"/>
      <c r="DK52" s="117"/>
      <c r="DL52" s="117"/>
      <c r="DM52" s="117"/>
      <c r="DN52" s="118"/>
      <c r="DO52" s="14"/>
      <c r="DX52" s="107"/>
      <c r="DY52" s="107"/>
      <c r="DZ52" s="107"/>
    </row>
    <row r="53" s="36" customFormat="true" ht="3" hidden="false" customHeight="true" outlineLevel="0" collapsed="false">
      <c r="A53" s="188"/>
      <c r="B53" s="38"/>
      <c r="C53" s="106" t="s">
        <v>89</v>
      </c>
      <c r="D53" s="189"/>
      <c r="E53" s="189"/>
      <c r="F53" s="189"/>
      <c r="G53" s="189"/>
      <c r="H53" s="190"/>
      <c r="I53" s="191"/>
      <c r="J53" s="189"/>
      <c r="K53" s="189"/>
      <c r="L53" s="189"/>
      <c r="M53" s="189"/>
      <c r="N53" s="190"/>
      <c r="O53" s="191"/>
      <c r="P53" s="189"/>
      <c r="Q53" s="189"/>
      <c r="R53" s="189"/>
      <c r="S53" s="189"/>
      <c r="T53" s="190"/>
      <c r="U53" s="192"/>
      <c r="V53" s="189"/>
      <c r="W53" s="189"/>
      <c r="X53" s="189"/>
      <c r="Y53" s="189"/>
      <c r="Z53" s="189"/>
      <c r="AA53" s="189"/>
      <c r="AB53" s="190"/>
      <c r="AC53" s="192"/>
      <c r="AD53" s="189"/>
      <c r="AE53" s="189"/>
      <c r="AF53" s="189"/>
      <c r="AG53" s="189"/>
      <c r="AH53" s="189"/>
      <c r="AI53" s="189"/>
      <c r="AJ53" s="190"/>
      <c r="AK53" s="193"/>
      <c r="AL53" s="189"/>
      <c r="AM53" s="189"/>
      <c r="AN53" s="189"/>
      <c r="AO53" s="189"/>
      <c r="AP53" s="189"/>
      <c r="AQ53" s="189"/>
      <c r="AR53" s="189"/>
      <c r="AS53" s="191"/>
      <c r="AT53" s="148"/>
      <c r="AU53" s="189"/>
      <c r="AV53" s="189"/>
      <c r="AW53" s="189"/>
      <c r="AX53" s="189"/>
      <c r="AY53" s="189"/>
      <c r="AZ53" s="189"/>
      <c r="BA53" s="191"/>
      <c r="BB53" s="193"/>
      <c r="BC53" s="189"/>
      <c r="BD53" s="189"/>
      <c r="BE53" s="189"/>
      <c r="BF53" s="189"/>
      <c r="BG53" s="189"/>
      <c r="BH53" s="189"/>
      <c r="BI53" s="191"/>
      <c r="BJ53" s="193"/>
      <c r="BK53" s="189"/>
      <c r="BL53" s="189"/>
      <c r="BM53" s="189"/>
      <c r="BN53" s="189"/>
      <c r="BO53" s="189"/>
      <c r="BP53" s="189"/>
      <c r="BQ53" s="189"/>
      <c r="BR53" s="191"/>
      <c r="BS53" s="193"/>
      <c r="BT53" s="189"/>
      <c r="BU53" s="189"/>
      <c r="BV53" s="189"/>
      <c r="BW53" s="189"/>
      <c r="BX53" s="189"/>
      <c r="BY53" s="189"/>
      <c r="BZ53" s="191"/>
      <c r="CA53" s="193"/>
      <c r="CB53" s="189"/>
      <c r="CC53" s="189"/>
      <c r="CD53" s="189"/>
      <c r="CE53" s="189"/>
      <c r="CF53" s="189"/>
      <c r="CG53" s="189"/>
      <c r="CH53" s="191"/>
      <c r="CI53" s="193"/>
      <c r="CJ53" s="189"/>
      <c r="CK53" s="189"/>
      <c r="CL53" s="189"/>
      <c r="CM53" s="189"/>
      <c r="CN53" s="189"/>
      <c r="CO53" s="189"/>
      <c r="CP53" s="191"/>
      <c r="CQ53" s="193"/>
      <c r="CR53" s="189"/>
      <c r="CS53" s="189"/>
      <c r="CT53" s="189"/>
      <c r="CU53" s="189"/>
      <c r="CV53" s="189"/>
      <c r="CW53" s="189"/>
      <c r="CX53" s="191" t="str">
        <f aca="false">IFERROR(CR53/CW53-1, "-")</f>
        <v>-</v>
      </c>
      <c r="CY53" s="149"/>
      <c r="CZ53" s="189"/>
      <c r="DA53" s="189"/>
      <c r="DB53" s="189"/>
      <c r="DC53" s="189"/>
      <c r="DD53" s="189"/>
      <c r="DE53" s="191"/>
      <c r="DF53" s="146"/>
      <c r="DG53" s="191"/>
      <c r="DH53" s="191"/>
      <c r="DI53" s="116"/>
      <c r="DJ53" s="117"/>
      <c r="DK53" s="117"/>
      <c r="DL53" s="117"/>
      <c r="DM53" s="117"/>
      <c r="DN53" s="118"/>
      <c r="DO53" s="14"/>
      <c r="DX53" s="107"/>
      <c r="DY53" s="107"/>
      <c r="DZ53" s="107"/>
    </row>
    <row r="54" s="36" customFormat="true" ht="12" hidden="false" customHeight="true" outlineLevel="0" collapsed="false">
      <c r="A54" s="194" t="s">
        <v>90</v>
      </c>
      <c r="B54" s="105"/>
      <c r="C54" s="106" t="s">
        <v>91</v>
      </c>
      <c r="D54" s="195"/>
      <c r="E54" s="195"/>
      <c r="F54" s="195"/>
      <c r="G54" s="195"/>
      <c r="H54" s="196"/>
      <c r="I54" s="197"/>
      <c r="J54" s="195"/>
      <c r="K54" s="195"/>
      <c r="L54" s="195"/>
      <c r="M54" s="195"/>
      <c r="N54" s="196"/>
      <c r="O54" s="197"/>
      <c r="P54" s="195"/>
      <c r="Q54" s="195"/>
      <c r="R54" s="195"/>
      <c r="S54" s="195"/>
      <c r="T54" s="196"/>
      <c r="U54" s="198"/>
      <c r="V54" s="195"/>
      <c r="W54" s="195"/>
      <c r="X54" s="195"/>
      <c r="Y54" s="195"/>
      <c r="Z54" s="195"/>
      <c r="AA54" s="195"/>
      <c r="AB54" s="196"/>
      <c r="AC54" s="198"/>
      <c r="AD54" s="195"/>
      <c r="AE54" s="195"/>
      <c r="AF54" s="195"/>
      <c r="AG54" s="195"/>
      <c r="AH54" s="195"/>
      <c r="AI54" s="195"/>
      <c r="AJ54" s="196"/>
      <c r="AK54" s="199"/>
      <c r="AL54" s="195"/>
      <c r="AM54" s="195"/>
      <c r="AN54" s="195"/>
      <c r="AO54" s="195"/>
      <c r="AP54" s="195"/>
      <c r="AQ54" s="195"/>
      <c r="AR54" s="195"/>
      <c r="AS54" s="200"/>
      <c r="AT54" s="112"/>
      <c r="AU54" s="195"/>
      <c r="AV54" s="195"/>
      <c r="AW54" s="195"/>
      <c r="AX54" s="195"/>
      <c r="AY54" s="195"/>
      <c r="AZ54" s="195"/>
      <c r="BA54" s="200"/>
      <c r="BB54" s="199"/>
      <c r="BC54" s="195"/>
      <c r="BD54" s="195"/>
      <c r="BE54" s="195"/>
      <c r="BF54" s="195"/>
      <c r="BG54" s="195"/>
      <c r="BH54" s="195"/>
      <c r="BI54" s="200"/>
      <c r="BJ54" s="199"/>
      <c r="BK54" s="195"/>
      <c r="BL54" s="195"/>
      <c r="BM54" s="195"/>
      <c r="BN54" s="195"/>
      <c r="BO54" s="195"/>
      <c r="BP54" s="195"/>
      <c r="BQ54" s="195"/>
      <c r="BR54" s="200"/>
      <c r="BS54" s="199"/>
      <c r="BT54" s="195"/>
      <c r="BU54" s="195"/>
      <c r="BV54" s="195"/>
      <c r="BW54" s="195"/>
      <c r="BX54" s="195"/>
      <c r="BY54" s="195"/>
      <c r="BZ54" s="200"/>
      <c r="CA54" s="201"/>
      <c r="CB54" s="195"/>
      <c r="CC54" s="195"/>
      <c r="CD54" s="195"/>
      <c r="CE54" s="195"/>
      <c r="CF54" s="195"/>
      <c r="CG54" s="195"/>
      <c r="CH54" s="200"/>
      <c r="CI54" s="199"/>
      <c r="CJ54" s="195"/>
      <c r="CK54" s="195"/>
      <c r="CL54" s="195"/>
      <c r="CM54" s="195"/>
      <c r="CN54" s="195"/>
      <c r="CO54" s="195"/>
      <c r="CP54" s="200"/>
      <c r="CQ54" s="199"/>
      <c r="CR54" s="195"/>
      <c r="CS54" s="202"/>
      <c r="CT54" s="203"/>
      <c r="CU54" s="195" t="n">
        <f aca="false">+CR54-CS54</f>
        <v>0</v>
      </c>
      <c r="CV54" s="195" t="n">
        <f aca="false">+CR54-CT54</f>
        <v>0</v>
      </c>
      <c r="CW54" s="195"/>
      <c r="CX54" s="200" t="str">
        <f aca="false">IFERROR(CR54/CW54-1, "-")</f>
        <v>-</v>
      </c>
      <c r="CY54" s="204"/>
      <c r="CZ54" s="195"/>
      <c r="DA54" s="195"/>
      <c r="DB54" s="195"/>
      <c r="DC54" s="195"/>
      <c r="DD54" s="195"/>
      <c r="DE54" s="200" t="e">
        <f aca="false">(CZ54/DD54-1)</f>
        <v>#DIV/0!</v>
      </c>
      <c r="DF54" s="115" t="e">
        <f aca="false">-(DA54/DD54-1)</f>
        <v>#DIV/0!</v>
      </c>
      <c r="DG54" s="200" t="e">
        <f aca="false">-(DB54/DD54-1)</f>
        <v>#DIV/0!</v>
      </c>
      <c r="DH54" s="205" t="e">
        <f aca="false">-(DC54/DD54-1)</f>
        <v>#DIV/0!</v>
      </c>
      <c r="DI54" s="116"/>
      <c r="DJ54" s="117"/>
      <c r="DK54" s="117"/>
      <c r="DL54" s="117"/>
      <c r="DM54" s="117"/>
      <c r="DN54" s="118"/>
      <c r="DO54" s="14"/>
      <c r="DX54" s="107"/>
      <c r="DY54" s="107"/>
      <c r="DZ54" s="107"/>
    </row>
    <row r="55" s="41" customFormat="true" ht="3.75" hidden="false" customHeight="true" outlineLevel="0" collapsed="false">
      <c r="A55" s="157"/>
      <c r="B55" s="206"/>
      <c r="C55" s="106" t="s">
        <v>92</v>
      </c>
      <c r="D55" s="144"/>
      <c r="E55" s="144"/>
      <c r="F55" s="144"/>
      <c r="G55" s="144"/>
      <c r="H55" s="145"/>
      <c r="I55" s="146"/>
      <c r="J55" s="144"/>
      <c r="K55" s="144"/>
      <c r="L55" s="144"/>
      <c r="M55" s="144"/>
      <c r="N55" s="145"/>
      <c r="O55" s="146"/>
      <c r="P55" s="144"/>
      <c r="Q55" s="144"/>
      <c r="R55" s="144"/>
      <c r="S55" s="144"/>
      <c r="T55" s="145"/>
      <c r="U55" s="147"/>
      <c r="V55" s="144"/>
      <c r="W55" s="144"/>
      <c r="X55" s="144"/>
      <c r="Y55" s="144"/>
      <c r="Z55" s="144"/>
      <c r="AA55" s="144"/>
      <c r="AB55" s="145"/>
      <c r="AC55" s="147"/>
      <c r="AD55" s="144"/>
      <c r="AE55" s="144"/>
      <c r="AF55" s="144"/>
      <c r="AG55" s="144"/>
      <c r="AH55" s="144"/>
      <c r="AI55" s="144"/>
      <c r="AJ55" s="145"/>
      <c r="AK55" s="148"/>
      <c r="AL55" s="144"/>
      <c r="AM55" s="144"/>
      <c r="AN55" s="144"/>
      <c r="AO55" s="144"/>
      <c r="AP55" s="144"/>
      <c r="AQ55" s="144"/>
      <c r="AR55" s="144"/>
      <c r="AS55" s="146"/>
      <c r="AT55" s="148"/>
      <c r="AU55" s="144"/>
      <c r="AV55" s="144"/>
      <c r="AW55" s="144"/>
      <c r="AX55" s="144"/>
      <c r="AY55" s="144"/>
      <c r="AZ55" s="144"/>
      <c r="BA55" s="146"/>
      <c r="BB55" s="148"/>
      <c r="BC55" s="144"/>
      <c r="BD55" s="144"/>
      <c r="BE55" s="144"/>
      <c r="BF55" s="144"/>
      <c r="BG55" s="144"/>
      <c r="BH55" s="144"/>
      <c r="BI55" s="146"/>
      <c r="BJ55" s="148"/>
      <c r="BK55" s="144"/>
      <c r="BL55" s="144"/>
      <c r="BM55" s="144"/>
      <c r="BN55" s="144"/>
      <c r="BO55" s="144"/>
      <c r="BP55" s="144"/>
      <c r="BQ55" s="144"/>
      <c r="BR55" s="146"/>
      <c r="BS55" s="148"/>
      <c r="BT55" s="144"/>
      <c r="BU55" s="144"/>
      <c r="BV55" s="144"/>
      <c r="BW55" s="144"/>
      <c r="BX55" s="144"/>
      <c r="BY55" s="144"/>
      <c r="BZ55" s="146"/>
      <c r="CA55" s="146"/>
      <c r="CB55" s="144"/>
      <c r="CC55" s="144"/>
      <c r="CD55" s="144"/>
      <c r="CE55" s="144"/>
      <c r="CF55" s="144"/>
      <c r="CG55" s="144"/>
      <c r="CH55" s="146"/>
      <c r="CI55" s="148"/>
      <c r="CJ55" s="144"/>
      <c r="CK55" s="144"/>
      <c r="CL55" s="144"/>
      <c r="CM55" s="144"/>
      <c r="CN55" s="144"/>
      <c r="CO55" s="144"/>
      <c r="CP55" s="146"/>
      <c r="CQ55" s="148"/>
      <c r="CR55" s="144"/>
      <c r="CS55" s="144"/>
      <c r="CT55" s="144"/>
      <c r="CU55" s="144"/>
      <c r="CV55" s="144"/>
      <c r="CW55" s="144"/>
      <c r="CX55" s="146" t="str">
        <f aca="false">IFERROR(CR55/CW55-1, "-")</f>
        <v>-</v>
      </c>
      <c r="CY55" s="149"/>
      <c r="CZ55" s="144"/>
      <c r="DA55" s="144"/>
      <c r="DB55" s="144"/>
      <c r="DC55" s="144"/>
      <c r="DD55" s="144"/>
      <c r="DE55" s="146"/>
      <c r="DF55" s="146"/>
      <c r="DG55" s="146"/>
      <c r="DH55" s="146"/>
      <c r="DI55" s="116"/>
      <c r="DJ55" s="117"/>
      <c r="DK55" s="117"/>
      <c r="DL55" s="117"/>
      <c r="DM55" s="117"/>
      <c r="DN55" s="118"/>
      <c r="DO55" s="207"/>
      <c r="DX55" s="107"/>
      <c r="DY55" s="107"/>
      <c r="DZ55" s="107"/>
    </row>
    <row r="56" s="161" customFormat="true" ht="12" hidden="false" customHeight="true" outlineLevel="0" collapsed="false">
      <c r="A56" s="169" t="s">
        <v>43</v>
      </c>
      <c r="B56" s="127"/>
      <c r="C56" s="106" t="s">
        <v>93</v>
      </c>
      <c r="D56" s="174"/>
      <c r="E56" s="174"/>
      <c r="F56" s="164"/>
      <c r="G56" s="174"/>
      <c r="H56" s="179"/>
      <c r="I56" s="176"/>
      <c r="J56" s="174"/>
      <c r="K56" s="174"/>
      <c r="L56" s="164"/>
      <c r="M56" s="174"/>
      <c r="N56" s="179"/>
      <c r="O56" s="176"/>
      <c r="P56" s="174"/>
      <c r="Q56" s="174"/>
      <c r="R56" s="164"/>
      <c r="S56" s="174"/>
      <c r="T56" s="179"/>
      <c r="U56" s="208"/>
      <c r="V56" s="174"/>
      <c r="W56" s="174"/>
      <c r="X56" s="174"/>
      <c r="Y56" s="164"/>
      <c r="Z56" s="164"/>
      <c r="AA56" s="174"/>
      <c r="AB56" s="179"/>
      <c r="AC56" s="208"/>
      <c r="AD56" s="174"/>
      <c r="AE56" s="174"/>
      <c r="AF56" s="174"/>
      <c r="AG56" s="164"/>
      <c r="AH56" s="164"/>
      <c r="AI56" s="174"/>
      <c r="AJ56" s="179"/>
      <c r="AK56" s="178"/>
      <c r="AL56" s="174"/>
      <c r="AM56" s="174"/>
      <c r="AN56" s="174"/>
      <c r="AO56" s="174"/>
      <c r="AP56" s="164"/>
      <c r="AQ56" s="164"/>
      <c r="AR56" s="174"/>
      <c r="AS56" s="164"/>
      <c r="AT56" s="209"/>
      <c r="AU56" s="174"/>
      <c r="AV56" s="174"/>
      <c r="AW56" s="174"/>
      <c r="AX56" s="164"/>
      <c r="AY56" s="164"/>
      <c r="AZ56" s="174"/>
      <c r="BA56" s="164"/>
      <c r="BB56" s="178"/>
      <c r="BC56" s="174"/>
      <c r="BD56" s="174"/>
      <c r="BE56" s="174"/>
      <c r="BF56" s="164"/>
      <c r="BG56" s="164"/>
      <c r="BH56" s="174"/>
      <c r="BI56" s="164"/>
      <c r="BJ56" s="178"/>
      <c r="BK56" s="174"/>
      <c r="BL56" s="174"/>
      <c r="BM56" s="174"/>
      <c r="BN56" s="174"/>
      <c r="BO56" s="164"/>
      <c r="BP56" s="164"/>
      <c r="BQ56" s="174"/>
      <c r="BR56" s="164"/>
      <c r="BS56" s="178"/>
      <c r="BT56" s="174"/>
      <c r="BU56" s="174"/>
      <c r="BV56" s="174"/>
      <c r="BW56" s="164"/>
      <c r="BX56" s="164"/>
      <c r="BY56" s="174"/>
      <c r="BZ56" s="164"/>
      <c r="CA56" s="176"/>
      <c r="CB56" s="174"/>
      <c r="CC56" s="174"/>
      <c r="CD56" s="174"/>
      <c r="CE56" s="164"/>
      <c r="CF56" s="164"/>
      <c r="CG56" s="174"/>
      <c r="CH56" s="164"/>
      <c r="CI56" s="209"/>
      <c r="CJ56" s="174"/>
      <c r="CK56" s="174"/>
      <c r="CL56" s="174"/>
      <c r="CM56" s="164"/>
      <c r="CN56" s="164"/>
      <c r="CO56" s="174"/>
      <c r="CP56" s="164"/>
      <c r="CQ56" s="209"/>
      <c r="CR56" s="174"/>
      <c r="CS56" s="174"/>
      <c r="CT56" s="174"/>
      <c r="CU56" s="164" t="n">
        <f aca="false">+(CR56-CS56)*100</f>
        <v>0</v>
      </c>
      <c r="CV56" s="164" t="n">
        <f aca="false">+(CR56-CT56)*100</f>
        <v>0</v>
      </c>
      <c r="CW56" s="174"/>
      <c r="CX56" s="176" t="str">
        <f aca="false">IFERROR(CR56/CW56-1, "-")</f>
        <v>-</v>
      </c>
      <c r="CY56" s="125"/>
      <c r="CZ56" s="174"/>
      <c r="DA56" s="174"/>
      <c r="DB56" s="174"/>
      <c r="DC56" s="174"/>
      <c r="DD56" s="174"/>
      <c r="DE56" s="176" t="n">
        <f aca="false">+(CZ56-DD56)*100</f>
        <v>0</v>
      </c>
      <c r="DF56" s="164" t="n">
        <f aca="false">+(DA56-DD56)*100</f>
        <v>0</v>
      </c>
      <c r="DG56" s="164" t="n">
        <f aca="false">+(DB56-DD56)*100</f>
        <v>0</v>
      </c>
      <c r="DH56" s="179" t="n">
        <f aca="false">+(DC56-DD56)*100</f>
        <v>0</v>
      </c>
      <c r="DI56" s="116"/>
      <c r="DJ56" s="117"/>
      <c r="DK56" s="117"/>
      <c r="DL56" s="117"/>
      <c r="DM56" s="117"/>
      <c r="DN56" s="118"/>
      <c r="DO56" s="210"/>
      <c r="DX56" s="107"/>
      <c r="DY56" s="107"/>
      <c r="DZ56" s="107"/>
    </row>
    <row r="57" s="239" customFormat="true" ht="12.75" hidden="true" customHeight="false" outlineLevel="0" collapsed="false">
      <c r="A57" s="211"/>
      <c r="B57" s="212"/>
      <c r="C57" s="212"/>
      <c r="D57" s="213"/>
      <c r="E57" s="214"/>
      <c r="F57" s="215"/>
      <c r="G57" s="214"/>
      <c r="H57" s="216"/>
      <c r="I57" s="214"/>
      <c r="J57" s="213"/>
      <c r="K57" s="214"/>
      <c r="L57" s="214"/>
      <c r="M57" s="214"/>
      <c r="N57" s="214"/>
      <c r="O57" s="214"/>
      <c r="P57" s="217"/>
      <c r="Q57" s="214"/>
      <c r="R57" s="217"/>
      <c r="S57" s="217"/>
      <c r="T57" s="218"/>
      <c r="U57" s="219"/>
      <c r="V57" s="220"/>
      <c r="W57" s="214"/>
      <c r="X57" s="220"/>
      <c r="Y57" s="220"/>
      <c r="Z57" s="220"/>
      <c r="AA57" s="220"/>
      <c r="AB57" s="221"/>
      <c r="AC57" s="222"/>
      <c r="AD57" s="223"/>
      <c r="AE57" s="214"/>
      <c r="AF57" s="214"/>
      <c r="AG57" s="215"/>
      <c r="AH57" s="215"/>
      <c r="AI57" s="220"/>
      <c r="AJ57" s="224"/>
      <c r="AK57" s="225"/>
      <c r="AL57" s="226"/>
      <c r="AM57" s="214"/>
      <c r="AN57" s="220"/>
      <c r="AO57" s="220"/>
      <c r="AP57" s="227"/>
      <c r="AQ57" s="227"/>
      <c r="AR57" s="220"/>
      <c r="AS57" s="220"/>
      <c r="AT57" s="225"/>
      <c r="AU57" s="220"/>
      <c r="AV57" s="214"/>
      <c r="AW57" s="220"/>
      <c r="AX57" s="220"/>
      <c r="AY57" s="220"/>
      <c r="AZ57" s="220"/>
      <c r="BA57" s="220"/>
      <c r="BB57" s="225"/>
      <c r="BC57" s="228"/>
      <c r="BD57" s="214"/>
      <c r="BE57" s="228"/>
      <c r="BF57" s="228"/>
      <c r="BG57" s="228"/>
      <c r="BH57" s="228"/>
      <c r="BI57" s="229"/>
      <c r="BJ57" s="225"/>
      <c r="BK57" s="226"/>
      <c r="BL57" s="214"/>
      <c r="BM57" s="220"/>
      <c r="BN57" s="220"/>
      <c r="BO57" s="227"/>
      <c r="BP57" s="227"/>
      <c r="BQ57" s="220"/>
      <c r="BR57" s="220"/>
      <c r="BS57" s="225"/>
      <c r="BT57" s="226"/>
      <c r="BU57" s="214"/>
      <c r="BV57" s="220"/>
      <c r="BW57" s="227"/>
      <c r="BX57" s="227"/>
      <c r="BY57" s="220"/>
      <c r="BZ57" s="220"/>
      <c r="CA57" s="220"/>
      <c r="CB57" s="220"/>
      <c r="CC57" s="214"/>
      <c r="CD57" s="220"/>
      <c r="CE57" s="220"/>
      <c r="CF57" s="220"/>
      <c r="CG57" s="220"/>
      <c r="CH57" s="220"/>
      <c r="CI57" s="225"/>
      <c r="CJ57" s="226"/>
      <c r="CK57" s="214"/>
      <c r="CL57" s="220"/>
      <c r="CM57" s="227"/>
      <c r="CN57" s="227"/>
      <c r="CO57" s="220"/>
      <c r="CP57" s="230"/>
      <c r="CQ57" s="225"/>
      <c r="CR57" s="231"/>
      <c r="CS57" s="214"/>
      <c r="CT57" s="214"/>
      <c r="CU57" s="232"/>
      <c r="CV57" s="232"/>
      <c r="CW57" s="232"/>
      <c r="CX57" s="233"/>
      <c r="CY57" s="234"/>
      <c r="CZ57" s="214"/>
      <c r="DA57" s="214"/>
      <c r="DB57" s="235"/>
      <c r="DC57" s="235"/>
      <c r="DD57" s="214"/>
      <c r="DE57" s="236"/>
      <c r="DF57" s="236"/>
      <c r="DG57" s="236"/>
      <c r="DH57" s="236"/>
      <c r="DI57" s="237"/>
      <c r="DJ57" s="118"/>
      <c r="DK57" s="238"/>
      <c r="DT57" s="184"/>
      <c r="DU57" s="184"/>
    </row>
    <row r="58" s="239" customFormat="true" ht="33" hidden="false" customHeight="true" outlineLevel="0" collapsed="false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37"/>
      <c r="Q58" s="37"/>
      <c r="R58" s="37"/>
      <c r="S58" s="37"/>
      <c r="T58" s="240"/>
      <c r="U58" s="212"/>
      <c r="V58" s="212"/>
      <c r="W58" s="212"/>
      <c r="X58" s="212"/>
      <c r="Y58" s="212"/>
      <c r="Z58" s="212"/>
      <c r="AA58" s="212"/>
      <c r="AB58" s="39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40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40"/>
      <c r="BU58" s="212"/>
      <c r="BV58" s="212"/>
      <c r="BW58" s="212"/>
      <c r="BX58" s="212"/>
      <c r="BY58" s="212"/>
      <c r="BZ58" s="212"/>
      <c r="CA58" s="212"/>
      <c r="CB58" s="212"/>
      <c r="CC58" s="212"/>
      <c r="CD58" s="37"/>
      <c r="CE58" s="212"/>
      <c r="CF58" s="212"/>
      <c r="CG58" s="212"/>
      <c r="CH58" s="212"/>
      <c r="CI58" s="212"/>
      <c r="CJ58" s="241"/>
      <c r="CK58" s="242"/>
      <c r="CL58" s="242"/>
      <c r="CM58" s="42"/>
      <c r="CN58" s="42"/>
      <c r="CO58" s="212"/>
      <c r="CP58" s="212"/>
      <c r="CQ58" s="212"/>
      <c r="CR58" s="243" t="n">
        <f aca="false">CR54-SUM(CJ54,CB54,BT54,BK54,BC54,AU54,AL54,AD54,V54,P54,J54,D54)</f>
        <v>0</v>
      </c>
      <c r="CS58" s="244"/>
      <c r="CT58" s="242"/>
      <c r="CU58" s="244"/>
      <c r="CV58" s="244"/>
      <c r="CW58" s="43"/>
      <c r="CX58" s="39"/>
      <c r="CZ58" s="144"/>
      <c r="DA58" s="242"/>
      <c r="DB58" s="144"/>
      <c r="DC58" s="144"/>
      <c r="DD58" s="144"/>
      <c r="DE58" s="245"/>
      <c r="DF58" s="245"/>
      <c r="DG58" s="245"/>
      <c r="DH58" s="245"/>
      <c r="DI58" s="238"/>
      <c r="DJ58" s="238"/>
      <c r="DK58" s="238"/>
      <c r="DT58" s="184"/>
      <c r="DU58" s="184"/>
    </row>
    <row r="59" customFormat="false" ht="12.75" hidden="true" customHeight="false" outlineLevel="1" collapsed="false">
      <c r="T59" s="206"/>
      <c r="CJ59" s="246"/>
      <c r="CW59" s="246"/>
      <c r="DT59" s="184"/>
      <c r="DU59" s="184"/>
    </row>
    <row r="60" customFormat="false" ht="14.25" hidden="true" customHeight="true" outlineLevel="1" collapsed="false">
      <c r="T60" s="206"/>
      <c r="CJ60" s="247"/>
      <c r="CR60" s="248"/>
      <c r="CW60" s="246"/>
      <c r="DT60" s="184"/>
      <c r="DU60" s="184"/>
    </row>
    <row r="61" customFormat="false" ht="15" hidden="true" customHeight="true" outlineLevel="1" collapsed="false">
      <c r="A61" s="249" t="s">
        <v>94</v>
      </c>
      <c r="B61" s="249"/>
      <c r="C61" s="249"/>
      <c r="D61" s="250" t="n">
        <f aca="false">D7</f>
        <v>0</v>
      </c>
      <c r="E61" s="250" t="n">
        <f aca="false">E7</f>
        <v>0</v>
      </c>
      <c r="F61" s="249"/>
      <c r="G61" s="250" t="n">
        <f aca="false">G7</f>
        <v>0</v>
      </c>
      <c r="H61" s="249"/>
      <c r="I61" s="249"/>
      <c r="J61" s="250"/>
      <c r="K61" s="250"/>
      <c r="L61" s="249"/>
      <c r="M61" s="250" t="n">
        <f aca="false">M7</f>
        <v>0</v>
      </c>
      <c r="N61" s="249"/>
      <c r="O61" s="249"/>
      <c r="P61" s="250" t="n">
        <f aca="false">P7</f>
        <v>0</v>
      </c>
      <c r="Q61" s="250" t="n">
        <f aca="false">Q7</f>
        <v>0</v>
      </c>
      <c r="R61" s="250"/>
      <c r="S61" s="250" t="n">
        <f aca="false">S7</f>
        <v>0</v>
      </c>
      <c r="T61" s="251"/>
      <c r="U61" s="249"/>
      <c r="V61" s="250" t="n">
        <f aca="false">V7</f>
        <v>0</v>
      </c>
      <c r="W61" s="250" t="n">
        <f aca="false">W7</f>
        <v>0</v>
      </c>
      <c r="X61" s="249"/>
      <c r="Y61" s="249"/>
      <c r="Z61" s="249"/>
      <c r="AA61" s="250" t="n">
        <f aca="false">AA7</f>
        <v>0</v>
      </c>
      <c r="AB61" s="252"/>
      <c r="AC61" s="249"/>
      <c r="AD61" s="250" t="n">
        <f aca="false">AD7</f>
        <v>0</v>
      </c>
      <c r="AE61" s="250" t="n">
        <f aca="false">AE7</f>
        <v>0</v>
      </c>
      <c r="AF61" s="249"/>
      <c r="AG61" s="249"/>
      <c r="AH61" s="249"/>
      <c r="AI61" s="250" t="n">
        <f aca="false">AI7</f>
        <v>0</v>
      </c>
      <c r="AJ61" s="249"/>
      <c r="AK61" s="249"/>
      <c r="AL61" s="250" t="n">
        <f aca="false">AL7</f>
        <v>0</v>
      </c>
      <c r="AM61" s="250" t="n">
        <f aca="false">AM7</f>
        <v>0</v>
      </c>
      <c r="AN61" s="249"/>
      <c r="AO61" s="249"/>
      <c r="AP61" s="249"/>
      <c r="AQ61" s="249"/>
      <c r="AR61" s="250" t="n">
        <f aca="false">AR7</f>
        <v>0</v>
      </c>
      <c r="AS61" s="249"/>
      <c r="AT61" s="249"/>
      <c r="AU61" s="250" t="n">
        <v>8581.71612544101</v>
      </c>
      <c r="AV61" s="250" t="n">
        <v>9776.30046817674</v>
      </c>
      <c r="AW61" s="249"/>
      <c r="AX61" s="249"/>
      <c r="AY61" s="249"/>
      <c r="AZ61" s="250" t="n">
        <v>8753.01210334688</v>
      </c>
      <c r="BA61" s="249"/>
      <c r="BB61" s="249"/>
      <c r="BC61" s="250" t="n">
        <v>8351.31339955898</v>
      </c>
      <c r="BD61" s="250" t="n">
        <v>9829.74999045282</v>
      </c>
      <c r="BE61" s="249"/>
      <c r="BF61" s="249"/>
      <c r="BG61" s="249"/>
      <c r="BH61" s="250" t="n">
        <v>8653.65521697458</v>
      </c>
      <c r="BI61" s="253"/>
      <c r="BJ61" s="249"/>
      <c r="BK61" s="250" t="n">
        <f aca="false">BK7</f>
        <v>0</v>
      </c>
      <c r="BL61" s="250" t="n">
        <f aca="false">BL7</f>
        <v>0</v>
      </c>
      <c r="BM61" s="249"/>
      <c r="BN61" s="249"/>
      <c r="BO61" s="249"/>
      <c r="BP61" s="249"/>
      <c r="BQ61" s="250" t="n">
        <f aca="false">BQ7</f>
        <v>0</v>
      </c>
      <c r="BR61" s="249"/>
      <c r="BS61" s="249"/>
      <c r="BT61" s="250" t="n">
        <f aca="false">BT7</f>
        <v>0</v>
      </c>
      <c r="BU61" s="250" t="n">
        <f aca="false">BU7</f>
        <v>0</v>
      </c>
      <c r="BV61" s="249"/>
      <c r="BW61" s="249"/>
      <c r="BX61" s="249"/>
      <c r="BY61" s="250" t="n">
        <f aca="false">BY7</f>
        <v>0</v>
      </c>
      <c r="BZ61" s="249"/>
      <c r="CA61" s="249"/>
      <c r="CB61" s="250" t="n">
        <f aca="false">CB7</f>
        <v>0</v>
      </c>
      <c r="CC61" s="250" t="n">
        <f aca="false">CC7</f>
        <v>0</v>
      </c>
      <c r="CD61" s="249"/>
      <c r="CE61" s="249"/>
      <c r="CF61" s="249"/>
      <c r="CG61" s="250" t="n">
        <f aca="false">CG7</f>
        <v>0</v>
      </c>
      <c r="CH61" s="249"/>
      <c r="CI61" s="249"/>
      <c r="CJ61" s="250" t="n">
        <f aca="false">CJ7</f>
        <v>0</v>
      </c>
      <c r="CK61" s="250" t="n">
        <f aca="false">CK7</f>
        <v>0</v>
      </c>
      <c r="CL61" s="254" t="n">
        <f aca="false">CL7</f>
        <v>0</v>
      </c>
      <c r="CM61" s="254"/>
      <c r="CN61" s="254"/>
      <c r="CO61" s="250" t="n">
        <f aca="false">CO7</f>
        <v>0</v>
      </c>
      <c r="CP61" s="254"/>
      <c r="CQ61" s="249"/>
      <c r="CR61" s="250" t="n">
        <f aca="false">CR7</f>
        <v>0</v>
      </c>
      <c r="CS61" s="250" t="n">
        <f aca="false">CS7</f>
        <v>0</v>
      </c>
      <c r="CT61" s="250" t="n">
        <f aca="false">CT7</f>
        <v>0</v>
      </c>
      <c r="CU61" s="250"/>
      <c r="CV61" s="250"/>
      <c r="CW61" s="254" t="n">
        <f aca="false">CW7</f>
        <v>0</v>
      </c>
      <c r="CX61" s="37"/>
      <c r="DT61" s="184"/>
      <c r="DU61" s="184"/>
    </row>
    <row r="62" customFormat="false" ht="15" hidden="true" customHeight="true" outlineLevel="1" collapsed="false">
      <c r="A62" s="249" t="s">
        <v>95</v>
      </c>
      <c r="B62" s="249"/>
      <c r="C62" s="249"/>
      <c r="D62" s="250" t="n">
        <f aca="false">'CA Mobile'!D8</f>
        <v>0</v>
      </c>
      <c r="E62" s="250" t="n">
        <f aca="false">'CA Mobile'!E8</f>
        <v>0</v>
      </c>
      <c r="F62" s="249"/>
      <c r="G62" s="250" t="n">
        <f aca="false">'CA Mobile'!G8</f>
        <v>0</v>
      </c>
      <c r="H62" s="249"/>
      <c r="I62" s="249"/>
      <c r="J62" s="250"/>
      <c r="K62" s="250"/>
      <c r="L62" s="249"/>
      <c r="M62" s="250" t="n">
        <f aca="false">'CA Mobile'!M8</f>
        <v>0</v>
      </c>
      <c r="N62" s="249"/>
      <c r="O62" s="249"/>
      <c r="P62" s="250" t="n">
        <f aca="false">'CA Mobile'!P8</f>
        <v>0</v>
      </c>
      <c r="Q62" s="250" t="n">
        <f aca="false">'CA Mobile'!Q8</f>
        <v>0</v>
      </c>
      <c r="R62" s="250"/>
      <c r="S62" s="250" t="n">
        <f aca="false">'CA Mobile'!S8</f>
        <v>0</v>
      </c>
      <c r="T62" s="251"/>
      <c r="U62" s="249"/>
      <c r="V62" s="250" t="n">
        <f aca="false">'CA Mobile'!V8</f>
        <v>0</v>
      </c>
      <c r="W62" s="250" t="n">
        <f aca="false">'CA Mobile'!W8</f>
        <v>0</v>
      </c>
      <c r="X62" s="249"/>
      <c r="Y62" s="249"/>
      <c r="Z62" s="249"/>
      <c r="AA62" s="250" t="n">
        <f aca="false">'CA Mobile'!AA8</f>
        <v>0</v>
      </c>
      <c r="AB62" s="252"/>
      <c r="AC62" s="249"/>
      <c r="AD62" s="250" t="n">
        <f aca="false">'CA Mobile'!AD8</f>
        <v>0</v>
      </c>
      <c r="AE62" s="250" t="n">
        <f aca="false">'CA Mobile'!AE8</f>
        <v>0</v>
      </c>
      <c r="AF62" s="249"/>
      <c r="AG62" s="249"/>
      <c r="AH62" s="249"/>
      <c r="AI62" s="250" t="n">
        <f aca="false">'CA Mobile'!AI8</f>
        <v>0</v>
      </c>
      <c r="AJ62" s="249"/>
      <c r="AK62" s="249"/>
      <c r="AL62" s="250" t="n">
        <f aca="false">'CA Mobile'!AL8</f>
        <v>0</v>
      </c>
      <c r="AM62" s="250" t="n">
        <f aca="false">'CA Mobile'!AM8</f>
        <v>0</v>
      </c>
      <c r="AN62" s="249"/>
      <c r="AO62" s="249"/>
      <c r="AP62" s="249"/>
      <c r="AQ62" s="249"/>
      <c r="AR62" s="250" t="n">
        <f aca="false">'CA Mobile'!AR8</f>
        <v>0</v>
      </c>
      <c r="AS62" s="249"/>
      <c r="AT62" s="249"/>
      <c r="AU62" s="250" t="n">
        <v>8581.71612544101</v>
      </c>
      <c r="AV62" s="250" t="n">
        <v>9776.30046817674</v>
      </c>
      <c r="AW62" s="249"/>
      <c r="AX62" s="249"/>
      <c r="AY62" s="249"/>
      <c r="AZ62" s="250" t="n">
        <v>8753.01210334688</v>
      </c>
      <c r="BA62" s="249"/>
      <c r="BB62" s="249"/>
      <c r="BC62" s="250" t="n">
        <v>8351.31339955898</v>
      </c>
      <c r="BD62" s="250" t="n">
        <v>9829.74999045282</v>
      </c>
      <c r="BE62" s="249"/>
      <c r="BF62" s="249"/>
      <c r="BG62" s="249"/>
      <c r="BH62" s="250" t="n">
        <v>8653.65521697458</v>
      </c>
      <c r="BI62" s="253"/>
      <c r="BJ62" s="249"/>
      <c r="BK62" s="250" t="n">
        <f aca="false">'CA Mobile'!BK8</f>
        <v>0</v>
      </c>
      <c r="BL62" s="250" t="n">
        <f aca="false">'CA Mobile'!BL8</f>
        <v>0</v>
      </c>
      <c r="BM62" s="249"/>
      <c r="BN62" s="249"/>
      <c r="BO62" s="249"/>
      <c r="BP62" s="249"/>
      <c r="BQ62" s="250" t="n">
        <f aca="false">'CA Mobile'!BQ8</f>
        <v>0</v>
      </c>
      <c r="BR62" s="249"/>
      <c r="BS62" s="249"/>
      <c r="BT62" s="250" t="n">
        <f aca="false">'CA Mobile'!BT8</f>
        <v>0</v>
      </c>
      <c r="BU62" s="250" t="n">
        <f aca="false">'CA Mobile'!BU8</f>
        <v>0</v>
      </c>
      <c r="BV62" s="249"/>
      <c r="BW62" s="249"/>
      <c r="BX62" s="249"/>
      <c r="BY62" s="250" t="n">
        <f aca="false">'CA Mobile'!BY8</f>
        <v>0</v>
      </c>
      <c r="BZ62" s="249"/>
      <c r="CA62" s="249"/>
      <c r="CB62" s="250" t="n">
        <f aca="false">'CA Mobile'!CB8</f>
        <v>0</v>
      </c>
      <c r="CC62" s="250" t="n">
        <f aca="false">'CA Mobile'!CC8</f>
        <v>0</v>
      </c>
      <c r="CD62" s="249"/>
      <c r="CE62" s="249"/>
      <c r="CF62" s="249"/>
      <c r="CG62" s="250" t="n">
        <f aca="false">'CA Mobile'!CG8</f>
        <v>0</v>
      </c>
      <c r="CH62" s="249"/>
      <c r="CI62" s="249"/>
      <c r="CJ62" s="250" t="n">
        <f aca="false">'CA Mobile'!CJ8</f>
        <v>0</v>
      </c>
      <c r="CK62" s="250" t="n">
        <f aca="false">'CA Mobile'!CK8</f>
        <v>0</v>
      </c>
      <c r="CL62" s="254" t="n">
        <f aca="false">+'CA Mobile'!CL8</f>
        <v>0</v>
      </c>
      <c r="CM62" s="254"/>
      <c r="CN62" s="254"/>
      <c r="CO62" s="250" t="n">
        <f aca="false">'CA Mobile'!CO8</f>
        <v>0</v>
      </c>
      <c r="CP62" s="249"/>
      <c r="CQ62" s="249"/>
      <c r="CR62" s="250" t="n">
        <f aca="false">'CA Mobile'!CR8</f>
        <v>0</v>
      </c>
      <c r="CS62" s="250" t="n">
        <f aca="false">'CA Mobile'!CS8</f>
        <v>0</v>
      </c>
      <c r="CT62" s="250" t="n">
        <f aca="false">'CA Mobile'!CT8</f>
        <v>0</v>
      </c>
      <c r="CU62" s="250"/>
      <c r="CV62" s="250"/>
      <c r="CW62" s="254" t="n">
        <f aca="false">'CA Mobile'!CW8</f>
        <v>0</v>
      </c>
      <c r="DT62" s="184"/>
      <c r="DU62" s="184"/>
    </row>
    <row r="63" s="14" customFormat="true" ht="15" hidden="true" customHeight="true" outlineLevel="1" collapsed="false">
      <c r="A63" s="255" t="s">
        <v>96</v>
      </c>
      <c r="D63" s="256" t="n">
        <f aca="false">D61-D62</f>
        <v>0</v>
      </c>
      <c r="E63" s="256" t="n">
        <f aca="false">E61-E62</f>
        <v>0</v>
      </c>
      <c r="G63" s="257" t="n">
        <f aca="false">G61-G62</f>
        <v>0</v>
      </c>
      <c r="J63" s="256"/>
      <c r="K63" s="256"/>
      <c r="M63" s="257" t="n">
        <f aca="false">M61-M62</f>
        <v>0</v>
      </c>
      <c r="P63" s="256" t="n">
        <f aca="false">P61-P62</f>
        <v>0</v>
      </c>
      <c r="Q63" s="256" t="n">
        <f aca="false">Q61-Q62</f>
        <v>0</v>
      </c>
      <c r="R63" s="256"/>
      <c r="S63" s="257" t="n">
        <f aca="false">S61-S62</f>
        <v>0</v>
      </c>
      <c r="T63" s="258"/>
      <c r="V63" s="256" t="n">
        <f aca="false">V61-V62</f>
        <v>0</v>
      </c>
      <c r="W63" s="256" t="n">
        <f aca="false">W61-W62</f>
        <v>0</v>
      </c>
      <c r="AA63" s="257" t="n">
        <f aca="false">AA61-AA62</f>
        <v>0</v>
      </c>
      <c r="AB63" s="259"/>
      <c r="AD63" s="256" t="n">
        <f aca="false">AD61-AD62</f>
        <v>0</v>
      </c>
      <c r="AE63" s="256" t="n">
        <f aca="false">AE61-AE62</f>
        <v>0</v>
      </c>
      <c r="AI63" s="257" t="n">
        <f aca="false">AI61-AI62</f>
        <v>0</v>
      </c>
      <c r="AL63" s="256" t="n">
        <f aca="false">AL61-AL62</f>
        <v>0</v>
      </c>
      <c r="AM63" s="256" t="n">
        <f aca="false">AM61-AM62</f>
        <v>0</v>
      </c>
      <c r="AR63" s="257" t="n">
        <f aca="false">AR61-AR62</f>
        <v>0</v>
      </c>
      <c r="AU63" s="256" t="n">
        <v>0</v>
      </c>
      <c r="AV63" s="256" t="n">
        <v>0</v>
      </c>
      <c r="AZ63" s="257" t="n">
        <v>0</v>
      </c>
      <c r="BC63" s="256" t="n">
        <v>0</v>
      </c>
      <c r="BD63" s="256" t="n">
        <v>0</v>
      </c>
      <c r="BH63" s="257" t="n">
        <v>0</v>
      </c>
      <c r="BI63" s="260"/>
      <c r="BK63" s="256" t="n">
        <f aca="false">BK61-BK62</f>
        <v>0</v>
      </c>
      <c r="BL63" s="256" t="n">
        <f aca="false">BL61-BL62</f>
        <v>0</v>
      </c>
      <c r="BQ63" s="257" t="n">
        <f aca="false">BQ61-BQ62</f>
        <v>0</v>
      </c>
      <c r="BT63" s="256" t="n">
        <f aca="false">BT61-BT62</f>
        <v>0</v>
      </c>
      <c r="BU63" s="256" t="n">
        <f aca="false">BU61-BU62</f>
        <v>0</v>
      </c>
      <c r="BY63" s="257" t="n">
        <f aca="false">BY61-BY62</f>
        <v>0</v>
      </c>
      <c r="CB63" s="256" t="n">
        <f aca="false">CB61-CB62</f>
        <v>0</v>
      </c>
      <c r="CC63" s="256" t="n">
        <f aca="false">CC61-CC62</f>
        <v>0</v>
      </c>
      <c r="CG63" s="257" t="n">
        <f aca="false">CG61-CG62</f>
        <v>0</v>
      </c>
      <c r="CJ63" s="256" t="n">
        <f aca="false">CJ61-CJ62</f>
        <v>0</v>
      </c>
      <c r="CK63" s="256" t="n">
        <f aca="false">CK61-CK62</f>
        <v>0</v>
      </c>
      <c r="CL63" s="261" t="n">
        <f aca="false">+CL61-CL62</f>
        <v>0</v>
      </c>
      <c r="CM63" s="261"/>
      <c r="CN63" s="261"/>
      <c r="CO63" s="257" t="n">
        <f aca="false">CO61-CO62</f>
        <v>0</v>
      </c>
      <c r="CR63" s="256" t="n">
        <f aca="false">CR61-CR62</f>
        <v>0</v>
      </c>
      <c r="CS63" s="256" t="n">
        <f aca="false">CS61-CS62</f>
        <v>0</v>
      </c>
      <c r="CT63" s="257" t="n">
        <f aca="false">CT61-CT62</f>
        <v>0</v>
      </c>
      <c r="CU63" s="257" t="n">
        <f aca="false">CU61-CU62</f>
        <v>0</v>
      </c>
      <c r="CV63" s="257" t="n">
        <f aca="false">CV61-CV62</f>
        <v>0</v>
      </c>
      <c r="CW63" s="262" t="n">
        <f aca="false">CW61-CW62</f>
        <v>0</v>
      </c>
      <c r="DT63" s="184"/>
      <c r="DU63" s="184"/>
    </row>
    <row r="64" customFormat="false" ht="15" hidden="true" customHeight="true" outlineLevel="1" collapsed="false">
      <c r="A64" s="249" t="s">
        <v>97</v>
      </c>
      <c r="B64" s="249"/>
      <c r="C64" s="249"/>
      <c r="D64" s="250" t="n">
        <f aca="false">'Marge Mobile'!D7</f>
        <v>0</v>
      </c>
      <c r="E64" s="250" t="n">
        <f aca="false">'Marge Mobile'!E7</f>
        <v>0</v>
      </c>
      <c r="F64" s="249"/>
      <c r="G64" s="250" t="n">
        <f aca="false">'Marge Mobile'!G7</f>
        <v>0</v>
      </c>
      <c r="H64" s="249"/>
      <c r="I64" s="249"/>
      <c r="J64" s="250"/>
      <c r="K64" s="250"/>
      <c r="L64" s="249"/>
      <c r="M64" s="250" t="n">
        <f aca="false">'Marge Mobile'!M7</f>
        <v>0</v>
      </c>
      <c r="N64" s="249"/>
      <c r="O64" s="249"/>
      <c r="P64" s="250" t="n">
        <f aca="false">'Marge Mobile'!P7</f>
        <v>0</v>
      </c>
      <c r="Q64" s="250" t="n">
        <f aca="false">'Marge Mobile'!Q7</f>
        <v>0</v>
      </c>
      <c r="R64" s="250"/>
      <c r="S64" s="250" t="n">
        <f aca="false">'Marge Mobile'!S7</f>
        <v>0</v>
      </c>
      <c r="T64" s="251"/>
      <c r="U64" s="249"/>
      <c r="V64" s="250" t="n">
        <f aca="false">'Marge Mobile'!V7</f>
        <v>0</v>
      </c>
      <c r="W64" s="250" t="n">
        <f aca="false">'Marge Mobile'!W7</f>
        <v>0</v>
      </c>
      <c r="X64" s="249"/>
      <c r="Y64" s="249"/>
      <c r="Z64" s="249"/>
      <c r="AA64" s="250" t="n">
        <f aca="false">'Marge Mobile'!AA7</f>
        <v>0</v>
      </c>
      <c r="AB64" s="252"/>
      <c r="AC64" s="249"/>
      <c r="AD64" s="250" t="n">
        <f aca="false">'Marge Mobile'!AD7</f>
        <v>0</v>
      </c>
      <c r="AE64" s="250" t="n">
        <f aca="false">'Marge Mobile'!AE7</f>
        <v>0</v>
      </c>
      <c r="AF64" s="249"/>
      <c r="AG64" s="249"/>
      <c r="AH64" s="249"/>
      <c r="AI64" s="250" t="n">
        <f aca="false">'Marge Mobile'!AI7</f>
        <v>0</v>
      </c>
      <c r="AJ64" s="249"/>
      <c r="AK64" s="249"/>
      <c r="AL64" s="250" t="n">
        <f aca="false">'Marge Mobile'!AL7</f>
        <v>0</v>
      </c>
      <c r="AM64" s="250" t="n">
        <f aca="false">'Marge Mobile'!AM7</f>
        <v>0</v>
      </c>
      <c r="AN64" s="249"/>
      <c r="AO64" s="249"/>
      <c r="AP64" s="249"/>
      <c r="AQ64" s="249"/>
      <c r="AR64" s="250" t="n">
        <f aca="false">'Marge Mobile'!AR7</f>
        <v>0</v>
      </c>
      <c r="AS64" s="249"/>
      <c r="AT64" s="249"/>
      <c r="AU64" s="250" t="n">
        <v>8581.71612544101</v>
      </c>
      <c r="AV64" s="250" t="n">
        <v>9776.30046817674</v>
      </c>
      <c r="AW64" s="249"/>
      <c r="AX64" s="249"/>
      <c r="AY64" s="249"/>
      <c r="AZ64" s="250" t="n">
        <v>8753.01210334688</v>
      </c>
      <c r="BA64" s="249"/>
      <c r="BB64" s="249"/>
      <c r="BC64" s="250" t="n">
        <v>8351.31339955898</v>
      </c>
      <c r="BD64" s="250" t="n">
        <v>9829.74999045282</v>
      </c>
      <c r="BE64" s="249"/>
      <c r="BF64" s="249"/>
      <c r="BG64" s="249"/>
      <c r="BH64" s="250" t="n">
        <v>8653.65521697458</v>
      </c>
      <c r="BI64" s="253"/>
      <c r="BJ64" s="249"/>
      <c r="BK64" s="250" t="n">
        <f aca="false">'Marge Mobile'!BK7</f>
        <v>0</v>
      </c>
      <c r="BL64" s="250" t="n">
        <f aca="false">'Marge Mobile'!BL7</f>
        <v>0</v>
      </c>
      <c r="BM64" s="249"/>
      <c r="BN64" s="249"/>
      <c r="BO64" s="249"/>
      <c r="BP64" s="249"/>
      <c r="BQ64" s="250" t="n">
        <f aca="false">'Marge Mobile'!BQ7</f>
        <v>0</v>
      </c>
      <c r="BR64" s="249"/>
      <c r="BS64" s="249"/>
      <c r="BT64" s="250" t="n">
        <f aca="false">'Marge Mobile'!BT7</f>
        <v>0</v>
      </c>
      <c r="BU64" s="250" t="n">
        <f aca="false">'Marge Mobile'!BU7</f>
        <v>0</v>
      </c>
      <c r="BV64" s="249"/>
      <c r="BW64" s="249"/>
      <c r="BX64" s="249"/>
      <c r="BY64" s="250" t="n">
        <f aca="false">'Marge Mobile'!BY7</f>
        <v>0</v>
      </c>
      <c r="BZ64" s="249"/>
      <c r="CA64" s="249"/>
      <c r="CB64" s="250" t="n">
        <f aca="false">'Marge Mobile'!CB7</f>
        <v>0</v>
      </c>
      <c r="CC64" s="250" t="n">
        <f aca="false">'Marge Mobile'!CC7</f>
        <v>0</v>
      </c>
      <c r="CD64" s="249"/>
      <c r="CE64" s="249"/>
      <c r="CF64" s="249"/>
      <c r="CG64" s="250" t="n">
        <f aca="false">'Marge Mobile'!CG7</f>
        <v>0</v>
      </c>
      <c r="CH64" s="249"/>
      <c r="CI64" s="249"/>
      <c r="CJ64" s="250" t="n">
        <f aca="false">'Marge Mobile'!CJ7</f>
        <v>0</v>
      </c>
      <c r="CK64" s="250" t="n">
        <f aca="false">'Marge Mobile'!CK7</f>
        <v>0</v>
      </c>
      <c r="CL64" s="254" t="n">
        <f aca="false">'Marge Mobile'!CL7</f>
        <v>0</v>
      </c>
      <c r="CM64" s="254"/>
      <c r="CN64" s="254"/>
      <c r="CO64" s="250" t="n">
        <f aca="false">'Marge Mobile'!CO7</f>
        <v>0</v>
      </c>
      <c r="CP64" s="249"/>
      <c r="CQ64" s="249"/>
      <c r="CR64" s="250" t="n">
        <f aca="false">'Marge Mobile'!CR7</f>
        <v>0</v>
      </c>
      <c r="CS64" s="250" t="n">
        <f aca="false">'Marge Mobile'!CS7</f>
        <v>0</v>
      </c>
      <c r="CT64" s="250" t="n">
        <f aca="false">'Marge Mobile'!CT7</f>
        <v>0</v>
      </c>
      <c r="CU64" s="250"/>
      <c r="CV64" s="250"/>
      <c r="CW64" s="254" t="n">
        <f aca="false">'Marge Mobile'!CW7</f>
        <v>0</v>
      </c>
      <c r="DT64" s="184"/>
      <c r="DU64" s="184"/>
    </row>
    <row r="65" s="14" customFormat="true" ht="15" hidden="true" customHeight="true" outlineLevel="1" collapsed="false">
      <c r="A65" s="255" t="s">
        <v>96</v>
      </c>
      <c r="D65" s="261" t="n">
        <f aca="false">D61-D64</f>
        <v>0</v>
      </c>
      <c r="E65" s="261" t="n">
        <f aca="false">E61-E64</f>
        <v>0</v>
      </c>
      <c r="G65" s="262" t="n">
        <f aca="false">G61-G64</f>
        <v>0</v>
      </c>
      <c r="J65" s="261"/>
      <c r="K65" s="261"/>
      <c r="M65" s="262" t="n">
        <f aca="false">M61-M64</f>
        <v>0</v>
      </c>
      <c r="P65" s="261" t="n">
        <f aca="false">P61-P64</f>
        <v>0</v>
      </c>
      <c r="Q65" s="261" t="n">
        <f aca="false">Q61-Q64</f>
        <v>0</v>
      </c>
      <c r="R65" s="256"/>
      <c r="S65" s="262" t="n">
        <f aca="false">S61-S64</f>
        <v>0</v>
      </c>
      <c r="T65" s="258"/>
      <c r="V65" s="261" t="n">
        <f aca="false">V61-V64</f>
        <v>0</v>
      </c>
      <c r="W65" s="261" t="n">
        <f aca="false">W61-W64</f>
        <v>0</v>
      </c>
      <c r="AA65" s="262" t="n">
        <f aca="false">AA61-AA64</f>
        <v>0</v>
      </c>
      <c r="AB65" s="259"/>
      <c r="AD65" s="261" t="n">
        <f aca="false">AD61-AD64</f>
        <v>0</v>
      </c>
      <c r="AE65" s="261" t="n">
        <f aca="false">AE61-AE64</f>
        <v>0</v>
      </c>
      <c r="AI65" s="262" t="n">
        <f aca="false">AI61-AI64</f>
        <v>0</v>
      </c>
      <c r="AL65" s="261" t="n">
        <f aca="false">AL61-AL64</f>
        <v>0</v>
      </c>
      <c r="AM65" s="261" t="n">
        <f aca="false">AM61-AM64</f>
        <v>0</v>
      </c>
      <c r="AR65" s="262" t="n">
        <f aca="false">AR61-AR64</f>
        <v>0</v>
      </c>
      <c r="AU65" s="261" t="n">
        <v>0</v>
      </c>
      <c r="AV65" s="261" t="n">
        <v>0</v>
      </c>
      <c r="AZ65" s="262" t="n">
        <v>0</v>
      </c>
      <c r="BC65" s="261" t="n">
        <v>0</v>
      </c>
      <c r="BD65" s="261" t="n">
        <v>0</v>
      </c>
      <c r="BH65" s="262" t="n">
        <v>0</v>
      </c>
      <c r="BI65" s="260"/>
      <c r="BK65" s="261" t="n">
        <f aca="false">BK61-BK64</f>
        <v>0</v>
      </c>
      <c r="BL65" s="261" t="n">
        <f aca="false">BL61-BL64</f>
        <v>0</v>
      </c>
      <c r="BQ65" s="262" t="n">
        <f aca="false">BQ61-BQ64</f>
        <v>0</v>
      </c>
      <c r="BT65" s="261" t="n">
        <f aca="false">BT61-BT64</f>
        <v>0</v>
      </c>
      <c r="BU65" s="261" t="n">
        <f aca="false">BU61-BU64</f>
        <v>0</v>
      </c>
      <c r="BY65" s="262" t="n">
        <f aca="false">BY61-BY64</f>
        <v>0</v>
      </c>
      <c r="CB65" s="261" t="n">
        <f aca="false">CB61-CB64</f>
        <v>0</v>
      </c>
      <c r="CC65" s="261" t="n">
        <f aca="false">CC61-CC64</f>
        <v>0</v>
      </c>
      <c r="CG65" s="262" t="n">
        <f aca="false">CG61-CG64</f>
        <v>0</v>
      </c>
      <c r="CJ65" s="261" t="n">
        <f aca="false">CJ61-CJ64</f>
        <v>0</v>
      </c>
      <c r="CK65" s="261" t="n">
        <f aca="false">CK61-CK64</f>
        <v>0</v>
      </c>
      <c r="CL65" s="261" t="n">
        <f aca="false">CL61-CL64</f>
        <v>0</v>
      </c>
      <c r="CM65" s="261" t="n">
        <f aca="false">CM61-CM64</f>
        <v>0</v>
      </c>
      <c r="CN65" s="261" t="n">
        <f aca="false">CN61-CN64</f>
        <v>0</v>
      </c>
      <c r="CO65" s="262" t="n">
        <f aca="false">CO61-CO64</f>
        <v>0</v>
      </c>
      <c r="CR65" s="261" t="n">
        <f aca="false">CR61-CR64</f>
        <v>0</v>
      </c>
      <c r="CS65" s="261" t="n">
        <f aca="false">CS61-CS64</f>
        <v>0</v>
      </c>
      <c r="CT65" s="262" t="n">
        <f aca="false">CT61-CT64</f>
        <v>0</v>
      </c>
      <c r="CU65" s="262" t="n">
        <f aca="false">CU61-CU64</f>
        <v>0</v>
      </c>
      <c r="CV65" s="262" t="n">
        <f aca="false">CV61-CV64</f>
        <v>0</v>
      </c>
      <c r="CW65" s="262" t="n">
        <f aca="false">CW61-CW64</f>
        <v>0</v>
      </c>
      <c r="DT65" s="184"/>
      <c r="DU65" s="184"/>
    </row>
    <row r="66" customFormat="false" ht="15" hidden="true" customHeight="true" outlineLevel="1" collapsed="false">
      <c r="A66" s="249" t="s">
        <v>98</v>
      </c>
      <c r="B66" s="249"/>
      <c r="C66" s="249"/>
      <c r="D66" s="250" t="n">
        <f aca="false">D25</f>
        <v>0</v>
      </c>
      <c r="E66" s="250" t="n">
        <f aca="false">E25</f>
        <v>0</v>
      </c>
      <c r="F66" s="249"/>
      <c r="G66" s="263" t="n">
        <f aca="false">G25</f>
        <v>0</v>
      </c>
      <c r="H66" s="249"/>
      <c r="I66" s="249"/>
      <c r="J66" s="250"/>
      <c r="K66" s="250"/>
      <c r="L66" s="249"/>
      <c r="M66" s="263" t="n">
        <f aca="false">M25</f>
        <v>0</v>
      </c>
      <c r="N66" s="249"/>
      <c r="O66" s="249"/>
      <c r="P66" s="250" t="n">
        <f aca="false">P25</f>
        <v>0</v>
      </c>
      <c r="Q66" s="250" t="n">
        <f aca="false">Q25</f>
        <v>0</v>
      </c>
      <c r="R66" s="250"/>
      <c r="S66" s="263" t="n">
        <f aca="false">S25</f>
        <v>0</v>
      </c>
      <c r="T66" s="251"/>
      <c r="U66" s="249"/>
      <c r="V66" s="250" t="n">
        <f aca="false">V25</f>
        <v>0</v>
      </c>
      <c r="W66" s="250" t="n">
        <f aca="false">W25</f>
        <v>0</v>
      </c>
      <c r="X66" s="249"/>
      <c r="Y66" s="249"/>
      <c r="Z66" s="249"/>
      <c r="AA66" s="263" t="n">
        <f aca="false">AA25</f>
        <v>0</v>
      </c>
      <c r="AB66" s="252"/>
      <c r="AC66" s="249"/>
      <c r="AD66" s="250" t="n">
        <f aca="false">AD25</f>
        <v>0</v>
      </c>
      <c r="AE66" s="250" t="n">
        <f aca="false">AE25</f>
        <v>0</v>
      </c>
      <c r="AF66" s="249"/>
      <c r="AG66" s="249"/>
      <c r="AH66" s="249"/>
      <c r="AI66" s="263" t="n">
        <f aca="false">AI25</f>
        <v>0</v>
      </c>
      <c r="AJ66" s="249"/>
      <c r="AK66" s="249"/>
      <c r="AL66" s="250" t="n">
        <f aca="false">AL25</f>
        <v>0</v>
      </c>
      <c r="AM66" s="250" t="n">
        <f aca="false">AM25</f>
        <v>0</v>
      </c>
      <c r="AN66" s="249"/>
      <c r="AO66" s="249"/>
      <c r="AP66" s="249"/>
      <c r="AQ66" s="249"/>
      <c r="AR66" s="263" t="n">
        <f aca="false">AR25</f>
        <v>0</v>
      </c>
      <c r="AS66" s="249"/>
      <c r="AT66" s="249"/>
      <c r="AU66" s="250" t="n">
        <v>-5235.802691075</v>
      </c>
      <c r="AV66" s="250" t="n">
        <v>-5853.39723620288</v>
      </c>
      <c r="AW66" s="249"/>
      <c r="AX66" s="249"/>
      <c r="AY66" s="249"/>
      <c r="AZ66" s="263" t="n">
        <v>-5748.747755075</v>
      </c>
      <c r="BA66" s="249"/>
      <c r="BB66" s="249"/>
      <c r="BC66" s="250" t="n">
        <v>-5276.323145075</v>
      </c>
      <c r="BD66" s="250" t="n">
        <v>-5736.12329012465</v>
      </c>
      <c r="BE66" s="249"/>
      <c r="BF66" s="249"/>
      <c r="BG66" s="249"/>
      <c r="BH66" s="263" t="n">
        <v>-5142.397238075</v>
      </c>
      <c r="BI66" s="253"/>
      <c r="BJ66" s="249"/>
      <c r="BK66" s="250" t="n">
        <f aca="false">BK25</f>
        <v>0</v>
      </c>
      <c r="BL66" s="250" t="n">
        <f aca="false">BL25</f>
        <v>0</v>
      </c>
      <c r="BM66" s="249"/>
      <c r="BN66" s="249"/>
      <c r="BO66" s="249"/>
      <c r="BP66" s="249"/>
      <c r="BQ66" s="263" t="n">
        <f aca="false">BQ25</f>
        <v>0</v>
      </c>
      <c r="BR66" s="249"/>
      <c r="BS66" s="249"/>
      <c r="BT66" s="250" t="n">
        <f aca="false">BT25</f>
        <v>0</v>
      </c>
      <c r="BU66" s="250" t="n">
        <f aca="false">BU25</f>
        <v>0</v>
      </c>
      <c r="BV66" s="249"/>
      <c r="BW66" s="249"/>
      <c r="BX66" s="249"/>
      <c r="BY66" s="263" t="n">
        <f aca="false">BY25</f>
        <v>0</v>
      </c>
      <c r="BZ66" s="249"/>
      <c r="CA66" s="249"/>
      <c r="CB66" s="250" t="n">
        <f aca="false">CB25</f>
        <v>0</v>
      </c>
      <c r="CC66" s="250" t="n">
        <f aca="false">CC25</f>
        <v>0</v>
      </c>
      <c r="CD66" s="249"/>
      <c r="CE66" s="249"/>
      <c r="CF66" s="249"/>
      <c r="CG66" s="263" t="n">
        <f aca="false">CG25</f>
        <v>0</v>
      </c>
      <c r="CH66" s="249"/>
      <c r="CI66" s="249"/>
      <c r="CJ66" s="250" t="n">
        <f aca="false">CJ25</f>
        <v>0</v>
      </c>
      <c r="CK66" s="250" t="n">
        <f aca="false">CK25</f>
        <v>0</v>
      </c>
      <c r="CL66" s="264" t="n">
        <f aca="false">CL25</f>
        <v>0</v>
      </c>
      <c r="CM66" s="264"/>
      <c r="CN66" s="264"/>
      <c r="CO66" s="263" t="n">
        <f aca="false">CO25</f>
        <v>0</v>
      </c>
      <c r="CP66" s="249"/>
      <c r="CQ66" s="249"/>
      <c r="CR66" s="250" t="n">
        <f aca="false">CR25</f>
        <v>0</v>
      </c>
      <c r="CS66" s="250" t="n">
        <f aca="false">CS25</f>
        <v>0</v>
      </c>
      <c r="CT66" s="263" t="n">
        <f aca="false">CT25</f>
        <v>0</v>
      </c>
      <c r="CU66" s="263"/>
      <c r="CV66" s="263"/>
      <c r="CW66" s="265" t="n">
        <f aca="false">CW25</f>
        <v>0</v>
      </c>
      <c r="DT66" s="184"/>
      <c r="DU66" s="184"/>
    </row>
    <row r="67" customFormat="false" ht="15" hidden="true" customHeight="true" outlineLevel="1" collapsed="false">
      <c r="A67" s="249" t="s">
        <v>99</v>
      </c>
      <c r="B67" s="249"/>
      <c r="C67" s="249"/>
      <c r="D67" s="250" t="n">
        <f aca="false">'Opex Consolidés'!D7</f>
        <v>0</v>
      </c>
      <c r="E67" s="250" t="n">
        <f aca="false">'Opex Consolidés'!E7</f>
        <v>0</v>
      </c>
      <c r="F67" s="249"/>
      <c r="G67" s="266" t="n">
        <f aca="false">'Opex Consolidés'!G7</f>
        <v>0</v>
      </c>
      <c r="H67" s="249"/>
      <c r="I67" s="249"/>
      <c r="J67" s="250"/>
      <c r="K67" s="250"/>
      <c r="L67" s="249"/>
      <c r="M67" s="266" t="n">
        <f aca="false">'Opex Consolidés'!M7</f>
        <v>0</v>
      </c>
      <c r="N67" s="249"/>
      <c r="O67" s="249"/>
      <c r="P67" s="250" t="n">
        <f aca="false">'Opex Consolidés'!P7</f>
        <v>0</v>
      </c>
      <c r="Q67" s="250" t="n">
        <f aca="false">'Opex Consolidés'!Q7</f>
        <v>0</v>
      </c>
      <c r="R67" s="250"/>
      <c r="S67" s="266" t="n">
        <f aca="false">'Opex Consolidés'!S7</f>
        <v>0</v>
      </c>
      <c r="T67" s="251"/>
      <c r="U67" s="249"/>
      <c r="V67" s="250" t="n">
        <f aca="false">'Opex Consolidés'!V7</f>
        <v>0</v>
      </c>
      <c r="W67" s="250" t="n">
        <f aca="false">'Opex Consolidés'!W7</f>
        <v>0</v>
      </c>
      <c r="X67" s="249"/>
      <c r="Y67" s="249"/>
      <c r="Z67" s="249"/>
      <c r="AA67" s="266" t="n">
        <f aca="false">'Opex Consolidés'!AA7</f>
        <v>0</v>
      </c>
      <c r="AB67" s="252"/>
      <c r="AC67" s="249"/>
      <c r="AD67" s="250" t="n">
        <f aca="false">'Opex Consolidés'!AD7</f>
        <v>0</v>
      </c>
      <c r="AE67" s="250" t="n">
        <f aca="false">'Opex Consolidés'!AE7</f>
        <v>0</v>
      </c>
      <c r="AF67" s="249"/>
      <c r="AG67" s="249"/>
      <c r="AH67" s="249"/>
      <c r="AI67" s="266" t="n">
        <f aca="false">'Opex Consolidés'!AI7</f>
        <v>0</v>
      </c>
      <c r="AJ67" s="249"/>
      <c r="AK67" s="249"/>
      <c r="AL67" s="250" t="n">
        <f aca="false">'Opex Consolidés'!AL7</f>
        <v>0</v>
      </c>
      <c r="AM67" s="250" t="n">
        <f aca="false">'Opex Consolidés'!AM7</f>
        <v>0</v>
      </c>
      <c r="AN67" s="249"/>
      <c r="AO67" s="249"/>
      <c r="AP67" s="249"/>
      <c r="AQ67" s="249"/>
      <c r="AR67" s="266" t="n">
        <f aca="false">'Opex Consolidés'!AR7</f>
        <v>0</v>
      </c>
      <c r="AS67" s="249"/>
      <c r="AT67" s="249"/>
      <c r="AU67" s="250" t="n">
        <v>5235.802691075</v>
      </c>
      <c r="AV67" s="250" t="n">
        <v>5853.39723620288</v>
      </c>
      <c r="AW67" s="249"/>
      <c r="AX67" s="249"/>
      <c r="AY67" s="249"/>
      <c r="AZ67" s="266" t="n">
        <v>5748.747755075</v>
      </c>
      <c r="BA67" s="249"/>
      <c r="BB67" s="249"/>
      <c r="BC67" s="250" t="n">
        <v>5276.323145075</v>
      </c>
      <c r="BD67" s="250" t="n">
        <v>5736.12329012465</v>
      </c>
      <c r="BE67" s="249"/>
      <c r="BF67" s="249"/>
      <c r="BG67" s="249"/>
      <c r="BH67" s="266" t="n">
        <v>5142.397238075</v>
      </c>
      <c r="BI67" s="253"/>
      <c r="BJ67" s="249"/>
      <c r="BK67" s="250" t="n">
        <f aca="false">'Opex Consolidés'!BK7</f>
        <v>0</v>
      </c>
      <c r="BL67" s="250" t="n">
        <f aca="false">'Opex Consolidés'!BL7</f>
        <v>0</v>
      </c>
      <c r="BM67" s="249"/>
      <c r="BN67" s="249"/>
      <c r="BO67" s="249"/>
      <c r="BP67" s="249"/>
      <c r="BQ67" s="266" t="n">
        <f aca="false">'Opex Consolidés'!BQ7</f>
        <v>0</v>
      </c>
      <c r="BR67" s="249"/>
      <c r="BS67" s="249"/>
      <c r="BT67" s="250" t="n">
        <f aca="false">'Opex Consolidés'!BT7</f>
        <v>0</v>
      </c>
      <c r="BU67" s="250" t="n">
        <f aca="false">'Opex Consolidés'!BU7</f>
        <v>0</v>
      </c>
      <c r="BV67" s="249"/>
      <c r="BW67" s="249"/>
      <c r="BX67" s="249"/>
      <c r="BY67" s="266" t="n">
        <f aca="false">'Opex Consolidés'!BY7</f>
        <v>0</v>
      </c>
      <c r="BZ67" s="249"/>
      <c r="CA67" s="249"/>
      <c r="CB67" s="250" t="n">
        <f aca="false">'Opex Consolidés'!CB7</f>
        <v>0</v>
      </c>
      <c r="CC67" s="250" t="n">
        <f aca="false">'Opex Consolidés'!CC7</f>
        <v>0</v>
      </c>
      <c r="CD67" s="249"/>
      <c r="CE67" s="249"/>
      <c r="CF67" s="249"/>
      <c r="CG67" s="266" t="n">
        <f aca="false">'Opex Consolidés'!CG7</f>
        <v>0</v>
      </c>
      <c r="CH67" s="249"/>
      <c r="CI67" s="249"/>
      <c r="CJ67" s="250" t="n">
        <f aca="false">'Opex Consolidés'!CJ7</f>
        <v>0</v>
      </c>
      <c r="CK67" s="250" t="n">
        <f aca="false">'Opex Consolidés'!CK7</f>
        <v>0</v>
      </c>
      <c r="CL67" s="265" t="e">
        <f aca="false">'opex consolidés'!#ref!</f>
        <v>#VALUE!</v>
      </c>
      <c r="CM67" s="265"/>
      <c r="CN67" s="265"/>
      <c r="CO67" s="266" t="n">
        <f aca="false">'Opex Consolidés'!CO7</f>
        <v>0</v>
      </c>
      <c r="CP67" s="249"/>
      <c r="CQ67" s="249"/>
      <c r="CR67" s="250" t="n">
        <f aca="false">'Opex Consolidés'!CR7</f>
        <v>0</v>
      </c>
      <c r="CS67" s="250" t="n">
        <f aca="false">'Opex Consolidés'!CS7</f>
        <v>0</v>
      </c>
      <c r="CT67" s="250" t="n">
        <f aca="false">'Opex Consolidés'!CT7</f>
        <v>0</v>
      </c>
      <c r="CU67" s="266"/>
      <c r="CV67" s="266"/>
      <c r="CW67" s="264" t="n">
        <f aca="false">'Opex Consolidés'!CW7</f>
        <v>0</v>
      </c>
      <c r="DT67" s="184"/>
      <c r="DU67" s="184"/>
    </row>
    <row r="68" s="14" customFormat="true" ht="15" hidden="true" customHeight="true" outlineLevel="1" collapsed="false">
      <c r="A68" s="255" t="s">
        <v>96</v>
      </c>
      <c r="D68" s="261" t="n">
        <f aca="false">D66+D67</f>
        <v>0</v>
      </c>
      <c r="E68" s="261" t="n">
        <f aca="false">E66+E67</f>
        <v>0</v>
      </c>
      <c r="G68" s="267" t="n">
        <f aca="false">G66+G67</f>
        <v>0</v>
      </c>
      <c r="J68" s="261"/>
      <c r="K68" s="261"/>
      <c r="M68" s="267" t="n">
        <f aca="false">M66+M67</f>
        <v>0</v>
      </c>
      <c r="P68" s="261" t="n">
        <f aca="false">P66+P67</f>
        <v>0</v>
      </c>
      <c r="Q68" s="261" t="n">
        <f aca="false">Q66+Q67</f>
        <v>0</v>
      </c>
      <c r="R68" s="256"/>
      <c r="S68" s="267" t="n">
        <f aca="false">S66+S67</f>
        <v>0</v>
      </c>
      <c r="T68" s="258"/>
      <c r="V68" s="261" t="n">
        <f aca="false">V66+V67</f>
        <v>0</v>
      </c>
      <c r="W68" s="261" t="n">
        <f aca="false">W66+W67</f>
        <v>0</v>
      </c>
      <c r="AA68" s="267" t="n">
        <f aca="false">AA66+AA67</f>
        <v>0</v>
      </c>
      <c r="AB68" s="259"/>
      <c r="AD68" s="261" t="n">
        <f aca="false">AD66+AD67</f>
        <v>0</v>
      </c>
      <c r="AE68" s="261" t="n">
        <f aca="false">AE66+AE67</f>
        <v>0</v>
      </c>
      <c r="AI68" s="267" t="n">
        <f aca="false">AI66+AI67</f>
        <v>0</v>
      </c>
      <c r="AL68" s="261" t="n">
        <f aca="false">AL66+AL67</f>
        <v>0</v>
      </c>
      <c r="AM68" s="261" t="n">
        <f aca="false">AM66+AM67</f>
        <v>0</v>
      </c>
      <c r="AR68" s="267" t="n">
        <f aca="false">AR66+AR67</f>
        <v>0</v>
      </c>
      <c r="AU68" s="261" t="n">
        <v>0</v>
      </c>
      <c r="AV68" s="261" t="n">
        <v>0</v>
      </c>
      <c r="AZ68" s="267" t="n">
        <v>0</v>
      </c>
      <c r="BC68" s="261" t="n">
        <v>0</v>
      </c>
      <c r="BD68" s="261" t="n">
        <v>0</v>
      </c>
      <c r="BH68" s="267" t="n">
        <v>0</v>
      </c>
      <c r="BI68" s="260"/>
      <c r="BK68" s="261" t="n">
        <f aca="false">BK66+BK67</f>
        <v>0</v>
      </c>
      <c r="BL68" s="261" t="n">
        <f aca="false">BL66+BL67</f>
        <v>0</v>
      </c>
      <c r="BQ68" s="267" t="n">
        <f aca="false">BQ66+BQ67</f>
        <v>0</v>
      </c>
      <c r="BT68" s="261" t="n">
        <f aca="false">BT66+BT67</f>
        <v>0</v>
      </c>
      <c r="BU68" s="261" t="n">
        <f aca="false">BU66+BU67</f>
        <v>0</v>
      </c>
      <c r="BY68" s="267" t="n">
        <f aca="false">BY66+BY67</f>
        <v>0</v>
      </c>
      <c r="CB68" s="261" t="n">
        <f aca="false">CB66+CB67</f>
        <v>0</v>
      </c>
      <c r="CC68" s="261" t="n">
        <f aca="false">CC66+CC67</f>
        <v>0</v>
      </c>
      <c r="CG68" s="267" t="n">
        <f aca="false">CG66+CG67</f>
        <v>0</v>
      </c>
      <c r="CJ68" s="261" t="n">
        <f aca="false">CJ66+CJ67</f>
        <v>0</v>
      </c>
      <c r="CK68" s="261" t="n">
        <f aca="false">CK66+CK67</f>
        <v>0</v>
      </c>
      <c r="CL68" s="268" t="e">
        <f aca="false">CL66+CL67</f>
        <v>#VALUE!</v>
      </c>
      <c r="CM68" s="268" t="n">
        <f aca="false">CM66+CM67</f>
        <v>0</v>
      </c>
      <c r="CN68" s="268" t="n">
        <f aca="false">CN66+CN67</f>
        <v>0</v>
      </c>
      <c r="CO68" s="267" t="n">
        <f aca="false">CO66+CO67</f>
        <v>0</v>
      </c>
      <c r="CR68" s="261" t="n">
        <f aca="false">CR66+CR67</f>
        <v>0</v>
      </c>
      <c r="CS68" s="261" t="n">
        <f aca="false">CS66+CS67</f>
        <v>0</v>
      </c>
      <c r="CT68" s="261" t="n">
        <f aca="false">CT66+CT67</f>
        <v>0</v>
      </c>
      <c r="CU68" s="267"/>
      <c r="CV68" s="267"/>
      <c r="CW68" s="267" t="n">
        <f aca="false">CW66+CW67</f>
        <v>0</v>
      </c>
      <c r="DT68" s="184"/>
      <c r="DU68" s="184"/>
    </row>
    <row r="69" customFormat="false" ht="15" hidden="false" customHeight="true" outlineLevel="0" collapsed="false">
      <c r="T69" s="206"/>
      <c r="CJ69" s="246"/>
      <c r="CW69" s="246"/>
      <c r="DT69" s="184"/>
      <c r="DU69" s="184"/>
    </row>
    <row r="70" s="43" customFormat="true" ht="15" hidden="false" customHeight="true" outlineLevel="0" collapsed="false">
      <c r="A70" s="269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37"/>
      <c r="Q70" s="37"/>
      <c r="R70" s="37"/>
      <c r="S70" s="37"/>
      <c r="T70" s="144"/>
      <c r="U70" s="42"/>
      <c r="V70" s="42"/>
      <c r="W70" s="42"/>
      <c r="X70" s="42"/>
      <c r="Y70" s="42"/>
      <c r="Z70" s="42"/>
      <c r="AA70" s="42"/>
      <c r="AB70" s="39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0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239"/>
      <c r="CK70" s="212"/>
      <c r="CL70" s="212"/>
      <c r="CM70" s="212"/>
      <c r="CN70" s="212"/>
      <c r="CO70" s="212"/>
      <c r="CP70" s="212"/>
      <c r="CQ70" s="42"/>
      <c r="CR70" s="37"/>
      <c r="CS70" s="270"/>
      <c r="CT70" s="270"/>
      <c r="CZ70" s="144"/>
      <c r="DA70" s="144"/>
      <c r="DB70" s="144"/>
      <c r="DC70" s="144"/>
      <c r="DD70" s="144"/>
      <c r="DE70" s="144"/>
      <c r="DF70" s="144"/>
      <c r="DG70" s="144"/>
      <c r="DH70" s="144"/>
      <c r="DI70" s="271"/>
      <c r="DJ70" s="271"/>
      <c r="DK70" s="271"/>
      <c r="DT70" s="184"/>
      <c r="DU70" s="184"/>
    </row>
    <row r="71" s="43" customFormat="true" ht="15" hidden="false" customHeight="true" outlineLevel="0" collapsed="false">
      <c r="A71" s="269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37"/>
      <c r="Q71" s="37"/>
      <c r="R71" s="37"/>
      <c r="S71" s="37"/>
      <c r="T71" s="144"/>
      <c r="U71" s="42"/>
      <c r="V71" s="42"/>
      <c r="W71" s="42"/>
      <c r="X71" s="42"/>
      <c r="Y71" s="42"/>
      <c r="Z71" s="42"/>
      <c r="AA71" s="42"/>
      <c r="AB71" s="39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0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239"/>
      <c r="CK71" s="212"/>
      <c r="CL71" s="212"/>
      <c r="CM71" s="212"/>
      <c r="CN71" s="212"/>
      <c r="CO71" s="212"/>
      <c r="CP71" s="212"/>
      <c r="CQ71" s="42"/>
      <c r="CR71" s="37"/>
      <c r="CS71" s="270"/>
      <c r="CT71" s="270"/>
      <c r="CZ71" s="144"/>
      <c r="DA71" s="144"/>
      <c r="DB71" s="144"/>
      <c r="DC71" s="144"/>
      <c r="DD71" s="144"/>
      <c r="DE71" s="144"/>
      <c r="DF71" s="144"/>
      <c r="DG71" s="144"/>
      <c r="DH71" s="144"/>
      <c r="DI71" s="271"/>
      <c r="DJ71" s="271"/>
      <c r="DK71" s="271"/>
      <c r="DT71" s="184"/>
      <c r="DU71" s="184"/>
    </row>
    <row r="72" s="43" customFormat="true" ht="12.75" hidden="true" customHeight="false" outlineLevel="0" collapsed="false">
      <c r="A72" s="272"/>
      <c r="B72" s="42"/>
      <c r="C72" s="42"/>
      <c r="D72" s="273" t="n">
        <f aca="false">D7-'CA Mobile'!D8</f>
        <v>0</v>
      </c>
      <c r="E72" s="273" t="n">
        <f aca="false">E7-'CA Mobile'!E8</f>
        <v>0</v>
      </c>
      <c r="F72" s="273" t="n">
        <f aca="false">F7-'CA Mobile'!F8</f>
        <v>0</v>
      </c>
      <c r="G72" s="273" t="n">
        <f aca="false">G7-'CA Mobile'!G8</f>
        <v>0</v>
      </c>
      <c r="H72" s="273" t="n">
        <f aca="false">H7-'CA Mobile'!H8</f>
        <v>0</v>
      </c>
      <c r="I72" s="273" t="n">
        <f aca="false">I7-'CA Mobile'!I8</f>
        <v>0</v>
      </c>
      <c r="J72" s="273"/>
      <c r="K72" s="273"/>
      <c r="L72" s="273" t="n">
        <f aca="false">L7-'CA Mobile'!L8</f>
        <v>0</v>
      </c>
      <c r="M72" s="273" t="n">
        <f aca="false">M7-'CA Mobile'!M8</f>
        <v>0</v>
      </c>
      <c r="N72" s="273" t="n">
        <f aca="false">N7-'CA Mobile'!N8</f>
        <v>0</v>
      </c>
      <c r="O72" s="273" t="n">
        <f aca="false">O7-'CA Mobile'!O8</f>
        <v>0</v>
      </c>
      <c r="P72" s="273" t="n">
        <f aca="false">P7-'CA Mobile'!P8</f>
        <v>0</v>
      </c>
      <c r="Q72" s="273" t="n">
        <f aca="false">Q7-'CA Mobile'!Q8</f>
        <v>0</v>
      </c>
      <c r="R72" s="273" t="n">
        <f aca="false">R7-'CA Mobile'!R8</f>
        <v>0</v>
      </c>
      <c r="S72" s="273" t="n">
        <f aca="false">S7-'CA Mobile'!S8</f>
        <v>0</v>
      </c>
      <c r="T72" s="273" t="n">
        <f aca="false">T7-'CA Mobile'!T8</f>
        <v>0</v>
      </c>
      <c r="U72" s="273" t="n">
        <f aca="false">U7-'CA Mobile'!U8</f>
        <v>0</v>
      </c>
      <c r="V72" s="273" t="n">
        <f aca="false">V7-'CA Mobile'!V8</f>
        <v>0</v>
      </c>
      <c r="W72" s="273" t="n">
        <f aca="false">W7-'CA Mobile'!W8</f>
        <v>0</v>
      </c>
      <c r="X72" s="273" t="n">
        <f aca="false">X7-'CA Mobile'!X8</f>
        <v>0</v>
      </c>
      <c r="Y72" s="273" t="n">
        <f aca="false">Y7-'CA Mobile'!Y8</f>
        <v>0</v>
      </c>
      <c r="Z72" s="273" t="n">
        <f aca="false">Z7-'CA Mobile'!Z8</f>
        <v>0</v>
      </c>
      <c r="AA72" s="273" t="n">
        <f aca="false">AA7-'CA Mobile'!AA8</f>
        <v>0</v>
      </c>
      <c r="AB72" s="273" t="n">
        <f aca="false">AB7-'CA Mobile'!AB8</f>
        <v>0</v>
      </c>
      <c r="AC72" s="273" t="n">
        <f aca="false">AC7-'CA Mobile'!AC8</f>
        <v>0</v>
      </c>
      <c r="AD72" s="273" t="n">
        <f aca="false">AD7-'CA Mobile'!AD8</f>
        <v>0</v>
      </c>
      <c r="AE72" s="273" t="n">
        <f aca="false">AE7-'CA Mobile'!AE8</f>
        <v>0</v>
      </c>
      <c r="AF72" s="273" t="n">
        <f aca="false">AF7-'CA Mobile'!AF8</f>
        <v>0</v>
      </c>
      <c r="AG72" s="273" t="n">
        <f aca="false">AG7-'CA Mobile'!AG8</f>
        <v>0</v>
      </c>
      <c r="AH72" s="273" t="n">
        <f aca="false">AH7-'CA Mobile'!AH8</f>
        <v>0</v>
      </c>
      <c r="AI72" s="273" t="n">
        <f aca="false">AI7-'CA Mobile'!AI8</f>
        <v>0</v>
      </c>
      <c r="AJ72" s="273" t="n">
        <f aca="false">AJ7-'CA Mobile'!AJ8</f>
        <v>0</v>
      </c>
      <c r="AK72" s="273" t="n">
        <f aca="false">AK7-'CA Mobile'!AK8</f>
        <v>0</v>
      </c>
      <c r="AL72" s="273" t="n">
        <f aca="false">AL7-'CA Mobile'!AL8</f>
        <v>0</v>
      </c>
      <c r="AM72" s="273" t="n">
        <f aca="false">AM7-'CA Mobile'!AM8</f>
        <v>0</v>
      </c>
      <c r="AN72" s="273" t="n">
        <f aca="false">AN7-'CA Mobile'!AN8</f>
        <v>0</v>
      </c>
      <c r="AO72" s="273" t="n">
        <f aca="false">AO7-'CA Mobile'!AO8</f>
        <v>0</v>
      </c>
      <c r="AP72" s="273" t="n">
        <f aca="false">AP7-'CA Mobile'!AP8</f>
        <v>0</v>
      </c>
      <c r="AQ72" s="273" t="n">
        <f aca="false">AQ7-'CA Mobile'!AQ8</f>
        <v>0</v>
      </c>
      <c r="AR72" s="273" t="n">
        <f aca="false">AR7-'CA Mobile'!AR8</f>
        <v>0</v>
      </c>
      <c r="AS72" s="273" t="n">
        <f aca="false">AS7-'CA Mobile'!AS8</f>
        <v>0</v>
      </c>
      <c r="AT72" s="273" t="n">
        <f aca="false">AT7-'CA Mobile'!AT8</f>
        <v>0</v>
      </c>
      <c r="AU72" s="273" t="n">
        <v>0</v>
      </c>
      <c r="AV72" s="273" t="n">
        <v>0</v>
      </c>
      <c r="AW72" s="273" t="n">
        <v>0</v>
      </c>
      <c r="AX72" s="273" t="n">
        <v>0</v>
      </c>
      <c r="AY72" s="273" t="n">
        <v>0</v>
      </c>
      <c r="AZ72" s="273" t="n">
        <v>0</v>
      </c>
      <c r="BA72" s="273" t="n">
        <v>0</v>
      </c>
      <c r="BB72" s="273" t="n">
        <f aca="false">BB7-'CA Mobile'!BB8</f>
        <v>0</v>
      </c>
      <c r="BC72" s="273" t="n">
        <v>0</v>
      </c>
      <c r="BD72" s="273" t="n">
        <v>0</v>
      </c>
      <c r="BE72" s="273" t="n">
        <v>0</v>
      </c>
      <c r="BF72" s="273" t="n">
        <v>0</v>
      </c>
      <c r="BG72" s="273" t="n">
        <v>1.81898940354586E-012</v>
      </c>
      <c r="BH72" s="273" t="n">
        <v>0</v>
      </c>
      <c r="BI72" s="273" t="n">
        <v>0</v>
      </c>
      <c r="BJ72" s="273" t="n">
        <f aca="false">BJ7-'CA Mobile'!BJ8</f>
        <v>0</v>
      </c>
      <c r="BK72" s="273" t="n">
        <f aca="false">BK7-'CA Mobile'!BK8</f>
        <v>0</v>
      </c>
      <c r="BL72" s="273" t="n">
        <f aca="false">BL7-'CA Mobile'!BL8</f>
        <v>0</v>
      </c>
      <c r="BM72" s="273" t="n">
        <f aca="false">BM7-'CA Mobile'!BM8</f>
        <v>0</v>
      </c>
      <c r="BN72" s="273" t="n">
        <f aca="false">BN7-'CA Mobile'!BN8</f>
        <v>0</v>
      </c>
      <c r="BO72" s="273" t="n">
        <f aca="false">BO7-'CA Mobile'!BO8</f>
        <v>0</v>
      </c>
      <c r="BP72" s="273" t="n">
        <f aca="false">BP7-'CA Mobile'!BP8</f>
        <v>0</v>
      </c>
      <c r="BQ72" s="273" t="n">
        <f aca="false">BQ7-'CA Mobile'!BQ8</f>
        <v>0</v>
      </c>
      <c r="BR72" s="273" t="n">
        <f aca="false">BR7-'CA Mobile'!BR8</f>
        <v>0</v>
      </c>
      <c r="BS72" s="273" t="n">
        <f aca="false">BS7-'CA Mobile'!BS8</f>
        <v>0</v>
      </c>
      <c r="BT72" s="273" t="n">
        <f aca="false">BT7-'CA Mobile'!BT8</f>
        <v>0</v>
      </c>
      <c r="BU72" s="273" t="n">
        <f aca="false">BU7-'CA Mobile'!BU8</f>
        <v>0</v>
      </c>
      <c r="BV72" s="273" t="n">
        <f aca="false">BV7-'CA Mobile'!BV8</f>
        <v>0</v>
      </c>
      <c r="BW72" s="273" t="n">
        <f aca="false">BW7-'CA Mobile'!BW8</f>
        <v>0</v>
      </c>
      <c r="BX72" s="273" t="n">
        <f aca="false">BX7-'CA Mobile'!BX8</f>
        <v>0</v>
      </c>
      <c r="BY72" s="273" t="n">
        <f aca="false">BY7-'CA Mobile'!BY8</f>
        <v>0</v>
      </c>
      <c r="BZ72" s="273" t="n">
        <f aca="false">BZ7-'CA Mobile'!BZ8</f>
        <v>0</v>
      </c>
      <c r="CA72" s="273" t="n">
        <f aca="false">CA7-'CA Mobile'!CA8</f>
        <v>0</v>
      </c>
      <c r="CB72" s="273" t="n">
        <f aca="false">CB7-'CA Mobile'!CB8</f>
        <v>0</v>
      </c>
      <c r="CC72" s="273" t="n">
        <f aca="false">CC7-'CA Mobile'!CC8</f>
        <v>0</v>
      </c>
      <c r="CD72" s="273" t="n">
        <f aca="false">CD7-'CA Mobile'!CD8</f>
        <v>0</v>
      </c>
      <c r="CE72" s="273" t="n">
        <f aca="false">CE7-'CA Mobile'!CE8</f>
        <v>0</v>
      </c>
      <c r="CF72" s="273" t="n">
        <f aca="false">CF7-'CA Mobile'!CF8</f>
        <v>0</v>
      </c>
      <c r="CG72" s="273" t="n">
        <f aca="false">CG7-'CA Mobile'!CG8</f>
        <v>0</v>
      </c>
      <c r="CH72" s="273" t="n">
        <f aca="false">CH7-'CA Mobile'!CH8</f>
        <v>0</v>
      </c>
      <c r="CI72" s="273" t="n">
        <f aca="false">CI7-'CA Mobile'!CI8</f>
        <v>0</v>
      </c>
      <c r="CJ72" s="273" t="n">
        <f aca="false">CJ7-'CA Mobile'!CJ8</f>
        <v>0</v>
      </c>
      <c r="CK72" s="273" t="n">
        <f aca="false">CK7-'CA Mobile'!CK8</f>
        <v>0</v>
      </c>
      <c r="CL72" s="273" t="n">
        <f aca="false">CL7-'CA Mobile'!CL8</f>
        <v>0</v>
      </c>
      <c r="CM72" s="273" t="n">
        <f aca="false">CM7-'CA Mobile'!CM8</f>
        <v>0</v>
      </c>
      <c r="CN72" s="273" t="n">
        <f aca="false">CN7-'CA Mobile'!CN8</f>
        <v>0</v>
      </c>
      <c r="CO72" s="273" t="n">
        <f aca="false">CO7-'CA Mobile'!CO8</f>
        <v>0</v>
      </c>
      <c r="CP72" s="273" t="n">
        <f aca="false">CP7-'CA Mobile'!CP8</f>
        <v>0</v>
      </c>
      <c r="CQ72" s="273" t="n">
        <f aca="false">CQ7-'CA Mobile'!CQ8</f>
        <v>0</v>
      </c>
      <c r="CR72" s="273" t="n">
        <f aca="false">CR7-'CA Mobile'!CR8</f>
        <v>0</v>
      </c>
      <c r="CS72" s="273" t="n">
        <f aca="false">CS7-'CA Mobile'!CS8</f>
        <v>0</v>
      </c>
      <c r="CT72" s="273" t="n">
        <f aca="false">CT7-'CA Mobile'!CT8</f>
        <v>0</v>
      </c>
      <c r="CU72" s="273" t="n">
        <f aca="false">CU7-'CA Mobile'!CU8</f>
        <v>0</v>
      </c>
      <c r="CV72" s="273" t="n">
        <f aca="false">CV7-'CA Mobile'!CV8</f>
        <v>0</v>
      </c>
      <c r="CW72" s="274" t="n">
        <f aca="false">CW7-'CA Mobile'!CW8</f>
        <v>0</v>
      </c>
      <c r="CX72" s="273" t="e">
        <f aca="false">CX7-'CA Mobile'!CX8</f>
        <v>#VALUE!</v>
      </c>
      <c r="CY72" s="273" t="n">
        <f aca="false">CY7-'CA Mobile'!CY8</f>
        <v>0</v>
      </c>
      <c r="CZ72" s="273" t="n">
        <f aca="false">CZ7-'CA Mobile'!CZ8</f>
        <v>0</v>
      </c>
      <c r="DA72" s="273" t="n">
        <f aca="false">DA7-'CA Mobile'!DA8</f>
        <v>0</v>
      </c>
      <c r="DB72" s="273" t="n">
        <f aca="false">DB7-'CA Mobile'!DB8</f>
        <v>0</v>
      </c>
      <c r="DC72" s="273" t="n">
        <f aca="false">DC7-'CA Mobile'!DC8</f>
        <v>0</v>
      </c>
      <c r="DD72" s="273" t="n">
        <f aca="false">DD7-'CA Mobile'!DD8</f>
        <v>0</v>
      </c>
      <c r="DE72" s="273" t="e">
        <f aca="false">DE7-'CA Mobile'!DE8</f>
        <v>#DIV/0!</v>
      </c>
      <c r="DF72" s="275" t="e">
        <f aca="false">DF7-'CA Mobile'!DF8</f>
        <v>#DIV/0!</v>
      </c>
      <c r="DG72" s="275" t="e">
        <f aca="false">DG7-'CA Mobile'!DG8</f>
        <v>#DIV/0!</v>
      </c>
      <c r="DH72" s="275" t="e">
        <f aca="false">DH7-'CA Mobile'!DH8</f>
        <v>#DIV/0!</v>
      </c>
      <c r="DI72" s="271"/>
      <c r="DJ72" s="271"/>
      <c r="DK72" s="271"/>
      <c r="DT72" s="184"/>
      <c r="DU72" s="184"/>
    </row>
    <row r="73" s="239" customFormat="true" ht="12.75" hidden="true" customHeight="false" outlineLevel="0" collapsed="false">
      <c r="A73" s="276"/>
      <c r="B73" s="212"/>
      <c r="C73" s="212"/>
      <c r="D73" s="273" t="n">
        <f aca="false">D15-'Marge Mobile'!D58</f>
        <v>0</v>
      </c>
      <c r="E73" s="273" t="n">
        <f aca="false">E15-'Marge Mobile'!E58</f>
        <v>0</v>
      </c>
      <c r="F73" s="273" t="n">
        <f aca="false">F15-'Marge Mobile'!F58</f>
        <v>0</v>
      </c>
      <c r="G73" s="273" t="n">
        <f aca="false">G15-'Marge Mobile'!G58</f>
        <v>0</v>
      </c>
      <c r="H73" s="273" t="n">
        <f aca="false">H15-'Marge Mobile'!H58</f>
        <v>0</v>
      </c>
      <c r="I73" s="273" t="n">
        <f aca="false">I15-'Marge Mobile'!I58</f>
        <v>0</v>
      </c>
      <c r="J73" s="273"/>
      <c r="K73" s="273"/>
      <c r="L73" s="273" t="n">
        <f aca="false">L15-'Marge Mobile'!L58</f>
        <v>0</v>
      </c>
      <c r="M73" s="273" t="n">
        <f aca="false">M15-'Marge Mobile'!M58</f>
        <v>0</v>
      </c>
      <c r="N73" s="273" t="n">
        <f aca="false">N15-'Marge Mobile'!N58</f>
        <v>0</v>
      </c>
      <c r="O73" s="273" t="n">
        <f aca="false">O15-'Marge Mobile'!O58</f>
        <v>0</v>
      </c>
      <c r="P73" s="273" t="n">
        <f aca="false">P15-'Marge Mobile'!P58</f>
        <v>0</v>
      </c>
      <c r="Q73" s="273" t="n">
        <f aca="false">Q15-'Marge Mobile'!Q58</f>
        <v>0</v>
      </c>
      <c r="R73" s="273" t="n">
        <f aca="false">R15-'Marge Mobile'!R58</f>
        <v>0</v>
      </c>
      <c r="S73" s="273" t="n">
        <f aca="false">S15-'Marge Mobile'!S58</f>
        <v>0</v>
      </c>
      <c r="T73" s="273" t="n">
        <f aca="false">T15-'Marge Mobile'!T58</f>
        <v>0</v>
      </c>
      <c r="U73" s="273" t="n">
        <f aca="false">U15-'Marge Mobile'!U58</f>
        <v>0</v>
      </c>
      <c r="V73" s="273" t="n">
        <f aca="false">V15-'Marge Mobile'!V58</f>
        <v>0</v>
      </c>
      <c r="W73" s="273" t="n">
        <f aca="false">W15-'Marge Mobile'!W58</f>
        <v>0</v>
      </c>
      <c r="X73" s="273" t="n">
        <f aca="false">X15-'Marge Mobile'!X58</f>
        <v>0</v>
      </c>
      <c r="Y73" s="273" t="n">
        <f aca="false">Y15-'Marge Mobile'!Y58</f>
        <v>0</v>
      </c>
      <c r="Z73" s="273" t="n">
        <f aca="false">Z15-'Marge Mobile'!Z58</f>
        <v>0</v>
      </c>
      <c r="AA73" s="273" t="n">
        <f aca="false">AA15-'Marge Mobile'!AA58</f>
        <v>0</v>
      </c>
      <c r="AB73" s="273" t="n">
        <f aca="false">AB15-'Marge Mobile'!AB58</f>
        <v>0</v>
      </c>
      <c r="AC73" s="273" t="n">
        <f aca="false">AC15-'Marge Mobile'!AC58</f>
        <v>0</v>
      </c>
      <c r="AD73" s="273" t="n">
        <f aca="false">AD15-'Marge Mobile'!AD58</f>
        <v>0</v>
      </c>
      <c r="AE73" s="273" t="n">
        <f aca="false">AE15-'Marge Mobile'!AE58</f>
        <v>0</v>
      </c>
      <c r="AF73" s="273" t="n">
        <f aca="false">AF15-'Marge Mobile'!AF58</f>
        <v>0</v>
      </c>
      <c r="AG73" s="273" t="n">
        <f aca="false">AG15-'Marge Mobile'!AG58</f>
        <v>0</v>
      </c>
      <c r="AH73" s="273" t="n">
        <f aca="false">AH15-'Marge Mobile'!AH58</f>
        <v>0</v>
      </c>
      <c r="AI73" s="273" t="n">
        <f aca="false">AI15-'Marge Mobile'!AI58</f>
        <v>0</v>
      </c>
      <c r="AJ73" s="273" t="n">
        <f aca="false">AJ15-'Marge Mobile'!AJ58</f>
        <v>0</v>
      </c>
      <c r="AK73" s="273" t="n">
        <f aca="false">AK15-'Marge Mobile'!AK58</f>
        <v>0</v>
      </c>
      <c r="AL73" s="273" t="n">
        <f aca="false">AL15-'Marge Mobile'!AL58</f>
        <v>0</v>
      </c>
      <c r="AM73" s="273" t="n">
        <f aca="false">AM15-'Marge Mobile'!AM58</f>
        <v>0</v>
      </c>
      <c r="AN73" s="273" t="n">
        <f aca="false">AN15-'Marge Mobile'!AN58</f>
        <v>0</v>
      </c>
      <c r="AO73" s="273" t="n">
        <f aca="false">AO15-'Marge Mobile'!AO58</f>
        <v>0</v>
      </c>
      <c r="AP73" s="273" t="n">
        <f aca="false">AP15-'Marge Mobile'!AP58</f>
        <v>0</v>
      </c>
      <c r="AQ73" s="273" t="n">
        <f aca="false">AQ15-'Marge Mobile'!AQ58</f>
        <v>0</v>
      </c>
      <c r="AR73" s="273" t="n">
        <f aca="false">AR15-'Marge Mobile'!AR58</f>
        <v>0</v>
      </c>
      <c r="AS73" s="273" t="n">
        <f aca="false">AS15-'Marge Mobile'!AS58</f>
        <v>0</v>
      </c>
      <c r="AT73" s="273" t="n">
        <f aca="false">AT15-'Marge Mobile'!AT58</f>
        <v>0</v>
      </c>
      <c r="AU73" s="273" t="n">
        <v>0</v>
      </c>
      <c r="AV73" s="273" t="n">
        <v>0</v>
      </c>
      <c r="AW73" s="273" t="n">
        <v>0</v>
      </c>
      <c r="AX73" s="273" t="n">
        <v>0</v>
      </c>
      <c r="AY73" s="273" t="n">
        <v>0</v>
      </c>
      <c r="AZ73" s="273" t="n">
        <v>0</v>
      </c>
      <c r="BA73" s="273" t="n">
        <v>0</v>
      </c>
      <c r="BB73" s="273" t="n">
        <f aca="false">BB15-'Marge Mobile'!BB58</f>
        <v>0</v>
      </c>
      <c r="BC73" s="273" t="n">
        <v>0</v>
      </c>
      <c r="BD73" s="273" t="n">
        <v>0</v>
      </c>
      <c r="BE73" s="273" t="n">
        <v>0</v>
      </c>
      <c r="BF73" s="273" t="n">
        <v>0</v>
      </c>
      <c r="BG73" s="273" t="n">
        <v>0</v>
      </c>
      <c r="BH73" s="273" t="n">
        <v>0</v>
      </c>
      <c r="BI73" s="273" t="n">
        <v>0</v>
      </c>
      <c r="BJ73" s="273" t="n">
        <f aca="false">BJ15-'Marge Mobile'!BJ58</f>
        <v>0</v>
      </c>
      <c r="BK73" s="273" t="n">
        <f aca="false">BK15-'Marge Mobile'!BK58</f>
        <v>0</v>
      </c>
      <c r="BL73" s="273" t="n">
        <f aca="false">BL15-'Marge Mobile'!BL58</f>
        <v>0</v>
      </c>
      <c r="BM73" s="273" t="n">
        <f aca="false">BM15-'Marge Mobile'!BM58</f>
        <v>0</v>
      </c>
      <c r="BN73" s="273" t="n">
        <f aca="false">BN15-'Marge Mobile'!BN58</f>
        <v>0</v>
      </c>
      <c r="BO73" s="273" t="n">
        <f aca="false">BO15-'Marge Mobile'!BO58</f>
        <v>0</v>
      </c>
      <c r="BP73" s="273" t="n">
        <f aca="false">BP15-'Marge Mobile'!BP58</f>
        <v>0</v>
      </c>
      <c r="BQ73" s="273" t="n">
        <f aca="false">BQ15-'Marge Mobile'!BQ58</f>
        <v>0</v>
      </c>
      <c r="BR73" s="273" t="n">
        <f aca="false">BR15-'Marge Mobile'!BR58</f>
        <v>0</v>
      </c>
      <c r="BS73" s="273" t="n">
        <f aca="false">BS15-'Marge Mobile'!BS58</f>
        <v>0</v>
      </c>
      <c r="BT73" s="273" t="n">
        <f aca="false">BT15-'Marge Mobile'!BT58</f>
        <v>0</v>
      </c>
      <c r="BU73" s="273" t="n">
        <f aca="false">BU15-'Marge Mobile'!BU58</f>
        <v>0</v>
      </c>
      <c r="BV73" s="273" t="n">
        <f aca="false">BV15-'Marge Mobile'!BV58</f>
        <v>0</v>
      </c>
      <c r="BW73" s="273" t="n">
        <f aca="false">BW15-'Marge Mobile'!BW58</f>
        <v>0</v>
      </c>
      <c r="BX73" s="273" t="n">
        <f aca="false">BX15-'Marge Mobile'!BX58</f>
        <v>0</v>
      </c>
      <c r="BY73" s="273" t="n">
        <f aca="false">BY15-'Marge Mobile'!BY58</f>
        <v>0</v>
      </c>
      <c r="BZ73" s="273" t="n">
        <f aca="false">BZ15-'Marge Mobile'!BZ58</f>
        <v>0</v>
      </c>
      <c r="CA73" s="273" t="n">
        <f aca="false">CA15-'Marge Mobile'!CA58</f>
        <v>0</v>
      </c>
      <c r="CB73" s="273" t="n">
        <f aca="false">CB15-'Marge Mobile'!CB58</f>
        <v>0</v>
      </c>
      <c r="CC73" s="273" t="n">
        <f aca="false">CC15-'Marge Mobile'!CC58</f>
        <v>0</v>
      </c>
      <c r="CD73" s="273" t="n">
        <f aca="false">CD15-'Marge Mobile'!CD58</f>
        <v>0</v>
      </c>
      <c r="CE73" s="273" t="n">
        <f aca="false">CE15-'Marge Mobile'!CE58</f>
        <v>0</v>
      </c>
      <c r="CF73" s="273" t="n">
        <f aca="false">CF15-'Marge Mobile'!CF58</f>
        <v>0</v>
      </c>
      <c r="CG73" s="273" t="n">
        <f aca="false">CG15-'Marge Mobile'!CG58</f>
        <v>0</v>
      </c>
      <c r="CH73" s="273" t="n">
        <f aca="false">CH15-'Marge Mobile'!CH58</f>
        <v>0</v>
      </c>
      <c r="CI73" s="273" t="n">
        <f aca="false">CI15-'Marge Mobile'!CI58</f>
        <v>0</v>
      </c>
      <c r="CJ73" s="273" t="n">
        <f aca="false">CJ15-'Marge Mobile'!CJ58</f>
        <v>0</v>
      </c>
      <c r="CK73" s="273" t="n">
        <f aca="false">CK15-'Marge Mobile'!CK58</f>
        <v>0</v>
      </c>
      <c r="CL73" s="273" t="n">
        <f aca="false">CL15-'Marge Mobile'!CL58</f>
        <v>0</v>
      </c>
      <c r="CM73" s="273" t="n">
        <f aca="false">CM15-'Marge Mobile'!CM58</f>
        <v>0</v>
      </c>
      <c r="CN73" s="273" t="n">
        <f aca="false">CN15-'Marge Mobile'!CN58</f>
        <v>0</v>
      </c>
      <c r="CO73" s="273" t="n">
        <f aca="false">CO15-'Marge Mobile'!CO58</f>
        <v>0</v>
      </c>
      <c r="CP73" s="273" t="n">
        <f aca="false">CP15-'Marge Mobile'!CP58</f>
        <v>0</v>
      </c>
      <c r="CQ73" s="273" t="n">
        <f aca="false">CQ15-'Marge Mobile'!CQ58</f>
        <v>0</v>
      </c>
      <c r="CR73" s="273" t="n">
        <f aca="false">CR15-'Marge Mobile'!CR58</f>
        <v>0</v>
      </c>
      <c r="CS73" s="273" t="n">
        <f aca="false">CS15-'Marge Mobile'!CS58</f>
        <v>0</v>
      </c>
      <c r="CT73" s="273" t="n">
        <f aca="false">CT15-'Marge Mobile'!CT58</f>
        <v>0</v>
      </c>
      <c r="CU73" s="273" t="n">
        <f aca="false">CU15-'Marge Mobile'!CU58</f>
        <v>0</v>
      </c>
      <c r="CV73" s="273" t="n">
        <f aca="false">CV15-'Marge Mobile'!CV58</f>
        <v>0</v>
      </c>
      <c r="CW73" s="274" t="n">
        <f aca="false">CW15-'Marge Mobile'!CW58</f>
        <v>0</v>
      </c>
      <c r="CX73" s="273" t="e">
        <f aca="false">CX15-'Marge Mobile'!CX58</f>
        <v>#VALUE!</v>
      </c>
      <c r="CY73" s="273" t="n">
        <f aca="false">CY15-'Marge Mobile'!CY58</f>
        <v>0</v>
      </c>
      <c r="CZ73" s="273" t="n">
        <f aca="false">CZ15-'Marge Mobile'!CZ58</f>
        <v>0</v>
      </c>
      <c r="DA73" s="273" t="n">
        <f aca="false">DA15-'Marge Mobile'!DA58</f>
        <v>0</v>
      </c>
      <c r="DB73" s="273" t="n">
        <f aca="false">DB15-'Marge Mobile'!DB58</f>
        <v>0</v>
      </c>
      <c r="DC73" s="273" t="n">
        <f aca="false">DC15-'Marge Mobile'!DC58</f>
        <v>0</v>
      </c>
      <c r="DD73" s="273" t="n">
        <f aca="false">DD15-'Marge Mobile'!DD58</f>
        <v>0</v>
      </c>
      <c r="DE73" s="273" t="e">
        <f aca="false">DE15-'Marge Mobile'!DE58</f>
        <v>#DIV/0!</v>
      </c>
      <c r="DF73" s="277" t="e">
        <f aca="false">DF15-'Marge Mobile'!DF58</f>
        <v>#DIV/0!</v>
      </c>
      <c r="DG73" s="277" t="e">
        <f aca="false">DG15-'Marge Mobile'!DG58</f>
        <v>#DIV/0!</v>
      </c>
      <c r="DH73" s="277" t="e">
        <f aca="false">DH15-'Marge Mobile'!DH58</f>
        <v>#DIV/0!</v>
      </c>
      <c r="DI73" s="238"/>
      <c r="DJ73" s="238"/>
      <c r="DK73" s="238"/>
      <c r="DT73" s="184"/>
      <c r="DU73" s="184"/>
    </row>
    <row r="74" s="239" customFormat="true" ht="12.75" hidden="true" customHeight="false" outlineLevel="0" collapsed="false">
      <c r="A74" s="276"/>
      <c r="B74" s="212"/>
      <c r="C74" s="212"/>
      <c r="D74" s="273" t="n">
        <f aca="false">D20-'Marge Mobile'!D60</f>
        <v>0</v>
      </c>
      <c r="E74" s="273" t="n">
        <f aca="false">E20-'Marge Mobile'!E60</f>
        <v>0</v>
      </c>
      <c r="F74" s="273" t="n">
        <f aca="false">F20-'Marge Mobile'!F60</f>
        <v>0</v>
      </c>
      <c r="G74" s="273" t="n">
        <f aca="false">G20-'Marge Mobile'!G60</f>
        <v>0</v>
      </c>
      <c r="H74" s="273" t="n">
        <f aca="false">H20-'Marge Mobile'!H60</f>
        <v>0</v>
      </c>
      <c r="I74" s="273" t="n">
        <f aca="false">I20-'Marge Mobile'!I60</f>
        <v>0</v>
      </c>
      <c r="J74" s="273"/>
      <c r="K74" s="273"/>
      <c r="L74" s="273" t="n">
        <f aca="false">L20-'Marge Mobile'!L60</f>
        <v>0</v>
      </c>
      <c r="M74" s="273" t="n">
        <f aca="false">M20-'Marge Mobile'!M60</f>
        <v>0</v>
      </c>
      <c r="N74" s="273" t="n">
        <f aca="false">N20-'Marge Mobile'!N60</f>
        <v>0</v>
      </c>
      <c r="O74" s="273" t="n">
        <f aca="false">O20-'Marge Mobile'!O60</f>
        <v>0</v>
      </c>
      <c r="P74" s="273" t="n">
        <f aca="false">P20-'Marge Mobile'!P60</f>
        <v>0</v>
      </c>
      <c r="Q74" s="273" t="n">
        <f aca="false">Q20-'Marge Mobile'!Q60</f>
        <v>0</v>
      </c>
      <c r="R74" s="273" t="n">
        <f aca="false">R20-'Marge Mobile'!R60</f>
        <v>0</v>
      </c>
      <c r="S74" s="273" t="n">
        <f aca="false">S20-'Marge Mobile'!S60</f>
        <v>0</v>
      </c>
      <c r="T74" s="273" t="n">
        <f aca="false">T20-'Marge Mobile'!T60</f>
        <v>0</v>
      </c>
      <c r="U74" s="273" t="n">
        <f aca="false">U20-'Marge Mobile'!U60</f>
        <v>0</v>
      </c>
      <c r="V74" s="273" t="n">
        <f aca="false">V20-'Marge Mobile'!V60</f>
        <v>0</v>
      </c>
      <c r="W74" s="273" t="n">
        <f aca="false">W20-'Marge Mobile'!W60</f>
        <v>0</v>
      </c>
      <c r="X74" s="273" t="n">
        <f aca="false">X20-'Marge Mobile'!X60</f>
        <v>0</v>
      </c>
      <c r="Y74" s="273" t="n">
        <f aca="false">Y20-'Marge Mobile'!Y60</f>
        <v>0</v>
      </c>
      <c r="Z74" s="273" t="n">
        <f aca="false">Z20-'Marge Mobile'!Z60</f>
        <v>0</v>
      </c>
      <c r="AA74" s="273" t="n">
        <f aca="false">AA20-'Marge Mobile'!AA60</f>
        <v>0</v>
      </c>
      <c r="AB74" s="273" t="n">
        <f aca="false">AB20-'Marge Mobile'!AB60</f>
        <v>0</v>
      </c>
      <c r="AC74" s="273" t="n">
        <f aca="false">AC20-'Marge Mobile'!AC60</f>
        <v>0</v>
      </c>
      <c r="AD74" s="273" t="n">
        <f aca="false">AD20-'Marge Mobile'!AD60</f>
        <v>0</v>
      </c>
      <c r="AE74" s="273" t="n">
        <f aca="false">AE20-'Marge Mobile'!AE60</f>
        <v>0</v>
      </c>
      <c r="AF74" s="273" t="n">
        <f aca="false">AF20-'Marge Mobile'!AF60</f>
        <v>0</v>
      </c>
      <c r="AG74" s="273" t="n">
        <f aca="false">AG20-'Marge Mobile'!AG60</f>
        <v>0</v>
      </c>
      <c r="AH74" s="273" t="n">
        <f aca="false">AH20-'Marge Mobile'!AH60</f>
        <v>0</v>
      </c>
      <c r="AI74" s="273" t="n">
        <f aca="false">AI20-'Marge Mobile'!AI60</f>
        <v>0</v>
      </c>
      <c r="AJ74" s="273" t="n">
        <f aca="false">AJ20-'Marge Mobile'!AJ60</f>
        <v>0</v>
      </c>
      <c r="AK74" s="273" t="n">
        <f aca="false">AK20-'Marge Mobile'!AK60</f>
        <v>0</v>
      </c>
      <c r="AL74" s="273" t="n">
        <f aca="false">AL20-'Marge Mobile'!AL60</f>
        <v>0</v>
      </c>
      <c r="AM74" s="273" t="n">
        <f aca="false">AM20-'Marge Mobile'!AM60</f>
        <v>0</v>
      </c>
      <c r="AN74" s="273" t="n">
        <f aca="false">AN20-'Marge Mobile'!AN60</f>
        <v>0</v>
      </c>
      <c r="AO74" s="273" t="n">
        <f aca="false">AO20-'Marge Mobile'!AO60</f>
        <v>0</v>
      </c>
      <c r="AP74" s="273" t="n">
        <f aca="false">AP20-'Marge Mobile'!AP60</f>
        <v>0</v>
      </c>
      <c r="AQ74" s="273" t="n">
        <f aca="false">AQ20-'Marge Mobile'!AQ60</f>
        <v>0</v>
      </c>
      <c r="AR74" s="273" t="n">
        <f aca="false">AR20-'Marge Mobile'!AR60</f>
        <v>0</v>
      </c>
      <c r="AS74" s="273" t="n">
        <f aca="false">AS20-'Marge Mobile'!AS60</f>
        <v>0</v>
      </c>
      <c r="AT74" s="273" t="n">
        <f aca="false">AT20-'Marge Mobile'!AT60</f>
        <v>0</v>
      </c>
      <c r="AU74" s="273" t="n">
        <v>0</v>
      </c>
      <c r="AV74" s="273" t="n">
        <v>0</v>
      </c>
      <c r="AW74" s="273" t="n">
        <v>0</v>
      </c>
      <c r="AX74" s="273" t="n">
        <v>0</v>
      </c>
      <c r="AY74" s="273" t="n">
        <v>0</v>
      </c>
      <c r="AZ74" s="273" t="n">
        <v>0</v>
      </c>
      <c r="BA74" s="273" t="n">
        <v>0</v>
      </c>
      <c r="BB74" s="273" t="n">
        <f aca="false">BB20-'Marge Mobile'!BB60</f>
        <v>0</v>
      </c>
      <c r="BC74" s="273" t="n">
        <v>0</v>
      </c>
      <c r="BD74" s="273" t="n">
        <v>0</v>
      </c>
      <c r="BE74" s="273" t="n">
        <v>0</v>
      </c>
      <c r="BF74" s="273" t="n">
        <v>0</v>
      </c>
      <c r="BG74" s="273" t="n">
        <v>0</v>
      </c>
      <c r="BH74" s="273" t="n">
        <v>0</v>
      </c>
      <c r="BI74" s="273" t="n">
        <v>0</v>
      </c>
      <c r="BJ74" s="273" t="n">
        <f aca="false">BJ20-'Marge Mobile'!BJ60</f>
        <v>0</v>
      </c>
      <c r="BK74" s="273" t="n">
        <f aca="false">BK20-'Marge Mobile'!BK60</f>
        <v>0</v>
      </c>
      <c r="BL74" s="273" t="n">
        <f aca="false">BL20-'Marge Mobile'!BL60</f>
        <v>0</v>
      </c>
      <c r="BM74" s="273" t="n">
        <f aca="false">BM20-'Marge Mobile'!BM60</f>
        <v>0</v>
      </c>
      <c r="BN74" s="273" t="n">
        <f aca="false">BN20-'Marge Mobile'!BN60</f>
        <v>0</v>
      </c>
      <c r="BO74" s="273" t="n">
        <f aca="false">BO20-'Marge Mobile'!BO60</f>
        <v>0</v>
      </c>
      <c r="BP74" s="273" t="n">
        <f aca="false">BP20-'Marge Mobile'!BP60</f>
        <v>0</v>
      </c>
      <c r="BQ74" s="273" t="n">
        <f aca="false">BQ20-'Marge Mobile'!BQ60</f>
        <v>0</v>
      </c>
      <c r="BR74" s="273" t="n">
        <f aca="false">BR20-'Marge Mobile'!BR60</f>
        <v>0</v>
      </c>
      <c r="BS74" s="273" t="n">
        <f aca="false">BS20-'Marge Mobile'!BS60</f>
        <v>0</v>
      </c>
      <c r="BT74" s="273" t="n">
        <f aca="false">BT20-'Marge Mobile'!BT60</f>
        <v>0</v>
      </c>
      <c r="BU74" s="273" t="n">
        <f aca="false">BU20-'Marge Mobile'!BU60</f>
        <v>0</v>
      </c>
      <c r="BV74" s="273" t="n">
        <f aca="false">BV20-'Marge Mobile'!BV60</f>
        <v>0</v>
      </c>
      <c r="BW74" s="273" t="n">
        <f aca="false">BW20-'Marge Mobile'!BW60</f>
        <v>0</v>
      </c>
      <c r="BX74" s="273" t="n">
        <f aca="false">BX20-'Marge Mobile'!BX60</f>
        <v>0</v>
      </c>
      <c r="BY74" s="273" t="n">
        <f aca="false">BY20-'Marge Mobile'!BY60</f>
        <v>0</v>
      </c>
      <c r="BZ74" s="273" t="n">
        <f aca="false">BZ20-'Marge Mobile'!BZ60</f>
        <v>0</v>
      </c>
      <c r="CA74" s="273" t="n">
        <f aca="false">CA20-'Marge Mobile'!CA60</f>
        <v>0</v>
      </c>
      <c r="CB74" s="273" t="n">
        <f aca="false">CB20-'Marge Mobile'!CB60</f>
        <v>0</v>
      </c>
      <c r="CC74" s="273" t="n">
        <f aca="false">CC20-'Marge Mobile'!CC60</f>
        <v>0</v>
      </c>
      <c r="CD74" s="273" t="n">
        <f aca="false">CD20-'Marge Mobile'!CD60</f>
        <v>0</v>
      </c>
      <c r="CE74" s="273" t="n">
        <f aca="false">CE20-'Marge Mobile'!CE60</f>
        <v>0</v>
      </c>
      <c r="CF74" s="273" t="n">
        <f aca="false">CF20-'Marge Mobile'!CF60</f>
        <v>0</v>
      </c>
      <c r="CG74" s="273" t="n">
        <f aca="false">CG20-'Marge Mobile'!CG60</f>
        <v>0</v>
      </c>
      <c r="CH74" s="273" t="n">
        <f aca="false">CH20-'Marge Mobile'!CH60</f>
        <v>0</v>
      </c>
      <c r="CI74" s="273" t="n">
        <f aca="false">CI20-'Marge Mobile'!CI60</f>
        <v>0</v>
      </c>
      <c r="CJ74" s="273" t="n">
        <f aca="false">CJ20-'Marge Mobile'!CJ60</f>
        <v>0</v>
      </c>
      <c r="CK74" s="273" t="n">
        <f aca="false">CK20-'Marge Mobile'!CK60</f>
        <v>0</v>
      </c>
      <c r="CL74" s="273" t="n">
        <f aca="false">CL20-'Marge Mobile'!CL60</f>
        <v>0</v>
      </c>
      <c r="CM74" s="273" t="n">
        <f aca="false">CM20-'Marge Mobile'!CM60</f>
        <v>0</v>
      </c>
      <c r="CN74" s="273" t="n">
        <f aca="false">CN20-'Marge Mobile'!CN60</f>
        <v>0</v>
      </c>
      <c r="CO74" s="273" t="n">
        <f aca="false">CO20-'Marge Mobile'!CO60</f>
        <v>0</v>
      </c>
      <c r="CP74" s="273" t="n">
        <f aca="false">CP20-'Marge Mobile'!CP60</f>
        <v>0</v>
      </c>
      <c r="CQ74" s="273" t="n">
        <f aca="false">CQ20-'Marge Mobile'!CQ60</f>
        <v>0</v>
      </c>
      <c r="CR74" s="273" t="n">
        <f aca="false">CR20-'Marge Mobile'!CR60</f>
        <v>0</v>
      </c>
      <c r="CS74" s="273" t="n">
        <f aca="false">CS20-'Marge Mobile'!CS60</f>
        <v>0</v>
      </c>
      <c r="CT74" s="273" t="n">
        <f aca="false">CT20-'Marge Mobile'!CT60</f>
        <v>0</v>
      </c>
      <c r="CU74" s="273" t="n">
        <f aca="false">CU20-'Marge Mobile'!CU60</f>
        <v>0</v>
      </c>
      <c r="CV74" s="273" t="n">
        <f aca="false">CV20-'Marge Mobile'!CV60</f>
        <v>0</v>
      </c>
      <c r="CW74" s="274" t="n">
        <f aca="false">CW20-'Marge Mobile'!CW60</f>
        <v>0</v>
      </c>
      <c r="CX74" s="273" t="e">
        <f aca="false">CX20-'Marge Mobile'!CX60</f>
        <v>#VALUE!</v>
      </c>
      <c r="CY74" s="273" t="n">
        <f aca="false">CY20-'Marge Mobile'!CY60</f>
        <v>0</v>
      </c>
      <c r="CZ74" s="273" t="n">
        <f aca="false">CZ20-'Marge Mobile'!CZ60</f>
        <v>0</v>
      </c>
      <c r="DA74" s="273" t="n">
        <f aca="false">DA20-'Marge Mobile'!DA60</f>
        <v>0</v>
      </c>
      <c r="DB74" s="273" t="n">
        <f aca="false">DB20-'Marge Mobile'!DB60</f>
        <v>0</v>
      </c>
      <c r="DC74" s="273" t="n">
        <f aca="false">DC20-'Marge Mobile'!DC60</f>
        <v>0</v>
      </c>
      <c r="DD74" s="273" t="n">
        <f aca="false">DD20-'Marge Mobile'!DD60</f>
        <v>0</v>
      </c>
      <c r="DE74" s="273" t="e">
        <f aca="false">DE20-'Marge Mobile'!DE60</f>
        <v>#DIV/0!</v>
      </c>
      <c r="DF74" s="277" t="e">
        <f aca="false">DF20-'Marge Mobile'!DF60</f>
        <v>#DIV/0!</v>
      </c>
      <c r="DG74" s="277" t="e">
        <f aca="false">DG20-'Marge Mobile'!DG60</f>
        <v>#DIV/0!</v>
      </c>
      <c r="DH74" s="277" t="e">
        <f aca="false">DH20-'Marge Mobile'!DH60</f>
        <v>#DIV/0!</v>
      </c>
      <c r="DI74" s="238"/>
      <c r="DJ74" s="238"/>
      <c r="DK74" s="238"/>
      <c r="DT74" s="184"/>
      <c r="DU74" s="184"/>
    </row>
    <row r="75" s="239" customFormat="true" ht="12.75" hidden="true" customHeight="false" outlineLevel="0" collapsed="false">
      <c r="A75" s="276"/>
      <c r="B75" s="212"/>
      <c r="C75" s="212"/>
      <c r="D75" s="273" t="n">
        <f aca="false">D25+'Opex Consolidés'!D7</f>
        <v>0</v>
      </c>
      <c r="E75" s="273" t="n">
        <f aca="false">E25+'Opex Consolidés'!E7</f>
        <v>0</v>
      </c>
      <c r="F75" s="273" t="n">
        <f aca="false">F25+'Opex Consolidés'!F7</f>
        <v>0</v>
      </c>
      <c r="G75" s="273" t="n">
        <f aca="false">G25+'Opex Consolidés'!G7</f>
        <v>0</v>
      </c>
      <c r="H75" s="273" t="n">
        <f aca="false">H25+'Opex Consolidés'!H7</f>
        <v>0</v>
      </c>
      <c r="I75" s="273" t="n">
        <f aca="false">I25+'Opex Consolidés'!I7</f>
        <v>0</v>
      </c>
      <c r="J75" s="273"/>
      <c r="K75" s="273"/>
      <c r="L75" s="273" t="n">
        <f aca="false">L25+'Opex Consolidés'!L7</f>
        <v>0</v>
      </c>
      <c r="M75" s="273" t="n">
        <f aca="false">M25+'Opex Consolidés'!M7</f>
        <v>0</v>
      </c>
      <c r="N75" s="273" t="n">
        <f aca="false">N25+'Opex Consolidés'!N7</f>
        <v>0</v>
      </c>
      <c r="O75" s="273" t="n">
        <f aca="false">O25+'Opex Consolidés'!O7</f>
        <v>0</v>
      </c>
      <c r="P75" s="273" t="n">
        <f aca="false">P25+'Opex Consolidés'!P7</f>
        <v>0</v>
      </c>
      <c r="Q75" s="273" t="n">
        <f aca="false">Q25+'Opex Consolidés'!Q7</f>
        <v>0</v>
      </c>
      <c r="R75" s="273" t="n">
        <f aca="false">R25+'Opex Consolidés'!R7</f>
        <v>0</v>
      </c>
      <c r="S75" s="273" t="n">
        <f aca="false">S25+'Opex Consolidés'!S7</f>
        <v>0</v>
      </c>
      <c r="T75" s="273" t="n">
        <f aca="false">T25+'Opex Consolidés'!T7</f>
        <v>0</v>
      </c>
      <c r="U75" s="273" t="n">
        <f aca="false">U25+'Opex Consolidés'!U7</f>
        <v>0</v>
      </c>
      <c r="V75" s="273" t="n">
        <f aca="false">V25+'Opex Consolidés'!V7</f>
        <v>0</v>
      </c>
      <c r="W75" s="273" t="n">
        <f aca="false">W25+'Opex Consolidés'!W7</f>
        <v>0</v>
      </c>
      <c r="X75" s="273" t="n">
        <f aca="false">X25+'Opex Consolidés'!X7</f>
        <v>0</v>
      </c>
      <c r="Y75" s="273" t="n">
        <f aca="false">Y25+'Opex Consolidés'!Y7</f>
        <v>0</v>
      </c>
      <c r="Z75" s="273" t="n">
        <f aca="false">Z25+'Opex Consolidés'!Z7</f>
        <v>0</v>
      </c>
      <c r="AA75" s="273" t="n">
        <f aca="false">AA25+'Opex Consolidés'!AA7</f>
        <v>0</v>
      </c>
      <c r="AB75" s="278" t="e">
        <f aca="false">#REF!</f>
        <v>#REF!</v>
      </c>
      <c r="AC75" s="273" t="n">
        <f aca="false">AC25+'Opex Consolidés'!AC7</f>
        <v>0</v>
      </c>
      <c r="AD75" s="273" t="n">
        <f aca="false">AD25+'Opex Consolidés'!AD7</f>
        <v>0</v>
      </c>
      <c r="AE75" s="273" t="n">
        <f aca="false">AE25+'Opex Consolidés'!AE7</f>
        <v>0</v>
      </c>
      <c r="AF75" s="273" t="n">
        <f aca="false">AF25+'Opex Consolidés'!AF7</f>
        <v>0</v>
      </c>
      <c r="AG75" s="273" t="n">
        <f aca="false">AG25+'Opex Consolidés'!AG7</f>
        <v>0</v>
      </c>
      <c r="AH75" s="273" t="n">
        <f aca="false">AH25+'Opex Consolidés'!AH7</f>
        <v>0</v>
      </c>
      <c r="AI75" s="273" t="n">
        <f aca="false">AI25+'Opex Consolidés'!AI7</f>
        <v>0</v>
      </c>
      <c r="AJ75" s="273" t="n">
        <f aca="false">AJ25+'Opex Consolidés'!AJ7</f>
        <v>0</v>
      </c>
      <c r="AK75" s="273" t="n">
        <f aca="false">AK25+'Opex Consolidés'!AK7</f>
        <v>0</v>
      </c>
      <c r="AL75" s="273" t="n">
        <f aca="false">AL25+'Opex Consolidés'!AL7</f>
        <v>0</v>
      </c>
      <c r="AM75" s="273" t="n">
        <f aca="false">AM25+'Opex Consolidés'!AM7</f>
        <v>0</v>
      </c>
      <c r="AN75" s="273" t="n">
        <f aca="false">AN25+'Opex Consolidés'!AN7</f>
        <v>0</v>
      </c>
      <c r="AO75" s="273" t="n">
        <f aca="false">AO25+'Opex Consolidés'!AO7</f>
        <v>0</v>
      </c>
      <c r="AP75" s="273" t="n">
        <f aca="false">AP25+'Opex Consolidés'!AP7</f>
        <v>0</v>
      </c>
      <c r="AQ75" s="273" t="n">
        <f aca="false">AQ25+'Opex Consolidés'!AQ7</f>
        <v>0</v>
      </c>
      <c r="AR75" s="273" t="n">
        <f aca="false">AR25+'Opex Consolidés'!AR7</f>
        <v>0</v>
      </c>
      <c r="AS75" s="273" t="n">
        <f aca="false">AS25+'Opex Consolidés'!AS7</f>
        <v>0</v>
      </c>
      <c r="AT75" s="273" t="n">
        <f aca="false">AT25+'Opex Consolidés'!AT7</f>
        <v>0</v>
      </c>
      <c r="AU75" s="273" t="n">
        <v>0</v>
      </c>
      <c r="AV75" s="273" t="n">
        <v>0</v>
      </c>
      <c r="AW75" s="273" t="n">
        <v>0</v>
      </c>
      <c r="AX75" s="273" t="n">
        <v>0</v>
      </c>
      <c r="AY75" s="273" t="n">
        <v>0</v>
      </c>
      <c r="AZ75" s="273" t="n">
        <v>0</v>
      </c>
      <c r="BA75" s="273" t="n">
        <v>-0.178454538572221</v>
      </c>
      <c r="BB75" s="273" t="n">
        <f aca="false">BB25+'Opex Consolidés'!BB7</f>
        <v>0</v>
      </c>
      <c r="BC75" s="273" t="n">
        <v>0</v>
      </c>
      <c r="BD75" s="273" t="n">
        <v>0</v>
      </c>
      <c r="BE75" s="273" t="n">
        <v>0</v>
      </c>
      <c r="BF75" s="273" t="n">
        <v>0</v>
      </c>
      <c r="BG75" s="273" t="n">
        <v>0</v>
      </c>
      <c r="BH75" s="273" t="n">
        <v>0</v>
      </c>
      <c r="BI75" s="273" t="n">
        <v>0.0520869550910592</v>
      </c>
      <c r="BJ75" s="273" t="n">
        <f aca="false">BJ25+'Opex Consolidés'!BJ7</f>
        <v>0</v>
      </c>
      <c r="BK75" s="273" t="n">
        <f aca="false">BK25+'Opex Consolidés'!BK7</f>
        <v>0</v>
      </c>
      <c r="BL75" s="273" t="n">
        <f aca="false">BL25+'Opex Consolidés'!BL7</f>
        <v>0</v>
      </c>
      <c r="BM75" s="273" t="n">
        <f aca="false">BM25+'Opex Consolidés'!BM7</f>
        <v>0</v>
      </c>
      <c r="BN75" s="273" t="n">
        <f aca="false">BN25+'Opex Consolidés'!BN7</f>
        <v>0</v>
      </c>
      <c r="BO75" s="273" t="n">
        <f aca="false">BO25+'Opex Consolidés'!BO7</f>
        <v>0</v>
      </c>
      <c r="BP75" s="273" t="n">
        <f aca="false">BP25+'Opex Consolidés'!BP7</f>
        <v>0</v>
      </c>
      <c r="BQ75" s="273" t="n">
        <f aca="false">BQ25+'Opex Consolidés'!BQ7</f>
        <v>0</v>
      </c>
      <c r="BR75" s="273" t="n">
        <f aca="false">BR25+'Opex Consolidés'!BR7</f>
        <v>0</v>
      </c>
      <c r="BS75" s="273" t="n">
        <f aca="false">BS25+'Opex Consolidés'!BS7</f>
        <v>0</v>
      </c>
      <c r="BT75" s="273" t="n">
        <f aca="false">BT25+'Opex Consolidés'!BT7</f>
        <v>0</v>
      </c>
      <c r="BU75" s="273" t="n">
        <f aca="false">BU25+'Opex Consolidés'!BU7</f>
        <v>0</v>
      </c>
      <c r="BV75" s="273" t="n">
        <f aca="false">BV25+'Opex Consolidés'!BV7</f>
        <v>0</v>
      </c>
      <c r="BW75" s="273" t="n">
        <f aca="false">BW25+'Opex Consolidés'!BW7</f>
        <v>0</v>
      </c>
      <c r="BX75" s="273" t="n">
        <f aca="false">BX25+'Opex Consolidés'!BX7</f>
        <v>0</v>
      </c>
      <c r="BY75" s="273" t="n">
        <f aca="false">BY25+'Opex Consolidés'!BY7</f>
        <v>0</v>
      </c>
      <c r="BZ75" s="273" t="n">
        <f aca="false">BZ25+'Opex Consolidés'!BZ7</f>
        <v>0</v>
      </c>
      <c r="CA75" s="273" t="n">
        <f aca="false">CA25+'Opex Consolidés'!CA7</f>
        <v>0</v>
      </c>
      <c r="CB75" s="273" t="n">
        <f aca="false">CB25+'Opex Consolidés'!CB7</f>
        <v>0</v>
      </c>
      <c r="CC75" s="273" t="n">
        <f aca="false">CC25+'Opex Consolidés'!CC7</f>
        <v>0</v>
      </c>
      <c r="CD75" s="273" t="n">
        <f aca="false">CD25+'Opex Consolidés'!CD7</f>
        <v>0</v>
      </c>
      <c r="CE75" s="273" t="n">
        <f aca="false">CE25+'Opex Consolidés'!CE7</f>
        <v>0</v>
      </c>
      <c r="CF75" s="273" t="n">
        <f aca="false">CF25+'Opex Consolidés'!CF7</f>
        <v>0</v>
      </c>
      <c r="CG75" s="273" t="n">
        <f aca="false">CG25+'Opex Consolidés'!CG7</f>
        <v>0</v>
      </c>
      <c r="CH75" s="273" t="n">
        <f aca="false">CH25+'Opex Consolidés'!CH7</f>
        <v>0</v>
      </c>
      <c r="CI75" s="273" t="n">
        <f aca="false">CI25+'Opex Consolidés'!CI7</f>
        <v>0</v>
      </c>
      <c r="CJ75" s="273" t="n">
        <f aca="false">CJ25+'Opex Consolidés'!CJ7</f>
        <v>0</v>
      </c>
      <c r="CK75" s="273" t="n">
        <f aca="false">CK25+'Opex Consolidés'!CK7</f>
        <v>0</v>
      </c>
      <c r="CL75" s="273" t="n">
        <f aca="false">CL25+'Opex Consolidés'!CL7</f>
        <v>0</v>
      </c>
      <c r="CM75" s="273" t="n">
        <f aca="false">CM25+'Opex Consolidés'!CM7</f>
        <v>0</v>
      </c>
      <c r="CN75" s="273" t="n">
        <f aca="false">CN25+'Opex Consolidés'!CN7</f>
        <v>0</v>
      </c>
      <c r="CO75" s="273" t="n">
        <f aca="false">CO25+'Opex Consolidés'!CO7</f>
        <v>0</v>
      </c>
      <c r="CP75" s="273" t="n">
        <f aca="false">CP25+'Opex Consolidés'!CP7</f>
        <v>0</v>
      </c>
      <c r="CQ75" s="273" t="n">
        <f aca="false">CQ25+'Opex Consolidés'!CQ7</f>
        <v>0</v>
      </c>
      <c r="CR75" s="273" t="n">
        <f aca="false">CR25+'Opex Consolidés'!CR7</f>
        <v>0</v>
      </c>
      <c r="CS75" s="273" t="n">
        <f aca="false">CS25+'Opex Consolidés'!CS7</f>
        <v>0</v>
      </c>
      <c r="CT75" s="273" t="n">
        <f aca="false">CT25+'Opex Consolidés'!CT7</f>
        <v>0</v>
      </c>
      <c r="CU75" s="273" t="n">
        <f aca="false">CU25+'Opex Consolidés'!CU7</f>
        <v>0</v>
      </c>
      <c r="CV75" s="273" t="n">
        <f aca="false">CV25+'Opex Consolidés'!CV7</f>
        <v>0</v>
      </c>
      <c r="CW75" s="274" t="n">
        <f aca="false">CW25+'Opex Consolidés'!CW7</f>
        <v>0</v>
      </c>
      <c r="CX75" s="273" t="e">
        <f aca="false">CX25+'Opex Consolidés'!CX7</f>
        <v>#VALUE!</v>
      </c>
      <c r="CY75" s="273" t="n">
        <f aca="false">CY25+'Opex Consolidés'!CY7</f>
        <v>0</v>
      </c>
      <c r="CZ75" s="273" t="n">
        <f aca="false">CZ25+'Opex Consolidés'!CZ7</f>
        <v>0</v>
      </c>
      <c r="DA75" s="273" t="n">
        <f aca="false">DA25+'Opex Consolidés'!DA7</f>
        <v>0</v>
      </c>
      <c r="DB75" s="273" t="n">
        <f aca="false">DB25+'Opex Consolidés'!DB7</f>
        <v>0</v>
      </c>
      <c r="DC75" s="273" t="n">
        <f aca="false">DC25+'Opex Consolidés'!DC7</f>
        <v>0</v>
      </c>
      <c r="DD75" s="273" t="n">
        <f aca="false">DD25+'Opex Consolidés'!DD7</f>
        <v>0</v>
      </c>
      <c r="DE75" s="273" t="e">
        <f aca="false">DE25+'Opex Consolidés'!DE7</f>
        <v>#DIV/0!</v>
      </c>
      <c r="DF75" s="273" t="e">
        <f aca="false">DF25+'Opex Consolidés'!DF7</f>
        <v>#DIV/0!</v>
      </c>
      <c r="DG75" s="273" t="e">
        <f aca="false">DG25+'Opex Consolidés'!DG7</f>
        <v>#DIV/0!</v>
      </c>
      <c r="DH75" s="273" t="e">
        <f aca="false">DH25+'Opex Consolidés'!DH7</f>
        <v>#DIV/0!</v>
      </c>
      <c r="DI75" s="238"/>
      <c r="DJ75" s="238"/>
      <c r="DK75" s="238"/>
      <c r="DT75" s="184"/>
      <c r="DU75" s="184"/>
    </row>
    <row r="76" s="239" customFormat="true" ht="12.75" hidden="false" customHeight="false" outlineLevel="0" collapsed="false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37"/>
      <c r="Q76" s="37"/>
      <c r="R76" s="37"/>
      <c r="S76" s="37"/>
      <c r="T76" s="240"/>
      <c r="U76" s="212"/>
      <c r="V76" s="212"/>
      <c r="W76" s="212"/>
      <c r="X76" s="212"/>
      <c r="Y76" s="212"/>
      <c r="Z76" s="212"/>
      <c r="AA76" s="212"/>
      <c r="AB76" s="39"/>
      <c r="AC76" s="212"/>
      <c r="AD76" s="212"/>
      <c r="AE76" s="212"/>
      <c r="AF76" s="212"/>
      <c r="AG76" s="212"/>
      <c r="AH76" s="212"/>
      <c r="AI76" s="212"/>
      <c r="AJ76" s="212"/>
      <c r="AK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40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  <c r="BU76" s="212"/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K76" s="212"/>
      <c r="CL76" s="212"/>
      <c r="CM76" s="42"/>
      <c r="CN76" s="42"/>
      <c r="CO76" s="212"/>
      <c r="CP76" s="212"/>
      <c r="CQ76" s="212"/>
      <c r="CR76" s="43"/>
      <c r="CS76" s="279"/>
      <c r="CT76" s="279"/>
      <c r="CU76" s="43"/>
      <c r="CV76" s="43"/>
      <c r="CW76" s="43"/>
      <c r="CX76" s="39"/>
      <c r="CZ76" s="144"/>
      <c r="DA76" s="144"/>
      <c r="DB76" s="144"/>
      <c r="DC76" s="144"/>
      <c r="DD76" s="144"/>
      <c r="DE76" s="245"/>
      <c r="DF76" s="245"/>
      <c r="DG76" s="245"/>
      <c r="DH76" s="245"/>
      <c r="DI76" s="238"/>
      <c r="DJ76" s="238"/>
      <c r="DK76" s="238"/>
      <c r="DT76" s="184"/>
      <c r="DU76" s="184"/>
    </row>
    <row r="77" s="239" customFormat="true" ht="12.75" hidden="false" customHeight="false" outlineLevel="0" collapsed="false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37"/>
      <c r="Q77" s="37"/>
      <c r="R77" s="37"/>
      <c r="S77" s="37"/>
      <c r="T77" s="240"/>
      <c r="U77" s="212"/>
      <c r="V77" s="212"/>
      <c r="W77" s="212"/>
      <c r="X77" s="212"/>
      <c r="Y77" s="212"/>
      <c r="Z77" s="212"/>
      <c r="AA77" s="212"/>
      <c r="AB77" s="39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40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K77" s="212"/>
      <c r="CL77" s="212"/>
      <c r="CM77" s="42"/>
      <c r="CN77" s="42"/>
      <c r="CO77" s="212"/>
      <c r="CP77" s="212"/>
      <c r="CQ77" s="212"/>
      <c r="CR77" s="43"/>
      <c r="CS77" s="43"/>
      <c r="CT77" s="43"/>
      <c r="CU77" s="43"/>
      <c r="CV77" s="43"/>
      <c r="CW77" s="43"/>
      <c r="CX77" s="39"/>
      <c r="CZ77" s="144"/>
      <c r="DA77" s="144"/>
      <c r="DB77" s="144"/>
      <c r="DC77" s="144"/>
      <c r="DD77" s="144"/>
      <c r="DE77" s="245"/>
      <c r="DF77" s="245"/>
      <c r="DG77" s="245"/>
      <c r="DH77" s="245"/>
      <c r="DI77" s="238"/>
      <c r="DJ77" s="238"/>
      <c r="DK77" s="238"/>
      <c r="DT77" s="184"/>
      <c r="DU77" s="184"/>
    </row>
    <row r="78" s="239" customFormat="true" ht="12.75" hidden="false" customHeight="false" outlineLevel="0" collapsed="false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37"/>
      <c r="Q78" s="37"/>
      <c r="R78" s="37"/>
      <c r="S78" s="37"/>
      <c r="T78" s="240"/>
      <c r="U78" s="212"/>
      <c r="V78" s="212"/>
      <c r="W78" s="212"/>
      <c r="X78" s="212"/>
      <c r="Y78" s="212"/>
      <c r="Z78" s="212"/>
      <c r="AA78" s="212"/>
      <c r="AB78" s="39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40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2"/>
      <c r="CD78" s="212"/>
      <c r="CE78" s="212"/>
      <c r="CF78" s="212"/>
      <c r="CG78" s="212"/>
      <c r="CH78" s="212"/>
      <c r="CI78" s="212"/>
      <c r="CK78" s="212"/>
      <c r="CL78" s="212"/>
      <c r="CM78" s="42"/>
      <c r="CN78" s="42"/>
      <c r="CO78" s="212"/>
      <c r="CP78" s="212"/>
      <c r="CQ78" s="212"/>
      <c r="CR78" s="37"/>
      <c r="CS78" s="43"/>
      <c r="CT78" s="43"/>
      <c r="CU78" s="43"/>
      <c r="CV78" s="43"/>
      <c r="CW78" s="43"/>
      <c r="CX78" s="39"/>
      <c r="CZ78" s="144"/>
      <c r="DA78" s="144"/>
      <c r="DB78" s="144"/>
      <c r="DC78" s="144"/>
      <c r="DD78" s="144"/>
      <c r="DE78" s="245"/>
      <c r="DF78" s="245"/>
      <c r="DG78" s="245"/>
      <c r="DH78" s="245"/>
      <c r="DI78" s="238"/>
      <c r="DJ78" s="238"/>
      <c r="DK78" s="238"/>
      <c r="DT78" s="184"/>
      <c r="DU78" s="184"/>
    </row>
    <row r="79" s="239" customFormat="true" ht="12.75" hidden="false" customHeight="false" outlineLevel="0" collapsed="false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37"/>
      <c r="Q79" s="37"/>
      <c r="R79" s="37"/>
      <c r="S79" s="37"/>
      <c r="T79" s="240"/>
      <c r="U79" s="212"/>
      <c r="V79" s="212"/>
      <c r="W79" s="212"/>
      <c r="X79" s="212"/>
      <c r="Y79" s="212"/>
      <c r="Z79" s="212"/>
      <c r="AA79" s="212"/>
      <c r="AB79" s="39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40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K79" s="212"/>
      <c r="CL79" s="212"/>
      <c r="CM79" s="42"/>
      <c r="CN79" s="42"/>
      <c r="CO79" s="212"/>
      <c r="CP79" s="212"/>
      <c r="CQ79" s="212"/>
      <c r="CR79" s="43"/>
      <c r="CS79" s="43"/>
      <c r="CT79" s="43"/>
      <c r="CU79" s="43"/>
      <c r="CV79" s="43"/>
      <c r="CW79" s="43"/>
      <c r="CX79" s="39"/>
      <c r="CZ79" s="144"/>
      <c r="DA79" s="144"/>
      <c r="DB79" s="144"/>
      <c r="DC79" s="144"/>
      <c r="DD79" s="144"/>
      <c r="DE79" s="245"/>
      <c r="DF79" s="245"/>
      <c r="DG79" s="245"/>
      <c r="DH79" s="245"/>
      <c r="DI79" s="238"/>
      <c r="DJ79" s="238"/>
      <c r="DK79" s="238"/>
      <c r="DT79" s="184"/>
      <c r="DU79" s="184"/>
    </row>
    <row r="80" s="239" customFormat="true" ht="12.75" hidden="false" customHeight="false" outlineLevel="0" collapsed="false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37"/>
      <c r="Q80" s="37"/>
      <c r="R80" s="37"/>
      <c r="S80" s="37"/>
      <c r="T80" s="240"/>
      <c r="U80" s="212"/>
      <c r="V80" s="212"/>
      <c r="W80" s="212"/>
      <c r="X80" s="212"/>
      <c r="Y80" s="212"/>
      <c r="Z80" s="212"/>
      <c r="AA80" s="212"/>
      <c r="AB80" s="39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40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  <c r="BW80" s="212"/>
      <c r="BX80" s="212"/>
      <c r="BY80" s="212"/>
      <c r="BZ80" s="212"/>
      <c r="CA80" s="212"/>
      <c r="CB80" s="212"/>
      <c r="CC80" s="212"/>
      <c r="CD80" s="212"/>
      <c r="CE80" s="212"/>
      <c r="CF80" s="212"/>
      <c r="CG80" s="212"/>
      <c r="CH80" s="212"/>
      <c r="CI80" s="212"/>
      <c r="CK80" s="212"/>
      <c r="CL80" s="212"/>
      <c r="CM80" s="42"/>
      <c r="CN80" s="42"/>
      <c r="CO80" s="212"/>
      <c r="CP80" s="212"/>
      <c r="CQ80" s="212"/>
      <c r="CR80" s="43"/>
      <c r="CS80" s="43"/>
      <c r="CT80" s="43"/>
      <c r="CU80" s="43"/>
      <c r="CV80" s="43"/>
      <c r="CW80" s="43"/>
      <c r="CX80" s="39"/>
      <c r="CZ80" s="144"/>
      <c r="DA80" s="144"/>
      <c r="DB80" s="144"/>
      <c r="DC80" s="144"/>
      <c r="DD80" s="144"/>
      <c r="DE80" s="245"/>
      <c r="DF80" s="245"/>
      <c r="DG80" s="245"/>
      <c r="DH80" s="245"/>
      <c r="DI80" s="238"/>
      <c r="DJ80" s="238"/>
      <c r="DK80" s="238"/>
      <c r="DT80" s="184"/>
      <c r="DU80" s="184"/>
    </row>
    <row r="81" s="239" customFormat="true" ht="12.75" hidden="false" customHeight="false" outlineLevel="0" collapsed="false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37"/>
      <c r="Q81" s="37"/>
      <c r="R81" s="37"/>
      <c r="S81" s="37"/>
      <c r="T81" s="240"/>
      <c r="U81" s="212"/>
      <c r="V81" s="212"/>
      <c r="W81" s="212"/>
      <c r="X81" s="212"/>
      <c r="Y81" s="212"/>
      <c r="Z81" s="212"/>
      <c r="AA81" s="212"/>
      <c r="AB81" s="39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40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K81" s="212"/>
      <c r="CL81" s="212"/>
      <c r="CM81" s="42"/>
      <c r="CN81" s="42"/>
      <c r="CO81" s="212"/>
      <c r="CP81" s="212"/>
      <c r="CQ81" s="212"/>
      <c r="CR81" s="43"/>
      <c r="CS81" s="43"/>
      <c r="CT81" s="43"/>
      <c r="CU81" s="43"/>
      <c r="CV81" s="43"/>
      <c r="CW81" s="43"/>
      <c r="CX81" s="39"/>
      <c r="CZ81" s="144"/>
      <c r="DA81" s="144"/>
      <c r="DB81" s="144"/>
      <c r="DC81" s="144"/>
      <c r="DD81" s="144"/>
      <c r="DE81" s="245"/>
      <c r="DF81" s="245"/>
      <c r="DG81" s="245"/>
      <c r="DH81" s="245"/>
      <c r="DI81" s="238"/>
      <c r="DJ81" s="238"/>
      <c r="DK81" s="238"/>
      <c r="DT81" s="184"/>
      <c r="DU81" s="184"/>
    </row>
    <row r="82" s="239" customFormat="true" ht="12.75" hidden="false" customHeight="false" outlineLevel="0" collapsed="false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37"/>
      <c r="Q82" s="37"/>
      <c r="R82" s="37"/>
      <c r="S82" s="37"/>
      <c r="T82" s="240"/>
      <c r="U82" s="212"/>
      <c r="V82" s="212"/>
      <c r="W82" s="212"/>
      <c r="X82" s="212"/>
      <c r="Y82" s="212"/>
      <c r="Z82" s="212"/>
      <c r="AA82" s="212"/>
      <c r="AB82" s="39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40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K82" s="212"/>
      <c r="CL82" s="212"/>
      <c r="CM82" s="42"/>
      <c r="CN82" s="42"/>
      <c r="CO82" s="212"/>
      <c r="CP82" s="212"/>
      <c r="CQ82" s="212"/>
      <c r="CR82" s="43"/>
      <c r="CS82" s="43"/>
      <c r="CT82" s="43"/>
      <c r="CU82" s="43"/>
      <c r="CV82" s="43"/>
      <c r="CW82" s="43"/>
      <c r="CX82" s="39"/>
      <c r="CZ82" s="144"/>
      <c r="DA82" s="144"/>
      <c r="DB82" s="144"/>
      <c r="DC82" s="144"/>
      <c r="DD82" s="144"/>
      <c r="DE82" s="245"/>
      <c r="DF82" s="245"/>
      <c r="DG82" s="245"/>
      <c r="DH82" s="245"/>
      <c r="DI82" s="238"/>
      <c r="DJ82" s="238"/>
      <c r="DK82" s="238"/>
      <c r="DT82" s="184"/>
      <c r="DU82" s="184"/>
    </row>
    <row r="83" s="239" customFormat="true" ht="12.75" hidden="false" customHeight="false" outlineLevel="0" collapsed="false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37"/>
      <c r="Q83" s="37"/>
      <c r="R83" s="37"/>
      <c r="S83" s="37"/>
      <c r="T83" s="240"/>
      <c r="U83" s="212"/>
      <c r="V83" s="212"/>
      <c r="W83" s="212"/>
      <c r="X83" s="212"/>
      <c r="Y83" s="212"/>
      <c r="Z83" s="212"/>
      <c r="AA83" s="212"/>
      <c r="AB83" s="39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40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K83" s="212"/>
      <c r="CL83" s="212"/>
      <c r="CM83" s="42"/>
      <c r="CN83" s="42"/>
      <c r="CO83" s="212"/>
      <c r="CP83" s="212"/>
      <c r="CQ83" s="212"/>
      <c r="CR83" s="43"/>
      <c r="CS83" s="43"/>
      <c r="CT83" s="43"/>
      <c r="CU83" s="43"/>
      <c r="CV83" s="43"/>
      <c r="CW83" s="43"/>
      <c r="CX83" s="39"/>
      <c r="CZ83" s="144"/>
      <c r="DA83" s="144"/>
      <c r="DB83" s="144"/>
      <c r="DC83" s="144"/>
      <c r="DD83" s="144"/>
      <c r="DE83" s="245"/>
      <c r="DF83" s="245"/>
      <c r="DG83" s="245"/>
      <c r="DH83" s="245"/>
      <c r="DI83" s="238"/>
      <c r="DJ83" s="238"/>
      <c r="DK83" s="238"/>
      <c r="DT83" s="184"/>
      <c r="DU83" s="184"/>
    </row>
    <row r="84" s="239" customFormat="true" ht="12.75" hidden="false" customHeight="false" outlineLevel="0" collapsed="false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37"/>
      <c r="Q84" s="37"/>
      <c r="R84" s="37"/>
      <c r="S84" s="37"/>
      <c r="T84" s="240"/>
      <c r="U84" s="212"/>
      <c r="V84" s="212"/>
      <c r="W84" s="212"/>
      <c r="X84" s="212"/>
      <c r="Y84" s="212"/>
      <c r="Z84" s="212"/>
      <c r="AA84" s="212"/>
      <c r="AB84" s="39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40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K84" s="212"/>
      <c r="CL84" s="212"/>
      <c r="CM84" s="42"/>
      <c r="CN84" s="42"/>
      <c r="CO84" s="212"/>
      <c r="CP84" s="212"/>
      <c r="CQ84" s="212"/>
      <c r="CR84" s="43"/>
      <c r="CS84" s="43"/>
      <c r="CT84" s="43"/>
      <c r="CU84" s="43"/>
      <c r="CV84" s="43"/>
      <c r="CW84" s="43"/>
      <c r="CX84" s="39"/>
      <c r="CZ84" s="144"/>
      <c r="DA84" s="144"/>
      <c r="DB84" s="144"/>
      <c r="DC84" s="144"/>
      <c r="DD84" s="144"/>
      <c r="DE84" s="245"/>
      <c r="DF84" s="245"/>
      <c r="DG84" s="245"/>
      <c r="DH84" s="245"/>
      <c r="DI84" s="238"/>
      <c r="DJ84" s="238"/>
      <c r="DK84" s="238"/>
      <c r="DT84" s="184"/>
      <c r="DU84" s="184"/>
    </row>
    <row r="85" s="239" customFormat="true" ht="12.75" hidden="false" customHeight="false" outlineLevel="0" collapsed="false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37"/>
      <c r="Q85" s="37"/>
      <c r="R85" s="37"/>
      <c r="S85" s="37"/>
      <c r="T85" s="240"/>
      <c r="U85" s="212"/>
      <c r="V85" s="212"/>
      <c r="W85" s="212"/>
      <c r="X85" s="212"/>
      <c r="Y85" s="212"/>
      <c r="Z85" s="212"/>
      <c r="AA85" s="212"/>
      <c r="AB85" s="39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40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K85" s="212"/>
      <c r="CL85" s="212"/>
      <c r="CM85" s="42"/>
      <c r="CN85" s="42"/>
      <c r="CO85" s="212"/>
      <c r="CP85" s="212"/>
      <c r="CQ85" s="212"/>
      <c r="CR85" s="43"/>
      <c r="CS85" s="43"/>
      <c r="CT85" s="43"/>
      <c r="CU85" s="43"/>
      <c r="CV85" s="43"/>
      <c r="CW85" s="43"/>
      <c r="CX85" s="39"/>
      <c r="CZ85" s="144"/>
      <c r="DA85" s="144"/>
      <c r="DB85" s="144"/>
      <c r="DC85" s="144"/>
      <c r="DD85" s="144"/>
      <c r="DE85" s="245"/>
      <c r="DF85" s="245"/>
      <c r="DG85" s="245"/>
      <c r="DH85" s="245"/>
      <c r="DI85" s="238"/>
      <c r="DJ85" s="238"/>
      <c r="DK85" s="238"/>
      <c r="DT85" s="184"/>
      <c r="DU85" s="184"/>
    </row>
    <row r="86" s="239" customFormat="true" ht="12.75" hidden="false" customHeight="false" outlineLevel="0" collapsed="false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37"/>
      <c r="Q86" s="37"/>
      <c r="R86" s="37"/>
      <c r="S86" s="37"/>
      <c r="T86" s="240"/>
      <c r="U86" s="212"/>
      <c r="V86" s="212"/>
      <c r="W86" s="212"/>
      <c r="X86" s="212"/>
      <c r="Y86" s="212"/>
      <c r="Z86" s="212"/>
      <c r="AA86" s="212"/>
      <c r="AB86" s="39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40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K86" s="212"/>
      <c r="CL86" s="212"/>
      <c r="CM86" s="42"/>
      <c r="CN86" s="42"/>
      <c r="CO86" s="212"/>
      <c r="CP86" s="212"/>
      <c r="CQ86" s="212"/>
      <c r="CR86" s="43"/>
      <c r="CS86" s="43"/>
      <c r="CT86" s="43"/>
      <c r="CU86" s="43"/>
      <c r="CV86" s="43"/>
      <c r="CW86" s="43"/>
      <c r="CX86" s="39"/>
      <c r="CZ86" s="144"/>
      <c r="DA86" s="144"/>
      <c r="DB86" s="144"/>
      <c r="DC86" s="144"/>
      <c r="DD86" s="144"/>
      <c r="DE86" s="245"/>
      <c r="DF86" s="245"/>
      <c r="DG86" s="245"/>
      <c r="DH86" s="245"/>
      <c r="DI86" s="238"/>
      <c r="DJ86" s="238"/>
      <c r="DK86" s="238"/>
      <c r="DT86" s="184"/>
      <c r="DU86" s="184"/>
    </row>
    <row r="87" s="239" customFormat="true" ht="12.75" hidden="false" customHeight="false" outlineLevel="0" collapsed="false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37"/>
      <c r="Q87" s="37"/>
      <c r="R87" s="37"/>
      <c r="S87" s="37"/>
      <c r="T87" s="240"/>
      <c r="U87" s="212"/>
      <c r="V87" s="212"/>
      <c r="W87" s="212"/>
      <c r="X87" s="212"/>
      <c r="Y87" s="212"/>
      <c r="Z87" s="212"/>
      <c r="AA87" s="212"/>
      <c r="AB87" s="39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40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K87" s="212"/>
      <c r="CL87" s="212"/>
      <c r="CM87" s="42"/>
      <c r="CN87" s="42"/>
      <c r="CO87" s="212"/>
      <c r="CP87" s="212"/>
      <c r="CQ87" s="212"/>
      <c r="CR87" s="43"/>
      <c r="CS87" s="43"/>
      <c r="CT87" s="43"/>
      <c r="CU87" s="43"/>
      <c r="CV87" s="43"/>
      <c r="CW87" s="43"/>
      <c r="CX87" s="39"/>
      <c r="CZ87" s="144"/>
      <c r="DA87" s="144"/>
      <c r="DB87" s="144"/>
      <c r="DC87" s="144"/>
      <c r="DD87" s="144"/>
      <c r="DE87" s="245"/>
      <c r="DF87" s="245"/>
      <c r="DG87" s="245"/>
      <c r="DH87" s="245"/>
      <c r="DI87" s="238"/>
      <c r="DJ87" s="238"/>
      <c r="DK87" s="238"/>
      <c r="DT87" s="184"/>
      <c r="DU87" s="184"/>
    </row>
    <row r="88" s="239" customFormat="true" ht="12.75" hidden="false" customHeight="false" outlineLevel="0" collapsed="false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37"/>
      <c r="Q88" s="37"/>
      <c r="R88" s="37"/>
      <c r="S88" s="37"/>
      <c r="T88" s="240"/>
      <c r="U88" s="212"/>
      <c r="V88" s="212"/>
      <c r="W88" s="212"/>
      <c r="X88" s="212"/>
      <c r="Y88" s="212"/>
      <c r="Z88" s="212"/>
      <c r="AA88" s="212"/>
      <c r="AB88" s="39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40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K88" s="212"/>
      <c r="CL88" s="212"/>
      <c r="CM88" s="42"/>
      <c r="CN88" s="42"/>
      <c r="CO88" s="212"/>
      <c r="CP88" s="212"/>
      <c r="CQ88" s="212"/>
      <c r="CR88" s="43"/>
      <c r="CS88" s="43"/>
      <c r="CT88" s="43"/>
      <c r="CU88" s="43"/>
      <c r="CV88" s="43"/>
      <c r="CW88" s="43"/>
      <c r="CX88" s="39"/>
      <c r="CZ88" s="144"/>
      <c r="DA88" s="144"/>
      <c r="DB88" s="144"/>
      <c r="DC88" s="144"/>
      <c r="DD88" s="144"/>
      <c r="DE88" s="245"/>
      <c r="DF88" s="245"/>
      <c r="DG88" s="245"/>
      <c r="DH88" s="245"/>
      <c r="DI88" s="238"/>
      <c r="DJ88" s="238"/>
      <c r="DK88" s="238"/>
      <c r="DT88" s="184"/>
      <c r="DU88" s="184"/>
    </row>
    <row r="89" s="239" customFormat="true" ht="12.75" hidden="false" customHeight="false" outlineLevel="0" collapsed="false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37"/>
      <c r="Q89" s="37"/>
      <c r="R89" s="37"/>
      <c r="S89" s="37"/>
      <c r="T89" s="240"/>
      <c r="U89" s="212"/>
      <c r="V89" s="212"/>
      <c r="W89" s="212"/>
      <c r="X89" s="212"/>
      <c r="Y89" s="212"/>
      <c r="Z89" s="212"/>
      <c r="AA89" s="212"/>
      <c r="AB89" s="39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40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K89" s="212"/>
      <c r="CL89" s="212"/>
      <c r="CM89" s="42"/>
      <c r="CN89" s="42"/>
      <c r="CO89" s="212"/>
      <c r="CP89" s="212"/>
      <c r="CQ89" s="212"/>
      <c r="CR89" s="43"/>
      <c r="CS89" s="43"/>
      <c r="CT89" s="43"/>
      <c r="CU89" s="43"/>
      <c r="CV89" s="43"/>
      <c r="CW89" s="43"/>
      <c r="CX89" s="39"/>
      <c r="CZ89" s="144"/>
      <c r="DA89" s="144"/>
      <c r="DB89" s="144"/>
      <c r="DC89" s="144"/>
      <c r="DD89" s="144"/>
      <c r="DE89" s="245"/>
      <c r="DF89" s="245"/>
      <c r="DG89" s="245"/>
      <c r="DH89" s="245"/>
      <c r="DI89" s="238"/>
      <c r="DJ89" s="238"/>
      <c r="DK89" s="238"/>
      <c r="DT89" s="184"/>
      <c r="DU89" s="184"/>
    </row>
    <row r="90" s="239" customFormat="true" ht="25.5" hidden="false" customHeight="true" outlineLevel="0" collapsed="false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37"/>
      <c r="Q90" s="37"/>
      <c r="R90" s="37"/>
      <c r="S90" s="37"/>
      <c r="T90" s="240"/>
      <c r="U90" s="212"/>
      <c r="V90" s="212"/>
      <c r="W90" s="212"/>
      <c r="X90" s="212"/>
      <c r="Y90" s="212"/>
      <c r="Z90" s="212"/>
      <c r="AA90" s="212"/>
      <c r="AB90" s="39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40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  <c r="BU90" s="212"/>
      <c r="BV90" s="212"/>
      <c r="BW90" s="212"/>
      <c r="BX90" s="212"/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K90" s="212"/>
      <c r="CL90" s="212"/>
      <c r="CM90" s="42"/>
      <c r="CN90" s="42"/>
      <c r="CO90" s="212"/>
      <c r="CP90" s="212"/>
      <c r="CQ90" s="212"/>
      <c r="CR90" s="43"/>
      <c r="CS90" s="43"/>
      <c r="CT90" s="43"/>
      <c r="CU90" s="43"/>
      <c r="CV90" s="43"/>
      <c r="CW90" s="43"/>
      <c r="CX90" s="39"/>
      <c r="CZ90" s="42"/>
      <c r="DA90" s="42"/>
      <c r="DB90" s="42"/>
      <c r="DC90" s="42"/>
      <c r="DD90" s="42"/>
      <c r="DI90" s="238"/>
      <c r="DJ90" s="238"/>
      <c r="DK90" s="238"/>
      <c r="DT90" s="184"/>
      <c r="DU90" s="184"/>
    </row>
    <row r="91" s="280" customFormat="true" ht="23.25" hidden="false" customHeight="true" outlineLevel="0" collapsed="false">
      <c r="P91" s="281"/>
      <c r="Q91" s="281"/>
      <c r="R91" s="281"/>
      <c r="S91" s="281"/>
      <c r="AB91" s="245"/>
      <c r="BI91" s="245"/>
      <c r="CM91" s="144"/>
      <c r="CN91" s="144"/>
      <c r="CR91" s="144"/>
      <c r="CS91" s="144"/>
      <c r="CT91" s="144"/>
      <c r="CU91" s="144"/>
      <c r="CV91" s="144"/>
      <c r="CW91" s="144"/>
      <c r="CZ91" s="144"/>
      <c r="DA91" s="144"/>
      <c r="DB91" s="144"/>
      <c r="DC91" s="144"/>
      <c r="DD91" s="144"/>
      <c r="DI91" s="282"/>
      <c r="DJ91" s="282"/>
      <c r="DK91" s="282"/>
      <c r="DT91" s="184"/>
      <c r="DU91" s="184"/>
    </row>
    <row r="92" s="280" customFormat="true" ht="29.25" hidden="false" customHeight="true" outlineLevel="0" collapsed="false">
      <c r="P92" s="281"/>
      <c r="Q92" s="281"/>
      <c r="R92" s="281"/>
      <c r="S92" s="281"/>
      <c r="AB92" s="245"/>
      <c r="BI92" s="245"/>
      <c r="CM92" s="144"/>
      <c r="CN92" s="144"/>
      <c r="CR92" s="144"/>
      <c r="CS92" s="144"/>
      <c r="CT92" s="144"/>
      <c r="CU92" s="144"/>
      <c r="CV92" s="144"/>
      <c r="CW92" s="144"/>
      <c r="CZ92" s="144"/>
      <c r="DA92" s="144"/>
      <c r="DB92" s="144"/>
      <c r="DC92" s="144"/>
      <c r="DD92" s="144"/>
      <c r="DI92" s="282"/>
      <c r="DJ92" s="282"/>
      <c r="DK92" s="282"/>
      <c r="DT92" s="184"/>
      <c r="DU92" s="184"/>
    </row>
    <row r="93" s="280" customFormat="true" ht="12.75" hidden="false" customHeight="true" outlineLevel="0" collapsed="false">
      <c r="P93" s="281"/>
      <c r="Q93" s="281"/>
      <c r="R93" s="281"/>
      <c r="S93" s="281"/>
      <c r="AB93" s="245"/>
      <c r="BI93" s="245"/>
      <c r="CM93" s="144"/>
      <c r="CN93" s="144"/>
      <c r="CR93" s="144"/>
      <c r="CS93" s="144"/>
      <c r="CT93" s="144"/>
      <c r="CU93" s="144"/>
      <c r="CV93" s="144"/>
      <c r="CW93" s="144"/>
      <c r="CZ93" s="144"/>
      <c r="DA93" s="144"/>
      <c r="DB93" s="144"/>
      <c r="DC93" s="144"/>
      <c r="DD93" s="144"/>
      <c r="DI93" s="282"/>
      <c r="DJ93" s="282"/>
      <c r="DK93" s="282"/>
      <c r="DT93" s="184"/>
      <c r="DU93" s="184"/>
    </row>
    <row r="94" s="280" customFormat="true" ht="12.75" hidden="false" customHeight="true" outlineLevel="0" collapsed="false">
      <c r="P94" s="281"/>
      <c r="Q94" s="281"/>
      <c r="R94" s="281"/>
      <c r="S94" s="281"/>
      <c r="AB94" s="245"/>
      <c r="BI94" s="245"/>
      <c r="CM94" s="144"/>
      <c r="CN94" s="144"/>
      <c r="CR94" s="144"/>
      <c r="CS94" s="144"/>
      <c r="CT94" s="144"/>
      <c r="CU94" s="144"/>
      <c r="CV94" s="144"/>
      <c r="CW94" s="144"/>
      <c r="CZ94" s="144"/>
      <c r="DA94" s="144"/>
      <c r="DB94" s="144"/>
      <c r="DC94" s="144"/>
      <c r="DD94" s="144"/>
      <c r="DI94" s="282"/>
      <c r="DJ94" s="282"/>
      <c r="DK94" s="282"/>
      <c r="DT94" s="184"/>
      <c r="DU94" s="184"/>
    </row>
    <row r="95" s="280" customFormat="true" ht="12.75" hidden="false" customHeight="true" outlineLevel="0" collapsed="false">
      <c r="P95" s="281"/>
      <c r="Q95" s="281"/>
      <c r="R95" s="281"/>
      <c r="S95" s="281"/>
      <c r="AB95" s="245"/>
      <c r="BI95" s="245"/>
      <c r="CM95" s="144"/>
      <c r="CN95" s="144"/>
      <c r="CR95" s="144"/>
      <c r="CS95" s="144"/>
      <c r="CT95" s="144"/>
      <c r="CU95" s="144"/>
      <c r="CV95" s="144"/>
      <c r="CW95" s="144"/>
      <c r="CZ95" s="144"/>
      <c r="DA95" s="144"/>
      <c r="DB95" s="144"/>
      <c r="DC95" s="144"/>
      <c r="DD95" s="144"/>
      <c r="DI95" s="282"/>
      <c r="DJ95" s="282"/>
      <c r="DK95" s="282"/>
      <c r="DT95" s="184"/>
      <c r="DU95" s="184"/>
    </row>
    <row r="96" s="280" customFormat="true" ht="12.75" hidden="false" customHeight="true" outlineLevel="0" collapsed="false">
      <c r="P96" s="281"/>
      <c r="Q96" s="281"/>
      <c r="R96" s="281"/>
      <c r="S96" s="281"/>
      <c r="AB96" s="245"/>
      <c r="BI96" s="245"/>
      <c r="CM96" s="144"/>
      <c r="CN96" s="144"/>
      <c r="CR96" s="144"/>
      <c r="CS96" s="144"/>
      <c r="CT96" s="144"/>
      <c r="CU96" s="144"/>
      <c r="CV96" s="144"/>
      <c r="CW96" s="144"/>
      <c r="CZ96" s="144"/>
      <c r="DA96" s="144"/>
      <c r="DB96" s="144"/>
      <c r="DC96" s="144"/>
      <c r="DD96" s="144"/>
      <c r="DI96" s="282"/>
      <c r="DJ96" s="282"/>
      <c r="DK96" s="282"/>
      <c r="DT96" s="184"/>
      <c r="DU96" s="184"/>
    </row>
    <row r="97" s="280" customFormat="true" ht="12.75" hidden="false" customHeight="true" outlineLevel="0" collapsed="false">
      <c r="P97" s="281"/>
      <c r="Q97" s="281"/>
      <c r="R97" s="281"/>
      <c r="S97" s="281"/>
      <c r="AB97" s="245"/>
      <c r="BI97" s="245"/>
      <c r="CM97" s="144"/>
      <c r="CN97" s="144"/>
      <c r="CR97" s="144"/>
      <c r="CS97" s="144"/>
      <c r="CT97" s="144"/>
      <c r="CU97" s="144"/>
      <c r="CV97" s="144"/>
      <c r="CW97" s="144"/>
      <c r="CZ97" s="144"/>
      <c r="DA97" s="144"/>
      <c r="DB97" s="144"/>
      <c r="DC97" s="144"/>
      <c r="DD97" s="144"/>
      <c r="DI97" s="282"/>
      <c r="DJ97" s="282"/>
      <c r="DK97" s="282"/>
      <c r="DT97" s="184"/>
      <c r="DU97" s="184"/>
    </row>
    <row r="98" s="280" customFormat="true" ht="12.75" hidden="false" customHeight="true" outlineLevel="0" collapsed="false">
      <c r="P98" s="281"/>
      <c r="Q98" s="281"/>
      <c r="R98" s="281"/>
      <c r="S98" s="281"/>
      <c r="AB98" s="245"/>
      <c r="BI98" s="245"/>
      <c r="CM98" s="144"/>
      <c r="CN98" s="144"/>
      <c r="CR98" s="144"/>
      <c r="CS98" s="144"/>
      <c r="CT98" s="144"/>
      <c r="CU98" s="144"/>
      <c r="CV98" s="144"/>
      <c r="CW98" s="144"/>
      <c r="CZ98" s="144"/>
      <c r="DA98" s="144"/>
      <c r="DB98" s="144"/>
      <c r="DC98" s="144"/>
      <c r="DD98" s="144"/>
      <c r="DI98" s="282"/>
      <c r="DJ98" s="282"/>
      <c r="DK98" s="282"/>
      <c r="DT98" s="184"/>
      <c r="DU98" s="184"/>
    </row>
    <row r="99" s="280" customFormat="true" ht="12.75" hidden="false" customHeight="true" outlineLevel="0" collapsed="false">
      <c r="P99" s="281"/>
      <c r="Q99" s="281"/>
      <c r="R99" s="281"/>
      <c r="S99" s="281"/>
      <c r="AB99" s="245"/>
      <c r="BI99" s="245"/>
      <c r="CM99" s="144"/>
      <c r="CN99" s="144"/>
      <c r="CR99" s="144"/>
      <c r="CS99" s="144"/>
      <c r="CT99" s="144"/>
      <c r="CU99" s="144"/>
      <c r="CV99" s="144"/>
      <c r="CW99" s="144"/>
      <c r="CZ99" s="144"/>
      <c r="DA99" s="144"/>
      <c r="DB99" s="144"/>
      <c r="DC99" s="144"/>
      <c r="DD99" s="144"/>
      <c r="DI99" s="282"/>
      <c r="DJ99" s="282"/>
      <c r="DK99" s="282"/>
      <c r="DT99" s="184"/>
      <c r="DU99" s="184"/>
    </row>
    <row r="100" s="280" customFormat="true" ht="12.75" hidden="false" customHeight="true" outlineLevel="0" collapsed="false">
      <c r="P100" s="281"/>
      <c r="Q100" s="281"/>
      <c r="R100" s="281"/>
      <c r="S100" s="281"/>
      <c r="AB100" s="245"/>
      <c r="BI100" s="245"/>
      <c r="CM100" s="144"/>
      <c r="CN100" s="144"/>
      <c r="CR100" s="144"/>
      <c r="CS100" s="144"/>
      <c r="CT100" s="144"/>
      <c r="CU100" s="144"/>
      <c r="CV100" s="144"/>
      <c r="CW100" s="144"/>
      <c r="CZ100" s="144"/>
      <c r="DA100" s="144"/>
      <c r="DB100" s="144"/>
      <c r="DC100" s="144"/>
      <c r="DD100" s="144"/>
      <c r="DI100" s="282"/>
      <c r="DJ100" s="282"/>
      <c r="DK100" s="282"/>
      <c r="DT100" s="184"/>
      <c r="DU100" s="184"/>
    </row>
    <row r="101" customFormat="false" ht="12.75" hidden="false" customHeight="true" outlineLevel="0" collapsed="false">
      <c r="T101" s="206"/>
      <c r="CJ101" s="246"/>
      <c r="CZ101" s="42"/>
      <c r="DA101" s="42"/>
      <c r="DB101" s="42"/>
      <c r="DC101" s="42"/>
      <c r="DD101" s="42"/>
      <c r="DT101" s="184"/>
      <c r="DU101" s="184"/>
    </row>
    <row r="102" customFormat="false" ht="12.75" hidden="false" customHeight="true" outlineLevel="0" collapsed="false">
      <c r="T102" s="206"/>
      <c r="CJ102" s="246"/>
      <c r="CZ102" s="42"/>
      <c r="DA102" s="42"/>
      <c r="DB102" s="42"/>
      <c r="DC102" s="42"/>
      <c r="DD102" s="42"/>
      <c r="DT102" s="184"/>
      <c r="DU102" s="184"/>
    </row>
    <row r="103" s="239" customFormat="true" ht="12.75" hidden="false" customHeight="true" outlineLevel="0" collapsed="false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37"/>
      <c r="Q103" s="37"/>
      <c r="R103" s="37"/>
      <c r="S103" s="37"/>
      <c r="T103" s="240"/>
      <c r="U103" s="212"/>
      <c r="V103" s="212"/>
      <c r="W103" s="212"/>
      <c r="X103" s="212"/>
      <c r="Y103" s="212"/>
      <c r="Z103" s="212"/>
      <c r="AA103" s="212"/>
      <c r="AB103" s="39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40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K103" s="212"/>
      <c r="CL103" s="212"/>
      <c r="CM103" s="42"/>
      <c r="CN103" s="42"/>
      <c r="CO103" s="212"/>
      <c r="CP103" s="212"/>
      <c r="CQ103" s="212"/>
      <c r="CR103" s="43"/>
      <c r="CS103" s="43"/>
      <c r="CT103" s="43"/>
      <c r="CU103" s="43"/>
      <c r="CV103" s="43"/>
      <c r="CW103" s="43"/>
      <c r="CX103" s="40"/>
      <c r="CY103" s="212"/>
      <c r="CZ103" s="43"/>
      <c r="DA103" s="43"/>
      <c r="DB103" s="43"/>
      <c r="DC103" s="43"/>
      <c r="DD103" s="43"/>
      <c r="DI103" s="238"/>
      <c r="DJ103" s="238"/>
      <c r="DK103" s="238"/>
      <c r="DT103" s="184"/>
      <c r="DU103" s="184"/>
    </row>
    <row r="104" s="212" customFormat="true" ht="12.75" hidden="false" customHeight="true" outlineLevel="0" collapsed="false">
      <c r="P104" s="37"/>
      <c r="Q104" s="37"/>
      <c r="R104" s="37"/>
      <c r="S104" s="37"/>
      <c r="T104" s="240"/>
      <c r="AB104" s="39"/>
      <c r="BI104" s="40"/>
      <c r="CJ104" s="239"/>
      <c r="CM104" s="42"/>
      <c r="CN104" s="42"/>
      <c r="CR104" s="43"/>
      <c r="CS104" s="43"/>
      <c r="CT104" s="43"/>
      <c r="CU104" s="43"/>
      <c r="CV104" s="43"/>
      <c r="CW104" s="43"/>
      <c r="CX104" s="40"/>
      <c r="CZ104" s="43"/>
      <c r="DA104" s="43"/>
      <c r="DB104" s="43"/>
      <c r="DC104" s="43"/>
      <c r="DD104" s="43"/>
      <c r="DE104" s="239"/>
      <c r="DF104" s="239"/>
      <c r="DG104" s="239"/>
      <c r="DH104" s="239"/>
      <c r="DI104" s="283"/>
      <c r="DJ104" s="283"/>
      <c r="DK104" s="283"/>
      <c r="DT104" s="184"/>
      <c r="DU104" s="184"/>
    </row>
    <row r="105" s="212" customFormat="true" ht="12.75" hidden="false" customHeight="true" outlineLevel="0" collapsed="false">
      <c r="P105" s="37"/>
      <c r="Q105" s="37"/>
      <c r="R105" s="37"/>
      <c r="S105" s="37"/>
      <c r="T105" s="240"/>
      <c r="AB105" s="39"/>
      <c r="BI105" s="40"/>
      <c r="CJ105" s="239"/>
      <c r="CM105" s="42"/>
      <c r="CN105" s="42"/>
      <c r="CR105" s="43"/>
      <c r="CS105" s="43"/>
      <c r="CT105" s="43"/>
      <c r="CU105" s="43"/>
      <c r="CV105" s="43"/>
      <c r="CW105" s="43"/>
      <c r="CX105" s="40"/>
      <c r="CZ105" s="43"/>
      <c r="DA105" s="43"/>
      <c r="DB105" s="43"/>
      <c r="DC105" s="43"/>
      <c r="DD105" s="43"/>
      <c r="DE105" s="239"/>
      <c r="DF105" s="239"/>
      <c r="DG105" s="239"/>
      <c r="DH105" s="239"/>
      <c r="DI105" s="283"/>
      <c r="DJ105" s="283"/>
      <c r="DK105" s="283"/>
      <c r="DT105" s="184"/>
      <c r="DU105" s="184"/>
    </row>
    <row r="106" s="212" customFormat="true" ht="12.75" hidden="false" customHeight="true" outlineLevel="0" collapsed="false">
      <c r="P106" s="37"/>
      <c r="Q106" s="37"/>
      <c r="R106" s="37"/>
      <c r="S106" s="37"/>
      <c r="T106" s="240"/>
      <c r="AB106" s="39"/>
      <c r="BI106" s="40"/>
      <c r="CJ106" s="239"/>
      <c r="CM106" s="42"/>
      <c r="CN106" s="42"/>
      <c r="CR106" s="43"/>
      <c r="CS106" s="43"/>
      <c r="CT106" s="43"/>
      <c r="CU106" s="43"/>
      <c r="CV106" s="43"/>
      <c r="CW106" s="43"/>
      <c r="CX106" s="40"/>
      <c r="CZ106" s="43"/>
      <c r="DA106" s="43"/>
      <c r="DB106" s="43"/>
      <c r="DC106" s="43"/>
      <c r="DD106" s="43"/>
      <c r="DE106" s="239"/>
      <c r="DF106" s="239"/>
      <c r="DG106" s="239"/>
      <c r="DH106" s="239"/>
      <c r="DI106" s="283"/>
      <c r="DJ106" s="283"/>
      <c r="DK106" s="283"/>
      <c r="DT106" s="184"/>
      <c r="DU106" s="184"/>
    </row>
    <row r="107" s="212" customFormat="true" ht="12.75" hidden="false" customHeight="true" outlineLevel="0" collapsed="false">
      <c r="P107" s="37"/>
      <c r="Q107" s="37"/>
      <c r="R107" s="37"/>
      <c r="S107" s="37"/>
      <c r="T107" s="240"/>
      <c r="AB107" s="39"/>
      <c r="BI107" s="40"/>
      <c r="CJ107" s="239"/>
      <c r="CM107" s="42"/>
      <c r="CN107" s="42"/>
      <c r="CR107" s="43"/>
      <c r="CS107" s="43"/>
      <c r="CT107" s="43"/>
      <c r="CU107" s="43"/>
      <c r="CV107" s="43"/>
      <c r="CW107" s="43"/>
      <c r="CX107" s="40"/>
      <c r="CZ107" s="43"/>
      <c r="DA107" s="43"/>
      <c r="DB107" s="43"/>
      <c r="DC107" s="43"/>
      <c r="DD107" s="43"/>
      <c r="DE107" s="239"/>
      <c r="DF107" s="239"/>
      <c r="DG107" s="239"/>
      <c r="DH107" s="239"/>
      <c r="DI107" s="283"/>
      <c r="DJ107" s="283"/>
      <c r="DK107" s="283"/>
      <c r="DT107" s="184"/>
      <c r="DU107" s="184"/>
    </row>
    <row r="108" s="212" customFormat="true" ht="12.75" hidden="false" customHeight="false" outlineLevel="0" collapsed="false">
      <c r="P108" s="37"/>
      <c r="Q108" s="37"/>
      <c r="R108" s="37"/>
      <c r="S108" s="37"/>
      <c r="T108" s="240"/>
      <c r="AB108" s="39"/>
      <c r="BI108" s="40"/>
      <c r="CJ108" s="239"/>
      <c r="CM108" s="42"/>
      <c r="CN108" s="42"/>
      <c r="CR108" s="43"/>
      <c r="CS108" s="43"/>
      <c r="CT108" s="43"/>
      <c r="CU108" s="43"/>
      <c r="CV108" s="43"/>
      <c r="CW108" s="43"/>
      <c r="CX108" s="40"/>
      <c r="CZ108" s="43"/>
      <c r="DA108" s="43"/>
      <c r="DB108" s="43"/>
      <c r="DC108" s="43"/>
      <c r="DD108" s="43"/>
      <c r="DE108" s="239"/>
      <c r="DF108" s="239"/>
      <c r="DG108" s="239"/>
      <c r="DH108" s="239"/>
      <c r="DI108" s="283"/>
      <c r="DJ108" s="283"/>
      <c r="DK108" s="283"/>
      <c r="DT108" s="184"/>
      <c r="DU108" s="184"/>
    </row>
    <row r="109" s="212" customFormat="true" ht="12.75" hidden="false" customHeight="false" outlineLevel="0" collapsed="false">
      <c r="P109" s="37"/>
      <c r="Q109" s="37"/>
      <c r="R109" s="37"/>
      <c r="S109" s="37"/>
      <c r="T109" s="240"/>
      <c r="AB109" s="39"/>
      <c r="BI109" s="40"/>
      <c r="CJ109" s="239"/>
      <c r="CM109" s="42"/>
      <c r="CN109" s="42"/>
      <c r="CR109" s="43"/>
      <c r="CS109" s="43"/>
      <c r="CT109" s="43"/>
      <c r="CU109" s="43"/>
      <c r="CV109" s="43"/>
      <c r="CW109" s="43"/>
      <c r="CX109" s="40"/>
      <c r="CZ109" s="43"/>
      <c r="DA109" s="43"/>
      <c r="DB109" s="43"/>
      <c r="DC109" s="43"/>
      <c r="DD109" s="43"/>
      <c r="DE109" s="239"/>
      <c r="DF109" s="239"/>
      <c r="DG109" s="239"/>
      <c r="DH109" s="239"/>
      <c r="DI109" s="283"/>
      <c r="DJ109" s="283"/>
      <c r="DK109" s="283"/>
      <c r="DT109" s="184"/>
      <c r="DU109" s="184"/>
    </row>
    <row r="110" s="212" customFormat="true" ht="12.75" hidden="false" customHeight="false" outlineLevel="0" collapsed="false">
      <c r="P110" s="37"/>
      <c r="Q110" s="37"/>
      <c r="R110" s="37"/>
      <c r="S110" s="37"/>
      <c r="T110" s="240"/>
      <c r="AB110" s="39"/>
      <c r="BI110" s="40"/>
      <c r="CJ110" s="239"/>
      <c r="CM110" s="42"/>
      <c r="CN110" s="42"/>
      <c r="CR110" s="43"/>
      <c r="CS110" s="43"/>
      <c r="CT110" s="43"/>
      <c r="CU110" s="43"/>
      <c r="CV110" s="43"/>
      <c r="CW110" s="43"/>
      <c r="CX110" s="40"/>
      <c r="CZ110" s="43"/>
      <c r="DA110" s="43"/>
      <c r="DB110" s="43"/>
      <c r="DC110" s="43"/>
      <c r="DD110" s="43"/>
      <c r="DE110" s="239"/>
      <c r="DF110" s="239"/>
      <c r="DG110" s="239"/>
      <c r="DH110" s="239"/>
      <c r="DI110" s="283"/>
      <c r="DJ110" s="283"/>
      <c r="DK110" s="283"/>
      <c r="DT110" s="184"/>
      <c r="DU110" s="184"/>
    </row>
    <row r="111" s="212" customFormat="true" ht="12.75" hidden="false" customHeight="false" outlineLevel="0" collapsed="false">
      <c r="P111" s="37"/>
      <c r="Q111" s="37"/>
      <c r="R111" s="37"/>
      <c r="S111" s="37"/>
      <c r="T111" s="240"/>
      <c r="AB111" s="39"/>
      <c r="BI111" s="40"/>
      <c r="CJ111" s="239"/>
      <c r="CM111" s="42"/>
      <c r="CN111" s="42"/>
      <c r="CR111" s="43"/>
      <c r="CS111" s="43"/>
      <c r="CT111" s="43"/>
      <c r="CU111" s="43"/>
      <c r="CV111" s="43"/>
      <c r="CW111" s="43"/>
      <c r="CX111" s="40"/>
      <c r="CZ111" s="43"/>
      <c r="DA111" s="43"/>
      <c r="DB111" s="43"/>
      <c r="DC111" s="43"/>
      <c r="DD111" s="43"/>
      <c r="DE111" s="239"/>
      <c r="DF111" s="239"/>
      <c r="DG111" s="239"/>
      <c r="DH111" s="239"/>
      <c r="DI111" s="283"/>
      <c r="DJ111" s="283"/>
      <c r="DK111" s="283"/>
      <c r="DT111" s="184"/>
      <c r="DU111" s="184"/>
    </row>
    <row r="112" s="212" customFormat="true" ht="12.75" hidden="false" customHeight="false" outlineLevel="0" collapsed="false">
      <c r="P112" s="37"/>
      <c r="Q112" s="37"/>
      <c r="R112" s="37"/>
      <c r="S112" s="37"/>
      <c r="T112" s="240"/>
      <c r="AB112" s="39"/>
      <c r="BI112" s="40"/>
      <c r="CJ112" s="239"/>
      <c r="CM112" s="42"/>
      <c r="CN112" s="42"/>
      <c r="CR112" s="43"/>
      <c r="CS112" s="43"/>
      <c r="CT112" s="43"/>
      <c r="CU112" s="43"/>
      <c r="CV112" s="43"/>
      <c r="CW112" s="43"/>
      <c r="CX112" s="40"/>
      <c r="CZ112" s="43"/>
      <c r="DA112" s="43"/>
      <c r="DB112" s="43"/>
      <c r="DC112" s="43"/>
      <c r="DD112" s="43"/>
      <c r="DE112" s="239"/>
      <c r="DF112" s="239"/>
      <c r="DG112" s="239"/>
      <c r="DH112" s="239"/>
      <c r="DI112" s="283"/>
      <c r="DJ112" s="283"/>
      <c r="DK112" s="283"/>
      <c r="DT112" s="184"/>
      <c r="DU112" s="184"/>
    </row>
    <row r="113" s="212" customFormat="true" ht="12.75" hidden="false" customHeight="false" outlineLevel="0" collapsed="false">
      <c r="P113" s="37"/>
      <c r="Q113" s="37"/>
      <c r="R113" s="37"/>
      <c r="S113" s="37"/>
      <c r="T113" s="240"/>
      <c r="AB113" s="39"/>
      <c r="BI113" s="40"/>
      <c r="CJ113" s="239"/>
      <c r="CM113" s="42"/>
      <c r="CN113" s="42"/>
      <c r="CR113" s="43"/>
      <c r="CS113" s="43"/>
      <c r="CT113" s="43"/>
      <c r="CU113" s="43"/>
      <c r="CV113" s="43"/>
      <c r="CW113" s="43"/>
      <c r="CX113" s="40"/>
      <c r="CZ113" s="43"/>
      <c r="DA113" s="43"/>
      <c r="DB113" s="43"/>
      <c r="DC113" s="43"/>
      <c r="DD113" s="43"/>
      <c r="DE113" s="239"/>
      <c r="DF113" s="239"/>
      <c r="DG113" s="239"/>
      <c r="DH113" s="239"/>
      <c r="DI113" s="283"/>
      <c r="DJ113" s="283"/>
      <c r="DK113" s="283"/>
      <c r="DT113" s="184"/>
      <c r="DU113" s="184"/>
    </row>
    <row r="114" s="212" customFormat="true" ht="12.75" hidden="false" customHeight="false" outlineLevel="0" collapsed="false">
      <c r="P114" s="37"/>
      <c r="Q114" s="37"/>
      <c r="R114" s="37"/>
      <c r="S114" s="37"/>
      <c r="T114" s="240"/>
      <c r="AB114" s="39"/>
      <c r="BI114" s="40"/>
      <c r="CJ114" s="239"/>
      <c r="CM114" s="42"/>
      <c r="CN114" s="42"/>
      <c r="CR114" s="43"/>
      <c r="CS114" s="43"/>
      <c r="CT114" s="43"/>
      <c r="CU114" s="43"/>
      <c r="CV114" s="43"/>
      <c r="CW114" s="43"/>
      <c r="CX114" s="40"/>
      <c r="CZ114" s="43"/>
      <c r="DA114" s="43"/>
      <c r="DB114" s="43"/>
      <c r="DC114" s="43"/>
      <c r="DD114" s="43"/>
      <c r="DE114" s="239"/>
      <c r="DF114" s="239"/>
      <c r="DG114" s="239"/>
      <c r="DH114" s="239"/>
      <c r="DI114" s="283"/>
      <c r="DJ114" s="283"/>
      <c r="DK114" s="283"/>
      <c r="DT114" s="184"/>
      <c r="DU114" s="184"/>
    </row>
    <row r="115" s="212" customFormat="true" ht="12.75" hidden="false" customHeight="false" outlineLevel="0" collapsed="false">
      <c r="P115" s="37"/>
      <c r="Q115" s="37"/>
      <c r="R115" s="37"/>
      <c r="S115" s="37"/>
      <c r="T115" s="240"/>
      <c r="AB115" s="39"/>
      <c r="BI115" s="40"/>
      <c r="CJ115" s="239"/>
      <c r="CM115" s="42"/>
      <c r="CN115" s="42"/>
      <c r="CR115" s="43"/>
      <c r="CS115" s="43"/>
      <c r="CT115" s="43"/>
      <c r="CU115" s="43"/>
      <c r="CV115" s="43"/>
      <c r="CW115" s="43"/>
      <c r="CX115" s="40"/>
      <c r="CZ115" s="43"/>
      <c r="DA115" s="43"/>
      <c r="DB115" s="43"/>
      <c r="DC115" s="43"/>
      <c r="DD115" s="43"/>
      <c r="DE115" s="239"/>
      <c r="DF115" s="239"/>
      <c r="DG115" s="239"/>
      <c r="DH115" s="239"/>
      <c r="DI115" s="283"/>
      <c r="DJ115" s="283"/>
      <c r="DK115" s="283"/>
      <c r="DT115" s="184"/>
      <c r="DU115" s="184"/>
    </row>
    <row r="116" s="212" customFormat="true" ht="12.75" hidden="false" customHeight="false" outlineLevel="0" collapsed="false">
      <c r="P116" s="37"/>
      <c r="Q116" s="37"/>
      <c r="R116" s="37"/>
      <c r="S116" s="37"/>
      <c r="T116" s="240"/>
      <c r="AB116" s="39"/>
      <c r="BI116" s="40"/>
      <c r="CJ116" s="239"/>
      <c r="CM116" s="42"/>
      <c r="CN116" s="42"/>
      <c r="CR116" s="43"/>
      <c r="CS116" s="43"/>
      <c r="CT116" s="43"/>
      <c r="CU116" s="43"/>
      <c r="CV116" s="43"/>
      <c r="CW116" s="43"/>
      <c r="CX116" s="40"/>
      <c r="CZ116" s="43"/>
      <c r="DA116" s="43"/>
      <c r="DB116" s="43"/>
      <c r="DC116" s="43"/>
      <c r="DD116" s="43"/>
      <c r="DE116" s="239"/>
      <c r="DF116" s="239"/>
      <c r="DG116" s="239"/>
      <c r="DH116" s="239"/>
      <c r="DI116" s="283"/>
      <c r="DJ116" s="283"/>
      <c r="DK116" s="283"/>
      <c r="DT116" s="184"/>
      <c r="DU116" s="184"/>
    </row>
    <row r="117" s="212" customFormat="true" ht="12.75" hidden="false" customHeight="false" outlineLevel="0" collapsed="false">
      <c r="P117" s="37"/>
      <c r="Q117" s="37"/>
      <c r="R117" s="37"/>
      <c r="S117" s="37"/>
      <c r="T117" s="240"/>
      <c r="AB117" s="39"/>
      <c r="BI117" s="40"/>
      <c r="CJ117" s="239"/>
      <c r="CM117" s="42"/>
      <c r="CN117" s="42"/>
      <c r="CR117" s="43"/>
      <c r="CS117" s="43"/>
      <c r="CT117" s="43"/>
      <c r="CU117" s="43"/>
      <c r="CV117" s="43"/>
      <c r="CW117" s="43"/>
      <c r="CX117" s="40"/>
      <c r="CZ117" s="43"/>
      <c r="DA117" s="43"/>
      <c r="DB117" s="43"/>
      <c r="DC117" s="43"/>
      <c r="DD117" s="43"/>
      <c r="DE117" s="239"/>
      <c r="DF117" s="239"/>
      <c r="DG117" s="239"/>
      <c r="DH117" s="239"/>
      <c r="DI117" s="283"/>
      <c r="DJ117" s="283"/>
      <c r="DK117" s="283"/>
      <c r="DT117" s="184"/>
      <c r="DU117" s="184"/>
    </row>
    <row r="118" s="212" customFormat="true" ht="12.75" hidden="false" customHeight="false" outlineLevel="0" collapsed="false">
      <c r="P118" s="37"/>
      <c r="Q118" s="37"/>
      <c r="R118" s="37"/>
      <c r="S118" s="37"/>
      <c r="T118" s="240"/>
      <c r="AB118" s="39"/>
      <c r="BI118" s="40"/>
      <c r="CJ118" s="239"/>
      <c r="CM118" s="42"/>
      <c r="CN118" s="42"/>
      <c r="CR118" s="43"/>
      <c r="CS118" s="43"/>
      <c r="CT118" s="43"/>
      <c r="CU118" s="43"/>
      <c r="CV118" s="43"/>
      <c r="CW118" s="43"/>
      <c r="CX118" s="40"/>
      <c r="CZ118" s="43"/>
      <c r="DA118" s="43"/>
      <c r="DB118" s="43"/>
      <c r="DC118" s="43"/>
      <c r="DD118" s="43"/>
      <c r="DE118" s="239"/>
      <c r="DF118" s="239"/>
      <c r="DG118" s="239"/>
      <c r="DH118" s="239"/>
      <c r="DI118" s="283"/>
      <c r="DJ118" s="283"/>
      <c r="DK118" s="283"/>
      <c r="DT118" s="184"/>
      <c r="DU118" s="184"/>
    </row>
    <row r="119" s="212" customFormat="true" ht="12.75" hidden="false" customHeight="false" outlineLevel="0" collapsed="false">
      <c r="P119" s="37"/>
      <c r="Q119" s="37"/>
      <c r="R119" s="37"/>
      <c r="S119" s="37"/>
      <c r="T119" s="240"/>
      <c r="AB119" s="39"/>
      <c r="BI119" s="40"/>
      <c r="CJ119" s="239"/>
      <c r="CM119" s="42"/>
      <c r="CN119" s="42"/>
      <c r="CR119" s="43"/>
      <c r="CS119" s="43"/>
      <c r="CT119" s="43"/>
      <c r="CU119" s="43"/>
      <c r="CV119" s="43"/>
      <c r="CW119" s="43"/>
      <c r="CX119" s="40"/>
      <c r="CZ119" s="43"/>
      <c r="DA119" s="43"/>
      <c r="DB119" s="43"/>
      <c r="DC119" s="43"/>
      <c r="DD119" s="43"/>
      <c r="DE119" s="239"/>
      <c r="DF119" s="239"/>
      <c r="DG119" s="239"/>
      <c r="DH119" s="239"/>
      <c r="DI119" s="283"/>
      <c r="DJ119" s="283"/>
      <c r="DK119" s="283"/>
      <c r="DT119" s="184"/>
      <c r="DU119" s="184"/>
    </row>
    <row r="120" s="212" customFormat="true" ht="12.75" hidden="false" customHeight="false" outlineLevel="0" collapsed="false">
      <c r="P120" s="37"/>
      <c r="Q120" s="37"/>
      <c r="R120" s="37"/>
      <c r="S120" s="37"/>
      <c r="T120" s="240"/>
      <c r="AB120" s="39"/>
      <c r="BI120" s="40"/>
      <c r="CJ120" s="239"/>
      <c r="CM120" s="42"/>
      <c r="CN120" s="42"/>
      <c r="CR120" s="43"/>
      <c r="CS120" s="43"/>
      <c r="CT120" s="43"/>
      <c r="CU120" s="43"/>
      <c r="CV120" s="43"/>
      <c r="CW120" s="43"/>
      <c r="CX120" s="40"/>
      <c r="CZ120" s="43"/>
      <c r="DA120" s="43"/>
      <c r="DB120" s="43"/>
      <c r="DC120" s="43"/>
      <c r="DD120" s="43"/>
      <c r="DE120" s="239"/>
      <c r="DF120" s="239"/>
      <c r="DG120" s="239"/>
      <c r="DH120" s="239"/>
      <c r="DI120" s="283"/>
      <c r="DJ120" s="283"/>
      <c r="DK120" s="283"/>
      <c r="DT120" s="184"/>
      <c r="DU120" s="184"/>
    </row>
    <row r="121" s="212" customFormat="true" ht="12.75" hidden="false" customHeight="false" outlineLevel="0" collapsed="false">
      <c r="P121" s="37"/>
      <c r="Q121" s="37"/>
      <c r="R121" s="37"/>
      <c r="S121" s="37"/>
      <c r="T121" s="240"/>
      <c r="AB121" s="39"/>
      <c r="BI121" s="40"/>
      <c r="CJ121" s="239"/>
      <c r="CM121" s="42"/>
      <c r="CN121" s="42"/>
      <c r="CR121" s="43"/>
      <c r="CS121" s="43"/>
      <c r="CT121" s="43"/>
      <c r="CU121" s="43"/>
      <c r="CV121" s="43"/>
      <c r="CW121" s="43"/>
      <c r="CX121" s="40"/>
      <c r="CZ121" s="43"/>
      <c r="DA121" s="43"/>
      <c r="DB121" s="43"/>
      <c r="DC121" s="43"/>
      <c r="DD121" s="43"/>
      <c r="DE121" s="239"/>
      <c r="DF121" s="239"/>
      <c r="DG121" s="239"/>
      <c r="DH121" s="239"/>
      <c r="DI121" s="283"/>
      <c r="DJ121" s="283"/>
      <c r="DK121" s="283"/>
      <c r="DT121" s="184"/>
      <c r="DU121" s="184"/>
    </row>
    <row r="122" s="212" customFormat="true" ht="12.75" hidden="false" customHeight="false" outlineLevel="0" collapsed="false">
      <c r="P122" s="37"/>
      <c r="Q122" s="37"/>
      <c r="R122" s="37"/>
      <c r="S122" s="37"/>
      <c r="T122" s="240"/>
      <c r="AB122" s="39"/>
      <c r="BI122" s="40"/>
      <c r="CJ122" s="239"/>
      <c r="CM122" s="42"/>
      <c r="CN122" s="42"/>
      <c r="CR122" s="43"/>
      <c r="CS122" s="43"/>
      <c r="CT122" s="43"/>
      <c r="CU122" s="43"/>
      <c r="CV122" s="43"/>
      <c r="CW122" s="43"/>
      <c r="CX122" s="40"/>
      <c r="CZ122" s="43"/>
      <c r="DA122" s="43"/>
      <c r="DB122" s="43"/>
      <c r="DC122" s="43"/>
      <c r="DD122" s="43"/>
      <c r="DE122" s="239"/>
      <c r="DF122" s="239"/>
      <c r="DG122" s="239"/>
      <c r="DH122" s="239"/>
      <c r="DI122" s="283"/>
      <c r="DJ122" s="283"/>
      <c r="DK122" s="283"/>
      <c r="DT122" s="184"/>
      <c r="DU122" s="184"/>
    </row>
    <row r="123" s="212" customFormat="true" ht="12.75" hidden="false" customHeight="false" outlineLevel="0" collapsed="false">
      <c r="P123" s="37"/>
      <c r="Q123" s="37"/>
      <c r="R123" s="37"/>
      <c r="S123" s="37"/>
      <c r="T123" s="240"/>
      <c r="AB123" s="39"/>
      <c r="BI123" s="40"/>
      <c r="CJ123" s="239"/>
      <c r="CM123" s="42"/>
      <c r="CN123" s="42"/>
      <c r="CR123" s="43"/>
      <c r="CS123" s="43"/>
      <c r="CT123" s="43"/>
      <c r="CU123" s="43"/>
      <c r="CV123" s="43"/>
      <c r="CW123" s="43"/>
      <c r="CX123" s="40"/>
      <c r="CZ123" s="43"/>
      <c r="DA123" s="43"/>
      <c r="DB123" s="43"/>
      <c r="DC123" s="43"/>
      <c r="DD123" s="43"/>
      <c r="DE123" s="239"/>
      <c r="DF123" s="239"/>
      <c r="DG123" s="239"/>
      <c r="DH123" s="239"/>
      <c r="DI123" s="283"/>
      <c r="DJ123" s="283"/>
      <c r="DK123" s="283"/>
      <c r="DT123" s="184"/>
      <c r="DU123" s="184"/>
    </row>
    <row r="124" s="212" customFormat="true" ht="12.75" hidden="false" customHeight="false" outlineLevel="0" collapsed="false">
      <c r="P124" s="37"/>
      <c r="Q124" s="37"/>
      <c r="R124" s="37"/>
      <c r="S124" s="37"/>
      <c r="T124" s="240"/>
      <c r="AB124" s="39"/>
      <c r="BI124" s="40"/>
      <c r="CJ124" s="239"/>
      <c r="CM124" s="42"/>
      <c r="CN124" s="42"/>
      <c r="CR124" s="43"/>
      <c r="CS124" s="43"/>
      <c r="CT124" s="43"/>
      <c r="CU124" s="43"/>
      <c r="CV124" s="43"/>
      <c r="CW124" s="43"/>
      <c r="CX124" s="40"/>
      <c r="CZ124" s="43"/>
      <c r="DA124" s="43"/>
      <c r="DB124" s="43"/>
      <c r="DC124" s="43"/>
      <c r="DD124" s="43"/>
      <c r="DE124" s="239"/>
      <c r="DF124" s="239"/>
      <c r="DG124" s="239"/>
      <c r="DH124" s="239"/>
      <c r="DI124" s="283"/>
      <c r="DJ124" s="283"/>
      <c r="DK124" s="283"/>
      <c r="DT124" s="184"/>
      <c r="DU124" s="184"/>
    </row>
    <row r="125" s="212" customFormat="true" ht="12.75" hidden="false" customHeight="false" outlineLevel="0" collapsed="false">
      <c r="P125" s="37"/>
      <c r="Q125" s="37"/>
      <c r="R125" s="37"/>
      <c r="S125" s="37"/>
      <c r="T125" s="240"/>
      <c r="AB125" s="39"/>
      <c r="BI125" s="40"/>
      <c r="CJ125" s="239"/>
      <c r="CM125" s="42"/>
      <c r="CN125" s="42"/>
      <c r="CR125" s="43"/>
      <c r="CS125" s="43"/>
      <c r="CT125" s="43"/>
      <c r="CU125" s="43"/>
      <c r="CV125" s="43"/>
      <c r="CW125" s="43"/>
      <c r="CX125" s="40"/>
      <c r="CZ125" s="43"/>
      <c r="DA125" s="43"/>
      <c r="DB125" s="43"/>
      <c r="DC125" s="43"/>
      <c r="DD125" s="43"/>
      <c r="DE125" s="239"/>
      <c r="DF125" s="239"/>
      <c r="DG125" s="239"/>
      <c r="DH125" s="239"/>
      <c r="DI125" s="283"/>
      <c r="DJ125" s="283"/>
      <c r="DK125" s="283"/>
      <c r="DT125" s="184"/>
      <c r="DU125" s="184"/>
    </row>
    <row r="126" s="212" customFormat="true" ht="12.75" hidden="false" customHeight="false" outlineLevel="0" collapsed="false">
      <c r="P126" s="37"/>
      <c r="Q126" s="37"/>
      <c r="R126" s="37"/>
      <c r="S126" s="37"/>
      <c r="T126" s="240"/>
      <c r="AB126" s="39"/>
      <c r="BI126" s="40"/>
      <c r="CJ126" s="239"/>
      <c r="CM126" s="42"/>
      <c r="CN126" s="42"/>
      <c r="CR126" s="43"/>
      <c r="CS126" s="43"/>
      <c r="CT126" s="43"/>
      <c r="CU126" s="43"/>
      <c r="CV126" s="43"/>
      <c r="CW126" s="43"/>
      <c r="CX126" s="40"/>
      <c r="CZ126" s="43"/>
      <c r="DA126" s="43"/>
      <c r="DB126" s="43"/>
      <c r="DC126" s="43"/>
      <c r="DD126" s="43"/>
      <c r="DE126" s="239"/>
      <c r="DF126" s="239"/>
      <c r="DG126" s="239"/>
      <c r="DH126" s="239"/>
      <c r="DI126" s="283"/>
      <c r="DJ126" s="283"/>
      <c r="DK126" s="283"/>
      <c r="DT126" s="184"/>
      <c r="DU126" s="184"/>
    </row>
    <row r="127" s="212" customFormat="true" ht="12.75" hidden="false" customHeight="false" outlineLevel="0" collapsed="false">
      <c r="P127" s="37"/>
      <c r="Q127" s="37"/>
      <c r="R127" s="37"/>
      <c r="S127" s="37"/>
      <c r="T127" s="240"/>
      <c r="AB127" s="39"/>
      <c r="BI127" s="40"/>
      <c r="CJ127" s="239"/>
      <c r="CM127" s="42"/>
      <c r="CN127" s="42"/>
      <c r="CR127" s="43"/>
      <c r="CS127" s="43"/>
      <c r="CT127" s="43"/>
      <c r="CU127" s="43"/>
      <c r="CV127" s="43"/>
      <c r="CW127" s="43"/>
      <c r="CX127" s="40"/>
      <c r="CZ127" s="43"/>
      <c r="DA127" s="43"/>
      <c r="DB127" s="43"/>
      <c r="DC127" s="43"/>
      <c r="DD127" s="43"/>
      <c r="DE127" s="239"/>
      <c r="DF127" s="239"/>
      <c r="DG127" s="239"/>
      <c r="DH127" s="239"/>
      <c r="DI127" s="283"/>
      <c r="DJ127" s="283"/>
      <c r="DK127" s="283"/>
      <c r="DT127" s="184"/>
      <c r="DU127" s="184"/>
    </row>
    <row r="128" s="212" customFormat="true" ht="12.75" hidden="false" customHeight="false" outlineLevel="0" collapsed="false">
      <c r="P128" s="37"/>
      <c r="Q128" s="37"/>
      <c r="R128" s="37"/>
      <c r="S128" s="37"/>
      <c r="T128" s="240"/>
      <c r="AB128" s="39"/>
      <c r="BI128" s="40"/>
      <c r="CJ128" s="239"/>
      <c r="CM128" s="42"/>
      <c r="CN128" s="42"/>
      <c r="CR128" s="43"/>
      <c r="CS128" s="43"/>
      <c r="CT128" s="43"/>
      <c r="CU128" s="43"/>
      <c r="CV128" s="43"/>
      <c r="CW128" s="43"/>
      <c r="CX128" s="40"/>
      <c r="CZ128" s="43"/>
      <c r="DA128" s="43"/>
      <c r="DB128" s="43"/>
      <c r="DC128" s="43"/>
      <c r="DD128" s="43"/>
      <c r="DE128" s="239"/>
      <c r="DF128" s="239"/>
      <c r="DG128" s="239"/>
      <c r="DH128" s="239"/>
      <c r="DI128" s="283"/>
      <c r="DJ128" s="283"/>
      <c r="DK128" s="283"/>
      <c r="DT128" s="184"/>
      <c r="DU128" s="184"/>
    </row>
    <row r="129" s="212" customFormat="true" ht="12.75" hidden="false" customHeight="false" outlineLevel="0" collapsed="false">
      <c r="P129" s="37"/>
      <c r="Q129" s="37"/>
      <c r="R129" s="37"/>
      <c r="S129" s="37"/>
      <c r="T129" s="240"/>
      <c r="AB129" s="39"/>
      <c r="BI129" s="40"/>
      <c r="CJ129" s="239"/>
      <c r="CM129" s="42"/>
      <c r="CN129" s="42"/>
      <c r="CR129" s="43"/>
      <c r="CS129" s="43"/>
      <c r="CT129" s="43"/>
      <c r="CU129" s="43"/>
      <c r="CV129" s="43"/>
      <c r="CW129" s="43"/>
      <c r="CX129" s="40"/>
      <c r="CZ129" s="43"/>
      <c r="DA129" s="43"/>
      <c r="DB129" s="43"/>
      <c r="DC129" s="43"/>
      <c r="DD129" s="43"/>
      <c r="DE129" s="239"/>
      <c r="DF129" s="239"/>
      <c r="DG129" s="239"/>
      <c r="DH129" s="239"/>
      <c r="DI129" s="283"/>
      <c r="DJ129" s="283"/>
      <c r="DK129" s="283"/>
      <c r="DT129" s="184"/>
      <c r="DU129" s="184"/>
    </row>
    <row r="130" s="212" customFormat="true" ht="12.75" hidden="false" customHeight="false" outlineLevel="0" collapsed="false">
      <c r="P130" s="37"/>
      <c r="Q130" s="37"/>
      <c r="R130" s="37"/>
      <c r="S130" s="37"/>
      <c r="T130" s="240"/>
      <c r="AB130" s="39"/>
      <c r="BI130" s="40"/>
      <c r="CJ130" s="239"/>
      <c r="CM130" s="42"/>
      <c r="CN130" s="42"/>
      <c r="CR130" s="43"/>
      <c r="CS130" s="43"/>
      <c r="CT130" s="43"/>
      <c r="CU130" s="43"/>
      <c r="CV130" s="43"/>
      <c r="CW130" s="43"/>
      <c r="CX130" s="40"/>
      <c r="CZ130" s="43"/>
      <c r="DA130" s="43"/>
      <c r="DB130" s="43"/>
      <c r="DC130" s="43"/>
      <c r="DD130" s="43"/>
      <c r="DE130" s="239"/>
      <c r="DF130" s="239"/>
      <c r="DG130" s="239"/>
      <c r="DH130" s="239"/>
      <c r="DI130" s="283"/>
      <c r="DJ130" s="283"/>
      <c r="DK130" s="283"/>
      <c r="DT130" s="184"/>
      <c r="DU130" s="184"/>
    </row>
    <row r="131" s="212" customFormat="true" ht="12.75" hidden="false" customHeight="false" outlineLevel="0" collapsed="false">
      <c r="P131" s="37"/>
      <c r="Q131" s="37"/>
      <c r="R131" s="37"/>
      <c r="S131" s="37"/>
      <c r="T131" s="240"/>
      <c r="AB131" s="39"/>
      <c r="BI131" s="40"/>
      <c r="CJ131" s="239"/>
      <c r="CM131" s="42"/>
      <c r="CN131" s="42"/>
      <c r="CR131" s="43"/>
      <c r="CS131" s="43"/>
      <c r="CT131" s="43"/>
      <c r="CU131" s="43"/>
      <c r="CV131" s="43"/>
      <c r="CW131" s="43"/>
      <c r="CX131" s="40"/>
      <c r="CZ131" s="43"/>
      <c r="DA131" s="43"/>
      <c r="DB131" s="43"/>
      <c r="DC131" s="43"/>
      <c r="DD131" s="43"/>
      <c r="DE131" s="239"/>
      <c r="DF131" s="239"/>
      <c r="DG131" s="239"/>
      <c r="DH131" s="239"/>
      <c r="DI131" s="283"/>
      <c r="DJ131" s="283"/>
      <c r="DK131" s="283"/>
      <c r="DT131" s="184"/>
      <c r="DU131" s="184"/>
    </row>
    <row r="132" s="212" customFormat="true" ht="12.75" hidden="false" customHeight="false" outlineLevel="0" collapsed="false">
      <c r="P132" s="37"/>
      <c r="Q132" s="37"/>
      <c r="R132" s="37"/>
      <c r="S132" s="37"/>
      <c r="T132" s="240"/>
      <c r="AB132" s="39"/>
      <c r="BI132" s="40"/>
      <c r="CJ132" s="239"/>
      <c r="CM132" s="42"/>
      <c r="CN132" s="42"/>
      <c r="CR132" s="43"/>
      <c r="CS132" s="43"/>
      <c r="CT132" s="43"/>
      <c r="CU132" s="43"/>
      <c r="CV132" s="43"/>
      <c r="CW132" s="43"/>
      <c r="CX132" s="40"/>
      <c r="CZ132" s="43"/>
      <c r="DA132" s="43"/>
      <c r="DB132" s="43"/>
      <c r="DC132" s="43"/>
      <c r="DD132" s="43"/>
      <c r="DE132" s="239"/>
      <c r="DF132" s="239"/>
      <c r="DG132" s="239"/>
      <c r="DH132" s="239"/>
      <c r="DI132" s="283"/>
      <c r="DJ132" s="283"/>
      <c r="DK132" s="283"/>
      <c r="DT132" s="184"/>
      <c r="DU132" s="184"/>
    </row>
    <row r="133" customFormat="false" ht="12.75" hidden="false" customHeight="false" outlineLevel="0" collapsed="false">
      <c r="CR133" s="43"/>
      <c r="CS133" s="43"/>
      <c r="CT133" s="43"/>
      <c r="CU133" s="43"/>
      <c r="CV133" s="43"/>
      <c r="DT133" s="184"/>
      <c r="DU133" s="184"/>
    </row>
    <row r="134" customFormat="false" ht="12.75" hidden="false" customHeight="false" outlineLevel="0" collapsed="false">
      <c r="CR134" s="43"/>
      <c r="CS134" s="43"/>
      <c r="CT134" s="43"/>
      <c r="CU134" s="43"/>
      <c r="CV134" s="43"/>
      <c r="DT134" s="184"/>
      <c r="DU134" s="184"/>
    </row>
    <row r="135" customFormat="false" ht="12.75" hidden="false" customHeight="false" outlineLevel="0" collapsed="false">
      <c r="CR135" s="43"/>
      <c r="CS135" s="43"/>
      <c r="CT135" s="43"/>
      <c r="CU135" s="43"/>
      <c r="CV135" s="43"/>
      <c r="DT135" s="184"/>
      <c r="DU135" s="184"/>
    </row>
    <row r="136" customFormat="false" ht="12.75" hidden="false" customHeight="false" outlineLevel="0" collapsed="false">
      <c r="CR136" s="43"/>
      <c r="CS136" s="43"/>
      <c r="CT136" s="43"/>
      <c r="CU136" s="43"/>
      <c r="CV136" s="43"/>
      <c r="DT136" s="184"/>
      <c r="DU136" s="184"/>
    </row>
    <row r="137" customFormat="false" ht="12.75" hidden="false" customHeight="false" outlineLevel="0" collapsed="false">
      <c r="CR137" s="43"/>
      <c r="CS137" s="43"/>
      <c r="CT137" s="43"/>
      <c r="CU137" s="43"/>
      <c r="CV137" s="43"/>
      <c r="DT137" s="184"/>
      <c r="DU137" s="184"/>
    </row>
    <row r="138" customFormat="false" ht="12.75" hidden="false" customHeight="false" outlineLevel="0" collapsed="false">
      <c r="CR138" s="43"/>
      <c r="CS138" s="43"/>
      <c r="CT138" s="43"/>
      <c r="CU138" s="43"/>
      <c r="CV138" s="43"/>
      <c r="DT138" s="184"/>
      <c r="DU138" s="184"/>
    </row>
    <row r="139" customFormat="false" ht="12.75" hidden="false" customHeight="false" outlineLevel="0" collapsed="false">
      <c r="DT139" s="184"/>
      <c r="DU139" s="184"/>
    </row>
    <row r="140" customFormat="false" ht="12.75" hidden="false" customHeight="false" outlineLevel="0" collapsed="false">
      <c r="DT140" s="184"/>
      <c r="DU140" s="184"/>
    </row>
    <row r="141" customFormat="false" ht="12.75" hidden="false" customHeight="false" outlineLevel="0" collapsed="false">
      <c r="DT141" s="184"/>
      <c r="DU141" s="184"/>
    </row>
    <row r="142" customFormat="false" ht="12.75" hidden="false" customHeight="false" outlineLevel="0" collapsed="false">
      <c r="DT142" s="184"/>
      <c r="DU142" s="184"/>
    </row>
    <row r="143" customFormat="false" ht="12.75" hidden="false" customHeight="false" outlineLevel="0" collapsed="false">
      <c r="DT143" s="184"/>
      <c r="DU143" s="184"/>
    </row>
    <row r="144" customFormat="false" ht="12.75" hidden="false" customHeight="false" outlineLevel="0" collapsed="false">
      <c r="DT144" s="184"/>
      <c r="DU144" s="184"/>
    </row>
    <row r="145" customFormat="false" ht="12.75" hidden="false" customHeight="false" outlineLevel="0" collapsed="false">
      <c r="DT145" s="184"/>
      <c r="DU145" s="184"/>
    </row>
    <row r="146" customFormat="false" ht="12.75" hidden="false" customHeight="false" outlineLevel="0" collapsed="false">
      <c r="DT146" s="184"/>
      <c r="DU146" s="184"/>
    </row>
    <row r="147" customFormat="false" ht="12.75" hidden="false" customHeight="false" outlineLevel="0" collapsed="false">
      <c r="DT147" s="184"/>
      <c r="DU147" s="184"/>
    </row>
    <row r="148" customFormat="false" ht="12.75" hidden="false" customHeight="false" outlineLevel="0" collapsed="false">
      <c r="DT148" s="184"/>
      <c r="DU148" s="184"/>
    </row>
    <row r="149" customFormat="false" ht="12.75" hidden="false" customHeight="false" outlineLevel="0" collapsed="false">
      <c r="DT149" s="184"/>
      <c r="DU149" s="184"/>
    </row>
    <row r="150" customFormat="false" ht="12.75" hidden="false" customHeight="false" outlineLevel="0" collapsed="false">
      <c r="DT150" s="184"/>
      <c r="DU150" s="184"/>
    </row>
    <row r="151" customFormat="false" ht="12.75" hidden="false" customHeight="false" outlineLevel="0" collapsed="false">
      <c r="DT151" s="184"/>
      <c r="DU151" s="184"/>
    </row>
    <row r="152" customFormat="false" ht="12.75" hidden="false" customHeight="false" outlineLevel="0" collapsed="false">
      <c r="DT152" s="184"/>
      <c r="DU152" s="184"/>
    </row>
    <row r="153" customFormat="false" ht="12.75" hidden="false" customHeight="false" outlineLevel="0" collapsed="false">
      <c r="DT153" s="184"/>
      <c r="DU153" s="184"/>
    </row>
    <row r="154" customFormat="false" ht="12.75" hidden="false" customHeight="false" outlineLevel="0" collapsed="false">
      <c r="DT154" s="184"/>
      <c r="DU154" s="184"/>
    </row>
    <row r="155" customFormat="false" ht="12.75" hidden="false" customHeight="false" outlineLevel="0" collapsed="false">
      <c r="DT155" s="184"/>
      <c r="DU155" s="184"/>
    </row>
    <row r="156" customFormat="false" ht="12.75" hidden="false" customHeight="false" outlineLevel="0" collapsed="false">
      <c r="DT156" s="184"/>
      <c r="DU156" s="184"/>
    </row>
    <row r="157" customFormat="false" ht="12.75" hidden="false" customHeight="false" outlineLevel="0" collapsed="false">
      <c r="DT157" s="184"/>
      <c r="DU157" s="184"/>
    </row>
    <row r="158" customFormat="false" ht="12.75" hidden="false" customHeight="false" outlineLevel="0" collapsed="false">
      <c r="DT158" s="184"/>
      <c r="DU158" s="184"/>
    </row>
    <row r="159" customFormat="false" ht="12.75" hidden="false" customHeight="false" outlineLevel="0" collapsed="false">
      <c r="DT159" s="184"/>
      <c r="DU159" s="184"/>
    </row>
    <row r="160" customFormat="false" ht="12.75" hidden="false" customHeight="false" outlineLevel="0" collapsed="false">
      <c r="DT160" s="184"/>
      <c r="DU160" s="184"/>
    </row>
    <row r="161" customFormat="false" ht="12.75" hidden="false" customHeight="false" outlineLevel="0" collapsed="false">
      <c r="DT161" s="184"/>
      <c r="DU161" s="184"/>
    </row>
    <row r="162" customFormat="false" ht="12.75" hidden="false" customHeight="false" outlineLevel="0" collapsed="false">
      <c r="DT162" s="184"/>
      <c r="DU162" s="184"/>
    </row>
    <row r="163" customFormat="false" ht="12.75" hidden="false" customHeight="false" outlineLevel="0" collapsed="false">
      <c r="DT163" s="184"/>
      <c r="DU163" s="184"/>
    </row>
    <row r="164" customFormat="false" ht="12.75" hidden="false" customHeight="false" outlineLevel="0" collapsed="false">
      <c r="DT164" s="184"/>
      <c r="DU164" s="184"/>
    </row>
    <row r="165" customFormat="false" ht="12.75" hidden="false" customHeight="false" outlineLevel="0" collapsed="false">
      <c r="DT165" s="184"/>
      <c r="DU165" s="184"/>
    </row>
    <row r="166" customFormat="false" ht="12.75" hidden="false" customHeight="false" outlineLevel="0" collapsed="false">
      <c r="DT166" s="184"/>
      <c r="DU166" s="184"/>
    </row>
    <row r="167" customFormat="false" ht="12.75" hidden="false" customHeight="false" outlineLevel="0" collapsed="false">
      <c r="DT167" s="184"/>
      <c r="DU167" s="184"/>
    </row>
    <row r="168" customFormat="false" ht="12.75" hidden="false" customHeight="false" outlineLevel="0" collapsed="false">
      <c r="DT168" s="184"/>
      <c r="DU168" s="184"/>
    </row>
    <row r="169" customFormat="false" ht="12.75" hidden="false" customHeight="false" outlineLevel="0" collapsed="false">
      <c r="DT169" s="184"/>
      <c r="DU169" s="184"/>
    </row>
    <row r="170" customFormat="false" ht="12.75" hidden="false" customHeight="false" outlineLevel="0" collapsed="false">
      <c r="DT170" s="184"/>
      <c r="DU170" s="184"/>
    </row>
    <row r="171" customFormat="false" ht="12.75" hidden="false" customHeight="false" outlineLevel="0" collapsed="false">
      <c r="DT171" s="184"/>
      <c r="DU171" s="184"/>
    </row>
    <row r="172" customFormat="false" ht="12.75" hidden="false" customHeight="false" outlineLevel="0" collapsed="false">
      <c r="DT172" s="184"/>
      <c r="DU172" s="184"/>
    </row>
    <row r="173" customFormat="false" ht="12.75" hidden="false" customHeight="false" outlineLevel="0" collapsed="false">
      <c r="DT173" s="184"/>
      <c r="DU173" s="184"/>
    </row>
    <row r="174" customFormat="false" ht="12.75" hidden="false" customHeight="false" outlineLevel="0" collapsed="false">
      <c r="DT174" s="184"/>
      <c r="DU174" s="184"/>
    </row>
    <row r="175" customFormat="false" ht="12.75" hidden="false" customHeight="false" outlineLevel="0" collapsed="false">
      <c r="DT175" s="184"/>
      <c r="DU175" s="184"/>
    </row>
    <row r="176" customFormat="false" ht="12.75" hidden="false" customHeight="false" outlineLevel="0" collapsed="false">
      <c r="DT176" s="184"/>
      <c r="DU176" s="184"/>
    </row>
    <row r="177" customFormat="false" ht="12.75" hidden="false" customHeight="false" outlineLevel="0" collapsed="false">
      <c r="DT177" s="184"/>
      <c r="DU177" s="184"/>
    </row>
    <row r="178" customFormat="false" ht="12.75" hidden="false" customHeight="false" outlineLevel="0" collapsed="false">
      <c r="DT178" s="184"/>
      <c r="DU178" s="184"/>
    </row>
    <row r="179" customFormat="false" ht="12.75" hidden="false" customHeight="false" outlineLevel="0" collapsed="false">
      <c r="DT179" s="184"/>
      <c r="DU179" s="184"/>
    </row>
    <row r="180" customFormat="false" ht="12.75" hidden="false" customHeight="false" outlineLevel="0" collapsed="false">
      <c r="DT180" s="184"/>
      <c r="DU180" s="184"/>
    </row>
    <row r="181" customFormat="false" ht="12.75" hidden="false" customHeight="false" outlineLevel="0" collapsed="false">
      <c r="DT181" s="184"/>
      <c r="DU181" s="184"/>
    </row>
    <row r="182" customFormat="false" ht="12.75" hidden="false" customHeight="false" outlineLevel="0" collapsed="false">
      <c r="DT182" s="184"/>
      <c r="DU182" s="184"/>
    </row>
    <row r="183" customFormat="false" ht="12.75" hidden="false" customHeight="false" outlineLevel="0" collapsed="false">
      <c r="DT183" s="184"/>
      <c r="DU183" s="184"/>
    </row>
    <row r="184" customFormat="false" ht="12.75" hidden="false" customHeight="false" outlineLevel="0" collapsed="false">
      <c r="DQ184" s="284"/>
      <c r="DT184" s="184"/>
      <c r="DU184" s="184"/>
    </row>
    <row r="185" customFormat="false" ht="12.75" hidden="false" customHeight="false" outlineLevel="0" collapsed="false">
      <c r="DT185" s="184"/>
      <c r="DU185" s="184"/>
    </row>
    <row r="186" customFormat="false" ht="12.75" hidden="false" customHeight="false" outlineLevel="0" collapsed="false">
      <c r="DT186" s="184"/>
      <c r="DU186" s="184"/>
    </row>
    <row r="187" customFormat="false" ht="12.75" hidden="false" customHeight="false" outlineLevel="0" collapsed="false">
      <c r="DT187" s="184"/>
      <c r="DU187" s="184"/>
    </row>
    <row r="188" customFormat="false" ht="12.75" hidden="false" customHeight="false" outlineLevel="0" collapsed="false">
      <c r="DT188" s="184"/>
      <c r="DU188" s="184"/>
    </row>
    <row r="189" customFormat="false" ht="12.75" hidden="false" customHeight="false" outlineLevel="0" collapsed="false">
      <c r="DT189" s="184"/>
      <c r="DU189" s="184"/>
    </row>
    <row r="190" customFormat="false" ht="12.75" hidden="false" customHeight="false" outlineLevel="0" collapsed="false">
      <c r="DT190" s="1"/>
      <c r="DU190" s="1"/>
    </row>
    <row r="191" customFormat="false" ht="12.75" hidden="false" customHeight="false" outlineLevel="0" collapsed="false">
      <c r="DT191" s="1"/>
      <c r="DU191" s="1"/>
    </row>
    <row r="306" customFormat="false" ht="12.75" hidden="false" customHeight="false" outlineLevel="0" collapsed="false">
      <c r="DT306" s="285"/>
      <c r="DU306" s="285"/>
    </row>
    <row r="307" customFormat="false" ht="12.75" hidden="false" customHeight="false" outlineLevel="0" collapsed="false">
      <c r="DT307" s="285"/>
      <c r="DU307" s="285"/>
    </row>
    <row r="308" customFormat="false" ht="12.75" hidden="false" customHeight="false" outlineLevel="0" collapsed="false">
      <c r="DT308" s="285"/>
      <c r="DU308" s="285"/>
    </row>
    <row r="309" customFormat="false" ht="12.75" hidden="false" customHeight="false" outlineLevel="0" collapsed="false">
      <c r="DT309" s="285"/>
      <c r="DU309" s="285"/>
    </row>
    <row r="310" customFormat="false" ht="12.75" hidden="false" customHeight="false" outlineLevel="0" collapsed="false">
      <c r="DT310" s="285"/>
      <c r="DU310" s="285"/>
    </row>
    <row r="311" customFormat="false" ht="12.75" hidden="false" customHeight="false" outlineLevel="0" collapsed="false">
      <c r="DT311" s="285"/>
      <c r="DU311" s="285"/>
    </row>
    <row r="312" customFormat="false" ht="12.75" hidden="false" customHeight="false" outlineLevel="0" collapsed="false">
      <c r="DT312" s="285"/>
      <c r="DU312" s="285"/>
    </row>
    <row r="313" customFormat="false" ht="12.75" hidden="false" customHeight="false" outlineLevel="0" collapsed="false">
      <c r="DT313" s="285"/>
      <c r="DU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colBreaks count="1" manualBreakCount="1">
    <brk id="39" man="true" max="65535" min="0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B313"/>
  <sheetViews>
    <sheetView showFormulas="false" showGridLines="false" showRowColHeaders="true" showZeros="true" rightToLeft="false" tabSelected="false" showOutlineSymbols="true" defaultGridColor="true" view="pageBreakPreview" topLeftCell="B1" colorId="64" zoomScale="100" zoomScaleNormal="85" zoomScalePageLayoutView="100" workbookViewId="0">
      <pane xSplit="2" ySplit="6" topLeftCell="DB30" activePane="bottomRight" state="frozen"/>
      <selection pane="topLeft" activeCell="B1" activeCellId="0" sqref="B1"/>
      <selection pane="topRight" activeCell="DB1" activeCellId="0" sqref="DB1"/>
      <selection pane="bottomLeft" activeCell="B30" activeCellId="0" sqref="B30"/>
      <selection pane="bottomRight" activeCell="CU11" activeCellId="0" sqref="CU11"/>
    </sheetView>
  </sheetViews>
  <sheetFormatPr defaultColWidth="11.515625" defaultRowHeight="12.75" zeroHeight="false" outlineLevelRow="1" outlineLevelCol="0"/>
  <cols>
    <col collapsed="false" customWidth="true" hidden="false" outlineLevel="0" max="1" min="1" style="286" width="1.16"/>
    <col collapsed="false" customWidth="true" hidden="false" outlineLevel="0" max="2" min="2" style="2" width="48.66"/>
    <col collapsed="false" customWidth="true" hidden="false" outlineLevel="0" max="3" min="3" style="2" width="10.16"/>
    <col collapsed="false" customWidth="true" hidden="false" outlineLevel="0" max="4" min="4" style="2" width="8.83"/>
    <col collapsed="false" customWidth="true" hidden="false" outlineLevel="0" max="5" min="5" style="2" width="10.99"/>
    <col collapsed="false" customWidth="true" hidden="false" outlineLevel="0" max="6" min="6" style="2" width="9.66"/>
    <col collapsed="false" customWidth="true" hidden="false" outlineLevel="0" max="7" min="7" style="2" width="10.99"/>
    <col collapsed="false" customWidth="true" hidden="false" outlineLevel="0" max="8" min="8" style="2" width="7.83"/>
    <col collapsed="false" customWidth="true" hidden="false" outlineLevel="0" max="9" min="9" style="2" width="0.16"/>
    <col collapsed="false" customWidth="true" hidden="false" outlineLevel="0" max="10" min="10" style="2" width="10.65"/>
    <col collapsed="false" customWidth="true" hidden="false" outlineLevel="0" max="11" min="11" style="2" width="10.99"/>
    <col collapsed="false" customWidth="true" hidden="false" outlineLevel="0" max="12" min="12" style="2" width="9.66"/>
    <col collapsed="false" customWidth="true" hidden="false" outlineLevel="0" max="13" min="13" style="2" width="10.99"/>
    <col collapsed="false" customWidth="true" hidden="false" outlineLevel="0" max="14" min="14" style="40" width="7.67"/>
    <col collapsed="false" customWidth="true" hidden="false" outlineLevel="0" max="15" min="15" style="40" width="0.16"/>
    <col collapsed="false" customWidth="true" hidden="false" outlineLevel="0" max="16" min="16" style="39" width="13.33"/>
    <col collapsed="false" customWidth="true" hidden="false" outlineLevel="0" max="17" min="17" style="40" width="10.5"/>
    <col collapsed="false" customWidth="true" hidden="false" outlineLevel="0" max="18" min="18" style="40" width="9.66"/>
    <col collapsed="false" customWidth="true" hidden="false" outlineLevel="0" max="19" min="19" style="40" width="10.99"/>
    <col collapsed="false" customWidth="true" hidden="false" outlineLevel="0" max="20" min="20" style="40" width="7.67"/>
    <col collapsed="false" customWidth="true" hidden="false" outlineLevel="0" max="21" min="21" style="40" width="0.16"/>
    <col collapsed="false" customWidth="true" hidden="false" outlineLevel="0" max="22" min="22" style="40" width="8.83"/>
    <col collapsed="false" customWidth="true" hidden="false" outlineLevel="0" max="24" min="23" style="40" width="10.99"/>
    <col collapsed="false" customWidth="true" hidden="false" outlineLevel="0" max="25" min="25" style="40" width="9.66"/>
    <col collapsed="false" customWidth="true" hidden="false" outlineLevel="0" max="26" min="26" style="40" width="9.33"/>
    <col collapsed="false" customWidth="true" hidden="false" outlineLevel="0" max="27" min="27" style="40" width="10.99"/>
    <col collapsed="false" customWidth="true" hidden="false" outlineLevel="0" max="28" min="28" style="40" width="7.67"/>
    <col collapsed="false" customWidth="true" hidden="false" outlineLevel="0" max="29" min="29" style="40" width="0.16"/>
    <col collapsed="false" customWidth="true" hidden="false" outlineLevel="0" max="30" min="30" style="40" width="8.83"/>
    <col collapsed="false" customWidth="true" hidden="false" outlineLevel="0" max="31" min="31" style="40" width="10.99"/>
    <col collapsed="false" customWidth="true" hidden="false" outlineLevel="0" max="32" min="32" style="40" width="11.16"/>
    <col collapsed="false" customWidth="true" hidden="false" outlineLevel="0" max="33" min="33" style="40" width="9.66"/>
    <col collapsed="false" customWidth="true" hidden="false" outlineLevel="0" max="34" min="34" style="40" width="9.33"/>
    <col collapsed="false" customWidth="true" hidden="false" outlineLevel="0" max="35" min="35" style="40" width="10.99"/>
    <col collapsed="false" customWidth="true" hidden="false" outlineLevel="0" max="36" min="36" style="40" width="7.83"/>
    <col collapsed="false" customWidth="true" hidden="false" outlineLevel="0" max="37" min="37" style="40" width="0.16"/>
    <col collapsed="false" customWidth="true" hidden="false" outlineLevel="0" max="38" min="38" style="40" width="8.83"/>
    <col collapsed="false" customWidth="true" hidden="false" outlineLevel="0" max="41" min="39" style="40" width="10.99"/>
    <col collapsed="false" customWidth="true" hidden="false" outlineLevel="0" max="42" min="42" style="40" width="9.66"/>
    <col collapsed="false" customWidth="true" hidden="false" outlineLevel="0" max="43" min="43" style="40" width="9.33"/>
    <col collapsed="false" customWidth="true" hidden="false" outlineLevel="0" max="44" min="44" style="40" width="10.99"/>
    <col collapsed="false" customWidth="true" hidden="false" outlineLevel="0" max="45" min="45" style="40" width="7.67"/>
    <col collapsed="false" customWidth="true" hidden="false" outlineLevel="0" max="46" min="46" style="40" width="0.16"/>
    <col collapsed="false" customWidth="true" hidden="false" outlineLevel="0" max="47" min="47" style="40" width="13.5"/>
    <col collapsed="false" customWidth="true" hidden="false" outlineLevel="0" max="49" min="48" style="40" width="10.99"/>
    <col collapsed="false" customWidth="true" hidden="false" outlineLevel="0" max="50" min="50" style="40" width="9.66"/>
    <col collapsed="false" customWidth="true" hidden="false" outlineLevel="0" max="51" min="51" style="40" width="9.33"/>
    <col collapsed="false" customWidth="true" hidden="false" outlineLevel="0" max="52" min="52" style="40" width="10.99"/>
    <col collapsed="false" customWidth="true" hidden="false" outlineLevel="0" max="53" min="53" style="40" width="8.33"/>
    <col collapsed="false" customWidth="true" hidden="false" outlineLevel="0" max="54" min="54" style="40" width="0.33"/>
    <col collapsed="false" customWidth="true" hidden="false" outlineLevel="0" max="55" min="55" style="40" width="10.65"/>
    <col collapsed="false" customWidth="true" hidden="false" outlineLevel="0" max="56" min="56" style="40" width="12.5"/>
    <col collapsed="false" customWidth="true" hidden="false" outlineLevel="0" max="57" min="57" style="40" width="12.33"/>
    <col collapsed="false" customWidth="true" hidden="false" outlineLevel="0" max="58" min="58" style="40" width="10.5"/>
    <col collapsed="false" customWidth="true" hidden="false" outlineLevel="0" max="59" min="59" style="40" width="10.16"/>
    <col collapsed="false" customWidth="true" hidden="false" outlineLevel="0" max="60" min="60" style="40" width="12.33"/>
    <col collapsed="false" customWidth="true" hidden="false" outlineLevel="0" max="61" min="61" style="40" width="8.67"/>
    <col collapsed="false" customWidth="true" hidden="false" outlineLevel="0" max="62" min="62" style="40" width="0.16"/>
    <col collapsed="false" customWidth="true" hidden="false" outlineLevel="0" max="63" min="63" style="40" width="9.51"/>
    <col collapsed="false" customWidth="true" hidden="false" outlineLevel="0" max="64" min="64" style="40" width="10.5"/>
    <col collapsed="false" customWidth="true" hidden="false" outlineLevel="0" max="65" min="65" style="40" width="9.16"/>
    <col collapsed="false" customWidth="true" hidden="false" outlineLevel="0" max="66" min="66" style="40" width="10.5"/>
    <col collapsed="false" customWidth="true" hidden="false" outlineLevel="0" max="67" min="67" style="40" width="8.52"/>
    <col collapsed="false" customWidth="true" hidden="false" outlineLevel="0" max="68" min="68" style="40" width="9.16"/>
    <col collapsed="false" customWidth="true" hidden="false" outlineLevel="0" max="69" min="69" style="40" width="8.52"/>
    <col collapsed="false" customWidth="true" hidden="false" outlineLevel="0" max="70" min="70" style="40" width="9.66"/>
    <col collapsed="false" customWidth="true" hidden="false" outlineLevel="0" max="71" min="71" style="40" width="0.33"/>
    <col collapsed="false" customWidth="true" hidden="false" outlineLevel="0" max="72" min="72" style="40" width="8.83"/>
    <col collapsed="false" customWidth="true" hidden="false" outlineLevel="0" max="74" min="73" style="40" width="10.99"/>
    <col collapsed="false" customWidth="true" hidden="false" outlineLevel="0" max="75" min="75" style="40" width="9.66"/>
    <col collapsed="false" customWidth="true" hidden="false" outlineLevel="0" max="76" min="76" style="40" width="9.33"/>
    <col collapsed="false" customWidth="true" hidden="false" outlineLevel="0" max="77" min="77" style="40" width="10.99"/>
    <col collapsed="false" customWidth="true" hidden="false" outlineLevel="0" max="78" min="78" style="40" width="5.5"/>
    <col collapsed="false" customWidth="true" hidden="false" outlineLevel="0" max="79" min="79" style="40" width="7.49"/>
    <col collapsed="false" customWidth="true" hidden="false" outlineLevel="0" max="80" min="80" style="40" width="8.83"/>
    <col collapsed="false" customWidth="true" hidden="false" outlineLevel="0" max="82" min="81" style="40" width="10.99"/>
    <col collapsed="false" customWidth="true" hidden="false" outlineLevel="0" max="84" min="83" style="40" width="9.33"/>
    <col collapsed="false" customWidth="true" hidden="false" outlineLevel="0" max="85" min="85" style="40" width="10.99"/>
    <col collapsed="false" customWidth="true" hidden="false" outlineLevel="0" max="86" min="86" style="40" width="11.99"/>
    <col collapsed="false" customWidth="true" hidden="false" outlineLevel="0" max="87" min="87" style="40" width="0.33"/>
    <col collapsed="false" customWidth="true" hidden="false" outlineLevel="0" max="88" min="88" style="40" width="8.83"/>
    <col collapsed="false" customWidth="true" hidden="false" outlineLevel="0" max="93" min="89" style="40" width="10.99"/>
    <col collapsed="false" customWidth="true" hidden="false" outlineLevel="0" max="94" min="94" style="40" width="9.33"/>
    <col collapsed="false" customWidth="true" hidden="false" outlineLevel="0" max="95" min="95" style="246" width="0.16"/>
    <col collapsed="false" customWidth="true" hidden="false" outlineLevel="0" max="96" min="96" style="287" width="11.99"/>
    <col collapsed="false" customWidth="true" hidden="false" outlineLevel="0" max="98" min="97" style="43" width="12.17"/>
    <col collapsed="false" customWidth="true" hidden="false" outlineLevel="0" max="99" min="99" style="43" width="11.64"/>
    <col collapsed="false" customWidth="true" hidden="false" outlineLevel="0" max="100" min="100" style="43" width="10.99"/>
    <col collapsed="false" customWidth="true" hidden="false" outlineLevel="0" max="101" min="101" style="43" width="12.17"/>
    <col collapsed="false" customWidth="true" hidden="false" outlineLevel="0" max="102" min="102" style="39" width="7.49"/>
    <col collapsed="false" customWidth="true" hidden="false" outlineLevel="0" max="103" min="103" style="246" width="0.52"/>
    <col collapsed="false" customWidth="true" hidden="false" outlineLevel="0" max="104" min="104" style="43" width="12.17"/>
    <col collapsed="false" customWidth="true" hidden="false" outlineLevel="0" max="105" min="105" style="43" width="14.01"/>
    <col collapsed="false" customWidth="true" hidden="false" outlineLevel="0" max="106" min="106" style="43" width="13.66"/>
    <col collapsed="false" customWidth="true" hidden="false" outlineLevel="0" max="107" min="107" style="43" width="12.17"/>
    <col collapsed="false" customWidth="true" hidden="false" outlineLevel="0" max="108" min="108" style="43" width="11.64"/>
    <col collapsed="false" customWidth="true" hidden="false" outlineLevel="0" max="109" min="109" style="39" width="10.5"/>
    <col collapsed="false" customWidth="true" hidden="false" outlineLevel="0" max="110" min="110" style="39" width="11.99"/>
    <col collapsed="false" customWidth="true" hidden="false" outlineLevel="0" max="111" min="111" style="288" width="16"/>
    <col collapsed="false" customWidth="true" hidden="false" outlineLevel="0" max="112" min="112" style="288" width="14.66"/>
    <col collapsed="false" customWidth="true" hidden="false" outlineLevel="0" max="113" min="113" style="289" width="10.65"/>
    <col collapsed="false" customWidth="true" hidden="true" outlineLevel="0" max="119" min="114" style="289" width="10.65"/>
    <col collapsed="false" customWidth="true" hidden="true" outlineLevel="0" max="120" min="120" style="288" width="19.33"/>
    <col collapsed="false" customWidth="true" hidden="true" outlineLevel="0" max="121" min="121" style="290" width="17.52"/>
    <col collapsed="false" customWidth="false" hidden="true" outlineLevel="0" max="122" min="122" style="286" width="11.5"/>
    <col collapsed="false" customWidth="false" hidden="true" outlineLevel="0" max="123" min="123" style="291" width="11.5"/>
    <col collapsed="false" customWidth="false" hidden="true" outlineLevel="0" max="127" min="124" style="286" width="11.5"/>
    <col collapsed="false" customWidth="true" hidden="true" outlineLevel="0" max="128" min="128" style="2" width="17.52"/>
    <col collapsed="false" customWidth="true" hidden="true" outlineLevel="0" max="130" min="129" style="2" width="8.67"/>
    <col collapsed="false" customWidth="false" hidden="true" outlineLevel="0" max="131" min="131" style="286" width="11.5"/>
    <col collapsed="false" customWidth="true" hidden="false" outlineLevel="0" max="132" min="132" style="286" width="18.66"/>
    <col collapsed="false" customWidth="false" hidden="false" outlineLevel="0" max="1024" min="133" style="286" width="11.5"/>
  </cols>
  <sheetData>
    <row r="1" s="292" customFormat="true" ht="12.75" hidden="false" customHeight="false" outlineLevel="0" collapsed="false">
      <c r="B1" s="285"/>
      <c r="C1" s="285"/>
      <c r="D1" s="285"/>
      <c r="E1" s="285"/>
      <c r="F1" s="285"/>
      <c r="G1" s="285"/>
      <c r="H1" s="285"/>
      <c r="I1" s="293"/>
      <c r="J1" s="293" t="n">
        <v>6444110418</v>
      </c>
      <c r="K1" s="293"/>
      <c r="L1" s="293"/>
      <c r="M1" s="293"/>
      <c r="N1" s="294"/>
      <c r="O1" s="294"/>
      <c r="P1" s="295"/>
      <c r="Q1" s="294"/>
      <c r="R1" s="294"/>
      <c r="S1" s="294"/>
      <c r="T1" s="294"/>
      <c r="U1" s="294"/>
      <c r="V1" s="294"/>
      <c r="W1" s="294"/>
      <c r="X1" s="294"/>
      <c r="Y1" s="296" t="e">
        <f aca="false">Y7/W7</f>
        <v>#DIV/0!</v>
      </c>
      <c r="Z1" s="296" t="e">
        <f aca="false">Z7/X7</f>
        <v>#DIV/0!</v>
      </c>
      <c r="AA1" s="294"/>
      <c r="AB1" s="294"/>
      <c r="AC1" s="294"/>
      <c r="AD1" s="297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 t="n">
        <v>-20648636</v>
      </c>
      <c r="AV1" s="294"/>
      <c r="AW1" s="294" t="n">
        <v>12.1277006742</v>
      </c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37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37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298"/>
      <c r="CR1" s="287" t="n">
        <f aca="false">65151.9-CR7</f>
        <v>65151.9</v>
      </c>
      <c r="CS1" s="299"/>
      <c r="CT1" s="43"/>
      <c r="CU1" s="43"/>
      <c r="CV1" s="43"/>
      <c r="CW1" s="43"/>
      <c r="CX1" s="39"/>
      <c r="CY1" s="300"/>
      <c r="CZ1" s="43"/>
      <c r="DA1" s="43"/>
      <c r="DB1" s="43"/>
      <c r="DC1" s="43"/>
      <c r="DD1" s="243"/>
      <c r="DE1" s="39"/>
      <c r="DF1" s="300"/>
      <c r="DG1" s="301"/>
      <c r="DH1" s="301"/>
      <c r="DI1" s="302"/>
      <c r="DJ1" s="302"/>
      <c r="DK1" s="302"/>
      <c r="DL1" s="302"/>
      <c r="DM1" s="302"/>
      <c r="DN1" s="302"/>
      <c r="DO1" s="302"/>
      <c r="DP1" s="303" t="n">
        <v>0</v>
      </c>
      <c r="DQ1" s="290"/>
      <c r="DS1" s="304"/>
      <c r="DX1" s="40"/>
      <c r="DY1" s="40"/>
      <c r="DZ1" s="40"/>
    </row>
    <row r="2" customFormat="false" ht="16.5" hidden="false" customHeight="false" outlineLevel="0" collapsed="false">
      <c r="A2" s="305" t="s">
        <v>100</v>
      </c>
      <c r="B2" s="306"/>
      <c r="E2" s="307"/>
      <c r="I2" s="308"/>
      <c r="J2" s="308" t="n">
        <v>419560633</v>
      </c>
      <c r="K2" s="308" t="n">
        <v>0</v>
      </c>
      <c r="L2" s="308"/>
      <c r="M2" s="308"/>
      <c r="N2" s="309"/>
      <c r="O2" s="309"/>
      <c r="P2" s="310" t="n">
        <v>21468044</v>
      </c>
      <c r="Q2" s="309"/>
      <c r="R2" s="309"/>
      <c r="S2" s="309"/>
      <c r="T2" s="309"/>
      <c r="U2" s="309"/>
      <c r="V2" s="309"/>
      <c r="W2" s="311" t="n">
        <v>839.687354796545</v>
      </c>
      <c r="X2" s="311" t="n">
        <v>0</v>
      </c>
      <c r="Y2" s="309"/>
      <c r="Z2" s="309"/>
      <c r="AA2" s="309"/>
      <c r="AB2" s="309"/>
      <c r="AC2" s="309"/>
      <c r="AD2" s="309" t="n">
        <v>0</v>
      </c>
      <c r="AE2" s="309" t="n">
        <v>0</v>
      </c>
      <c r="AF2" s="312" t="s">
        <v>101</v>
      </c>
      <c r="AG2" s="309"/>
      <c r="AH2" s="309"/>
      <c r="AI2" s="309"/>
      <c r="AJ2" s="309"/>
      <c r="AK2" s="309"/>
      <c r="AL2" s="309"/>
      <c r="AM2" s="309"/>
      <c r="AN2" s="309"/>
      <c r="AO2" s="311" t="n">
        <v>0</v>
      </c>
      <c r="AP2" s="309"/>
      <c r="AQ2" s="309"/>
      <c r="AR2" s="309"/>
      <c r="AS2" s="309"/>
      <c r="AT2" s="309"/>
      <c r="AU2" s="309" t="n">
        <v>0</v>
      </c>
      <c r="AV2" s="309"/>
      <c r="AW2" s="309"/>
      <c r="AX2" s="313"/>
      <c r="AY2" s="313"/>
      <c r="AZ2" s="313"/>
      <c r="BA2" s="313"/>
      <c r="BB2" s="313"/>
      <c r="BC2" s="313"/>
      <c r="BD2" s="313"/>
      <c r="BE2" s="313"/>
      <c r="BF2" s="313"/>
      <c r="BG2" s="313"/>
      <c r="BH2" s="313"/>
      <c r="BI2" s="313"/>
      <c r="BJ2" s="313"/>
      <c r="BK2" s="314"/>
      <c r="BL2" s="314"/>
      <c r="BM2" s="314"/>
      <c r="BN2" s="315" t="n">
        <v>0</v>
      </c>
      <c r="BO2" s="314"/>
      <c r="BP2" s="314" t="n">
        <v>0</v>
      </c>
      <c r="BQ2" s="314"/>
      <c r="BR2" s="314"/>
      <c r="BS2" s="313"/>
      <c r="BT2" s="313"/>
      <c r="BU2" s="313"/>
      <c r="BV2" s="313"/>
      <c r="BW2" s="313"/>
      <c r="BX2" s="313"/>
      <c r="BY2" s="313"/>
      <c r="BZ2" s="313"/>
      <c r="CA2" s="313"/>
      <c r="CB2" s="313"/>
      <c r="CC2" s="314"/>
      <c r="CD2" s="313"/>
      <c r="CE2" s="313"/>
      <c r="CF2" s="313"/>
      <c r="CG2" s="313"/>
      <c r="CH2" s="313"/>
      <c r="CI2" s="313"/>
      <c r="CJ2" s="316"/>
      <c r="CK2" s="313"/>
      <c r="CL2" s="313"/>
      <c r="CM2" s="313"/>
      <c r="CN2" s="313"/>
      <c r="CO2" s="313"/>
      <c r="CP2" s="313"/>
      <c r="CQ2" s="317"/>
      <c r="CR2" s="318" t="n">
        <f aca="false">CS7+'P&amp;L conso'!CS25</f>
        <v>0</v>
      </c>
      <c r="CS2" s="319"/>
      <c r="CT2" s="320" t="n">
        <f aca="false">CT7+'P&amp;L conso'!CT25</f>
        <v>0</v>
      </c>
      <c r="CU2" s="321"/>
      <c r="CV2" s="322"/>
      <c r="CW2" s="322"/>
      <c r="CX2" s="323"/>
      <c r="CY2" s="324"/>
      <c r="CZ2" s="325"/>
      <c r="DA2" s="326"/>
      <c r="DB2" s="243"/>
      <c r="DC2" s="243"/>
      <c r="DD2" s="243"/>
      <c r="DE2" s="324"/>
      <c r="DF2" s="327"/>
      <c r="DG2" s="328"/>
      <c r="DH2" s="324"/>
      <c r="DP2" s="329" t="n">
        <v>10167534</v>
      </c>
      <c r="DQ2" s="290" t="n">
        <v>0</v>
      </c>
      <c r="DR2" s="286" t="n">
        <v>0</v>
      </c>
      <c r="DU2" s="286" t="n">
        <v>0</v>
      </c>
    </row>
    <row r="3" customFormat="false" ht="12.75" hidden="false" customHeight="false" outlineLevel="0" collapsed="false">
      <c r="C3" s="330"/>
      <c r="D3" s="331"/>
      <c r="E3" s="332" t="n">
        <v>0</v>
      </c>
      <c r="F3" s="333"/>
      <c r="G3" s="331" t="n">
        <v>0</v>
      </c>
      <c r="H3" s="333"/>
      <c r="I3" s="334"/>
      <c r="J3" s="335"/>
      <c r="K3" s="336"/>
      <c r="L3" s="336"/>
      <c r="M3" s="336"/>
      <c r="N3" s="337"/>
      <c r="O3" s="338"/>
      <c r="P3" s="339"/>
      <c r="Q3" s="340"/>
      <c r="R3" s="340"/>
      <c r="S3" s="340"/>
      <c r="T3" s="337"/>
      <c r="U3" s="341"/>
      <c r="V3" s="342"/>
      <c r="W3" s="343"/>
      <c r="X3" s="343"/>
      <c r="Y3" s="336"/>
      <c r="Z3" s="336"/>
      <c r="AA3" s="336"/>
      <c r="AB3" s="336"/>
      <c r="AC3" s="334"/>
      <c r="AD3" s="344"/>
      <c r="AE3" s="345"/>
      <c r="AF3" s="345"/>
      <c r="AG3" s="333"/>
      <c r="AH3" s="333"/>
      <c r="AI3" s="333"/>
      <c r="AJ3" s="333"/>
      <c r="AK3" s="334"/>
      <c r="AL3" s="346"/>
      <c r="AM3" s="347"/>
      <c r="AN3" s="347"/>
      <c r="AO3" s="347"/>
      <c r="AP3" s="347"/>
      <c r="AQ3" s="347"/>
      <c r="AR3" s="347"/>
      <c r="AS3" s="348"/>
      <c r="AT3" s="349"/>
      <c r="AU3" s="346"/>
      <c r="AV3" s="347"/>
      <c r="AW3" s="347"/>
      <c r="AX3" s="347"/>
      <c r="AY3" s="347"/>
      <c r="AZ3" s="347"/>
      <c r="BA3" s="337"/>
      <c r="BB3" s="350"/>
      <c r="BC3" s="346"/>
      <c r="BD3" s="347"/>
      <c r="BE3" s="347"/>
      <c r="BF3" s="347"/>
      <c r="BG3" s="347"/>
      <c r="BH3" s="347"/>
      <c r="BI3" s="337"/>
      <c r="BJ3" s="351"/>
      <c r="BK3" s="344"/>
      <c r="BL3" s="345"/>
      <c r="BM3" s="345"/>
      <c r="BN3" s="345"/>
      <c r="BO3" s="333"/>
      <c r="BP3" s="333"/>
      <c r="BQ3" s="333"/>
      <c r="BR3" s="333"/>
      <c r="BS3" s="351"/>
      <c r="BT3" s="346"/>
      <c r="BU3" s="347"/>
      <c r="BV3" s="347"/>
      <c r="BW3" s="347"/>
      <c r="BX3" s="347"/>
      <c r="BY3" s="347"/>
      <c r="BZ3" s="337"/>
      <c r="CA3" s="352"/>
      <c r="CB3" s="344"/>
      <c r="CC3" s="345"/>
      <c r="CD3" s="345"/>
      <c r="CE3" s="333"/>
      <c r="CF3" s="333"/>
      <c r="CG3" s="333"/>
      <c r="CH3" s="353"/>
      <c r="CI3" s="352"/>
      <c r="CJ3" s="344"/>
      <c r="CK3" s="345"/>
      <c r="CL3" s="345"/>
      <c r="CM3" s="333"/>
      <c r="CN3" s="333"/>
      <c r="CO3" s="333"/>
      <c r="CP3" s="333"/>
      <c r="CQ3" s="354"/>
      <c r="CY3" s="355"/>
      <c r="CZ3" s="356" t="n">
        <v>0</v>
      </c>
      <c r="DA3" s="332"/>
      <c r="DB3" s="332"/>
      <c r="DC3" s="332"/>
      <c r="DD3" s="332"/>
      <c r="DE3" s="340"/>
      <c r="DF3" s="340"/>
      <c r="DG3" s="357"/>
      <c r="DH3" s="340"/>
      <c r="DP3" s="358"/>
      <c r="DQ3" s="290" t="n">
        <v>295188041</v>
      </c>
    </row>
    <row r="4" s="359" customFormat="true" ht="18" hidden="false" customHeight="true" outlineLevel="0" collapsed="false">
      <c r="B4" s="360"/>
      <c r="C4" s="361"/>
      <c r="D4" s="362" t="n">
        <v>45292</v>
      </c>
      <c r="E4" s="362"/>
      <c r="F4" s="362"/>
      <c r="G4" s="362"/>
      <c r="H4" s="362"/>
      <c r="I4" s="363"/>
      <c r="J4" s="364" t="n">
        <v>45323</v>
      </c>
      <c r="K4" s="364"/>
      <c r="L4" s="364"/>
      <c r="M4" s="364"/>
      <c r="N4" s="364"/>
      <c r="O4" s="365"/>
      <c r="P4" s="364" t="n">
        <v>45352</v>
      </c>
      <c r="Q4" s="364"/>
      <c r="R4" s="364"/>
      <c r="S4" s="364"/>
      <c r="T4" s="364"/>
      <c r="U4" s="365"/>
      <c r="V4" s="366" t="n">
        <v>45383</v>
      </c>
      <c r="W4" s="366"/>
      <c r="X4" s="366"/>
      <c r="Y4" s="366"/>
      <c r="Z4" s="366"/>
      <c r="AA4" s="366"/>
      <c r="AB4" s="366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368" t="n">
        <v>45444</v>
      </c>
      <c r="AM4" s="368"/>
      <c r="AN4" s="368"/>
      <c r="AO4" s="368"/>
      <c r="AP4" s="368"/>
      <c r="AQ4" s="368"/>
      <c r="AR4" s="368"/>
      <c r="AS4" s="368"/>
      <c r="AT4" s="369"/>
      <c r="AU4" s="364" t="n">
        <v>45474</v>
      </c>
      <c r="AV4" s="364"/>
      <c r="AW4" s="364"/>
      <c r="AX4" s="364"/>
      <c r="AY4" s="364"/>
      <c r="AZ4" s="364"/>
      <c r="BA4" s="364"/>
      <c r="BB4" s="370"/>
      <c r="BC4" s="371" t="n">
        <v>45505</v>
      </c>
      <c r="BD4" s="371"/>
      <c r="BE4" s="371"/>
      <c r="BF4" s="371"/>
      <c r="BG4" s="371"/>
      <c r="BH4" s="371"/>
      <c r="BI4" s="371"/>
      <c r="BJ4" s="372"/>
      <c r="BK4" s="362" t="n">
        <v>45536</v>
      </c>
      <c r="BL4" s="362"/>
      <c r="BM4" s="362"/>
      <c r="BN4" s="362"/>
      <c r="BO4" s="362"/>
      <c r="BP4" s="362"/>
      <c r="BQ4" s="362"/>
      <c r="BR4" s="362"/>
      <c r="BS4" s="372"/>
      <c r="BT4" s="364" t="n">
        <v>45566</v>
      </c>
      <c r="BU4" s="364"/>
      <c r="BV4" s="364"/>
      <c r="BW4" s="364"/>
      <c r="BX4" s="364"/>
      <c r="BY4" s="364"/>
      <c r="BZ4" s="364"/>
      <c r="CA4" s="373"/>
      <c r="CB4" s="362" t="n">
        <v>45597</v>
      </c>
      <c r="CC4" s="362"/>
      <c r="CD4" s="362"/>
      <c r="CE4" s="362"/>
      <c r="CF4" s="362"/>
      <c r="CG4" s="362"/>
      <c r="CH4" s="362"/>
      <c r="CI4" s="373"/>
      <c r="CJ4" s="362" t="n">
        <v>45627</v>
      </c>
      <c r="CK4" s="362"/>
      <c r="CL4" s="362"/>
      <c r="CM4" s="362"/>
      <c r="CN4" s="362"/>
      <c r="CO4" s="362"/>
      <c r="CP4" s="362"/>
      <c r="CQ4" s="367"/>
      <c r="CR4" s="374" t="s">
        <v>3</v>
      </c>
      <c r="CS4" s="374"/>
      <c r="CT4" s="374"/>
      <c r="CU4" s="374"/>
      <c r="CV4" s="374"/>
      <c r="CW4" s="374"/>
      <c r="CX4" s="374"/>
      <c r="CY4" s="375"/>
      <c r="CZ4" s="376" t="s">
        <v>4</v>
      </c>
      <c r="DA4" s="376"/>
      <c r="DB4" s="376"/>
      <c r="DC4" s="376"/>
      <c r="DD4" s="376"/>
      <c r="DE4" s="376"/>
      <c r="DF4" s="376"/>
      <c r="DG4" s="376"/>
      <c r="DH4" s="376"/>
      <c r="DI4" s="377"/>
      <c r="DJ4" s="377"/>
      <c r="DK4" s="377"/>
      <c r="DL4" s="377"/>
      <c r="DM4" s="377"/>
      <c r="DN4" s="377"/>
      <c r="DO4" s="377"/>
      <c r="DQ4" s="378"/>
      <c r="DS4" s="377"/>
      <c r="DX4" s="79"/>
      <c r="DY4" s="79"/>
      <c r="DZ4" s="79"/>
    </row>
    <row r="5" s="379" customFormat="true" ht="30" hidden="false" customHeight="true" outlineLevel="0" collapsed="false">
      <c r="B5" s="85" t="s">
        <v>5</v>
      </c>
      <c r="C5" s="380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89"/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382"/>
      <c r="DJ5" s="383" t="s">
        <v>6</v>
      </c>
      <c r="DK5" s="383" t="s">
        <v>7</v>
      </c>
      <c r="DL5" s="383" t="s">
        <v>9</v>
      </c>
      <c r="DM5" s="383" t="s">
        <v>102</v>
      </c>
      <c r="DN5" s="382"/>
      <c r="DO5" s="382"/>
      <c r="DP5" s="384" t="s">
        <v>101</v>
      </c>
      <c r="DQ5" s="385"/>
      <c r="DS5" s="386"/>
      <c r="DX5" s="91"/>
      <c r="DY5" s="91"/>
      <c r="DZ5" s="91"/>
    </row>
    <row r="6" customFormat="false" ht="12.75" hidden="false" customHeight="false" outlineLevel="0" collapsed="false">
      <c r="C6" s="387"/>
      <c r="D6" s="299"/>
      <c r="E6" s="388"/>
      <c r="F6" s="43"/>
      <c r="G6" s="246"/>
      <c r="H6" s="246"/>
      <c r="I6" s="354"/>
      <c r="J6" s="287"/>
      <c r="K6" s="287"/>
      <c r="L6" s="287"/>
      <c r="M6" s="287"/>
      <c r="N6" s="39"/>
      <c r="O6" s="338"/>
      <c r="P6" s="287"/>
      <c r="Q6" s="287"/>
      <c r="R6" s="287"/>
      <c r="S6" s="287"/>
      <c r="T6" s="39"/>
      <c r="U6" s="389"/>
      <c r="V6" s="390"/>
      <c r="W6" s="388"/>
      <c r="X6" s="388"/>
      <c r="Y6" s="43"/>
      <c r="Z6" s="43"/>
      <c r="AA6" s="246"/>
      <c r="AB6" s="246"/>
      <c r="AC6" s="354"/>
      <c r="AD6" s="299"/>
      <c r="AE6" s="388"/>
      <c r="AF6" s="388"/>
      <c r="AG6" s="43"/>
      <c r="AH6" s="43"/>
      <c r="AI6" s="246"/>
      <c r="AJ6" s="246"/>
      <c r="AK6" s="354"/>
      <c r="AL6" s="287"/>
      <c r="AM6" s="287"/>
      <c r="AN6" s="287"/>
      <c r="AO6" s="391"/>
      <c r="AP6" s="287"/>
      <c r="AQ6" s="287"/>
      <c r="AR6" s="287"/>
      <c r="AS6" s="39"/>
      <c r="AT6" s="392"/>
      <c r="AU6" s="287"/>
      <c r="AV6" s="287"/>
      <c r="AW6" s="287"/>
      <c r="AX6" s="287"/>
      <c r="AY6" s="287"/>
      <c r="AZ6" s="287"/>
      <c r="BA6" s="39"/>
      <c r="BB6" s="338"/>
      <c r="BC6" s="287"/>
      <c r="BD6" s="287"/>
      <c r="BE6" s="287"/>
      <c r="BF6" s="287"/>
      <c r="BG6" s="287"/>
      <c r="BH6" s="287"/>
      <c r="BI6" s="39"/>
      <c r="BJ6" s="389"/>
      <c r="BK6" s="287"/>
      <c r="BL6" s="287"/>
      <c r="BM6" s="287"/>
      <c r="BN6" s="287"/>
      <c r="BO6" s="287"/>
      <c r="BP6" s="287"/>
      <c r="BQ6" s="287"/>
      <c r="BR6" s="39"/>
      <c r="BS6" s="389"/>
      <c r="BT6" s="287"/>
      <c r="BU6" s="287"/>
      <c r="BV6" s="287"/>
      <c r="BW6" s="287"/>
      <c r="BX6" s="287"/>
      <c r="BY6" s="287"/>
      <c r="BZ6" s="39"/>
      <c r="CA6" s="373"/>
      <c r="CB6" s="287"/>
      <c r="CC6" s="287"/>
      <c r="CD6" s="261"/>
      <c r="CE6" s="287"/>
      <c r="CF6" s="287"/>
      <c r="CG6" s="287"/>
      <c r="CH6" s="39"/>
      <c r="CI6" s="373"/>
      <c r="CJ6" s="299"/>
      <c r="CK6" s="388"/>
      <c r="CL6" s="391"/>
      <c r="CM6" s="43"/>
      <c r="CN6" s="43"/>
      <c r="CO6" s="246"/>
      <c r="CP6" s="246"/>
      <c r="CQ6" s="354"/>
      <c r="CY6" s="393"/>
      <c r="CZ6" s="394"/>
      <c r="DF6" s="246"/>
      <c r="DG6" s="395"/>
      <c r="DH6" s="395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  <c r="DP6" s="396"/>
    </row>
    <row r="7" customFormat="false" ht="27" hidden="false" customHeight="true" outlineLevel="0" collapsed="false">
      <c r="B7" s="397" t="s">
        <v>103</v>
      </c>
      <c r="C7" s="398" t="s">
        <v>104</v>
      </c>
      <c r="D7" s="399"/>
      <c r="E7" s="400"/>
      <c r="F7" s="400"/>
      <c r="G7" s="400"/>
      <c r="H7" s="401"/>
      <c r="I7" s="402"/>
      <c r="J7" s="399"/>
      <c r="K7" s="400"/>
      <c r="L7" s="400"/>
      <c r="M7" s="400"/>
      <c r="N7" s="401"/>
      <c r="O7" s="403"/>
      <c r="P7" s="399"/>
      <c r="Q7" s="400"/>
      <c r="R7" s="400"/>
      <c r="S7" s="400"/>
      <c r="T7" s="401"/>
      <c r="U7" s="404"/>
      <c r="V7" s="399"/>
      <c r="W7" s="400"/>
      <c r="X7" s="400"/>
      <c r="Y7" s="400"/>
      <c r="Z7" s="400"/>
      <c r="AA7" s="400"/>
      <c r="AB7" s="401"/>
      <c r="AC7" s="403"/>
      <c r="AD7" s="399"/>
      <c r="AE7" s="400"/>
      <c r="AF7" s="400"/>
      <c r="AG7" s="400"/>
      <c r="AH7" s="400"/>
      <c r="AI7" s="400"/>
      <c r="AJ7" s="401"/>
      <c r="AK7" s="403"/>
      <c r="AL7" s="399"/>
      <c r="AM7" s="400"/>
      <c r="AN7" s="400"/>
      <c r="AO7" s="400"/>
      <c r="AP7" s="400"/>
      <c r="AQ7" s="400"/>
      <c r="AR7" s="400"/>
      <c r="AS7" s="401"/>
      <c r="AT7" s="405"/>
      <c r="AU7" s="399"/>
      <c r="AV7" s="400"/>
      <c r="AW7" s="400"/>
      <c r="AX7" s="400"/>
      <c r="AY7" s="400"/>
      <c r="AZ7" s="400"/>
      <c r="BA7" s="406"/>
      <c r="BB7" s="403"/>
      <c r="BC7" s="399"/>
      <c r="BD7" s="400"/>
      <c r="BE7" s="400"/>
      <c r="BF7" s="400"/>
      <c r="BG7" s="400"/>
      <c r="BH7" s="400"/>
      <c r="BI7" s="406"/>
      <c r="BJ7" s="407"/>
      <c r="BK7" s="399"/>
      <c r="BL7" s="400"/>
      <c r="BM7" s="400"/>
      <c r="BN7" s="400"/>
      <c r="BO7" s="400"/>
      <c r="BP7" s="400"/>
      <c r="BQ7" s="400"/>
      <c r="BR7" s="406"/>
      <c r="BS7" s="407"/>
      <c r="BT7" s="399"/>
      <c r="BU7" s="400"/>
      <c r="BV7" s="400"/>
      <c r="BW7" s="400"/>
      <c r="BX7" s="400"/>
      <c r="BY7" s="400"/>
      <c r="BZ7" s="406"/>
      <c r="CA7" s="373"/>
      <c r="CB7" s="399"/>
      <c r="CC7" s="400"/>
      <c r="CD7" s="399"/>
      <c r="CE7" s="400"/>
      <c r="CF7" s="400"/>
      <c r="CG7" s="400"/>
      <c r="CH7" s="406"/>
      <c r="CI7" s="373"/>
      <c r="CJ7" s="399"/>
      <c r="CK7" s="400"/>
      <c r="CL7" s="399"/>
      <c r="CM7" s="400"/>
      <c r="CN7" s="400"/>
      <c r="CO7" s="400"/>
      <c r="CP7" s="406"/>
      <c r="CQ7" s="403"/>
      <c r="CR7" s="408"/>
      <c r="CS7" s="400"/>
      <c r="CT7" s="409"/>
      <c r="CU7" s="400" t="n">
        <f aca="false">+CR7-CS7</f>
        <v>0</v>
      </c>
      <c r="CV7" s="400" t="n">
        <f aca="false">+CR7-CT7</f>
        <v>0</v>
      </c>
      <c r="CW7" s="400"/>
      <c r="CX7" s="401" t="str">
        <f aca="false">IFERROR(CR7/CW7-1, "-")</f>
        <v>-</v>
      </c>
      <c r="CY7" s="410"/>
      <c r="CZ7" s="411"/>
      <c r="DA7" s="400"/>
      <c r="DB7" s="400"/>
      <c r="DC7" s="400"/>
      <c r="DD7" s="400"/>
      <c r="DE7" s="401" t="e">
        <f aca="false">+CZ7/DD7-1</f>
        <v>#DIV/0!</v>
      </c>
      <c r="DF7" s="401" t="e">
        <f aca="false">+DA7/DD7-1</f>
        <v>#DIV/0!</v>
      </c>
      <c r="DG7" s="412" t="e">
        <f aca="false">+DB7/DD7-1</f>
        <v>#DIV/0!</v>
      </c>
      <c r="DH7" s="412" t="e">
        <f aca="false">+DC7/DD7-1</f>
        <v>#DIV/0!</v>
      </c>
      <c r="DI7" s="413"/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413"/>
      <c r="DO7" s="413"/>
      <c r="DP7" s="414" t="e">
        <f aca="false">SUM(DP9,DP40,DP57,DP113,DP167,DP184,DP201)</f>
        <v>#VALUE!</v>
      </c>
      <c r="DQ7" s="415" t="e">
        <f aca="false">-CR7+DP7/10^6</f>
        <v>#VALUE!</v>
      </c>
      <c r="DR7" s="117" t="n">
        <f aca="false">SUM(E7,K7,Q7,W7,AE7,AM7,AV7,BD7,BL7,BU7,CC7,CK7)-CS7</f>
        <v>0</v>
      </c>
      <c r="DS7" s="117" t="n">
        <f aca="false">SUM(D7,J7,P7,V7,AD7,AL7,AU7,BC7,,BN7,BV7,CD7,CL7)-CT7</f>
        <v>0</v>
      </c>
      <c r="DT7" s="416"/>
      <c r="DU7" s="417" t="n">
        <v>6509.755730075</v>
      </c>
      <c r="DV7" s="418" t="n">
        <f aca="false">DU7-CJ7</f>
        <v>6509.755730075</v>
      </c>
      <c r="EB7" s="419"/>
    </row>
    <row r="8" customFormat="false" ht="4.5" hidden="false" customHeight="true" outlineLevel="0" collapsed="false">
      <c r="B8" s="420"/>
      <c r="C8" s="398" t="s">
        <v>105</v>
      </c>
      <c r="D8" s="281"/>
      <c r="E8" s="144"/>
      <c r="F8" s="144"/>
      <c r="G8" s="421"/>
      <c r="H8" s="245"/>
      <c r="I8" s="422"/>
      <c r="J8" s="281"/>
      <c r="K8" s="144"/>
      <c r="L8" s="144"/>
      <c r="M8" s="421"/>
      <c r="N8" s="245"/>
      <c r="O8" s="422"/>
      <c r="P8" s="281"/>
      <c r="Q8" s="144"/>
      <c r="R8" s="144"/>
      <c r="S8" s="421"/>
      <c r="T8" s="245"/>
      <c r="U8" s="423"/>
      <c r="V8" s="281"/>
      <c r="W8" s="144"/>
      <c r="X8" s="144"/>
      <c r="Y8" s="144"/>
      <c r="Z8" s="144"/>
      <c r="AA8" s="421"/>
      <c r="AB8" s="245"/>
      <c r="AC8" s="422"/>
      <c r="AD8" s="281"/>
      <c r="AE8" s="144"/>
      <c r="AF8" s="144"/>
      <c r="AG8" s="144"/>
      <c r="AH8" s="144"/>
      <c r="AI8" s="421"/>
      <c r="AJ8" s="245"/>
      <c r="AK8" s="422"/>
      <c r="AL8" s="281"/>
      <c r="AM8" s="144"/>
      <c r="AN8" s="144"/>
      <c r="AO8" s="144"/>
      <c r="AP8" s="144"/>
      <c r="AQ8" s="144"/>
      <c r="AR8" s="421"/>
      <c r="AS8" s="245"/>
      <c r="AT8" s="424"/>
      <c r="AU8" s="281"/>
      <c r="AV8" s="144"/>
      <c r="AW8" s="144"/>
      <c r="AX8" s="144"/>
      <c r="AY8" s="144"/>
      <c r="AZ8" s="421"/>
      <c r="BA8" s="245"/>
      <c r="BB8" s="422"/>
      <c r="BC8" s="281"/>
      <c r="BD8" s="144"/>
      <c r="BE8" s="144"/>
      <c r="BF8" s="144"/>
      <c r="BG8" s="144"/>
      <c r="BH8" s="421"/>
      <c r="BI8" s="245"/>
      <c r="BJ8" s="423"/>
      <c r="BK8" s="281"/>
      <c r="BL8" s="144"/>
      <c r="BM8" s="144"/>
      <c r="BN8" s="144"/>
      <c r="BO8" s="144"/>
      <c r="BP8" s="144"/>
      <c r="BQ8" s="421"/>
      <c r="BR8" s="245"/>
      <c r="BS8" s="423"/>
      <c r="BT8" s="281"/>
      <c r="BU8" s="144"/>
      <c r="BV8" s="144"/>
      <c r="BW8" s="144"/>
      <c r="BX8" s="144"/>
      <c r="BY8" s="421"/>
      <c r="BZ8" s="245"/>
      <c r="CA8" s="373"/>
      <c r="CB8" s="281"/>
      <c r="CC8" s="144"/>
      <c r="CD8" s="144"/>
      <c r="CE8" s="144"/>
      <c r="CF8" s="144"/>
      <c r="CG8" s="421"/>
      <c r="CH8" s="245"/>
      <c r="CI8" s="373"/>
      <c r="CJ8" s="281"/>
      <c r="CK8" s="144"/>
      <c r="CL8" s="144"/>
      <c r="CM8" s="144"/>
      <c r="CN8" s="144"/>
      <c r="CO8" s="421"/>
      <c r="CP8" s="245"/>
      <c r="CQ8" s="422"/>
      <c r="CR8" s="281"/>
      <c r="CS8" s="144"/>
      <c r="CT8" s="144"/>
      <c r="CU8" s="144"/>
      <c r="CV8" s="144"/>
      <c r="CW8" s="144"/>
      <c r="CX8" s="245" t="str">
        <f aca="false">IFERROR(CR8/CW8-1, "-")</f>
        <v>-</v>
      </c>
      <c r="CY8" s="425"/>
      <c r="CZ8" s="426"/>
      <c r="DA8" s="144"/>
      <c r="DB8" s="144"/>
      <c r="DC8" s="144"/>
      <c r="DD8" s="144"/>
      <c r="DE8" s="245"/>
      <c r="DF8" s="245"/>
      <c r="DG8" s="427"/>
      <c r="DH8" s="427"/>
      <c r="DI8" s="413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N8" s="413"/>
      <c r="DO8" s="413"/>
      <c r="DP8" s="428"/>
      <c r="DQ8" s="415" t="n">
        <f aca="false">-CR8+DP8/10^6</f>
        <v>0</v>
      </c>
      <c r="DR8" s="117" t="n">
        <f aca="false">SUM(E8,K8,Q8,W8,AE8,AM8,AV8,BD8,BL8,BU8,CC8,CK8)-CS8</f>
        <v>0</v>
      </c>
      <c r="DS8" s="117" t="n">
        <f aca="false">SUM(D8,J8,P8,V8,AD8,AL8,AU8,BC8,,BN8,BV8,CD8,CL8)-CT8</f>
        <v>0</v>
      </c>
      <c r="DT8" s="416"/>
      <c r="DU8" s="417"/>
      <c r="DV8" s="418" t="n">
        <f aca="false">DU8-CJ8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  <c r="EB8" s="419"/>
    </row>
    <row r="9" customFormat="false" ht="22.5" hidden="false" customHeight="true" outlineLevel="0" collapsed="false">
      <c r="B9" s="429" t="s">
        <v>106</v>
      </c>
      <c r="C9" s="398" t="s">
        <v>107</v>
      </c>
      <c r="D9" s="399"/>
      <c r="E9" s="400"/>
      <c r="F9" s="400"/>
      <c r="G9" s="400"/>
      <c r="H9" s="401"/>
      <c r="I9" s="402"/>
      <c r="J9" s="399"/>
      <c r="K9" s="400"/>
      <c r="L9" s="400"/>
      <c r="M9" s="400"/>
      <c r="N9" s="401"/>
      <c r="O9" s="403"/>
      <c r="P9" s="399"/>
      <c r="Q9" s="400"/>
      <c r="R9" s="400"/>
      <c r="S9" s="400"/>
      <c r="T9" s="401"/>
      <c r="U9" s="404"/>
      <c r="V9" s="399"/>
      <c r="W9" s="400"/>
      <c r="X9" s="400"/>
      <c r="Y9" s="400"/>
      <c r="Z9" s="400"/>
      <c r="AA9" s="400"/>
      <c r="AB9" s="401"/>
      <c r="AC9" s="403"/>
      <c r="AD9" s="399"/>
      <c r="AE9" s="400"/>
      <c r="AF9" s="400"/>
      <c r="AG9" s="400"/>
      <c r="AH9" s="400"/>
      <c r="AI9" s="400"/>
      <c r="AJ9" s="401"/>
      <c r="AK9" s="403"/>
      <c r="AL9" s="399"/>
      <c r="AM9" s="400"/>
      <c r="AN9" s="400"/>
      <c r="AO9" s="400"/>
      <c r="AP9" s="400"/>
      <c r="AQ9" s="400"/>
      <c r="AR9" s="400"/>
      <c r="AS9" s="401"/>
      <c r="AT9" s="405"/>
      <c r="AU9" s="399"/>
      <c r="AV9" s="400"/>
      <c r="AW9" s="400"/>
      <c r="AX9" s="400"/>
      <c r="AY9" s="400"/>
      <c r="AZ9" s="400"/>
      <c r="BA9" s="401"/>
      <c r="BB9" s="403"/>
      <c r="BC9" s="399"/>
      <c r="BD9" s="400"/>
      <c r="BE9" s="400"/>
      <c r="BF9" s="400"/>
      <c r="BG9" s="400"/>
      <c r="BH9" s="400"/>
      <c r="BI9" s="401"/>
      <c r="BJ9" s="407"/>
      <c r="BK9" s="399"/>
      <c r="BL9" s="400"/>
      <c r="BM9" s="400"/>
      <c r="BN9" s="400"/>
      <c r="BO9" s="400"/>
      <c r="BP9" s="400"/>
      <c r="BQ9" s="400"/>
      <c r="BR9" s="401"/>
      <c r="BS9" s="407"/>
      <c r="BT9" s="399"/>
      <c r="BU9" s="400"/>
      <c r="BV9" s="400"/>
      <c r="BW9" s="400"/>
      <c r="BX9" s="400"/>
      <c r="BY9" s="400"/>
      <c r="BZ9" s="401"/>
      <c r="CA9" s="373"/>
      <c r="CB9" s="399"/>
      <c r="CC9" s="400"/>
      <c r="CD9" s="400"/>
      <c r="CE9" s="400"/>
      <c r="CF9" s="400"/>
      <c r="CG9" s="400"/>
      <c r="CH9" s="406"/>
      <c r="CI9" s="373"/>
      <c r="CJ9" s="399"/>
      <c r="CK9" s="400"/>
      <c r="CL9" s="400"/>
      <c r="CM9" s="400"/>
      <c r="CN9" s="400"/>
      <c r="CO9" s="400"/>
      <c r="CP9" s="406"/>
      <c r="CQ9" s="403"/>
      <c r="CR9" s="408"/>
      <c r="CS9" s="400"/>
      <c r="CT9" s="400"/>
      <c r="CU9" s="400" t="n">
        <f aca="false">+CR9-CS9</f>
        <v>0</v>
      </c>
      <c r="CV9" s="400" t="n">
        <f aca="false">+CR9-CT9</f>
        <v>0</v>
      </c>
      <c r="CW9" s="400"/>
      <c r="CX9" s="401" t="str">
        <f aca="false">IFERROR(CR9/CW9-1, "-")</f>
        <v>-</v>
      </c>
      <c r="CY9" s="410"/>
      <c r="CZ9" s="411"/>
      <c r="DA9" s="400"/>
      <c r="DB9" s="400"/>
      <c r="DC9" s="400"/>
      <c r="DD9" s="400"/>
      <c r="DE9" s="401" t="e">
        <f aca="false">+CZ9/DD9-1</f>
        <v>#DIV/0!</v>
      </c>
      <c r="DF9" s="401" t="e">
        <f aca="false">+DA9/DD9-1</f>
        <v>#DIV/0!</v>
      </c>
      <c r="DG9" s="412" t="e">
        <f aca="false">+DB9/DD9-1</f>
        <v>#DIV/0!</v>
      </c>
      <c r="DH9" s="412" t="e">
        <f aca="false">+DC9/DD9-1</f>
        <v>#DIV/0!</v>
      </c>
      <c r="DI9" s="413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N9" s="413"/>
      <c r="DO9" s="413"/>
      <c r="DP9" s="414" t="e">
        <f aca="false">SUM(DP10:DP38)</f>
        <v>#VALUE!</v>
      </c>
      <c r="DQ9" s="415" t="e">
        <f aca="false">-CR9+DP9/10^6</f>
        <v>#VALUE!</v>
      </c>
      <c r="DR9" s="117" t="n">
        <f aca="false">SUM(E9,K9,Q9,W9,AE9,AM9,AV9,BD9,BL9,BU9,CC9,CK9)-CS9</f>
        <v>0</v>
      </c>
      <c r="DS9" s="117" t="n">
        <f aca="false">SUM(D9,J9,P9,V9,AD9,AL9,AU9,BC9,,BN9,BV9,CD9,CL9)-CT9</f>
        <v>0</v>
      </c>
      <c r="DT9" s="416"/>
      <c r="DU9" s="417" t="n">
        <v>438.171528075</v>
      </c>
      <c r="DV9" s="418" t="n">
        <f aca="false">DU9-CJ9</f>
        <v>438.171528075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  <c r="EB9" s="419"/>
    </row>
    <row r="10" s="441" customFormat="true" ht="18.75" hidden="false" customHeight="true" outlineLevel="1" collapsed="false">
      <c r="A10" s="286"/>
      <c r="B10" s="430" t="s">
        <v>108</v>
      </c>
      <c r="C10" s="431" t="s">
        <v>109</v>
      </c>
      <c r="D10" s="432"/>
      <c r="E10" s="433"/>
      <c r="F10" s="433"/>
      <c r="G10" s="433"/>
      <c r="H10" s="434"/>
      <c r="I10" s="422"/>
      <c r="J10" s="432"/>
      <c r="K10" s="433"/>
      <c r="L10" s="433"/>
      <c r="M10" s="433"/>
      <c r="N10" s="434"/>
      <c r="O10" s="435"/>
      <c r="P10" s="432"/>
      <c r="Q10" s="433"/>
      <c r="R10" s="433"/>
      <c r="S10" s="433"/>
      <c r="T10" s="434"/>
      <c r="U10" s="423"/>
      <c r="V10" s="432"/>
      <c r="W10" s="433"/>
      <c r="X10" s="433"/>
      <c r="Y10" s="433"/>
      <c r="Z10" s="433"/>
      <c r="AA10" s="433"/>
      <c r="AB10" s="434"/>
      <c r="AC10" s="435"/>
      <c r="AD10" s="432"/>
      <c r="AE10" s="433"/>
      <c r="AF10" s="433"/>
      <c r="AG10" s="433"/>
      <c r="AH10" s="433"/>
      <c r="AI10" s="433"/>
      <c r="AJ10" s="434"/>
      <c r="AK10" s="435"/>
      <c r="AL10" s="432"/>
      <c r="AM10" s="433"/>
      <c r="AN10" s="433"/>
      <c r="AO10" s="433"/>
      <c r="AP10" s="433"/>
      <c r="AQ10" s="433"/>
      <c r="AR10" s="433"/>
      <c r="AS10" s="434"/>
      <c r="AT10" s="424"/>
      <c r="AU10" s="432"/>
      <c r="AV10" s="433"/>
      <c r="AW10" s="433"/>
      <c r="AX10" s="433"/>
      <c r="AY10" s="433"/>
      <c r="AZ10" s="433"/>
      <c r="BA10" s="434"/>
      <c r="BB10" s="435"/>
      <c r="BC10" s="432"/>
      <c r="BD10" s="433"/>
      <c r="BE10" s="433"/>
      <c r="BF10" s="433"/>
      <c r="BG10" s="433"/>
      <c r="BH10" s="433"/>
      <c r="BI10" s="434"/>
      <c r="BJ10" s="436"/>
      <c r="BK10" s="432"/>
      <c r="BL10" s="433"/>
      <c r="BM10" s="433"/>
      <c r="BN10" s="433"/>
      <c r="BO10" s="433"/>
      <c r="BP10" s="433"/>
      <c r="BQ10" s="433"/>
      <c r="BR10" s="434"/>
      <c r="BS10" s="436"/>
      <c r="BT10" s="432"/>
      <c r="BU10" s="433"/>
      <c r="BV10" s="433"/>
      <c r="BW10" s="433"/>
      <c r="BX10" s="433"/>
      <c r="BY10" s="433"/>
      <c r="BZ10" s="434"/>
      <c r="CA10" s="373"/>
      <c r="CB10" s="432"/>
      <c r="CC10" s="433"/>
      <c r="CD10" s="433"/>
      <c r="CE10" s="433"/>
      <c r="CF10" s="433"/>
      <c r="CG10" s="433"/>
      <c r="CH10" s="434"/>
      <c r="CI10" s="373"/>
      <c r="CJ10" s="432"/>
      <c r="CK10" s="433"/>
      <c r="CL10" s="433"/>
      <c r="CM10" s="433"/>
      <c r="CN10" s="433"/>
      <c r="CO10" s="433"/>
      <c r="CP10" s="434"/>
      <c r="CQ10" s="435"/>
      <c r="CR10" s="432"/>
      <c r="CS10" s="433"/>
      <c r="CT10" s="433"/>
      <c r="CU10" s="433" t="n">
        <f aca="false">+CR10-CS10</f>
        <v>0</v>
      </c>
      <c r="CV10" s="433" t="n">
        <f aca="false">+CR10-CT10</f>
        <v>0</v>
      </c>
      <c r="CW10" s="433"/>
      <c r="CX10" s="434" t="str">
        <f aca="false">IFERROR(CR10/CW10-1, "-")</f>
        <v>-</v>
      </c>
      <c r="CY10" s="425"/>
      <c r="CZ10" s="437"/>
      <c r="DA10" s="433"/>
      <c r="DB10" s="433"/>
      <c r="DC10" s="433"/>
      <c r="DD10" s="433"/>
      <c r="DE10" s="434"/>
      <c r="DF10" s="434"/>
      <c r="DG10" s="438"/>
      <c r="DH10" s="438"/>
      <c r="DI10" s="413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N10" s="413"/>
      <c r="DO10" s="413"/>
      <c r="DP10" s="439"/>
      <c r="DQ10" s="415" t="n">
        <f aca="false">-CR10+DP10/10^6</f>
        <v>0</v>
      </c>
      <c r="DR10" s="117" t="n">
        <f aca="false">SUM(E10,K10,Q10,W10,AE10,AM10,AV10,BD10,BL10,BU10,CC10,CK10)-CS10</f>
        <v>0</v>
      </c>
      <c r="DS10" s="117" t="n">
        <f aca="false">SUM(D10,J10,P10,V10,AD10,AL10,AU10,BC10,,BN10,BV10,CD10,CL10)-CT10</f>
        <v>0</v>
      </c>
      <c r="DT10" s="416"/>
      <c r="DU10" s="440"/>
      <c r="DV10" s="418" t="n">
        <f aca="false">DU10-CJ10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  <c r="EB10" s="419"/>
    </row>
    <row r="11" s="441" customFormat="true" ht="19.5" hidden="false" customHeight="true" outlineLevel="1" collapsed="false">
      <c r="A11" s="286"/>
      <c r="B11" s="430" t="s">
        <v>110</v>
      </c>
      <c r="C11" s="431" t="s">
        <v>111</v>
      </c>
      <c r="D11" s="432"/>
      <c r="E11" s="433"/>
      <c r="F11" s="433"/>
      <c r="G11" s="433"/>
      <c r="H11" s="434"/>
      <c r="I11" s="422"/>
      <c r="J11" s="432"/>
      <c r="K11" s="433"/>
      <c r="L11" s="433"/>
      <c r="M11" s="433"/>
      <c r="N11" s="434"/>
      <c r="O11" s="435"/>
      <c r="P11" s="432"/>
      <c r="Q11" s="433"/>
      <c r="R11" s="433"/>
      <c r="S11" s="433"/>
      <c r="T11" s="434"/>
      <c r="U11" s="423"/>
      <c r="V11" s="432"/>
      <c r="W11" s="433"/>
      <c r="X11" s="433"/>
      <c r="Y11" s="433"/>
      <c r="Z11" s="433"/>
      <c r="AA11" s="433"/>
      <c r="AB11" s="434"/>
      <c r="AC11" s="435"/>
      <c r="AD11" s="432"/>
      <c r="AE11" s="433"/>
      <c r="AF11" s="433"/>
      <c r="AG11" s="433"/>
      <c r="AH11" s="433"/>
      <c r="AI11" s="433"/>
      <c r="AJ11" s="434"/>
      <c r="AK11" s="435"/>
      <c r="AL11" s="432"/>
      <c r="AM11" s="433"/>
      <c r="AN11" s="433"/>
      <c r="AO11" s="433"/>
      <c r="AP11" s="433"/>
      <c r="AQ11" s="433"/>
      <c r="AR11" s="433"/>
      <c r="AS11" s="434"/>
      <c r="AT11" s="424"/>
      <c r="AU11" s="432"/>
      <c r="AV11" s="433"/>
      <c r="AW11" s="433"/>
      <c r="AX11" s="433"/>
      <c r="AY11" s="433"/>
      <c r="AZ11" s="433"/>
      <c r="BA11" s="434"/>
      <c r="BB11" s="435"/>
      <c r="BC11" s="432"/>
      <c r="BD11" s="433"/>
      <c r="BE11" s="433"/>
      <c r="BF11" s="433"/>
      <c r="BG11" s="433"/>
      <c r="BH11" s="433"/>
      <c r="BI11" s="434"/>
      <c r="BJ11" s="436"/>
      <c r="BK11" s="432"/>
      <c r="BL11" s="433"/>
      <c r="BM11" s="433"/>
      <c r="BN11" s="433"/>
      <c r="BO11" s="433"/>
      <c r="BP11" s="433"/>
      <c r="BQ11" s="433"/>
      <c r="BR11" s="434"/>
      <c r="BS11" s="436"/>
      <c r="BT11" s="432"/>
      <c r="BU11" s="433"/>
      <c r="BV11" s="433"/>
      <c r="BW11" s="433"/>
      <c r="BX11" s="433"/>
      <c r="BY11" s="433"/>
      <c r="BZ11" s="434"/>
      <c r="CA11" s="373"/>
      <c r="CB11" s="442"/>
      <c r="CC11" s="433"/>
      <c r="CD11" s="433"/>
      <c r="CE11" s="433"/>
      <c r="CF11" s="433"/>
      <c r="CG11" s="433"/>
      <c r="CH11" s="434"/>
      <c r="CI11" s="373"/>
      <c r="CJ11" s="442"/>
      <c r="CK11" s="433"/>
      <c r="CL11" s="433"/>
      <c r="CM11" s="433"/>
      <c r="CN11" s="433"/>
      <c r="CO11" s="433"/>
      <c r="CP11" s="434"/>
      <c r="CQ11" s="435"/>
      <c r="CR11" s="432"/>
      <c r="CS11" s="433"/>
      <c r="CT11" s="433"/>
      <c r="CU11" s="433" t="n">
        <f aca="false">+CR11-CS11</f>
        <v>0</v>
      </c>
      <c r="CV11" s="433" t="n">
        <f aca="false">+CR11-CT11</f>
        <v>0</v>
      </c>
      <c r="CW11" s="433"/>
      <c r="CX11" s="434" t="str">
        <f aca="false">IFERROR(CR11/CW11-1, "-")</f>
        <v>-</v>
      </c>
      <c r="CY11" s="425"/>
      <c r="CZ11" s="437"/>
      <c r="DA11" s="433"/>
      <c r="DB11" s="433"/>
      <c r="DC11" s="433"/>
      <c r="DD11" s="433"/>
      <c r="DE11" s="434" t="e">
        <f aca="false">+CZ11/DD11-1</f>
        <v>#DIV/0!</v>
      </c>
      <c r="DF11" s="434" t="e">
        <f aca="false">+DA11/DD11-1</f>
        <v>#DIV/0!</v>
      </c>
      <c r="DG11" s="438" t="e">
        <f aca="false">+DB11/DD11-1</f>
        <v>#DIV/0!</v>
      </c>
      <c r="DH11" s="438" t="e">
        <f aca="false">+DC11/DD11-1</f>
        <v>#DIV/0!</v>
      </c>
      <c r="DI11" s="413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413"/>
      <c r="DO11" s="413"/>
      <c r="DP11" s="439" t="e">
        <f aca="false">#VALUE!</f>
        <v>#VALUE!</v>
      </c>
      <c r="DQ11" s="415" t="e">
        <f aca="false">-CR11+DP11/10^6</f>
        <v>#VALUE!</v>
      </c>
      <c r="DR11" s="117" t="n">
        <f aca="false">SUM(E11,K11,Q11,W11,AE11,AM11,AV11,BD11,BL11,BU11,CC11,CK11)-CS11</f>
        <v>0</v>
      </c>
      <c r="DS11" s="117" t="n">
        <f aca="false">SUM(D11,J11,P11,V11,AD11,AL11,AU11,BC11,,BN11,BV11,CD11,CL11)-CT11</f>
        <v>0</v>
      </c>
      <c r="DT11" s="416" t="e">
        <f aca="false">DQ11/11</f>
        <v>#VALUE!</v>
      </c>
      <c r="DU11" s="440" t="n">
        <v>262.723759075</v>
      </c>
      <c r="DV11" s="418" t="n">
        <f aca="false">DU11-CJ11</f>
        <v>262.723759075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  <c r="EB11" s="419"/>
    </row>
    <row r="12" s="441" customFormat="true" ht="19.5" hidden="false" customHeight="true" outlineLevel="1" collapsed="false">
      <c r="A12" s="286"/>
      <c r="B12" s="430" t="s">
        <v>112</v>
      </c>
      <c r="C12" s="431" t="s">
        <v>113</v>
      </c>
      <c r="D12" s="432"/>
      <c r="E12" s="433"/>
      <c r="F12" s="433"/>
      <c r="G12" s="433"/>
      <c r="H12" s="434"/>
      <c r="I12" s="422"/>
      <c r="J12" s="432"/>
      <c r="K12" s="433"/>
      <c r="L12" s="433"/>
      <c r="M12" s="433"/>
      <c r="N12" s="434"/>
      <c r="O12" s="435"/>
      <c r="P12" s="432"/>
      <c r="Q12" s="433"/>
      <c r="R12" s="433"/>
      <c r="S12" s="433"/>
      <c r="T12" s="434"/>
      <c r="U12" s="423"/>
      <c r="V12" s="432"/>
      <c r="W12" s="433"/>
      <c r="X12" s="433"/>
      <c r="Y12" s="433"/>
      <c r="Z12" s="433"/>
      <c r="AA12" s="433"/>
      <c r="AB12" s="434"/>
      <c r="AC12" s="435"/>
      <c r="AD12" s="432"/>
      <c r="AE12" s="433"/>
      <c r="AF12" s="433"/>
      <c r="AG12" s="433"/>
      <c r="AH12" s="433"/>
      <c r="AI12" s="433"/>
      <c r="AJ12" s="434"/>
      <c r="AK12" s="435"/>
      <c r="AL12" s="432"/>
      <c r="AM12" s="433"/>
      <c r="AN12" s="433"/>
      <c r="AO12" s="433"/>
      <c r="AP12" s="433"/>
      <c r="AQ12" s="433"/>
      <c r="AR12" s="433"/>
      <c r="AS12" s="434"/>
      <c r="AT12" s="424"/>
      <c r="AU12" s="432"/>
      <c r="AV12" s="433"/>
      <c r="AW12" s="433"/>
      <c r="AX12" s="433"/>
      <c r="AY12" s="433"/>
      <c r="AZ12" s="433"/>
      <c r="BA12" s="434"/>
      <c r="BB12" s="435"/>
      <c r="BC12" s="432"/>
      <c r="BD12" s="433"/>
      <c r="BE12" s="433"/>
      <c r="BF12" s="433"/>
      <c r="BG12" s="433"/>
      <c r="BH12" s="433"/>
      <c r="BI12" s="434"/>
      <c r="BJ12" s="436"/>
      <c r="BK12" s="432"/>
      <c r="BL12" s="433"/>
      <c r="BM12" s="433"/>
      <c r="BN12" s="433"/>
      <c r="BO12" s="433"/>
      <c r="BP12" s="433"/>
      <c r="BQ12" s="433"/>
      <c r="BR12" s="434"/>
      <c r="BS12" s="436"/>
      <c r="BT12" s="432"/>
      <c r="BU12" s="433"/>
      <c r="BV12" s="433"/>
      <c r="BW12" s="433"/>
      <c r="BX12" s="433"/>
      <c r="BY12" s="433"/>
      <c r="BZ12" s="434"/>
      <c r="CA12" s="373"/>
      <c r="CB12" s="432"/>
      <c r="CC12" s="433"/>
      <c r="CD12" s="433"/>
      <c r="CE12" s="433"/>
      <c r="CF12" s="433"/>
      <c r="CG12" s="433"/>
      <c r="CH12" s="434"/>
      <c r="CI12" s="373"/>
      <c r="CJ12" s="432"/>
      <c r="CK12" s="433"/>
      <c r="CL12" s="433"/>
      <c r="CM12" s="433"/>
      <c r="CN12" s="433"/>
      <c r="CO12" s="433"/>
      <c r="CP12" s="434"/>
      <c r="CQ12" s="435"/>
      <c r="CR12" s="432"/>
      <c r="CS12" s="433"/>
      <c r="CT12" s="433"/>
      <c r="CU12" s="433" t="n">
        <f aca="false">+CR12-CS12</f>
        <v>0</v>
      </c>
      <c r="CV12" s="433" t="n">
        <f aca="false">+CR12-CT12</f>
        <v>0</v>
      </c>
      <c r="CW12" s="433"/>
      <c r="CX12" s="434" t="str">
        <f aca="false">IFERROR(CR12/CW12-1, "-")</f>
        <v>-</v>
      </c>
      <c r="CY12" s="425"/>
      <c r="CZ12" s="437"/>
      <c r="DA12" s="433"/>
      <c r="DB12" s="433"/>
      <c r="DC12" s="433"/>
      <c r="DD12" s="433"/>
      <c r="DE12" s="434" t="e">
        <f aca="false">+CZ12/DD12-1</f>
        <v>#DIV/0!</v>
      </c>
      <c r="DF12" s="434" t="e">
        <f aca="false">+DA12/DD12-1</f>
        <v>#DIV/0!</v>
      </c>
      <c r="DG12" s="438" t="e">
        <f aca="false">+DB12/DD12-1</f>
        <v>#DIV/0!</v>
      </c>
      <c r="DH12" s="438" t="e">
        <f aca="false">+DC12/DD12-1</f>
        <v>#DIV/0!</v>
      </c>
      <c r="DI12" s="413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413"/>
      <c r="DO12" s="413"/>
      <c r="DP12" s="439" t="e">
        <f aca="false">#VALUE!</f>
        <v>#VALUE!</v>
      </c>
      <c r="DQ12" s="415" t="e">
        <f aca="false">-CR12+DP12/10^6</f>
        <v>#VALUE!</v>
      </c>
      <c r="DR12" s="117" t="n">
        <f aca="false">SUM(E12,K12,Q12,W12,AE12,AM12,AV12,BD12,BL12,BU12,CC12,CK12)-CS12</f>
        <v>0</v>
      </c>
      <c r="DS12" s="117" t="n">
        <f aca="false">SUM(D12,J12,P12,V12,AD12,AL12,AU12,BC12,,BN12,BV12,CD12,CL12)-CT12</f>
        <v>0</v>
      </c>
      <c r="DT12" s="416"/>
      <c r="DU12" s="440" t="n">
        <v>-31.251393</v>
      </c>
      <c r="DV12" s="418" t="n">
        <f aca="false">DU12-CJ12</f>
        <v>-31.251393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  <c r="EB12" s="419"/>
    </row>
    <row r="13" s="441" customFormat="true" ht="19.5" hidden="false" customHeight="true" outlineLevel="1" collapsed="false">
      <c r="A13" s="286"/>
      <c r="B13" s="430" t="s">
        <v>114</v>
      </c>
      <c r="C13" s="431" t="s">
        <v>115</v>
      </c>
      <c r="D13" s="432"/>
      <c r="E13" s="433"/>
      <c r="F13" s="433"/>
      <c r="G13" s="433"/>
      <c r="H13" s="434"/>
      <c r="I13" s="422"/>
      <c r="J13" s="432"/>
      <c r="K13" s="433"/>
      <c r="L13" s="433"/>
      <c r="M13" s="433"/>
      <c r="N13" s="434"/>
      <c r="O13" s="435"/>
      <c r="P13" s="432"/>
      <c r="Q13" s="433"/>
      <c r="R13" s="433"/>
      <c r="S13" s="433"/>
      <c r="T13" s="434"/>
      <c r="U13" s="423"/>
      <c r="V13" s="432"/>
      <c r="W13" s="433"/>
      <c r="X13" s="433"/>
      <c r="Y13" s="433"/>
      <c r="Z13" s="433"/>
      <c r="AA13" s="433"/>
      <c r="AB13" s="434"/>
      <c r="AC13" s="435"/>
      <c r="AD13" s="432"/>
      <c r="AE13" s="433"/>
      <c r="AF13" s="433"/>
      <c r="AG13" s="433"/>
      <c r="AH13" s="433"/>
      <c r="AI13" s="433"/>
      <c r="AJ13" s="434"/>
      <c r="AK13" s="435"/>
      <c r="AL13" s="432"/>
      <c r="AM13" s="433"/>
      <c r="AN13" s="433"/>
      <c r="AO13" s="433"/>
      <c r="AP13" s="433"/>
      <c r="AQ13" s="433"/>
      <c r="AR13" s="433"/>
      <c r="AS13" s="434"/>
      <c r="AT13" s="424"/>
      <c r="AU13" s="432"/>
      <c r="AV13" s="433"/>
      <c r="AW13" s="433"/>
      <c r="AX13" s="433"/>
      <c r="AY13" s="433"/>
      <c r="AZ13" s="433"/>
      <c r="BA13" s="434"/>
      <c r="BB13" s="435"/>
      <c r="BC13" s="432"/>
      <c r="BD13" s="433"/>
      <c r="BE13" s="433"/>
      <c r="BF13" s="433"/>
      <c r="BG13" s="433"/>
      <c r="BH13" s="433"/>
      <c r="BI13" s="434"/>
      <c r="BJ13" s="436"/>
      <c r="BK13" s="432"/>
      <c r="BL13" s="433"/>
      <c r="BM13" s="433"/>
      <c r="BN13" s="433"/>
      <c r="BO13" s="433"/>
      <c r="BP13" s="433"/>
      <c r="BQ13" s="433"/>
      <c r="BR13" s="434"/>
      <c r="BS13" s="436"/>
      <c r="BT13" s="432"/>
      <c r="BU13" s="433"/>
      <c r="BV13" s="433"/>
      <c r="BW13" s="433"/>
      <c r="BX13" s="433"/>
      <c r="BY13" s="433"/>
      <c r="BZ13" s="434"/>
      <c r="CA13" s="373"/>
      <c r="CB13" s="432"/>
      <c r="CC13" s="433"/>
      <c r="CD13" s="433"/>
      <c r="CE13" s="433"/>
      <c r="CF13" s="433"/>
      <c r="CG13" s="433"/>
      <c r="CH13" s="434"/>
      <c r="CI13" s="373"/>
      <c r="CJ13" s="432"/>
      <c r="CK13" s="433"/>
      <c r="CL13" s="433"/>
      <c r="CM13" s="433"/>
      <c r="CN13" s="433"/>
      <c r="CO13" s="433"/>
      <c r="CP13" s="434"/>
      <c r="CQ13" s="435"/>
      <c r="CR13" s="432"/>
      <c r="CS13" s="433"/>
      <c r="CT13" s="433"/>
      <c r="CU13" s="433" t="n">
        <f aca="false">+CR13-CS13</f>
        <v>0</v>
      </c>
      <c r="CV13" s="433" t="n">
        <f aca="false">+CR13-CT13</f>
        <v>0</v>
      </c>
      <c r="CW13" s="433"/>
      <c r="CX13" s="434" t="str">
        <f aca="false">IFERROR(CR13/CW13-1, "-")</f>
        <v>-</v>
      </c>
      <c r="CY13" s="425"/>
      <c r="CZ13" s="437"/>
      <c r="DA13" s="433"/>
      <c r="DB13" s="433"/>
      <c r="DC13" s="433"/>
      <c r="DD13" s="433"/>
      <c r="DE13" s="434" t="e">
        <f aca="false">+CZ13/DD13-1</f>
        <v>#DIV/0!</v>
      </c>
      <c r="DF13" s="434" t="e">
        <f aca="false">+DA13/DD13-1</f>
        <v>#DIV/0!</v>
      </c>
      <c r="DG13" s="438" t="e">
        <f aca="false">+DB13/DD13-1</f>
        <v>#DIV/0!</v>
      </c>
      <c r="DH13" s="438" t="e">
        <f aca="false">+DC13/DD13-1</f>
        <v>#DIV/0!</v>
      </c>
      <c r="DI13" s="413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413"/>
      <c r="DO13" s="413"/>
      <c r="DP13" s="439" t="e">
        <f aca="false">#VALUE!</f>
        <v>#VALUE!</v>
      </c>
      <c r="DQ13" s="415" t="e">
        <f aca="false">-CR13+DP13/10^6</f>
        <v>#VALUE!</v>
      </c>
      <c r="DR13" s="117" t="n">
        <f aca="false">SUM(E13,K13,Q13,W13,AE13,AM13,AV13,BD13,BL13,BU13,CC13,CK13)-CS13</f>
        <v>0</v>
      </c>
      <c r="DS13" s="117" t="n">
        <f aca="false">SUM(D13,J13,P13,V13,AD13,AL13,AU13,BC13,,BN13,BV13,CD13,CL13)-CT13</f>
        <v>0</v>
      </c>
      <c r="DT13" s="416"/>
      <c r="DU13" s="440" t="n">
        <v>68.494617</v>
      </c>
      <c r="DV13" s="418" t="n">
        <f aca="false">DU13-CJ13</f>
        <v>68.494617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  <c r="EB13" s="419"/>
    </row>
    <row r="14" s="441" customFormat="true" ht="19.5" hidden="false" customHeight="true" outlineLevel="1" collapsed="false">
      <c r="A14" s="286"/>
      <c r="B14" s="430" t="s">
        <v>116</v>
      </c>
      <c r="C14" s="431" t="s">
        <v>117</v>
      </c>
      <c r="D14" s="432"/>
      <c r="E14" s="433"/>
      <c r="F14" s="433"/>
      <c r="G14" s="433"/>
      <c r="H14" s="434"/>
      <c r="I14" s="422"/>
      <c r="J14" s="432"/>
      <c r="K14" s="433"/>
      <c r="L14" s="433"/>
      <c r="M14" s="433"/>
      <c r="N14" s="434"/>
      <c r="O14" s="435"/>
      <c r="P14" s="432"/>
      <c r="Q14" s="433"/>
      <c r="R14" s="433"/>
      <c r="S14" s="433"/>
      <c r="T14" s="434"/>
      <c r="U14" s="423"/>
      <c r="V14" s="432"/>
      <c r="W14" s="433"/>
      <c r="X14" s="433"/>
      <c r="Y14" s="433"/>
      <c r="Z14" s="433"/>
      <c r="AA14" s="433"/>
      <c r="AB14" s="434"/>
      <c r="AC14" s="435"/>
      <c r="AD14" s="432"/>
      <c r="AE14" s="433"/>
      <c r="AF14" s="433"/>
      <c r="AG14" s="433"/>
      <c r="AH14" s="433"/>
      <c r="AI14" s="433"/>
      <c r="AJ14" s="434"/>
      <c r="AK14" s="435"/>
      <c r="AL14" s="432"/>
      <c r="AM14" s="433"/>
      <c r="AN14" s="433"/>
      <c r="AO14" s="433"/>
      <c r="AP14" s="433"/>
      <c r="AQ14" s="433"/>
      <c r="AR14" s="433"/>
      <c r="AS14" s="434"/>
      <c r="AT14" s="424"/>
      <c r="AU14" s="432"/>
      <c r="AV14" s="433"/>
      <c r="AW14" s="433"/>
      <c r="AX14" s="433"/>
      <c r="AY14" s="433"/>
      <c r="AZ14" s="433"/>
      <c r="BA14" s="434"/>
      <c r="BB14" s="435"/>
      <c r="BC14" s="432"/>
      <c r="BD14" s="433"/>
      <c r="BE14" s="433"/>
      <c r="BF14" s="433"/>
      <c r="BG14" s="433"/>
      <c r="BH14" s="433"/>
      <c r="BI14" s="434"/>
      <c r="BJ14" s="436"/>
      <c r="BK14" s="432"/>
      <c r="BL14" s="433"/>
      <c r="BM14" s="433"/>
      <c r="BN14" s="433"/>
      <c r="BO14" s="433"/>
      <c r="BP14" s="433"/>
      <c r="BQ14" s="433"/>
      <c r="BR14" s="434"/>
      <c r="BS14" s="436"/>
      <c r="BT14" s="432"/>
      <c r="BU14" s="433"/>
      <c r="BV14" s="433"/>
      <c r="BW14" s="433"/>
      <c r="BX14" s="433"/>
      <c r="BY14" s="433"/>
      <c r="BZ14" s="434"/>
      <c r="CA14" s="373"/>
      <c r="CB14" s="432"/>
      <c r="CC14" s="433"/>
      <c r="CD14" s="433"/>
      <c r="CE14" s="433"/>
      <c r="CF14" s="433"/>
      <c r="CG14" s="443"/>
      <c r="CH14" s="434"/>
      <c r="CI14" s="373"/>
      <c r="CJ14" s="432"/>
      <c r="CK14" s="433"/>
      <c r="CL14" s="433"/>
      <c r="CM14" s="433"/>
      <c r="CN14" s="433"/>
      <c r="CO14" s="443"/>
      <c r="CP14" s="434"/>
      <c r="CQ14" s="435"/>
      <c r="CR14" s="432"/>
      <c r="CS14" s="433"/>
      <c r="CT14" s="433"/>
      <c r="CU14" s="433" t="n">
        <f aca="false">+CR14-CS14</f>
        <v>0</v>
      </c>
      <c r="CV14" s="433" t="n">
        <f aca="false">+CR14-CT14</f>
        <v>0</v>
      </c>
      <c r="CW14" s="433"/>
      <c r="CX14" s="434" t="str">
        <f aca="false">IFERROR(CR14/CW14-1, "-")</f>
        <v>-</v>
      </c>
      <c r="CY14" s="425"/>
      <c r="CZ14" s="437"/>
      <c r="DA14" s="433"/>
      <c r="DB14" s="433"/>
      <c r="DC14" s="433"/>
      <c r="DD14" s="433"/>
      <c r="DE14" s="434" t="e">
        <f aca="false">+CZ14/DD14-1</f>
        <v>#DIV/0!</v>
      </c>
      <c r="DF14" s="434" t="e">
        <f aca="false">+DA14/DD14-1</f>
        <v>#DIV/0!</v>
      </c>
      <c r="DG14" s="438" t="e">
        <f aca="false">+DB14/DD14-1</f>
        <v>#DIV/0!</v>
      </c>
      <c r="DH14" s="438" t="e">
        <f aca="false">+DC14/DD14-1</f>
        <v>#DIV/0!</v>
      </c>
      <c r="DI14" s="413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N14" s="413"/>
      <c r="DO14" s="413"/>
      <c r="DP14" s="439" t="e">
        <f aca="false">#VALUE!</f>
        <v>#VALUE!</v>
      </c>
      <c r="DQ14" s="415" t="e">
        <f aca="false">-CR14+DP14/10^6</f>
        <v>#VALUE!</v>
      </c>
      <c r="DR14" s="117" t="n">
        <f aca="false">SUM(E14,K14,Q14,W14,AE14,AM14,AV14,BD14,BL14,BU14,CC14,CK14)-CS14</f>
        <v>0</v>
      </c>
      <c r="DS14" s="117" t="n">
        <f aca="false">SUM(D14,J14,P14,V14,AD14,AL14,AU14,BC14,,BN14,BV14,CD14,CL14)-CT14</f>
        <v>0</v>
      </c>
      <c r="DT14" s="416"/>
      <c r="DU14" s="440" t="n">
        <v>14.369378</v>
      </c>
      <c r="DV14" s="418" t="n">
        <f aca="false">DU14-CJ14</f>
        <v>14.369378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  <c r="EB14" s="419"/>
    </row>
    <row r="15" s="441" customFormat="true" ht="19.5" hidden="false" customHeight="true" outlineLevel="1" collapsed="false">
      <c r="A15" s="286"/>
      <c r="B15" s="444" t="s">
        <v>118</v>
      </c>
      <c r="C15" s="431" t="s">
        <v>119</v>
      </c>
      <c r="D15" s="445"/>
      <c r="E15" s="446"/>
      <c r="F15" s="446"/>
      <c r="G15" s="446"/>
      <c r="H15" s="447"/>
      <c r="I15" s="422"/>
      <c r="J15" s="445"/>
      <c r="K15" s="446"/>
      <c r="L15" s="446"/>
      <c r="M15" s="446"/>
      <c r="N15" s="447"/>
      <c r="O15" s="448"/>
      <c r="P15" s="445"/>
      <c r="Q15" s="446"/>
      <c r="R15" s="446"/>
      <c r="S15" s="446"/>
      <c r="T15" s="447"/>
      <c r="U15" s="423"/>
      <c r="V15" s="445"/>
      <c r="W15" s="446"/>
      <c r="X15" s="446"/>
      <c r="Y15" s="446"/>
      <c r="Z15" s="446"/>
      <c r="AA15" s="446"/>
      <c r="AB15" s="447"/>
      <c r="AC15" s="448"/>
      <c r="AD15" s="445"/>
      <c r="AE15" s="446"/>
      <c r="AF15" s="446"/>
      <c r="AG15" s="446"/>
      <c r="AH15" s="446"/>
      <c r="AI15" s="446"/>
      <c r="AJ15" s="447"/>
      <c r="AK15" s="448"/>
      <c r="AL15" s="445"/>
      <c r="AM15" s="446"/>
      <c r="AN15" s="446"/>
      <c r="AO15" s="446"/>
      <c r="AP15" s="446"/>
      <c r="AQ15" s="446"/>
      <c r="AR15" s="446"/>
      <c r="AS15" s="447"/>
      <c r="AT15" s="424"/>
      <c r="AU15" s="445"/>
      <c r="AV15" s="446"/>
      <c r="AW15" s="446"/>
      <c r="AX15" s="446"/>
      <c r="AY15" s="446"/>
      <c r="AZ15" s="446"/>
      <c r="BA15" s="447"/>
      <c r="BB15" s="448"/>
      <c r="BC15" s="445"/>
      <c r="BD15" s="446"/>
      <c r="BE15" s="446"/>
      <c r="BF15" s="446"/>
      <c r="BG15" s="446"/>
      <c r="BH15" s="446"/>
      <c r="BI15" s="447"/>
      <c r="BJ15" s="449"/>
      <c r="BK15" s="445"/>
      <c r="BL15" s="446"/>
      <c r="BM15" s="446"/>
      <c r="BN15" s="446"/>
      <c r="BO15" s="433"/>
      <c r="BP15" s="433"/>
      <c r="BQ15" s="446"/>
      <c r="BR15" s="447"/>
      <c r="BS15" s="449"/>
      <c r="BT15" s="445"/>
      <c r="BU15" s="446"/>
      <c r="BV15" s="446"/>
      <c r="BW15" s="446"/>
      <c r="BX15" s="446"/>
      <c r="BY15" s="446"/>
      <c r="BZ15" s="447"/>
      <c r="CA15" s="373"/>
      <c r="CB15" s="445"/>
      <c r="CC15" s="446"/>
      <c r="CD15" s="446"/>
      <c r="CE15" s="446"/>
      <c r="CF15" s="446"/>
      <c r="CG15" s="446"/>
      <c r="CH15" s="447"/>
      <c r="CI15" s="373"/>
      <c r="CJ15" s="445"/>
      <c r="CK15" s="446"/>
      <c r="CL15" s="446"/>
      <c r="CM15" s="446"/>
      <c r="CN15" s="446"/>
      <c r="CO15" s="446"/>
      <c r="CP15" s="447"/>
      <c r="CQ15" s="448"/>
      <c r="CR15" s="445"/>
      <c r="CS15" s="447"/>
      <c r="CT15" s="450"/>
      <c r="CU15" s="447"/>
      <c r="CV15" s="447"/>
      <c r="CW15" s="447"/>
      <c r="CX15" s="447" t="str">
        <f aca="false">IFERROR(CR15/CW15-1, "-")</f>
        <v>-</v>
      </c>
      <c r="CY15" s="451"/>
      <c r="CZ15" s="452"/>
      <c r="DA15" s="446"/>
      <c r="DB15" s="446"/>
      <c r="DC15" s="446"/>
      <c r="DD15" s="446"/>
      <c r="DE15" s="447"/>
      <c r="DF15" s="447"/>
      <c r="DG15" s="453" t="e">
        <f aca="false">+DB15/DD15-1</f>
        <v>#DIV/0!</v>
      </c>
      <c r="DH15" s="453" t="e">
        <f aca="false">+DC15/DD15-1</f>
        <v>#DIV/0!</v>
      </c>
      <c r="DI15" s="413"/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N15" s="413"/>
      <c r="DO15" s="413"/>
      <c r="DP15" s="454"/>
      <c r="DQ15" s="415" t="n">
        <f aca="false">-CR15+DP15/10^6</f>
        <v>0</v>
      </c>
      <c r="DR15" s="117" t="n">
        <f aca="false">SUM(E15,K15,Q15,W15,AE15,AM15,AV15,BD15,BL15,BU15,CC15,CK15)-CS15</f>
        <v>0</v>
      </c>
      <c r="DS15" s="117" t="n">
        <f aca="false">SUM(D15,J15,P15,V15,AD15,AL15,AU15,BC15,,BN15,BV15,CD15,CL15)-CT15</f>
        <v>0</v>
      </c>
      <c r="DT15" s="416"/>
      <c r="DU15" s="440"/>
      <c r="DV15" s="418" t="n">
        <f aca="false">DU15-CJ15</f>
        <v>0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  <c r="EB15" s="419"/>
    </row>
    <row r="16" s="441" customFormat="true" ht="19.5" hidden="false" customHeight="true" outlineLevel="1" collapsed="false">
      <c r="A16" s="286"/>
      <c r="B16" s="430" t="s">
        <v>120</v>
      </c>
      <c r="C16" s="431" t="s">
        <v>121</v>
      </c>
      <c r="D16" s="432"/>
      <c r="E16" s="433"/>
      <c r="F16" s="433"/>
      <c r="G16" s="433"/>
      <c r="H16" s="434"/>
      <c r="I16" s="422"/>
      <c r="J16" s="432"/>
      <c r="K16" s="433"/>
      <c r="L16" s="433"/>
      <c r="M16" s="433"/>
      <c r="N16" s="434"/>
      <c r="O16" s="435"/>
      <c r="P16" s="432"/>
      <c r="Q16" s="433"/>
      <c r="R16" s="433"/>
      <c r="S16" s="433"/>
      <c r="T16" s="434"/>
      <c r="U16" s="423"/>
      <c r="V16" s="455"/>
      <c r="W16" s="433"/>
      <c r="X16" s="433"/>
      <c r="Y16" s="433"/>
      <c r="Z16" s="433"/>
      <c r="AA16" s="433"/>
      <c r="AB16" s="434"/>
      <c r="AC16" s="435"/>
      <c r="AD16" s="455"/>
      <c r="AE16" s="433"/>
      <c r="AF16" s="433"/>
      <c r="AG16" s="433"/>
      <c r="AH16" s="433"/>
      <c r="AI16" s="433"/>
      <c r="AJ16" s="434"/>
      <c r="AK16" s="435"/>
      <c r="AL16" s="455"/>
      <c r="AM16" s="433"/>
      <c r="AN16" s="433"/>
      <c r="AO16" s="433"/>
      <c r="AP16" s="433"/>
      <c r="AQ16" s="433"/>
      <c r="AR16" s="433"/>
      <c r="AS16" s="434"/>
      <c r="AT16" s="424"/>
      <c r="AU16" s="455"/>
      <c r="AV16" s="433"/>
      <c r="AW16" s="433"/>
      <c r="AX16" s="433"/>
      <c r="AY16" s="433"/>
      <c r="AZ16" s="433"/>
      <c r="BA16" s="434"/>
      <c r="BB16" s="435"/>
      <c r="BC16" s="455"/>
      <c r="BD16" s="433"/>
      <c r="BE16" s="433"/>
      <c r="BF16" s="433"/>
      <c r="BG16" s="433"/>
      <c r="BH16" s="433"/>
      <c r="BI16" s="434"/>
      <c r="BJ16" s="436"/>
      <c r="BK16" s="455"/>
      <c r="BL16" s="433"/>
      <c r="BM16" s="433"/>
      <c r="BN16" s="433"/>
      <c r="BO16" s="433"/>
      <c r="BP16" s="433"/>
      <c r="BQ16" s="433"/>
      <c r="BR16" s="434"/>
      <c r="BS16" s="436"/>
      <c r="BT16" s="455"/>
      <c r="BU16" s="433"/>
      <c r="BV16" s="433"/>
      <c r="BW16" s="433"/>
      <c r="BX16" s="433"/>
      <c r="BY16" s="433"/>
      <c r="BZ16" s="434"/>
      <c r="CA16" s="373"/>
      <c r="CB16" s="455"/>
      <c r="CC16" s="433"/>
      <c r="CD16" s="433"/>
      <c r="CE16" s="433"/>
      <c r="CF16" s="433"/>
      <c r="CG16" s="433"/>
      <c r="CH16" s="434"/>
      <c r="CI16" s="373"/>
      <c r="CJ16" s="455"/>
      <c r="CK16" s="433"/>
      <c r="CL16" s="433"/>
      <c r="CM16" s="433"/>
      <c r="CN16" s="433"/>
      <c r="CO16" s="433"/>
      <c r="CP16" s="434"/>
      <c r="CQ16" s="435"/>
      <c r="CR16" s="432"/>
      <c r="CS16" s="433"/>
      <c r="CT16" s="433"/>
      <c r="CU16" s="433" t="n">
        <f aca="false">+CR16-CS16</f>
        <v>0</v>
      </c>
      <c r="CV16" s="433" t="n">
        <f aca="false">+CR16-CT16</f>
        <v>0</v>
      </c>
      <c r="CW16" s="433"/>
      <c r="CX16" s="434" t="str">
        <f aca="false">IFERROR(CR16/CW16-1, "-")</f>
        <v>-</v>
      </c>
      <c r="CY16" s="425"/>
      <c r="CZ16" s="437"/>
      <c r="DA16" s="433"/>
      <c r="DB16" s="433"/>
      <c r="DC16" s="433"/>
      <c r="DD16" s="433"/>
      <c r="DE16" s="434" t="e">
        <f aca="false">+CZ16/DD16-1</f>
        <v>#DIV/0!</v>
      </c>
      <c r="DF16" s="434" t="e">
        <f aca="false">+DA16/DD16-1</f>
        <v>#DIV/0!</v>
      </c>
      <c r="DG16" s="438" t="e">
        <f aca="false">+DB16/DD16-1</f>
        <v>#DIV/0!</v>
      </c>
      <c r="DH16" s="438" t="e">
        <f aca="false">+DC16/DD16-1</f>
        <v>#DIV/0!</v>
      </c>
      <c r="DI16" s="413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N16" s="413"/>
      <c r="DO16" s="413"/>
      <c r="DP16" s="439" t="e">
        <f aca="false">#VALUE!</f>
        <v>#VALUE!</v>
      </c>
      <c r="DQ16" s="415" t="e">
        <f aca="false">-CR16+DP16/10^6</f>
        <v>#VALUE!</v>
      </c>
      <c r="DR16" s="117" t="n">
        <f aca="false">SUM(E16,K16,Q16,W16,AE16,AM16,AV16,BD16,BL16,BU16,CC16,CK16)-CS16</f>
        <v>0</v>
      </c>
      <c r="DS16" s="117" t="n">
        <f aca="false">SUM(D16,J16,P16,V16,AD16,AL16,AU16,BC16,,BN16,BV16,CD16,CL16)-CT16</f>
        <v>0</v>
      </c>
      <c r="DT16" s="415" t="n">
        <v>22.791149</v>
      </c>
      <c r="DU16" s="440" t="n">
        <v>89.601339</v>
      </c>
      <c r="DV16" s="418" t="n">
        <f aca="false">DU16-CJ16</f>
        <v>89.601339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  <c r="EB16" s="419"/>
    </row>
    <row r="17" s="441" customFormat="true" ht="19.5" hidden="false" customHeight="true" outlineLevel="1" collapsed="false">
      <c r="A17" s="286"/>
      <c r="B17" s="430" t="s">
        <v>122</v>
      </c>
      <c r="C17" s="431" t="s">
        <v>123</v>
      </c>
      <c r="D17" s="432"/>
      <c r="E17" s="433"/>
      <c r="F17" s="433"/>
      <c r="G17" s="433"/>
      <c r="H17" s="456"/>
      <c r="I17" s="457"/>
      <c r="J17" s="432"/>
      <c r="K17" s="433"/>
      <c r="L17" s="433"/>
      <c r="M17" s="433"/>
      <c r="N17" s="456"/>
      <c r="O17" s="435"/>
      <c r="P17" s="432"/>
      <c r="Q17" s="433"/>
      <c r="R17" s="433"/>
      <c r="S17" s="433"/>
      <c r="T17" s="456"/>
      <c r="U17" s="423"/>
      <c r="V17" s="432"/>
      <c r="W17" s="433"/>
      <c r="X17" s="433"/>
      <c r="Y17" s="433"/>
      <c r="Z17" s="433"/>
      <c r="AA17" s="433"/>
      <c r="AB17" s="456"/>
      <c r="AC17" s="458"/>
      <c r="AD17" s="432"/>
      <c r="AE17" s="433"/>
      <c r="AF17" s="433"/>
      <c r="AG17" s="433"/>
      <c r="AH17" s="433"/>
      <c r="AI17" s="433"/>
      <c r="AJ17" s="456"/>
      <c r="AK17" s="458"/>
      <c r="AL17" s="432"/>
      <c r="AM17" s="433"/>
      <c r="AN17" s="433"/>
      <c r="AO17" s="433"/>
      <c r="AP17" s="433"/>
      <c r="AQ17" s="433"/>
      <c r="AR17" s="433"/>
      <c r="AS17" s="456"/>
      <c r="AT17" s="424"/>
      <c r="AU17" s="432"/>
      <c r="AV17" s="433"/>
      <c r="AW17" s="433"/>
      <c r="AX17" s="433"/>
      <c r="AY17" s="433"/>
      <c r="AZ17" s="433"/>
      <c r="BA17" s="456"/>
      <c r="BB17" s="458"/>
      <c r="BC17" s="432"/>
      <c r="BD17" s="433"/>
      <c r="BE17" s="433"/>
      <c r="BF17" s="433"/>
      <c r="BG17" s="433"/>
      <c r="BH17" s="433"/>
      <c r="BI17" s="456"/>
      <c r="BJ17" s="436"/>
      <c r="BK17" s="432"/>
      <c r="BL17" s="433"/>
      <c r="BM17" s="433"/>
      <c r="BN17" s="433"/>
      <c r="BO17" s="433"/>
      <c r="BP17" s="433"/>
      <c r="BQ17" s="433"/>
      <c r="BR17" s="456"/>
      <c r="BS17" s="436"/>
      <c r="BT17" s="432"/>
      <c r="BU17" s="433"/>
      <c r="BV17" s="433"/>
      <c r="BW17" s="433"/>
      <c r="BX17" s="433"/>
      <c r="BY17" s="433"/>
      <c r="BZ17" s="456"/>
      <c r="CA17" s="373"/>
      <c r="CB17" s="432"/>
      <c r="CC17" s="433"/>
      <c r="CD17" s="433"/>
      <c r="CE17" s="433"/>
      <c r="CF17" s="433"/>
      <c r="CG17" s="433"/>
      <c r="CH17" s="456"/>
      <c r="CI17" s="373"/>
      <c r="CJ17" s="432"/>
      <c r="CK17" s="433"/>
      <c r="CL17" s="433"/>
      <c r="CM17" s="433"/>
      <c r="CN17" s="433"/>
      <c r="CO17" s="433"/>
      <c r="CP17" s="456"/>
      <c r="CQ17" s="458"/>
      <c r="CR17" s="432"/>
      <c r="CS17" s="433"/>
      <c r="CT17" s="433"/>
      <c r="CU17" s="433" t="n">
        <f aca="false">+CR17-CS17</f>
        <v>0</v>
      </c>
      <c r="CV17" s="433" t="n">
        <f aca="false">+CR17-CT17</f>
        <v>0</v>
      </c>
      <c r="CW17" s="433"/>
      <c r="CX17" s="434" t="str">
        <f aca="false">IFERROR(CR17/CW17-1, "-")</f>
        <v>-</v>
      </c>
      <c r="CY17" s="425"/>
      <c r="CZ17" s="437"/>
      <c r="DA17" s="433"/>
      <c r="DB17" s="433"/>
      <c r="DC17" s="433"/>
      <c r="DD17" s="433"/>
      <c r="DE17" s="434"/>
      <c r="DF17" s="434"/>
      <c r="DG17" s="438"/>
      <c r="DH17" s="438"/>
      <c r="DI17" s="413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N17" s="413"/>
      <c r="DO17" s="413"/>
      <c r="DP17" s="439"/>
      <c r="DQ17" s="415" t="n">
        <f aca="false">-CR17+DP17/10^6</f>
        <v>0</v>
      </c>
      <c r="DR17" s="117" t="n">
        <f aca="false">SUM(E17,K17,Q17,W17,AE17,AM17,AV17,BD17,BL17,BU17,CC17,CK17)-CS17</f>
        <v>0</v>
      </c>
      <c r="DS17" s="117" t="n">
        <f aca="false">SUM(D17,J17,P17,V17,AD17,AL17,AU17,BC17,,BN17,BV17,CD17,CL17)-CT17</f>
        <v>0</v>
      </c>
      <c r="DT17" s="416"/>
      <c r="DU17" s="440"/>
      <c r="DV17" s="418" t="n">
        <f aca="false">DU17-CJ17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  <c r="EB17" s="419"/>
    </row>
    <row r="18" s="441" customFormat="true" ht="19.5" hidden="false" customHeight="true" outlineLevel="1" collapsed="false">
      <c r="A18" s="286"/>
      <c r="B18" s="430" t="s">
        <v>124</v>
      </c>
      <c r="C18" s="431" t="s">
        <v>125</v>
      </c>
      <c r="D18" s="432"/>
      <c r="E18" s="433"/>
      <c r="F18" s="433"/>
      <c r="G18" s="433"/>
      <c r="H18" s="456"/>
      <c r="I18" s="457"/>
      <c r="J18" s="432"/>
      <c r="K18" s="433"/>
      <c r="L18" s="433"/>
      <c r="M18" s="433"/>
      <c r="N18" s="456"/>
      <c r="O18" s="435"/>
      <c r="P18" s="432"/>
      <c r="Q18" s="433"/>
      <c r="R18" s="433"/>
      <c r="S18" s="433"/>
      <c r="T18" s="456"/>
      <c r="U18" s="423"/>
      <c r="V18" s="432"/>
      <c r="W18" s="433"/>
      <c r="X18" s="433"/>
      <c r="Y18" s="433"/>
      <c r="Z18" s="433"/>
      <c r="AA18" s="433"/>
      <c r="AB18" s="456"/>
      <c r="AC18" s="458"/>
      <c r="AD18" s="432"/>
      <c r="AE18" s="433"/>
      <c r="AF18" s="433"/>
      <c r="AG18" s="433"/>
      <c r="AH18" s="433"/>
      <c r="AI18" s="433"/>
      <c r="AJ18" s="456"/>
      <c r="AK18" s="458"/>
      <c r="AL18" s="432"/>
      <c r="AM18" s="433"/>
      <c r="AN18" s="433"/>
      <c r="AO18" s="433"/>
      <c r="AP18" s="433"/>
      <c r="AQ18" s="433"/>
      <c r="AR18" s="433"/>
      <c r="AS18" s="456"/>
      <c r="AT18" s="424"/>
      <c r="AU18" s="432"/>
      <c r="AV18" s="433"/>
      <c r="AW18" s="433"/>
      <c r="AX18" s="433"/>
      <c r="AY18" s="433"/>
      <c r="AZ18" s="433"/>
      <c r="BA18" s="456"/>
      <c r="BB18" s="458"/>
      <c r="BC18" s="432"/>
      <c r="BD18" s="433"/>
      <c r="BE18" s="433"/>
      <c r="BF18" s="433"/>
      <c r="BG18" s="433"/>
      <c r="BH18" s="433"/>
      <c r="BI18" s="456"/>
      <c r="BJ18" s="436"/>
      <c r="BK18" s="432"/>
      <c r="BL18" s="433"/>
      <c r="BM18" s="433"/>
      <c r="BN18" s="433"/>
      <c r="BO18" s="433"/>
      <c r="BP18" s="433"/>
      <c r="BQ18" s="433"/>
      <c r="BR18" s="456"/>
      <c r="BS18" s="436"/>
      <c r="BT18" s="432"/>
      <c r="BU18" s="433"/>
      <c r="BV18" s="433"/>
      <c r="BW18" s="433"/>
      <c r="BX18" s="433"/>
      <c r="BY18" s="433"/>
      <c r="BZ18" s="456"/>
      <c r="CA18" s="373"/>
      <c r="CB18" s="432"/>
      <c r="CC18" s="433"/>
      <c r="CD18" s="433"/>
      <c r="CE18" s="433"/>
      <c r="CF18" s="433"/>
      <c r="CG18" s="433"/>
      <c r="CH18" s="456"/>
      <c r="CI18" s="373"/>
      <c r="CJ18" s="432"/>
      <c r="CK18" s="433"/>
      <c r="CL18" s="433"/>
      <c r="CM18" s="433"/>
      <c r="CN18" s="433"/>
      <c r="CO18" s="433"/>
      <c r="CP18" s="456"/>
      <c r="CQ18" s="458"/>
      <c r="CR18" s="432"/>
      <c r="CS18" s="433"/>
      <c r="CT18" s="433"/>
      <c r="CU18" s="433" t="n">
        <f aca="false">+CR18-CS18</f>
        <v>0</v>
      </c>
      <c r="CV18" s="433" t="n">
        <f aca="false">+CR18-CT18</f>
        <v>0</v>
      </c>
      <c r="CW18" s="433"/>
      <c r="CX18" s="434" t="str">
        <f aca="false">IFERROR(CR18/CW18-1, "-")</f>
        <v>-</v>
      </c>
      <c r="CY18" s="425"/>
      <c r="CZ18" s="437"/>
      <c r="DA18" s="433"/>
      <c r="DB18" s="433"/>
      <c r="DC18" s="433"/>
      <c r="DD18" s="433"/>
      <c r="DE18" s="434"/>
      <c r="DF18" s="434"/>
      <c r="DG18" s="438"/>
      <c r="DH18" s="438"/>
      <c r="DI18" s="413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N18" s="413"/>
      <c r="DO18" s="413"/>
      <c r="DP18" s="439"/>
      <c r="DQ18" s="415" t="n">
        <f aca="false">-CR18+DP18/10^6</f>
        <v>0</v>
      </c>
      <c r="DR18" s="117" t="n">
        <f aca="false">SUM(E18,K18,Q18,W18,AE18,AM18,AV18,BD18,BL18,BU18,CC18,CK18)-CS18</f>
        <v>0</v>
      </c>
      <c r="DS18" s="117" t="n">
        <f aca="false">SUM(D18,J18,P18,V18,AD18,AL18,AU18,BC18,,BN18,BV18,CD18,CL18)-CT18</f>
        <v>0</v>
      </c>
      <c r="DT18" s="416"/>
      <c r="DU18" s="440"/>
      <c r="DV18" s="418" t="n">
        <f aca="false">DU18-CJ18</f>
        <v>0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  <c r="EB18" s="419"/>
    </row>
    <row r="19" s="441" customFormat="true" ht="19.5" hidden="false" customHeight="true" outlineLevel="1" collapsed="false">
      <c r="A19" s="286"/>
      <c r="B19" s="430" t="s">
        <v>126</v>
      </c>
      <c r="C19" s="431" t="s">
        <v>127</v>
      </c>
      <c r="D19" s="432"/>
      <c r="E19" s="433"/>
      <c r="F19" s="433"/>
      <c r="G19" s="433"/>
      <c r="H19" s="434"/>
      <c r="I19" s="422"/>
      <c r="J19" s="432"/>
      <c r="K19" s="433"/>
      <c r="L19" s="433"/>
      <c r="M19" s="433"/>
      <c r="N19" s="434"/>
      <c r="O19" s="435"/>
      <c r="P19" s="432"/>
      <c r="Q19" s="433"/>
      <c r="R19" s="433"/>
      <c r="S19" s="433"/>
      <c r="T19" s="434"/>
      <c r="U19" s="423"/>
      <c r="V19" s="432"/>
      <c r="W19" s="433"/>
      <c r="X19" s="433"/>
      <c r="Y19" s="433"/>
      <c r="Z19" s="433"/>
      <c r="AA19" s="433"/>
      <c r="AB19" s="434"/>
      <c r="AC19" s="435"/>
      <c r="AD19" s="432"/>
      <c r="AE19" s="433"/>
      <c r="AF19" s="433"/>
      <c r="AG19" s="433"/>
      <c r="AH19" s="433"/>
      <c r="AI19" s="433"/>
      <c r="AJ19" s="434"/>
      <c r="AK19" s="435"/>
      <c r="AL19" s="432"/>
      <c r="AM19" s="433"/>
      <c r="AN19" s="433"/>
      <c r="AO19" s="433"/>
      <c r="AP19" s="433"/>
      <c r="AQ19" s="433"/>
      <c r="AR19" s="433"/>
      <c r="AS19" s="434"/>
      <c r="AT19" s="424"/>
      <c r="AU19" s="432"/>
      <c r="AV19" s="433"/>
      <c r="AW19" s="433"/>
      <c r="AX19" s="433"/>
      <c r="AY19" s="433"/>
      <c r="AZ19" s="433"/>
      <c r="BA19" s="434"/>
      <c r="BB19" s="435"/>
      <c r="BC19" s="432"/>
      <c r="BD19" s="433"/>
      <c r="BE19" s="433"/>
      <c r="BF19" s="433"/>
      <c r="BG19" s="433"/>
      <c r="BH19" s="433"/>
      <c r="BI19" s="434"/>
      <c r="BJ19" s="436"/>
      <c r="BK19" s="432"/>
      <c r="BL19" s="433"/>
      <c r="BM19" s="433"/>
      <c r="BN19" s="433"/>
      <c r="BO19" s="433"/>
      <c r="BP19" s="433"/>
      <c r="BQ19" s="433"/>
      <c r="BR19" s="434"/>
      <c r="BS19" s="436"/>
      <c r="BT19" s="432"/>
      <c r="BU19" s="433"/>
      <c r="BV19" s="433"/>
      <c r="BW19" s="433"/>
      <c r="BX19" s="433"/>
      <c r="BY19" s="433"/>
      <c r="BZ19" s="434"/>
      <c r="CA19" s="373"/>
      <c r="CB19" s="432"/>
      <c r="CC19" s="433"/>
      <c r="CD19" s="433"/>
      <c r="CE19" s="433"/>
      <c r="CF19" s="433"/>
      <c r="CG19" s="433"/>
      <c r="CH19" s="434"/>
      <c r="CI19" s="373"/>
      <c r="CJ19" s="432"/>
      <c r="CK19" s="433"/>
      <c r="CL19" s="433"/>
      <c r="CM19" s="433"/>
      <c r="CN19" s="433"/>
      <c r="CO19" s="433"/>
      <c r="CP19" s="434"/>
      <c r="CQ19" s="435"/>
      <c r="CR19" s="432"/>
      <c r="CS19" s="433"/>
      <c r="CT19" s="433"/>
      <c r="CU19" s="433" t="n">
        <f aca="false">+CR19-CS19</f>
        <v>0</v>
      </c>
      <c r="CV19" s="433" t="n">
        <f aca="false">+CR19-CT19</f>
        <v>0</v>
      </c>
      <c r="CW19" s="433"/>
      <c r="CX19" s="434" t="str">
        <f aca="false">IFERROR(CR19/CW19-1, "-")</f>
        <v>-</v>
      </c>
      <c r="CY19" s="425"/>
      <c r="CZ19" s="437"/>
      <c r="DA19" s="433"/>
      <c r="DB19" s="433"/>
      <c r="DC19" s="433"/>
      <c r="DD19" s="433"/>
      <c r="DE19" s="434"/>
      <c r="DF19" s="434"/>
      <c r="DG19" s="438"/>
      <c r="DH19" s="438"/>
      <c r="DI19" s="413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N19" s="413"/>
      <c r="DO19" s="413"/>
      <c r="DP19" s="439"/>
      <c r="DQ19" s="415" t="n">
        <f aca="false">-CR19+DP19/10^6</f>
        <v>0</v>
      </c>
      <c r="DR19" s="117" t="n">
        <f aca="false">SUM(E19,K19,Q19,W19,AE19,AM19,AV19,BD19,BL19,BU19,CC19,CK19)-CS19</f>
        <v>0</v>
      </c>
      <c r="DS19" s="117" t="n">
        <f aca="false">SUM(D19,J19,P19,V19,AD19,AL19,AU19,BC19,,BN19,BV19,CD19,CL19)-CT19</f>
        <v>0</v>
      </c>
      <c r="DT19" s="416"/>
      <c r="DU19" s="440"/>
      <c r="DV19" s="418" t="n">
        <f aca="false">DU19-CJ19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  <c r="EB19" s="419"/>
    </row>
    <row r="20" s="441" customFormat="true" ht="19.5" hidden="false" customHeight="true" outlineLevel="1" collapsed="false">
      <c r="A20" s="286"/>
      <c r="B20" s="430" t="s">
        <v>128</v>
      </c>
      <c r="C20" s="431" t="s">
        <v>129</v>
      </c>
      <c r="D20" s="432"/>
      <c r="E20" s="433"/>
      <c r="F20" s="433"/>
      <c r="G20" s="433"/>
      <c r="H20" s="434"/>
      <c r="I20" s="422"/>
      <c r="J20" s="432"/>
      <c r="K20" s="433"/>
      <c r="L20" s="433"/>
      <c r="M20" s="433"/>
      <c r="N20" s="434"/>
      <c r="O20" s="435"/>
      <c r="P20" s="432"/>
      <c r="Q20" s="433"/>
      <c r="R20" s="433"/>
      <c r="S20" s="433"/>
      <c r="T20" s="434"/>
      <c r="U20" s="423"/>
      <c r="V20" s="432"/>
      <c r="W20" s="433"/>
      <c r="X20" s="433"/>
      <c r="Y20" s="433"/>
      <c r="Z20" s="433"/>
      <c r="AA20" s="433"/>
      <c r="AB20" s="434"/>
      <c r="AC20" s="435"/>
      <c r="AD20" s="432"/>
      <c r="AE20" s="433"/>
      <c r="AF20" s="433"/>
      <c r="AG20" s="433"/>
      <c r="AH20" s="433"/>
      <c r="AI20" s="433"/>
      <c r="AJ20" s="434"/>
      <c r="AK20" s="435"/>
      <c r="AL20" s="432"/>
      <c r="AM20" s="433"/>
      <c r="AN20" s="433"/>
      <c r="AO20" s="433"/>
      <c r="AP20" s="433"/>
      <c r="AQ20" s="433"/>
      <c r="AR20" s="433"/>
      <c r="AS20" s="434"/>
      <c r="AT20" s="424"/>
      <c r="AU20" s="432"/>
      <c r="AV20" s="433"/>
      <c r="AW20" s="433"/>
      <c r="AX20" s="433"/>
      <c r="AY20" s="433"/>
      <c r="AZ20" s="433"/>
      <c r="BA20" s="434"/>
      <c r="BB20" s="435"/>
      <c r="BC20" s="432"/>
      <c r="BD20" s="433"/>
      <c r="BE20" s="433"/>
      <c r="BF20" s="433"/>
      <c r="BG20" s="433"/>
      <c r="BH20" s="433"/>
      <c r="BI20" s="434"/>
      <c r="BJ20" s="436"/>
      <c r="BK20" s="432"/>
      <c r="BL20" s="433"/>
      <c r="BM20" s="433"/>
      <c r="BN20" s="433"/>
      <c r="BO20" s="433"/>
      <c r="BP20" s="433"/>
      <c r="BQ20" s="433"/>
      <c r="BR20" s="434"/>
      <c r="BS20" s="436"/>
      <c r="BT20" s="432"/>
      <c r="BU20" s="433"/>
      <c r="BV20" s="433"/>
      <c r="BW20" s="433"/>
      <c r="BX20" s="433"/>
      <c r="BY20" s="433"/>
      <c r="BZ20" s="434"/>
      <c r="CA20" s="373"/>
      <c r="CB20" s="432"/>
      <c r="CC20" s="433"/>
      <c r="CD20" s="433"/>
      <c r="CE20" s="433"/>
      <c r="CF20" s="433"/>
      <c r="CG20" s="433"/>
      <c r="CH20" s="434"/>
      <c r="CI20" s="373"/>
      <c r="CJ20" s="432"/>
      <c r="CK20" s="433"/>
      <c r="CL20" s="433"/>
      <c r="CM20" s="433"/>
      <c r="CN20" s="433"/>
      <c r="CO20" s="433"/>
      <c r="CP20" s="434"/>
      <c r="CQ20" s="435"/>
      <c r="CR20" s="432"/>
      <c r="CS20" s="433"/>
      <c r="CT20" s="433"/>
      <c r="CU20" s="433" t="n">
        <f aca="false">+CR20-CS20</f>
        <v>0</v>
      </c>
      <c r="CV20" s="433" t="n">
        <f aca="false">+CR20-CT20</f>
        <v>0</v>
      </c>
      <c r="CW20" s="433"/>
      <c r="CX20" s="434" t="str">
        <f aca="false">IFERROR(CR20/CW20-1, "-")</f>
        <v>-</v>
      </c>
      <c r="CY20" s="425"/>
      <c r="CZ20" s="437"/>
      <c r="DA20" s="433"/>
      <c r="DB20" s="433"/>
      <c r="DC20" s="433"/>
      <c r="DD20" s="433"/>
      <c r="DE20" s="434"/>
      <c r="DF20" s="434"/>
      <c r="DG20" s="438"/>
      <c r="DH20" s="438"/>
      <c r="DI20" s="413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N20" s="413"/>
      <c r="DO20" s="413"/>
      <c r="DP20" s="439"/>
      <c r="DQ20" s="415" t="n">
        <f aca="false">-CR20+DP20/10^6</f>
        <v>0</v>
      </c>
      <c r="DR20" s="117" t="n">
        <f aca="false">SUM(E20,K20,Q20,W20,AE20,AM20,AV20,BD20,BL20,BU20,CC20,CK20)-CS20</f>
        <v>0</v>
      </c>
      <c r="DS20" s="117" t="n">
        <f aca="false">SUM(D20,J20,P20,V20,AD20,AL20,AU20,BC20,,BN20,BV20,CD20,CL20)-CT20</f>
        <v>0</v>
      </c>
      <c r="DT20" s="416"/>
      <c r="DU20" s="440"/>
      <c r="DV20" s="418" t="n">
        <f aca="false">DU20-CJ20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  <c r="EB20" s="419"/>
    </row>
    <row r="21" s="441" customFormat="true" ht="19.5" hidden="false" customHeight="true" outlineLevel="1" collapsed="false">
      <c r="A21" s="286"/>
      <c r="B21" s="430" t="s">
        <v>130</v>
      </c>
      <c r="C21" s="431" t="s">
        <v>131</v>
      </c>
      <c r="D21" s="432"/>
      <c r="E21" s="433"/>
      <c r="F21" s="433"/>
      <c r="G21" s="433"/>
      <c r="H21" s="434"/>
      <c r="I21" s="422"/>
      <c r="J21" s="432"/>
      <c r="K21" s="433"/>
      <c r="L21" s="433"/>
      <c r="M21" s="433"/>
      <c r="N21" s="434"/>
      <c r="O21" s="435"/>
      <c r="P21" s="432"/>
      <c r="Q21" s="433"/>
      <c r="R21" s="433"/>
      <c r="S21" s="433"/>
      <c r="T21" s="434"/>
      <c r="U21" s="423"/>
      <c r="V21" s="432"/>
      <c r="W21" s="433"/>
      <c r="X21" s="433"/>
      <c r="Y21" s="433"/>
      <c r="Z21" s="433"/>
      <c r="AA21" s="433"/>
      <c r="AB21" s="434"/>
      <c r="AC21" s="435"/>
      <c r="AD21" s="432"/>
      <c r="AE21" s="433"/>
      <c r="AF21" s="433"/>
      <c r="AG21" s="433"/>
      <c r="AH21" s="433"/>
      <c r="AI21" s="433"/>
      <c r="AJ21" s="434"/>
      <c r="AK21" s="435"/>
      <c r="AL21" s="432"/>
      <c r="AM21" s="433"/>
      <c r="AN21" s="433"/>
      <c r="AO21" s="433"/>
      <c r="AP21" s="433"/>
      <c r="AQ21" s="433"/>
      <c r="AR21" s="433"/>
      <c r="AS21" s="434"/>
      <c r="AT21" s="424"/>
      <c r="AU21" s="432"/>
      <c r="AV21" s="433"/>
      <c r="AW21" s="433"/>
      <c r="AX21" s="433"/>
      <c r="AY21" s="433"/>
      <c r="AZ21" s="433"/>
      <c r="BA21" s="434"/>
      <c r="BB21" s="435"/>
      <c r="BC21" s="432"/>
      <c r="BD21" s="433"/>
      <c r="BE21" s="433"/>
      <c r="BF21" s="433"/>
      <c r="BG21" s="433"/>
      <c r="BH21" s="433"/>
      <c r="BI21" s="434"/>
      <c r="BJ21" s="436"/>
      <c r="BK21" s="432"/>
      <c r="BL21" s="433"/>
      <c r="BM21" s="433"/>
      <c r="BN21" s="433"/>
      <c r="BO21" s="433"/>
      <c r="BP21" s="433"/>
      <c r="BQ21" s="433"/>
      <c r="BR21" s="434"/>
      <c r="BS21" s="436"/>
      <c r="BT21" s="432"/>
      <c r="BU21" s="433"/>
      <c r="BV21" s="433"/>
      <c r="BW21" s="433"/>
      <c r="BX21" s="433"/>
      <c r="BY21" s="433"/>
      <c r="BZ21" s="434"/>
      <c r="CA21" s="373"/>
      <c r="CB21" s="432"/>
      <c r="CC21" s="433"/>
      <c r="CD21" s="433"/>
      <c r="CE21" s="433"/>
      <c r="CF21" s="433"/>
      <c r="CG21" s="433"/>
      <c r="CH21" s="434"/>
      <c r="CI21" s="373"/>
      <c r="CJ21" s="432"/>
      <c r="CK21" s="433"/>
      <c r="CL21" s="433"/>
      <c r="CM21" s="433"/>
      <c r="CN21" s="433"/>
      <c r="CO21" s="433"/>
      <c r="CP21" s="434"/>
      <c r="CQ21" s="435"/>
      <c r="CR21" s="432"/>
      <c r="CS21" s="433"/>
      <c r="CT21" s="433"/>
      <c r="CU21" s="433" t="n">
        <f aca="false">+CR21-CS21</f>
        <v>0</v>
      </c>
      <c r="CV21" s="433" t="n">
        <f aca="false">+CR21-CT21</f>
        <v>0</v>
      </c>
      <c r="CW21" s="433"/>
      <c r="CX21" s="434" t="str">
        <f aca="false">IFERROR(CR21/CW21-1, "-")</f>
        <v>-</v>
      </c>
      <c r="CY21" s="425"/>
      <c r="CZ21" s="437"/>
      <c r="DA21" s="433"/>
      <c r="DB21" s="433"/>
      <c r="DC21" s="433"/>
      <c r="DD21" s="433"/>
      <c r="DE21" s="434"/>
      <c r="DF21" s="434"/>
      <c r="DG21" s="438"/>
      <c r="DH21" s="438"/>
      <c r="DI21" s="413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N21" s="413"/>
      <c r="DO21" s="413"/>
      <c r="DP21" s="439"/>
      <c r="DQ21" s="415" t="n">
        <f aca="false">-CR21+DP21/10^6</f>
        <v>0</v>
      </c>
      <c r="DR21" s="117" t="n">
        <f aca="false">SUM(E21,K21,Q21,W21,AE21,AM21,AV21,BD21,BL21,BU21,CC21,CK21)-CS21</f>
        <v>0</v>
      </c>
      <c r="DS21" s="117" t="n">
        <f aca="false">SUM(D21,J21,P21,V21,AD21,AL21,AU21,BC21,,BN21,BV21,CD21,CL21)-CT21</f>
        <v>0</v>
      </c>
      <c r="DT21" s="416"/>
      <c r="DU21" s="440"/>
      <c r="DV21" s="418" t="n">
        <f aca="false">DU21-CJ21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  <c r="EB21" s="419"/>
    </row>
    <row r="22" s="441" customFormat="true" ht="19.5" hidden="false" customHeight="true" outlineLevel="1" collapsed="false">
      <c r="A22" s="286"/>
      <c r="B22" s="430" t="s">
        <v>132</v>
      </c>
      <c r="C22" s="431" t="s">
        <v>133</v>
      </c>
      <c r="D22" s="432"/>
      <c r="E22" s="433"/>
      <c r="F22" s="433"/>
      <c r="G22" s="433"/>
      <c r="H22" s="434"/>
      <c r="I22" s="422"/>
      <c r="J22" s="432"/>
      <c r="K22" s="433"/>
      <c r="L22" s="433"/>
      <c r="M22" s="433"/>
      <c r="N22" s="434"/>
      <c r="O22" s="435"/>
      <c r="P22" s="432"/>
      <c r="Q22" s="433"/>
      <c r="R22" s="433"/>
      <c r="S22" s="433"/>
      <c r="T22" s="434"/>
      <c r="U22" s="423"/>
      <c r="V22" s="432"/>
      <c r="W22" s="433"/>
      <c r="X22" s="433"/>
      <c r="Y22" s="433"/>
      <c r="Z22" s="433"/>
      <c r="AA22" s="433"/>
      <c r="AB22" s="434"/>
      <c r="AC22" s="435"/>
      <c r="AD22" s="432"/>
      <c r="AE22" s="433"/>
      <c r="AF22" s="433"/>
      <c r="AG22" s="433"/>
      <c r="AH22" s="433"/>
      <c r="AI22" s="433"/>
      <c r="AJ22" s="434"/>
      <c r="AK22" s="435"/>
      <c r="AL22" s="432"/>
      <c r="AM22" s="433"/>
      <c r="AN22" s="433"/>
      <c r="AO22" s="433"/>
      <c r="AP22" s="433"/>
      <c r="AQ22" s="433"/>
      <c r="AR22" s="433"/>
      <c r="AS22" s="434"/>
      <c r="AT22" s="424"/>
      <c r="AU22" s="432"/>
      <c r="AV22" s="433"/>
      <c r="AW22" s="433"/>
      <c r="AX22" s="433"/>
      <c r="AY22" s="433"/>
      <c r="AZ22" s="433"/>
      <c r="BA22" s="434"/>
      <c r="BB22" s="435"/>
      <c r="BC22" s="432"/>
      <c r="BD22" s="433"/>
      <c r="BE22" s="433"/>
      <c r="BF22" s="433"/>
      <c r="BG22" s="433"/>
      <c r="BH22" s="433"/>
      <c r="BI22" s="434"/>
      <c r="BJ22" s="436"/>
      <c r="BK22" s="432"/>
      <c r="BL22" s="433"/>
      <c r="BM22" s="433"/>
      <c r="BN22" s="433"/>
      <c r="BO22" s="433"/>
      <c r="BP22" s="433"/>
      <c r="BQ22" s="433"/>
      <c r="BR22" s="434"/>
      <c r="BS22" s="436"/>
      <c r="BT22" s="432"/>
      <c r="BU22" s="433"/>
      <c r="BV22" s="433"/>
      <c r="BW22" s="433"/>
      <c r="BX22" s="433"/>
      <c r="BY22" s="433"/>
      <c r="BZ22" s="434"/>
      <c r="CA22" s="373"/>
      <c r="CB22" s="432"/>
      <c r="CC22" s="433"/>
      <c r="CD22" s="433"/>
      <c r="CE22" s="433"/>
      <c r="CF22" s="433"/>
      <c r="CG22" s="433"/>
      <c r="CH22" s="434"/>
      <c r="CI22" s="373"/>
      <c r="CJ22" s="432"/>
      <c r="CK22" s="433"/>
      <c r="CL22" s="433"/>
      <c r="CM22" s="433"/>
      <c r="CN22" s="433"/>
      <c r="CO22" s="433"/>
      <c r="CP22" s="434"/>
      <c r="CQ22" s="435"/>
      <c r="CR22" s="432"/>
      <c r="CS22" s="433"/>
      <c r="CT22" s="433"/>
      <c r="CU22" s="433" t="n">
        <f aca="false">+CR22-CS22</f>
        <v>0</v>
      </c>
      <c r="CV22" s="433" t="n">
        <f aca="false">+CR22-CT22</f>
        <v>0</v>
      </c>
      <c r="CW22" s="433"/>
      <c r="CX22" s="434" t="str">
        <f aca="false">IFERROR(CR22/CW22-1, "-")</f>
        <v>-</v>
      </c>
      <c r="CY22" s="425"/>
      <c r="CZ22" s="437"/>
      <c r="DA22" s="433"/>
      <c r="DB22" s="433"/>
      <c r="DC22" s="433"/>
      <c r="DD22" s="433"/>
      <c r="DE22" s="434"/>
      <c r="DF22" s="434"/>
      <c r="DG22" s="438"/>
      <c r="DH22" s="438"/>
      <c r="DI22" s="413"/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N22" s="413"/>
      <c r="DO22" s="413"/>
      <c r="DP22" s="439"/>
      <c r="DQ22" s="415" t="n">
        <f aca="false">-CR22+DP22/10^6</f>
        <v>0</v>
      </c>
      <c r="DR22" s="117" t="n">
        <f aca="false">SUM(E22,K22,Q22,W22,AE22,AM22,AV22,BD22,BL22,BU22,CC22,CK22)-CS22</f>
        <v>0</v>
      </c>
      <c r="DS22" s="117" t="n">
        <f aca="false">SUM(D22,J22,P22,V22,AD22,AL22,AU22,BC22,,BN22,BV22,CD22,CL22)-CT22</f>
        <v>0</v>
      </c>
      <c r="DT22" s="416"/>
      <c r="DU22" s="440"/>
      <c r="DV22" s="418" t="n">
        <f aca="false">DU22-CJ22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  <c r="EB22" s="419"/>
    </row>
    <row r="23" s="441" customFormat="true" ht="19.5" hidden="false" customHeight="true" outlineLevel="1" collapsed="false">
      <c r="A23" s="286"/>
      <c r="B23" s="430" t="s">
        <v>134</v>
      </c>
      <c r="C23" s="431" t="s">
        <v>135</v>
      </c>
      <c r="D23" s="432"/>
      <c r="E23" s="433"/>
      <c r="F23" s="433"/>
      <c r="G23" s="433"/>
      <c r="H23" s="434"/>
      <c r="I23" s="422"/>
      <c r="J23" s="432"/>
      <c r="K23" s="433"/>
      <c r="L23" s="433"/>
      <c r="M23" s="433"/>
      <c r="N23" s="434"/>
      <c r="O23" s="435"/>
      <c r="P23" s="432"/>
      <c r="Q23" s="433"/>
      <c r="R23" s="433"/>
      <c r="S23" s="433"/>
      <c r="T23" s="434"/>
      <c r="U23" s="423"/>
      <c r="V23" s="432"/>
      <c r="W23" s="433"/>
      <c r="X23" s="433"/>
      <c r="Y23" s="433"/>
      <c r="Z23" s="433"/>
      <c r="AA23" s="433"/>
      <c r="AB23" s="434"/>
      <c r="AC23" s="435"/>
      <c r="AD23" s="432"/>
      <c r="AE23" s="433"/>
      <c r="AF23" s="433"/>
      <c r="AG23" s="433"/>
      <c r="AH23" s="433"/>
      <c r="AI23" s="433"/>
      <c r="AJ23" s="434"/>
      <c r="AK23" s="435"/>
      <c r="AL23" s="432"/>
      <c r="AM23" s="433"/>
      <c r="AN23" s="433"/>
      <c r="AO23" s="433"/>
      <c r="AP23" s="433"/>
      <c r="AQ23" s="433"/>
      <c r="AR23" s="433"/>
      <c r="AS23" s="434"/>
      <c r="AT23" s="424"/>
      <c r="AU23" s="432"/>
      <c r="AV23" s="433"/>
      <c r="AW23" s="433"/>
      <c r="AX23" s="433"/>
      <c r="AY23" s="433"/>
      <c r="AZ23" s="433"/>
      <c r="BA23" s="434"/>
      <c r="BB23" s="435"/>
      <c r="BC23" s="432"/>
      <c r="BD23" s="433"/>
      <c r="BE23" s="433"/>
      <c r="BF23" s="433"/>
      <c r="BG23" s="433"/>
      <c r="BH23" s="433"/>
      <c r="BI23" s="434"/>
      <c r="BJ23" s="436"/>
      <c r="BK23" s="432"/>
      <c r="BL23" s="433"/>
      <c r="BM23" s="433"/>
      <c r="BN23" s="433"/>
      <c r="BO23" s="433"/>
      <c r="BP23" s="433"/>
      <c r="BQ23" s="433"/>
      <c r="BR23" s="434"/>
      <c r="BS23" s="436"/>
      <c r="BT23" s="432"/>
      <c r="BU23" s="433"/>
      <c r="BV23" s="433"/>
      <c r="BW23" s="433"/>
      <c r="BX23" s="433"/>
      <c r="BY23" s="433"/>
      <c r="BZ23" s="434"/>
      <c r="CA23" s="373"/>
      <c r="CB23" s="432"/>
      <c r="CC23" s="433"/>
      <c r="CD23" s="433"/>
      <c r="CE23" s="433"/>
      <c r="CF23" s="433"/>
      <c r="CG23" s="433"/>
      <c r="CH23" s="434"/>
      <c r="CI23" s="373"/>
      <c r="CJ23" s="432"/>
      <c r="CK23" s="433"/>
      <c r="CL23" s="433"/>
      <c r="CM23" s="433"/>
      <c r="CN23" s="433"/>
      <c r="CO23" s="433"/>
      <c r="CP23" s="434"/>
      <c r="CQ23" s="435"/>
      <c r="CR23" s="432"/>
      <c r="CS23" s="433"/>
      <c r="CT23" s="433"/>
      <c r="CU23" s="433" t="n">
        <f aca="false">+CR23-CS23</f>
        <v>0</v>
      </c>
      <c r="CV23" s="433" t="n">
        <f aca="false">+CR23-CT23</f>
        <v>0</v>
      </c>
      <c r="CW23" s="433"/>
      <c r="CX23" s="434" t="str">
        <f aca="false">IFERROR(CR23/CW23-1, "-")</f>
        <v>-</v>
      </c>
      <c r="CY23" s="425"/>
      <c r="CZ23" s="437"/>
      <c r="DA23" s="433"/>
      <c r="DB23" s="433"/>
      <c r="DC23" s="433"/>
      <c r="DD23" s="433"/>
      <c r="DE23" s="434" t="e">
        <f aca="false">+CZ23/DD23-1</f>
        <v>#DIV/0!</v>
      </c>
      <c r="DF23" s="434" t="e">
        <f aca="false">+DA23/DD23-1</f>
        <v>#DIV/0!</v>
      </c>
      <c r="DG23" s="438" t="e">
        <f aca="false">+DB23/DD23-1</f>
        <v>#DIV/0!</v>
      </c>
      <c r="DH23" s="438" t="e">
        <f aca="false">+DC23/DD23-1</f>
        <v>#DIV/0!</v>
      </c>
      <c r="DI23" s="413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413"/>
      <c r="DO23" s="413"/>
      <c r="DP23" s="439" t="e">
        <f aca="false">#VALUE!</f>
        <v>#VALUE!</v>
      </c>
      <c r="DQ23" s="415" t="e">
        <f aca="false">-CR23+DP23/10^6</f>
        <v>#VALUE!</v>
      </c>
      <c r="DR23" s="117" t="n">
        <f aca="false">SUM(E23,K23,Q23,W23,AE23,AM23,AV23,BD23,BL23,BU23,CC23,CK23)-CS23</f>
        <v>0</v>
      </c>
      <c r="DS23" s="117" t="n">
        <f aca="false">SUM(D23,J23,P23,V23,AD23,AL23,AU23,BC23,,BN23,BV23,CD23,CL23)-CT23</f>
        <v>0</v>
      </c>
      <c r="DT23" s="416"/>
      <c r="DU23" s="440" t="n">
        <v>13.826821</v>
      </c>
      <c r="DV23" s="418" t="n">
        <f aca="false">DU23-CJ23</f>
        <v>13.826821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  <c r="EB23" s="419"/>
    </row>
    <row r="24" s="441" customFormat="true" ht="19.5" hidden="false" customHeight="true" outlineLevel="1" collapsed="false">
      <c r="A24" s="286"/>
      <c r="B24" s="430" t="s">
        <v>136</v>
      </c>
      <c r="C24" s="431" t="s">
        <v>137</v>
      </c>
      <c r="D24" s="432"/>
      <c r="E24" s="433"/>
      <c r="F24" s="433"/>
      <c r="G24" s="433"/>
      <c r="H24" s="434"/>
      <c r="I24" s="422"/>
      <c r="J24" s="432"/>
      <c r="K24" s="433"/>
      <c r="L24" s="433"/>
      <c r="M24" s="433"/>
      <c r="N24" s="434"/>
      <c r="O24" s="435"/>
      <c r="P24" s="432"/>
      <c r="Q24" s="433"/>
      <c r="R24" s="433"/>
      <c r="S24" s="433"/>
      <c r="T24" s="434"/>
      <c r="U24" s="423"/>
      <c r="V24" s="432"/>
      <c r="W24" s="433"/>
      <c r="X24" s="433"/>
      <c r="Y24" s="433"/>
      <c r="Z24" s="433"/>
      <c r="AA24" s="433"/>
      <c r="AB24" s="434"/>
      <c r="AC24" s="435"/>
      <c r="AD24" s="432"/>
      <c r="AE24" s="433"/>
      <c r="AF24" s="433"/>
      <c r="AG24" s="433"/>
      <c r="AH24" s="433"/>
      <c r="AI24" s="433"/>
      <c r="AJ24" s="434"/>
      <c r="AK24" s="435"/>
      <c r="AL24" s="432"/>
      <c r="AM24" s="433"/>
      <c r="AN24" s="433"/>
      <c r="AO24" s="433"/>
      <c r="AP24" s="433"/>
      <c r="AQ24" s="433"/>
      <c r="AR24" s="433"/>
      <c r="AS24" s="434"/>
      <c r="AT24" s="424"/>
      <c r="AU24" s="432"/>
      <c r="AV24" s="433"/>
      <c r="AW24" s="433"/>
      <c r="AX24" s="433"/>
      <c r="AY24" s="433"/>
      <c r="AZ24" s="433"/>
      <c r="BA24" s="434"/>
      <c r="BB24" s="435"/>
      <c r="BC24" s="432"/>
      <c r="BD24" s="433"/>
      <c r="BE24" s="433"/>
      <c r="BF24" s="433"/>
      <c r="BG24" s="433"/>
      <c r="BH24" s="433"/>
      <c r="BI24" s="434"/>
      <c r="BJ24" s="436"/>
      <c r="BK24" s="432"/>
      <c r="BL24" s="433"/>
      <c r="BM24" s="433"/>
      <c r="BN24" s="433"/>
      <c r="BO24" s="433"/>
      <c r="BP24" s="433"/>
      <c r="BQ24" s="433"/>
      <c r="BR24" s="434"/>
      <c r="BS24" s="436"/>
      <c r="BT24" s="432"/>
      <c r="BU24" s="433"/>
      <c r="BV24" s="433"/>
      <c r="BW24" s="433"/>
      <c r="BX24" s="433"/>
      <c r="BY24" s="433"/>
      <c r="BZ24" s="434"/>
      <c r="CA24" s="373"/>
      <c r="CB24" s="432"/>
      <c r="CC24" s="433"/>
      <c r="CD24" s="433"/>
      <c r="CE24" s="433"/>
      <c r="CF24" s="433"/>
      <c r="CG24" s="433"/>
      <c r="CH24" s="434"/>
      <c r="CI24" s="373"/>
      <c r="CJ24" s="432"/>
      <c r="CK24" s="433"/>
      <c r="CL24" s="433"/>
      <c r="CM24" s="433"/>
      <c r="CN24" s="433"/>
      <c r="CO24" s="433"/>
      <c r="CP24" s="434"/>
      <c r="CQ24" s="435"/>
      <c r="CR24" s="432"/>
      <c r="CS24" s="433"/>
      <c r="CT24" s="433"/>
      <c r="CU24" s="433" t="n">
        <f aca="false">+CR24-CS24</f>
        <v>0</v>
      </c>
      <c r="CV24" s="433" t="n">
        <f aca="false">+CR24-CT24</f>
        <v>0</v>
      </c>
      <c r="CW24" s="433"/>
      <c r="CX24" s="434" t="str">
        <f aca="false">IFERROR(CR24/CW24-1, "-")</f>
        <v>-</v>
      </c>
      <c r="CY24" s="425"/>
      <c r="CZ24" s="437"/>
      <c r="DA24" s="433"/>
      <c r="DB24" s="433"/>
      <c r="DC24" s="433"/>
      <c r="DD24" s="433"/>
      <c r="DE24" s="434"/>
      <c r="DF24" s="434"/>
      <c r="DG24" s="438"/>
      <c r="DH24" s="438"/>
      <c r="DI24" s="413"/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413"/>
      <c r="DO24" s="413"/>
      <c r="DP24" s="439"/>
      <c r="DQ24" s="415" t="n">
        <f aca="false">-CR24+DP24/10^6</f>
        <v>0</v>
      </c>
      <c r="DR24" s="117" t="n">
        <f aca="false">SUM(E24,K24,Q24,W24,AE24,AM24,AV24,BD24,BL24,BU24,CC24,CK24)-CS24</f>
        <v>0</v>
      </c>
      <c r="DS24" s="117" t="n">
        <f aca="false">SUM(D24,J24,P24,V24,AD24,AL24,AU24,BC24,,BN24,BV24,CD24,CL24)-CT24</f>
        <v>0</v>
      </c>
      <c r="DT24" s="416"/>
      <c r="DU24" s="440"/>
      <c r="DV24" s="418" t="n">
        <f aca="false">DU24-CJ24</f>
        <v>0</v>
      </c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  <c r="EB24" s="419"/>
    </row>
    <row r="25" s="441" customFormat="true" ht="19.5" hidden="false" customHeight="true" outlineLevel="1" collapsed="false">
      <c r="A25" s="286"/>
      <c r="B25" s="430" t="s">
        <v>124</v>
      </c>
      <c r="C25" s="431" t="s">
        <v>138</v>
      </c>
      <c r="D25" s="432"/>
      <c r="E25" s="433"/>
      <c r="F25" s="433"/>
      <c r="G25" s="433"/>
      <c r="H25" s="434"/>
      <c r="I25" s="422"/>
      <c r="J25" s="432"/>
      <c r="K25" s="433"/>
      <c r="L25" s="433"/>
      <c r="M25" s="433"/>
      <c r="N25" s="434"/>
      <c r="O25" s="435"/>
      <c r="P25" s="432"/>
      <c r="Q25" s="433"/>
      <c r="R25" s="433"/>
      <c r="S25" s="433"/>
      <c r="T25" s="434"/>
      <c r="U25" s="423"/>
      <c r="V25" s="432"/>
      <c r="W25" s="433"/>
      <c r="X25" s="433"/>
      <c r="Y25" s="433"/>
      <c r="Z25" s="433"/>
      <c r="AA25" s="433"/>
      <c r="AB25" s="434"/>
      <c r="AC25" s="435"/>
      <c r="AD25" s="432"/>
      <c r="AE25" s="433"/>
      <c r="AF25" s="433"/>
      <c r="AG25" s="433"/>
      <c r="AH25" s="433"/>
      <c r="AI25" s="433"/>
      <c r="AJ25" s="434"/>
      <c r="AK25" s="435"/>
      <c r="AL25" s="432"/>
      <c r="AM25" s="433"/>
      <c r="AN25" s="433"/>
      <c r="AO25" s="433"/>
      <c r="AP25" s="433"/>
      <c r="AQ25" s="433"/>
      <c r="AR25" s="433"/>
      <c r="AS25" s="434"/>
      <c r="AT25" s="424"/>
      <c r="AU25" s="432"/>
      <c r="AV25" s="433"/>
      <c r="AW25" s="433"/>
      <c r="AX25" s="433"/>
      <c r="AY25" s="433"/>
      <c r="AZ25" s="433"/>
      <c r="BA25" s="434"/>
      <c r="BB25" s="435"/>
      <c r="BC25" s="432"/>
      <c r="BD25" s="433"/>
      <c r="BE25" s="433"/>
      <c r="BF25" s="433"/>
      <c r="BG25" s="433"/>
      <c r="BH25" s="433"/>
      <c r="BI25" s="434"/>
      <c r="BJ25" s="436"/>
      <c r="BK25" s="432"/>
      <c r="BL25" s="433"/>
      <c r="BM25" s="433"/>
      <c r="BN25" s="433"/>
      <c r="BO25" s="433"/>
      <c r="BP25" s="433"/>
      <c r="BQ25" s="433"/>
      <c r="BR25" s="434"/>
      <c r="BS25" s="436"/>
      <c r="BT25" s="432"/>
      <c r="BU25" s="433"/>
      <c r="BV25" s="433"/>
      <c r="BW25" s="433"/>
      <c r="BX25" s="433"/>
      <c r="BY25" s="433"/>
      <c r="BZ25" s="434"/>
      <c r="CA25" s="373"/>
      <c r="CB25" s="432"/>
      <c r="CC25" s="433"/>
      <c r="CD25" s="433"/>
      <c r="CE25" s="433"/>
      <c r="CF25" s="433"/>
      <c r="CG25" s="433"/>
      <c r="CH25" s="434"/>
      <c r="CI25" s="373"/>
      <c r="CJ25" s="432"/>
      <c r="CK25" s="433"/>
      <c r="CL25" s="433"/>
      <c r="CM25" s="433"/>
      <c r="CN25" s="433"/>
      <c r="CO25" s="433"/>
      <c r="CP25" s="434"/>
      <c r="CQ25" s="435"/>
      <c r="CR25" s="432"/>
      <c r="CS25" s="433"/>
      <c r="CT25" s="433"/>
      <c r="CU25" s="433" t="n">
        <f aca="false">+CR25-CS25</f>
        <v>0</v>
      </c>
      <c r="CV25" s="433" t="n">
        <f aca="false">+CR25-CT25</f>
        <v>0</v>
      </c>
      <c r="CW25" s="433"/>
      <c r="CX25" s="434" t="str">
        <f aca="false">IFERROR(CR25/CW25-1, "-")</f>
        <v>-</v>
      </c>
      <c r="CY25" s="425"/>
      <c r="CZ25" s="437"/>
      <c r="DA25" s="433"/>
      <c r="DB25" s="433"/>
      <c r="DC25" s="433"/>
      <c r="DD25" s="433"/>
      <c r="DE25" s="434"/>
      <c r="DF25" s="434"/>
      <c r="DG25" s="438"/>
      <c r="DH25" s="438"/>
      <c r="DI25" s="413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413"/>
      <c r="DO25" s="413"/>
      <c r="DP25" s="439"/>
      <c r="DQ25" s="415" t="n">
        <f aca="false">-CR25+DP25/10^6</f>
        <v>0</v>
      </c>
      <c r="DR25" s="117" t="n">
        <f aca="false">SUM(E25,K25,Q25,W25,AE25,AM25,AV25,BD25,BL25,BU25,CC25,CK25)-CS25</f>
        <v>0</v>
      </c>
      <c r="DS25" s="117" t="n">
        <f aca="false">SUM(D25,J25,P25,V25,AD25,AL25,AU25,BC25,,BN25,BV25,CD25,CL25)-CT25</f>
        <v>0</v>
      </c>
      <c r="DT25" s="416"/>
      <c r="DU25" s="440"/>
      <c r="DV25" s="418" t="n">
        <f aca="false">DU25-CJ25</f>
        <v>0</v>
      </c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  <c r="EB25" s="419"/>
    </row>
    <row r="26" s="441" customFormat="true" ht="19.5" hidden="false" customHeight="true" outlineLevel="1" collapsed="false">
      <c r="A26" s="286"/>
      <c r="B26" s="430" t="s">
        <v>126</v>
      </c>
      <c r="C26" s="431" t="s">
        <v>139</v>
      </c>
      <c r="D26" s="432"/>
      <c r="E26" s="433"/>
      <c r="F26" s="433"/>
      <c r="G26" s="433"/>
      <c r="H26" s="434"/>
      <c r="I26" s="422"/>
      <c r="J26" s="432"/>
      <c r="K26" s="433"/>
      <c r="L26" s="433"/>
      <c r="M26" s="433"/>
      <c r="N26" s="434"/>
      <c r="O26" s="435"/>
      <c r="P26" s="432"/>
      <c r="Q26" s="433"/>
      <c r="R26" s="433"/>
      <c r="S26" s="433"/>
      <c r="T26" s="434"/>
      <c r="U26" s="423"/>
      <c r="V26" s="432"/>
      <c r="W26" s="433"/>
      <c r="X26" s="433"/>
      <c r="Y26" s="433"/>
      <c r="Z26" s="433"/>
      <c r="AA26" s="433"/>
      <c r="AB26" s="434"/>
      <c r="AC26" s="435"/>
      <c r="AD26" s="432"/>
      <c r="AE26" s="433"/>
      <c r="AF26" s="433"/>
      <c r="AG26" s="433"/>
      <c r="AH26" s="433"/>
      <c r="AI26" s="433"/>
      <c r="AJ26" s="434"/>
      <c r="AK26" s="435"/>
      <c r="AL26" s="432"/>
      <c r="AM26" s="433"/>
      <c r="AN26" s="433"/>
      <c r="AO26" s="433"/>
      <c r="AP26" s="433"/>
      <c r="AQ26" s="433"/>
      <c r="AR26" s="433"/>
      <c r="AS26" s="434"/>
      <c r="AT26" s="424"/>
      <c r="AU26" s="432"/>
      <c r="AV26" s="433"/>
      <c r="AW26" s="433"/>
      <c r="AX26" s="433"/>
      <c r="AY26" s="433"/>
      <c r="AZ26" s="433"/>
      <c r="BA26" s="434"/>
      <c r="BB26" s="435"/>
      <c r="BC26" s="432"/>
      <c r="BD26" s="433"/>
      <c r="BE26" s="433"/>
      <c r="BF26" s="433"/>
      <c r="BG26" s="433"/>
      <c r="BH26" s="433"/>
      <c r="BI26" s="434"/>
      <c r="BJ26" s="436"/>
      <c r="BK26" s="432"/>
      <c r="BL26" s="433"/>
      <c r="BM26" s="433"/>
      <c r="BN26" s="433"/>
      <c r="BO26" s="433"/>
      <c r="BP26" s="433"/>
      <c r="BQ26" s="433"/>
      <c r="BR26" s="434"/>
      <c r="BS26" s="436"/>
      <c r="BT26" s="432"/>
      <c r="BU26" s="433"/>
      <c r="BV26" s="433"/>
      <c r="BW26" s="433"/>
      <c r="BX26" s="433"/>
      <c r="BY26" s="433"/>
      <c r="BZ26" s="434"/>
      <c r="CA26" s="373"/>
      <c r="CB26" s="432"/>
      <c r="CC26" s="433"/>
      <c r="CD26" s="433"/>
      <c r="CE26" s="433"/>
      <c r="CF26" s="433"/>
      <c r="CG26" s="433"/>
      <c r="CH26" s="434"/>
      <c r="CI26" s="373"/>
      <c r="CJ26" s="432"/>
      <c r="CK26" s="433"/>
      <c r="CL26" s="433"/>
      <c r="CM26" s="433"/>
      <c r="CN26" s="433"/>
      <c r="CO26" s="433"/>
      <c r="CP26" s="434"/>
      <c r="CQ26" s="435"/>
      <c r="CR26" s="432"/>
      <c r="CS26" s="433"/>
      <c r="CT26" s="433"/>
      <c r="CU26" s="433" t="n">
        <f aca="false">+CR26-CS26</f>
        <v>0</v>
      </c>
      <c r="CV26" s="433" t="n">
        <f aca="false">+CR26-CT26</f>
        <v>0</v>
      </c>
      <c r="CW26" s="433"/>
      <c r="CX26" s="434" t="str">
        <f aca="false">IFERROR(CR26/CW26-1, "-")</f>
        <v>-</v>
      </c>
      <c r="CY26" s="425"/>
      <c r="CZ26" s="437"/>
      <c r="DA26" s="433"/>
      <c r="DB26" s="433"/>
      <c r="DC26" s="433"/>
      <c r="DD26" s="433"/>
      <c r="DE26" s="434"/>
      <c r="DF26" s="434"/>
      <c r="DG26" s="438"/>
      <c r="DH26" s="438"/>
      <c r="DI26" s="413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413"/>
      <c r="DO26" s="413"/>
      <c r="DP26" s="439"/>
      <c r="DQ26" s="415" t="n">
        <f aca="false">-CR26+DP26/10^6</f>
        <v>0</v>
      </c>
      <c r="DR26" s="117" t="n">
        <f aca="false">SUM(E26,K26,Q26,W26,AE26,AM26,AV26,BD26,BL26,BU26,CC26,CK26)-CS26</f>
        <v>0</v>
      </c>
      <c r="DS26" s="117" t="n">
        <f aca="false">SUM(D26,J26,P26,V26,AD26,AL26,AU26,BC26,,BN26,BV26,CD26,CL26)-CT26</f>
        <v>0</v>
      </c>
      <c r="DT26" s="416"/>
      <c r="DU26" s="440"/>
      <c r="DV26" s="418" t="n">
        <f aca="false">DU26-CJ26</f>
        <v>0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  <c r="EB26" s="419"/>
    </row>
    <row r="27" s="441" customFormat="true" ht="19.5" hidden="false" customHeight="true" outlineLevel="1" collapsed="false">
      <c r="A27" s="286"/>
      <c r="B27" s="430" t="s">
        <v>128</v>
      </c>
      <c r="C27" s="431" t="s">
        <v>140</v>
      </c>
      <c r="D27" s="432"/>
      <c r="E27" s="433"/>
      <c r="F27" s="433"/>
      <c r="G27" s="433"/>
      <c r="H27" s="434"/>
      <c r="I27" s="422"/>
      <c r="J27" s="432"/>
      <c r="K27" s="433"/>
      <c r="L27" s="433"/>
      <c r="M27" s="433"/>
      <c r="N27" s="434"/>
      <c r="O27" s="435"/>
      <c r="P27" s="432"/>
      <c r="Q27" s="433"/>
      <c r="R27" s="433"/>
      <c r="S27" s="433"/>
      <c r="T27" s="434"/>
      <c r="U27" s="423"/>
      <c r="V27" s="432"/>
      <c r="W27" s="433"/>
      <c r="X27" s="433"/>
      <c r="Y27" s="433"/>
      <c r="Z27" s="433"/>
      <c r="AA27" s="433"/>
      <c r="AB27" s="434"/>
      <c r="AC27" s="435"/>
      <c r="AD27" s="432"/>
      <c r="AE27" s="433"/>
      <c r="AF27" s="433"/>
      <c r="AG27" s="433"/>
      <c r="AH27" s="433"/>
      <c r="AI27" s="433"/>
      <c r="AJ27" s="434"/>
      <c r="AK27" s="435"/>
      <c r="AL27" s="432"/>
      <c r="AM27" s="433"/>
      <c r="AN27" s="433"/>
      <c r="AO27" s="433"/>
      <c r="AP27" s="433"/>
      <c r="AQ27" s="433"/>
      <c r="AR27" s="433"/>
      <c r="AS27" s="434"/>
      <c r="AT27" s="424"/>
      <c r="AU27" s="432"/>
      <c r="AV27" s="433"/>
      <c r="AW27" s="433"/>
      <c r="AX27" s="433"/>
      <c r="AY27" s="433"/>
      <c r="AZ27" s="433"/>
      <c r="BA27" s="434"/>
      <c r="BB27" s="435"/>
      <c r="BC27" s="432"/>
      <c r="BD27" s="433"/>
      <c r="BE27" s="433"/>
      <c r="BF27" s="433"/>
      <c r="BG27" s="433"/>
      <c r="BH27" s="433"/>
      <c r="BI27" s="434"/>
      <c r="BJ27" s="436"/>
      <c r="BK27" s="432"/>
      <c r="BL27" s="433"/>
      <c r="BM27" s="433"/>
      <c r="BN27" s="433"/>
      <c r="BO27" s="433"/>
      <c r="BP27" s="433"/>
      <c r="BQ27" s="433"/>
      <c r="BR27" s="434"/>
      <c r="BS27" s="436"/>
      <c r="BT27" s="432"/>
      <c r="BU27" s="433"/>
      <c r="BV27" s="433"/>
      <c r="BW27" s="433"/>
      <c r="BX27" s="433"/>
      <c r="BY27" s="433"/>
      <c r="BZ27" s="434"/>
      <c r="CA27" s="373"/>
      <c r="CB27" s="432"/>
      <c r="CC27" s="433"/>
      <c r="CD27" s="433"/>
      <c r="CE27" s="433"/>
      <c r="CF27" s="433"/>
      <c r="CG27" s="433"/>
      <c r="CH27" s="434"/>
      <c r="CI27" s="373"/>
      <c r="CJ27" s="432"/>
      <c r="CK27" s="433"/>
      <c r="CL27" s="433"/>
      <c r="CM27" s="433"/>
      <c r="CN27" s="433"/>
      <c r="CO27" s="433"/>
      <c r="CP27" s="434"/>
      <c r="CQ27" s="435"/>
      <c r="CR27" s="432"/>
      <c r="CS27" s="433"/>
      <c r="CT27" s="433"/>
      <c r="CU27" s="433" t="n">
        <f aca="false">+CR27-CS27</f>
        <v>0</v>
      </c>
      <c r="CV27" s="433" t="n">
        <f aca="false">+CR27-CT27</f>
        <v>0</v>
      </c>
      <c r="CW27" s="433"/>
      <c r="CX27" s="434" t="str">
        <f aca="false">IFERROR(CR27/CW27-1, "-")</f>
        <v>-</v>
      </c>
      <c r="CY27" s="425"/>
      <c r="CZ27" s="437"/>
      <c r="DA27" s="433"/>
      <c r="DB27" s="433"/>
      <c r="DC27" s="433"/>
      <c r="DD27" s="433"/>
      <c r="DE27" s="434"/>
      <c r="DF27" s="434"/>
      <c r="DG27" s="438"/>
      <c r="DH27" s="438"/>
      <c r="DI27" s="413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413"/>
      <c r="DO27" s="413"/>
      <c r="DP27" s="439"/>
      <c r="DQ27" s="415" t="n">
        <f aca="false">-CR27+DP27/10^6</f>
        <v>0</v>
      </c>
      <c r="DR27" s="117" t="n">
        <f aca="false">SUM(E27,K27,Q27,W27,AE27,AM27,AV27,BD27,BL27,BU27,CC27,CK27)-CS27</f>
        <v>0</v>
      </c>
      <c r="DS27" s="117" t="n">
        <f aca="false">SUM(D27,J27,P27,V27,AD27,AL27,AU27,BC27,,BN27,BV27,CD27,CL27)-CT27</f>
        <v>0</v>
      </c>
      <c r="DT27" s="416"/>
      <c r="DU27" s="440"/>
      <c r="DV27" s="418" t="n">
        <f aca="false">DU27-CJ27</f>
        <v>0</v>
      </c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  <c r="EB27" s="419"/>
    </row>
    <row r="28" s="441" customFormat="true" ht="19.5" hidden="false" customHeight="true" outlineLevel="1" collapsed="false">
      <c r="A28" s="286"/>
      <c r="B28" s="430" t="s">
        <v>130</v>
      </c>
      <c r="C28" s="431" t="s">
        <v>141</v>
      </c>
      <c r="D28" s="432"/>
      <c r="E28" s="433"/>
      <c r="F28" s="433"/>
      <c r="G28" s="433"/>
      <c r="H28" s="434"/>
      <c r="I28" s="422"/>
      <c r="J28" s="432"/>
      <c r="K28" s="433"/>
      <c r="L28" s="433"/>
      <c r="M28" s="433"/>
      <c r="N28" s="434"/>
      <c r="O28" s="435"/>
      <c r="P28" s="432"/>
      <c r="Q28" s="433"/>
      <c r="R28" s="433"/>
      <c r="S28" s="433"/>
      <c r="T28" s="434"/>
      <c r="U28" s="423"/>
      <c r="V28" s="432"/>
      <c r="W28" s="433"/>
      <c r="X28" s="433"/>
      <c r="Y28" s="433"/>
      <c r="Z28" s="433"/>
      <c r="AA28" s="433"/>
      <c r="AB28" s="434"/>
      <c r="AC28" s="435"/>
      <c r="AD28" s="432"/>
      <c r="AE28" s="433"/>
      <c r="AF28" s="433"/>
      <c r="AG28" s="433"/>
      <c r="AH28" s="433"/>
      <c r="AI28" s="433"/>
      <c r="AJ28" s="434"/>
      <c r="AK28" s="435"/>
      <c r="AL28" s="432"/>
      <c r="AM28" s="433"/>
      <c r="AN28" s="433"/>
      <c r="AO28" s="433"/>
      <c r="AP28" s="433"/>
      <c r="AQ28" s="433"/>
      <c r="AR28" s="433"/>
      <c r="AS28" s="434"/>
      <c r="AT28" s="424"/>
      <c r="AU28" s="432"/>
      <c r="AV28" s="433"/>
      <c r="AW28" s="433"/>
      <c r="AX28" s="433"/>
      <c r="AY28" s="433"/>
      <c r="AZ28" s="433"/>
      <c r="BA28" s="434"/>
      <c r="BB28" s="435"/>
      <c r="BC28" s="432"/>
      <c r="BD28" s="433"/>
      <c r="BE28" s="433"/>
      <c r="BF28" s="433"/>
      <c r="BG28" s="433"/>
      <c r="BH28" s="433"/>
      <c r="BI28" s="434"/>
      <c r="BJ28" s="436"/>
      <c r="BK28" s="432"/>
      <c r="BL28" s="433"/>
      <c r="BM28" s="433"/>
      <c r="BN28" s="433"/>
      <c r="BO28" s="433"/>
      <c r="BP28" s="433"/>
      <c r="BQ28" s="433"/>
      <c r="BR28" s="434"/>
      <c r="BS28" s="436"/>
      <c r="BT28" s="432"/>
      <c r="BU28" s="433"/>
      <c r="BV28" s="433"/>
      <c r="BW28" s="433"/>
      <c r="BX28" s="433"/>
      <c r="BY28" s="433"/>
      <c r="BZ28" s="434"/>
      <c r="CA28" s="373"/>
      <c r="CB28" s="432"/>
      <c r="CC28" s="433"/>
      <c r="CD28" s="433"/>
      <c r="CE28" s="433"/>
      <c r="CF28" s="433"/>
      <c r="CG28" s="433"/>
      <c r="CH28" s="434"/>
      <c r="CI28" s="373"/>
      <c r="CJ28" s="432"/>
      <c r="CK28" s="433"/>
      <c r="CL28" s="433"/>
      <c r="CM28" s="433"/>
      <c r="CN28" s="433"/>
      <c r="CO28" s="433"/>
      <c r="CP28" s="434"/>
      <c r="CQ28" s="435"/>
      <c r="CR28" s="432"/>
      <c r="CS28" s="433"/>
      <c r="CT28" s="433"/>
      <c r="CU28" s="433" t="n">
        <f aca="false">+CR28-CS28</f>
        <v>0</v>
      </c>
      <c r="CV28" s="433" t="n">
        <f aca="false">+CR28-CT28</f>
        <v>0</v>
      </c>
      <c r="CW28" s="433"/>
      <c r="CX28" s="434" t="str">
        <f aca="false">IFERROR(CR28/CW28-1, "-")</f>
        <v>-</v>
      </c>
      <c r="CY28" s="425"/>
      <c r="CZ28" s="437"/>
      <c r="DA28" s="433"/>
      <c r="DB28" s="433"/>
      <c r="DC28" s="433"/>
      <c r="DD28" s="433"/>
      <c r="DE28" s="434"/>
      <c r="DF28" s="434"/>
      <c r="DG28" s="438"/>
      <c r="DH28" s="438"/>
      <c r="DI28" s="413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413"/>
      <c r="DO28" s="413"/>
      <c r="DP28" s="439"/>
      <c r="DQ28" s="415" t="n">
        <f aca="false">-CR28+DP28/10^6</f>
        <v>0</v>
      </c>
      <c r="DR28" s="117" t="n">
        <f aca="false">SUM(E28,K28,Q28,W28,AE28,AM28,AV28,BD28,BL28,BU28,CC28,CK28)-CS28</f>
        <v>0</v>
      </c>
      <c r="DS28" s="117" t="n">
        <f aca="false">SUM(D28,J28,P28,V28,AD28,AL28,AU28,BC28,,BN28,BV28,CD28,CL28)-CT28</f>
        <v>0</v>
      </c>
      <c r="DT28" s="416"/>
      <c r="DU28" s="440"/>
      <c r="DV28" s="418" t="n">
        <f aca="false">DU28-CJ28</f>
        <v>0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  <c r="EB28" s="419"/>
    </row>
    <row r="29" s="441" customFormat="true" ht="19.5" hidden="false" customHeight="true" outlineLevel="1" collapsed="false">
      <c r="A29" s="286"/>
      <c r="B29" s="430" t="s">
        <v>142</v>
      </c>
      <c r="C29" s="431" t="s">
        <v>143</v>
      </c>
      <c r="D29" s="432"/>
      <c r="E29" s="433"/>
      <c r="F29" s="433"/>
      <c r="G29" s="433"/>
      <c r="H29" s="434"/>
      <c r="I29" s="422"/>
      <c r="J29" s="432"/>
      <c r="K29" s="433"/>
      <c r="L29" s="433"/>
      <c r="M29" s="433"/>
      <c r="N29" s="434"/>
      <c r="O29" s="435"/>
      <c r="P29" s="432"/>
      <c r="Q29" s="433"/>
      <c r="R29" s="433"/>
      <c r="S29" s="433"/>
      <c r="T29" s="434"/>
      <c r="U29" s="423"/>
      <c r="V29" s="432"/>
      <c r="W29" s="433"/>
      <c r="X29" s="433"/>
      <c r="Y29" s="433"/>
      <c r="Z29" s="433"/>
      <c r="AA29" s="433"/>
      <c r="AB29" s="434"/>
      <c r="AC29" s="435"/>
      <c r="AD29" s="432"/>
      <c r="AE29" s="433"/>
      <c r="AF29" s="433"/>
      <c r="AG29" s="433"/>
      <c r="AH29" s="433"/>
      <c r="AI29" s="433"/>
      <c r="AJ29" s="434"/>
      <c r="AK29" s="435"/>
      <c r="AL29" s="432"/>
      <c r="AM29" s="433"/>
      <c r="AN29" s="433"/>
      <c r="AO29" s="433"/>
      <c r="AP29" s="433"/>
      <c r="AQ29" s="433"/>
      <c r="AR29" s="433"/>
      <c r="AS29" s="434"/>
      <c r="AT29" s="424"/>
      <c r="AU29" s="432"/>
      <c r="AV29" s="433"/>
      <c r="AW29" s="433"/>
      <c r="AX29" s="433"/>
      <c r="AY29" s="433"/>
      <c r="AZ29" s="433"/>
      <c r="BA29" s="434"/>
      <c r="BB29" s="435"/>
      <c r="BC29" s="432"/>
      <c r="BD29" s="433"/>
      <c r="BE29" s="433"/>
      <c r="BF29" s="433"/>
      <c r="BG29" s="433"/>
      <c r="BH29" s="433"/>
      <c r="BI29" s="434"/>
      <c r="BJ29" s="436"/>
      <c r="BK29" s="432"/>
      <c r="BL29" s="433"/>
      <c r="BM29" s="433"/>
      <c r="BN29" s="433"/>
      <c r="BO29" s="433"/>
      <c r="BP29" s="433"/>
      <c r="BQ29" s="433"/>
      <c r="BR29" s="434"/>
      <c r="BS29" s="436"/>
      <c r="BT29" s="432"/>
      <c r="BU29" s="433"/>
      <c r="BV29" s="433"/>
      <c r="BW29" s="433"/>
      <c r="BX29" s="433"/>
      <c r="BY29" s="433"/>
      <c r="BZ29" s="434"/>
      <c r="CA29" s="373"/>
      <c r="CB29" s="432"/>
      <c r="CC29" s="433"/>
      <c r="CD29" s="433"/>
      <c r="CE29" s="433"/>
      <c r="CF29" s="433"/>
      <c r="CG29" s="433"/>
      <c r="CH29" s="434"/>
      <c r="CI29" s="373"/>
      <c r="CJ29" s="432"/>
      <c r="CK29" s="433"/>
      <c r="CL29" s="433"/>
      <c r="CM29" s="433"/>
      <c r="CN29" s="433"/>
      <c r="CO29" s="433"/>
      <c r="CP29" s="434"/>
      <c r="CQ29" s="435"/>
      <c r="CR29" s="432"/>
      <c r="CS29" s="433"/>
      <c r="CT29" s="433"/>
      <c r="CU29" s="433" t="n">
        <f aca="false">+CR29-CS29</f>
        <v>0</v>
      </c>
      <c r="CV29" s="433" t="n">
        <f aca="false">+CR29-CT29</f>
        <v>0</v>
      </c>
      <c r="CW29" s="433"/>
      <c r="CX29" s="434" t="str">
        <f aca="false">IFERROR(CR29/CW29-1, "-")</f>
        <v>-</v>
      </c>
      <c r="CY29" s="425"/>
      <c r="CZ29" s="437"/>
      <c r="DA29" s="433"/>
      <c r="DB29" s="433"/>
      <c r="DC29" s="433"/>
      <c r="DD29" s="433"/>
      <c r="DE29" s="434"/>
      <c r="DF29" s="434"/>
      <c r="DG29" s="438"/>
      <c r="DH29" s="438"/>
      <c r="DI29" s="413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N29" s="413"/>
      <c r="DO29" s="413"/>
      <c r="DP29" s="439"/>
      <c r="DQ29" s="415" t="n">
        <f aca="false">-CR29+DP29/10^6</f>
        <v>0</v>
      </c>
      <c r="DR29" s="117" t="n">
        <f aca="false">SUM(E29,K29,Q29,W29,AE29,AM29,AV29,BD29,BL29,BU29,CC29,CK29)-CS29</f>
        <v>0</v>
      </c>
      <c r="DS29" s="117" t="n">
        <f aca="false">SUM(D29,J29,P29,V29,AD29,AL29,AU29,BC29,,BN29,BV29,CD29,CL29)-CT29</f>
        <v>0</v>
      </c>
      <c r="DT29" s="416"/>
      <c r="DU29" s="440"/>
      <c r="DV29" s="418" t="n">
        <f aca="false">DU29-CJ29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  <c r="EB29" s="419"/>
    </row>
    <row r="30" s="441" customFormat="true" ht="19.5" hidden="false" customHeight="true" outlineLevel="1" collapsed="false">
      <c r="A30" s="286"/>
      <c r="B30" s="430" t="s">
        <v>120</v>
      </c>
      <c r="C30" s="431" t="s">
        <v>144</v>
      </c>
      <c r="D30" s="432"/>
      <c r="E30" s="433"/>
      <c r="F30" s="433"/>
      <c r="G30" s="433"/>
      <c r="H30" s="434"/>
      <c r="I30" s="422"/>
      <c r="J30" s="432"/>
      <c r="K30" s="433"/>
      <c r="L30" s="433"/>
      <c r="M30" s="433"/>
      <c r="N30" s="434"/>
      <c r="O30" s="435"/>
      <c r="P30" s="432"/>
      <c r="Q30" s="433"/>
      <c r="R30" s="433"/>
      <c r="S30" s="433"/>
      <c r="T30" s="434"/>
      <c r="U30" s="423"/>
      <c r="V30" s="432"/>
      <c r="W30" s="433"/>
      <c r="X30" s="433"/>
      <c r="Y30" s="433"/>
      <c r="Z30" s="433"/>
      <c r="AA30" s="433"/>
      <c r="AB30" s="434"/>
      <c r="AC30" s="435"/>
      <c r="AD30" s="432"/>
      <c r="AE30" s="433"/>
      <c r="AF30" s="433"/>
      <c r="AG30" s="433"/>
      <c r="AH30" s="433"/>
      <c r="AI30" s="433"/>
      <c r="AJ30" s="434"/>
      <c r="AK30" s="435"/>
      <c r="AL30" s="432"/>
      <c r="AM30" s="433"/>
      <c r="AN30" s="433"/>
      <c r="AO30" s="433"/>
      <c r="AP30" s="433"/>
      <c r="AQ30" s="433"/>
      <c r="AR30" s="433"/>
      <c r="AS30" s="434"/>
      <c r="AT30" s="424"/>
      <c r="AU30" s="432"/>
      <c r="AV30" s="433"/>
      <c r="AW30" s="433"/>
      <c r="AX30" s="433"/>
      <c r="AY30" s="433"/>
      <c r="AZ30" s="433"/>
      <c r="BA30" s="434"/>
      <c r="BB30" s="435"/>
      <c r="BC30" s="432"/>
      <c r="BD30" s="433"/>
      <c r="BE30" s="433"/>
      <c r="BF30" s="433"/>
      <c r="BG30" s="433"/>
      <c r="BH30" s="433"/>
      <c r="BI30" s="434"/>
      <c r="BJ30" s="436"/>
      <c r="BK30" s="432"/>
      <c r="BL30" s="433"/>
      <c r="BM30" s="433"/>
      <c r="BN30" s="433"/>
      <c r="BO30" s="433"/>
      <c r="BP30" s="433"/>
      <c r="BQ30" s="433"/>
      <c r="BR30" s="434"/>
      <c r="BS30" s="436"/>
      <c r="BT30" s="432"/>
      <c r="BU30" s="433"/>
      <c r="BV30" s="433"/>
      <c r="BW30" s="433"/>
      <c r="BX30" s="433"/>
      <c r="BY30" s="433"/>
      <c r="BZ30" s="434"/>
      <c r="CA30" s="373"/>
      <c r="CB30" s="432"/>
      <c r="CC30" s="433"/>
      <c r="CD30" s="433"/>
      <c r="CE30" s="433"/>
      <c r="CF30" s="433"/>
      <c r="CG30" s="433"/>
      <c r="CH30" s="434"/>
      <c r="CI30" s="373"/>
      <c r="CJ30" s="432"/>
      <c r="CK30" s="433"/>
      <c r="CL30" s="433"/>
      <c r="CM30" s="433"/>
      <c r="CN30" s="433"/>
      <c r="CO30" s="433"/>
      <c r="CP30" s="434"/>
      <c r="CQ30" s="435"/>
      <c r="CR30" s="432"/>
      <c r="CS30" s="433"/>
      <c r="CT30" s="433"/>
      <c r="CU30" s="433" t="n">
        <f aca="false">+CR30-CS30</f>
        <v>0</v>
      </c>
      <c r="CV30" s="433" t="n">
        <f aca="false">+CR30-CT30</f>
        <v>0</v>
      </c>
      <c r="CW30" s="433"/>
      <c r="CX30" s="434" t="str">
        <f aca="false">IFERROR(CR30/CW30-1, "-")</f>
        <v>-</v>
      </c>
      <c r="CY30" s="425"/>
      <c r="CZ30" s="437"/>
      <c r="DA30" s="433"/>
      <c r="DB30" s="433"/>
      <c r="DC30" s="433"/>
      <c r="DD30" s="433"/>
      <c r="DE30" s="434"/>
      <c r="DF30" s="434"/>
      <c r="DG30" s="438"/>
      <c r="DH30" s="438"/>
      <c r="DI30" s="413"/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N30" s="413"/>
      <c r="DO30" s="413"/>
      <c r="DP30" s="439" t="n">
        <v>0</v>
      </c>
      <c r="DQ30" s="415" t="n">
        <f aca="false">-CR30+DP30/10^6</f>
        <v>0</v>
      </c>
      <c r="DR30" s="117" t="n">
        <f aca="false">SUM(E30,K30,Q30,W30,AE30,AM30,AV30,BD30,BL30,BU30,CC30,CK30)-CS30</f>
        <v>0</v>
      </c>
      <c r="DS30" s="117" t="n">
        <f aca="false">SUM(D30,J30,P30,V30,AD30,AL30,AU30,BC30,,BN30,BV30,CD30,CL30)-CT30</f>
        <v>0</v>
      </c>
      <c r="DT30" s="416"/>
      <c r="DU30" s="440"/>
      <c r="DV30" s="418" t="n">
        <f aca="false">DU30-CJ30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  <c r="EB30" s="419"/>
    </row>
    <row r="31" s="441" customFormat="true" ht="19.5" hidden="false" customHeight="true" outlineLevel="1" collapsed="false">
      <c r="A31" s="286"/>
      <c r="B31" s="430" t="s">
        <v>122</v>
      </c>
      <c r="C31" s="431" t="s">
        <v>145</v>
      </c>
      <c r="D31" s="432"/>
      <c r="E31" s="433"/>
      <c r="F31" s="433"/>
      <c r="G31" s="433"/>
      <c r="H31" s="434"/>
      <c r="I31" s="422"/>
      <c r="J31" s="432"/>
      <c r="K31" s="433"/>
      <c r="L31" s="433"/>
      <c r="M31" s="433"/>
      <c r="N31" s="434"/>
      <c r="O31" s="435"/>
      <c r="P31" s="432"/>
      <c r="Q31" s="433"/>
      <c r="R31" s="433"/>
      <c r="S31" s="433"/>
      <c r="T31" s="434"/>
      <c r="U31" s="423"/>
      <c r="V31" s="432"/>
      <c r="W31" s="433"/>
      <c r="X31" s="433"/>
      <c r="Y31" s="433"/>
      <c r="Z31" s="433"/>
      <c r="AA31" s="433"/>
      <c r="AB31" s="434"/>
      <c r="AC31" s="435"/>
      <c r="AD31" s="432"/>
      <c r="AE31" s="433"/>
      <c r="AF31" s="433"/>
      <c r="AG31" s="433"/>
      <c r="AH31" s="433"/>
      <c r="AI31" s="433"/>
      <c r="AJ31" s="434"/>
      <c r="AK31" s="435"/>
      <c r="AL31" s="432"/>
      <c r="AM31" s="433"/>
      <c r="AN31" s="433"/>
      <c r="AO31" s="433"/>
      <c r="AP31" s="433"/>
      <c r="AQ31" s="433"/>
      <c r="AR31" s="433"/>
      <c r="AS31" s="434"/>
      <c r="AT31" s="424"/>
      <c r="AU31" s="432"/>
      <c r="AV31" s="433"/>
      <c r="AW31" s="433"/>
      <c r="AX31" s="433"/>
      <c r="AY31" s="433"/>
      <c r="AZ31" s="433"/>
      <c r="BA31" s="434"/>
      <c r="BB31" s="435"/>
      <c r="BC31" s="432"/>
      <c r="BD31" s="433"/>
      <c r="BE31" s="433"/>
      <c r="BF31" s="433"/>
      <c r="BG31" s="433"/>
      <c r="BH31" s="433"/>
      <c r="BI31" s="434"/>
      <c r="BJ31" s="436"/>
      <c r="BK31" s="432"/>
      <c r="BL31" s="433"/>
      <c r="BM31" s="433"/>
      <c r="BN31" s="433"/>
      <c r="BO31" s="433"/>
      <c r="BP31" s="433"/>
      <c r="BQ31" s="433"/>
      <c r="BR31" s="434"/>
      <c r="BS31" s="436"/>
      <c r="BT31" s="432"/>
      <c r="BU31" s="433"/>
      <c r="BV31" s="433"/>
      <c r="BW31" s="433"/>
      <c r="BX31" s="433"/>
      <c r="BY31" s="433"/>
      <c r="BZ31" s="434"/>
      <c r="CA31" s="373"/>
      <c r="CB31" s="432"/>
      <c r="CC31" s="433"/>
      <c r="CD31" s="433"/>
      <c r="CE31" s="433"/>
      <c r="CF31" s="433"/>
      <c r="CG31" s="433"/>
      <c r="CH31" s="434"/>
      <c r="CI31" s="373"/>
      <c r="CJ31" s="432"/>
      <c r="CK31" s="433"/>
      <c r="CL31" s="433"/>
      <c r="CM31" s="433"/>
      <c r="CN31" s="433"/>
      <c r="CO31" s="433"/>
      <c r="CP31" s="434"/>
      <c r="CQ31" s="435"/>
      <c r="CR31" s="432"/>
      <c r="CS31" s="433"/>
      <c r="CT31" s="433"/>
      <c r="CU31" s="433" t="n">
        <f aca="false">+CR31-CS31</f>
        <v>0</v>
      </c>
      <c r="CV31" s="433" t="n">
        <f aca="false">+CR31-CT31</f>
        <v>0</v>
      </c>
      <c r="CW31" s="433"/>
      <c r="CX31" s="434" t="str">
        <f aca="false">IFERROR(CR31/CW31-1, "-")</f>
        <v>-</v>
      </c>
      <c r="CY31" s="425"/>
      <c r="CZ31" s="437"/>
      <c r="DA31" s="433"/>
      <c r="DB31" s="433"/>
      <c r="DC31" s="433"/>
      <c r="DD31" s="433"/>
      <c r="DE31" s="434"/>
      <c r="DF31" s="434"/>
      <c r="DG31" s="438"/>
      <c r="DH31" s="438"/>
      <c r="DI31" s="413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N31" s="413"/>
      <c r="DO31" s="413"/>
      <c r="DP31" s="439"/>
      <c r="DQ31" s="415" t="n">
        <f aca="false">-CR31+DP31/10^6</f>
        <v>0</v>
      </c>
      <c r="DR31" s="117" t="n">
        <f aca="false">SUM(E31,K31,Q31,W31,AE31,AM31,AV31,BD31,BL31,BU31,CC31,CK31)-CS31</f>
        <v>0</v>
      </c>
      <c r="DS31" s="117" t="n">
        <f aca="false">SUM(D31,J31,P31,V31,AD31,AL31,AU31,BC31,,BN31,BV31,CD31,CL31)-CT31</f>
        <v>0</v>
      </c>
      <c r="DT31" s="416"/>
      <c r="DU31" s="440"/>
      <c r="DV31" s="418" t="n">
        <f aca="false">DU31-CJ31</f>
        <v>0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  <c r="EB31" s="419"/>
    </row>
    <row r="32" s="441" customFormat="true" ht="19.5" hidden="false" customHeight="true" outlineLevel="1" collapsed="false">
      <c r="A32" s="286"/>
      <c r="B32" s="430" t="s">
        <v>134</v>
      </c>
      <c r="C32" s="431" t="s">
        <v>146</v>
      </c>
      <c r="D32" s="432"/>
      <c r="E32" s="433"/>
      <c r="F32" s="433"/>
      <c r="G32" s="433"/>
      <c r="H32" s="434"/>
      <c r="I32" s="422"/>
      <c r="J32" s="432"/>
      <c r="K32" s="433"/>
      <c r="L32" s="433"/>
      <c r="M32" s="433"/>
      <c r="N32" s="434"/>
      <c r="O32" s="435"/>
      <c r="P32" s="432"/>
      <c r="Q32" s="433"/>
      <c r="R32" s="433"/>
      <c r="S32" s="433"/>
      <c r="T32" s="434"/>
      <c r="U32" s="423"/>
      <c r="V32" s="432"/>
      <c r="W32" s="433"/>
      <c r="X32" s="433"/>
      <c r="Y32" s="433"/>
      <c r="Z32" s="433"/>
      <c r="AA32" s="433"/>
      <c r="AB32" s="434"/>
      <c r="AC32" s="435"/>
      <c r="AD32" s="432"/>
      <c r="AE32" s="433"/>
      <c r="AF32" s="433"/>
      <c r="AG32" s="433"/>
      <c r="AH32" s="433"/>
      <c r="AI32" s="433"/>
      <c r="AJ32" s="434"/>
      <c r="AK32" s="435"/>
      <c r="AL32" s="432"/>
      <c r="AM32" s="433"/>
      <c r="AN32" s="433"/>
      <c r="AO32" s="433"/>
      <c r="AP32" s="433"/>
      <c r="AQ32" s="433"/>
      <c r="AR32" s="433"/>
      <c r="AS32" s="434"/>
      <c r="AT32" s="424"/>
      <c r="AU32" s="432"/>
      <c r="AV32" s="433"/>
      <c r="AW32" s="433"/>
      <c r="AX32" s="433"/>
      <c r="AY32" s="433"/>
      <c r="AZ32" s="433"/>
      <c r="BA32" s="434"/>
      <c r="BB32" s="435"/>
      <c r="BC32" s="432"/>
      <c r="BD32" s="433"/>
      <c r="BE32" s="433"/>
      <c r="BF32" s="433"/>
      <c r="BG32" s="433"/>
      <c r="BH32" s="433"/>
      <c r="BI32" s="434"/>
      <c r="BJ32" s="436"/>
      <c r="BK32" s="432"/>
      <c r="BL32" s="433"/>
      <c r="BM32" s="433"/>
      <c r="BN32" s="433"/>
      <c r="BO32" s="433"/>
      <c r="BP32" s="433"/>
      <c r="BQ32" s="433"/>
      <c r="BR32" s="434"/>
      <c r="BS32" s="436"/>
      <c r="BT32" s="432"/>
      <c r="BU32" s="433"/>
      <c r="BV32" s="433"/>
      <c r="BW32" s="433"/>
      <c r="BX32" s="433"/>
      <c r="BY32" s="433"/>
      <c r="BZ32" s="434"/>
      <c r="CA32" s="373"/>
      <c r="CB32" s="432"/>
      <c r="CC32" s="433"/>
      <c r="CD32" s="433"/>
      <c r="CE32" s="433"/>
      <c r="CF32" s="433"/>
      <c r="CG32" s="433"/>
      <c r="CH32" s="434"/>
      <c r="CI32" s="373"/>
      <c r="CJ32" s="432"/>
      <c r="CK32" s="433"/>
      <c r="CL32" s="433"/>
      <c r="CM32" s="433"/>
      <c r="CN32" s="433"/>
      <c r="CO32" s="433"/>
      <c r="CP32" s="434"/>
      <c r="CQ32" s="435"/>
      <c r="CR32" s="432"/>
      <c r="CS32" s="433"/>
      <c r="CT32" s="433"/>
      <c r="CU32" s="433" t="n">
        <f aca="false">+CR32-CS32</f>
        <v>0</v>
      </c>
      <c r="CV32" s="433" t="n">
        <f aca="false">+CR32-CT32</f>
        <v>0</v>
      </c>
      <c r="CW32" s="433"/>
      <c r="CX32" s="434" t="str">
        <f aca="false">IFERROR(CR32/CW32-1, "-")</f>
        <v>-</v>
      </c>
      <c r="CY32" s="425"/>
      <c r="CZ32" s="437"/>
      <c r="DA32" s="433"/>
      <c r="DB32" s="433"/>
      <c r="DC32" s="433"/>
      <c r="DD32" s="433"/>
      <c r="DE32" s="434"/>
      <c r="DF32" s="434"/>
      <c r="DG32" s="438"/>
      <c r="DH32" s="438"/>
      <c r="DI32" s="413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N32" s="413"/>
      <c r="DO32" s="413"/>
      <c r="DP32" s="439"/>
      <c r="DQ32" s="415" t="n">
        <f aca="false">-CR32+DP32/10^6</f>
        <v>0</v>
      </c>
      <c r="DR32" s="117" t="n">
        <f aca="false">SUM(E32,K32,Q32,W32,AE32,AM32,AV32,BD32,BL32,BU32,CC32,CK32)-CS32</f>
        <v>0</v>
      </c>
      <c r="DS32" s="117" t="n">
        <f aca="false">SUM(D32,J32,P32,V32,AD32,AL32,AU32,BC32,,BN32,BV32,CD32,CL32)-CT32</f>
        <v>0</v>
      </c>
      <c r="DT32" s="416"/>
      <c r="DU32" s="440"/>
      <c r="DV32" s="418" t="n">
        <f aca="false">DU32-CJ32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  <c r="EB32" s="419"/>
    </row>
    <row r="33" s="441" customFormat="true" ht="19.5" hidden="false" customHeight="true" outlineLevel="1" collapsed="false">
      <c r="A33" s="286"/>
      <c r="B33" s="430" t="s">
        <v>147</v>
      </c>
      <c r="C33" s="431" t="s">
        <v>148</v>
      </c>
      <c r="D33" s="432"/>
      <c r="E33" s="433"/>
      <c r="F33" s="433"/>
      <c r="G33" s="433"/>
      <c r="H33" s="434"/>
      <c r="I33" s="422"/>
      <c r="J33" s="432"/>
      <c r="K33" s="433"/>
      <c r="L33" s="433"/>
      <c r="M33" s="433"/>
      <c r="N33" s="434"/>
      <c r="O33" s="435"/>
      <c r="P33" s="432"/>
      <c r="Q33" s="433"/>
      <c r="R33" s="433"/>
      <c r="S33" s="433"/>
      <c r="T33" s="434"/>
      <c r="U33" s="423"/>
      <c r="V33" s="432"/>
      <c r="W33" s="433"/>
      <c r="X33" s="433"/>
      <c r="Y33" s="433"/>
      <c r="Z33" s="433"/>
      <c r="AA33" s="433"/>
      <c r="AB33" s="434"/>
      <c r="AC33" s="435"/>
      <c r="AD33" s="432"/>
      <c r="AE33" s="433"/>
      <c r="AF33" s="433"/>
      <c r="AG33" s="433"/>
      <c r="AH33" s="433"/>
      <c r="AI33" s="433"/>
      <c r="AJ33" s="434"/>
      <c r="AK33" s="435"/>
      <c r="AL33" s="432"/>
      <c r="AM33" s="433"/>
      <c r="AN33" s="433"/>
      <c r="AO33" s="433"/>
      <c r="AP33" s="433"/>
      <c r="AQ33" s="433"/>
      <c r="AR33" s="433"/>
      <c r="AS33" s="434"/>
      <c r="AT33" s="424"/>
      <c r="AU33" s="432"/>
      <c r="AV33" s="433"/>
      <c r="AW33" s="433"/>
      <c r="AX33" s="433"/>
      <c r="AY33" s="433"/>
      <c r="AZ33" s="433"/>
      <c r="BA33" s="434"/>
      <c r="BB33" s="435"/>
      <c r="BC33" s="432"/>
      <c r="BD33" s="433"/>
      <c r="BE33" s="433"/>
      <c r="BF33" s="433"/>
      <c r="BG33" s="433"/>
      <c r="BH33" s="433"/>
      <c r="BI33" s="434"/>
      <c r="BJ33" s="436"/>
      <c r="BK33" s="432"/>
      <c r="BL33" s="433"/>
      <c r="BM33" s="433"/>
      <c r="BN33" s="433"/>
      <c r="BO33" s="433"/>
      <c r="BP33" s="433"/>
      <c r="BQ33" s="433"/>
      <c r="BR33" s="434"/>
      <c r="BS33" s="436"/>
      <c r="BT33" s="432"/>
      <c r="BU33" s="433"/>
      <c r="BV33" s="433"/>
      <c r="BW33" s="433"/>
      <c r="BX33" s="433"/>
      <c r="BY33" s="433"/>
      <c r="BZ33" s="434"/>
      <c r="CA33" s="373"/>
      <c r="CB33" s="432"/>
      <c r="CC33" s="433"/>
      <c r="CD33" s="433"/>
      <c r="CE33" s="433"/>
      <c r="CF33" s="433"/>
      <c r="CG33" s="433"/>
      <c r="CH33" s="434"/>
      <c r="CI33" s="373"/>
      <c r="CJ33" s="432"/>
      <c r="CK33" s="433"/>
      <c r="CL33" s="433"/>
      <c r="CM33" s="433"/>
      <c r="CN33" s="433"/>
      <c r="CO33" s="433"/>
      <c r="CP33" s="434"/>
      <c r="CQ33" s="435"/>
      <c r="CR33" s="432"/>
      <c r="CS33" s="433"/>
      <c r="CT33" s="433"/>
      <c r="CU33" s="433" t="n">
        <f aca="false">+CR33-CS33</f>
        <v>0</v>
      </c>
      <c r="CV33" s="433" t="n">
        <f aca="false">+CR33-CT33</f>
        <v>0</v>
      </c>
      <c r="CW33" s="433"/>
      <c r="CX33" s="434" t="str">
        <f aca="false">IFERROR(CR33/CW33-1, "-")</f>
        <v>-</v>
      </c>
      <c r="CY33" s="425"/>
      <c r="CZ33" s="437"/>
      <c r="DA33" s="433"/>
      <c r="DB33" s="433"/>
      <c r="DC33" s="433"/>
      <c r="DD33" s="433"/>
      <c r="DE33" s="434"/>
      <c r="DF33" s="434"/>
      <c r="DG33" s="438"/>
      <c r="DH33" s="438"/>
      <c r="DI33" s="413"/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N33" s="413"/>
      <c r="DO33" s="413"/>
      <c r="DP33" s="439"/>
      <c r="DQ33" s="415" t="n">
        <f aca="false">-CR33+DP33/10^6</f>
        <v>0</v>
      </c>
      <c r="DR33" s="117" t="n">
        <f aca="false">SUM(E33,K33,Q33,W33,AE33,AM33,AV33,BD33,BL33,BU33,CC33,CK33)-CS33</f>
        <v>0</v>
      </c>
      <c r="DS33" s="117" t="n">
        <f aca="false">SUM(D33,J33,P33,V33,AD33,AL33,AU33,BC33,,BN33,BV33,CD33,CL33)-CT33</f>
        <v>0</v>
      </c>
      <c r="DT33" s="416"/>
      <c r="DU33" s="440"/>
      <c r="DV33" s="418" t="n">
        <f aca="false">DU33-CJ33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  <c r="EB33" s="419"/>
    </row>
    <row r="34" s="441" customFormat="true" ht="19.5" hidden="false" customHeight="true" outlineLevel="1" collapsed="false">
      <c r="A34" s="286"/>
      <c r="B34" s="430" t="s">
        <v>149</v>
      </c>
      <c r="C34" s="431" t="s">
        <v>150</v>
      </c>
      <c r="D34" s="432"/>
      <c r="E34" s="433"/>
      <c r="F34" s="433"/>
      <c r="G34" s="433"/>
      <c r="H34" s="434"/>
      <c r="I34" s="422"/>
      <c r="J34" s="432"/>
      <c r="K34" s="433"/>
      <c r="L34" s="433"/>
      <c r="M34" s="433"/>
      <c r="N34" s="434"/>
      <c r="O34" s="435"/>
      <c r="P34" s="432"/>
      <c r="Q34" s="433"/>
      <c r="R34" s="433"/>
      <c r="S34" s="433"/>
      <c r="T34" s="434"/>
      <c r="U34" s="423"/>
      <c r="V34" s="432"/>
      <c r="W34" s="433"/>
      <c r="X34" s="433"/>
      <c r="Y34" s="433"/>
      <c r="Z34" s="433"/>
      <c r="AA34" s="433"/>
      <c r="AB34" s="434"/>
      <c r="AC34" s="435"/>
      <c r="AD34" s="432"/>
      <c r="AE34" s="433"/>
      <c r="AF34" s="433"/>
      <c r="AG34" s="433"/>
      <c r="AH34" s="433"/>
      <c r="AI34" s="433"/>
      <c r="AJ34" s="434"/>
      <c r="AK34" s="435"/>
      <c r="AL34" s="432"/>
      <c r="AM34" s="433"/>
      <c r="AN34" s="433"/>
      <c r="AO34" s="433"/>
      <c r="AP34" s="433"/>
      <c r="AQ34" s="433"/>
      <c r="AR34" s="433"/>
      <c r="AS34" s="434"/>
      <c r="AT34" s="424"/>
      <c r="AU34" s="432"/>
      <c r="AV34" s="433"/>
      <c r="AW34" s="433"/>
      <c r="AX34" s="433"/>
      <c r="AY34" s="433"/>
      <c r="AZ34" s="433"/>
      <c r="BA34" s="434"/>
      <c r="BB34" s="435"/>
      <c r="BC34" s="432"/>
      <c r="BD34" s="433"/>
      <c r="BE34" s="433"/>
      <c r="BF34" s="433"/>
      <c r="BG34" s="433"/>
      <c r="BH34" s="433"/>
      <c r="BI34" s="434"/>
      <c r="BJ34" s="436"/>
      <c r="BK34" s="432"/>
      <c r="BL34" s="433"/>
      <c r="BM34" s="433"/>
      <c r="BN34" s="433"/>
      <c r="BO34" s="433"/>
      <c r="BP34" s="433"/>
      <c r="BQ34" s="433"/>
      <c r="BR34" s="434"/>
      <c r="BS34" s="436"/>
      <c r="BT34" s="432"/>
      <c r="BU34" s="433"/>
      <c r="BV34" s="433"/>
      <c r="BW34" s="433"/>
      <c r="BX34" s="433"/>
      <c r="BY34" s="433"/>
      <c r="BZ34" s="434"/>
      <c r="CA34" s="373"/>
      <c r="CB34" s="432"/>
      <c r="CC34" s="433"/>
      <c r="CD34" s="433"/>
      <c r="CE34" s="433"/>
      <c r="CF34" s="433"/>
      <c r="CG34" s="433"/>
      <c r="CH34" s="434"/>
      <c r="CI34" s="373"/>
      <c r="CJ34" s="432"/>
      <c r="CK34" s="433"/>
      <c r="CL34" s="433"/>
      <c r="CM34" s="433"/>
      <c r="CN34" s="433"/>
      <c r="CO34" s="433"/>
      <c r="CP34" s="434"/>
      <c r="CQ34" s="435"/>
      <c r="CR34" s="432"/>
      <c r="CS34" s="433"/>
      <c r="CT34" s="433"/>
      <c r="CU34" s="433" t="n">
        <f aca="false">+CR34-CS34</f>
        <v>0</v>
      </c>
      <c r="CV34" s="433" t="n">
        <f aca="false">+CR34-CT34</f>
        <v>0</v>
      </c>
      <c r="CW34" s="433"/>
      <c r="CX34" s="434" t="str">
        <f aca="false">IFERROR(CR34/CW34-1, "-")</f>
        <v>-</v>
      </c>
      <c r="CY34" s="425"/>
      <c r="CZ34" s="437"/>
      <c r="DA34" s="433"/>
      <c r="DB34" s="433"/>
      <c r="DC34" s="433"/>
      <c r="DD34" s="433"/>
      <c r="DE34" s="434"/>
      <c r="DF34" s="434"/>
      <c r="DG34" s="438"/>
      <c r="DH34" s="438"/>
      <c r="DI34" s="413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N34" s="413"/>
      <c r="DO34" s="413"/>
      <c r="DP34" s="439"/>
      <c r="DQ34" s="415" t="n">
        <f aca="false">-CR34+DP34/10^6</f>
        <v>0</v>
      </c>
      <c r="DR34" s="117" t="n">
        <f aca="false">SUM(E34,K34,Q34,W34,AE34,AM34,AV34,BD34,BL34,BU34,CC34,CK34)-CS34</f>
        <v>0</v>
      </c>
      <c r="DS34" s="117" t="n">
        <f aca="false">SUM(D34,J34,P34,V34,AD34,AL34,AU34,BC34,,BN34,BV34,CD34,CL34)-CT34</f>
        <v>0</v>
      </c>
      <c r="DT34" s="416"/>
      <c r="DU34" s="440"/>
      <c r="DV34" s="418" t="n">
        <f aca="false">DU34-CJ34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  <c r="EB34" s="419"/>
    </row>
    <row r="35" s="441" customFormat="true" ht="19.5" hidden="false" customHeight="true" outlineLevel="1" collapsed="false">
      <c r="A35" s="286"/>
      <c r="B35" s="430" t="s">
        <v>151</v>
      </c>
      <c r="C35" s="431" t="s">
        <v>152</v>
      </c>
      <c r="D35" s="432"/>
      <c r="E35" s="433"/>
      <c r="F35" s="433"/>
      <c r="G35" s="433"/>
      <c r="H35" s="434"/>
      <c r="I35" s="422"/>
      <c r="J35" s="432"/>
      <c r="K35" s="433"/>
      <c r="L35" s="433"/>
      <c r="M35" s="433"/>
      <c r="N35" s="434"/>
      <c r="O35" s="435"/>
      <c r="P35" s="432"/>
      <c r="Q35" s="433"/>
      <c r="R35" s="433"/>
      <c r="S35" s="433"/>
      <c r="T35" s="434"/>
      <c r="U35" s="423"/>
      <c r="V35" s="432"/>
      <c r="W35" s="433"/>
      <c r="X35" s="433"/>
      <c r="Y35" s="433"/>
      <c r="Z35" s="433"/>
      <c r="AA35" s="433"/>
      <c r="AB35" s="434"/>
      <c r="AC35" s="435"/>
      <c r="AD35" s="432"/>
      <c r="AE35" s="433"/>
      <c r="AF35" s="433"/>
      <c r="AG35" s="433"/>
      <c r="AH35" s="433"/>
      <c r="AI35" s="433"/>
      <c r="AJ35" s="434"/>
      <c r="AK35" s="435"/>
      <c r="AL35" s="432"/>
      <c r="AM35" s="433"/>
      <c r="AN35" s="433"/>
      <c r="AO35" s="433"/>
      <c r="AP35" s="433"/>
      <c r="AQ35" s="433"/>
      <c r="AR35" s="433"/>
      <c r="AS35" s="434"/>
      <c r="AT35" s="424"/>
      <c r="AU35" s="432"/>
      <c r="AV35" s="433"/>
      <c r="AW35" s="433"/>
      <c r="AX35" s="433"/>
      <c r="AY35" s="433"/>
      <c r="AZ35" s="433"/>
      <c r="BA35" s="434"/>
      <c r="BB35" s="435"/>
      <c r="BC35" s="432"/>
      <c r="BD35" s="433"/>
      <c r="BE35" s="433"/>
      <c r="BF35" s="433"/>
      <c r="BG35" s="433"/>
      <c r="BH35" s="433"/>
      <c r="BI35" s="434"/>
      <c r="BJ35" s="436"/>
      <c r="BK35" s="432"/>
      <c r="BL35" s="433"/>
      <c r="BM35" s="433"/>
      <c r="BN35" s="433"/>
      <c r="BO35" s="433"/>
      <c r="BP35" s="433"/>
      <c r="BQ35" s="433"/>
      <c r="BR35" s="434"/>
      <c r="BS35" s="436"/>
      <c r="BT35" s="432"/>
      <c r="BU35" s="433"/>
      <c r="BV35" s="433"/>
      <c r="BW35" s="433"/>
      <c r="BX35" s="433"/>
      <c r="BY35" s="433"/>
      <c r="BZ35" s="434"/>
      <c r="CA35" s="373"/>
      <c r="CB35" s="432"/>
      <c r="CC35" s="433"/>
      <c r="CD35" s="433"/>
      <c r="CE35" s="433"/>
      <c r="CF35" s="433"/>
      <c r="CG35" s="433"/>
      <c r="CH35" s="434"/>
      <c r="CI35" s="373"/>
      <c r="CJ35" s="432"/>
      <c r="CK35" s="433"/>
      <c r="CL35" s="433"/>
      <c r="CM35" s="433"/>
      <c r="CN35" s="433"/>
      <c r="CO35" s="433"/>
      <c r="CP35" s="434"/>
      <c r="CQ35" s="435"/>
      <c r="CR35" s="432"/>
      <c r="CS35" s="433"/>
      <c r="CT35" s="433"/>
      <c r="CU35" s="433" t="n">
        <f aca="false">+CR35-CS35</f>
        <v>0</v>
      </c>
      <c r="CV35" s="433" t="n">
        <f aca="false">+CR35-CT35</f>
        <v>0</v>
      </c>
      <c r="CW35" s="433"/>
      <c r="CX35" s="434" t="str">
        <f aca="false">IFERROR(CR35/CW35-1, "-")</f>
        <v>-</v>
      </c>
      <c r="CY35" s="425"/>
      <c r="CZ35" s="437"/>
      <c r="DA35" s="433"/>
      <c r="DB35" s="433"/>
      <c r="DC35" s="433"/>
      <c r="DD35" s="433"/>
      <c r="DE35" s="434"/>
      <c r="DF35" s="434"/>
      <c r="DG35" s="438"/>
      <c r="DH35" s="438"/>
      <c r="DI35" s="413"/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N35" s="413"/>
      <c r="DO35" s="413"/>
      <c r="DP35" s="439"/>
      <c r="DQ35" s="415" t="n">
        <f aca="false">-CR35+DP35/10^6</f>
        <v>0</v>
      </c>
      <c r="DR35" s="117" t="n">
        <f aca="false">SUM(E35,K35,Q35,W35,AE35,AM35,AV35,BD35,BL35,BU35,CC35,CK35)-CS35</f>
        <v>0</v>
      </c>
      <c r="DS35" s="117" t="n">
        <f aca="false">SUM(D35,J35,P35,V35,AD35,AL35,AU35,BC35,,BN35,BV35,CD35,CL35)-CT35</f>
        <v>0</v>
      </c>
      <c r="DT35" s="416"/>
      <c r="DU35" s="440"/>
      <c r="DV35" s="418" t="n">
        <f aca="false">DU35-CJ35</f>
        <v>0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  <c r="EB35" s="419"/>
    </row>
    <row r="36" s="441" customFormat="true" ht="19.5" hidden="false" customHeight="true" outlineLevel="1" collapsed="false">
      <c r="A36" s="286"/>
      <c r="B36" s="430" t="s">
        <v>153</v>
      </c>
      <c r="C36" s="431" t="s">
        <v>154</v>
      </c>
      <c r="D36" s="432"/>
      <c r="E36" s="433"/>
      <c r="F36" s="433"/>
      <c r="G36" s="433"/>
      <c r="H36" s="434"/>
      <c r="I36" s="422"/>
      <c r="J36" s="432"/>
      <c r="K36" s="433"/>
      <c r="L36" s="433"/>
      <c r="M36" s="433"/>
      <c r="N36" s="434"/>
      <c r="O36" s="435"/>
      <c r="P36" s="432"/>
      <c r="Q36" s="433"/>
      <c r="R36" s="433"/>
      <c r="S36" s="433"/>
      <c r="T36" s="434"/>
      <c r="U36" s="423"/>
      <c r="V36" s="432"/>
      <c r="W36" s="433"/>
      <c r="X36" s="433"/>
      <c r="Y36" s="433"/>
      <c r="Z36" s="433"/>
      <c r="AA36" s="433"/>
      <c r="AB36" s="434"/>
      <c r="AC36" s="435"/>
      <c r="AD36" s="432"/>
      <c r="AE36" s="433"/>
      <c r="AF36" s="433"/>
      <c r="AG36" s="433"/>
      <c r="AH36" s="433"/>
      <c r="AI36" s="433"/>
      <c r="AJ36" s="434"/>
      <c r="AK36" s="435"/>
      <c r="AL36" s="432"/>
      <c r="AM36" s="433"/>
      <c r="AN36" s="433"/>
      <c r="AO36" s="433"/>
      <c r="AP36" s="433"/>
      <c r="AQ36" s="433"/>
      <c r="AR36" s="433"/>
      <c r="AS36" s="434"/>
      <c r="AT36" s="424"/>
      <c r="AU36" s="432"/>
      <c r="AV36" s="433"/>
      <c r="AW36" s="433"/>
      <c r="AX36" s="433"/>
      <c r="AY36" s="433"/>
      <c r="AZ36" s="433"/>
      <c r="BA36" s="434"/>
      <c r="BB36" s="435"/>
      <c r="BC36" s="432"/>
      <c r="BD36" s="433"/>
      <c r="BE36" s="433"/>
      <c r="BF36" s="433"/>
      <c r="BG36" s="433"/>
      <c r="BH36" s="433"/>
      <c r="BI36" s="434"/>
      <c r="BJ36" s="436"/>
      <c r="BK36" s="432"/>
      <c r="BL36" s="433"/>
      <c r="BM36" s="433"/>
      <c r="BN36" s="433"/>
      <c r="BO36" s="433"/>
      <c r="BP36" s="433"/>
      <c r="BQ36" s="433"/>
      <c r="BR36" s="434"/>
      <c r="BS36" s="436"/>
      <c r="BT36" s="432"/>
      <c r="BU36" s="433"/>
      <c r="BV36" s="433"/>
      <c r="BW36" s="433"/>
      <c r="BX36" s="433"/>
      <c r="BY36" s="433"/>
      <c r="BZ36" s="434"/>
      <c r="CA36" s="373"/>
      <c r="CB36" s="432"/>
      <c r="CC36" s="433"/>
      <c r="CD36" s="433"/>
      <c r="CE36" s="433"/>
      <c r="CF36" s="433"/>
      <c r="CG36" s="433"/>
      <c r="CH36" s="434"/>
      <c r="CI36" s="373"/>
      <c r="CJ36" s="432"/>
      <c r="CK36" s="433"/>
      <c r="CL36" s="433"/>
      <c r="CM36" s="433"/>
      <c r="CN36" s="433"/>
      <c r="CO36" s="433"/>
      <c r="CP36" s="434"/>
      <c r="CQ36" s="435"/>
      <c r="CR36" s="432"/>
      <c r="CS36" s="433"/>
      <c r="CT36" s="433"/>
      <c r="CU36" s="433" t="n">
        <f aca="false">+CR36-CS36</f>
        <v>0</v>
      </c>
      <c r="CV36" s="433" t="n">
        <f aca="false">+CR36-CT36</f>
        <v>0</v>
      </c>
      <c r="CW36" s="433"/>
      <c r="CX36" s="434" t="str">
        <f aca="false">IFERROR(CR36/CW36-1, "-")</f>
        <v>-</v>
      </c>
      <c r="CY36" s="425"/>
      <c r="CZ36" s="437"/>
      <c r="DA36" s="433"/>
      <c r="DB36" s="433"/>
      <c r="DC36" s="433"/>
      <c r="DD36" s="433"/>
      <c r="DE36" s="434"/>
      <c r="DF36" s="434"/>
      <c r="DG36" s="438"/>
      <c r="DH36" s="438"/>
      <c r="DI36" s="413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N36" s="413"/>
      <c r="DO36" s="413"/>
      <c r="DP36" s="439"/>
      <c r="DQ36" s="415" t="n">
        <f aca="false">-CR36+DP36/10^6</f>
        <v>0</v>
      </c>
      <c r="DR36" s="117" t="n">
        <f aca="false">SUM(E36,K36,Q36,W36,AE36,AM36,AV36,BD36,BL36,BU36,CC36,CK36)-CS36</f>
        <v>0</v>
      </c>
      <c r="DS36" s="117" t="n">
        <f aca="false">SUM(D36,J36,P36,V36,AD36,AL36,AU36,BC36,,BN36,BV36,CD36,CL36)-CT36</f>
        <v>0</v>
      </c>
      <c r="DT36" s="416"/>
      <c r="DU36" s="440"/>
      <c r="DV36" s="418" t="n">
        <f aca="false">DU36-CJ36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  <c r="EB36" s="419"/>
    </row>
    <row r="37" s="441" customFormat="true" ht="19.5" hidden="false" customHeight="true" outlineLevel="1" collapsed="false">
      <c r="A37" s="286"/>
      <c r="B37" s="430" t="s">
        <v>155</v>
      </c>
      <c r="C37" s="431" t="s">
        <v>156</v>
      </c>
      <c r="D37" s="432"/>
      <c r="E37" s="433"/>
      <c r="F37" s="433"/>
      <c r="G37" s="433"/>
      <c r="H37" s="434"/>
      <c r="I37" s="422"/>
      <c r="J37" s="432"/>
      <c r="K37" s="433"/>
      <c r="L37" s="433"/>
      <c r="M37" s="433"/>
      <c r="N37" s="434"/>
      <c r="O37" s="435"/>
      <c r="P37" s="432"/>
      <c r="Q37" s="433"/>
      <c r="R37" s="433"/>
      <c r="S37" s="433"/>
      <c r="T37" s="434"/>
      <c r="U37" s="423"/>
      <c r="V37" s="432"/>
      <c r="W37" s="433"/>
      <c r="X37" s="433"/>
      <c r="Y37" s="433"/>
      <c r="Z37" s="433"/>
      <c r="AA37" s="433"/>
      <c r="AB37" s="434"/>
      <c r="AC37" s="435"/>
      <c r="AD37" s="432"/>
      <c r="AE37" s="433"/>
      <c r="AF37" s="433"/>
      <c r="AG37" s="433"/>
      <c r="AH37" s="433"/>
      <c r="AI37" s="433"/>
      <c r="AJ37" s="434"/>
      <c r="AK37" s="435"/>
      <c r="AL37" s="432"/>
      <c r="AM37" s="433"/>
      <c r="AN37" s="433"/>
      <c r="AO37" s="433"/>
      <c r="AP37" s="433"/>
      <c r="AQ37" s="433"/>
      <c r="AR37" s="433"/>
      <c r="AS37" s="434"/>
      <c r="AT37" s="424"/>
      <c r="AU37" s="432"/>
      <c r="AV37" s="433"/>
      <c r="AW37" s="433"/>
      <c r="AX37" s="433"/>
      <c r="AY37" s="433"/>
      <c r="AZ37" s="433"/>
      <c r="BA37" s="434"/>
      <c r="BB37" s="435"/>
      <c r="BC37" s="432"/>
      <c r="BD37" s="433"/>
      <c r="BE37" s="433"/>
      <c r="BF37" s="433"/>
      <c r="BG37" s="433"/>
      <c r="BH37" s="433"/>
      <c r="BI37" s="434"/>
      <c r="BJ37" s="436"/>
      <c r="BK37" s="432"/>
      <c r="BL37" s="433"/>
      <c r="BM37" s="433"/>
      <c r="BN37" s="433"/>
      <c r="BO37" s="433"/>
      <c r="BP37" s="433"/>
      <c r="BQ37" s="433"/>
      <c r="BR37" s="434"/>
      <c r="BS37" s="436"/>
      <c r="BT37" s="432"/>
      <c r="BU37" s="433"/>
      <c r="BV37" s="433"/>
      <c r="BW37" s="433"/>
      <c r="BX37" s="433"/>
      <c r="BY37" s="433"/>
      <c r="BZ37" s="434"/>
      <c r="CA37" s="373"/>
      <c r="CB37" s="432"/>
      <c r="CC37" s="433"/>
      <c r="CD37" s="433"/>
      <c r="CE37" s="433"/>
      <c r="CF37" s="433"/>
      <c r="CG37" s="443"/>
      <c r="CH37" s="434"/>
      <c r="CI37" s="373"/>
      <c r="CJ37" s="432"/>
      <c r="CK37" s="433"/>
      <c r="CL37" s="433"/>
      <c r="CM37" s="433"/>
      <c r="CN37" s="433"/>
      <c r="CO37" s="443"/>
      <c r="CP37" s="434"/>
      <c r="CQ37" s="435"/>
      <c r="CR37" s="432"/>
      <c r="CS37" s="433"/>
      <c r="CT37" s="433"/>
      <c r="CU37" s="433" t="n">
        <f aca="false">+CR37-CS37</f>
        <v>0</v>
      </c>
      <c r="CV37" s="433" t="n">
        <f aca="false">+CR37-CT37</f>
        <v>0</v>
      </c>
      <c r="CW37" s="433"/>
      <c r="CX37" s="434" t="str">
        <f aca="false">IFERROR(CR37/CW37-1, "-")</f>
        <v>-</v>
      </c>
      <c r="CY37" s="425"/>
      <c r="CZ37" s="437"/>
      <c r="DA37" s="433"/>
      <c r="DB37" s="433"/>
      <c r="DC37" s="433"/>
      <c r="DD37" s="433"/>
      <c r="DE37" s="434" t="e">
        <f aca="false">+CZ37/DD37-1</f>
        <v>#DIV/0!</v>
      </c>
      <c r="DF37" s="434" t="e">
        <f aca="false">+DA37/DD37-1</f>
        <v>#DIV/0!</v>
      </c>
      <c r="DG37" s="438" t="e">
        <f aca="false">+DB37/DD37-1</f>
        <v>#DIV/0!</v>
      </c>
      <c r="DH37" s="438" t="e">
        <f aca="false">+DC37/DD37-1</f>
        <v>#DIV/0!</v>
      </c>
      <c r="DI37" s="413"/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N37" s="413"/>
      <c r="DO37" s="413"/>
      <c r="DP37" s="439" t="e">
        <f aca="false">#VALUE!</f>
        <v>#VALUE!</v>
      </c>
      <c r="DQ37" s="415" t="e">
        <f aca="false">-CR37+DP37/10^6</f>
        <v>#VALUE!</v>
      </c>
      <c r="DR37" s="117" t="n">
        <f aca="false">SUM(E37,K37,Q37,W37,AE37,AM37,AV37,BD37,BL37,BU37,CC37,CK37)-CS37</f>
        <v>0</v>
      </c>
      <c r="DS37" s="117" t="n">
        <f aca="false">SUM(D37,J37,P37,V37,AD37,AL37,AU37,BC37,,BN37,BV37,CD37,CL37)-CT37</f>
        <v>0</v>
      </c>
      <c r="DT37" s="416"/>
      <c r="DU37" s="440" t="n">
        <v>20.407007</v>
      </c>
      <c r="DV37" s="418" t="n">
        <f aca="false">DU37-CJ37</f>
        <v>20.407007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  <c r="EB37" s="419"/>
    </row>
    <row r="38" s="466" customFormat="true" ht="19.5" hidden="false" customHeight="true" outlineLevel="1" collapsed="false">
      <c r="A38" s="291"/>
      <c r="B38" s="459" t="s">
        <v>157</v>
      </c>
      <c r="C38" s="431" t="s">
        <v>158</v>
      </c>
      <c r="D38" s="432"/>
      <c r="E38" s="460"/>
      <c r="F38" s="433"/>
      <c r="G38" s="433"/>
      <c r="H38" s="434"/>
      <c r="I38" s="422"/>
      <c r="J38" s="432"/>
      <c r="K38" s="460"/>
      <c r="L38" s="433"/>
      <c r="M38" s="433"/>
      <c r="N38" s="434"/>
      <c r="O38" s="435"/>
      <c r="P38" s="432"/>
      <c r="Q38" s="460"/>
      <c r="R38" s="433"/>
      <c r="S38" s="433"/>
      <c r="T38" s="434"/>
      <c r="U38" s="423"/>
      <c r="V38" s="432"/>
      <c r="W38" s="460"/>
      <c r="X38" s="460"/>
      <c r="Y38" s="433"/>
      <c r="Z38" s="433"/>
      <c r="AA38" s="433"/>
      <c r="AB38" s="434"/>
      <c r="AC38" s="435"/>
      <c r="AD38" s="432"/>
      <c r="AE38" s="460"/>
      <c r="AF38" s="460"/>
      <c r="AG38" s="433"/>
      <c r="AH38" s="433"/>
      <c r="AI38" s="433"/>
      <c r="AJ38" s="434"/>
      <c r="AK38" s="435"/>
      <c r="AL38" s="432"/>
      <c r="AM38" s="460"/>
      <c r="AN38" s="460"/>
      <c r="AO38" s="460"/>
      <c r="AP38" s="433"/>
      <c r="AQ38" s="433"/>
      <c r="AR38" s="433"/>
      <c r="AS38" s="434"/>
      <c r="AT38" s="424"/>
      <c r="AU38" s="432"/>
      <c r="AV38" s="460"/>
      <c r="AW38" s="460"/>
      <c r="AX38" s="433"/>
      <c r="AY38" s="433"/>
      <c r="AZ38" s="433"/>
      <c r="BA38" s="434"/>
      <c r="BB38" s="435"/>
      <c r="BC38" s="432"/>
      <c r="BD38" s="460"/>
      <c r="BE38" s="460"/>
      <c r="BF38" s="433"/>
      <c r="BG38" s="433"/>
      <c r="BH38" s="433"/>
      <c r="BI38" s="434"/>
      <c r="BJ38" s="436"/>
      <c r="BK38" s="432"/>
      <c r="BL38" s="460"/>
      <c r="BM38" s="460"/>
      <c r="BN38" s="460"/>
      <c r="BO38" s="433"/>
      <c r="BP38" s="433"/>
      <c r="BQ38" s="433"/>
      <c r="BR38" s="434"/>
      <c r="BS38" s="436"/>
      <c r="BT38" s="432"/>
      <c r="BU38" s="460"/>
      <c r="BV38" s="460"/>
      <c r="BW38" s="433"/>
      <c r="BX38" s="433"/>
      <c r="BY38" s="433"/>
      <c r="BZ38" s="434"/>
      <c r="CA38" s="373"/>
      <c r="CB38" s="432"/>
      <c r="CC38" s="460"/>
      <c r="CD38" s="460"/>
      <c r="CE38" s="433"/>
      <c r="CF38" s="433"/>
      <c r="CG38" s="433"/>
      <c r="CH38" s="434"/>
      <c r="CI38" s="373"/>
      <c r="CJ38" s="432"/>
      <c r="CK38" s="460"/>
      <c r="CL38" s="460"/>
      <c r="CM38" s="433"/>
      <c r="CN38" s="433"/>
      <c r="CO38" s="433"/>
      <c r="CP38" s="434"/>
      <c r="CQ38" s="435"/>
      <c r="CR38" s="461"/>
      <c r="CS38" s="460"/>
      <c r="CT38" s="460"/>
      <c r="CU38" s="460" t="n">
        <f aca="false">+CR38-CS38</f>
        <v>0</v>
      </c>
      <c r="CV38" s="460" t="n">
        <f aca="false">+CR38-CT38</f>
        <v>0</v>
      </c>
      <c r="CW38" s="460"/>
      <c r="CX38" s="462" t="str">
        <f aca="false">IFERROR(CR38/CW38-1, "-")</f>
        <v>-</v>
      </c>
      <c r="CY38" s="463"/>
      <c r="CZ38" s="464"/>
      <c r="DA38" s="460"/>
      <c r="DB38" s="460"/>
      <c r="DC38" s="460"/>
      <c r="DD38" s="460"/>
      <c r="DE38" s="462"/>
      <c r="DF38" s="462"/>
      <c r="DG38" s="465"/>
      <c r="DH38" s="465"/>
      <c r="DI38" s="413"/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N38" s="413"/>
      <c r="DO38" s="413"/>
      <c r="DP38" s="439"/>
      <c r="DQ38" s="415" t="n">
        <f aca="false">-CR38+DP38/10^6</f>
        <v>0</v>
      </c>
      <c r="DR38" s="117" t="n">
        <f aca="false">SUM(E38,K38,Q38,W38,AE38,AM38,AV38,BD38,BL38,BU38,CC38,CK38)-CS38</f>
        <v>0</v>
      </c>
      <c r="DS38" s="117" t="n">
        <f aca="false">SUM(D38,J38,P38,V38,AD38,AL38,AU38,BC38,,BN38,BV38,CD38,CL38)-CT38</f>
        <v>0</v>
      </c>
      <c r="DT38" s="416"/>
      <c r="DU38" s="440"/>
      <c r="DV38" s="418" t="n">
        <f aca="false">DU38-CJ38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  <c r="EB38" s="419"/>
    </row>
    <row r="39" customFormat="false" ht="3.75" hidden="false" customHeight="true" outlineLevel="0" collapsed="false">
      <c r="B39" s="420"/>
      <c r="C39" s="398" t="s">
        <v>159</v>
      </c>
      <c r="D39" s="281"/>
      <c r="E39" s="144"/>
      <c r="F39" s="144"/>
      <c r="G39" s="144"/>
      <c r="H39" s="245"/>
      <c r="I39" s="422"/>
      <c r="J39" s="281"/>
      <c r="K39" s="144"/>
      <c r="L39" s="144"/>
      <c r="M39" s="144"/>
      <c r="N39" s="245"/>
      <c r="O39" s="422"/>
      <c r="P39" s="281"/>
      <c r="Q39" s="144"/>
      <c r="R39" s="144"/>
      <c r="S39" s="144"/>
      <c r="T39" s="245"/>
      <c r="U39" s="423"/>
      <c r="V39" s="281"/>
      <c r="W39" s="144"/>
      <c r="X39" s="144"/>
      <c r="Y39" s="144"/>
      <c r="Z39" s="144"/>
      <c r="AA39" s="144"/>
      <c r="AB39" s="245"/>
      <c r="AC39" s="422"/>
      <c r="AD39" s="281"/>
      <c r="AE39" s="144"/>
      <c r="AF39" s="144"/>
      <c r="AG39" s="144"/>
      <c r="AH39" s="144"/>
      <c r="AI39" s="144"/>
      <c r="AJ39" s="245"/>
      <c r="AK39" s="422"/>
      <c r="AL39" s="281"/>
      <c r="AM39" s="144"/>
      <c r="AN39" s="144"/>
      <c r="AO39" s="144"/>
      <c r="AP39" s="144"/>
      <c r="AQ39" s="144"/>
      <c r="AR39" s="144"/>
      <c r="AS39" s="245"/>
      <c r="AT39" s="424"/>
      <c r="AU39" s="281"/>
      <c r="AV39" s="144"/>
      <c r="AW39" s="144"/>
      <c r="AX39" s="144"/>
      <c r="AY39" s="144"/>
      <c r="AZ39" s="144"/>
      <c r="BA39" s="245"/>
      <c r="BB39" s="422"/>
      <c r="BC39" s="281"/>
      <c r="BD39" s="144"/>
      <c r="BE39" s="144"/>
      <c r="BF39" s="144"/>
      <c r="BG39" s="144"/>
      <c r="BH39" s="144"/>
      <c r="BI39" s="245"/>
      <c r="BJ39" s="423"/>
      <c r="BK39" s="281"/>
      <c r="BL39" s="144"/>
      <c r="BM39" s="144"/>
      <c r="BN39" s="144"/>
      <c r="BO39" s="144"/>
      <c r="BP39" s="144"/>
      <c r="BQ39" s="144"/>
      <c r="BR39" s="245"/>
      <c r="BS39" s="423"/>
      <c r="BT39" s="281"/>
      <c r="BU39" s="144"/>
      <c r="BV39" s="144"/>
      <c r="BW39" s="144"/>
      <c r="BX39" s="144"/>
      <c r="BY39" s="144"/>
      <c r="BZ39" s="245"/>
      <c r="CA39" s="373"/>
      <c r="CB39" s="281"/>
      <c r="CC39" s="144"/>
      <c r="CD39" s="144"/>
      <c r="CE39" s="144"/>
      <c r="CF39" s="144"/>
      <c r="CG39" s="144"/>
      <c r="CH39" s="245"/>
      <c r="CI39" s="373"/>
      <c r="CJ39" s="281"/>
      <c r="CK39" s="144"/>
      <c r="CL39" s="144"/>
      <c r="CM39" s="144"/>
      <c r="CN39" s="144"/>
      <c r="CO39" s="144"/>
      <c r="CP39" s="245"/>
      <c r="CQ39" s="422"/>
      <c r="CR39" s="281"/>
      <c r="CS39" s="144"/>
      <c r="CT39" s="144"/>
      <c r="CU39" s="144"/>
      <c r="CV39" s="144"/>
      <c r="CW39" s="144"/>
      <c r="CX39" s="245" t="str">
        <f aca="false">IFERROR(CR39/CW39-1, "-")</f>
        <v>-</v>
      </c>
      <c r="CY39" s="425"/>
      <c r="CZ39" s="426"/>
      <c r="DA39" s="144"/>
      <c r="DB39" s="144"/>
      <c r="DC39" s="144"/>
      <c r="DD39" s="144"/>
      <c r="DE39" s="245"/>
      <c r="DF39" s="245"/>
      <c r="DG39" s="427"/>
      <c r="DH39" s="427"/>
      <c r="DI39" s="413"/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N39" s="413"/>
      <c r="DO39" s="413"/>
      <c r="DP39" s="428"/>
      <c r="DQ39" s="415" t="n">
        <f aca="false">-CR39+DP39/10^6</f>
        <v>0</v>
      </c>
      <c r="DR39" s="117" t="n">
        <f aca="false">SUM(E39,K39,Q39,W39,AE39,AM39,AV39,BD39,BL39,BU39,CC39,CK39)-CS39</f>
        <v>0</v>
      </c>
      <c r="DS39" s="117" t="n">
        <f aca="false">SUM(D39,J39,P39,V39,AD39,AL39,AU39,BC39,,BN39,BV39,CD39,CL39)-CT39</f>
        <v>0</v>
      </c>
      <c r="DT39" s="416"/>
      <c r="DU39" s="417"/>
      <c r="DV39" s="418" t="n">
        <f aca="false">DU39-CJ39</f>
        <v>0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  <c r="EB39" s="419"/>
    </row>
    <row r="40" customFormat="false" ht="23.25" hidden="false" customHeight="true" outlineLevel="0" collapsed="false">
      <c r="B40" s="429" t="s">
        <v>160</v>
      </c>
      <c r="C40" s="398" t="s">
        <v>161</v>
      </c>
      <c r="D40" s="399"/>
      <c r="E40" s="400"/>
      <c r="F40" s="400"/>
      <c r="G40" s="400"/>
      <c r="H40" s="401"/>
      <c r="I40" s="402"/>
      <c r="J40" s="399"/>
      <c r="K40" s="400"/>
      <c r="L40" s="400"/>
      <c r="M40" s="400"/>
      <c r="N40" s="401"/>
      <c r="O40" s="403"/>
      <c r="P40" s="399"/>
      <c r="Q40" s="400"/>
      <c r="R40" s="400"/>
      <c r="S40" s="400"/>
      <c r="T40" s="401"/>
      <c r="U40" s="404"/>
      <c r="V40" s="399"/>
      <c r="W40" s="400"/>
      <c r="X40" s="400"/>
      <c r="Y40" s="400"/>
      <c r="Z40" s="400"/>
      <c r="AA40" s="400"/>
      <c r="AB40" s="401"/>
      <c r="AC40" s="403"/>
      <c r="AD40" s="399"/>
      <c r="AE40" s="400"/>
      <c r="AF40" s="400"/>
      <c r="AG40" s="400"/>
      <c r="AH40" s="400"/>
      <c r="AI40" s="400"/>
      <c r="AJ40" s="401"/>
      <c r="AK40" s="403"/>
      <c r="AL40" s="399"/>
      <c r="AM40" s="400"/>
      <c r="AN40" s="400"/>
      <c r="AO40" s="400"/>
      <c r="AP40" s="400"/>
      <c r="AQ40" s="400"/>
      <c r="AR40" s="400"/>
      <c r="AS40" s="401"/>
      <c r="AT40" s="405"/>
      <c r="AU40" s="399"/>
      <c r="AV40" s="400"/>
      <c r="AW40" s="400"/>
      <c r="AX40" s="400"/>
      <c r="AY40" s="400"/>
      <c r="AZ40" s="400"/>
      <c r="BA40" s="401"/>
      <c r="BB40" s="403"/>
      <c r="BC40" s="399"/>
      <c r="BD40" s="400"/>
      <c r="BE40" s="400"/>
      <c r="BF40" s="400"/>
      <c r="BG40" s="400"/>
      <c r="BH40" s="400"/>
      <c r="BI40" s="401"/>
      <c r="BJ40" s="407"/>
      <c r="BK40" s="399"/>
      <c r="BL40" s="400"/>
      <c r="BM40" s="400"/>
      <c r="BN40" s="400"/>
      <c r="BO40" s="400"/>
      <c r="BP40" s="400"/>
      <c r="BQ40" s="400"/>
      <c r="BR40" s="401"/>
      <c r="BS40" s="407"/>
      <c r="BT40" s="399"/>
      <c r="BU40" s="400"/>
      <c r="BV40" s="400"/>
      <c r="BW40" s="400"/>
      <c r="BX40" s="400"/>
      <c r="BY40" s="400"/>
      <c r="BZ40" s="401"/>
      <c r="CA40" s="373"/>
      <c r="CB40" s="399"/>
      <c r="CC40" s="400"/>
      <c r="CD40" s="467"/>
      <c r="CE40" s="400"/>
      <c r="CF40" s="400"/>
      <c r="CG40" s="400"/>
      <c r="CH40" s="401"/>
      <c r="CI40" s="373"/>
      <c r="CJ40" s="399"/>
      <c r="CK40" s="400"/>
      <c r="CL40" s="400"/>
      <c r="CM40" s="400"/>
      <c r="CN40" s="400"/>
      <c r="CO40" s="400"/>
      <c r="CP40" s="401"/>
      <c r="CQ40" s="403"/>
      <c r="CR40" s="408"/>
      <c r="CS40" s="400"/>
      <c r="CT40" s="400"/>
      <c r="CU40" s="400" t="n">
        <f aca="false">+CR40-CS40</f>
        <v>0</v>
      </c>
      <c r="CV40" s="400" t="n">
        <f aca="false">+CR40-CT40</f>
        <v>0</v>
      </c>
      <c r="CW40" s="400"/>
      <c r="CX40" s="401" t="str">
        <f aca="false">IFERROR(CR40/CW40-1, "-")</f>
        <v>-</v>
      </c>
      <c r="CY40" s="410"/>
      <c r="CZ40" s="411"/>
      <c r="DA40" s="400"/>
      <c r="DB40" s="400"/>
      <c r="DC40" s="400"/>
      <c r="DD40" s="400"/>
      <c r="DE40" s="401" t="e">
        <f aca="false">+CZ40/DD40-1</f>
        <v>#DIV/0!</v>
      </c>
      <c r="DF40" s="401" t="e">
        <f aca="false">+DA40/DD40-1</f>
        <v>#DIV/0!</v>
      </c>
      <c r="DG40" s="412" t="e">
        <f aca="false">+DB40/DD40-1</f>
        <v>#DIV/0!</v>
      </c>
      <c r="DH40" s="412" t="e">
        <f aca="false">+DC40/DD40-1</f>
        <v>#DIV/0!</v>
      </c>
      <c r="DI40" s="413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N40" s="413"/>
      <c r="DO40" s="413"/>
      <c r="DP40" s="414" t="e">
        <f aca="false">SUM(DP41:DP55)</f>
        <v>#VALUE!</v>
      </c>
      <c r="DQ40" s="415" t="e">
        <f aca="false">-CR40+DP40/10^6</f>
        <v>#VALUE!</v>
      </c>
      <c r="DR40" s="117" t="n">
        <f aca="false">SUM(E40,K40,Q40,W40,AE40,AM40,AV40,BD40,BL40,BU40,CC40,CK40)-CS40</f>
        <v>0</v>
      </c>
      <c r="DS40" s="117" t="n">
        <f aca="false">SUM(D40,J40,P40,V40,AD40,AL40,AU40,BC40,,BN40,BV40,CD40,CL40)-CT40</f>
        <v>0</v>
      </c>
      <c r="DT40" s="416"/>
      <c r="DU40" s="417" t="n">
        <v>338.23657</v>
      </c>
      <c r="DV40" s="418" t="n">
        <f aca="false">DU40-CJ40</f>
        <v>338.23657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  <c r="EB40" s="419"/>
    </row>
    <row r="41" s="441" customFormat="true" ht="19.5" hidden="true" customHeight="true" outlineLevel="1" collapsed="false">
      <c r="A41" s="286"/>
      <c r="B41" s="430" t="s">
        <v>162</v>
      </c>
      <c r="C41" s="431" t="s">
        <v>163</v>
      </c>
      <c r="D41" s="432"/>
      <c r="E41" s="433"/>
      <c r="F41" s="433"/>
      <c r="G41" s="433"/>
      <c r="H41" s="434"/>
      <c r="I41" s="422"/>
      <c r="J41" s="432"/>
      <c r="K41" s="433"/>
      <c r="L41" s="433"/>
      <c r="M41" s="433"/>
      <c r="N41" s="434"/>
      <c r="O41" s="435"/>
      <c r="P41" s="432"/>
      <c r="Q41" s="433"/>
      <c r="R41" s="433"/>
      <c r="S41" s="433"/>
      <c r="T41" s="434"/>
      <c r="U41" s="423"/>
      <c r="V41" s="432"/>
      <c r="W41" s="433"/>
      <c r="X41" s="433"/>
      <c r="Y41" s="433"/>
      <c r="Z41" s="433"/>
      <c r="AA41" s="433"/>
      <c r="AB41" s="434"/>
      <c r="AC41" s="435"/>
      <c r="AD41" s="432"/>
      <c r="AE41" s="433"/>
      <c r="AF41" s="433"/>
      <c r="AG41" s="433"/>
      <c r="AH41" s="433"/>
      <c r="AI41" s="433"/>
      <c r="AJ41" s="434"/>
      <c r="AK41" s="435"/>
      <c r="AL41" s="432"/>
      <c r="AM41" s="433"/>
      <c r="AN41" s="433"/>
      <c r="AO41" s="433"/>
      <c r="AP41" s="433"/>
      <c r="AQ41" s="433"/>
      <c r="AR41" s="433"/>
      <c r="AS41" s="434"/>
      <c r="AT41" s="424"/>
      <c r="AU41" s="432"/>
      <c r="AV41" s="433"/>
      <c r="AW41" s="433"/>
      <c r="AX41" s="433"/>
      <c r="AY41" s="433"/>
      <c r="AZ41" s="433"/>
      <c r="BA41" s="434"/>
      <c r="BB41" s="435"/>
      <c r="BC41" s="432"/>
      <c r="BD41" s="433"/>
      <c r="BE41" s="433"/>
      <c r="BF41" s="433"/>
      <c r="BG41" s="433"/>
      <c r="BH41" s="433"/>
      <c r="BI41" s="434"/>
      <c r="BJ41" s="436"/>
      <c r="BK41" s="432"/>
      <c r="BL41" s="433"/>
      <c r="BM41" s="433"/>
      <c r="BN41" s="433"/>
      <c r="BO41" s="433"/>
      <c r="BP41" s="433"/>
      <c r="BQ41" s="433"/>
      <c r="BR41" s="434"/>
      <c r="BS41" s="436"/>
      <c r="BT41" s="432"/>
      <c r="BU41" s="433"/>
      <c r="BV41" s="433"/>
      <c r="BW41" s="433"/>
      <c r="BX41" s="433"/>
      <c r="BY41" s="433"/>
      <c r="BZ41" s="434"/>
      <c r="CA41" s="373"/>
      <c r="CB41" s="432"/>
      <c r="CC41" s="433"/>
      <c r="CD41" s="433"/>
      <c r="CE41" s="433"/>
      <c r="CF41" s="433"/>
      <c r="CG41" s="433"/>
      <c r="CH41" s="434"/>
      <c r="CI41" s="373"/>
      <c r="CJ41" s="432"/>
      <c r="CK41" s="433"/>
      <c r="CL41" s="433"/>
      <c r="CM41" s="433"/>
      <c r="CN41" s="433"/>
      <c r="CO41" s="433"/>
      <c r="CP41" s="434"/>
      <c r="CQ41" s="435"/>
      <c r="CR41" s="432"/>
      <c r="CS41" s="433"/>
      <c r="CT41" s="433"/>
      <c r="CU41" s="433" t="n">
        <f aca="false">+CR41-CS41</f>
        <v>0</v>
      </c>
      <c r="CV41" s="433" t="n">
        <f aca="false">+CR41-CT41</f>
        <v>0</v>
      </c>
      <c r="CW41" s="433"/>
      <c r="CX41" s="434" t="str">
        <f aca="false">IFERROR(CR41/CW41-1, "-")</f>
        <v>-</v>
      </c>
      <c r="CY41" s="425"/>
      <c r="CZ41" s="437"/>
      <c r="DA41" s="433"/>
      <c r="DB41" s="433"/>
      <c r="DC41" s="433"/>
      <c r="DD41" s="433"/>
      <c r="DE41" s="434"/>
      <c r="DF41" s="434"/>
      <c r="DG41" s="438"/>
      <c r="DH41" s="438"/>
      <c r="DI41" s="413"/>
      <c r="DJ41" s="117" t="n">
        <f aca="false">SUM(D41,J41,P41,V41,AD41,AL41,AU41,BC41,BK41,BT41,CB41,CJ41)-CR41</f>
        <v>0</v>
      </c>
      <c r="DK41" s="117" t="n">
        <f aca="false">SUM(E41,K41,Q41,W41,AE41,AM41,AV41,BD41,BL41,BU41,CC41,CK41)-CS41</f>
        <v>0</v>
      </c>
      <c r="DL41" s="117" t="n">
        <f aca="false">SUM(G41,M41,S41,AA41,AI41,AR41,AZ41,BH41,BQ41,BY41,CG41,CO41)-CW41</f>
        <v>0</v>
      </c>
      <c r="DM41" s="117" t="n">
        <f aca="false">SUM(D41,J41,P41,V41,AD41,AL41,AU41,BC41,,BN41,BV41,CD41,CL41)-CT41</f>
        <v>0</v>
      </c>
      <c r="DN41" s="413"/>
      <c r="DO41" s="413"/>
      <c r="DP41" s="439" t="n">
        <v>-82699732</v>
      </c>
      <c r="DQ41" s="415" t="n">
        <f aca="false">-CR41+DP41/10^6</f>
        <v>-82.699732</v>
      </c>
      <c r="DR41" s="117" t="n">
        <f aca="false">SUM(E41,K41,Q41,W41,AE41,AM41,AV41,BD41,BL41,BU41,CC41,CK41)-CS41</f>
        <v>0</v>
      </c>
      <c r="DS41" s="117" t="n">
        <f aca="false">SUM(D41,J41,P41,V41,AD41,AL41,AU41,BC41,,BN41,BV41,CD41,CL41)-CT41</f>
        <v>0</v>
      </c>
      <c r="DT41" s="416"/>
      <c r="DU41" s="440" t="n">
        <v>14.928927</v>
      </c>
      <c r="DV41" s="418" t="n">
        <f aca="false">DU41-CJ41</f>
        <v>14.928927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B41" s="419"/>
    </row>
    <row r="42" s="441" customFormat="true" ht="21.75" hidden="true" customHeight="true" outlineLevel="1" collapsed="false">
      <c r="A42" s="286"/>
      <c r="B42" s="430" t="s">
        <v>164</v>
      </c>
      <c r="C42" s="431" t="s">
        <v>165</v>
      </c>
      <c r="D42" s="455"/>
      <c r="E42" s="433"/>
      <c r="F42" s="433"/>
      <c r="G42" s="433"/>
      <c r="H42" s="434"/>
      <c r="I42" s="422"/>
      <c r="J42" s="455"/>
      <c r="K42" s="433"/>
      <c r="L42" s="433"/>
      <c r="M42" s="433"/>
      <c r="N42" s="434"/>
      <c r="O42" s="435"/>
      <c r="P42" s="455"/>
      <c r="Q42" s="433"/>
      <c r="R42" s="433"/>
      <c r="S42" s="433"/>
      <c r="T42" s="434"/>
      <c r="U42" s="423"/>
      <c r="V42" s="455"/>
      <c r="W42" s="433"/>
      <c r="X42" s="433"/>
      <c r="Y42" s="433"/>
      <c r="Z42" s="433"/>
      <c r="AA42" s="433"/>
      <c r="AB42" s="434"/>
      <c r="AC42" s="435"/>
      <c r="AD42" s="455"/>
      <c r="AE42" s="433"/>
      <c r="AF42" s="433"/>
      <c r="AG42" s="433"/>
      <c r="AH42" s="433"/>
      <c r="AI42" s="433"/>
      <c r="AJ42" s="434"/>
      <c r="AK42" s="435"/>
      <c r="AL42" s="455"/>
      <c r="AM42" s="433"/>
      <c r="AN42" s="433"/>
      <c r="AO42" s="433"/>
      <c r="AP42" s="433"/>
      <c r="AQ42" s="433"/>
      <c r="AR42" s="433"/>
      <c r="AS42" s="434"/>
      <c r="AT42" s="424"/>
      <c r="AU42" s="455"/>
      <c r="AV42" s="433"/>
      <c r="AW42" s="433"/>
      <c r="AX42" s="433"/>
      <c r="AY42" s="433"/>
      <c r="AZ42" s="433"/>
      <c r="BA42" s="434"/>
      <c r="BB42" s="435"/>
      <c r="BC42" s="455"/>
      <c r="BD42" s="433"/>
      <c r="BE42" s="433"/>
      <c r="BF42" s="433"/>
      <c r="BG42" s="433"/>
      <c r="BH42" s="433"/>
      <c r="BI42" s="434"/>
      <c r="BJ42" s="436"/>
      <c r="BK42" s="455"/>
      <c r="BL42" s="433"/>
      <c r="BM42" s="433"/>
      <c r="BN42" s="433"/>
      <c r="BO42" s="433"/>
      <c r="BP42" s="433"/>
      <c r="BQ42" s="433"/>
      <c r="BR42" s="434"/>
      <c r="BS42" s="436"/>
      <c r="BT42" s="455"/>
      <c r="BU42" s="433"/>
      <c r="BV42" s="433"/>
      <c r="BW42" s="433"/>
      <c r="BX42" s="433"/>
      <c r="BY42" s="433"/>
      <c r="BZ42" s="434"/>
      <c r="CA42" s="373"/>
      <c r="CB42" s="455"/>
      <c r="CC42" s="433"/>
      <c r="CD42" s="433"/>
      <c r="CE42" s="433"/>
      <c r="CF42" s="433"/>
      <c r="CG42" s="433"/>
      <c r="CH42" s="434"/>
      <c r="CI42" s="373"/>
      <c r="CJ42" s="468"/>
      <c r="CK42" s="433"/>
      <c r="CL42" s="433"/>
      <c r="CM42" s="433"/>
      <c r="CN42" s="433"/>
      <c r="CO42" s="433"/>
      <c r="CP42" s="434"/>
      <c r="CQ42" s="435"/>
      <c r="CR42" s="432"/>
      <c r="CS42" s="433"/>
      <c r="CT42" s="433"/>
      <c r="CU42" s="433" t="n">
        <f aca="false">+CR42-CS42</f>
        <v>0</v>
      </c>
      <c r="CV42" s="433" t="n">
        <f aca="false">+CR42-CT42</f>
        <v>0</v>
      </c>
      <c r="CW42" s="433"/>
      <c r="CX42" s="434" t="str">
        <f aca="false">IFERROR(CR42/CW42-1, "-")</f>
        <v>-</v>
      </c>
      <c r="CY42" s="425"/>
      <c r="CZ42" s="437"/>
      <c r="DA42" s="433"/>
      <c r="DB42" s="433"/>
      <c r="DC42" s="433"/>
      <c r="DD42" s="433"/>
      <c r="DE42" s="434"/>
      <c r="DF42" s="434"/>
      <c r="DG42" s="438"/>
      <c r="DH42" s="438"/>
      <c r="DI42" s="413"/>
      <c r="DJ42" s="117" t="n">
        <f aca="false">SUM(D42,J42,P42,V42,AD42,AL42,AU42,BC42,BK42,BT42,CB42,CJ42)-CR42</f>
        <v>0</v>
      </c>
      <c r="DK42" s="117" t="n">
        <f aca="false">SUM(E42,K42,Q42,W42,AE42,AM42,AV42,BD42,BL42,BU42,CC42,CK42)-CS42</f>
        <v>0</v>
      </c>
      <c r="DL42" s="117" t="n">
        <f aca="false">SUM(G42,M42,S42,AA42,AI42,AR42,AZ42,BH42,BQ42,BY42,CG42,CO42)-CW42</f>
        <v>0</v>
      </c>
      <c r="DM42" s="117" t="n">
        <f aca="false">SUM(D42,J42,P42,V42,AD42,AL42,AU42,BC42,,BN42,BV42,CD42,CL42)-CT42</f>
        <v>0</v>
      </c>
      <c r="DN42" s="413"/>
      <c r="DO42" s="413"/>
      <c r="DP42" s="469" t="n">
        <v>21416152</v>
      </c>
      <c r="DQ42" s="415" t="n">
        <f aca="false">-CR42+DP42/10^6</f>
        <v>21.416152</v>
      </c>
      <c r="DR42" s="117" t="n">
        <f aca="false">SUM(E42,K42,Q42,W42,AE42,AM42,AV42,BD42,BL42,BU42,CC42,CK42)-CS42</f>
        <v>0</v>
      </c>
      <c r="DS42" s="117" t="n">
        <f aca="false">SUM(D42,J42,P42,V42,AD42,AL42,AU42,BC42,,BN42,BV42,CD42,CL42)-CT42</f>
        <v>0</v>
      </c>
      <c r="DT42" s="416"/>
      <c r="DU42" s="440" t="n">
        <v>12.064387</v>
      </c>
      <c r="DV42" s="418" t="n">
        <f aca="false">DU42-CJ42</f>
        <v>12.064387</v>
      </c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B42" s="419"/>
    </row>
    <row r="43" s="441" customFormat="true" ht="19.5" hidden="true" customHeight="true" outlineLevel="1" collapsed="false">
      <c r="A43" s="286"/>
      <c r="B43" s="430" t="s">
        <v>166</v>
      </c>
      <c r="C43" s="431" t="s">
        <v>167</v>
      </c>
      <c r="D43" s="432"/>
      <c r="E43" s="433"/>
      <c r="F43" s="433"/>
      <c r="G43" s="433"/>
      <c r="H43" s="434"/>
      <c r="I43" s="422"/>
      <c r="J43" s="432"/>
      <c r="K43" s="433"/>
      <c r="L43" s="433"/>
      <c r="M43" s="433"/>
      <c r="N43" s="434"/>
      <c r="O43" s="435"/>
      <c r="P43" s="432"/>
      <c r="Q43" s="433"/>
      <c r="R43" s="433"/>
      <c r="S43" s="433"/>
      <c r="T43" s="434"/>
      <c r="U43" s="423"/>
      <c r="V43" s="432"/>
      <c r="W43" s="433"/>
      <c r="X43" s="433"/>
      <c r="Y43" s="433"/>
      <c r="Z43" s="433"/>
      <c r="AA43" s="433"/>
      <c r="AB43" s="434"/>
      <c r="AC43" s="435"/>
      <c r="AD43" s="432"/>
      <c r="AE43" s="433"/>
      <c r="AF43" s="433"/>
      <c r="AG43" s="433"/>
      <c r="AH43" s="433"/>
      <c r="AI43" s="433"/>
      <c r="AJ43" s="434"/>
      <c r="AK43" s="435"/>
      <c r="AL43" s="432"/>
      <c r="AM43" s="433"/>
      <c r="AN43" s="433"/>
      <c r="AO43" s="433"/>
      <c r="AP43" s="433"/>
      <c r="AQ43" s="433"/>
      <c r="AR43" s="433"/>
      <c r="AS43" s="434"/>
      <c r="AT43" s="424"/>
      <c r="AU43" s="432"/>
      <c r="AV43" s="433"/>
      <c r="AW43" s="433"/>
      <c r="AX43" s="433"/>
      <c r="AY43" s="433"/>
      <c r="AZ43" s="433"/>
      <c r="BA43" s="434"/>
      <c r="BB43" s="435"/>
      <c r="BC43" s="432"/>
      <c r="BD43" s="433"/>
      <c r="BE43" s="433"/>
      <c r="BF43" s="433"/>
      <c r="BG43" s="433"/>
      <c r="BH43" s="433"/>
      <c r="BI43" s="434"/>
      <c r="BJ43" s="436"/>
      <c r="BK43" s="432"/>
      <c r="BL43" s="433"/>
      <c r="BM43" s="433"/>
      <c r="BN43" s="433"/>
      <c r="BO43" s="433"/>
      <c r="BP43" s="433"/>
      <c r="BQ43" s="433"/>
      <c r="BR43" s="434"/>
      <c r="BS43" s="436"/>
      <c r="BT43" s="432"/>
      <c r="BU43" s="433"/>
      <c r="BV43" s="433"/>
      <c r="BW43" s="433"/>
      <c r="BX43" s="433"/>
      <c r="BY43" s="433"/>
      <c r="BZ43" s="434"/>
      <c r="CA43" s="373"/>
      <c r="CB43" s="432"/>
      <c r="CC43" s="433"/>
      <c r="CD43" s="433"/>
      <c r="CE43" s="433"/>
      <c r="CF43" s="433"/>
      <c r="CG43" s="433"/>
      <c r="CH43" s="434"/>
      <c r="CI43" s="373"/>
      <c r="CJ43" s="432"/>
      <c r="CK43" s="433"/>
      <c r="CL43" s="433"/>
      <c r="CM43" s="433"/>
      <c r="CN43" s="433"/>
      <c r="CO43" s="433"/>
      <c r="CP43" s="434"/>
      <c r="CQ43" s="435"/>
      <c r="CR43" s="432"/>
      <c r="CS43" s="433"/>
      <c r="CT43" s="433"/>
      <c r="CU43" s="433" t="n">
        <f aca="false">+CR43-CS43</f>
        <v>0</v>
      </c>
      <c r="CV43" s="433" t="n">
        <f aca="false">+CR43-CT43</f>
        <v>0</v>
      </c>
      <c r="CW43" s="433"/>
      <c r="CX43" s="434" t="str">
        <f aca="false">IFERROR(CR43/CW43-1, "-")</f>
        <v>-</v>
      </c>
      <c r="CY43" s="425"/>
      <c r="CZ43" s="437"/>
      <c r="DA43" s="433"/>
      <c r="DB43" s="433"/>
      <c r="DC43" s="433"/>
      <c r="DD43" s="433"/>
      <c r="DE43" s="434"/>
      <c r="DF43" s="434"/>
      <c r="DG43" s="438"/>
      <c r="DH43" s="438"/>
      <c r="DI43" s="413"/>
      <c r="DJ43" s="117" t="n">
        <f aca="false">SUM(D43,J43,P43,V43,AD43,AL43,AU43,BC43,BK43,BT43,CB43,CJ43)-CR43</f>
        <v>0</v>
      </c>
      <c r="DK43" s="117" t="n">
        <f aca="false">SUM(E43,K43,Q43,W43,AE43,AM43,AV43,BD43,BL43,BU43,CC43,CK43)-CS43</f>
        <v>0</v>
      </c>
      <c r="DL43" s="117" t="n">
        <f aca="false">SUM(G43,M43,S43,AA43,AI43,AR43,AZ43,BH43,BQ43,BY43,CG43,CO43)-CW43</f>
        <v>0</v>
      </c>
      <c r="DM43" s="117" t="n">
        <f aca="false">SUM(D43,J43,P43,V43,AD43,AL43,AU43,BC43,,BN43,BV43,CD43,CL43)-CT43</f>
        <v>0</v>
      </c>
      <c r="DN43" s="413"/>
      <c r="DO43" s="413"/>
      <c r="DP43" s="439" t="n">
        <v>42076422</v>
      </c>
      <c r="DQ43" s="415" t="n">
        <f aca="false">-CR43+DP43/10^6</f>
        <v>42.076422</v>
      </c>
      <c r="DR43" s="117" t="n">
        <f aca="false">SUM(E43,K43,Q43,W43,AE43,AM43,AV43,BD43,BL43,BU43,CC43,CK43)-CS43</f>
        <v>0</v>
      </c>
      <c r="DS43" s="117" t="n">
        <f aca="false">SUM(D43,J43,P43,V43,AD43,AL43,AU43,BC43,,BN43,BV43,CD43,CL43)-CT43</f>
        <v>0</v>
      </c>
      <c r="DT43" s="416"/>
      <c r="DU43" s="440" t="n">
        <v>2.638442</v>
      </c>
      <c r="DV43" s="418" t="n">
        <f aca="false">DU43-CJ43</f>
        <v>2.638442</v>
      </c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  <c r="EB43" s="419"/>
    </row>
    <row r="44" s="441" customFormat="true" ht="19.5" hidden="true" customHeight="true" outlineLevel="1" collapsed="false">
      <c r="A44" s="286"/>
      <c r="B44" s="430" t="s">
        <v>168</v>
      </c>
      <c r="C44" s="431" t="s">
        <v>169</v>
      </c>
      <c r="D44" s="455"/>
      <c r="E44" s="433"/>
      <c r="F44" s="433"/>
      <c r="G44" s="433"/>
      <c r="H44" s="434"/>
      <c r="I44" s="422"/>
      <c r="J44" s="455"/>
      <c r="K44" s="433"/>
      <c r="L44" s="433"/>
      <c r="M44" s="433"/>
      <c r="N44" s="434"/>
      <c r="O44" s="435"/>
      <c r="P44" s="455"/>
      <c r="Q44" s="433"/>
      <c r="R44" s="433"/>
      <c r="S44" s="433"/>
      <c r="T44" s="434"/>
      <c r="U44" s="423"/>
      <c r="V44" s="455"/>
      <c r="W44" s="433"/>
      <c r="X44" s="433"/>
      <c r="Y44" s="433"/>
      <c r="Z44" s="433"/>
      <c r="AA44" s="433"/>
      <c r="AB44" s="434"/>
      <c r="AC44" s="435"/>
      <c r="AD44" s="455"/>
      <c r="AE44" s="433"/>
      <c r="AF44" s="433"/>
      <c r="AG44" s="433"/>
      <c r="AH44" s="433"/>
      <c r="AI44" s="433"/>
      <c r="AJ44" s="434"/>
      <c r="AK44" s="435"/>
      <c r="AL44" s="455"/>
      <c r="AM44" s="433"/>
      <c r="AN44" s="433"/>
      <c r="AO44" s="433"/>
      <c r="AP44" s="433"/>
      <c r="AQ44" s="433"/>
      <c r="AR44" s="433"/>
      <c r="AS44" s="434"/>
      <c r="AT44" s="424"/>
      <c r="AU44" s="455"/>
      <c r="AV44" s="433"/>
      <c r="AW44" s="433"/>
      <c r="AX44" s="433"/>
      <c r="AY44" s="433"/>
      <c r="AZ44" s="433"/>
      <c r="BA44" s="434"/>
      <c r="BB44" s="435"/>
      <c r="BC44" s="455"/>
      <c r="BD44" s="433"/>
      <c r="BE44" s="433"/>
      <c r="BF44" s="433"/>
      <c r="BG44" s="433"/>
      <c r="BH44" s="433"/>
      <c r="BI44" s="434"/>
      <c r="BJ44" s="436"/>
      <c r="BK44" s="455"/>
      <c r="BL44" s="433"/>
      <c r="BM44" s="433"/>
      <c r="BN44" s="433"/>
      <c r="BO44" s="433"/>
      <c r="BP44" s="433"/>
      <c r="BQ44" s="433"/>
      <c r="BR44" s="434"/>
      <c r="BS44" s="436"/>
      <c r="BT44" s="455"/>
      <c r="BU44" s="433"/>
      <c r="BV44" s="433"/>
      <c r="BW44" s="433"/>
      <c r="BX44" s="433"/>
      <c r="BY44" s="433"/>
      <c r="BZ44" s="434"/>
      <c r="CA44" s="373"/>
      <c r="CB44" s="455"/>
      <c r="CC44" s="433"/>
      <c r="CD44" s="433"/>
      <c r="CE44" s="433"/>
      <c r="CF44" s="433"/>
      <c r="CG44" s="433"/>
      <c r="CH44" s="434"/>
      <c r="CI44" s="373"/>
      <c r="CJ44" s="455"/>
      <c r="CK44" s="433"/>
      <c r="CL44" s="433"/>
      <c r="CM44" s="433"/>
      <c r="CN44" s="433"/>
      <c r="CO44" s="433"/>
      <c r="CP44" s="434"/>
      <c r="CQ44" s="435"/>
      <c r="CR44" s="432"/>
      <c r="CS44" s="433"/>
      <c r="CT44" s="433"/>
      <c r="CU44" s="433" t="n">
        <f aca="false">+CR44-CS44</f>
        <v>0</v>
      </c>
      <c r="CV44" s="433" t="n">
        <f aca="false">+CR44-CT44</f>
        <v>0</v>
      </c>
      <c r="CW44" s="433"/>
      <c r="CX44" s="434" t="str">
        <f aca="false">IFERROR(CR44/CW44-1, "-")</f>
        <v>-</v>
      </c>
      <c r="CY44" s="425"/>
      <c r="CZ44" s="437"/>
      <c r="DA44" s="433"/>
      <c r="DB44" s="433"/>
      <c r="DC44" s="433"/>
      <c r="DD44" s="433"/>
      <c r="DE44" s="434"/>
      <c r="DF44" s="434"/>
      <c r="DG44" s="438"/>
      <c r="DH44" s="438"/>
      <c r="DI44" s="413"/>
      <c r="DJ44" s="117" t="n">
        <f aca="false">SUM(D44,J44,P44,V44,AD44,AL44,AU44,BC44,BK44,BT44,CB44,CJ44)-CR44</f>
        <v>0</v>
      </c>
      <c r="DK44" s="117" t="n">
        <f aca="false">SUM(E44,K44,Q44,W44,AE44,AM44,AV44,BD44,BL44,BU44,CC44,CK44)-CS44</f>
        <v>0</v>
      </c>
      <c r="DL44" s="117" t="n">
        <f aca="false">SUM(G44,M44,S44,AA44,AI44,AR44,AZ44,BH44,BQ44,BY44,CG44,CO44)-CW44</f>
        <v>0</v>
      </c>
      <c r="DM44" s="117" t="n">
        <f aca="false">SUM(D44,J44,P44,V44,AD44,AL44,AU44,BC44,,BN44,BV44,CD44,CL44)-CT44</f>
        <v>0</v>
      </c>
      <c r="DN44" s="413"/>
      <c r="DO44" s="413"/>
      <c r="DP44" s="469" t="n">
        <v>27947528</v>
      </c>
      <c r="DQ44" s="415" t="n">
        <f aca="false">-CR44+DP44/10^6</f>
        <v>27.947528</v>
      </c>
      <c r="DR44" s="117" t="n">
        <f aca="false">SUM(E44,K44,Q44,W44,AE44,AM44,AV44,BD44,BL44,BU44,CC44,CK44)-CS44</f>
        <v>0</v>
      </c>
      <c r="DS44" s="117" t="n">
        <f aca="false">SUM(D44,J44,P44,V44,AD44,AL44,AU44,BC44,,BN44,BV44,CD44,CL44)-CT44</f>
        <v>0</v>
      </c>
      <c r="DT44" s="416"/>
      <c r="DU44" s="440" t="n">
        <v>6.785758</v>
      </c>
      <c r="DV44" s="418" t="n">
        <f aca="false">DU44-CJ44</f>
        <v>6.785758</v>
      </c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B44" s="419"/>
    </row>
    <row r="45" s="441" customFormat="true" ht="19.5" hidden="true" customHeight="true" outlineLevel="1" collapsed="false">
      <c r="A45" s="286"/>
      <c r="B45" s="430" t="s">
        <v>170</v>
      </c>
      <c r="C45" s="431" t="s">
        <v>171</v>
      </c>
      <c r="D45" s="470"/>
      <c r="E45" s="433"/>
      <c r="F45" s="433"/>
      <c r="G45" s="471"/>
      <c r="H45" s="462"/>
      <c r="I45" s="422"/>
      <c r="J45" s="470"/>
      <c r="K45" s="433"/>
      <c r="L45" s="433"/>
      <c r="M45" s="471"/>
      <c r="N45" s="462"/>
      <c r="O45" s="435"/>
      <c r="P45" s="472"/>
      <c r="Q45" s="433"/>
      <c r="R45" s="433"/>
      <c r="S45" s="471"/>
      <c r="T45" s="462"/>
      <c r="U45" s="423"/>
      <c r="V45" s="472"/>
      <c r="W45" s="433"/>
      <c r="X45" s="433"/>
      <c r="Y45" s="433"/>
      <c r="Z45" s="433"/>
      <c r="AA45" s="471"/>
      <c r="AB45" s="462"/>
      <c r="AC45" s="435"/>
      <c r="AD45" s="472"/>
      <c r="AE45" s="433"/>
      <c r="AF45" s="433"/>
      <c r="AG45" s="433"/>
      <c r="AH45" s="433"/>
      <c r="AI45" s="471"/>
      <c r="AJ45" s="462"/>
      <c r="AK45" s="435"/>
      <c r="AL45" s="472"/>
      <c r="AM45" s="433"/>
      <c r="AN45" s="433"/>
      <c r="AO45" s="433"/>
      <c r="AP45" s="433"/>
      <c r="AQ45" s="433"/>
      <c r="AR45" s="471"/>
      <c r="AS45" s="462"/>
      <c r="AT45" s="424"/>
      <c r="AU45" s="472"/>
      <c r="AV45" s="433"/>
      <c r="AW45" s="433"/>
      <c r="AX45" s="433"/>
      <c r="AY45" s="433"/>
      <c r="AZ45" s="471"/>
      <c r="BA45" s="462"/>
      <c r="BB45" s="435"/>
      <c r="BC45" s="472"/>
      <c r="BD45" s="433"/>
      <c r="BE45" s="433"/>
      <c r="BF45" s="433"/>
      <c r="BG45" s="433"/>
      <c r="BH45" s="471"/>
      <c r="BI45" s="462"/>
      <c r="BJ45" s="436"/>
      <c r="BK45" s="473"/>
      <c r="BL45" s="433"/>
      <c r="BM45" s="433"/>
      <c r="BN45" s="433"/>
      <c r="BO45" s="433"/>
      <c r="BP45" s="433"/>
      <c r="BQ45" s="471"/>
      <c r="BR45" s="462"/>
      <c r="BS45" s="436"/>
      <c r="BT45" s="473"/>
      <c r="BU45" s="433"/>
      <c r="BV45" s="433"/>
      <c r="BW45" s="433"/>
      <c r="BX45" s="433"/>
      <c r="BY45" s="471"/>
      <c r="BZ45" s="462"/>
      <c r="CA45" s="373"/>
      <c r="CB45" s="473"/>
      <c r="CC45" s="433"/>
      <c r="CD45" s="433"/>
      <c r="CE45" s="433"/>
      <c r="CF45" s="433"/>
      <c r="CG45" s="471"/>
      <c r="CH45" s="462"/>
      <c r="CI45" s="373"/>
      <c r="CJ45" s="473"/>
      <c r="CK45" s="433"/>
      <c r="CL45" s="433"/>
      <c r="CM45" s="433"/>
      <c r="CN45" s="433"/>
      <c r="CO45" s="471"/>
      <c r="CP45" s="462"/>
      <c r="CQ45" s="435"/>
      <c r="CR45" s="432"/>
      <c r="CS45" s="433"/>
      <c r="CT45" s="433"/>
      <c r="CU45" s="433" t="n">
        <f aca="false">+CR45-CS45</f>
        <v>0</v>
      </c>
      <c r="CV45" s="433" t="n">
        <f aca="false">+CR45-CT45</f>
        <v>0</v>
      </c>
      <c r="CW45" s="433"/>
      <c r="CX45" s="434" t="str">
        <f aca="false">IFERROR(CR45/CW45-1, "-")</f>
        <v>-</v>
      </c>
      <c r="CY45" s="425"/>
      <c r="CZ45" s="437"/>
      <c r="DA45" s="433"/>
      <c r="DB45" s="433"/>
      <c r="DC45" s="433"/>
      <c r="DD45" s="433"/>
      <c r="DE45" s="434"/>
      <c r="DF45" s="434"/>
      <c r="DG45" s="438"/>
      <c r="DH45" s="438"/>
      <c r="DI45" s="413"/>
      <c r="DJ45" s="117" t="n">
        <f aca="false">SUM(D45,J45,P45,V45,AD45,AL45,AU45,BC45,BK45,BT45,CB45,CJ45)-CR45</f>
        <v>0</v>
      </c>
      <c r="DK45" s="117" t="n">
        <f aca="false">SUM(E45,K45,Q45,W45,AE45,AM45,AV45,BD45,BL45,BU45,CC45,CK45)-CS45</f>
        <v>0</v>
      </c>
      <c r="DL45" s="117" t="n">
        <f aca="false">SUM(G45,M45,S45,AA45,AI45,AR45,AZ45,BH45,BQ45,BY45,CG45,CO45)-CW45</f>
        <v>0</v>
      </c>
      <c r="DM45" s="117" t="n">
        <f aca="false">SUM(D45,J45,P45,V45,AD45,AL45,AU45,BC45,,BN45,BV45,CD45,CL45)-CT45</f>
        <v>0</v>
      </c>
      <c r="DN45" s="413"/>
      <c r="DO45" s="413"/>
      <c r="DP45" s="474" t="e">
        <f aca="false">#VALUE!</f>
        <v>#VALUE!</v>
      </c>
      <c r="DQ45" s="415" t="e">
        <f aca="false">-CR45+DP45/10^6</f>
        <v>#VALUE!</v>
      </c>
      <c r="DR45" s="117" t="n">
        <f aca="false">SUM(E45,K45,Q45,W45,AE45,AM45,AV45,BD45,BL45,BU45,CC45,CK45)-CS45</f>
        <v>0</v>
      </c>
      <c r="DS45" s="117" t="n">
        <f aca="false">SUM(D45,J45,P45,V45,AD45,AL45,AU45,BC45,,BN45,BV45,CD45,CL45)-CT45</f>
        <v>0</v>
      </c>
      <c r="DT45" s="416"/>
      <c r="DU45" s="440" t="n">
        <v>188.133002</v>
      </c>
      <c r="DV45" s="418" t="n">
        <f aca="false">DU45-CJ45</f>
        <v>188.133002</v>
      </c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  <c r="EB45" s="419"/>
    </row>
    <row r="46" s="441" customFormat="true" ht="19.5" hidden="true" customHeight="true" outlineLevel="1" collapsed="false">
      <c r="A46" s="286"/>
      <c r="B46" s="430" t="s">
        <v>172</v>
      </c>
      <c r="C46" s="431" t="s">
        <v>173</v>
      </c>
      <c r="D46" s="432"/>
      <c r="E46" s="433"/>
      <c r="F46" s="433"/>
      <c r="G46" s="433"/>
      <c r="H46" s="434"/>
      <c r="I46" s="422"/>
      <c r="J46" s="432"/>
      <c r="K46" s="433"/>
      <c r="L46" s="433"/>
      <c r="M46" s="433"/>
      <c r="N46" s="434"/>
      <c r="O46" s="435"/>
      <c r="P46" s="432"/>
      <c r="Q46" s="433"/>
      <c r="R46" s="433"/>
      <c r="S46" s="433"/>
      <c r="T46" s="434"/>
      <c r="U46" s="423"/>
      <c r="V46" s="432"/>
      <c r="W46" s="433"/>
      <c r="X46" s="433"/>
      <c r="Y46" s="433"/>
      <c r="Z46" s="433"/>
      <c r="AA46" s="433"/>
      <c r="AB46" s="434"/>
      <c r="AC46" s="435"/>
      <c r="AD46" s="432"/>
      <c r="AE46" s="433"/>
      <c r="AF46" s="433"/>
      <c r="AG46" s="433"/>
      <c r="AH46" s="433"/>
      <c r="AI46" s="433"/>
      <c r="AJ46" s="434"/>
      <c r="AK46" s="435"/>
      <c r="AL46" s="432"/>
      <c r="AM46" s="433"/>
      <c r="AN46" s="433"/>
      <c r="AO46" s="433"/>
      <c r="AP46" s="433"/>
      <c r="AQ46" s="433"/>
      <c r="AR46" s="433"/>
      <c r="AS46" s="434"/>
      <c r="AT46" s="424"/>
      <c r="AU46" s="432"/>
      <c r="AV46" s="433"/>
      <c r="AW46" s="433"/>
      <c r="AX46" s="433"/>
      <c r="AY46" s="433"/>
      <c r="AZ46" s="433"/>
      <c r="BA46" s="434"/>
      <c r="BB46" s="435"/>
      <c r="BC46" s="432"/>
      <c r="BD46" s="433"/>
      <c r="BE46" s="433"/>
      <c r="BF46" s="433"/>
      <c r="BG46" s="433"/>
      <c r="BH46" s="433"/>
      <c r="BI46" s="434"/>
      <c r="BJ46" s="436"/>
      <c r="BK46" s="432"/>
      <c r="BL46" s="433"/>
      <c r="BM46" s="433"/>
      <c r="BN46" s="433"/>
      <c r="BO46" s="433"/>
      <c r="BP46" s="433"/>
      <c r="BQ46" s="433"/>
      <c r="BR46" s="434"/>
      <c r="BS46" s="436"/>
      <c r="BT46" s="432"/>
      <c r="BU46" s="433"/>
      <c r="BV46" s="433"/>
      <c r="BW46" s="433"/>
      <c r="BX46" s="433"/>
      <c r="BY46" s="433"/>
      <c r="BZ46" s="434"/>
      <c r="CA46" s="373"/>
      <c r="CB46" s="432"/>
      <c r="CC46" s="433"/>
      <c r="CD46" s="433"/>
      <c r="CE46" s="433"/>
      <c r="CF46" s="433"/>
      <c r="CG46" s="433"/>
      <c r="CH46" s="434"/>
      <c r="CI46" s="373"/>
      <c r="CJ46" s="432"/>
      <c r="CK46" s="433"/>
      <c r="CL46" s="433"/>
      <c r="CM46" s="433"/>
      <c r="CN46" s="433"/>
      <c r="CO46" s="433"/>
      <c r="CP46" s="434"/>
      <c r="CQ46" s="435"/>
      <c r="CR46" s="432"/>
      <c r="CS46" s="433"/>
      <c r="CT46" s="433"/>
      <c r="CU46" s="433" t="n">
        <f aca="false">+CR46-CS46</f>
        <v>0</v>
      </c>
      <c r="CV46" s="433" t="n">
        <f aca="false">+CR46-CT46</f>
        <v>0</v>
      </c>
      <c r="CW46" s="433"/>
      <c r="CX46" s="434" t="str">
        <f aca="false">IFERROR(CR46/CW46-1, "-")</f>
        <v>-</v>
      </c>
      <c r="CY46" s="425"/>
      <c r="CZ46" s="437"/>
      <c r="DA46" s="433"/>
      <c r="DB46" s="433"/>
      <c r="DC46" s="433"/>
      <c r="DD46" s="433"/>
      <c r="DE46" s="434"/>
      <c r="DF46" s="434"/>
      <c r="DG46" s="438"/>
      <c r="DH46" s="438"/>
      <c r="DI46" s="413"/>
      <c r="DJ46" s="117" t="n">
        <f aca="false">SUM(D46,J46,P46,V46,AD46,AL46,AU46,BC46,BK46,BT46,CB46,CJ46)-CR46</f>
        <v>0</v>
      </c>
      <c r="DK46" s="117" t="n">
        <f aca="false">SUM(E46,K46,Q46,W46,AE46,AM46,AV46,BD46,BL46,BU46,CC46,CK46)-CS46</f>
        <v>0</v>
      </c>
      <c r="DL46" s="117" t="n">
        <f aca="false">SUM(G46,M46,S46,AA46,AI46,AR46,AZ46,BH46,BQ46,BY46,CG46,CO46)-CW46</f>
        <v>0</v>
      </c>
      <c r="DM46" s="117" t="n">
        <f aca="false">SUM(D46,J46,P46,V46,AD46,AL46,AU46,BC46,,BN46,BV46,CD46,CL46)-CT46</f>
        <v>0</v>
      </c>
      <c r="DN46" s="413"/>
      <c r="DO46" s="413"/>
      <c r="DP46" s="439" t="n">
        <v>0</v>
      </c>
      <c r="DQ46" s="415" t="n">
        <f aca="false">-CR46+DP46/10^6</f>
        <v>0</v>
      </c>
      <c r="DR46" s="117" t="n">
        <f aca="false">SUM(E46,K46,Q46,W46,AE46,AM46,AV46,BD46,BL46,BU46,CC46,CK46)-CS46</f>
        <v>0</v>
      </c>
      <c r="DS46" s="117" t="n">
        <f aca="false">SUM(D46,J46,P46,V46,AD46,AL46,AU46,BC46,,BN46,BV46,CD46,CL46)-CT46</f>
        <v>0</v>
      </c>
      <c r="DT46" s="416"/>
      <c r="DU46" s="440" t="n">
        <v>0</v>
      </c>
      <c r="DV46" s="418" t="n">
        <f aca="false">DU46-CJ46</f>
        <v>0</v>
      </c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  <c r="EB46" s="419"/>
    </row>
    <row r="47" s="441" customFormat="true" ht="19.5" hidden="true" customHeight="true" outlineLevel="1" collapsed="false">
      <c r="A47" s="286"/>
      <c r="B47" s="430" t="s">
        <v>174</v>
      </c>
      <c r="C47" s="431" t="s">
        <v>175</v>
      </c>
      <c r="D47" s="455"/>
      <c r="E47" s="433"/>
      <c r="F47" s="433"/>
      <c r="G47" s="433"/>
      <c r="H47" s="434"/>
      <c r="I47" s="422"/>
      <c r="J47" s="455"/>
      <c r="K47" s="433"/>
      <c r="L47" s="433"/>
      <c r="M47" s="433"/>
      <c r="N47" s="434"/>
      <c r="O47" s="435"/>
      <c r="P47" s="455"/>
      <c r="Q47" s="433"/>
      <c r="R47" s="433"/>
      <c r="S47" s="433"/>
      <c r="T47" s="434"/>
      <c r="U47" s="423"/>
      <c r="V47" s="455"/>
      <c r="W47" s="433"/>
      <c r="X47" s="433"/>
      <c r="Y47" s="433"/>
      <c r="Z47" s="433"/>
      <c r="AA47" s="433"/>
      <c r="AB47" s="434"/>
      <c r="AC47" s="435"/>
      <c r="AD47" s="455"/>
      <c r="AE47" s="433"/>
      <c r="AF47" s="433"/>
      <c r="AG47" s="433"/>
      <c r="AH47" s="433"/>
      <c r="AI47" s="433"/>
      <c r="AJ47" s="434"/>
      <c r="AK47" s="435"/>
      <c r="AL47" s="455"/>
      <c r="AM47" s="433"/>
      <c r="AN47" s="433"/>
      <c r="AO47" s="433"/>
      <c r="AP47" s="433"/>
      <c r="AQ47" s="433"/>
      <c r="AR47" s="433"/>
      <c r="AS47" s="434"/>
      <c r="AT47" s="424"/>
      <c r="AU47" s="455"/>
      <c r="AV47" s="433"/>
      <c r="AW47" s="433"/>
      <c r="AX47" s="433"/>
      <c r="AY47" s="433"/>
      <c r="AZ47" s="433"/>
      <c r="BA47" s="434"/>
      <c r="BB47" s="435"/>
      <c r="BC47" s="455"/>
      <c r="BD47" s="433"/>
      <c r="BE47" s="433"/>
      <c r="BF47" s="433"/>
      <c r="BG47" s="433"/>
      <c r="BH47" s="433"/>
      <c r="BI47" s="434"/>
      <c r="BJ47" s="436"/>
      <c r="BK47" s="455"/>
      <c r="BL47" s="433"/>
      <c r="BM47" s="433"/>
      <c r="BN47" s="433"/>
      <c r="BO47" s="433"/>
      <c r="BP47" s="433"/>
      <c r="BQ47" s="433"/>
      <c r="BR47" s="434"/>
      <c r="BS47" s="436"/>
      <c r="BT47" s="455"/>
      <c r="BU47" s="433"/>
      <c r="BV47" s="433"/>
      <c r="BW47" s="433"/>
      <c r="BX47" s="433"/>
      <c r="BY47" s="433"/>
      <c r="BZ47" s="434"/>
      <c r="CA47" s="373"/>
      <c r="CB47" s="455"/>
      <c r="CC47" s="433"/>
      <c r="CD47" s="433"/>
      <c r="CE47" s="433"/>
      <c r="CF47" s="433"/>
      <c r="CG47" s="433"/>
      <c r="CH47" s="434"/>
      <c r="CI47" s="373"/>
      <c r="CJ47" s="468"/>
      <c r="CK47" s="433"/>
      <c r="CL47" s="433"/>
      <c r="CM47" s="433"/>
      <c r="CN47" s="433"/>
      <c r="CO47" s="433"/>
      <c r="CP47" s="434"/>
      <c r="CQ47" s="435"/>
      <c r="CR47" s="432"/>
      <c r="CS47" s="433"/>
      <c r="CT47" s="433"/>
      <c r="CU47" s="433" t="n">
        <f aca="false">+CR47-CS47</f>
        <v>0</v>
      </c>
      <c r="CV47" s="433" t="n">
        <f aca="false">+CR47-CT47</f>
        <v>0</v>
      </c>
      <c r="CW47" s="433"/>
      <c r="CX47" s="434" t="str">
        <f aca="false">IFERROR(CR47/CW47-1, "-")</f>
        <v>-</v>
      </c>
      <c r="CY47" s="425"/>
      <c r="CZ47" s="437"/>
      <c r="DA47" s="433"/>
      <c r="DB47" s="433"/>
      <c r="DC47" s="433"/>
      <c r="DD47" s="433"/>
      <c r="DE47" s="434"/>
      <c r="DF47" s="434"/>
      <c r="DG47" s="438"/>
      <c r="DH47" s="438"/>
      <c r="DI47" s="413"/>
      <c r="DJ47" s="117" t="n">
        <f aca="false">SUM(D47,J47,P47,V47,AD47,AL47,AU47,BC47,BK47,BT47,CB47,CJ47)-CR47</f>
        <v>0</v>
      </c>
      <c r="DK47" s="117" t="n">
        <f aca="false">SUM(E47,K47,Q47,W47,AE47,AM47,AV47,BD47,BL47,BU47,CC47,CK47)-CS47</f>
        <v>0</v>
      </c>
      <c r="DL47" s="117" t="n">
        <f aca="false">SUM(G47,M47,S47,AA47,AI47,AR47,AZ47,BH47,BQ47,BY47,CG47,CO47)-CW47</f>
        <v>0</v>
      </c>
      <c r="DM47" s="117" t="n">
        <f aca="false">SUM(D47,J47,P47,V47,AD47,AL47,AU47,BC47,,BN47,BV47,CD47,CL47)-CT47</f>
        <v>0</v>
      </c>
      <c r="DN47" s="413"/>
      <c r="DO47" s="413"/>
      <c r="DP47" s="469" t="n">
        <v>277712779</v>
      </c>
      <c r="DQ47" s="415" t="n">
        <f aca="false">-CR47+DP47/10^6</f>
        <v>277.712779</v>
      </c>
      <c r="DR47" s="117" t="n">
        <f aca="false">SUM(E47,K47,Q47,W47,AE47,AM47,AV47,BD47,BL47,BU47,CC47,CK47)-CS47</f>
        <v>0</v>
      </c>
      <c r="DS47" s="117" t="n">
        <f aca="false">SUM(D47,J47,P47,V47,AD47,AL47,AU47,BC47,,BN47,BV47,CD47,CL47)-CT47</f>
        <v>0</v>
      </c>
      <c r="DT47" s="416"/>
      <c r="DU47" s="440" t="n">
        <v>12.527459</v>
      </c>
      <c r="DV47" s="418" t="n">
        <f aca="false">DU47-CJ47</f>
        <v>12.527459</v>
      </c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B47" s="419"/>
    </row>
    <row r="48" s="441" customFormat="true" ht="19.5" hidden="true" customHeight="true" outlineLevel="1" collapsed="false">
      <c r="A48" s="286"/>
      <c r="B48" s="430" t="s">
        <v>176</v>
      </c>
      <c r="C48" s="431" t="s">
        <v>177</v>
      </c>
      <c r="D48" s="470"/>
      <c r="E48" s="433"/>
      <c r="F48" s="433"/>
      <c r="G48" s="471"/>
      <c r="H48" s="434"/>
      <c r="I48" s="422"/>
      <c r="J48" s="473"/>
      <c r="K48" s="433"/>
      <c r="L48" s="433"/>
      <c r="M48" s="471"/>
      <c r="N48" s="434"/>
      <c r="O48" s="435"/>
      <c r="P48" s="473"/>
      <c r="Q48" s="433"/>
      <c r="R48" s="433"/>
      <c r="S48" s="471"/>
      <c r="T48" s="434"/>
      <c r="U48" s="423"/>
      <c r="V48" s="473"/>
      <c r="W48" s="433"/>
      <c r="X48" s="433"/>
      <c r="Y48" s="433"/>
      <c r="Z48" s="433"/>
      <c r="AA48" s="471"/>
      <c r="AB48" s="434"/>
      <c r="AC48" s="435"/>
      <c r="AD48" s="473"/>
      <c r="AE48" s="433"/>
      <c r="AF48" s="433"/>
      <c r="AG48" s="433"/>
      <c r="AH48" s="433"/>
      <c r="AI48" s="471"/>
      <c r="AJ48" s="434"/>
      <c r="AK48" s="435"/>
      <c r="AL48" s="473"/>
      <c r="AM48" s="433"/>
      <c r="AN48" s="433"/>
      <c r="AO48" s="433"/>
      <c r="AP48" s="433"/>
      <c r="AQ48" s="433"/>
      <c r="AR48" s="471"/>
      <c r="AS48" s="434"/>
      <c r="AT48" s="424"/>
      <c r="AU48" s="473"/>
      <c r="AV48" s="433"/>
      <c r="AW48" s="433"/>
      <c r="AX48" s="433"/>
      <c r="AY48" s="433"/>
      <c r="AZ48" s="471"/>
      <c r="BA48" s="434"/>
      <c r="BB48" s="435"/>
      <c r="BC48" s="473"/>
      <c r="BD48" s="433"/>
      <c r="BE48" s="433"/>
      <c r="BF48" s="433"/>
      <c r="BG48" s="433"/>
      <c r="BH48" s="471"/>
      <c r="BI48" s="434"/>
      <c r="BJ48" s="436"/>
      <c r="BK48" s="473"/>
      <c r="BL48" s="433"/>
      <c r="BM48" s="433"/>
      <c r="BN48" s="433"/>
      <c r="BO48" s="433"/>
      <c r="BP48" s="433"/>
      <c r="BQ48" s="471"/>
      <c r="BR48" s="434"/>
      <c r="BS48" s="436"/>
      <c r="BT48" s="473"/>
      <c r="BU48" s="433"/>
      <c r="BV48" s="433"/>
      <c r="BW48" s="433"/>
      <c r="BX48" s="433"/>
      <c r="BY48" s="471"/>
      <c r="BZ48" s="434"/>
      <c r="CA48" s="373"/>
      <c r="CB48" s="473"/>
      <c r="CC48" s="433"/>
      <c r="CD48" s="433"/>
      <c r="CE48" s="433"/>
      <c r="CF48" s="433"/>
      <c r="CG48" s="471"/>
      <c r="CH48" s="434"/>
      <c r="CI48" s="373"/>
      <c r="CJ48" s="473"/>
      <c r="CK48" s="433"/>
      <c r="CL48" s="433"/>
      <c r="CM48" s="433"/>
      <c r="CN48" s="433"/>
      <c r="CO48" s="471"/>
      <c r="CP48" s="434"/>
      <c r="CQ48" s="435"/>
      <c r="CR48" s="432"/>
      <c r="CS48" s="433"/>
      <c r="CT48" s="433"/>
      <c r="CU48" s="433" t="n">
        <f aca="false">+CR48-CS48</f>
        <v>0</v>
      </c>
      <c r="CV48" s="433" t="n">
        <f aca="false">+CR48-CT48</f>
        <v>0</v>
      </c>
      <c r="CW48" s="433"/>
      <c r="CX48" s="434" t="str">
        <f aca="false">IFERROR(CR48/CW48-1, "-")</f>
        <v>-</v>
      </c>
      <c r="CY48" s="425"/>
      <c r="CZ48" s="437"/>
      <c r="DA48" s="433"/>
      <c r="DB48" s="433"/>
      <c r="DC48" s="433"/>
      <c r="DD48" s="433"/>
      <c r="DE48" s="434"/>
      <c r="DF48" s="434"/>
      <c r="DG48" s="438"/>
      <c r="DH48" s="438"/>
      <c r="DI48" s="413"/>
      <c r="DJ48" s="117" t="n">
        <f aca="false">SUM(D48,J48,P48,V48,AD48,AL48,AU48,BC48,BK48,BT48,CB48,CJ48)-CR48</f>
        <v>0</v>
      </c>
      <c r="DK48" s="117" t="n">
        <f aca="false">SUM(E48,K48,Q48,W48,AE48,AM48,AV48,BD48,BL48,BU48,CC48,CK48)-CS48</f>
        <v>0</v>
      </c>
      <c r="DL48" s="117" t="n">
        <f aca="false">SUM(G48,M48,S48,AA48,AI48,AR48,AZ48,BH48,BQ48,BY48,CG48,CO48)-CW48</f>
        <v>0</v>
      </c>
      <c r="DM48" s="117" t="n">
        <f aca="false">SUM(D48,J48,P48,V48,AD48,AL48,AU48,BC48,,BN48,BV48,CD48,CL48)-CT48</f>
        <v>0</v>
      </c>
      <c r="DN48" s="413"/>
      <c r="DO48" s="413"/>
      <c r="DP48" s="475" t="n">
        <v>398425246</v>
      </c>
      <c r="DQ48" s="415" t="n">
        <f aca="false">-CR48+DP48/10^6</f>
        <v>398.425246</v>
      </c>
      <c r="DR48" s="117" t="n">
        <f aca="false">SUM(E48,K48,Q48,W48,AE48,AM48,AV48,BD48,BL48,BU48,CC48,CK48)-CS48</f>
        <v>0</v>
      </c>
      <c r="DS48" s="117" t="n">
        <f aca="false">SUM(D48,J48,P48,V48,AD48,AL48,AU48,BC48,,BN48,BV48,CD48,CL48)-CT48</f>
        <v>0</v>
      </c>
      <c r="DT48" s="416"/>
      <c r="DU48" s="440" t="n">
        <v>24.820232</v>
      </c>
      <c r="DV48" s="418" t="n">
        <f aca="false">DU48-CJ48</f>
        <v>24.820232</v>
      </c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  <c r="EB48" s="419"/>
    </row>
    <row r="49" s="441" customFormat="true" ht="19.5" hidden="true" customHeight="true" outlineLevel="1" collapsed="false">
      <c r="A49" s="286"/>
      <c r="B49" s="430" t="s">
        <v>178</v>
      </c>
      <c r="C49" s="431" t="s">
        <v>179</v>
      </c>
      <c r="D49" s="432"/>
      <c r="E49" s="433"/>
      <c r="F49" s="433"/>
      <c r="G49" s="433"/>
      <c r="H49" s="434"/>
      <c r="I49" s="422"/>
      <c r="J49" s="432"/>
      <c r="K49" s="433"/>
      <c r="L49" s="433"/>
      <c r="M49" s="433"/>
      <c r="N49" s="434"/>
      <c r="O49" s="435"/>
      <c r="P49" s="432"/>
      <c r="Q49" s="433"/>
      <c r="R49" s="433"/>
      <c r="S49" s="433"/>
      <c r="T49" s="434"/>
      <c r="U49" s="423"/>
      <c r="V49" s="432"/>
      <c r="W49" s="433"/>
      <c r="X49" s="433"/>
      <c r="Y49" s="433"/>
      <c r="Z49" s="433"/>
      <c r="AA49" s="433"/>
      <c r="AB49" s="434"/>
      <c r="AC49" s="435"/>
      <c r="AD49" s="432"/>
      <c r="AE49" s="433"/>
      <c r="AF49" s="433"/>
      <c r="AG49" s="433"/>
      <c r="AH49" s="433"/>
      <c r="AI49" s="433"/>
      <c r="AJ49" s="434"/>
      <c r="AK49" s="435"/>
      <c r="AL49" s="432"/>
      <c r="AM49" s="433"/>
      <c r="AN49" s="433"/>
      <c r="AO49" s="433"/>
      <c r="AP49" s="433"/>
      <c r="AQ49" s="433"/>
      <c r="AR49" s="433"/>
      <c r="AS49" s="434"/>
      <c r="AT49" s="424"/>
      <c r="AU49" s="432"/>
      <c r="AV49" s="433"/>
      <c r="AW49" s="433"/>
      <c r="AX49" s="433"/>
      <c r="AY49" s="433"/>
      <c r="AZ49" s="433"/>
      <c r="BA49" s="434"/>
      <c r="BB49" s="435"/>
      <c r="BC49" s="432"/>
      <c r="BD49" s="433"/>
      <c r="BE49" s="433"/>
      <c r="BF49" s="433"/>
      <c r="BG49" s="433"/>
      <c r="BH49" s="433"/>
      <c r="BI49" s="434"/>
      <c r="BJ49" s="436"/>
      <c r="BK49" s="432"/>
      <c r="BL49" s="433"/>
      <c r="BM49" s="433"/>
      <c r="BN49" s="433"/>
      <c r="BO49" s="433"/>
      <c r="BP49" s="433"/>
      <c r="BQ49" s="433"/>
      <c r="BR49" s="434"/>
      <c r="BS49" s="436"/>
      <c r="BT49" s="432"/>
      <c r="BU49" s="433"/>
      <c r="BV49" s="433"/>
      <c r="BW49" s="433"/>
      <c r="BX49" s="433"/>
      <c r="BY49" s="433"/>
      <c r="BZ49" s="434"/>
      <c r="CA49" s="373"/>
      <c r="CB49" s="432"/>
      <c r="CC49" s="433"/>
      <c r="CD49" s="433"/>
      <c r="CE49" s="433"/>
      <c r="CF49" s="433"/>
      <c r="CG49" s="433"/>
      <c r="CH49" s="434"/>
      <c r="CI49" s="373"/>
      <c r="CJ49" s="432"/>
      <c r="CK49" s="433"/>
      <c r="CL49" s="433"/>
      <c r="CM49" s="433"/>
      <c r="CN49" s="433"/>
      <c r="CO49" s="433"/>
      <c r="CP49" s="434"/>
      <c r="CQ49" s="435"/>
      <c r="CR49" s="432"/>
      <c r="CS49" s="433"/>
      <c r="CT49" s="433"/>
      <c r="CU49" s="433" t="n">
        <f aca="false">+CR49-CS49</f>
        <v>0</v>
      </c>
      <c r="CV49" s="433" t="n">
        <f aca="false">+CR49-CT49</f>
        <v>0</v>
      </c>
      <c r="CW49" s="433"/>
      <c r="CX49" s="434" t="str">
        <f aca="false">IFERROR(CR49/CW49-1, "-")</f>
        <v>-</v>
      </c>
      <c r="CY49" s="425"/>
      <c r="CZ49" s="437"/>
      <c r="DA49" s="433"/>
      <c r="DB49" s="433"/>
      <c r="DC49" s="433"/>
      <c r="DD49" s="433"/>
      <c r="DE49" s="434"/>
      <c r="DF49" s="434"/>
      <c r="DG49" s="438"/>
      <c r="DH49" s="438"/>
      <c r="DI49" s="413"/>
      <c r="DJ49" s="117" t="n">
        <f aca="false">SUM(D49,J49,P49,V49,AD49,AL49,AU49,BC49,BK49,BT49,CB49,CJ49)-CR49</f>
        <v>0</v>
      </c>
      <c r="DK49" s="117" t="n">
        <f aca="false">SUM(E49,K49,Q49,W49,AE49,AM49,AV49,BD49,BL49,BU49,CC49,CK49)-CS49</f>
        <v>0</v>
      </c>
      <c r="DL49" s="117" t="n">
        <f aca="false">SUM(G49,M49,S49,AA49,AI49,AR49,AZ49,BH49,BQ49,BY49,CG49,CO49)-CW49</f>
        <v>0</v>
      </c>
      <c r="DM49" s="117" t="n">
        <f aca="false">SUM(D49,J49,P49,V49,AD49,AL49,AU49,BC49,,BN49,BV49,CD49,CL49)-CT49</f>
        <v>0</v>
      </c>
      <c r="DN49" s="413"/>
      <c r="DO49" s="413"/>
      <c r="DP49" s="439" t="n">
        <v>0</v>
      </c>
      <c r="DQ49" s="415" t="n">
        <f aca="false">-CR49+DP49/10^6</f>
        <v>0</v>
      </c>
      <c r="DR49" s="117" t="n">
        <f aca="false">SUM(E49,K49,Q49,W49,AE49,AM49,AV49,BD49,BL49,BU49,CC49,CK49)-CS49</f>
        <v>0</v>
      </c>
      <c r="DS49" s="117" t="n">
        <f aca="false">SUM(D49,J49,P49,V49,AD49,AL49,AU49,BC49,,BN49,BV49,CD49,CL49)-CT49</f>
        <v>0</v>
      </c>
      <c r="DT49" s="416"/>
      <c r="DU49" s="440" t="n">
        <v>0</v>
      </c>
      <c r="DV49" s="418" t="n">
        <f aca="false">DU49-CJ49</f>
        <v>0</v>
      </c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  <c r="EB49" s="419"/>
    </row>
    <row r="50" s="441" customFormat="true" ht="19.5" hidden="true" customHeight="true" outlineLevel="1" collapsed="false">
      <c r="A50" s="286"/>
      <c r="B50" s="430" t="s">
        <v>180</v>
      </c>
      <c r="C50" s="431" t="s">
        <v>181</v>
      </c>
      <c r="D50" s="476"/>
      <c r="E50" s="433"/>
      <c r="F50" s="433"/>
      <c r="G50" s="433"/>
      <c r="H50" s="434"/>
      <c r="I50" s="422"/>
      <c r="J50" s="476"/>
      <c r="K50" s="433"/>
      <c r="L50" s="433"/>
      <c r="M50" s="433"/>
      <c r="N50" s="434"/>
      <c r="O50" s="435"/>
      <c r="P50" s="476"/>
      <c r="Q50" s="433"/>
      <c r="R50" s="433"/>
      <c r="S50" s="433"/>
      <c r="T50" s="434"/>
      <c r="U50" s="423"/>
      <c r="V50" s="476"/>
      <c r="W50" s="433"/>
      <c r="X50" s="433"/>
      <c r="Y50" s="433"/>
      <c r="Z50" s="433"/>
      <c r="AA50" s="433"/>
      <c r="AB50" s="434"/>
      <c r="AC50" s="435"/>
      <c r="AD50" s="476"/>
      <c r="AE50" s="433"/>
      <c r="AF50" s="433"/>
      <c r="AG50" s="433"/>
      <c r="AH50" s="433"/>
      <c r="AI50" s="433"/>
      <c r="AJ50" s="434"/>
      <c r="AK50" s="435"/>
      <c r="AL50" s="476"/>
      <c r="AM50" s="433"/>
      <c r="AN50" s="433"/>
      <c r="AO50" s="433"/>
      <c r="AP50" s="433"/>
      <c r="AQ50" s="433"/>
      <c r="AR50" s="433"/>
      <c r="AS50" s="434"/>
      <c r="AT50" s="424"/>
      <c r="AU50" s="476"/>
      <c r="AV50" s="433"/>
      <c r="AW50" s="433"/>
      <c r="AX50" s="433"/>
      <c r="AY50" s="433"/>
      <c r="AZ50" s="433"/>
      <c r="BA50" s="434"/>
      <c r="BB50" s="435"/>
      <c r="BC50" s="476"/>
      <c r="BD50" s="433"/>
      <c r="BE50" s="433"/>
      <c r="BF50" s="433"/>
      <c r="BG50" s="433"/>
      <c r="BH50" s="433"/>
      <c r="BI50" s="434"/>
      <c r="BJ50" s="436"/>
      <c r="BK50" s="476"/>
      <c r="BL50" s="433"/>
      <c r="BM50" s="433"/>
      <c r="BN50" s="433"/>
      <c r="BO50" s="433"/>
      <c r="BP50" s="433"/>
      <c r="BQ50" s="433"/>
      <c r="BR50" s="434"/>
      <c r="BS50" s="436"/>
      <c r="BT50" s="476"/>
      <c r="BU50" s="433"/>
      <c r="BV50" s="433"/>
      <c r="BW50" s="433"/>
      <c r="BX50" s="433"/>
      <c r="BY50" s="433"/>
      <c r="BZ50" s="434"/>
      <c r="CA50" s="373"/>
      <c r="CB50" s="476"/>
      <c r="CC50" s="433"/>
      <c r="CD50" s="433"/>
      <c r="CE50" s="433"/>
      <c r="CF50" s="433"/>
      <c r="CG50" s="433"/>
      <c r="CH50" s="434"/>
      <c r="CI50" s="373"/>
      <c r="CJ50" s="476"/>
      <c r="CK50" s="433"/>
      <c r="CL50" s="433"/>
      <c r="CM50" s="433"/>
      <c r="CN50" s="433"/>
      <c r="CO50" s="433"/>
      <c r="CP50" s="434"/>
      <c r="CQ50" s="435"/>
      <c r="CR50" s="432"/>
      <c r="CS50" s="433"/>
      <c r="CT50" s="433"/>
      <c r="CU50" s="433" t="n">
        <f aca="false">+CR50-CS50</f>
        <v>0</v>
      </c>
      <c r="CV50" s="433" t="n">
        <f aca="false">+CR50-CT50</f>
        <v>0</v>
      </c>
      <c r="CW50" s="433"/>
      <c r="CX50" s="434" t="str">
        <f aca="false">IFERROR(CR50/CW50-1, "-")</f>
        <v>-</v>
      </c>
      <c r="CY50" s="425"/>
      <c r="CZ50" s="437"/>
      <c r="DA50" s="433"/>
      <c r="DB50" s="433"/>
      <c r="DC50" s="433"/>
      <c r="DD50" s="433"/>
      <c r="DE50" s="434"/>
      <c r="DF50" s="434"/>
      <c r="DG50" s="438"/>
      <c r="DH50" s="438"/>
      <c r="DI50" s="413"/>
      <c r="DJ50" s="117" t="n">
        <f aca="false">SUM(D50,J50,P50,V50,AD50,AL50,AU50,BC50,BK50,BT50,CB50,CJ50)-CR50</f>
        <v>0</v>
      </c>
      <c r="DK50" s="117" t="n">
        <f aca="false">SUM(E50,K50,Q50,W50,AE50,AM50,AV50,BD50,BL50,BU50,CC50,CK50)-CS50</f>
        <v>0</v>
      </c>
      <c r="DL50" s="117" t="n">
        <f aca="false">SUM(G50,M50,S50,AA50,AI50,AR50,AZ50,BH50,BQ50,BY50,CG50,CO50)-CW50</f>
        <v>0</v>
      </c>
      <c r="DM50" s="117" t="n">
        <f aca="false">SUM(D50,J50,P50,V50,AD50,AL50,AU50,BC50,,BN50,BV50,CD50,CL50)-CT50</f>
        <v>0</v>
      </c>
      <c r="DN50" s="413"/>
      <c r="DO50" s="413"/>
      <c r="DP50" s="477" t="e">
        <f aca="false">#VALUE!</f>
        <v>#VALUE!</v>
      </c>
      <c r="DQ50" s="415" t="e">
        <f aca="false">-CR50+DP50/10^6</f>
        <v>#VALUE!</v>
      </c>
      <c r="DR50" s="117" t="n">
        <f aca="false">SUM(E50,K50,Q50,W50,AE50,AM50,AV50,BD50,BL50,BU50,CC50,CK50)-CS50</f>
        <v>0</v>
      </c>
      <c r="DS50" s="117" t="n">
        <f aca="false">SUM(D50,J50,P50,V50,AD50,AL50,AU50,BC50,,BN50,BV50,CD50,CL50)-CT50</f>
        <v>0</v>
      </c>
      <c r="DT50" s="416"/>
      <c r="DU50" s="440" t="n">
        <v>0</v>
      </c>
      <c r="DV50" s="418" t="n">
        <f aca="false">DU50-CJ50</f>
        <v>0</v>
      </c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  <c r="EB50" s="419"/>
    </row>
    <row r="51" s="441" customFormat="true" ht="19.5" hidden="true" customHeight="true" outlineLevel="1" collapsed="false">
      <c r="A51" s="286"/>
      <c r="B51" s="430" t="s">
        <v>182</v>
      </c>
      <c r="C51" s="431" t="s">
        <v>183</v>
      </c>
      <c r="D51" s="432"/>
      <c r="E51" s="433"/>
      <c r="F51" s="433"/>
      <c r="G51" s="433"/>
      <c r="H51" s="434"/>
      <c r="I51" s="422"/>
      <c r="J51" s="432"/>
      <c r="K51" s="433"/>
      <c r="L51" s="433"/>
      <c r="M51" s="433"/>
      <c r="N51" s="434"/>
      <c r="O51" s="435"/>
      <c r="P51" s="432"/>
      <c r="Q51" s="433"/>
      <c r="R51" s="433"/>
      <c r="S51" s="433"/>
      <c r="T51" s="434"/>
      <c r="U51" s="423"/>
      <c r="V51" s="432"/>
      <c r="W51" s="433"/>
      <c r="X51" s="433"/>
      <c r="Y51" s="433"/>
      <c r="Z51" s="433"/>
      <c r="AA51" s="433"/>
      <c r="AB51" s="434"/>
      <c r="AC51" s="435"/>
      <c r="AD51" s="432"/>
      <c r="AE51" s="433"/>
      <c r="AF51" s="433"/>
      <c r="AG51" s="433"/>
      <c r="AH51" s="433"/>
      <c r="AI51" s="433"/>
      <c r="AJ51" s="434"/>
      <c r="AK51" s="435"/>
      <c r="AL51" s="432"/>
      <c r="AM51" s="433"/>
      <c r="AN51" s="433"/>
      <c r="AO51" s="433"/>
      <c r="AP51" s="433"/>
      <c r="AQ51" s="433"/>
      <c r="AR51" s="433"/>
      <c r="AS51" s="434"/>
      <c r="AT51" s="424"/>
      <c r="AU51" s="432"/>
      <c r="AV51" s="433"/>
      <c r="AW51" s="433"/>
      <c r="AX51" s="433"/>
      <c r="AY51" s="433"/>
      <c r="AZ51" s="433"/>
      <c r="BA51" s="434"/>
      <c r="BB51" s="435"/>
      <c r="BC51" s="432"/>
      <c r="BD51" s="433"/>
      <c r="BE51" s="433"/>
      <c r="BF51" s="433"/>
      <c r="BG51" s="433"/>
      <c r="BH51" s="433"/>
      <c r="BI51" s="434"/>
      <c r="BJ51" s="436"/>
      <c r="BK51" s="432"/>
      <c r="BL51" s="433"/>
      <c r="BM51" s="433"/>
      <c r="BN51" s="433"/>
      <c r="BO51" s="433"/>
      <c r="BP51" s="433"/>
      <c r="BQ51" s="433"/>
      <c r="BR51" s="434"/>
      <c r="BS51" s="436"/>
      <c r="BT51" s="432"/>
      <c r="BU51" s="433"/>
      <c r="BV51" s="433"/>
      <c r="BW51" s="433"/>
      <c r="BX51" s="433"/>
      <c r="BY51" s="433"/>
      <c r="BZ51" s="434"/>
      <c r="CA51" s="373"/>
      <c r="CB51" s="432"/>
      <c r="CC51" s="433"/>
      <c r="CD51" s="433"/>
      <c r="CE51" s="433"/>
      <c r="CF51" s="433"/>
      <c r="CG51" s="433"/>
      <c r="CH51" s="434"/>
      <c r="CI51" s="373"/>
      <c r="CJ51" s="432"/>
      <c r="CK51" s="433"/>
      <c r="CL51" s="433"/>
      <c r="CM51" s="433"/>
      <c r="CN51" s="433"/>
      <c r="CO51" s="433"/>
      <c r="CP51" s="434"/>
      <c r="CQ51" s="435"/>
      <c r="CR51" s="432"/>
      <c r="CS51" s="433"/>
      <c r="CT51" s="433"/>
      <c r="CU51" s="433" t="n">
        <f aca="false">+CR51-CS51</f>
        <v>0</v>
      </c>
      <c r="CV51" s="433" t="n">
        <f aca="false">+CR51-CT51</f>
        <v>0</v>
      </c>
      <c r="CW51" s="433"/>
      <c r="CX51" s="434" t="str">
        <f aca="false">IFERROR(CR51/CW51-1, "-")</f>
        <v>-</v>
      </c>
      <c r="CY51" s="425"/>
      <c r="CZ51" s="437"/>
      <c r="DA51" s="433"/>
      <c r="DB51" s="433"/>
      <c r="DC51" s="433"/>
      <c r="DD51" s="433"/>
      <c r="DE51" s="434"/>
      <c r="DF51" s="434"/>
      <c r="DG51" s="438"/>
      <c r="DH51" s="438"/>
      <c r="DI51" s="413"/>
      <c r="DJ51" s="117" t="n">
        <f aca="false">SUM(D51,J51,P51,V51,AD51,AL51,AU51,BC51,BK51,BT51,CB51,CJ51)-CR51</f>
        <v>0</v>
      </c>
      <c r="DK51" s="117" t="n">
        <f aca="false">SUM(E51,K51,Q51,W51,AE51,AM51,AV51,BD51,BL51,BU51,CC51,CK51)-CS51</f>
        <v>0</v>
      </c>
      <c r="DL51" s="117" t="n">
        <f aca="false">SUM(G51,M51,S51,AA51,AI51,AR51,AZ51,BH51,BQ51,BY51,CG51,CO51)-CW51</f>
        <v>0</v>
      </c>
      <c r="DM51" s="117" t="n">
        <f aca="false">SUM(D51,J51,P51,V51,AD51,AL51,AU51,BC51,,BN51,BV51,CD51,CL51)-CT51</f>
        <v>0</v>
      </c>
      <c r="DN51" s="413"/>
      <c r="DO51" s="413"/>
      <c r="DP51" s="439" t="n">
        <v>0</v>
      </c>
      <c r="DQ51" s="415" t="n">
        <f aca="false">-CR51+DP51/10^6</f>
        <v>0</v>
      </c>
      <c r="DR51" s="117" t="n">
        <f aca="false">SUM(E51,K51,Q51,W51,AE51,AM51,AV51,BD51,BL51,BU51,CC51,CK51)-CS51</f>
        <v>0</v>
      </c>
      <c r="DS51" s="117" t="n">
        <f aca="false">SUM(D51,J51,P51,V51,AD51,AL51,AU51,BC51,,BN51,BV51,CD51,CL51)-CT51</f>
        <v>0</v>
      </c>
      <c r="DT51" s="416"/>
      <c r="DU51" s="440" t="n">
        <v>0</v>
      </c>
      <c r="DV51" s="418" t="n">
        <f aca="false">DU51-CJ51</f>
        <v>0</v>
      </c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  <c r="EB51" s="419"/>
    </row>
    <row r="52" s="441" customFormat="true" ht="19.5" hidden="true" customHeight="true" outlineLevel="1" collapsed="false">
      <c r="A52" s="286"/>
      <c r="B52" s="430" t="s">
        <v>184</v>
      </c>
      <c r="C52" s="431" t="s">
        <v>185</v>
      </c>
      <c r="D52" s="470"/>
      <c r="E52" s="433"/>
      <c r="F52" s="433"/>
      <c r="G52" s="471"/>
      <c r="H52" s="462"/>
      <c r="I52" s="422"/>
      <c r="J52" s="478"/>
      <c r="K52" s="433"/>
      <c r="L52" s="433"/>
      <c r="M52" s="471"/>
      <c r="N52" s="462"/>
      <c r="O52" s="435"/>
      <c r="P52" s="472"/>
      <c r="Q52" s="433"/>
      <c r="R52" s="433"/>
      <c r="S52" s="471"/>
      <c r="T52" s="462"/>
      <c r="U52" s="423"/>
      <c r="V52" s="472"/>
      <c r="W52" s="433"/>
      <c r="X52" s="433"/>
      <c r="Y52" s="433"/>
      <c r="Z52" s="433"/>
      <c r="AA52" s="471"/>
      <c r="AB52" s="462"/>
      <c r="AC52" s="435"/>
      <c r="AD52" s="472"/>
      <c r="AE52" s="433"/>
      <c r="AF52" s="433"/>
      <c r="AG52" s="433"/>
      <c r="AH52" s="433"/>
      <c r="AI52" s="471"/>
      <c r="AJ52" s="462"/>
      <c r="AK52" s="435"/>
      <c r="AL52" s="472"/>
      <c r="AM52" s="433"/>
      <c r="AN52" s="433"/>
      <c r="AO52" s="433"/>
      <c r="AP52" s="433"/>
      <c r="AQ52" s="433"/>
      <c r="AR52" s="471"/>
      <c r="AS52" s="462"/>
      <c r="AT52" s="424"/>
      <c r="AU52" s="472"/>
      <c r="AV52" s="433"/>
      <c r="AW52" s="433"/>
      <c r="AX52" s="433"/>
      <c r="AY52" s="433"/>
      <c r="AZ52" s="471"/>
      <c r="BA52" s="462"/>
      <c r="BB52" s="435"/>
      <c r="BC52" s="472"/>
      <c r="BD52" s="433"/>
      <c r="BE52" s="433"/>
      <c r="BF52" s="433"/>
      <c r="BG52" s="433"/>
      <c r="BH52" s="471"/>
      <c r="BI52" s="462"/>
      <c r="BJ52" s="436"/>
      <c r="BK52" s="472"/>
      <c r="BL52" s="433"/>
      <c r="BM52" s="433"/>
      <c r="BN52" s="433"/>
      <c r="BO52" s="433"/>
      <c r="BP52" s="433"/>
      <c r="BQ52" s="471"/>
      <c r="BR52" s="462"/>
      <c r="BS52" s="436"/>
      <c r="BT52" s="472"/>
      <c r="BU52" s="433"/>
      <c r="BV52" s="433"/>
      <c r="BW52" s="433"/>
      <c r="BX52" s="433"/>
      <c r="BY52" s="471"/>
      <c r="BZ52" s="462"/>
      <c r="CA52" s="373"/>
      <c r="CB52" s="472"/>
      <c r="CC52" s="433"/>
      <c r="CD52" s="433"/>
      <c r="CE52" s="433"/>
      <c r="CF52" s="433"/>
      <c r="CG52" s="471"/>
      <c r="CH52" s="462"/>
      <c r="CI52" s="373"/>
      <c r="CJ52" s="472"/>
      <c r="CK52" s="433"/>
      <c r="CL52" s="433"/>
      <c r="CM52" s="433"/>
      <c r="CN52" s="433"/>
      <c r="CO52" s="471"/>
      <c r="CP52" s="462"/>
      <c r="CQ52" s="435"/>
      <c r="CR52" s="432"/>
      <c r="CS52" s="433"/>
      <c r="CT52" s="433"/>
      <c r="CU52" s="433" t="n">
        <f aca="false">+CR52-CS52</f>
        <v>0</v>
      </c>
      <c r="CV52" s="433" t="n">
        <f aca="false">+CR52-CT52</f>
        <v>0</v>
      </c>
      <c r="CW52" s="433"/>
      <c r="CX52" s="434" t="str">
        <f aca="false">IFERROR(CR52/CW52-1, "-")</f>
        <v>-</v>
      </c>
      <c r="CY52" s="425"/>
      <c r="CZ52" s="437"/>
      <c r="DA52" s="433"/>
      <c r="DB52" s="433"/>
      <c r="DC52" s="433"/>
      <c r="DD52" s="433"/>
      <c r="DE52" s="434"/>
      <c r="DF52" s="434"/>
      <c r="DG52" s="438"/>
      <c r="DH52" s="438"/>
      <c r="DI52" s="413"/>
      <c r="DJ52" s="117" t="n">
        <f aca="false">SUM(D52,J52,P52,V52,AD52,AL52,AU52,BC52,BK52,BT52,CB52,CJ52)-CR52</f>
        <v>0</v>
      </c>
      <c r="DK52" s="117" t="n">
        <f aca="false">SUM(E52,K52,Q52,W52,AE52,AM52,AV52,BD52,BL52,BU52,CC52,CK52)-CS52</f>
        <v>0</v>
      </c>
      <c r="DL52" s="117" t="n">
        <f aca="false">SUM(G52,M52,S52,AA52,AI52,AR52,AZ52,BH52,BQ52,BY52,CG52,CO52)-CW52</f>
        <v>0</v>
      </c>
      <c r="DM52" s="117" t="n">
        <f aca="false">SUM(D52,J52,P52,V52,AD52,AL52,AU52,BC52,,BN52,BV52,CD52,CL52)-CT52</f>
        <v>0</v>
      </c>
      <c r="DN52" s="413"/>
      <c r="DO52" s="413"/>
      <c r="DP52" s="479" t="e">
        <f aca="false">#VALUE!</f>
        <v>#VALUE!</v>
      </c>
      <c r="DQ52" s="415" t="e">
        <f aca="false">-CR52+DP52/10^6</f>
        <v>#VALUE!</v>
      </c>
      <c r="DR52" s="117" t="n">
        <f aca="false">SUM(E52,K52,Q52,W52,AE52,AM52,AV52,BD52,BL52,BU52,CC52,CK52)-CS52</f>
        <v>0</v>
      </c>
      <c r="DS52" s="117" t="n">
        <f aca="false">SUM(D52,J52,P52,V52,AD52,AL52,AU52,BC52,,BN52,BV52,CD52,CL52)-CT52</f>
        <v>0</v>
      </c>
      <c r="DT52" s="416"/>
      <c r="DU52" s="440" t="n">
        <v>76.338363</v>
      </c>
      <c r="DV52" s="418" t="n">
        <f aca="false">DU52-CJ52</f>
        <v>76.338363</v>
      </c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  <c r="EB52" s="419"/>
    </row>
    <row r="53" s="441" customFormat="true" ht="19.5" hidden="true" customHeight="true" outlineLevel="1" collapsed="false">
      <c r="A53" s="286"/>
      <c r="B53" s="430" t="s">
        <v>186</v>
      </c>
      <c r="C53" s="431" t="s">
        <v>187</v>
      </c>
      <c r="D53" s="432"/>
      <c r="E53" s="433"/>
      <c r="F53" s="433"/>
      <c r="G53" s="433"/>
      <c r="H53" s="434"/>
      <c r="I53" s="422"/>
      <c r="J53" s="432"/>
      <c r="K53" s="433"/>
      <c r="L53" s="433"/>
      <c r="M53" s="433"/>
      <c r="N53" s="434"/>
      <c r="O53" s="435"/>
      <c r="P53" s="432"/>
      <c r="Q53" s="433"/>
      <c r="R53" s="433"/>
      <c r="S53" s="433"/>
      <c r="T53" s="434"/>
      <c r="U53" s="423"/>
      <c r="V53" s="432"/>
      <c r="W53" s="433"/>
      <c r="X53" s="433"/>
      <c r="Y53" s="433"/>
      <c r="Z53" s="433"/>
      <c r="AA53" s="433"/>
      <c r="AB53" s="434"/>
      <c r="AC53" s="435"/>
      <c r="AD53" s="432"/>
      <c r="AE53" s="433"/>
      <c r="AF53" s="433"/>
      <c r="AG53" s="433"/>
      <c r="AH53" s="433"/>
      <c r="AI53" s="433"/>
      <c r="AJ53" s="434"/>
      <c r="AK53" s="435"/>
      <c r="AL53" s="432"/>
      <c r="AM53" s="433"/>
      <c r="AN53" s="433"/>
      <c r="AO53" s="433"/>
      <c r="AP53" s="433"/>
      <c r="AQ53" s="433"/>
      <c r="AR53" s="433"/>
      <c r="AS53" s="434"/>
      <c r="AT53" s="424"/>
      <c r="AU53" s="432"/>
      <c r="AV53" s="433"/>
      <c r="AW53" s="433"/>
      <c r="AX53" s="433"/>
      <c r="AY53" s="433"/>
      <c r="AZ53" s="433"/>
      <c r="BA53" s="434"/>
      <c r="BB53" s="435"/>
      <c r="BC53" s="432"/>
      <c r="BD53" s="433"/>
      <c r="BE53" s="433"/>
      <c r="BF53" s="433"/>
      <c r="BG53" s="433"/>
      <c r="BH53" s="433"/>
      <c r="BI53" s="434"/>
      <c r="BJ53" s="436"/>
      <c r="BK53" s="432"/>
      <c r="BL53" s="433"/>
      <c r="BM53" s="433"/>
      <c r="BN53" s="433"/>
      <c r="BO53" s="433"/>
      <c r="BP53" s="433"/>
      <c r="BQ53" s="433"/>
      <c r="BR53" s="434"/>
      <c r="BS53" s="436"/>
      <c r="BT53" s="432"/>
      <c r="BU53" s="433"/>
      <c r="BV53" s="433"/>
      <c r="BW53" s="433"/>
      <c r="BX53" s="433"/>
      <c r="BY53" s="433"/>
      <c r="BZ53" s="434"/>
      <c r="CA53" s="373"/>
      <c r="CB53" s="432"/>
      <c r="CC53" s="433"/>
      <c r="CD53" s="433"/>
      <c r="CE53" s="433"/>
      <c r="CF53" s="433"/>
      <c r="CG53" s="433"/>
      <c r="CH53" s="434"/>
      <c r="CI53" s="373"/>
      <c r="CJ53" s="432"/>
      <c r="CK53" s="433"/>
      <c r="CL53" s="433"/>
      <c r="CM53" s="433"/>
      <c r="CN53" s="433"/>
      <c r="CO53" s="433"/>
      <c r="CP53" s="434"/>
      <c r="CQ53" s="435"/>
      <c r="CR53" s="432"/>
      <c r="CS53" s="433"/>
      <c r="CT53" s="433"/>
      <c r="CU53" s="433" t="n">
        <f aca="false">+CR53-CS53</f>
        <v>0</v>
      </c>
      <c r="CV53" s="433" t="n">
        <f aca="false">+CR53-CT53</f>
        <v>0</v>
      </c>
      <c r="CW53" s="433"/>
      <c r="CX53" s="434" t="str">
        <f aca="false">IFERROR(CR53/CW53-1, "-")</f>
        <v>-</v>
      </c>
      <c r="CY53" s="425"/>
      <c r="CZ53" s="437"/>
      <c r="DA53" s="433"/>
      <c r="DB53" s="433"/>
      <c r="DC53" s="433"/>
      <c r="DD53" s="433"/>
      <c r="DE53" s="434"/>
      <c r="DF53" s="434"/>
      <c r="DG53" s="438"/>
      <c r="DH53" s="438"/>
      <c r="DI53" s="413"/>
      <c r="DJ53" s="117" t="n">
        <f aca="false">SUM(D53,J53,P53,V53,AD53,AL53,AU53,BC53,BK53,BT53,CB53,CJ53)-CR53</f>
        <v>0</v>
      </c>
      <c r="DK53" s="117" t="n">
        <f aca="false">SUM(E53,K53,Q53,W53,AE53,AM53,AV53,BD53,BL53,BU53,CC53,CK53)-CS53</f>
        <v>0</v>
      </c>
      <c r="DL53" s="117" t="n">
        <f aca="false">SUM(G53,M53,S53,AA53,AI53,AR53,AZ53,BH53,BQ53,BY53,CG53,CO53)-CW53</f>
        <v>0</v>
      </c>
      <c r="DM53" s="117" t="n">
        <f aca="false">SUM(D53,J53,P53,V53,AD53,AL53,AU53,BC53,,BN53,BV53,CD53,CL53)-CT53</f>
        <v>0</v>
      </c>
      <c r="DN53" s="413"/>
      <c r="DO53" s="413"/>
      <c r="DP53" s="439" t="n">
        <v>0</v>
      </c>
      <c r="DQ53" s="415" t="n">
        <f aca="false">-CR53+DP53/10^6</f>
        <v>0</v>
      </c>
      <c r="DR53" s="117" t="n">
        <f aca="false">SUM(E53,K53,Q53,W53,AE53,AM53,AV53,BD53,BL53,BU53,CC53,CK53)-CS53</f>
        <v>0</v>
      </c>
      <c r="DS53" s="117" t="n">
        <f aca="false">SUM(D53,J53,P53,V53,AD53,AL53,AU53,BC53,,BN53,BV53,CD53,CL53)-CT53</f>
        <v>0</v>
      </c>
      <c r="DT53" s="416"/>
      <c r="DU53" s="440" t="n">
        <v>0</v>
      </c>
      <c r="DV53" s="418" t="n">
        <f aca="false">DU53-CJ53</f>
        <v>0</v>
      </c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  <c r="EB53" s="419"/>
    </row>
    <row r="54" s="441" customFormat="true" ht="19.5" hidden="true" customHeight="true" outlineLevel="1" collapsed="false">
      <c r="A54" s="286"/>
      <c r="B54" s="430" t="s">
        <v>188</v>
      </c>
      <c r="C54" s="431" t="s">
        <v>189</v>
      </c>
      <c r="D54" s="432"/>
      <c r="E54" s="433"/>
      <c r="F54" s="433"/>
      <c r="G54" s="433"/>
      <c r="H54" s="434"/>
      <c r="I54" s="422"/>
      <c r="J54" s="432"/>
      <c r="K54" s="433"/>
      <c r="L54" s="433"/>
      <c r="M54" s="433"/>
      <c r="N54" s="434"/>
      <c r="O54" s="435"/>
      <c r="P54" s="432"/>
      <c r="Q54" s="433"/>
      <c r="R54" s="433"/>
      <c r="S54" s="433"/>
      <c r="T54" s="434"/>
      <c r="U54" s="423"/>
      <c r="V54" s="432"/>
      <c r="W54" s="433"/>
      <c r="X54" s="433"/>
      <c r="Y54" s="433"/>
      <c r="Z54" s="433"/>
      <c r="AA54" s="433"/>
      <c r="AB54" s="434"/>
      <c r="AC54" s="435"/>
      <c r="AD54" s="432"/>
      <c r="AE54" s="433"/>
      <c r="AF54" s="433"/>
      <c r="AG54" s="433"/>
      <c r="AH54" s="433"/>
      <c r="AI54" s="433"/>
      <c r="AJ54" s="434"/>
      <c r="AK54" s="435"/>
      <c r="AL54" s="432"/>
      <c r="AM54" s="433"/>
      <c r="AN54" s="433"/>
      <c r="AO54" s="433"/>
      <c r="AP54" s="433"/>
      <c r="AQ54" s="433"/>
      <c r="AR54" s="433"/>
      <c r="AS54" s="434"/>
      <c r="AT54" s="424"/>
      <c r="AU54" s="432"/>
      <c r="AV54" s="433"/>
      <c r="AW54" s="433"/>
      <c r="AX54" s="433"/>
      <c r="AY54" s="433"/>
      <c r="AZ54" s="433"/>
      <c r="BA54" s="434"/>
      <c r="BB54" s="435"/>
      <c r="BC54" s="432"/>
      <c r="BD54" s="433"/>
      <c r="BE54" s="433"/>
      <c r="BF54" s="433"/>
      <c r="BG54" s="433"/>
      <c r="BH54" s="433"/>
      <c r="BI54" s="434"/>
      <c r="BJ54" s="436"/>
      <c r="BK54" s="432"/>
      <c r="BL54" s="433"/>
      <c r="BM54" s="433"/>
      <c r="BN54" s="433"/>
      <c r="BO54" s="433"/>
      <c r="BP54" s="433"/>
      <c r="BQ54" s="433"/>
      <c r="BR54" s="434"/>
      <c r="BS54" s="436"/>
      <c r="BT54" s="432"/>
      <c r="BU54" s="433"/>
      <c r="BV54" s="433"/>
      <c r="BW54" s="433"/>
      <c r="BX54" s="433"/>
      <c r="BY54" s="433"/>
      <c r="BZ54" s="434"/>
      <c r="CA54" s="373"/>
      <c r="CB54" s="432"/>
      <c r="CC54" s="433"/>
      <c r="CD54" s="433"/>
      <c r="CE54" s="433"/>
      <c r="CF54" s="433"/>
      <c r="CG54" s="433"/>
      <c r="CH54" s="434"/>
      <c r="CI54" s="373"/>
      <c r="CJ54" s="432"/>
      <c r="CK54" s="433"/>
      <c r="CL54" s="433"/>
      <c r="CM54" s="433"/>
      <c r="CN54" s="433"/>
      <c r="CO54" s="433"/>
      <c r="CP54" s="434"/>
      <c r="CQ54" s="435"/>
      <c r="CR54" s="432"/>
      <c r="CS54" s="433"/>
      <c r="CT54" s="433"/>
      <c r="CU54" s="433" t="n">
        <f aca="false">+CR54-CS54</f>
        <v>0</v>
      </c>
      <c r="CV54" s="433" t="n">
        <f aca="false">+CR54-CT54</f>
        <v>0</v>
      </c>
      <c r="CW54" s="433"/>
      <c r="CX54" s="434" t="str">
        <f aca="false">IFERROR(CR54/CW54-1, "-")</f>
        <v>-</v>
      </c>
      <c r="CY54" s="425"/>
      <c r="CZ54" s="437"/>
      <c r="DA54" s="433"/>
      <c r="DB54" s="433"/>
      <c r="DC54" s="433"/>
      <c r="DD54" s="433"/>
      <c r="DE54" s="434"/>
      <c r="DF54" s="434"/>
      <c r="DG54" s="438"/>
      <c r="DH54" s="438"/>
      <c r="DI54" s="413"/>
      <c r="DJ54" s="117" t="n">
        <f aca="false">SUM(D54,J54,P54,V54,AD54,AL54,AU54,BC54,BK54,BT54,CB54,CJ54)-CR54</f>
        <v>0</v>
      </c>
      <c r="DK54" s="117" t="n">
        <f aca="false">SUM(E54,K54,Q54,W54,AE54,AM54,AV54,BD54,BL54,BU54,CC54,CK54)-CS54</f>
        <v>0</v>
      </c>
      <c r="DL54" s="117" t="n">
        <f aca="false">SUM(G54,M54,S54,AA54,AI54,AR54,AZ54,BH54,BQ54,BY54,CG54,CO54)-CW54</f>
        <v>0</v>
      </c>
      <c r="DM54" s="117" t="n">
        <f aca="false">SUM(D54,J54,P54,V54,AD54,AL54,AU54,BC54,,BN54,BV54,CD54,CL54)-CT54</f>
        <v>0</v>
      </c>
      <c r="DN54" s="413"/>
      <c r="DO54" s="413"/>
      <c r="DP54" s="439"/>
      <c r="DQ54" s="415" t="n">
        <f aca="false">-CR54+DP54/10^6</f>
        <v>0</v>
      </c>
      <c r="DR54" s="117" t="n">
        <f aca="false">SUM(E54,K54,Q54,W54,AE54,AM54,AV54,BD54,BL54,BU54,CC54,CK54)-CS54</f>
        <v>0</v>
      </c>
      <c r="DS54" s="117" t="n">
        <f aca="false">SUM(D54,J54,P54,V54,AD54,AL54,AU54,BC54,,BN54,BV54,CD54,CL54)-CT54</f>
        <v>0</v>
      </c>
      <c r="DT54" s="416"/>
      <c r="DU54" s="440"/>
      <c r="DV54" s="418" t="n">
        <f aca="false">DU54-CJ54</f>
        <v>0</v>
      </c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  <c r="EB54" s="419"/>
    </row>
    <row r="55" s="441" customFormat="true" ht="19.5" hidden="true" customHeight="true" outlineLevel="1" collapsed="false">
      <c r="A55" s="286"/>
      <c r="B55" s="430" t="s">
        <v>190</v>
      </c>
      <c r="C55" s="431" t="s">
        <v>191</v>
      </c>
      <c r="D55" s="480"/>
      <c r="E55" s="433"/>
      <c r="F55" s="433"/>
      <c r="G55" s="433"/>
      <c r="H55" s="434"/>
      <c r="I55" s="422"/>
      <c r="J55" s="480"/>
      <c r="K55" s="433"/>
      <c r="L55" s="433"/>
      <c r="M55" s="433"/>
      <c r="N55" s="434"/>
      <c r="O55" s="435"/>
      <c r="P55" s="480"/>
      <c r="Q55" s="433"/>
      <c r="R55" s="433"/>
      <c r="S55" s="433"/>
      <c r="T55" s="434"/>
      <c r="U55" s="423"/>
      <c r="V55" s="480"/>
      <c r="W55" s="433"/>
      <c r="X55" s="433"/>
      <c r="Y55" s="433"/>
      <c r="Z55" s="433"/>
      <c r="AA55" s="433"/>
      <c r="AB55" s="434"/>
      <c r="AC55" s="435"/>
      <c r="AD55" s="480"/>
      <c r="AE55" s="433"/>
      <c r="AF55" s="433"/>
      <c r="AG55" s="433"/>
      <c r="AH55" s="433"/>
      <c r="AI55" s="433"/>
      <c r="AJ55" s="434"/>
      <c r="AK55" s="435"/>
      <c r="AL55" s="480"/>
      <c r="AM55" s="433"/>
      <c r="AN55" s="433"/>
      <c r="AO55" s="433"/>
      <c r="AP55" s="433"/>
      <c r="AQ55" s="433"/>
      <c r="AR55" s="433"/>
      <c r="AS55" s="434"/>
      <c r="AT55" s="424"/>
      <c r="AU55" s="480"/>
      <c r="AV55" s="433"/>
      <c r="AW55" s="433"/>
      <c r="AX55" s="433"/>
      <c r="AY55" s="433"/>
      <c r="AZ55" s="433"/>
      <c r="BA55" s="434"/>
      <c r="BB55" s="435"/>
      <c r="BC55" s="480"/>
      <c r="BD55" s="433"/>
      <c r="BE55" s="433"/>
      <c r="BF55" s="433"/>
      <c r="BG55" s="433"/>
      <c r="BH55" s="433"/>
      <c r="BI55" s="434"/>
      <c r="BJ55" s="436"/>
      <c r="BK55" s="480"/>
      <c r="BL55" s="433"/>
      <c r="BM55" s="433"/>
      <c r="BN55" s="433"/>
      <c r="BO55" s="433"/>
      <c r="BP55" s="433"/>
      <c r="BQ55" s="433"/>
      <c r="BR55" s="434"/>
      <c r="BS55" s="436"/>
      <c r="BT55" s="480"/>
      <c r="BU55" s="433"/>
      <c r="BV55" s="433"/>
      <c r="BW55" s="433"/>
      <c r="BX55" s="433"/>
      <c r="BY55" s="433"/>
      <c r="BZ55" s="434"/>
      <c r="CA55" s="373"/>
      <c r="CB55" s="480"/>
      <c r="CC55" s="433"/>
      <c r="CD55" s="433"/>
      <c r="CE55" s="433"/>
      <c r="CF55" s="433"/>
      <c r="CG55" s="433"/>
      <c r="CH55" s="434"/>
      <c r="CI55" s="373"/>
      <c r="CJ55" s="480"/>
      <c r="CK55" s="433"/>
      <c r="CL55" s="433"/>
      <c r="CM55" s="433"/>
      <c r="CN55" s="433"/>
      <c r="CO55" s="433"/>
      <c r="CP55" s="434"/>
      <c r="CQ55" s="435"/>
      <c r="CR55" s="432"/>
      <c r="CS55" s="433"/>
      <c r="CT55" s="433"/>
      <c r="CU55" s="433" t="n">
        <f aca="false">+CR55-CS55</f>
        <v>0</v>
      </c>
      <c r="CV55" s="433" t="n">
        <f aca="false">+CR55-CT55</f>
        <v>0</v>
      </c>
      <c r="CW55" s="433"/>
      <c r="CX55" s="434" t="str">
        <f aca="false">IFERROR(CR55/CW55-1, "-")</f>
        <v>-</v>
      </c>
      <c r="CY55" s="425"/>
      <c r="CZ55" s="437"/>
      <c r="DA55" s="433"/>
      <c r="DB55" s="433"/>
      <c r="DC55" s="433"/>
      <c r="DD55" s="433"/>
      <c r="DE55" s="434"/>
      <c r="DF55" s="434"/>
      <c r="DG55" s="438"/>
      <c r="DH55" s="438"/>
      <c r="DI55" s="413"/>
      <c r="DJ55" s="117" t="n">
        <f aca="false">SUM(D55,J55,P55,V55,AD55,AL55,AU55,BC55,BK55,BT55,CB55,CJ55)-CR55</f>
        <v>0</v>
      </c>
      <c r="DK55" s="117" t="n">
        <f aca="false">SUM(E55,K55,Q55,W55,AE55,AM55,AV55,BD55,BL55,BU55,CC55,CK55)-CS55</f>
        <v>0</v>
      </c>
      <c r="DL55" s="117" t="n">
        <f aca="false">SUM(G55,M55,S55,AA55,AI55,AR55,AZ55,BH55,BQ55,BY55,CG55,CO55)-CW55</f>
        <v>0</v>
      </c>
      <c r="DM55" s="117" t="n">
        <f aca="false">SUM(D55,J55,P55,V55,AD55,AL55,AU55,BC55,,BN55,BV55,CD55,CL55)-CT55</f>
        <v>0</v>
      </c>
      <c r="DN55" s="413"/>
      <c r="DO55" s="413"/>
      <c r="DP55" s="481" t="n">
        <v>-14212630</v>
      </c>
      <c r="DQ55" s="415" t="n">
        <f aca="false">-CR55+DP55/10^6</f>
        <v>-14.21263</v>
      </c>
      <c r="DR55" s="117" t="n">
        <f aca="false">SUM(E55,K55,Q55,W55,AE55,AM55,AV55,BD55,BL55,BU55,CC55,CK55)-CS55</f>
        <v>0</v>
      </c>
      <c r="DS55" s="117" t="n">
        <f aca="false">SUM(D55,J55,P55,V55,AD55,AL55,AU55,BC55,,BN55,BV55,CD55,CL55)-CT55</f>
        <v>0</v>
      </c>
      <c r="DT55" s="416"/>
      <c r="DU55" s="440" t="n">
        <v>0</v>
      </c>
      <c r="DV55" s="418" t="n">
        <f aca="false">DU55-CJ55</f>
        <v>0</v>
      </c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  <c r="EB55" s="419"/>
    </row>
    <row r="56" customFormat="false" ht="3" hidden="false" customHeight="true" outlineLevel="0" collapsed="false">
      <c r="B56" s="420"/>
      <c r="C56" s="398" t="s">
        <v>192</v>
      </c>
      <c r="D56" s="281"/>
      <c r="E56" s="144"/>
      <c r="F56" s="144"/>
      <c r="G56" s="144"/>
      <c r="H56" s="245"/>
      <c r="I56" s="422"/>
      <c r="J56" s="281"/>
      <c r="K56" s="144"/>
      <c r="L56" s="144"/>
      <c r="M56" s="144"/>
      <c r="N56" s="245"/>
      <c r="O56" s="422"/>
      <c r="P56" s="281"/>
      <c r="Q56" s="144"/>
      <c r="R56" s="144"/>
      <c r="S56" s="144"/>
      <c r="T56" s="245"/>
      <c r="U56" s="423"/>
      <c r="V56" s="281"/>
      <c r="W56" s="144"/>
      <c r="X56" s="144"/>
      <c r="Y56" s="144"/>
      <c r="Z56" s="144"/>
      <c r="AA56" s="144"/>
      <c r="AB56" s="245"/>
      <c r="AC56" s="422"/>
      <c r="AD56" s="281"/>
      <c r="AE56" s="144"/>
      <c r="AF56" s="144"/>
      <c r="AG56" s="144"/>
      <c r="AH56" s="144"/>
      <c r="AI56" s="144"/>
      <c r="AJ56" s="245"/>
      <c r="AK56" s="422"/>
      <c r="AL56" s="281"/>
      <c r="AM56" s="144"/>
      <c r="AN56" s="144"/>
      <c r="AO56" s="144"/>
      <c r="AP56" s="144"/>
      <c r="AQ56" s="144"/>
      <c r="AR56" s="144"/>
      <c r="AS56" s="245"/>
      <c r="AT56" s="424"/>
      <c r="AU56" s="281"/>
      <c r="AV56" s="144"/>
      <c r="AW56" s="144"/>
      <c r="AX56" s="144"/>
      <c r="AY56" s="144"/>
      <c r="AZ56" s="144"/>
      <c r="BA56" s="245"/>
      <c r="BB56" s="422"/>
      <c r="BC56" s="281"/>
      <c r="BD56" s="144"/>
      <c r="BE56" s="144"/>
      <c r="BF56" s="144"/>
      <c r="BG56" s="144"/>
      <c r="BH56" s="144"/>
      <c r="BI56" s="245"/>
      <c r="BJ56" s="423"/>
      <c r="BK56" s="281"/>
      <c r="BL56" s="144"/>
      <c r="BM56" s="144"/>
      <c r="BN56" s="144"/>
      <c r="BO56" s="144"/>
      <c r="BP56" s="144"/>
      <c r="BQ56" s="144"/>
      <c r="BR56" s="245"/>
      <c r="BS56" s="423"/>
      <c r="BT56" s="281"/>
      <c r="BU56" s="144"/>
      <c r="BV56" s="144"/>
      <c r="BW56" s="144"/>
      <c r="BX56" s="144"/>
      <c r="BY56" s="144"/>
      <c r="BZ56" s="245"/>
      <c r="CA56" s="373"/>
      <c r="CB56" s="281"/>
      <c r="CC56" s="144"/>
      <c r="CD56" s="144"/>
      <c r="CE56" s="144"/>
      <c r="CF56" s="144"/>
      <c r="CG56" s="144"/>
      <c r="CH56" s="245"/>
      <c r="CI56" s="373"/>
      <c r="CJ56" s="281"/>
      <c r="CK56" s="144"/>
      <c r="CL56" s="144"/>
      <c r="CM56" s="144"/>
      <c r="CN56" s="144"/>
      <c r="CO56" s="144"/>
      <c r="CP56" s="245"/>
      <c r="CQ56" s="422"/>
      <c r="CR56" s="281"/>
      <c r="CS56" s="144"/>
      <c r="CT56" s="144"/>
      <c r="CU56" s="144"/>
      <c r="CV56" s="144"/>
      <c r="CW56" s="144"/>
      <c r="CX56" s="245" t="str">
        <f aca="false">IFERROR(CR56/CW56-1, "-")</f>
        <v>-</v>
      </c>
      <c r="CY56" s="425"/>
      <c r="CZ56" s="426"/>
      <c r="DA56" s="144"/>
      <c r="DB56" s="144"/>
      <c r="DC56" s="144"/>
      <c r="DD56" s="144"/>
      <c r="DE56" s="245"/>
      <c r="DF56" s="245"/>
      <c r="DG56" s="427"/>
      <c r="DH56" s="427"/>
      <c r="DI56" s="413"/>
      <c r="DJ56" s="117" t="n">
        <f aca="false">SUM(D56,J56,P56,V56,AD56,AL56,AU56,BC56,BK56,BT56,CB56,CJ56)-CR56</f>
        <v>0</v>
      </c>
      <c r="DK56" s="117" t="n">
        <f aca="false">SUM(E56,K56,Q56,W56,AE56,AM56,AV56,BD56,BL56,BU56,CC56,CK56)-CS56</f>
        <v>0</v>
      </c>
      <c r="DL56" s="117" t="n">
        <f aca="false">SUM(G56,M56,S56,AA56,AI56,AR56,AZ56,BH56,BQ56,BY56,CG56,CO56)-CW56</f>
        <v>0</v>
      </c>
      <c r="DM56" s="117" t="n">
        <f aca="false">SUM(D56,J56,P56,V56,AD56,AL56,AU56,BC56,,BN56,BV56,CD56,CL56)-CT56</f>
        <v>0</v>
      </c>
      <c r="DN56" s="413"/>
      <c r="DO56" s="413"/>
      <c r="DP56" s="428"/>
      <c r="DQ56" s="415" t="n">
        <f aca="false">-CR56+DP56/10^6</f>
        <v>0</v>
      </c>
      <c r="DR56" s="117" t="n">
        <f aca="false">SUM(E56,K56,Q56,W56,AE56,AM56,AV56,BD56,BL56,BU56,CC56,CK56)-CS56</f>
        <v>0</v>
      </c>
      <c r="DS56" s="117" t="n">
        <f aca="false">SUM(D56,J56,P56,V56,AD56,AL56,AU56,BC56,,BN56,BV56,CD56,CL56)-CT56</f>
        <v>0</v>
      </c>
      <c r="DT56" s="416"/>
      <c r="DU56" s="417"/>
      <c r="DV56" s="418" t="n">
        <f aca="false">DU56-CJ56</f>
        <v>0</v>
      </c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  <c r="EB56" s="419"/>
    </row>
    <row r="57" customFormat="false" ht="22.5" hidden="false" customHeight="true" outlineLevel="0" collapsed="false">
      <c r="B57" s="429" t="s">
        <v>193</v>
      </c>
      <c r="C57" s="398" t="s">
        <v>194</v>
      </c>
      <c r="D57" s="399"/>
      <c r="E57" s="400"/>
      <c r="F57" s="400"/>
      <c r="G57" s="400"/>
      <c r="H57" s="401"/>
      <c r="I57" s="402"/>
      <c r="J57" s="399"/>
      <c r="K57" s="400"/>
      <c r="L57" s="400"/>
      <c r="M57" s="400"/>
      <c r="N57" s="401"/>
      <c r="O57" s="403"/>
      <c r="P57" s="399"/>
      <c r="Q57" s="400"/>
      <c r="R57" s="400"/>
      <c r="S57" s="400"/>
      <c r="T57" s="401"/>
      <c r="U57" s="404"/>
      <c r="V57" s="399"/>
      <c r="W57" s="400"/>
      <c r="X57" s="400"/>
      <c r="Y57" s="400"/>
      <c r="Z57" s="400"/>
      <c r="AA57" s="400"/>
      <c r="AB57" s="401"/>
      <c r="AC57" s="403"/>
      <c r="AD57" s="399"/>
      <c r="AE57" s="400"/>
      <c r="AF57" s="400"/>
      <c r="AG57" s="400"/>
      <c r="AH57" s="400"/>
      <c r="AI57" s="400"/>
      <c r="AJ57" s="401"/>
      <c r="AK57" s="403"/>
      <c r="AL57" s="399"/>
      <c r="AM57" s="400"/>
      <c r="AN57" s="400"/>
      <c r="AO57" s="400"/>
      <c r="AP57" s="400"/>
      <c r="AQ57" s="400"/>
      <c r="AR57" s="400"/>
      <c r="AS57" s="401"/>
      <c r="AT57" s="405"/>
      <c r="AU57" s="399"/>
      <c r="AV57" s="400"/>
      <c r="AW57" s="400"/>
      <c r="AX57" s="400"/>
      <c r="AY57" s="400"/>
      <c r="AZ57" s="400"/>
      <c r="BA57" s="401"/>
      <c r="BB57" s="403"/>
      <c r="BC57" s="399"/>
      <c r="BD57" s="400"/>
      <c r="BE57" s="400"/>
      <c r="BF57" s="400"/>
      <c r="BG57" s="400"/>
      <c r="BH57" s="400"/>
      <c r="BI57" s="401"/>
      <c r="BJ57" s="407"/>
      <c r="BK57" s="399"/>
      <c r="BL57" s="400"/>
      <c r="BM57" s="400"/>
      <c r="BN57" s="400"/>
      <c r="BO57" s="400"/>
      <c r="BP57" s="400"/>
      <c r="BQ57" s="400"/>
      <c r="BR57" s="401"/>
      <c r="BS57" s="407"/>
      <c r="BT57" s="399"/>
      <c r="BU57" s="400"/>
      <c r="BV57" s="399"/>
      <c r="BW57" s="400"/>
      <c r="BX57" s="400"/>
      <c r="BY57" s="400"/>
      <c r="BZ57" s="401"/>
      <c r="CA57" s="373"/>
      <c r="CB57" s="399"/>
      <c r="CC57" s="400"/>
      <c r="CD57" s="399"/>
      <c r="CE57" s="400"/>
      <c r="CF57" s="400"/>
      <c r="CG57" s="400"/>
      <c r="CH57" s="401"/>
      <c r="CI57" s="373"/>
      <c r="CJ57" s="399"/>
      <c r="CK57" s="400"/>
      <c r="CL57" s="399"/>
      <c r="CM57" s="400"/>
      <c r="CN57" s="400"/>
      <c r="CO57" s="400"/>
      <c r="CP57" s="401"/>
      <c r="CQ57" s="403"/>
      <c r="CR57" s="399"/>
      <c r="CS57" s="400"/>
      <c r="CT57" s="400"/>
      <c r="CU57" s="400" t="n">
        <f aca="false">+CR57-CS57</f>
        <v>0</v>
      </c>
      <c r="CV57" s="400" t="n">
        <f aca="false">+CR57-CT57</f>
        <v>0</v>
      </c>
      <c r="CW57" s="400"/>
      <c r="CX57" s="401" t="str">
        <f aca="false">IFERROR(CR57/CW57-1, "-")</f>
        <v>-</v>
      </c>
      <c r="CY57" s="410"/>
      <c r="CZ57" s="411"/>
      <c r="DA57" s="400"/>
      <c r="DB57" s="400"/>
      <c r="DC57" s="400"/>
      <c r="DD57" s="400"/>
      <c r="DE57" s="401" t="e">
        <f aca="false">+CZ57/DD57-1</f>
        <v>#DIV/0!</v>
      </c>
      <c r="DF57" s="401" t="e">
        <f aca="false">+DA57/DD57-1</f>
        <v>#DIV/0!</v>
      </c>
      <c r="DG57" s="412" t="e">
        <f aca="false">+DB57/DD57-1</f>
        <v>#DIV/0!</v>
      </c>
      <c r="DH57" s="412" t="e">
        <f aca="false">+DC57/DD57-1</f>
        <v>#DIV/0!</v>
      </c>
      <c r="DI57" s="413"/>
      <c r="DJ57" s="117" t="n">
        <f aca="false">SUM(D57,J57,P57,V57,AD57,AL57,AU57,BC57,BK57,BT57,CB57,CJ57)-CR57</f>
        <v>0</v>
      </c>
      <c r="DK57" s="117"/>
      <c r="DL57" s="117" t="n">
        <f aca="false">SUM(G57,M57,S57,AA57,AI57,AR57,AZ57,BH57,BQ57,BY57,CG57,CO57)-CW57</f>
        <v>0</v>
      </c>
      <c r="DM57" s="117" t="n">
        <f aca="false">SUM(D57,J57,P57,V57,AD57,AL57,AU57,BC57,,BN57,BV57,CD57,CL57)-CT57</f>
        <v>0</v>
      </c>
      <c r="DN57" s="413"/>
      <c r="DO57" s="413"/>
      <c r="DP57" s="414" t="n">
        <f aca="false">+DP58+DP79+DP97+DP100+DP106</f>
        <v>17775202009</v>
      </c>
      <c r="DQ57" s="415" t="n">
        <f aca="false">-CR57+DP57/10^6</f>
        <v>17775.202009</v>
      </c>
      <c r="DR57" s="117" t="n">
        <f aca="false">SUM(E57,K57,Q57,W57,AE57,AM57,AV57,BD57,BL57,BU57,CC57,CK57)-CS57</f>
        <v>0</v>
      </c>
      <c r="DS57" s="117" t="n">
        <f aca="false">SUM(D57,J57,P57,V57,AD57,AL57,AU57,BC57,,BN57,BV57,CD57,CL57)-CT57</f>
        <v>0</v>
      </c>
      <c r="DT57" s="416"/>
      <c r="DU57" s="417" t="n">
        <v>1613.654745</v>
      </c>
      <c r="DV57" s="418" t="n">
        <f aca="false">DU57-CJ57</f>
        <v>1613.654745</v>
      </c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  <c r="EB57" s="419"/>
    </row>
    <row r="58" customFormat="false" ht="15.75" hidden="false" customHeight="true" outlineLevel="0" collapsed="false">
      <c r="B58" s="482" t="s">
        <v>195</v>
      </c>
      <c r="C58" s="398" t="s">
        <v>196</v>
      </c>
      <c r="D58" s="281"/>
      <c r="E58" s="144"/>
      <c r="F58" s="144"/>
      <c r="G58" s="144"/>
      <c r="H58" s="245"/>
      <c r="I58" s="422"/>
      <c r="J58" s="281"/>
      <c r="K58" s="144"/>
      <c r="L58" s="144"/>
      <c r="M58" s="144"/>
      <c r="N58" s="245"/>
      <c r="O58" s="422"/>
      <c r="P58" s="281"/>
      <c r="Q58" s="144"/>
      <c r="R58" s="144"/>
      <c r="S58" s="144"/>
      <c r="T58" s="245"/>
      <c r="U58" s="423"/>
      <c r="V58" s="281"/>
      <c r="W58" s="144"/>
      <c r="X58" s="144"/>
      <c r="Y58" s="144"/>
      <c r="Z58" s="144"/>
      <c r="AA58" s="144"/>
      <c r="AB58" s="245"/>
      <c r="AC58" s="422"/>
      <c r="AD58" s="281"/>
      <c r="AE58" s="144"/>
      <c r="AF58" s="144"/>
      <c r="AG58" s="144"/>
      <c r="AH58" s="144"/>
      <c r="AI58" s="144"/>
      <c r="AJ58" s="245"/>
      <c r="AK58" s="422"/>
      <c r="AL58" s="281"/>
      <c r="AM58" s="144"/>
      <c r="AN58" s="144"/>
      <c r="AO58" s="144"/>
      <c r="AP58" s="144"/>
      <c r="AQ58" s="144"/>
      <c r="AR58" s="144"/>
      <c r="AS58" s="245"/>
      <c r="AT58" s="424"/>
      <c r="AU58" s="281"/>
      <c r="AV58" s="144"/>
      <c r="AW58" s="144"/>
      <c r="AX58" s="144"/>
      <c r="AY58" s="144"/>
      <c r="AZ58" s="144"/>
      <c r="BA58" s="245"/>
      <c r="BB58" s="422"/>
      <c r="BC58" s="281"/>
      <c r="BD58" s="144"/>
      <c r="BE58" s="144"/>
      <c r="BF58" s="144"/>
      <c r="BG58" s="144"/>
      <c r="BH58" s="144"/>
      <c r="BI58" s="245"/>
      <c r="BJ58" s="423"/>
      <c r="BK58" s="281"/>
      <c r="BL58" s="144"/>
      <c r="BM58" s="144"/>
      <c r="BN58" s="144"/>
      <c r="BO58" s="144"/>
      <c r="BP58" s="144"/>
      <c r="BQ58" s="144"/>
      <c r="BR58" s="245"/>
      <c r="BS58" s="423"/>
      <c r="BT58" s="281"/>
      <c r="BU58" s="144"/>
      <c r="BV58" s="281"/>
      <c r="BW58" s="144"/>
      <c r="BX58" s="144"/>
      <c r="BY58" s="144"/>
      <c r="BZ58" s="245"/>
      <c r="CA58" s="373"/>
      <c r="CB58" s="281"/>
      <c r="CC58" s="144"/>
      <c r="CD58" s="144"/>
      <c r="CE58" s="144"/>
      <c r="CF58" s="144"/>
      <c r="CG58" s="144"/>
      <c r="CH58" s="245"/>
      <c r="CI58" s="373"/>
      <c r="CJ58" s="281"/>
      <c r="CK58" s="144"/>
      <c r="CL58" s="144"/>
      <c r="CM58" s="144"/>
      <c r="CN58" s="144"/>
      <c r="CO58" s="144"/>
      <c r="CP58" s="245"/>
      <c r="CQ58" s="422"/>
      <c r="CR58" s="281"/>
      <c r="CS58" s="144"/>
      <c r="CT58" s="144"/>
      <c r="CU58" s="144" t="n">
        <f aca="false">+CR58-CS58</f>
        <v>0</v>
      </c>
      <c r="CV58" s="144" t="n">
        <f aca="false">+CR58-CT58</f>
        <v>0</v>
      </c>
      <c r="CW58" s="144"/>
      <c r="CX58" s="245" t="str">
        <f aca="false">IFERROR(CR58/CW58-1, "-")</f>
        <v>-</v>
      </c>
      <c r="CY58" s="425"/>
      <c r="CZ58" s="426"/>
      <c r="DA58" s="144"/>
      <c r="DB58" s="144"/>
      <c r="DC58" s="144"/>
      <c r="DD58" s="144"/>
      <c r="DE58" s="245" t="e">
        <f aca="false">+CZ58/DD58-1</f>
        <v>#DIV/0!</v>
      </c>
      <c r="DF58" s="245" t="e">
        <f aca="false">+DA58/DD58-1</f>
        <v>#DIV/0!</v>
      </c>
      <c r="DG58" s="427" t="e">
        <f aca="false">+DB58/DD58-1</f>
        <v>#DIV/0!</v>
      </c>
      <c r="DH58" s="427" t="e">
        <f aca="false">+DC58/DD58-1</f>
        <v>#DIV/0!</v>
      </c>
      <c r="DI58" s="413"/>
      <c r="DJ58" s="117" t="n">
        <f aca="false">SUM(D58,J58,P58,V58,AD58,AL58,AU58,BC58,BK58,BT58,CB58,CJ58)-CR58</f>
        <v>0</v>
      </c>
      <c r="DK58" s="117" t="n">
        <f aca="false">SUM(E58,K58,Q58,W58,AE58,AM58,AV58,BD58,BL58,BU58,CC58,CK58)-CS58</f>
        <v>0</v>
      </c>
      <c r="DL58" s="117" t="n">
        <f aca="false">SUM(G58,M58,S58,AA58,AI58,AR58,AZ58,BH58,BQ58,BY58,CG58,CO58)-CW58</f>
        <v>0</v>
      </c>
      <c r="DM58" s="117" t="n">
        <f aca="false">SUM(D58,J58,P58,V58,AD58,AL58,AU58,BC58,,BN58,BV58,CD58,CL58)-CT58</f>
        <v>0</v>
      </c>
      <c r="DN58" s="413"/>
      <c r="DO58" s="413"/>
      <c r="DP58" s="428" t="n">
        <f aca="false">SUM(DP59:DP78)</f>
        <v>8024349960</v>
      </c>
      <c r="DQ58" s="415" t="n">
        <f aca="false">-CR58+DP58/10^6</f>
        <v>8024.34996</v>
      </c>
      <c r="DR58" s="117" t="n">
        <f aca="false">SUM(E58,K58,Q58,W58,AE58,AM58,AV58,BD58,BL58,BU58,CC58,CK58)-CS58</f>
        <v>0</v>
      </c>
      <c r="DS58" s="117" t="n">
        <f aca="false">SUM(D58,J58,P58,V58,AD58,AL58,AU58,BC58,,BN58,BV58,CD58,CL58)-CT58</f>
        <v>0</v>
      </c>
      <c r="DT58" s="416"/>
      <c r="DU58" s="417" t="n">
        <v>722.662594</v>
      </c>
      <c r="DV58" s="418" t="n">
        <f aca="false">DU58-CJ58</f>
        <v>722.662594</v>
      </c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  <c r="EB58" s="419"/>
    </row>
    <row r="59" s="441" customFormat="true" ht="15.75" hidden="true" customHeight="true" outlineLevel="1" collapsed="false">
      <c r="A59" s="286"/>
      <c r="B59" s="444" t="s">
        <v>197</v>
      </c>
      <c r="C59" s="431" t="s">
        <v>198</v>
      </c>
      <c r="D59" s="432"/>
      <c r="E59" s="433"/>
      <c r="F59" s="433"/>
      <c r="G59" s="433"/>
      <c r="H59" s="434"/>
      <c r="I59" s="422"/>
      <c r="J59" s="432"/>
      <c r="K59" s="433"/>
      <c r="L59" s="433"/>
      <c r="M59" s="433"/>
      <c r="N59" s="434"/>
      <c r="O59" s="435"/>
      <c r="P59" s="432"/>
      <c r="Q59" s="433"/>
      <c r="R59" s="433"/>
      <c r="S59" s="433"/>
      <c r="T59" s="434"/>
      <c r="U59" s="423"/>
      <c r="V59" s="432"/>
      <c r="W59" s="433"/>
      <c r="X59" s="433"/>
      <c r="Y59" s="433"/>
      <c r="Z59" s="433"/>
      <c r="AA59" s="433"/>
      <c r="AB59" s="434"/>
      <c r="AC59" s="435"/>
      <c r="AD59" s="432"/>
      <c r="AE59" s="433"/>
      <c r="AF59" s="433"/>
      <c r="AG59" s="433"/>
      <c r="AH59" s="433"/>
      <c r="AI59" s="433"/>
      <c r="AJ59" s="434"/>
      <c r="AK59" s="435"/>
      <c r="AL59" s="432"/>
      <c r="AM59" s="433"/>
      <c r="AN59" s="433"/>
      <c r="AO59" s="433"/>
      <c r="AP59" s="433"/>
      <c r="AQ59" s="433"/>
      <c r="AR59" s="433"/>
      <c r="AS59" s="434"/>
      <c r="AT59" s="424"/>
      <c r="AU59" s="432"/>
      <c r="AV59" s="433"/>
      <c r="AW59" s="433"/>
      <c r="AX59" s="433"/>
      <c r="AY59" s="433"/>
      <c r="AZ59" s="433"/>
      <c r="BA59" s="434"/>
      <c r="BB59" s="435"/>
      <c r="BC59" s="281"/>
      <c r="BD59" s="144"/>
      <c r="BE59" s="144"/>
      <c r="BF59" s="144"/>
      <c r="BG59" s="144"/>
      <c r="BH59" s="433"/>
      <c r="BI59" s="434"/>
      <c r="BJ59" s="436"/>
      <c r="BK59" s="432"/>
      <c r="BL59" s="433"/>
      <c r="BM59" s="433"/>
      <c r="BN59" s="433"/>
      <c r="BO59" s="433"/>
      <c r="BP59" s="433"/>
      <c r="BQ59" s="433"/>
      <c r="BR59" s="434"/>
      <c r="BS59" s="436"/>
      <c r="BT59" s="432"/>
      <c r="BU59" s="433"/>
      <c r="BV59" s="433"/>
      <c r="BW59" s="433"/>
      <c r="BX59" s="433"/>
      <c r="BY59" s="433"/>
      <c r="BZ59" s="434"/>
      <c r="CA59" s="373"/>
      <c r="CB59" s="432"/>
      <c r="CC59" s="433"/>
      <c r="CD59" s="433"/>
      <c r="CE59" s="433"/>
      <c r="CF59" s="433"/>
      <c r="CG59" s="433"/>
      <c r="CH59" s="434"/>
      <c r="CI59" s="373"/>
      <c r="CJ59" s="432"/>
      <c r="CK59" s="433"/>
      <c r="CL59" s="433"/>
      <c r="CM59" s="433"/>
      <c r="CN59" s="433"/>
      <c r="CO59" s="433"/>
      <c r="CP59" s="434"/>
      <c r="CQ59" s="435"/>
      <c r="CR59" s="432"/>
      <c r="CS59" s="433"/>
      <c r="CT59" s="433"/>
      <c r="CU59" s="433" t="n">
        <f aca="false">+CR59-CS59</f>
        <v>0</v>
      </c>
      <c r="CV59" s="433" t="n">
        <f aca="false">+CR59-CT59</f>
        <v>0</v>
      </c>
      <c r="CW59" s="433"/>
      <c r="CX59" s="434" t="str">
        <f aca="false">IFERROR(CR59/CW59-1, "-")</f>
        <v>-</v>
      </c>
      <c r="CY59" s="425"/>
      <c r="CZ59" s="437"/>
      <c r="DA59" s="433"/>
      <c r="DB59" s="433"/>
      <c r="DC59" s="433"/>
      <c r="DD59" s="433"/>
      <c r="DE59" s="434" t="e">
        <f aca="false">+CZ59/DD59-1</f>
        <v>#DIV/0!</v>
      </c>
      <c r="DF59" s="434" t="e">
        <f aca="false">+DA59/DD59-1</f>
        <v>#DIV/0!</v>
      </c>
      <c r="DG59" s="438" t="e">
        <f aca="false">+DB59/DD59-1</f>
        <v>#DIV/0!</v>
      </c>
      <c r="DH59" s="438" t="e">
        <f aca="false">+DC59/DD59-1</f>
        <v>#DIV/0!</v>
      </c>
      <c r="DI59" s="413"/>
      <c r="DJ59" s="117" t="n">
        <f aca="false">SUM(D59,J59,P59,V59,AD59,AL59,AU59,BC59,BK59,BT59,CB59,CJ59)-CR59</f>
        <v>0</v>
      </c>
      <c r="DK59" s="117" t="n">
        <f aca="false">SUM(E59,K59,Q59,W59,AE59,AM59,AV59,BD59,BL59,BU59,CC59,CK59)-CS59</f>
        <v>0</v>
      </c>
      <c r="DL59" s="117" t="n">
        <f aca="false">SUM(G59,M59,S59,AA59,AI59,AR59,AZ59,BH59,BQ59,BY59,CG59,CO59)-CW59</f>
        <v>0</v>
      </c>
      <c r="DM59" s="117" t="n">
        <f aca="false">SUM(D59,J59,P59,V59,AD59,AL59,AU59,BC59,,BN59,BV59,CD59,CL59)-CT59</f>
        <v>0</v>
      </c>
      <c r="DN59" s="413"/>
      <c r="DO59" s="413"/>
      <c r="DP59" s="439" t="n">
        <v>137236368</v>
      </c>
      <c r="DQ59" s="415" t="n">
        <f aca="false">-CR59+DP59/10^6</f>
        <v>137.236368</v>
      </c>
      <c r="DR59" s="117" t="n">
        <f aca="false">SUM(E59,K59,Q59,W59,AE59,AM59,AV59,BD59,BL59,BU59,CC59,CK59)-CS59</f>
        <v>0</v>
      </c>
      <c r="DS59" s="117" t="n">
        <f aca="false">SUM(D59,J59,P59,V59,AD59,AL59,AU59,BC59,,BN59,BV59,CD59,CL59)-CT59</f>
        <v>0</v>
      </c>
      <c r="DT59" s="416"/>
      <c r="DU59" s="440" t="n">
        <v>11.586364</v>
      </c>
      <c r="DV59" s="418" t="n">
        <f aca="false">DU59-CJ59</f>
        <v>11.586364</v>
      </c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  <c r="EB59" s="419"/>
    </row>
    <row r="60" s="441" customFormat="true" ht="15.75" hidden="true" customHeight="true" outlineLevel="1" collapsed="false">
      <c r="A60" s="286"/>
      <c r="B60" s="444" t="s">
        <v>199</v>
      </c>
      <c r="C60" s="431" t="s">
        <v>200</v>
      </c>
      <c r="D60" s="432"/>
      <c r="E60" s="433"/>
      <c r="F60" s="433"/>
      <c r="G60" s="433"/>
      <c r="H60" s="434"/>
      <c r="I60" s="422"/>
      <c r="J60" s="432"/>
      <c r="K60" s="433"/>
      <c r="L60" s="433"/>
      <c r="M60" s="433"/>
      <c r="N60" s="434"/>
      <c r="O60" s="435"/>
      <c r="P60" s="432"/>
      <c r="Q60" s="433"/>
      <c r="R60" s="433"/>
      <c r="S60" s="433"/>
      <c r="T60" s="434"/>
      <c r="U60" s="423"/>
      <c r="V60" s="432"/>
      <c r="W60" s="433"/>
      <c r="X60" s="433"/>
      <c r="Y60" s="433"/>
      <c r="Z60" s="433"/>
      <c r="AA60" s="433"/>
      <c r="AB60" s="434"/>
      <c r="AC60" s="435"/>
      <c r="AD60" s="432"/>
      <c r="AE60" s="433"/>
      <c r="AF60" s="433"/>
      <c r="AG60" s="433"/>
      <c r="AH60" s="433"/>
      <c r="AI60" s="433"/>
      <c r="AJ60" s="434"/>
      <c r="AK60" s="435"/>
      <c r="AL60" s="432"/>
      <c r="AM60" s="433"/>
      <c r="AN60" s="433"/>
      <c r="AO60" s="433"/>
      <c r="AP60" s="433"/>
      <c r="AQ60" s="433"/>
      <c r="AR60" s="433"/>
      <c r="AS60" s="434"/>
      <c r="AT60" s="424"/>
      <c r="AU60" s="432"/>
      <c r="AV60" s="433"/>
      <c r="AW60" s="433"/>
      <c r="AX60" s="433"/>
      <c r="AY60" s="433"/>
      <c r="AZ60" s="433"/>
      <c r="BA60" s="434"/>
      <c r="BB60" s="435"/>
      <c r="BC60" s="281"/>
      <c r="BD60" s="144"/>
      <c r="BE60" s="144"/>
      <c r="BF60" s="144"/>
      <c r="BG60" s="144"/>
      <c r="BH60" s="433"/>
      <c r="BI60" s="434"/>
      <c r="BJ60" s="436"/>
      <c r="BK60" s="432"/>
      <c r="BL60" s="433"/>
      <c r="BM60" s="433"/>
      <c r="BN60" s="433"/>
      <c r="BO60" s="433"/>
      <c r="BP60" s="433"/>
      <c r="BQ60" s="433"/>
      <c r="BR60" s="434"/>
      <c r="BS60" s="436"/>
      <c r="BT60" s="432"/>
      <c r="BU60" s="433"/>
      <c r="BV60" s="433"/>
      <c r="BW60" s="433"/>
      <c r="BX60" s="433"/>
      <c r="BY60" s="433"/>
      <c r="BZ60" s="434"/>
      <c r="CA60" s="373"/>
      <c r="CB60" s="432"/>
      <c r="CC60" s="433"/>
      <c r="CD60" s="433"/>
      <c r="CE60" s="433"/>
      <c r="CF60" s="433"/>
      <c r="CG60" s="433"/>
      <c r="CH60" s="434"/>
      <c r="CI60" s="373"/>
      <c r="CJ60" s="432"/>
      <c r="CK60" s="433"/>
      <c r="CL60" s="433"/>
      <c r="CM60" s="433"/>
      <c r="CN60" s="433"/>
      <c r="CO60" s="433"/>
      <c r="CP60" s="434"/>
      <c r="CQ60" s="435"/>
      <c r="CR60" s="432"/>
      <c r="CS60" s="433"/>
      <c r="CT60" s="433"/>
      <c r="CU60" s="433" t="n">
        <f aca="false">+CR60-CS60</f>
        <v>0</v>
      </c>
      <c r="CV60" s="433" t="n">
        <f aca="false">+CR60-CT60</f>
        <v>0</v>
      </c>
      <c r="CW60" s="433"/>
      <c r="CX60" s="434" t="str">
        <f aca="false">IFERROR(CR60/CW60-1, "-")</f>
        <v>-</v>
      </c>
      <c r="CY60" s="425"/>
      <c r="CZ60" s="437"/>
      <c r="DA60" s="433"/>
      <c r="DB60" s="433"/>
      <c r="DC60" s="433"/>
      <c r="DD60" s="433"/>
      <c r="DE60" s="434"/>
      <c r="DF60" s="434"/>
      <c r="DG60" s="438"/>
      <c r="DH60" s="438"/>
      <c r="DI60" s="413"/>
      <c r="DJ60" s="117" t="n">
        <f aca="false">SUM(D60,J60,P60,V60,AD60,AL60,AU60,BC60,BK60,BT60,CB60,CJ60)-CR60</f>
        <v>0</v>
      </c>
      <c r="DK60" s="117" t="n">
        <f aca="false">SUM(E60,K60,Q60,W60,AE60,AM60,AV60,BD60,BL60,BU60,CC60,CK60)-CS60</f>
        <v>0</v>
      </c>
      <c r="DL60" s="117" t="n">
        <f aca="false">SUM(G60,M60,S60,AA60,AI60,AR60,AZ60,BH60,BQ60,BY60,CG60,CO60)-CW60</f>
        <v>0</v>
      </c>
      <c r="DM60" s="117" t="n">
        <f aca="false">SUM(D60,J60,P60,V60,AD60,AL60,AU60,BC60,,BN60,BV60,CD60,CL60)-CT60</f>
        <v>0</v>
      </c>
      <c r="DN60" s="413"/>
      <c r="DO60" s="413"/>
      <c r="DP60" s="439" t="n">
        <v>0</v>
      </c>
      <c r="DQ60" s="415" t="n">
        <f aca="false">-CR60+DP60/10^6</f>
        <v>0</v>
      </c>
      <c r="DR60" s="117" t="n">
        <f aca="false">SUM(E60,K60,Q60,W60,AE60,AM60,AV60,BD60,BL60,BU60,CC60,CK60)-CS60</f>
        <v>0</v>
      </c>
      <c r="DS60" s="117" t="n">
        <f aca="false">SUM(D60,J60,P60,V60,AD60,AL60,AU60,BC60,,BN60,BV60,CD60,CL60)-CT60</f>
        <v>0</v>
      </c>
      <c r="DT60" s="416"/>
      <c r="DU60" s="440" t="n">
        <v>0</v>
      </c>
      <c r="DV60" s="418" t="n">
        <f aca="false">DU60-CJ60</f>
        <v>0</v>
      </c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  <c r="EB60" s="419"/>
    </row>
    <row r="61" s="441" customFormat="true" ht="15.75" hidden="true" customHeight="true" outlineLevel="1" collapsed="false">
      <c r="A61" s="286"/>
      <c r="B61" s="444" t="s">
        <v>201</v>
      </c>
      <c r="C61" s="431" t="s">
        <v>202</v>
      </c>
      <c r="D61" s="432"/>
      <c r="E61" s="433"/>
      <c r="F61" s="433"/>
      <c r="G61" s="433"/>
      <c r="H61" s="434"/>
      <c r="I61" s="422"/>
      <c r="J61" s="432"/>
      <c r="K61" s="433"/>
      <c r="L61" s="433"/>
      <c r="M61" s="433"/>
      <c r="N61" s="434"/>
      <c r="O61" s="435"/>
      <c r="P61" s="432"/>
      <c r="Q61" s="433"/>
      <c r="R61" s="433"/>
      <c r="S61" s="433"/>
      <c r="T61" s="434"/>
      <c r="U61" s="423"/>
      <c r="V61" s="432"/>
      <c r="W61" s="433"/>
      <c r="X61" s="433"/>
      <c r="Y61" s="433"/>
      <c r="Z61" s="433"/>
      <c r="AA61" s="433"/>
      <c r="AB61" s="434"/>
      <c r="AC61" s="435"/>
      <c r="AD61" s="432"/>
      <c r="AE61" s="433"/>
      <c r="AF61" s="433"/>
      <c r="AG61" s="433"/>
      <c r="AH61" s="433"/>
      <c r="AI61" s="433"/>
      <c r="AJ61" s="434"/>
      <c r="AK61" s="435"/>
      <c r="AL61" s="432"/>
      <c r="AM61" s="433"/>
      <c r="AN61" s="433"/>
      <c r="AO61" s="433"/>
      <c r="AP61" s="433"/>
      <c r="AQ61" s="433"/>
      <c r="AR61" s="433"/>
      <c r="AS61" s="434"/>
      <c r="AT61" s="424"/>
      <c r="AU61" s="432"/>
      <c r="AV61" s="433"/>
      <c r="AW61" s="433"/>
      <c r="AX61" s="433"/>
      <c r="AY61" s="433"/>
      <c r="AZ61" s="433"/>
      <c r="BA61" s="434"/>
      <c r="BB61" s="435"/>
      <c r="BC61" s="281"/>
      <c r="BD61" s="144"/>
      <c r="BE61" s="144"/>
      <c r="BF61" s="144"/>
      <c r="BG61" s="144"/>
      <c r="BH61" s="433"/>
      <c r="BI61" s="434"/>
      <c r="BJ61" s="436"/>
      <c r="BK61" s="432"/>
      <c r="BL61" s="433"/>
      <c r="BM61" s="433"/>
      <c r="BN61" s="433"/>
      <c r="BO61" s="433"/>
      <c r="BP61" s="433"/>
      <c r="BQ61" s="433"/>
      <c r="BR61" s="434"/>
      <c r="BS61" s="436"/>
      <c r="BT61" s="432"/>
      <c r="BU61" s="433"/>
      <c r="BV61" s="433"/>
      <c r="BW61" s="433"/>
      <c r="BX61" s="433"/>
      <c r="BY61" s="433"/>
      <c r="BZ61" s="434"/>
      <c r="CA61" s="373"/>
      <c r="CB61" s="432"/>
      <c r="CC61" s="433"/>
      <c r="CD61" s="433"/>
      <c r="CE61" s="433"/>
      <c r="CF61" s="433"/>
      <c r="CG61" s="433"/>
      <c r="CH61" s="434"/>
      <c r="CI61" s="373"/>
      <c r="CJ61" s="432"/>
      <c r="CK61" s="433"/>
      <c r="CL61" s="433"/>
      <c r="CM61" s="433"/>
      <c r="CN61" s="433"/>
      <c r="CO61" s="433"/>
      <c r="CP61" s="434"/>
      <c r="CQ61" s="435"/>
      <c r="CR61" s="432"/>
      <c r="CS61" s="433"/>
      <c r="CT61" s="433"/>
      <c r="CU61" s="433" t="n">
        <f aca="false">+CR61-CS61</f>
        <v>0</v>
      </c>
      <c r="CV61" s="433" t="n">
        <f aca="false">+CR61-CT61</f>
        <v>0</v>
      </c>
      <c r="CW61" s="433"/>
      <c r="CX61" s="434" t="str">
        <f aca="false">IFERROR(CR61/CW61-1, "-")</f>
        <v>-</v>
      </c>
      <c r="CY61" s="425"/>
      <c r="CZ61" s="437"/>
      <c r="DA61" s="433"/>
      <c r="DB61" s="433"/>
      <c r="DC61" s="433"/>
      <c r="DD61" s="433"/>
      <c r="DE61" s="434"/>
      <c r="DF61" s="434"/>
      <c r="DG61" s="438"/>
      <c r="DH61" s="438"/>
      <c r="DI61" s="413"/>
      <c r="DJ61" s="117" t="n">
        <f aca="false">SUM(D61,J61,P61,V61,AD61,AL61,AU61,BC61,BK61,BT61,CB61,CJ61)-CR61</f>
        <v>0</v>
      </c>
      <c r="DK61" s="117" t="n">
        <f aca="false">SUM(E61,K61,Q61,W61,AE61,AM61,AV61,BD61,BL61,BU61,CC61,CK61)-CS61</f>
        <v>0</v>
      </c>
      <c r="DL61" s="117" t="n">
        <f aca="false">SUM(G61,M61,S61,AA61,AI61,AR61,AZ61,BH61,BQ61,BY61,CG61,CO61)-CW61</f>
        <v>0</v>
      </c>
      <c r="DM61" s="117" t="n">
        <f aca="false">SUM(D61,J61,P61,V61,AD61,AL61,AU61,BC61,,BN61,BV61,CD61,CL61)-CT61</f>
        <v>0</v>
      </c>
      <c r="DN61" s="413"/>
      <c r="DO61" s="413"/>
      <c r="DP61" s="439" t="n">
        <v>0</v>
      </c>
      <c r="DQ61" s="415" t="n">
        <f aca="false">-CR61+DP61/10^6</f>
        <v>0</v>
      </c>
      <c r="DR61" s="117" t="n">
        <f aca="false">SUM(E61,K61,Q61,W61,AE61,AM61,AV61,BD61,BL61,BU61,CC61,CK61)-CS61</f>
        <v>0</v>
      </c>
      <c r="DS61" s="117" t="n">
        <f aca="false">SUM(D61,J61,P61,V61,AD61,AL61,AU61,BC61,,BN61,BV61,CD61,CL61)-CT61</f>
        <v>0</v>
      </c>
      <c r="DT61" s="416"/>
      <c r="DU61" s="440" t="n">
        <v>0</v>
      </c>
      <c r="DV61" s="418" t="n">
        <f aca="false">DU61-CJ61</f>
        <v>0</v>
      </c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  <c r="EB61" s="419"/>
    </row>
    <row r="62" s="483" customFormat="true" ht="15.75" hidden="true" customHeight="true" outlineLevel="1" collapsed="false">
      <c r="B62" s="444" t="s">
        <v>203</v>
      </c>
      <c r="C62" s="431" t="s">
        <v>204</v>
      </c>
      <c r="D62" s="455"/>
      <c r="E62" s="484"/>
      <c r="F62" s="485"/>
      <c r="G62" s="485"/>
      <c r="H62" s="486"/>
      <c r="I62" s="422"/>
      <c r="J62" s="455"/>
      <c r="K62" s="484"/>
      <c r="L62" s="485"/>
      <c r="M62" s="485"/>
      <c r="N62" s="486"/>
      <c r="O62" s="487"/>
      <c r="P62" s="455"/>
      <c r="Q62" s="484"/>
      <c r="R62" s="485"/>
      <c r="S62" s="485"/>
      <c r="T62" s="486"/>
      <c r="U62" s="423"/>
      <c r="V62" s="455"/>
      <c r="W62" s="484"/>
      <c r="X62" s="484"/>
      <c r="Y62" s="485"/>
      <c r="Z62" s="485"/>
      <c r="AA62" s="485"/>
      <c r="AB62" s="486"/>
      <c r="AC62" s="487"/>
      <c r="AD62" s="455"/>
      <c r="AE62" s="484"/>
      <c r="AF62" s="484"/>
      <c r="AG62" s="485"/>
      <c r="AH62" s="485"/>
      <c r="AI62" s="485"/>
      <c r="AJ62" s="486"/>
      <c r="AK62" s="487"/>
      <c r="AL62" s="455"/>
      <c r="AM62" s="484"/>
      <c r="AN62" s="484"/>
      <c r="AO62" s="484"/>
      <c r="AP62" s="485"/>
      <c r="AQ62" s="485"/>
      <c r="AR62" s="485"/>
      <c r="AS62" s="486"/>
      <c r="AT62" s="424"/>
      <c r="AU62" s="455"/>
      <c r="AV62" s="484"/>
      <c r="AW62" s="484"/>
      <c r="AX62" s="485"/>
      <c r="AY62" s="485"/>
      <c r="AZ62" s="485"/>
      <c r="BA62" s="486"/>
      <c r="BB62" s="487"/>
      <c r="BC62" s="281"/>
      <c r="BD62" s="488"/>
      <c r="BE62" s="488"/>
      <c r="BF62" s="144"/>
      <c r="BG62" s="144"/>
      <c r="BH62" s="485"/>
      <c r="BI62" s="486"/>
      <c r="BJ62" s="489"/>
      <c r="BK62" s="490"/>
      <c r="BL62" s="484"/>
      <c r="BM62" s="484"/>
      <c r="BN62" s="484"/>
      <c r="BO62" s="433"/>
      <c r="BP62" s="433"/>
      <c r="BQ62" s="485"/>
      <c r="BR62" s="486"/>
      <c r="BS62" s="489"/>
      <c r="BT62" s="490"/>
      <c r="BU62" s="484"/>
      <c r="BV62" s="484"/>
      <c r="BW62" s="485"/>
      <c r="BX62" s="485"/>
      <c r="BY62" s="485"/>
      <c r="BZ62" s="486"/>
      <c r="CA62" s="373"/>
      <c r="CB62" s="490"/>
      <c r="CC62" s="484"/>
      <c r="CD62" s="484"/>
      <c r="CE62" s="485"/>
      <c r="CF62" s="485"/>
      <c r="CG62" s="485"/>
      <c r="CH62" s="486"/>
      <c r="CI62" s="373"/>
      <c r="CJ62" s="490"/>
      <c r="CK62" s="484"/>
      <c r="CL62" s="484"/>
      <c r="CM62" s="485"/>
      <c r="CN62" s="485"/>
      <c r="CO62" s="485"/>
      <c r="CP62" s="486"/>
      <c r="CQ62" s="487"/>
      <c r="CR62" s="490"/>
      <c r="CS62" s="485"/>
      <c r="CT62" s="485"/>
      <c r="CU62" s="485" t="n">
        <f aca="false">+CR62-CS62</f>
        <v>0</v>
      </c>
      <c r="CV62" s="485" t="n">
        <f aca="false">+CR62-CT62</f>
        <v>0</v>
      </c>
      <c r="CW62" s="485"/>
      <c r="CX62" s="486" t="str">
        <f aca="false">IFERROR(CR62/CW62-1, "-")</f>
        <v>-</v>
      </c>
      <c r="CY62" s="491"/>
      <c r="CZ62" s="492"/>
      <c r="DA62" s="484"/>
      <c r="DB62" s="484"/>
      <c r="DC62" s="484"/>
      <c r="DD62" s="484"/>
      <c r="DE62" s="486" t="e">
        <f aca="false">+CZ62/DD62-1</f>
        <v>#DIV/0!</v>
      </c>
      <c r="DF62" s="486" t="e">
        <f aca="false">+DA62/DD62-1</f>
        <v>#DIV/0!</v>
      </c>
      <c r="DG62" s="493" t="e">
        <f aca="false">+DB62/DD62-1</f>
        <v>#DIV/0!</v>
      </c>
      <c r="DH62" s="493" t="e">
        <f aca="false">+DC62/DD62-1</f>
        <v>#DIV/0!</v>
      </c>
      <c r="DI62" s="413"/>
      <c r="DJ62" s="117" t="n">
        <f aca="false">SUM(D62,J62,P62,V62,AD62,AL62,AU62,BC62,BK62,BT62,CB62,CJ62)-CR62</f>
        <v>0</v>
      </c>
      <c r="DK62" s="117" t="n">
        <f aca="false">SUM(E62,K62,Q62,W62,AE62,AM62,AV62,BD62,BL62,BU62,CC62,CK62)-CS62</f>
        <v>0</v>
      </c>
      <c r="DL62" s="117" t="n">
        <f aca="false">SUM(G62,M62,S62,AA62,AI62,AR62,AZ62,BH62,BQ62,BY62,CG62,CO62)-CW62</f>
        <v>0</v>
      </c>
      <c r="DM62" s="117" t="n">
        <f aca="false">SUM(D62,J62,P62,V62,AD62,AL62,AU62,BC62,,BN62,BV62,CD62,CL62)-CT62</f>
        <v>0</v>
      </c>
      <c r="DN62" s="413"/>
      <c r="DO62" s="413"/>
      <c r="DP62" s="469" t="n">
        <v>2770925511</v>
      </c>
      <c r="DQ62" s="415" t="n">
        <f aca="false">-CR62+DP62/10^6</f>
        <v>2770.925511</v>
      </c>
      <c r="DR62" s="117" t="n">
        <f aca="false">SUM(E62,K62,Q62,W62,AE62,AM62,AV62,BD62,BL62,BU62,CC62,CK62)-CS62</f>
        <v>0</v>
      </c>
      <c r="DS62" s="117" t="n">
        <f aca="false">SUM(D62,J62,P62,V62,AD62,AL62,AU62,BC62,,BN62,BV62,CD62,CL62)-CT62</f>
        <v>0</v>
      </c>
      <c r="DT62" s="416"/>
      <c r="DU62" s="494" t="n">
        <v>249.299051</v>
      </c>
      <c r="DV62" s="418" t="n">
        <f aca="false">DU62-CJ62</f>
        <v>249.299051</v>
      </c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  <c r="EB62" s="419"/>
    </row>
    <row r="63" s="483" customFormat="true" ht="15.75" hidden="true" customHeight="true" outlineLevel="1" collapsed="false">
      <c r="B63" s="444" t="s">
        <v>205</v>
      </c>
      <c r="C63" s="431" t="s">
        <v>206</v>
      </c>
      <c r="D63" s="490"/>
      <c r="E63" s="485"/>
      <c r="F63" s="485"/>
      <c r="G63" s="485"/>
      <c r="H63" s="486"/>
      <c r="I63" s="422"/>
      <c r="J63" s="490"/>
      <c r="K63" s="485"/>
      <c r="L63" s="485"/>
      <c r="M63" s="485"/>
      <c r="N63" s="486"/>
      <c r="O63" s="487"/>
      <c r="P63" s="490"/>
      <c r="Q63" s="485"/>
      <c r="R63" s="485"/>
      <c r="S63" s="485"/>
      <c r="T63" s="486"/>
      <c r="U63" s="423"/>
      <c r="V63" s="490"/>
      <c r="W63" s="485"/>
      <c r="X63" s="485"/>
      <c r="Y63" s="485"/>
      <c r="Z63" s="485"/>
      <c r="AA63" s="485"/>
      <c r="AB63" s="486"/>
      <c r="AC63" s="487"/>
      <c r="AD63" s="490"/>
      <c r="AE63" s="485"/>
      <c r="AF63" s="485"/>
      <c r="AG63" s="485"/>
      <c r="AH63" s="485"/>
      <c r="AI63" s="485"/>
      <c r="AJ63" s="486"/>
      <c r="AK63" s="487"/>
      <c r="AL63" s="490"/>
      <c r="AM63" s="485"/>
      <c r="AN63" s="485"/>
      <c r="AO63" s="485"/>
      <c r="AP63" s="485"/>
      <c r="AQ63" s="485"/>
      <c r="AR63" s="485"/>
      <c r="AS63" s="486"/>
      <c r="AT63" s="424"/>
      <c r="AU63" s="490"/>
      <c r="AV63" s="485"/>
      <c r="AW63" s="485"/>
      <c r="AX63" s="485"/>
      <c r="AY63" s="485"/>
      <c r="AZ63" s="485"/>
      <c r="BA63" s="486"/>
      <c r="BB63" s="487"/>
      <c r="BC63" s="281"/>
      <c r="BD63" s="144"/>
      <c r="BE63" s="144"/>
      <c r="BF63" s="144"/>
      <c r="BG63" s="144"/>
      <c r="BH63" s="485"/>
      <c r="BI63" s="486"/>
      <c r="BJ63" s="489"/>
      <c r="BK63" s="490"/>
      <c r="BL63" s="485"/>
      <c r="BM63" s="485"/>
      <c r="BN63" s="485"/>
      <c r="BO63" s="433"/>
      <c r="BP63" s="433"/>
      <c r="BQ63" s="485"/>
      <c r="BR63" s="486"/>
      <c r="BS63" s="489"/>
      <c r="BT63" s="490"/>
      <c r="BU63" s="485"/>
      <c r="BV63" s="485"/>
      <c r="BW63" s="485"/>
      <c r="BX63" s="485"/>
      <c r="BY63" s="485"/>
      <c r="BZ63" s="486"/>
      <c r="CA63" s="373"/>
      <c r="CB63" s="490"/>
      <c r="CC63" s="485"/>
      <c r="CD63" s="485"/>
      <c r="CE63" s="485"/>
      <c r="CF63" s="485"/>
      <c r="CG63" s="485"/>
      <c r="CH63" s="486"/>
      <c r="CI63" s="373"/>
      <c r="CJ63" s="490"/>
      <c r="CK63" s="485"/>
      <c r="CL63" s="485"/>
      <c r="CM63" s="485"/>
      <c r="CN63" s="485"/>
      <c r="CO63" s="485"/>
      <c r="CP63" s="486"/>
      <c r="CQ63" s="487"/>
      <c r="CR63" s="490"/>
      <c r="CS63" s="485"/>
      <c r="CT63" s="485"/>
      <c r="CU63" s="485" t="n">
        <f aca="false">+CR63-CS63</f>
        <v>0</v>
      </c>
      <c r="CV63" s="485" t="n">
        <f aca="false">+CR63-CT63</f>
        <v>0</v>
      </c>
      <c r="CW63" s="485"/>
      <c r="CX63" s="486" t="str">
        <f aca="false">IFERROR(CR63/CW63-1, "-")</f>
        <v>-</v>
      </c>
      <c r="CY63" s="491"/>
      <c r="CZ63" s="492"/>
      <c r="DA63" s="485"/>
      <c r="DB63" s="485"/>
      <c r="DC63" s="485"/>
      <c r="DD63" s="485"/>
      <c r="DE63" s="486"/>
      <c r="DF63" s="486"/>
      <c r="DG63" s="493"/>
      <c r="DH63" s="493"/>
      <c r="DI63" s="413"/>
      <c r="DJ63" s="117" t="n">
        <f aca="false">SUM(D63,J63,P63,V63,AD63,AL63,AU63,BC63,BK63,BT63,CB63,CJ63)-CR63</f>
        <v>0</v>
      </c>
      <c r="DK63" s="117" t="n">
        <f aca="false">SUM(E63,K63,Q63,W63,AE63,AM63,AV63,BD63,BL63,BU63,CC63,CK63)-CS63</f>
        <v>0</v>
      </c>
      <c r="DL63" s="117" t="n">
        <f aca="false">SUM(G63,M63,S63,AA63,AI63,AR63,AZ63,BH63,BQ63,BY63,CG63,CO63)-CW63</f>
        <v>0</v>
      </c>
      <c r="DM63" s="117" t="n">
        <f aca="false">SUM(D63,J63,P63,V63,AD63,AL63,AU63,BC63,,BN63,BV63,CD63,CL63)-CT63</f>
        <v>0</v>
      </c>
      <c r="DN63" s="413"/>
      <c r="DO63" s="413"/>
      <c r="DP63" s="495"/>
      <c r="DQ63" s="415" t="n">
        <f aca="false">-CR63+DP63/10^6</f>
        <v>0</v>
      </c>
      <c r="DR63" s="117" t="n">
        <f aca="false">SUM(E63,K63,Q63,W63,AE63,AM63,AV63,BD63,BL63,BU63,CC63,CK63)-CS63</f>
        <v>0</v>
      </c>
      <c r="DS63" s="117" t="n">
        <f aca="false">SUM(D63,J63,P63,V63,AD63,AL63,AU63,BC63,,BN63,BV63,CD63,CL63)-CT63</f>
        <v>0</v>
      </c>
      <c r="DT63" s="416"/>
      <c r="DU63" s="494"/>
      <c r="DV63" s="418" t="n">
        <f aca="false">DU63-CJ63</f>
        <v>0</v>
      </c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  <c r="EB63" s="419"/>
    </row>
    <row r="64" s="483" customFormat="true" ht="15.75" hidden="true" customHeight="true" outlineLevel="1" collapsed="false">
      <c r="B64" s="444" t="s">
        <v>207</v>
      </c>
      <c r="C64" s="431" t="s">
        <v>208</v>
      </c>
      <c r="D64" s="470"/>
      <c r="E64" s="485"/>
      <c r="F64" s="485"/>
      <c r="G64" s="485"/>
      <c r="H64" s="486"/>
      <c r="I64" s="422"/>
      <c r="J64" s="470"/>
      <c r="K64" s="485"/>
      <c r="L64" s="485"/>
      <c r="M64" s="485"/>
      <c r="N64" s="486"/>
      <c r="O64" s="487"/>
      <c r="P64" s="472"/>
      <c r="Q64" s="485"/>
      <c r="R64" s="485"/>
      <c r="S64" s="485"/>
      <c r="T64" s="486"/>
      <c r="U64" s="423"/>
      <c r="V64" s="472"/>
      <c r="W64" s="485"/>
      <c r="X64" s="485"/>
      <c r="Y64" s="485"/>
      <c r="Z64" s="485"/>
      <c r="AA64" s="485"/>
      <c r="AB64" s="486"/>
      <c r="AC64" s="487"/>
      <c r="AD64" s="472"/>
      <c r="AE64" s="485"/>
      <c r="AF64" s="485"/>
      <c r="AG64" s="485"/>
      <c r="AH64" s="485"/>
      <c r="AI64" s="485"/>
      <c r="AJ64" s="486"/>
      <c r="AK64" s="487"/>
      <c r="AL64" s="472"/>
      <c r="AM64" s="485"/>
      <c r="AN64" s="485"/>
      <c r="AO64" s="485"/>
      <c r="AP64" s="485"/>
      <c r="AQ64" s="485"/>
      <c r="AR64" s="485"/>
      <c r="AS64" s="486"/>
      <c r="AT64" s="424"/>
      <c r="AU64" s="472"/>
      <c r="AV64" s="485"/>
      <c r="AW64" s="485"/>
      <c r="AX64" s="485"/>
      <c r="AY64" s="485"/>
      <c r="AZ64" s="485"/>
      <c r="BA64" s="486"/>
      <c r="BB64" s="487"/>
      <c r="BC64" s="496"/>
      <c r="BD64" s="144"/>
      <c r="BE64" s="144"/>
      <c r="BF64" s="144"/>
      <c r="BG64" s="144"/>
      <c r="BH64" s="485"/>
      <c r="BI64" s="486"/>
      <c r="BJ64" s="489"/>
      <c r="BK64" s="497"/>
      <c r="BL64" s="485"/>
      <c r="BM64" s="485"/>
      <c r="BN64" s="485"/>
      <c r="BO64" s="433"/>
      <c r="BP64" s="433"/>
      <c r="BQ64" s="485"/>
      <c r="BR64" s="486"/>
      <c r="BS64" s="489"/>
      <c r="BT64" s="497"/>
      <c r="BU64" s="485"/>
      <c r="BV64" s="485"/>
      <c r="BW64" s="485"/>
      <c r="BX64" s="485"/>
      <c r="BY64" s="485"/>
      <c r="BZ64" s="486"/>
      <c r="CA64" s="373"/>
      <c r="CB64" s="476"/>
      <c r="CC64" s="485"/>
      <c r="CD64" s="485"/>
      <c r="CE64" s="485"/>
      <c r="CF64" s="485"/>
      <c r="CG64" s="485"/>
      <c r="CH64" s="486"/>
      <c r="CI64" s="373"/>
      <c r="CJ64" s="476"/>
      <c r="CK64" s="485"/>
      <c r="CL64" s="485"/>
      <c r="CM64" s="485"/>
      <c r="CN64" s="485"/>
      <c r="CO64" s="485"/>
      <c r="CP64" s="486"/>
      <c r="CQ64" s="487"/>
      <c r="CR64" s="490"/>
      <c r="CS64" s="485"/>
      <c r="CT64" s="485"/>
      <c r="CU64" s="485" t="n">
        <f aca="false">+CR64-CS64</f>
        <v>0</v>
      </c>
      <c r="CV64" s="485" t="n">
        <f aca="false">+CR64-CT64</f>
        <v>0</v>
      </c>
      <c r="CW64" s="485"/>
      <c r="CX64" s="486" t="str">
        <f aca="false">IFERROR(CR64/CW64-1, "-")</f>
        <v>-</v>
      </c>
      <c r="CY64" s="491"/>
      <c r="CZ64" s="492"/>
      <c r="DA64" s="485"/>
      <c r="DB64" s="485"/>
      <c r="DC64" s="485"/>
      <c r="DD64" s="485"/>
      <c r="DE64" s="486" t="e">
        <f aca="false">+CZ64/DD64-1</f>
        <v>#DIV/0!</v>
      </c>
      <c r="DF64" s="486" t="e">
        <f aca="false">+DA64/DD64-1</f>
        <v>#DIV/0!</v>
      </c>
      <c r="DG64" s="493" t="e">
        <f aca="false">+DB64/DD64-1</f>
        <v>#DIV/0!</v>
      </c>
      <c r="DH64" s="493" t="e">
        <f aca="false">+DC64/DD64-1</f>
        <v>#DIV/0!</v>
      </c>
      <c r="DI64" s="413"/>
      <c r="DJ64" s="117" t="n">
        <f aca="false">SUM(D64,J64,P64,V64,AD64,AL64,AU64,BC64,BK64,BT64,CB64,CJ64)-CR64</f>
        <v>0</v>
      </c>
      <c r="DK64" s="117" t="n">
        <f aca="false">SUM(E64,K64,Q64,W64,AE64,AM64,AV64,BD64,BL64,BU64,CC64,CK64)-CS64</f>
        <v>0</v>
      </c>
      <c r="DL64" s="117" t="n">
        <f aca="false">SUM(G64,M64,S64,AA64,AI64,AR64,AZ64,BH64,BQ64,BY64,CG64,CO64)-CW64</f>
        <v>0</v>
      </c>
      <c r="DM64" s="117" t="n">
        <f aca="false">SUM(D64,J64,P64,V64,AD64,AL64,AU64,BC64,,BN64,BV64,CD64,CL64)-CT64</f>
        <v>0</v>
      </c>
      <c r="DN64" s="413"/>
      <c r="DO64" s="413"/>
      <c r="DP64" s="474" t="n">
        <v>-147538860</v>
      </c>
      <c r="DQ64" s="415" t="n">
        <f aca="false">-CR64+DP64/10^6</f>
        <v>-147.53886</v>
      </c>
      <c r="DR64" s="117" t="n">
        <f aca="false">SUM(E64,K64,Q64,W64,AE64,AM64,AV64,BD64,BL64,BU64,CC64,CK64)-CS64</f>
        <v>0</v>
      </c>
      <c r="DS64" s="117" t="n">
        <f aca="false">SUM(D64,J64,P64,V64,AD64,AL64,AU64,BC64,,BN64,BV64,CD64,CL64)-CT64</f>
        <v>0</v>
      </c>
      <c r="DT64" s="416"/>
      <c r="DU64" s="494" t="n">
        <v>-40.841398</v>
      </c>
      <c r="DV64" s="418" t="n">
        <f aca="false">DU64-CJ64</f>
        <v>-40.841398</v>
      </c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  <c r="EB64" s="419"/>
    </row>
    <row r="65" s="483" customFormat="true" ht="15.75" hidden="true" customHeight="true" outlineLevel="1" collapsed="false">
      <c r="B65" s="444" t="s">
        <v>209</v>
      </c>
      <c r="C65" s="431" t="s">
        <v>210</v>
      </c>
      <c r="D65" s="455"/>
      <c r="E65" s="484"/>
      <c r="F65" s="485"/>
      <c r="G65" s="485"/>
      <c r="H65" s="486"/>
      <c r="I65" s="422"/>
      <c r="J65" s="455"/>
      <c r="K65" s="484"/>
      <c r="L65" s="485"/>
      <c r="M65" s="485"/>
      <c r="N65" s="486"/>
      <c r="O65" s="487"/>
      <c r="P65" s="498"/>
      <c r="Q65" s="484"/>
      <c r="R65" s="485"/>
      <c r="S65" s="485"/>
      <c r="T65" s="486"/>
      <c r="U65" s="423"/>
      <c r="V65" s="498"/>
      <c r="W65" s="484"/>
      <c r="X65" s="484"/>
      <c r="Y65" s="485"/>
      <c r="Z65" s="485"/>
      <c r="AA65" s="485"/>
      <c r="AB65" s="486"/>
      <c r="AC65" s="487"/>
      <c r="AD65" s="498"/>
      <c r="AE65" s="484"/>
      <c r="AF65" s="484"/>
      <c r="AG65" s="485"/>
      <c r="AH65" s="485"/>
      <c r="AI65" s="485"/>
      <c r="AJ65" s="486"/>
      <c r="AK65" s="487"/>
      <c r="AL65" s="498"/>
      <c r="AM65" s="484"/>
      <c r="AN65" s="484"/>
      <c r="AO65" s="484"/>
      <c r="AP65" s="485"/>
      <c r="AQ65" s="485"/>
      <c r="AR65" s="485"/>
      <c r="AS65" s="486"/>
      <c r="AT65" s="424"/>
      <c r="AU65" s="498"/>
      <c r="AV65" s="484"/>
      <c r="AW65" s="484"/>
      <c r="AX65" s="485"/>
      <c r="AY65" s="485"/>
      <c r="AZ65" s="485"/>
      <c r="BA65" s="486"/>
      <c r="BB65" s="487"/>
      <c r="BC65" s="281"/>
      <c r="BD65" s="488"/>
      <c r="BE65" s="488"/>
      <c r="BF65" s="144"/>
      <c r="BG65" s="144"/>
      <c r="BH65" s="485"/>
      <c r="BI65" s="486"/>
      <c r="BJ65" s="489"/>
      <c r="BK65" s="490"/>
      <c r="BL65" s="484"/>
      <c r="BM65" s="484"/>
      <c r="BN65" s="484"/>
      <c r="BO65" s="433"/>
      <c r="BP65" s="433"/>
      <c r="BQ65" s="485"/>
      <c r="BR65" s="486"/>
      <c r="BS65" s="489"/>
      <c r="BT65" s="490"/>
      <c r="BU65" s="484"/>
      <c r="BV65" s="484"/>
      <c r="BW65" s="485"/>
      <c r="BX65" s="485"/>
      <c r="BY65" s="485"/>
      <c r="BZ65" s="486"/>
      <c r="CA65" s="373"/>
      <c r="CB65" s="490"/>
      <c r="CC65" s="484"/>
      <c r="CD65" s="484"/>
      <c r="CE65" s="485"/>
      <c r="CF65" s="485"/>
      <c r="CG65" s="485"/>
      <c r="CH65" s="486"/>
      <c r="CI65" s="373"/>
      <c r="CJ65" s="490"/>
      <c r="CK65" s="484"/>
      <c r="CL65" s="484"/>
      <c r="CM65" s="485"/>
      <c r="CN65" s="485"/>
      <c r="CO65" s="485"/>
      <c r="CP65" s="486"/>
      <c r="CQ65" s="487"/>
      <c r="CR65" s="490"/>
      <c r="CS65" s="485"/>
      <c r="CT65" s="485"/>
      <c r="CU65" s="485" t="n">
        <f aca="false">+CR65-CS65</f>
        <v>0</v>
      </c>
      <c r="CV65" s="485" t="n">
        <f aca="false">+CR65-CT65</f>
        <v>0</v>
      </c>
      <c r="CW65" s="485"/>
      <c r="CX65" s="486" t="str">
        <f aca="false">IFERROR(CR65/CW65-1, "-")</f>
        <v>-</v>
      </c>
      <c r="CY65" s="491"/>
      <c r="CZ65" s="492"/>
      <c r="DA65" s="484"/>
      <c r="DB65" s="484"/>
      <c r="DC65" s="484"/>
      <c r="DD65" s="484"/>
      <c r="DE65" s="486" t="e">
        <f aca="false">+CZ65/DD65-1</f>
        <v>#DIV/0!</v>
      </c>
      <c r="DF65" s="486" t="e">
        <f aca="false">+DA65/DD65-1</f>
        <v>#DIV/0!</v>
      </c>
      <c r="DG65" s="493" t="e">
        <f aca="false">+DB65/DD65-1</f>
        <v>#DIV/0!</v>
      </c>
      <c r="DH65" s="493" t="e">
        <f aca="false">+DC65/DD65-1</f>
        <v>#DIV/0!</v>
      </c>
      <c r="DI65" s="413"/>
      <c r="DJ65" s="117" t="n">
        <f aca="false">SUM(D65,J65,P65,V65,AD65,AL65,AU65,BC65,BK65,BT65,CB65,CJ65)-CR65</f>
        <v>0</v>
      </c>
      <c r="DK65" s="117" t="n">
        <f aca="false">SUM(E65,K65,Q65,W65,AE65,AM65,AV65,BD65,BL65,BU65,CC65,CK65)-CS65</f>
        <v>0</v>
      </c>
      <c r="DL65" s="117" t="n">
        <f aca="false">SUM(G65,M65,S65,AA65,AI65,AR65,AZ65,BH65,BQ65,BY65,CG65,CO65)-CW65</f>
        <v>0</v>
      </c>
      <c r="DM65" s="117" t="n">
        <f aca="false">SUM(D65,J65,P65,V65,AD65,AL65,AU65,BC65,,BN65,BV65,CD65,CL65)-CT65</f>
        <v>0</v>
      </c>
      <c r="DN65" s="413"/>
      <c r="DO65" s="413"/>
      <c r="DP65" s="469" t="n">
        <v>2742772775</v>
      </c>
      <c r="DQ65" s="415" t="n">
        <f aca="false">-CR65+DP65/10^6</f>
        <v>2742.772775</v>
      </c>
      <c r="DR65" s="117" t="n">
        <f aca="false">SUM(E65,K65,Q65,W65,AE65,AM65,AV65,BD65,BL65,BU65,CC65,CK65)-CS65</f>
        <v>0</v>
      </c>
      <c r="DS65" s="117" t="n">
        <f aca="false">SUM(D65,J65,P65,V65,AD65,AL65,AU65,BC65,,BN65,BV65,CD65,CL65)-CT65</f>
        <v>0</v>
      </c>
      <c r="DT65" s="416"/>
      <c r="DU65" s="494" t="n">
        <v>260.426867</v>
      </c>
      <c r="DV65" s="418" t="n">
        <f aca="false">DU65-CJ65</f>
        <v>260.426867</v>
      </c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  <c r="EB65" s="419"/>
    </row>
    <row r="66" s="441" customFormat="true" ht="15.75" hidden="true" customHeight="true" outlineLevel="1" collapsed="false">
      <c r="A66" s="286"/>
      <c r="B66" s="444" t="s">
        <v>211</v>
      </c>
      <c r="C66" s="431" t="s">
        <v>212</v>
      </c>
      <c r="D66" s="432"/>
      <c r="E66" s="460"/>
      <c r="F66" s="456"/>
      <c r="G66" s="456"/>
      <c r="H66" s="434"/>
      <c r="I66" s="422"/>
      <c r="J66" s="432"/>
      <c r="K66" s="460"/>
      <c r="L66" s="456"/>
      <c r="M66" s="456"/>
      <c r="N66" s="434"/>
      <c r="O66" s="435"/>
      <c r="P66" s="432"/>
      <c r="Q66" s="460"/>
      <c r="R66" s="456"/>
      <c r="S66" s="456"/>
      <c r="T66" s="434"/>
      <c r="U66" s="423"/>
      <c r="V66" s="432"/>
      <c r="W66" s="460"/>
      <c r="X66" s="460"/>
      <c r="Y66" s="456"/>
      <c r="Z66" s="456"/>
      <c r="AA66" s="456"/>
      <c r="AB66" s="434"/>
      <c r="AC66" s="435"/>
      <c r="AD66" s="432"/>
      <c r="AE66" s="460"/>
      <c r="AF66" s="460"/>
      <c r="AG66" s="456"/>
      <c r="AH66" s="456"/>
      <c r="AI66" s="456"/>
      <c r="AJ66" s="434"/>
      <c r="AK66" s="435"/>
      <c r="AL66" s="432"/>
      <c r="AM66" s="460"/>
      <c r="AN66" s="460"/>
      <c r="AO66" s="460"/>
      <c r="AP66" s="456"/>
      <c r="AQ66" s="456"/>
      <c r="AR66" s="456"/>
      <c r="AS66" s="434"/>
      <c r="AT66" s="424"/>
      <c r="AU66" s="432"/>
      <c r="AV66" s="460"/>
      <c r="AW66" s="460"/>
      <c r="AX66" s="456"/>
      <c r="AY66" s="456"/>
      <c r="AZ66" s="456"/>
      <c r="BA66" s="434"/>
      <c r="BB66" s="435"/>
      <c r="BC66" s="281"/>
      <c r="BD66" s="488"/>
      <c r="BE66" s="488"/>
      <c r="BF66" s="499"/>
      <c r="BG66" s="499"/>
      <c r="BH66" s="456"/>
      <c r="BI66" s="434"/>
      <c r="BJ66" s="436"/>
      <c r="BK66" s="432"/>
      <c r="BL66" s="460"/>
      <c r="BM66" s="460"/>
      <c r="BN66" s="460"/>
      <c r="BO66" s="456"/>
      <c r="BP66" s="456"/>
      <c r="BQ66" s="456"/>
      <c r="BR66" s="434"/>
      <c r="BS66" s="436"/>
      <c r="BT66" s="432"/>
      <c r="BU66" s="460"/>
      <c r="BV66" s="460"/>
      <c r="BW66" s="456"/>
      <c r="BX66" s="456"/>
      <c r="BY66" s="456"/>
      <c r="BZ66" s="434"/>
      <c r="CA66" s="373"/>
      <c r="CB66" s="432"/>
      <c r="CC66" s="460"/>
      <c r="CD66" s="460"/>
      <c r="CE66" s="456"/>
      <c r="CF66" s="456"/>
      <c r="CG66" s="456"/>
      <c r="CH66" s="434"/>
      <c r="CI66" s="373"/>
      <c r="CJ66" s="432"/>
      <c r="CK66" s="460"/>
      <c r="CL66" s="460"/>
      <c r="CM66" s="456"/>
      <c r="CN66" s="456"/>
      <c r="CO66" s="456"/>
      <c r="CP66" s="434"/>
      <c r="CQ66" s="435"/>
      <c r="CR66" s="432"/>
      <c r="CS66" s="433"/>
      <c r="CT66" s="433"/>
      <c r="CU66" s="433" t="n">
        <f aca="false">+CR66-CS66</f>
        <v>0</v>
      </c>
      <c r="CV66" s="433" t="n">
        <f aca="false">+CR66-CT66</f>
        <v>0</v>
      </c>
      <c r="CW66" s="433"/>
      <c r="CX66" s="434" t="str">
        <f aca="false">IFERROR(CR66/CW66-1, "-")</f>
        <v>-</v>
      </c>
      <c r="CY66" s="425"/>
      <c r="CZ66" s="437"/>
      <c r="DA66" s="460"/>
      <c r="DB66" s="460"/>
      <c r="DC66" s="460"/>
      <c r="DD66" s="460"/>
      <c r="DE66" s="434" t="e">
        <f aca="false">+CZ66/DD66-1</f>
        <v>#DIV/0!</v>
      </c>
      <c r="DF66" s="434" t="e">
        <f aca="false">+DA66/DD66-1</f>
        <v>#DIV/0!</v>
      </c>
      <c r="DG66" s="438" t="e">
        <f aca="false">+DB66/DD66-1</f>
        <v>#DIV/0!</v>
      </c>
      <c r="DH66" s="438" t="e">
        <f aca="false">+DC66/DD66-1</f>
        <v>#DIV/0!</v>
      </c>
      <c r="DI66" s="413"/>
      <c r="DJ66" s="117" t="n">
        <f aca="false">SUM(D66,J66,P66,V66,AD66,AL66,AU66,BC66,BK66,BT66,CB66,CJ66)-CR66</f>
        <v>0</v>
      </c>
      <c r="DK66" s="117" t="n">
        <f aca="false">SUM(E66,K66,Q66,W66,AE66,AM66,AV66,BD66,BL66,BU66,CC66,CK66)-CS66</f>
        <v>0</v>
      </c>
      <c r="DL66" s="117" t="n">
        <f aca="false">SUM(G66,M66,S66,AA66,AI66,AR66,AZ66,BH66,BQ66,BY66,CG66,CO66)-CW66</f>
        <v>0</v>
      </c>
      <c r="DM66" s="117" t="n">
        <f aca="false">SUM(D66,J66,P66,V66,AD66,AL66,AU66,BC66,,BN66,BV66,CD66,CL66)-CT66</f>
        <v>0</v>
      </c>
      <c r="DN66" s="413"/>
      <c r="DO66" s="413"/>
      <c r="DP66" s="439" t="n">
        <v>800076571</v>
      </c>
      <c r="DQ66" s="415" t="n">
        <f aca="false">-CR66+DP66/10^6</f>
        <v>800.076571</v>
      </c>
      <c r="DR66" s="117" t="n">
        <f aca="false">SUM(E66,K66,Q66,W66,AE66,AM66,AV66,BD66,BL66,BU66,CC66,CK66)-CS66</f>
        <v>0</v>
      </c>
      <c r="DS66" s="117" t="n">
        <f aca="false">SUM(D66,J66,P66,V66,AD66,AL66,AU66,BC66,,BN66,BV66,CD66,CL66)-CT66</f>
        <v>0</v>
      </c>
      <c r="DT66" s="416"/>
      <c r="DU66" s="440" t="n">
        <v>72.133524</v>
      </c>
      <c r="DV66" s="418" t="n">
        <f aca="false">DU66-CJ66</f>
        <v>72.133524</v>
      </c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  <c r="EB66" s="419"/>
    </row>
    <row r="67" s="441" customFormat="true" ht="15.75" hidden="true" customHeight="true" outlineLevel="1" collapsed="false">
      <c r="A67" s="286"/>
      <c r="B67" s="444" t="s">
        <v>213</v>
      </c>
      <c r="C67" s="431" t="s">
        <v>214</v>
      </c>
      <c r="D67" s="432"/>
      <c r="E67" s="460"/>
      <c r="F67" s="433"/>
      <c r="G67" s="433"/>
      <c r="H67" s="434"/>
      <c r="I67" s="422"/>
      <c r="J67" s="432"/>
      <c r="K67" s="460"/>
      <c r="L67" s="433"/>
      <c r="M67" s="433"/>
      <c r="N67" s="434"/>
      <c r="O67" s="435"/>
      <c r="P67" s="461"/>
      <c r="Q67" s="460"/>
      <c r="R67" s="433"/>
      <c r="S67" s="433"/>
      <c r="T67" s="434"/>
      <c r="U67" s="423"/>
      <c r="V67" s="461"/>
      <c r="W67" s="460"/>
      <c r="X67" s="460"/>
      <c r="Y67" s="433"/>
      <c r="Z67" s="433"/>
      <c r="AA67" s="433"/>
      <c r="AB67" s="434"/>
      <c r="AC67" s="435"/>
      <c r="AD67" s="461"/>
      <c r="AE67" s="460"/>
      <c r="AF67" s="460"/>
      <c r="AG67" s="433"/>
      <c r="AH67" s="433"/>
      <c r="AI67" s="433"/>
      <c r="AJ67" s="434"/>
      <c r="AK67" s="435"/>
      <c r="AL67" s="461"/>
      <c r="AM67" s="460"/>
      <c r="AN67" s="460"/>
      <c r="AO67" s="460"/>
      <c r="AP67" s="433"/>
      <c r="AQ67" s="433"/>
      <c r="AR67" s="433"/>
      <c r="AS67" s="434"/>
      <c r="AT67" s="424"/>
      <c r="AU67" s="461"/>
      <c r="AV67" s="460"/>
      <c r="AW67" s="460"/>
      <c r="AX67" s="433"/>
      <c r="AY67" s="433"/>
      <c r="AZ67" s="433"/>
      <c r="BA67" s="434"/>
      <c r="BB67" s="435"/>
      <c r="BC67" s="496"/>
      <c r="BD67" s="488"/>
      <c r="BE67" s="488"/>
      <c r="BF67" s="144"/>
      <c r="BG67" s="144"/>
      <c r="BH67" s="433"/>
      <c r="BI67" s="434"/>
      <c r="BJ67" s="436"/>
      <c r="BK67" s="461"/>
      <c r="BL67" s="460"/>
      <c r="BM67" s="460"/>
      <c r="BN67" s="460"/>
      <c r="BO67" s="433"/>
      <c r="BP67" s="433"/>
      <c r="BQ67" s="433"/>
      <c r="BR67" s="434"/>
      <c r="BS67" s="436"/>
      <c r="BT67" s="461"/>
      <c r="BU67" s="460"/>
      <c r="BV67" s="460"/>
      <c r="BW67" s="433"/>
      <c r="BX67" s="433"/>
      <c r="BY67" s="433"/>
      <c r="BZ67" s="434"/>
      <c r="CA67" s="373"/>
      <c r="CB67" s="461"/>
      <c r="CC67" s="460"/>
      <c r="CD67" s="460"/>
      <c r="CE67" s="433"/>
      <c r="CF67" s="433"/>
      <c r="CG67" s="433"/>
      <c r="CH67" s="434"/>
      <c r="CI67" s="373"/>
      <c r="CJ67" s="461"/>
      <c r="CK67" s="460"/>
      <c r="CL67" s="460"/>
      <c r="CM67" s="433"/>
      <c r="CN67" s="433"/>
      <c r="CO67" s="433"/>
      <c r="CP67" s="434"/>
      <c r="CQ67" s="435"/>
      <c r="CR67" s="432"/>
      <c r="CS67" s="433"/>
      <c r="CT67" s="433"/>
      <c r="CU67" s="433" t="n">
        <f aca="false">+CR67-CS67</f>
        <v>0</v>
      </c>
      <c r="CV67" s="433" t="n">
        <f aca="false">+CR67-CT67</f>
        <v>0</v>
      </c>
      <c r="CW67" s="433"/>
      <c r="CX67" s="434" t="str">
        <f aca="false">IFERROR(CR67/CW67-1, "-")</f>
        <v>-</v>
      </c>
      <c r="CY67" s="425"/>
      <c r="CZ67" s="437"/>
      <c r="DA67" s="460"/>
      <c r="DB67" s="460"/>
      <c r="DC67" s="460"/>
      <c r="DD67" s="460"/>
      <c r="DE67" s="434" t="e">
        <f aca="false">+CZ67/DD67-1</f>
        <v>#DIV/0!</v>
      </c>
      <c r="DF67" s="434" t="e">
        <f aca="false">+DA67/DD67-1</f>
        <v>#DIV/0!</v>
      </c>
      <c r="DG67" s="438" t="e">
        <f aca="false">+DB67/DD67-1</f>
        <v>#DIV/0!</v>
      </c>
      <c r="DH67" s="438" t="e">
        <f aca="false">+DC67/DD67-1</f>
        <v>#DIV/0!</v>
      </c>
      <c r="DI67" s="413"/>
      <c r="DJ67" s="117" t="n">
        <f aca="false">SUM(D67,J67,P67,V67,AD67,AL67,AU67,BC67,BK67,BT67,CB67,CJ67)-CR67</f>
        <v>0</v>
      </c>
      <c r="DK67" s="117" t="n">
        <f aca="false">SUM(E67,K67,Q67,W67,AE67,AM67,AV67,BD67,BL67,BU67,CC67,CK67)-CS67</f>
        <v>0</v>
      </c>
      <c r="DL67" s="117" t="n">
        <f aca="false">SUM(G67,M67,S67,AA67,AI67,AR67,AZ67,BH67,BQ67,BY67,CG67,CO67)-CW67</f>
        <v>0</v>
      </c>
      <c r="DM67" s="117" t="n">
        <f aca="false">SUM(D67,J67,P67,V67,AD67,AL67,AU67,BC67,,BN67,BV67,CD67,CL67)-CT67</f>
        <v>0</v>
      </c>
      <c r="DN67" s="413"/>
      <c r="DO67" s="413"/>
      <c r="DP67" s="439" t="n">
        <v>983202562</v>
      </c>
      <c r="DQ67" s="415" t="n">
        <f aca="false">-CR67+DP67/10^6</f>
        <v>983.202562</v>
      </c>
      <c r="DR67" s="117" t="n">
        <f aca="false">SUM(E67,K67,Q67,W67,AE67,AM67,AV67,BD67,BL67,BU67,CC67,CK67)-CS67</f>
        <v>0</v>
      </c>
      <c r="DS67" s="117" t="n">
        <f aca="false">SUM(D67,J67,P67,V67,AD67,AL67,AU67,BC67,,BN67,BV67,CD67,CL67)-CT67</f>
        <v>0</v>
      </c>
      <c r="DT67" s="416"/>
      <c r="DU67" s="440" t="n">
        <v>83.154258</v>
      </c>
      <c r="DV67" s="418" t="n">
        <f aca="false">DU67-CJ67</f>
        <v>83.154258</v>
      </c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  <c r="EB67" s="419"/>
    </row>
    <row r="68" s="441" customFormat="true" ht="15.75" hidden="true" customHeight="true" outlineLevel="1" collapsed="false">
      <c r="A68" s="286"/>
      <c r="B68" s="444" t="s">
        <v>215</v>
      </c>
      <c r="C68" s="431" t="s">
        <v>216</v>
      </c>
      <c r="D68" s="432"/>
      <c r="E68" s="433"/>
      <c r="F68" s="433"/>
      <c r="G68" s="433"/>
      <c r="H68" s="434"/>
      <c r="I68" s="422"/>
      <c r="J68" s="432"/>
      <c r="K68" s="433"/>
      <c r="L68" s="433"/>
      <c r="M68" s="433"/>
      <c r="N68" s="434"/>
      <c r="O68" s="435"/>
      <c r="P68" s="500"/>
      <c r="Q68" s="433"/>
      <c r="R68" s="433"/>
      <c r="S68" s="433"/>
      <c r="T68" s="434"/>
      <c r="U68" s="423"/>
      <c r="V68" s="500"/>
      <c r="W68" s="433"/>
      <c r="X68" s="433"/>
      <c r="Y68" s="433"/>
      <c r="Z68" s="433"/>
      <c r="AA68" s="433"/>
      <c r="AB68" s="434"/>
      <c r="AC68" s="435"/>
      <c r="AD68" s="500"/>
      <c r="AE68" s="433"/>
      <c r="AF68" s="433"/>
      <c r="AG68" s="433"/>
      <c r="AH68" s="433"/>
      <c r="AI68" s="433"/>
      <c r="AJ68" s="434"/>
      <c r="AK68" s="435"/>
      <c r="AL68" s="500"/>
      <c r="AM68" s="433"/>
      <c r="AN68" s="433"/>
      <c r="AO68" s="433"/>
      <c r="AP68" s="433"/>
      <c r="AQ68" s="433"/>
      <c r="AR68" s="433"/>
      <c r="AS68" s="434"/>
      <c r="AT68" s="424"/>
      <c r="AU68" s="500"/>
      <c r="AV68" s="433"/>
      <c r="AW68" s="433"/>
      <c r="AX68" s="433"/>
      <c r="AY68" s="433"/>
      <c r="AZ68" s="433"/>
      <c r="BA68" s="434"/>
      <c r="BB68" s="435"/>
      <c r="BC68" s="281"/>
      <c r="BD68" s="144"/>
      <c r="BE68" s="144"/>
      <c r="BF68" s="144"/>
      <c r="BG68" s="144"/>
      <c r="BH68" s="433"/>
      <c r="BI68" s="434"/>
      <c r="BJ68" s="436"/>
      <c r="BK68" s="432"/>
      <c r="BL68" s="433"/>
      <c r="BM68" s="433"/>
      <c r="BN68" s="433"/>
      <c r="BO68" s="433"/>
      <c r="BP68" s="433"/>
      <c r="BQ68" s="433"/>
      <c r="BR68" s="434"/>
      <c r="BS68" s="436"/>
      <c r="BT68" s="432"/>
      <c r="BU68" s="433"/>
      <c r="BV68" s="433"/>
      <c r="BW68" s="433"/>
      <c r="BX68" s="433"/>
      <c r="BY68" s="433"/>
      <c r="BZ68" s="434"/>
      <c r="CA68" s="373"/>
      <c r="CB68" s="432"/>
      <c r="CC68" s="433"/>
      <c r="CD68" s="433"/>
      <c r="CE68" s="433"/>
      <c r="CF68" s="433"/>
      <c r="CG68" s="433"/>
      <c r="CH68" s="434"/>
      <c r="CI68" s="373"/>
      <c r="CJ68" s="432"/>
      <c r="CK68" s="433"/>
      <c r="CL68" s="433"/>
      <c r="CM68" s="433"/>
      <c r="CN68" s="433"/>
      <c r="CO68" s="433"/>
      <c r="CP68" s="434"/>
      <c r="CQ68" s="435"/>
      <c r="CR68" s="432"/>
      <c r="CS68" s="433"/>
      <c r="CT68" s="433"/>
      <c r="CU68" s="433" t="n">
        <f aca="false">+CR68-CS68</f>
        <v>0</v>
      </c>
      <c r="CV68" s="433" t="n">
        <f aca="false">+CR68-CT68</f>
        <v>0</v>
      </c>
      <c r="CW68" s="433"/>
      <c r="CX68" s="434" t="str">
        <f aca="false">IFERROR(CR68/CW68-1, "-")</f>
        <v>-</v>
      </c>
      <c r="CY68" s="425"/>
      <c r="CZ68" s="437"/>
      <c r="DA68" s="433"/>
      <c r="DB68" s="433"/>
      <c r="DC68" s="433"/>
      <c r="DD68" s="433"/>
      <c r="DE68" s="434" t="e">
        <f aca="false">+CZ68/DD68-1</f>
        <v>#DIV/0!</v>
      </c>
      <c r="DF68" s="434" t="e">
        <f aca="false">+DA68/DD68-1</f>
        <v>#DIV/0!</v>
      </c>
      <c r="DG68" s="438" t="e">
        <f aca="false">+DB68/DD68-1</f>
        <v>#DIV/0!</v>
      </c>
      <c r="DH68" s="438" t="e">
        <f aca="false">+DC68/DD68-1</f>
        <v>#DIV/0!</v>
      </c>
      <c r="DI68" s="413"/>
      <c r="DJ68" s="117" t="n">
        <f aca="false">SUM(D68,J68,P68,V68,AD68,AL68,AU68,BC68,BK68,BT68,CB68,CJ68)-CR68</f>
        <v>0</v>
      </c>
      <c r="DK68" s="117" t="n">
        <f aca="false">SUM(E68,K68,Q68,W68,AE68,AM68,AV68,BD68,BL68,BU68,CC68,CK68)-CS68</f>
        <v>0</v>
      </c>
      <c r="DL68" s="117" t="n">
        <f aca="false">SUM(G68,M68,S68,AA68,AI68,AR68,AZ68,BH68,BQ68,BY68,CG68,CO68)-CW68</f>
        <v>0</v>
      </c>
      <c r="DM68" s="117" t="n">
        <f aca="false">SUM(D68,J68,P68,V68,AD68,AL68,AU68,BC68,,BN68,BV68,CD68,CL68)-CT68</f>
        <v>0</v>
      </c>
      <c r="DN68" s="413"/>
      <c r="DO68" s="413"/>
      <c r="DP68" s="439" t="n">
        <v>-231139194</v>
      </c>
      <c r="DQ68" s="415" t="n">
        <f aca="false">-CR68+DP68/10^6</f>
        <v>-231.139194</v>
      </c>
      <c r="DR68" s="117" t="n">
        <f aca="false">SUM(E68,K68,Q68,W68,AE68,AM68,AV68,BD68,BL68,BU68,CC68,CK68)-CS68</f>
        <v>0</v>
      </c>
      <c r="DS68" s="117" t="n">
        <f aca="false">SUM(D68,J68,P68,V68,AD68,AL68,AU68,BC68,,BN68,BV68,CD68,CL68)-CT68</f>
        <v>0</v>
      </c>
      <c r="DT68" s="416"/>
      <c r="DU68" s="440" t="n">
        <v>-5.670593</v>
      </c>
      <c r="DV68" s="418" t="n">
        <f aca="false">DU68-CJ68</f>
        <v>-5.670593</v>
      </c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  <c r="EB68" s="419"/>
    </row>
    <row r="69" s="441" customFormat="true" ht="15.75" hidden="true" customHeight="true" outlineLevel="1" collapsed="false">
      <c r="A69" s="286"/>
      <c r="B69" s="444" t="s">
        <v>217</v>
      </c>
      <c r="C69" s="431" t="s">
        <v>218</v>
      </c>
      <c r="D69" s="432"/>
      <c r="E69" s="433"/>
      <c r="F69" s="433"/>
      <c r="G69" s="433"/>
      <c r="H69" s="434"/>
      <c r="I69" s="422"/>
      <c r="J69" s="432"/>
      <c r="K69" s="433"/>
      <c r="L69" s="433"/>
      <c r="M69" s="433"/>
      <c r="N69" s="434"/>
      <c r="O69" s="435"/>
      <c r="P69" s="432"/>
      <c r="Q69" s="433"/>
      <c r="R69" s="433"/>
      <c r="S69" s="433"/>
      <c r="T69" s="434"/>
      <c r="U69" s="423"/>
      <c r="V69" s="432"/>
      <c r="W69" s="433"/>
      <c r="X69" s="433"/>
      <c r="Y69" s="433"/>
      <c r="Z69" s="433"/>
      <c r="AA69" s="433"/>
      <c r="AB69" s="434"/>
      <c r="AC69" s="435"/>
      <c r="AD69" s="432"/>
      <c r="AE69" s="433"/>
      <c r="AF69" s="433"/>
      <c r="AG69" s="433"/>
      <c r="AH69" s="433"/>
      <c r="AI69" s="433"/>
      <c r="AJ69" s="434"/>
      <c r="AK69" s="435"/>
      <c r="AL69" s="432"/>
      <c r="AM69" s="433"/>
      <c r="AN69" s="433"/>
      <c r="AO69" s="433"/>
      <c r="AP69" s="433"/>
      <c r="AQ69" s="433"/>
      <c r="AR69" s="433"/>
      <c r="AS69" s="434"/>
      <c r="AT69" s="424"/>
      <c r="AU69" s="432"/>
      <c r="AV69" s="433"/>
      <c r="AW69" s="433"/>
      <c r="AX69" s="433"/>
      <c r="AY69" s="433"/>
      <c r="AZ69" s="433"/>
      <c r="BA69" s="434"/>
      <c r="BB69" s="435"/>
      <c r="BC69" s="281"/>
      <c r="BD69" s="144"/>
      <c r="BE69" s="144"/>
      <c r="BF69" s="144"/>
      <c r="BG69" s="144"/>
      <c r="BH69" s="433"/>
      <c r="BI69" s="434"/>
      <c r="BJ69" s="436"/>
      <c r="BK69" s="432"/>
      <c r="BL69" s="433"/>
      <c r="BM69" s="433"/>
      <c r="BN69" s="433"/>
      <c r="BO69" s="433"/>
      <c r="BP69" s="433"/>
      <c r="BQ69" s="433"/>
      <c r="BR69" s="434"/>
      <c r="BS69" s="436"/>
      <c r="BT69" s="432"/>
      <c r="BU69" s="433"/>
      <c r="BV69" s="433"/>
      <c r="BW69" s="433"/>
      <c r="BX69" s="433"/>
      <c r="BY69" s="433"/>
      <c r="BZ69" s="434"/>
      <c r="CA69" s="373"/>
      <c r="CB69" s="432"/>
      <c r="CC69" s="433"/>
      <c r="CD69" s="433"/>
      <c r="CE69" s="433"/>
      <c r="CF69" s="433"/>
      <c r="CG69" s="433"/>
      <c r="CH69" s="434"/>
      <c r="CI69" s="373"/>
      <c r="CJ69" s="432"/>
      <c r="CK69" s="433"/>
      <c r="CL69" s="433"/>
      <c r="CM69" s="433"/>
      <c r="CN69" s="433"/>
      <c r="CO69" s="433"/>
      <c r="CP69" s="434"/>
      <c r="CQ69" s="435"/>
      <c r="CR69" s="432"/>
      <c r="CS69" s="433"/>
      <c r="CT69" s="433"/>
      <c r="CU69" s="433" t="n">
        <f aca="false">+CR69-CS69</f>
        <v>0</v>
      </c>
      <c r="CV69" s="433" t="n">
        <f aca="false">+CR69-CT69</f>
        <v>0</v>
      </c>
      <c r="CW69" s="433"/>
      <c r="CX69" s="434" t="str">
        <f aca="false">IFERROR(CR69/CW69-1, "-")</f>
        <v>-</v>
      </c>
      <c r="CY69" s="425"/>
      <c r="CZ69" s="437"/>
      <c r="DA69" s="433"/>
      <c r="DB69" s="433"/>
      <c r="DC69" s="433"/>
      <c r="DD69" s="433"/>
      <c r="DE69" s="434"/>
      <c r="DF69" s="434"/>
      <c r="DG69" s="438"/>
      <c r="DH69" s="438"/>
      <c r="DI69" s="413"/>
      <c r="DJ69" s="117" t="n">
        <f aca="false">SUM(D69,J69,P69,V69,AD69,AL69,AU69,BC69,BK69,BT69,CB69,CJ69)-CR69</f>
        <v>0</v>
      </c>
      <c r="DK69" s="117" t="n">
        <f aca="false">SUM(E69,K69,Q69,W69,AE69,AM69,AV69,BD69,BL69,BU69,CC69,CK69)-CS69</f>
        <v>0</v>
      </c>
      <c r="DL69" s="117" t="n">
        <f aca="false">SUM(G69,M69,S69,AA69,AI69,AR69,AZ69,BH69,BQ69,BY69,CG69,CO69)-CW69</f>
        <v>0</v>
      </c>
      <c r="DM69" s="117" t="n">
        <f aca="false">SUM(D69,J69,P69,V69,AD69,AL69,AU69,BC69,,BN69,BV69,CD69,CL69)-CT69</f>
        <v>0</v>
      </c>
      <c r="DN69" s="413"/>
      <c r="DO69" s="413"/>
      <c r="DP69" s="439" t="n">
        <v>0</v>
      </c>
      <c r="DQ69" s="415" t="n">
        <f aca="false">-CR69+DP69/10^6</f>
        <v>0</v>
      </c>
      <c r="DR69" s="117" t="n">
        <f aca="false">SUM(E69,K69,Q69,W69,AE69,AM69,AV69,BD69,BL69,BU69,CC69,CK69)-CS69</f>
        <v>0</v>
      </c>
      <c r="DS69" s="117" t="n">
        <f aca="false">SUM(D69,J69,P69,V69,AD69,AL69,AU69,BC69,,BN69,BV69,CD69,CL69)-CT69</f>
        <v>0</v>
      </c>
      <c r="DT69" s="416"/>
      <c r="DU69" s="440" t="n">
        <v>0</v>
      </c>
      <c r="DV69" s="418" t="n">
        <f aca="false">DU69-CJ69</f>
        <v>0</v>
      </c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  <c r="EB69" s="419"/>
    </row>
    <row r="70" s="441" customFormat="true" ht="15.75" hidden="true" customHeight="true" outlineLevel="1" collapsed="false">
      <c r="A70" s="286"/>
      <c r="B70" s="444" t="s">
        <v>219</v>
      </c>
      <c r="C70" s="431" t="s">
        <v>220</v>
      </c>
      <c r="D70" s="432"/>
      <c r="E70" s="460"/>
      <c r="F70" s="433"/>
      <c r="G70" s="433"/>
      <c r="H70" s="434"/>
      <c r="I70" s="422"/>
      <c r="J70" s="432"/>
      <c r="K70" s="460"/>
      <c r="L70" s="433"/>
      <c r="M70" s="433"/>
      <c r="N70" s="434"/>
      <c r="O70" s="435"/>
      <c r="P70" s="432"/>
      <c r="Q70" s="460"/>
      <c r="R70" s="433"/>
      <c r="S70" s="433"/>
      <c r="T70" s="434"/>
      <c r="U70" s="423"/>
      <c r="V70" s="432"/>
      <c r="W70" s="460"/>
      <c r="X70" s="460"/>
      <c r="Y70" s="433"/>
      <c r="Z70" s="433"/>
      <c r="AA70" s="433"/>
      <c r="AB70" s="434"/>
      <c r="AC70" s="435"/>
      <c r="AD70" s="432"/>
      <c r="AE70" s="460"/>
      <c r="AF70" s="460"/>
      <c r="AG70" s="433"/>
      <c r="AH70" s="433"/>
      <c r="AI70" s="433"/>
      <c r="AJ70" s="434"/>
      <c r="AK70" s="435"/>
      <c r="AL70" s="432"/>
      <c r="AM70" s="460"/>
      <c r="AN70" s="460"/>
      <c r="AO70" s="460"/>
      <c r="AP70" s="433"/>
      <c r="AQ70" s="433"/>
      <c r="AR70" s="433"/>
      <c r="AS70" s="434"/>
      <c r="AT70" s="424"/>
      <c r="AU70" s="432"/>
      <c r="AV70" s="460"/>
      <c r="AW70" s="460"/>
      <c r="AX70" s="433"/>
      <c r="AY70" s="433"/>
      <c r="AZ70" s="433"/>
      <c r="BA70" s="434"/>
      <c r="BB70" s="435"/>
      <c r="BC70" s="281"/>
      <c r="BD70" s="488"/>
      <c r="BE70" s="488"/>
      <c r="BF70" s="144"/>
      <c r="BG70" s="144"/>
      <c r="BH70" s="433"/>
      <c r="BI70" s="434"/>
      <c r="BJ70" s="436"/>
      <c r="BK70" s="432"/>
      <c r="BL70" s="460"/>
      <c r="BM70" s="460"/>
      <c r="BN70" s="460"/>
      <c r="BO70" s="433"/>
      <c r="BP70" s="433"/>
      <c r="BQ70" s="433"/>
      <c r="BR70" s="434"/>
      <c r="BS70" s="436"/>
      <c r="BT70" s="432"/>
      <c r="BU70" s="460"/>
      <c r="BV70" s="460"/>
      <c r="BW70" s="433"/>
      <c r="BX70" s="433"/>
      <c r="BY70" s="433"/>
      <c r="BZ70" s="434"/>
      <c r="CA70" s="373"/>
      <c r="CB70" s="432"/>
      <c r="CC70" s="460"/>
      <c r="CD70" s="460"/>
      <c r="CE70" s="433"/>
      <c r="CF70" s="433"/>
      <c r="CG70" s="433"/>
      <c r="CH70" s="434"/>
      <c r="CI70" s="373"/>
      <c r="CJ70" s="432"/>
      <c r="CK70" s="460"/>
      <c r="CL70" s="460"/>
      <c r="CM70" s="433"/>
      <c r="CN70" s="433"/>
      <c r="CO70" s="433"/>
      <c r="CP70" s="434"/>
      <c r="CQ70" s="435"/>
      <c r="CR70" s="432"/>
      <c r="CS70" s="433"/>
      <c r="CT70" s="433"/>
      <c r="CU70" s="433" t="n">
        <f aca="false">+CR70-CS70</f>
        <v>0</v>
      </c>
      <c r="CV70" s="433" t="n">
        <f aca="false">+CR70-CT70</f>
        <v>0</v>
      </c>
      <c r="CW70" s="433"/>
      <c r="CX70" s="434" t="str">
        <f aca="false">IFERROR(CR70/CW70-1, "-")</f>
        <v>-</v>
      </c>
      <c r="CY70" s="425"/>
      <c r="CZ70" s="437"/>
      <c r="DA70" s="460"/>
      <c r="DB70" s="460"/>
      <c r="DC70" s="460"/>
      <c r="DD70" s="460"/>
      <c r="DE70" s="434" t="e">
        <f aca="false">+CZ70/DD70-1</f>
        <v>#DIV/0!</v>
      </c>
      <c r="DF70" s="434" t="e">
        <f aca="false">+DA70/DD70-1</f>
        <v>#DIV/0!</v>
      </c>
      <c r="DG70" s="438" t="e">
        <f aca="false">+DB70/DD70-1</f>
        <v>#DIV/0!</v>
      </c>
      <c r="DH70" s="438" t="e">
        <f aca="false">+DC70/DD70-1</f>
        <v>#DIV/0!</v>
      </c>
      <c r="DI70" s="413"/>
      <c r="DJ70" s="117" t="n">
        <f aca="false">SUM(D70,J70,P70,V70,AD70,AL70,AU70,BC70,BK70,BT70,CB70,CJ70)-CR70</f>
        <v>0</v>
      </c>
      <c r="DK70" s="117" t="n">
        <f aca="false">SUM(E70,K70,Q70,W70,AE70,AM70,AV70,BD70,BL70,BU70,CC70,CK70)-CS70</f>
        <v>0</v>
      </c>
      <c r="DL70" s="117" t="n">
        <f aca="false">SUM(G70,M70,S70,AA70,AI70,AR70,AZ70,BH70,BQ70,BY70,CG70,CO70)-CW70</f>
        <v>0</v>
      </c>
      <c r="DM70" s="117" t="n">
        <f aca="false">SUM(D70,J70,P70,V70,AD70,AL70,AU70,BC70,,BN70,BV70,CD70,CL70)-CT70</f>
        <v>0</v>
      </c>
      <c r="DN70" s="413"/>
      <c r="DO70" s="413"/>
      <c r="DP70" s="439" t="n">
        <v>142576762</v>
      </c>
      <c r="DQ70" s="415" t="n">
        <f aca="false">-CR70+DP70/10^6</f>
        <v>142.576762</v>
      </c>
      <c r="DR70" s="117" t="n">
        <f aca="false">SUM(E70,K70,Q70,W70,AE70,AM70,AV70,BD70,BL70,BU70,CC70,CK70)-CS70</f>
        <v>0</v>
      </c>
      <c r="DS70" s="117" t="n">
        <f aca="false">SUM(D70,J70,P70,V70,AD70,AL70,AU70,BC70,,BN70,BV70,CD70,CL70)-CT70</f>
        <v>0</v>
      </c>
      <c r="DT70" s="416"/>
      <c r="DU70" s="440" t="n">
        <v>18.685949</v>
      </c>
      <c r="DV70" s="418" t="n">
        <f aca="false">DU70-CJ70</f>
        <v>18.685949</v>
      </c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  <c r="EB70" s="419"/>
    </row>
    <row r="71" s="441" customFormat="true" ht="15.75" hidden="true" customHeight="true" outlineLevel="1" collapsed="false">
      <c r="A71" s="286"/>
      <c r="B71" s="444" t="s">
        <v>213</v>
      </c>
      <c r="C71" s="431" t="s">
        <v>221</v>
      </c>
      <c r="D71" s="432"/>
      <c r="E71" s="433"/>
      <c r="F71" s="433"/>
      <c r="G71" s="433"/>
      <c r="H71" s="434"/>
      <c r="I71" s="422"/>
      <c r="J71" s="432"/>
      <c r="K71" s="433"/>
      <c r="L71" s="433"/>
      <c r="M71" s="433"/>
      <c r="N71" s="434"/>
      <c r="O71" s="435"/>
      <c r="P71" s="432"/>
      <c r="Q71" s="433"/>
      <c r="R71" s="433"/>
      <c r="S71" s="433"/>
      <c r="T71" s="434"/>
      <c r="U71" s="423"/>
      <c r="V71" s="432"/>
      <c r="W71" s="433"/>
      <c r="X71" s="433"/>
      <c r="Y71" s="433"/>
      <c r="Z71" s="433"/>
      <c r="AA71" s="433"/>
      <c r="AB71" s="434"/>
      <c r="AC71" s="435"/>
      <c r="AD71" s="432"/>
      <c r="AE71" s="433"/>
      <c r="AF71" s="433"/>
      <c r="AG71" s="433"/>
      <c r="AH71" s="433"/>
      <c r="AI71" s="433"/>
      <c r="AJ71" s="434"/>
      <c r="AK71" s="435"/>
      <c r="AL71" s="432"/>
      <c r="AM71" s="433"/>
      <c r="AN71" s="433"/>
      <c r="AO71" s="433"/>
      <c r="AP71" s="433"/>
      <c r="AQ71" s="433"/>
      <c r="AR71" s="433"/>
      <c r="AS71" s="434"/>
      <c r="AT71" s="424"/>
      <c r="AU71" s="432"/>
      <c r="AV71" s="433"/>
      <c r="AW71" s="433"/>
      <c r="AX71" s="433"/>
      <c r="AY71" s="433"/>
      <c r="AZ71" s="433"/>
      <c r="BA71" s="434"/>
      <c r="BB71" s="435"/>
      <c r="BC71" s="281"/>
      <c r="BD71" s="144"/>
      <c r="BE71" s="144"/>
      <c r="BF71" s="144"/>
      <c r="BG71" s="144"/>
      <c r="BH71" s="433"/>
      <c r="BI71" s="434"/>
      <c r="BJ71" s="436"/>
      <c r="BK71" s="432"/>
      <c r="BL71" s="433"/>
      <c r="BM71" s="433"/>
      <c r="BN71" s="433"/>
      <c r="BO71" s="433"/>
      <c r="BP71" s="433"/>
      <c r="BQ71" s="433"/>
      <c r="BR71" s="434"/>
      <c r="BS71" s="436"/>
      <c r="BT71" s="432"/>
      <c r="BU71" s="433"/>
      <c r="BV71" s="433"/>
      <c r="BW71" s="433"/>
      <c r="BX71" s="433"/>
      <c r="BY71" s="433"/>
      <c r="BZ71" s="434"/>
      <c r="CA71" s="373"/>
      <c r="CB71" s="432"/>
      <c r="CC71" s="433"/>
      <c r="CD71" s="433"/>
      <c r="CE71" s="433"/>
      <c r="CF71" s="433"/>
      <c r="CG71" s="433"/>
      <c r="CH71" s="434"/>
      <c r="CI71" s="373"/>
      <c r="CJ71" s="432"/>
      <c r="CK71" s="433"/>
      <c r="CL71" s="433"/>
      <c r="CM71" s="433"/>
      <c r="CN71" s="433"/>
      <c r="CO71" s="433"/>
      <c r="CP71" s="434"/>
      <c r="CQ71" s="435"/>
      <c r="CR71" s="432"/>
      <c r="CS71" s="433"/>
      <c r="CT71" s="433"/>
      <c r="CU71" s="433" t="n">
        <f aca="false">+CR71-CS71</f>
        <v>0</v>
      </c>
      <c r="CV71" s="433" t="n">
        <f aca="false">+CR71-CT71</f>
        <v>0</v>
      </c>
      <c r="CW71" s="433"/>
      <c r="CX71" s="434" t="str">
        <f aca="false">IFERROR(CR71/CW71-1, "-")</f>
        <v>-</v>
      </c>
      <c r="CY71" s="425"/>
      <c r="CZ71" s="437"/>
      <c r="DA71" s="433"/>
      <c r="DB71" s="433"/>
      <c r="DC71" s="433"/>
      <c r="DD71" s="433"/>
      <c r="DE71" s="434"/>
      <c r="DF71" s="434"/>
      <c r="DG71" s="438"/>
      <c r="DH71" s="438"/>
      <c r="DI71" s="413"/>
      <c r="DJ71" s="117" t="n">
        <f aca="false">SUM(D71,J71,P71,V71,AD71,AL71,AU71,BC71,BK71,BT71,CB71,CJ71)-CR71</f>
        <v>0</v>
      </c>
      <c r="DK71" s="117" t="n">
        <f aca="false">SUM(E71,K71,Q71,W71,AE71,AM71,AV71,BD71,BL71,BU71,CC71,CK71)-CS71</f>
        <v>0</v>
      </c>
      <c r="DL71" s="117" t="n">
        <f aca="false">SUM(G71,M71,S71,AA71,AI71,AR71,AZ71,BH71,BQ71,BY71,CG71,CO71)-CW71</f>
        <v>0</v>
      </c>
      <c r="DM71" s="117" t="n">
        <f aca="false">SUM(D71,J71,P71,V71,AD71,AL71,AU71,BC71,,BN71,BV71,CD71,CL71)-CT71</f>
        <v>0</v>
      </c>
      <c r="DN71" s="413"/>
      <c r="DO71" s="413"/>
      <c r="DP71" s="439" t="n">
        <v>0</v>
      </c>
      <c r="DQ71" s="415" t="n">
        <f aca="false">-CR71+DP71/10^6</f>
        <v>0</v>
      </c>
      <c r="DR71" s="117" t="n">
        <f aca="false">SUM(E71,K71,Q71,W71,AE71,AM71,AV71,BD71,BL71,BU71,CC71,CK71)-CS71</f>
        <v>0</v>
      </c>
      <c r="DS71" s="117" t="n">
        <f aca="false">SUM(D71,J71,P71,V71,AD71,AL71,AU71,BC71,,BN71,BV71,CD71,CL71)-CT71</f>
        <v>0</v>
      </c>
      <c r="DT71" s="416"/>
      <c r="DU71" s="440" t="n">
        <v>0</v>
      </c>
      <c r="DV71" s="418" t="n">
        <f aca="false">DU71-CJ71</f>
        <v>0</v>
      </c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  <c r="EB71" s="419"/>
    </row>
    <row r="72" s="441" customFormat="true" ht="15.75" hidden="true" customHeight="true" outlineLevel="1" collapsed="false">
      <c r="A72" s="286"/>
      <c r="B72" s="444" t="s">
        <v>222</v>
      </c>
      <c r="C72" s="431" t="s">
        <v>223</v>
      </c>
      <c r="D72" s="432"/>
      <c r="E72" s="433"/>
      <c r="F72" s="433"/>
      <c r="G72" s="433"/>
      <c r="H72" s="434"/>
      <c r="I72" s="422"/>
      <c r="J72" s="432"/>
      <c r="K72" s="433"/>
      <c r="L72" s="433"/>
      <c r="M72" s="433"/>
      <c r="N72" s="434"/>
      <c r="O72" s="435"/>
      <c r="P72" s="432"/>
      <c r="Q72" s="433"/>
      <c r="R72" s="433"/>
      <c r="S72" s="433"/>
      <c r="T72" s="434"/>
      <c r="U72" s="423"/>
      <c r="V72" s="432"/>
      <c r="W72" s="433"/>
      <c r="X72" s="433"/>
      <c r="Y72" s="433"/>
      <c r="Z72" s="433"/>
      <c r="AA72" s="433"/>
      <c r="AB72" s="434"/>
      <c r="AC72" s="435"/>
      <c r="AD72" s="432"/>
      <c r="AE72" s="433"/>
      <c r="AF72" s="433"/>
      <c r="AG72" s="433"/>
      <c r="AH72" s="433"/>
      <c r="AI72" s="433"/>
      <c r="AJ72" s="434"/>
      <c r="AK72" s="435"/>
      <c r="AL72" s="432"/>
      <c r="AM72" s="433"/>
      <c r="AN72" s="433"/>
      <c r="AO72" s="433"/>
      <c r="AP72" s="433"/>
      <c r="AQ72" s="433"/>
      <c r="AR72" s="433"/>
      <c r="AS72" s="434"/>
      <c r="AT72" s="424"/>
      <c r="AU72" s="432"/>
      <c r="AV72" s="433"/>
      <c r="AW72" s="433"/>
      <c r="AX72" s="433"/>
      <c r="AY72" s="433"/>
      <c r="AZ72" s="433"/>
      <c r="BA72" s="434"/>
      <c r="BB72" s="435"/>
      <c r="BC72" s="281"/>
      <c r="BD72" s="144"/>
      <c r="BE72" s="144"/>
      <c r="BF72" s="144"/>
      <c r="BG72" s="144"/>
      <c r="BH72" s="433"/>
      <c r="BI72" s="434"/>
      <c r="BJ72" s="436"/>
      <c r="BK72" s="432"/>
      <c r="BL72" s="433"/>
      <c r="BM72" s="433"/>
      <c r="BN72" s="433"/>
      <c r="BO72" s="433"/>
      <c r="BP72" s="433"/>
      <c r="BQ72" s="433"/>
      <c r="BR72" s="434"/>
      <c r="BS72" s="436"/>
      <c r="BT72" s="432"/>
      <c r="BU72" s="433"/>
      <c r="BV72" s="433"/>
      <c r="BW72" s="433"/>
      <c r="BX72" s="433"/>
      <c r="BY72" s="433"/>
      <c r="BZ72" s="434"/>
      <c r="CA72" s="373"/>
      <c r="CB72" s="432"/>
      <c r="CC72" s="433"/>
      <c r="CD72" s="433"/>
      <c r="CE72" s="433"/>
      <c r="CF72" s="433"/>
      <c r="CG72" s="433"/>
      <c r="CH72" s="434"/>
      <c r="CI72" s="373"/>
      <c r="CJ72" s="432"/>
      <c r="CK72" s="433"/>
      <c r="CL72" s="433"/>
      <c r="CM72" s="433"/>
      <c r="CN72" s="433"/>
      <c r="CO72" s="433"/>
      <c r="CP72" s="434"/>
      <c r="CQ72" s="435"/>
      <c r="CR72" s="432"/>
      <c r="CS72" s="433"/>
      <c r="CT72" s="433"/>
      <c r="CU72" s="433" t="n">
        <f aca="false">+CR72-CS72</f>
        <v>0</v>
      </c>
      <c r="CV72" s="433" t="n">
        <f aca="false">+CR72-CT72</f>
        <v>0</v>
      </c>
      <c r="CW72" s="433"/>
      <c r="CX72" s="434" t="str">
        <f aca="false">IFERROR(CR72/CW72-1, "-")</f>
        <v>-</v>
      </c>
      <c r="CY72" s="425"/>
      <c r="CZ72" s="437"/>
      <c r="DA72" s="433"/>
      <c r="DB72" s="433"/>
      <c r="DC72" s="433"/>
      <c r="DD72" s="433"/>
      <c r="DE72" s="434" t="e">
        <f aca="false">+CZ72/DD72-1</f>
        <v>#DIV/0!</v>
      </c>
      <c r="DF72" s="434" t="e">
        <f aca="false">+DA72/DD72-1</f>
        <v>#DIV/0!</v>
      </c>
      <c r="DG72" s="438" t="e">
        <f aca="false">+DB72/DD72-1</f>
        <v>#DIV/0!</v>
      </c>
      <c r="DH72" s="438" t="e">
        <f aca="false">+DC72/DD72-1</f>
        <v>#DIV/0!</v>
      </c>
      <c r="DI72" s="413"/>
      <c r="DJ72" s="117" t="n">
        <f aca="false">SUM(D72,J72,P72,V72,AD72,AL72,AU72,BC72,BK72,BT72,CB72,CJ72)-CR72</f>
        <v>0</v>
      </c>
      <c r="DK72" s="117" t="n">
        <f aca="false">SUM(E72,K72,Q72,W72,AE72,AM72,AV72,BD72,BL72,BU72,CC72,CK72)-CS72</f>
        <v>0</v>
      </c>
      <c r="DL72" s="117" t="n">
        <f aca="false">SUM(G72,M72,S72,AA72,AI72,AR72,AZ72,BH72,BQ72,BY72,CG72,CO72)-CW72</f>
        <v>0</v>
      </c>
      <c r="DM72" s="117" t="n">
        <f aca="false">SUM(D72,J72,P72,V72,AD72,AL72,AU72,BC72,,BN72,BV72,CD72,CL72)-CT72</f>
        <v>0</v>
      </c>
      <c r="DN72" s="413"/>
      <c r="DO72" s="413"/>
      <c r="DP72" s="439" t="n">
        <v>16502302</v>
      </c>
      <c r="DQ72" s="415" t="n">
        <f aca="false">-CR72+DP72/10^6</f>
        <v>16.502302</v>
      </c>
      <c r="DR72" s="117" t="n">
        <f aca="false">SUM(E72,K72,Q72,W72,AE72,AM72,AV72,BD72,BL72,BU72,CC72,CK72)-CS72</f>
        <v>0</v>
      </c>
      <c r="DS72" s="117" t="n">
        <f aca="false">SUM(D72,J72,P72,V72,AD72,AL72,AU72,BC72,,BN72,BV72,CD72,CL72)-CT72</f>
        <v>0</v>
      </c>
      <c r="DT72" s="416"/>
      <c r="DU72" s="440" t="n">
        <v>1.010951</v>
      </c>
      <c r="DV72" s="418" t="n">
        <f aca="false">DU72-CJ72</f>
        <v>1.010951</v>
      </c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  <c r="EB72" s="419"/>
    </row>
    <row r="73" s="441" customFormat="true" ht="15.75" hidden="true" customHeight="true" outlineLevel="1" collapsed="false">
      <c r="A73" s="286"/>
      <c r="B73" s="444" t="s">
        <v>224</v>
      </c>
      <c r="C73" s="431" t="s">
        <v>225</v>
      </c>
      <c r="D73" s="461"/>
      <c r="E73" s="433"/>
      <c r="F73" s="433"/>
      <c r="G73" s="433"/>
      <c r="H73" s="434"/>
      <c r="I73" s="422"/>
      <c r="J73" s="461"/>
      <c r="K73" s="433"/>
      <c r="L73" s="433"/>
      <c r="M73" s="433"/>
      <c r="N73" s="434"/>
      <c r="O73" s="435"/>
      <c r="P73" s="461"/>
      <c r="Q73" s="433"/>
      <c r="R73" s="433"/>
      <c r="S73" s="433"/>
      <c r="T73" s="434"/>
      <c r="U73" s="423"/>
      <c r="V73" s="432"/>
      <c r="W73" s="433"/>
      <c r="X73" s="433"/>
      <c r="Y73" s="433"/>
      <c r="Z73" s="433"/>
      <c r="AA73" s="433"/>
      <c r="AB73" s="434"/>
      <c r="AC73" s="435"/>
      <c r="AD73" s="432"/>
      <c r="AE73" s="433"/>
      <c r="AF73" s="433"/>
      <c r="AG73" s="433"/>
      <c r="AH73" s="433"/>
      <c r="AI73" s="433"/>
      <c r="AJ73" s="434"/>
      <c r="AK73" s="435"/>
      <c r="AL73" s="432"/>
      <c r="AM73" s="433"/>
      <c r="AN73" s="433"/>
      <c r="AO73" s="433"/>
      <c r="AP73" s="433"/>
      <c r="AQ73" s="433"/>
      <c r="AR73" s="433"/>
      <c r="AS73" s="434"/>
      <c r="AT73" s="424"/>
      <c r="AU73" s="432"/>
      <c r="AV73" s="433"/>
      <c r="AW73" s="433"/>
      <c r="AX73" s="433"/>
      <c r="AY73" s="433"/>
      <c r="AZ73" s="433"/>
      <c r="BA73" s="434"/>
      <c r="BB73" s="435"/>
      <c r="BC73" s="281"/>
      <c r="BD73" s="144"/>
      <c r="BE73" s="144"/>
      <c r="BF73" s="144"/>
      <c r="BG73" s="144"/>
      <c r="BH73" s="433"/>
      <c r="BI73" s="434"/>
      <c r="BJ73" s="436"/>
      <c r="BK73" s="432"/>
      <c r="BL73" s="433"/>
      <c r="BM73" s="433"/>
      <c r="BN73" s="433"/>
      <c r="BO73" s="433"/>
      <c r="BP73" s="433"/>
      <c r="BQ73" s="433"/>
      <c r="BR73" s="434"/>
      <c r="BS73" s="436"/>
      <c r="BT73" s="432"/>
      <c r="BU73" s="433"/>
      <c r="BV73" s="433"/>
      <c r="BW73" s="433"/>
      <c r="BX73" s="433"/>
      <c r="BY73" s="433"/>
      <c r="BZ73" s="434"/>
      <c r="CA73" s="373"/>
      <c r="CB73" s="432"/>
      <c r="CC73" s="433"/>
      <c r="CD73" s="433"/>
      <c r="CE73" s="433"/>
      <c r="CF73" s="433"/>
      <c r="CG73" s="433"/>
      <c r="CH73" s="434"/>
      <c r="CI73" s="373"/>
      <c r="CJ73" s="432"/>
      <c r="CK73" s="433"/>
      <c r="CL73" s="433"/>
      <c r="CM73" s="433"/>
      <c r="CN73" s="433"/>
      <c r="CO73" s="433"/>
      <c r="CP73" s="434"/>
      <c r="CQ73" s="435"/>
      <c r="CR73" s="432"/>
      <c r="CS73" s="433"/>
      <c r="CT73" s="433"/>
      <c r="CU73" s="433" t="n">
        <f aca="false">+CR73-CS73</f>
        <v>0</v>
      </c>
      <c r="CV73" s="433" t="n">
        <f aca="false">+CR73-CT73</f>
        <v>0</v>
      </c>
      <c r="CW73" s="433"/>
      <c r="CX73" s="434" t="str">
        <f aca="false">IFERROR(CR73/CW73-1, "-")</f>
        <v>-</v>
      </c>
      <c r="CY73" s="425"/>
      <c r="CZ73" s="437"/>
      <c r="DA73" s="433"/>
      <c r="DB73" s="433"/>
      <c r="DC73" s="433"/>
      <c r="DD73" s="433"/>
      <c r="DE73" s="434" t="e">
        <f aca="false">+CZ73/DD73-1</f>
        <v>#DIV/0!</v>
      </c>
      <c r="DF73" s="434" t="e">
        <f aca="false">+DA73/DD73-1</f>
        <v>#DIV/0!</v>
      </c>
      <c r="DG73" s="438" t="e">
        <f aca="false">+DB73/DD73-1</f>
        <v>#DIV/0!</v>
      </c>
      <c r="DH73" s="438" t="e">
        <f aca="false">+DC73/DD73-1</f>
        <v>#DIV/0!</v>
      </c>
      <c r="DI73" s="413"/>
      <c r="DJ73" s="117" t="n">
        <f aca="false">SUM(D73,J73,P73,V73,AD73,AL73,AU73,BC73,BK73,BT73,CB73,CJ73)-CR73</f>
        <v>0</v>
      </c>
      <c r="DK73" s="117" t="n">
        <f aca="false">SUM(E73,K73,Q73,W73,AE73,AM73,AV73,BD73,BL73,BU73,CC73,CK73)-CS73</f>
        <v>0</v>
      </c>
      <c r="DL73" s="117" t="n">
        <f aca="false">SUM(G73,M73,S73,AA73,AI73,AR73,AZ73,BH73,BQ73,BY73,CG73,CO73)-CW73</f>
        <v>0</v>
      </c>
      <c r="DM73" s="117" t="n">
        <f aca="false">SUM(D73,J73,P73,V73,AD73,AL73,AU73,BC73,,BN73,BV73,CD73,CL73)-CT73</f>
        <v>0</v>
      </c>
      <c r="DN73" s="413"/>
      <c r="DO73" s="413"/>
      <c r="DP73" s="501" t="n">
        <v>683676551</v>
      </c>
      <c r="DQ73" s="415" t="n">
        <f aca="false">-CR73+DP73/10^6</f>
        <v>683.676551</v>
      </c>
      <c r="DR73" s="117" t="n">
        <f aca="false">SUM(E73,K73,Q73,W73,AE73,AM73,AV73,BD73,BL73,BU73,CC73,CK73)-CS73</f>
        <v>0</v>
      </c>
      <c r="DS73" s="117" t="n">
        <f aca="false">SUM(D73,J73,P73,V73,AD73,AL73,AU73,BC73,,BN73,BV73,CD73,CL73)-CT73</f>
        <v>0</v>
      </c>
      <c r="DT73" s="415" t="n">
        <v>-8.78196600000047</v>
      </c>
      <c r="DU73" s="440" t="n">
        <v>69.652354</v>
      </c>
      <c r="DV73" s="418" t="n">
        <f aca="false">DU73-CJ73</f>
        <v>69.652354</v>
      </c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  <c r="EB73" s="419"/>
    </row>
    <row r="74" s="441" customFormat="true" ht="15.75" hidden="true" customHeight="true" outlineLevel="1" collapsed="false">
      <c r="A74" s="286"/>
      <c r="B74" s="444" t="s">
        <v>226</v>
      </c>
      <c r="C74" s="431" t="s">
        <v>227</v>
      </c>
      <c r="D74" s="432"/>
      <c r="E74" s="433"/>
      <c r="F74" s="433"/>
      <c r="G74" s="433"/>
      <c r="H74" s="434"/>
      <c r="I74" s="422"/>
      <c r="J74" s="432"/>
      <c r="K74" s="433"/>
      <c r="L74" s="433"/>
      <c r="M74" s="433"/>
      <c r="N74" s="434"/>
      <c r="O74" s="435"/>
      <c r="P74" s="432"/>
      <c r="Q74" s="433"/>
      <c r="R74" s="433"/>
      <c r="S74" s="433"/>
      <c r="T74" s="434"/>
      <c r="U74" s="423"/>
      <c r="V74" s="432"/>
      <c r="W74" s="433"/>
      <c r="X74" s="433"/>
      <c r="Y74" s="433"/>
      <c r="Z74" s="433"/>
      <c r="AA74" s="433"/>
      <c r="AB74" s="434"/>
      <c r="AC74" s="435"/>
      <c r="AD74" s="432"/>
      <c r="AE74" s="433"/>
      <c r="AF74" s="433"/>
      <c r="AG74" s="433"/>
      <c r="AH74" s="433"/>
      <c r="AI74" s="433"/>
      <c r="AJ74" s="434"/>
      <c r="AK74" s="435"/>
      <c r="AL74" s="432"/>
      <c r="AM74" s="433"/>
      <c r="AN74" s="433"/>
      <c r="AO74" s="433"/>
      <c r="AP74" s="433"/>
      <c r="AQ74" s="433"/>
      <c r="AR74" s="433"/>
      <c r="AS74" s="434"/>
      <c r="AT74" s="424"/>
      <c r="AU74" s="432"/>
      <c r="AV74" s="433"/>
      <c r="AW74" s="433"/>
      <c r="AX74" s="433"/>
      <c r="AY74" s="433"/>
      <c r="AZ74" s="433"/>
      <c r="BA74" s="434"/>
      <c r="BB74" s="435"/>
      <c r="BC74" s="281"/>
      <c r="BD74" s="144"/>
      <c r="BE74" s="144"/>
      <c r="BF74" s="144"/>
      <c r="BG74" s="144"/>
      <c r="BH74" s="433"/>
      <c r="BI74" s="434"/>
      <c r="BJ74" s="436"/>
      <c r="BK74" s="432"/>
      <c r="BL74" s="433"/>
      <c r="BM74" s="433"/>
      <c r="BN74" s="433"/>
      <c r="BO74" s="433"/>
      <c r="BP74" s="433"/>
      <c r="BQ74" s="433"/>
      <c r="BR74" s="434"/>
      <c r="BS74" s="436"/>
      <c r="BT74" s="432"/>
      <c r="BU74" s="433"/>
      <c r="BV74" s="433"/>
      <c r="BW74" s="433"/>
      <c r="BX74" s="433"/>
      <c r="BY74" s="433"/>
      <c r="BZ74" s="434"/>
      <c r="CA74" s="373"/>
      <c r="CB74" s="432"/>
      <c r="CC74" s="433"/>
      <c r="CD74" s="433"/>
      <c r="CE74" s="433"/>
      <c r="CF74" s="433"/>
      <c r="CG74" s="433"/>
      <c r="CH74" s="434"/>
      <c r="CI74" s="373"/>
      <c r="CJ74" s="432"/>
      <c r="CK74" s="433"/>
      <c r="CL74" s="433"/>
      <c r="CM74" s="433"/>
      <c r="CN74" s="433"/>
      <c r="CO74" s="433"/>
      <c r="CP74" s="434"/>
      <c r="CQ74" s="435"/>
      <c r="CR74" s="432"/>
      <c r="CS74" s="433"/>
      <c r="CT74" s="433"/>
      <c r="CU74" s="433" t="n">
        <f aca="false">+CR74-CS74</f>
        <v>0</v>
      </c>
      <c r="CV74" s="433" t="n">
        <f aca="false">+CR74-CT74</f>
        <v>0</v>
      </c>
      <c r="CW74" s="433"/>
      <c r="CX74" s="434" t="str">
        <f aca="false">IFERROR(CR74/CW74-1, "-")</f>
        <v>-</v>
      </c>
      <c r="CY74" s="425"/>
      <c r="CZ74" s="437"/>
      <c r="DA74" s="433"/>
      <c r="DB74" s="433"/>
      <c r="DC74" s="433"/>
      <c r="DD74" s="433"/>
      <c r="DE74" s="434" t="e">
        <f aca="false">+CZ74/DD74-1</f>
        <v>#DIV/0!</v>
      </c>
      <c r="DF74" s="434" t="e">
        <f aca="false">+DA74/DD74-1</f>
        <v>#DIV/0!</v>
      </c>
      <c r="DG74" s="438" t="e">
        <f aca="false">+DB74/DD74-1</f>
        <v>#DIV/0!</v>
      </c>
      <c r="DH74" s="438" t="e">
        <f aca="false">+DC74/DD74-1</f>
        <v>#DIV/0!</v>
      </c>
      <c r="DI74" s="413"/>
      <c r="DJ74" s="117" t="n">
        <f aca="false">SUM(D74,J74,P74,V74,AD74,AL74,AU74,BC74,BK74,BT74,CB74,CJ74)-CR74</f>
        <v>0</v>
      </c>
      <c r="DK74" s="117" t="n">
        <f aca="false">SUM(E74,K74,Q74,W74,AE74,AM74,AV74,BD74,BL74,BU74,CC74,CK74)-CS74</f>
        <v>0</v>
      </c>
      <c r="DL74" s="117" t="n">
        <f aca="false">SUM(G74,M74,S74,AA74,AI74,AR74,AZ74,BH74,BQ74,BY74,CG74,CO74)-CW74</f>
        <v>0</v>
      </c>
      <c r="DM74" s="117" t="n">
        <f aca="false">SUM(D74,J74,P74,V74,AD74,AL74,AU74,BC74,,BN74,BV74,CD74,CL74)-CT74</f>
        <v>0</v>
      </c>
      <c r="DN74" s="413"/>
      <c r="DO74" s="413"/>
      <c r="DP74" s="439" t="n">
        <v>125141612</v>
      </c>
      <c r="DQ74" s="415" t="n">
        <f aca="false">-CR74+DP74/10^6</f>
        <v>125.141612</v>
      </c>
      <c r="DR74" s="117" t="n">
        <f aca="false">SUM(E74,K74,Q74,W74,AE74,AM74,AV74,BD74,BL74,BU74,CC74,CK74)-CS74</f>
        <v>0</v>
      </c>
      <c r="DS74" s="117" t="n">
        <f aca="false">SUM(D74,J74,P74,V74,AD74,AL74,AU74,BC74,,BN74,BV74,CD74,CL74)-CT74</f>
        <v>0</v>
      </c>
      <c r="DT74" s="416"/>
      <c r="DU74" s="440" t="n">
        <v>3.225267</v>
      </c>
      <c r="DV74" s="418" t="n">
        <f aca="false">DU74-CJ74</f>
        <v>3.225267</v>
      </c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  <c r="EB74" s="419"/>
    </row>
    <row r="75" s="441" customFormat="true" ht="15.75" hidden="true" customHeight="true" outlineLevel="1" collapsed="false">
      <c r="A75" s="286"/>
      <c r="B75" s="444" t="s">
        <v>228</v>
      </c>
      <c r="C75" s="431" t="s">
        <v>229</v>
      </c>
      <c r="D75" s="432"/>
      <c r="E75" s="433"/>
      <c r="F75" s="433"/>
      <c r="G75" s="433"/>
      <c r="H75" s="434"/>
      <c r="I75" s="422"/>
      <c r="J75" s="432"/>
      <c r="K75" s="433"/>
      <c r="L75" s="433"/>
      <c r="M75" s="433"/>
      <c r="N75" s="434"/>
      <c r="O75" s="435"/>
      <c r="P75" s="432"/>
      <c r="Q75" s="433"/>
      <c r="R75" s="433"/>
      <c r="S75" s="433"/>
      <c r="T75" s="434"/>
      <c r="U75" s="423"/>
      <c r="V75" s="432"/>
      <c r="W75" s="433"/>
      <c r="X75" s="433"/>
      <c r="Y75" s="433"/>
      <c r="Z75" s="433"/>
      <c r="AA75" s="433"/>
      <c r="AB75" s="434"/>
      <c r="AC75" s="435"/>
      <c r="AD75" s="432"/>
      <c r="AE75" s="433"/>
      <c r="AF75" s="433"/>
      <c r="AG75" s="433"/>
      <c r="AH75" s="433"/>
      <c r="AI75" s="433"/>
      <c r="AJ75" s="434"/>
      <c r="AK75" s="435"/>
      <c r="AL75" s="432"/>
      <c r="AM75" s="433"/>
      <c r="AN75" s="433"/>
      <c r="AO75" s="433"/>
      <c r="AP75" s="433"/>
      <c r="AQ75" s="433"/>
      <c r="AR75" s="433"/>
      <c r="AS75" s="434"/>
      <c r="AT75" s="424"/>
      <c r="AU75" s="432"/>
      <c r="AV75" s="433"/>
      <c r="AW75" s="433"/>
      <c r="AX75" s="433"/>
      <c r="AY75" s="433"/>
      <c r="AZ75" s="433"/>
      <c r="BA75" s="434"/>
      <c r="BB75" s="435"/>
      <c r="BC75" s="281"/>
      <c r="BD75" s="144"/>
      <c r="BE75" s="144"/>
      <c r="BF75" s="144"/>
      <c r="BG75" s="144"/>
      <c r="BH75" s="433"/>
      <c r="BI75" s="434"/>
      <c r="BJ75" s="436"/>
      <c r="BK75" s="432"/>
      <c r="BL75" s="433"/>
      <c r="BM75" s="433"/>
      <c r="BN75" s="433"/>
      <c r="BO75" s="433"/>
      <c r="BP75" s="433"/>
      <c r="BQ75" s="433"/>
      <c r="BR75" s="434"/>
      <c r="BS75" s="436"/>
      <c r="BT75" s="432"/>
      <c r="BU75" s="433"/>
      <c r="BV75" s="433"/>
      <c r="BW75" s="433"/>
      <c r="BX75" s="433"/>
      <c r="BY75" s="433"/>
      <c r="BZ75" s="434"/>
      <c r="CA75" s="373"/>
      <c r="CB75" s="432"/>
      <c r="CC75" s="433"/>
      <c r="CD75" s="433"/>
      <c r="CE75" s="433"/>
      <c r="CF75" s="433"/>
      <c r="CG75" s="433"/>
      <c r="CH75" s="434"/>
      <c r="CI75" s="373"/>
      <c r="CJ75" s="432"/>
      <c r="CK75" s="433"/>
      <c r="CL75" s="433"/>
      <c r="CM75" s="433"/>
      <c r="CN75" s="433"/>
      <c r="CO75" s="433"/>
      <c r="CP75" s="434"/>
      <c r="CQ75" s="435"/>
      <c r="CR75" s="432"/>
      <c r="CS75" s="433"/>
      <c r="CT75" s="433"/>
      <c r="CU75" s="433" t="n">
        <f aca="false">+CR75-CS75</f>
        <v>0</v>
      </c>
      <c r="CV75" s="433" t="n">
        <f aca="false">+CR75-CT75</f>
        <v>0</v>
      </c>
      <c r="CW75" s="433"/>
      <c r="CX75" s="434" t="str">
        <f aca="false">IFERROR(CR75/CW75-1, "-")</f>
        <v>-</v>
      </c>
      <c r="CY75" s="425"/>
      <c r="CZ75" s="437"/>
      <c r="DA75" s="433"/>
      <c r="DB75" s="433"/>
      <c r="DC75" s="433"/>
      <c r="DD75" s="433"/>
      <c r="DE75" s="434" t="e">
        <f aca="false">+CZ75/DD75-1</f>
        <v>#DIV/0!</v>
      </c>
      <c r="DF75" s="434" t="e">
        <f aca="false">+DA75/DD75-1</f>
        <v>#DIV/0!</v>
      </c>
      <c r="DG75" s="438" t="e">
        <f aca="false">+DB75/DD75-1</f>
        <v>#DIV/0!</v>
      </c>
      <c r="DH75" s="438" t="e">
        <f aca="false">+DC75/DD75-1</f>
        <v>#DIV/0!</v>
      </c>
      <c r="DI75" s="413"/>
      <c r="DJ75" s="117" t="n">
        <f aca="false">SUM(D75,J75,P75,V75,AD75,AL75,AU75,BC75,BK75,BT75,CB75,CJ75)-CR75</f>
        <v>0</v>
      </c>
      <c r="DK75" s="117" t="n">
        <f aca="false">SUM(E75,K75,Q75,W75,AE75,AM75,AV75,BD75,BL75,BU75,CC75,CK75)-CS75</f>
        <v>0</v>
      </c>
      <c r="DL75" s="117" t="n">
        <f aca="false">SUM(G75,M75,S75,AA75,AI75,AR75,AZ75,BH75,BQ75,BY75,CG75,CO75)-CW75</f>
        <v>0</v>
      </c>
      <c r="DM75" s="117" t="n">
        <f aca="false">SUM(D75,J75,P75,V75,AD75,AL75,AU75,BC75,,BN75,BV75,CD75,CL75)-CT75</f>
        <v>0</v>
      </c>
      <c r="DN75" s="413"/>
      <c r="DO75" s="413"/>
      <c r="DP75" s="439" t="n">
        <v>0</v>
      </c>
      <c r="DQ75" s="415" t="n">
        <f aca="false">-CR75+DP75/10^6</f>
        <v>0</v>
      </c>
      <c r="DR75" s="117" t="n">
        <f aca="false">SUM(E75,K75,Q75,W75,AE75,AM75,AV75,BD75,BL75,BU75,CC75,CK75)-CS75</f>
        <v>0</v>
      </c>
      <c r="DS75" s="117" t="n">
        <f aca="false">SUM(D75,J75,P75,V75,AD75,AL75,AU75,BC75,,BN75,BV75,CD75,CL75)-CT75</f>
        <v>0</v>
      </c>
      <c r="DT75" s="416"/>
      <c r="DU75" s="440" t="n">
        <v>0</v>
      </c>
      <c r="DV75" s="418" t="n">
        <f aca="false">DU75-CJ75</f>
        <v>0</v>
      </c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  <c r="EB75" s="419"/>
    </row>
    <row r="76" s="441" customFormat="true" ht="15.75" hidden="true" customHeight="true" outlineLevel="1" collapsed="false">
      <c r="A76" s="286"/>
      <c r="B76" s="444" t="s">
        <v>230</v>
      </c>
      <c r="C76" s="431" t="s">
        <v>231</v>
      </c>
      <c r="D76" s="432"/>
      <c r="E76" s="433"/>
      <c r="F76" s="433"/>
      <c r="G76" s="433"/>
      <c r="H76" s="434"/>
      <c r="I76" s="422"/>
      <c r="J76" s="432"/>
      <c r="K76" s="433"/>
      <c r="L76" s="433"/>
      <c r="M76" s="433"/>
      <c r="N76" s="434"/>
      <c r="O76" s="435"/>
      <c r="P76" s="432"/>
      <c r="Q76" s="433"/>
      <c r="R76" s="433"/>
      <c r="S76" s="433"/>
      <c r="T76" s="434"/>
      <c r="U76" s="423"/>
      <c r="V76" s="432"/>
      <c r="W76" s="433"/>
      <c r="X76" s="433"/>
      <c r="Y76" s="433"/>
      <c r="Z76" s="433"/>
      <c r="AA76" s="433"/>
      <c r="AB76" s="434"/>
      <c r="AC76" s="435"/>
      <c r="AD76" s="432"/>
      <c r="AE76" s="433"/>
      <c r="AF76" s="433"/>
      <c r="AG76" s="433"/>
      <c r="AH76" s="433"/>
      <c r="AI76" s="433"/>
      <c r="AJ76" s="434"/>
      <c r="AK76" s="435"/>
      <c r="AL76" s="432"/>
      <c r="AM76" s="433"/>
      <c r="AN76" s="433"/>
      <c r="AO76" s="433"/>
      <c r="AP76" s="433"/>
      <c r="AQ76" s="433"/>
      <c r="AR76" s="433"/>
      <c r="AS76" s="434"/>
      <c r="AT76" s="424"/>
      <c r="AU76" s="432"/>
      <c r="AV76" s="433"/>
      <c r="AW76" s="433"/>
      <c r="AX76" s="433"/>
      <c r="AY76" s="433"/>
      <c r="AZ76" s="433"/>
      <c r="BA76" s="434"/>
      <c r="BB76" s="435"/>
      <c r="BC76" s="281"/>
      <c r="BD76" s="144"/>
      <c r="BE76" s="144"/>
      <c r="BF76" s="144"/>
      <c r="BG76" s="144"/>
      <c r="BH76" s="433"/>
      <c r="BI76" s="434"/>
      <c r="BJ76" s="436"/>
      <c r="BK76" s="432"/>
      <c r="BL76" s="433"/>
      <c r="BM76" s="433"/>
      <c r="BN76" s="433"/>
      <c r="BO76" s="433"/>
      <c r="BP76" s="433"/>
      <c r="BQ76" s="433"/>
      <c r="BR76" s="434"/>
      <c r="BS76" s="436"/>
      <c r="BT76" s="432"/>
      <c r="BU76" s="433"/>
      <c r="BV76" s="433"/>
      <c r="BW76" s="433"/>
      <c r="BX76" s="433"/>
      <c r="BY76" s="433"/>
      <c r="BZ76" s="434"/>
      <c r="CA76" s="373"/>
      <c r="CB76" s="432"/>
      <c r="CC76" s="433"/>
      <c r="CD76" s="433"/>
      <c r="CE76" s="433"/>
      <c r="CF76" s="433"/>
      <c r="CG76" s="433"/>
      <c r="CH76" s="434"/>
      <c r="CI76" s="373"/>
      <c r="CJ76" s="432"/>
      <c r="CK76" s="433"/>
      <c r="CL76" s="433"/>
      <c r="CM76" s="433"/>
      <c r="CN76" s="433"/>
      <c r="CO76" s="433"/>
      <c r="CP76" s="434"/>
      <c r="CQ76" s="435"/>
      <c r="CR76" s="432"/>
      <c r="CS76" s="433"/>
      <c r="CT76" s="433"/>
      <c r="CU76" s="433" t="n">
        <f aca="false">+CR76-CS76</f>
        <v>0</v>
      </c>
      <c r="CV76" s="433" t="n">
        <f aca="false">+CR76-CT76</f>
        <v>0</v>
      </c>
      <c r="CW76" s="433"/>
      <c r="CX76" s="434" t="str">
        <f aca="false">IFERROR(CR76/CW76-1, "-")</f>
        <v>-</v>
      </c>
      <c r="CY76" s="425"/>
      <c r="CZ76" s="437"/>
      <c r="DA76" s="433"/>
      <c r="DB76" s="433"/>
      <c r="DC76" s="433"/>
      <c r="DD76" s="433"/>
      <c r="DE76" s="434" t="e">
        <f aca="false">+CZ76/DD76-1</f>
        <v>#DIV/0!</v>
      </c>
      <c r="DF76" s="434" t="e">
        <f aca="false">+DA76/DD76-1</f>
        <v>#DIV/0!</v>
      </c>
      <c r="DG76" s="438" t="e">
        <f aca="false">+DB76/DD76-1</f>
        <v>#DIV/0!</v>
      </c>
      <c r="DH76" s="438" t="e">
        <f aca="false">+DC76/DD76-1</f>
        <v>#DIV/0!</v>
      </c>
      <c r="DI76" s="413"/>
      <c r="DJ76" s="117" t="n">
        <f aca="false">SUM(D76,J76,P76,V76,AD76,AL76,AU76,BC76,BK76,BT76,CB76,CJ76)-CR76</f>
        <v>0</v>
      </c>
      <c r="DK76" s="117" t="n">
        <f aca="false">SUM(E76,K76,Q76,W76,AE76,AM76,AV76,BD76,BL76,BU76,CC76,CK76)-CS76</f>
        <v>0</v>
      </c>
      <c r="DL76" s="117" t="n">
        <f aca="false">SUM(G76,M76,S76,AA76,AI76,AR76,AZ76,BH76,BQ76,BY76,CG76,CO76)-CW76</f>
        <v>0</v>
      </c>
      <c r="DM76" s="117" t="n">
        <f aca="false">SUM(D76,J76,P76,V76,AD76,AL76,AU76,BC76,,BN76,BV76,CD76,CL76)-CT76</f>
        <v>0</v>
      </c>
      <c r="DN76" s="413"/>
      <c r="DO76" s="413"/>
      <c r="DP76" s="439" t="n">
        <v>917000</v>
      </c>
      <c r="DQ76" s="415" t="n">
        <f aca="false">-CR76+DP76/10^6</f>
        <v>0.917</v>
      </c>
      <c r="DR76" s="117" t="n">
        <f aca="false">SUM(E76,K76,Q76,W76,AE76,AM76,AV76,BD76,BL76,BU76,CC76,CK76)-CS76</f>
        <v>0</v>
      </c>
      <c r="DS76" s="117" t="n">
        <f aca="false">SUM(D76,J76,P76,V76,AD76,AL76,AU76,BC76,,BN76,BV76,CD76,CL76)-CT76</f>
        <v>0</v>
      </c>
      <c r="DT76" s="416"/>
      <c r="DU76" s="440" t="n">
        <v>0</v>
      </c>
      <c r="DV76" s="418" t="n">
        <f aca="false">DU76-CJ76</f>
        <v>0</v>
      </c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  <c r="EB76" s="419"/>
    </row>
    <row r="77" s="441" customFormat="true" ht="15.75" hidden="true" customHeight="true" outlineLevel="1" collapsed="false">
      <c r="A77" s="286"/>
      <c r="B77" s="444" t="s">
        <v>232</v>
      </c>
      <c r="C77" s="431" t="s">
        <v>233</v>
      </c>
      <c r="D77" s="432"/>
      <c r="E77" s="433"/>
      <c r="F77" s="433"/>
      <c r="G77" s="433"/>
      <c r="H77" s="434"/>
      <c r="I77" s="422"/>
      <c r="J77" s="432"/>
      <c r="K77" s="433"/>
      <c r="L77" s="433"/>
      <c r="M77" s="433"/>
      <c r="N77" s="434"/>
      <c r="O77" s="435"/>
      <c r="P77" s="432"/>
      <c r="Q77" s="433"/>
      <c r="R77" s="433"/>
      <c r="S77" s="433"/>
      <c r="T77" s="434"/>
      <c r="U77" s="423"/>
      <c r="V77" s="432"/>
      <c r="W77" s="433"/>
      <c r="X77" s="433"/>
      <c r="Y77" s="433"/>
      <c r="Z77" s="433"/>
      <c r="AA77" s="433"/>
      <c r="AB77" s="434"/>
      <c r="AC77" s="435"/>
      <c r="AD77" s="432"/>
      <c r="AE77" s="433"/>
      <c r="AF77" s="433"/>
      <c r="AG77" s="433"/>
      <c r="AH77" s="433"/>
      <c r="AI77" s="433"/>
      <c r="AJ77" s="434"/>
      <c r="AK77" s="435"/>
      <c r="AL77" s="432"/>
      <c r="AM77" s="433"/>
      <c r="AN77" s="433"/>
      <c r="AO77" s="433"/>
      <c r="AP77" s="433"/>
      <c r="AQ77" s="433"/>
      <c r="AR77" s="433"/>
      <c r="AS77" s="434"/>
      <c r="AT77" s="424"/>
      <c r="AU77" s="432"/>
      <c r="AV77" s="433"/>
      <c r="AW77" s="433"/>
      <c r="AX77" s="433"/>
      <c r="AY77" s="433"/>
      <c r="AZ77" s="433"/>
      <c r="BA77" s="434"/>
      <c r="BB77" s="435"/>
      <c r="BC77" s="281"/>
      <c r="BD77" s="144"/>
      <c r="BE77" s="144"/>
      <c r="BF77" s="144"/>
      <c r="BG77" s="144"/>
      <c r="BH77" s="433"/>
      <c r="BI77" s="434"/>
      <c r="BJ77" s="436"/>
      <c r="BK77" s="432"/>
      <c r="BL77" s="433"/>
      <c r="BM77" s="433"/>
      <c r="BN77" s="433"/>
      <c r="BO77" s="433"/>
      <c r="BP77" s="433"/>
      <c r="BQ77" s="433"/>
      <c r="BR77" s="434"/>
      <c r="BS77" s="436"/>
      <c r="BT77" s="432"/>
      <c r="BU77" s="433"/>
      <c r="BV77" s="433"/>
      <c r="BW77" s="433"/>
      <c r="BX77" s="433"/>
      <c r="BY77" s="433"/>
      <c r="BZ77" s="434"/>
      <c r="CA77" s="373"/>
      <c r="CB77" s="432"/>
      <c r="CC77" s="433"/>
      <c r="CD77" s="433"/>
      <c r="CE77" s="433"/>
      <c r="CF77" s="433"/>
      <c r="CG77" s="433"/>
      <c r="CH77" s="434"/>
      <c r="CI77" s="373"/>
      <c r="CJ77" s="432"/>
      <c r="CK77" s="433"/>
      <c r="CL77" s="433"/>
      <c r="CM77" s="433"/>
      <c r="CN77" s="433"/>
      <c r="CO77" s="433"/>
      <c r="CP77" s="434"/>
      <c r="CQ77" s="435"/>
      <c r="CR77" s="432"/>
      <c r="CS77" s="433"/>
      <c r="CT77" s="433"/>
      <c r="CU77" s="433" t="n">
        <f aca="false">+CR77-CS77</f>
        <v>0</v>
      </c>
      <c r="CV77" s="433" t="n">
        <f aca="false">+CR77-CT77</f>
        <v>0</v>
      </c>
      <c r="CW77" s="433"/>
      <c r="CX77" s="434" t="str">
        <f aca="false">IFERROR(CR77/CW77-1, "-")</f>
        <v>-</v>
      </c>
      <c r="CY77" s="425"/>
      <c r="CZ77" s="437"/>
      <c r="DA77" s="433"/>
      <c r="DB77" s="433"/>
      <c r="DC77" s="433"/>
      <c r="DD77" s="433"/>
      <c r="DE77" s="434" t="e">
        <f aca="false">+CZ77/DD77-1</f>
        <v>#DIV/0!</v>
      </c>
      <c r="DF77" s="434" t="e">
        <f aca="false">+DA77/DD77-1</f>
        <v>#DIV/0!</v>
      </c>
      <c r="DG77" s="438" t="e">
        <f aca="false">+DB77/DD77-1</f>
        <v>#DIV/0!</v>
      </c>
      <c r="DH77" s="438" t="e">
        <f aca="false">+DC77/DD77-1</f>
        <v>#DIV/0!</v>
      </c>
      <c r="DI77" s="413"/>
      <c r="DJ77" s="117" t="n">
        <f aca="false">SUM(D77,J77,P77,V77,AD77,AL77,AU77,BC77,BK77,BT77,CB77,CJ77)-CR77</f>
        <v>0</v>
      </c>
      <c r="DK77" s="117" t="n">
        <f aca="false">SUM(E77,K77,Q77,W77,AE77,AM77,AV77,BD77,BL77,BU77,CC77,CK77)-CS77</f>
        <v>0</v>
      </c>
      <c r="DL77" s="117" t="n">
        <f aca="false">SUM(G77,M77,S77,AA77,AI77,AR77,AZ77,BH77,BQ77,BY77,CG77,CO77)-CW77</f>
        <v>0</v>
      </c>
      <c r="DM77" s="117" t="n">
        <f aca="false">SUM(D77,J77,P77,V77,AD77,AL77,AU77,BC77,,BN77,BV77,CD77,CL77)-CT77</f>
        <v>0</v>
      </c>
      <c r="DN77" s="413"/>
      <c r="DO77" s="413"/>
      <c r="DP77" s="439" t="n">
        <v>0</v>
      </c>
      <c r="DQ77" s="415" t="n">
        <f aca="false">-CR77+DP77/10^6</f>
        <v>0</v>
      </c>
      <c r="DR77" s="117" t="n">
        <f aca="false">SUM(E77,K77,Q77,W77,AE77,AM77,AV77,BD77,BL77,BU77,CC77,CK77)-CS77</f>
        <v>0</v>
      </c>
      <c r="DS77" s="117" t="n">
        <f aca="false">SUM(D77,J77,P77,V77,AD77,AL77,AU77,BC77,,BN77,BV77,CD77,CL77)-CT77</f>
        <v>0</v>
      </c>
      <c r="DT77" s="416"/>
      <c r="DU77" s="440" t="n">
        <v>0</v>
      </c>
      <c r="DV77" s="418" t="n">
        <f aca="false">DU77-CJ77</f>
        <v>0</v>
      </c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  <c r="EB77" s="419"/>
    </row>
    <row r="78" s="440" customFormat="true" ht="15.75" hidden="true" customHeight="true" outlineLevel="1" collapsed="false">
      <c r="A78" s="417"/>
      <c r="B78" s="502" t="s">
        <v>234</v>
      </c>
      <c r="C78" s="431" t="s">
        <v>235</v>
      </c>
      <c r="D78" s="503"/>
      <c r="E78" s="504"/>
      <c r="F78" s="504"/>
      <c r="G78" s="504"/>
      <c r="H78" s="505"/>
      <c r="I78" s="365"/>
      <c r="J78" s="503"/>
      <c r="K78" s="504"/>
      <c r="L78" s="504"/>
      <c r="M78" s="504"/>
      <c r="N78" s="505"/>
      <c r="O78" s="506"/>
      <c r="P78" s="503"/>
      <c r="Q78" s="504"/>
      <c r="R78" s="504"/>
      <c r="S78" s="504"/>
      <c r="T78" s="505"/>
      <c r="U78" s="507"/>
      <c r="V78" s="503"/>
      <c r="W78" s="504"/>
      <c r="X78" s="504"/>
      <c r="Y78" s="504"/>
      <c r="Z78" s="504"/>
      <c r="AA78" s="504"/>
      <c r="AB78" s="505"/>
      <c r="AC78" s="506"/>
      <c r="AD78" s="503"/>
      <c r="AE78" s="504"/>
      <c r="AF78" s="504"/>
      <c r="AG78" s="504"/>
      <c r="AH78" s="504"/>
      <c r="AI78" s="504"/>
      <c r="AJ78" s="505"/>
      <c r="AK78" s="506"/>
      <c r="AL78" s="503"/>
      <c r="AM78" s="504"/>
      <c r="AN78" s="504"/>
      <c r="AO78" s="504"/>
      <c r="AP78" s="504"/>
      <c r="AQ78" s="504"/>
      <c r="AR78" s="504"/>
      <c r="AS78" s="505"/>
      <c r="AT78" s="508"/>
      <c r="AU78" s="503"/>
      <c r="AV78" s="504"/>
      <c r="AW78" s="504"/>
      <c r="AX78" s="504"/>
      <c r="AY78" s="504"/>
      <c r="AZ78" s="504"/>
      <c r="BA78" s="505"/>
      <c r="BB78" s="506"/>
      <c r="BC78" s="509"/>
      <c r="BD78" s="374"/>
      <c r="BE78" s="374"/>
      <c r="BF78" s="374"/>
      <c r="BG78" s="374"/>
      <c r="BH78" s="504"/>
      <c r="BI78" s="505"/>
      <c r="BJ78" s="510"/>
      <c r="BK78" s="503"/>
      <c r="BL78" s="504"/>
      <c r="BM78" s="504"/>
      <c r="BN78" s="504"/>
      <c r="BO78" s="504"/>
      <c r="BP78" s="504"/>
      <c r="BQ78" s="504"/>
      <c r="BR78" s="505"/>
      <c r="BS78" s="510"/>
      <c r="BT78" s="503"/>
      <c r="BU78" s="504"/>
      <c r="BV78" s="504"/>
      <c r="BW78" s="504"/>
      <c r="BX78" s="504"/>
      <c r="BY78" s="504"/>
      <c r="BZ78" s="505"/>
      <c r="CA78" s="373"/>
      <c r="CB78" s="503"/>
      <c r="CC78" s="504"/>
      <c r="CD78" s="504"/>
      <c r="CE78" s="504"/>
      <c r="CF78" s="504"/>
      <c r="CG78" s="504"/>
      <c r="CH78" s="505"/>
      <c r="CI78" s="373"/>
      <c r="CJ78" s="503"/>
      <c r="CK78" s="504"/>
      <c r="CL78" s="504"/>
      <c r="CM78" s="504"/>
      <c r="CN78" s="504"/>
      <c r="CO78" s="504"/>
      <c r="CP78" s="505"/>
      <c r="CQ78" s="506"/>
      <c r="CR78" s="503"/>
      <c r="CS78" s="504"/>
      <c r="CT78" s="504"/>
      <c r="CU78" s="504" t="n">
        <f aca="false">+CR78-CS78</f>
        <v>0</v>
      </c>
      <c r="CV78" s="504" t="n">
        <f aca="false">+CR78-CT78</f>
        <v>0</v>
      </c>
      <c r="CW78" s="504"/>
      <c r="CX78" s="505" t="str">
        <f aca="false">IFERROR(CR78/CW78-1, "-")</f>
        <v>-</v>
      </c>
      <c r="CY78" s="375"/>
      <c r="CZ78" s="511"/>
      <c r="DA78" s="504"/>
      <c r="DB78" s="504"/>
      <c r="DC78" s="504"/>
      <c r="DD78" s="504"/>
      <c r="DE78" s="505" t="e">
        <f aca="false">+CZ78/DD78-1</f>
        <v>#DIV/0!</v>
      </c>
      <c r="DF78" s="505" t="e">
        <f aca="false">+DA78/DD78-1</f>
        <v>#DIV/0!</v>
      </c>
      <c r="DG78" s="512" t="e">
        <f aca="false">+DB78/DD78-1</f>
        <v>#DIV/0!</v>
      </c>
      <c r="DH78" s="512" t="e">
        <f aca="false">+DC78/DD78-1</f>
        <v>#DIV/0!</v>
      </c>
      <c r="DI78" s="413"/>
      <c r="DJ78" s="117" t="n">
        <f aca="false">SUM(D78,J78,P78,V78,AD78,AL78,AU78,BC78,BK78,BT78,CB78,CJ78)-CR78</f>
        <v>0</v>
      </c>
      <c r="DK78" s="117" t="n">
        <f aca="false">SUM(E78,K78,Q78,W78,AE78,AM78,AV78,BD78,BL78,BU78,CC78,CK78)-CS78</f>
        <v>0</v>
      </c>
      <c r="DL78" s="117" t="n">
        <f aca="false">SUM(G78,M78,S78,AA78,AI78,AR78,AZ78,BH78,BQ78,BY78,CG78,CO78)-CW78</f>
        <v>0</v>
      </c>
      <c r="DM78" s="117" t="n">
        <f aca="false">SUM(D78,J78,P78,V78,AD78,AL78,AU78,BC78,,BN78,BV78,CD78,CL78)-CT78</f>
        <v>0</v>
      </c>
      <c r="DN78" s="413"/>
      <c r="DO78" s="413"/>
      <c r="DP78" s="513"/>
      <c r="DQ78" s="415" t="n">
        <f aca="false">-CR78+DP78/10^6</f>
        <v>0</v>
      </c>
      <c r="DR78" s="117" t="n">
        <f aca="false">SUM(E78,K78,Q78,W78,AE78,AM78,AV78,BD78,BL78,BU78,CC78,CK78)-CS78</f>
        <v>0</v>
      </c>
      <c r="DS78" s="117" t="n">
        <f aca="false">SUM(D78,J78,P78,V78,AD78,AL78,AU78,BC78,,BN78,BV78,CD78,CL78)-CT78</f>
        <v>0</v>
      </c>
      <c r="DT78" s="416"/>
      <c r="DV78" s="418" t="n">
        <f aca="false">DU78-CJ78</f>
        <v>0</v>
      </c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  <c r="EB78" s="419"/>
    </row>
    <row r="79" customFormat="false" ht="15.75" hidden="false" customHeight="true" outlineLevel="0" collapsed="false">
      <c r="B79" s="514" t="s">
        <v>236</v>
      </c>
      <c r="C79" s="398" t="s">
        <v>237</v>
      </c>
      <c r="D79" s="281"/>
      <c r="E79" s="144"/>
      <c r="F79" s="144"/>
      <c r="G79" s="144"/>
      <c r="H79" s="245"/>
      <c r="I79" s="422"/>
      <c r="J79" s="281"/>
      <c r="K79" s="144"/>
      <c r="L79" s="144"/>
      <c r="M79" s="144"/>
      <c r="N79" s="245"/>
      <c r="O79" s="422"/>
      <c r="P79" s="281"/>
      <c r="Q79" s="144"/>
      <c r="R79" s="144"/>
      <c r="S79" s="144"/>
      <c r="T79" s="245"/>
      <c r="U79" s="423"/>
      <c r="V79" s="281"/>
      <c r="W79" s="144"/>
      <c r="X79" s="144"/>
      <c r="Y79" s="144"/>
      <c r="Z79" s="144"/>
      <c r="AA79" s="144"/>
      <c r="AB79" s="245"/>
      <c r="AC79" s="422"/>
      <c r="AD79" s="281"/>
      <c r="AE79" s="144"/>
      <c r="AF79" s="144"/>
      <c r="AG79" s="144"/>
      <c r="AH79" s="144"/>
      <c r="AI79" s="144"/>
      <c r="AJ79" s="245"/>
      <c r="AK79" s="422"/>
      <c r="AL79" s="281"/>
      <c r="AM79" s="144"/>
      <c r="AN79" s="144"/>
      <c r="AO79" s="144"/>
      <c r="AP79" s="144"/>
      <c r="AQ79" s="515"/>
      <c r="AR79" s="144"/>
      <c r="AS79" s="245"/>
      <c r="AT79" s="424"/>
      <c r="AU79" s="281"/>
      <c r="AV79" s="144"/>
      <c r="AW79" s="144"/>
      <c r="AX79" s="144"/>
      <c r="AY79" s="144"/>
      <c r="AZ79" s="144"/>
      <c r="BA79" s="245"/>
      <c r="BB79" s="422"/>
      <c r="BC79" s="281"/>
      <c r="BD79" s="144"/>
      <c r="BE79" s="144"/>
      <c r="BF79" s="144"/>
      <c r="BG79" s="144"/>
      <c r="BH79" s="144"/>
      <c r="BI79" s="245"/>
      <c r="BJ79" s="423"/>
      <c r="BK79" s="281"/>
      <c r="BL79" s="144"/>
      <c r="BM79" s="144"/>
      <c r="BN79" s="144"/>
      <c r="BO79" s="144"/>
      <c r="BP79" s="144"/>
      <c r="BQ79" s="144"/>
      <c r="BR79" s="245"/>
      <c r="BS79" s="423"/>
      <c r="BT79" s="281"/>
      <c r="BU79" s="144"/>
      <c r="BV79" s="144"/>
      <c r="BW79" s="144"/>
      <c r="BX79" s="144"/>
      <c r="BY79" s="144"/>
      <c r="BZ79" s="245"/>
      <c r="CA79" s="373"/>
      <c r="CB79" s="281"/>
      <c r="CC79" s="144"/>
      <c r="CD79" s="144"/>
      <c r="CE79" s="144"/>
      <c r="CF79" s="144"/>
      <c r="CG79" s="144"/>
      <c r="CH79" s="245"/>
      <c r="CI79" s="373"/>
      <c r="CJ79" s="281"/>
      <c r="CK79" s="144"/>
      <c r="CL79" s="144"/>
      <c r="CM79" s="144"/>
      <c r="CN79" s="144"/>
      <c r="CO79" s="144"/>
      <c r="CP79" s="245"/>
      <c r="CQ79" s="422"/>
      <c r="CR79" s="281"/>
      <c r="CS79" s="144"/>
      <c r="CT79" s="144"/>
      <c r="CU79" s="144" t="n">
        <f aca="false">+CR79-CS79</f>
        <v>0</v>
      </c>
      <c r="CV79" s="144" t="n">
        <f aca="false">+CR79-CT79</f>
        <v>0</v>
      </c>
      <c r="CW79" s="144"/>
      <c r="CX79" s="245" t="str">
        <f aca="false">IFERROR(CR79/CW79-1, "-")</f>
        <v>-</v>
      </c>
      <c r="CY79" s="425"/>
      <c r="CZ79" s="426"/>
      <c r="DA79" s="144"/>
      <c r="DB79" s="144"/>
      <c r="DC79" s="144"/>
      <c r="DD79" s="144"/>
      <c r="DE79" s="245" t="e">
        <f aca="false">+CZ79/DD79-1</f>
        <v>#DIV/0!</v>
      </c>
      <c r="DF79" s="245" t="e">
        <f aca="false">+DA79/DD79-1</f>
        <v>#DIV/0!</v>
      </c>
      <c r="DG79" s="427" t="e">
        <f aca="false">+DB79/DD79-1</f>
        <v>#DIV/0!</v>
      </c>
      <c r="DH79" s="427" t="e">
        <f aca="false">+DC79/DD79-1</f>
        <v>#DIV/0!</v>
      </c>
      <c r="DI79" s="413"/>
      <c r="DJ79" s="117" t="n">
        <f aca="false">SUM(D79,J79,P79,V79,AD79,AL79,AU79,BC79,BK79,BT79,CB79,CJ79)-CR79</f>
        <v>0</v>
      </c>
      <c r="DK79" s="117" t="n">
        <f aca="false">SUM(E79,K79,Q79,W79,AE79,AM79,AV79,BD79,BL79,BU79,CC79,CK79)-CS79</f>
        <v>0</v>
      </c>
      <c r="DL79" s="117" t="n">
        <f aca="false">SUM(G79,M79,S79,AA79,AI79,AR79,AZ79,BH79,BQ79,BY79,CG79,CO79)-CW79</f>
        <v>0</v>
      </c>
      <c r="DM79" s="117" t="n">
        <f aca="false">SUM(D79,J79,P79,V79,AD79,AL79,AU79,BC79,,BN79,BV79,CD79,CL79)-CT79</f>
        <v>0</v>
      </c>
      <c r="DN79" s="413"/>
      <c r="DO79" s="413"/>
      <c r="DP79" s="428" t="n">
        <f aca="false">SUM(DP80:DP96)</f>
        <v>5970873193</v>
      </c>
      <c r="DQ79" s="415" t="n">
        <f aca="false">-CR79+DP79/10^6</f>
        <v>5970.873193</v>
      </c>
      <c r="DR79" s="117" t="n">
        <f aca="false">SUM(E79,K79,Q79,W79,AE79,AM79,AV79,BD79,BL79,BU79,CC79,CK79)-CS79</f>
        <v>0</v>
      </c>
      <c r="DS79" s="117" t="n">
        <f aca="false">SUM(D79,J79,P79,V79,AD79,AL79,AU79,BC79,,BN79,BV79,CD79,CL79)-CT79</f>
        <v>0</v>
      </c>
      <c r="DT79" s="416"/>
      <c r="DU79" s="417" t="n">
        <v>535.11528</v>
      </c>
      <c r="DV79" s="418" t="n">
        <f aca="false">DU79-CJ79</f>
        <v>535.11528</v>
      </c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  <c r="EB79" s="419"/>
    </row>
    <row r="80" s="441" customFormat="true" ht="15.75" hidden="true" customHeight="true" outlineLevel="1" collapsed="false">
      <c r="A80" s="286"/>
      <c r="B80" s="444" t="s">
        <v>238</v>
      </c>
      <c r="C80" s="431" t="s">
        <v>239</v>
      </c>
      <c r="D80" s="432"/>
      <c r="E80" s="433"/>
      <c r="F80" s="433"/>
      <c r="G80" s="433"/>
      <c r="H80" s="434"/>
      <c r="I80" s="422"/>
      <c r="J80" s="432"/>
      <c r="K80" s="433"/>
      <c r="L80" s="433"/>
      <c r="M80" s="433"/>
      <c r="N80" s="434"/>
      <c r="O80" s="435"/>
      <c r="P80" s="432"/>
      <c r="Q80" s="433"/>
      <c r="R80" s="433"/>
      <c r="S80" s="433"/>
      <c r="T80" s="434"/>
      <c r="U80" s="423"/>
      <c r="V80" s="432"/>
      <c r="W80" s="433"/>
      <c r="X80" s="433"/>
      <c r="Y80" s="433"/>
      <c r="Z80" s="433"/>
      <c r="AA80" s="433"/>
      <c r="AB80" s="434"/>
      <c r="AC80" s="435"/>
      <c r="AD80" s="432"/>
      <c r="AE80" s="433"/>
      <c r="AF80" s="433"/>
      <c r="AG80" s="433"/>
      <c r="AH80" s="433"/>
      <c r="AI80" s="433"/>
      <c r="AJ80" s="434"/>
      <c r="AK80" s="435"/>
      <c r="AL80" s="432"/>
      <c r="AM80" s="433"/>
      <c r="AN80" s="433"/>
      <c r="AO80" s="433"/>
      <c r="AP80" s="433"/>
      <c r="AQ80" s="433"/>
      <c r="AR80" s="433"/>
      <c r="AS80" s="434"/>
      <c r="AT80" s="424"/>
      <c r="AU80" s="432"/>
      <c r="AV80" s="433"/>
      <c r="AW80" s="433"/>
      <c r="AX80" s="433"/>
      <c r="AY80" s="433"/>
      <c r="AZ80" s="433"/>
      <c r="BA80" s="434"/>
      <c r="BB80" s="435"/>
      <c r="BC80" s="281"/>
      <c r="BD80" s="144"/>
      <c r="BE80" s="144"/>
      <c r="BF80" s="144"/>
      <c r="BG80" s="144"/>
      <c r="BH80" s="433"/>
      <c r="BI80" s="434"/>
      <c r="BJ80" s="436"/>
      <c r="BK80" s="432"/>
      <c r="BL80" s="433"/>
      <c r="BM80" s="433"/>
      <c r="BN80" s="433"/>
      <c r="BO80" s="433"/>
      <c r="BP80" s="433"/>
      <c r="BQ80" s="433"/>
      <c r="BR80" s="434"/>
      <c r="BS80" s="436"/>
      <c r="BT80" s="432"/>
      <c r="BU80" s="433"/>
      <c r="BV80" s="433"/>
      <c r="BW80" s="433"/>
      <c r="BX80" s="433"/>
      <c r="BY80" s="433"/>
      <c r="BZ80" s="434"/>
      <c r="CA80" s="373"/>
      <c r="CB80" s="432"/>
      <c r="CC80" s="433"/>
      <c r="CD80" s="433"/>
      <c r="CE80" s="433"/>
      <c r="CF80" s="433"/>
      <c r="CG80" s="433"/>
      <c r="CH80" s="434"/>
      <c r="CI80" s="373"/>
      <c r="CJ80" s="432"/>
      <c r="CK80" s="433"/>
      <c r="CL80" s="433"/>
      <c r="CM80" s="433"/>
      <c r="CN80" s="433"/>
      <c r="CO80" s="433"/>
      <c r="CP80" s="434"/>
      <c r="CQ80" s="435"/>
      <c r="CR80" s="432"/>
      <c r="CS80" s="433"/>
      <c r="CT80" s="433"/>
      <c r="CU80" s="433" t="n">
        <f aca="false">+CR80-CS80</f>
        <v>0</v>
      </c>
      <c r="CV80" s="433" t="n">
        <f aca="false">+CR80-CT80</f>
        <v>0</v>
      </c>
      <c r="CW80" s="433"/>
      <c r="CX80" s="434" t="str">
        <f aca="false">IFERROR(CR80/CW80-1, "-")</f>
        <v>-</v>
      </c>
      <c r="CY80" s="425"/>
      <c r="CZ80" s="437"/>
      <c r="DA80" s="433"/>
      <c r="DB80" s="433"/>
      <c r="DC80" s="433"/>
      <c r="DD80" s="433"/>
      <c r="DE80" s="434"/>
      <c r="DF80" s="434"/>
      <c r="DG80" s="438" t="e">
        <f aca="false">+DB80/DD80-1</f>
        <v>#DIV/0!</v>
      </c>
      <c r="DH80" s="438" t="e">
        <f aca="false">+DC80/DD80-1</f>
        <v>#DIV/0!</v>
      </c>
      <c r="DI80" s="413"/>
      <c r="DJ80" s="117" t="n">
        <f aca="false">SUM(D80,J80,P80,V80,AD80,AL80,AU80,BC80,BK80,BT80,CB80,CJ80)-CR80</f>
        <v>0</v>
      </c>
      <c r="DK80" s="117" t="n">
        <f aca="false">SUM(E80,K80,Q80,W80,AE80,AM80,AV80,BD80,BL80,BU80,CC80,CK80)-CS80</f>
        <v>0</v>
      </c>
      <c r="DL80" s="117" t="n">
        <f aca="false">SUM(G80,M80,S80,AA80,AI80,AR80,AZ80,BH80,BQ80,BY80,CG80,CO80)-CW80</f>
        <v>0</v>
      </c>
      <c r="DM80" s="117" t="n">
        <f aca="false">SUM(D80,J80,P80,V80,AD80,AL80,AU80,BC80,,BN80,BV80,CD80,CL80)-CT80</f>
        <v>0</v>
      </c>
      <c r="DN80" s="413"/>
      <c r="DO80" s="413"/>
      <c r="DP80" s="439" t="n">
        <v>0</v>
      </c>
      <c r="DQ80" s="415" t="n">
        <f aca="false">-CR80+DP80/10^6</f>
        <v>0</v>
      </c>
      <c r="DR80" s="117" t="n">
        <f aca="false">SUM(E80,K80,Q80,W80,AE80,AM80,AV80,BD80,BL80,BU80,CC80,CK80)-CS80</f>
        <v>0</v>
      </c>
      <c r="DS80" s="117" t="n">
        <f aca="false">SUM(D80,J80,P80,V80,AD80,AL80,AU80,BC80,,BN80,BV80,CD80,CL80)-CT80</f>
        <v>0</v>
      </c>
      <c r="DT80" s="416"/>
      <c r="DU80" s="440" t="n">
        <v>0</v>
      </c>
      <c r="DV80" s="418" t="n">
        <f aca="false">DU80-CJ80</f>
        <v>0</v>
      </c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  <c r="EB80" s="419"/>
    </row>
    <row r="81" s="441" customFormat="true" ht="15.75" hidden="true" customHeight="true" outlineLevel="1" collapsed="false">
      <c r="A81" s="286"/>
      <c r="B81" s="444" t="s">
        <v>219</v>
      </c>
      <c r="C81" s="431" t="s">
        <v>240</v>
      </c>
      <c r="D81" s="432"/>
      <c r="E81" s="433"/>
      <c r="F81" s="433"/>
      <c r="G81" s="433"/>
      <c r="H81" s="434"/>
      <c r="I81" s="422"/>
      <c r="J81" s="432"/>
      <c r="K81" s="433"/>
      <c r="L81" s="433"/>
      <c r="M81" s="433"/>
      <c r="N81" s="434"/>
      <c r="O81" s="435"/>
      <c r="P81" s="432"/>
      <c r="Q81" s="433"/>
      <c r="R81" s="433"/>
      <c r="S81" s="433"/>
      <c r="T81" s="434"/>
      <c r="U81" s="423"/>
      <c r="V81" s="432"/>
      <c r="W81" s="433"/>
      <c r="X81" s="433"/>
      <c r="Y81" s="433"/>
      <c r="Z81" s="433"/>
      <c r="AA81" s="433"/>
      <c r="AB81" s="434"/>
      <c r="AC81" s="435"/>
      <c r="AD81" s="432"/>
      <c r="AE81" s="433"/>
      <c r="AF81" s="433"/>
      <c r="AG81" s="433"/>
      <c r="AH81" s="433"/>
      <c r="AI81" s="433"/>
      <c r="AJ81" s="434"/>
      <c r="AK81" s="435"/>
      <c r="AL81" s="432"/>
      <c r="AM81" s="433"/>
      <c r="AN81" s="433"/>
      <c r="AO81" s="433"/>
      <c r="AP81" s="433"/>
      <c r="AQ81" s="433"/>
      <c r="AR81" s="433"/>
      <c r="AS81" s="434"/>
      <c r="AT81" s="424"/>
      <c r="AU81" s="432"/>
      <c r="AV81" s="433"/>
      <c r="AW81" s="433"/>
      <c r="AX81" s="433"/>
      <c r="AY81" s="433"/>
      <c r="AZ81" s="433"/>
      <c r="BA81" s="434"/>
      <c r="BB81" s="435"/>
      <c r="BC81" s="281"/>
      <c r="BD81" s="144"/>
      <c r="BE81" s="144"/>
      <c r="BF81" s="144"/>
      <c r="BG81" s="144"/>
      <c r="BH81" s="433"/>
      <c r="BI81" s="434"/>
      <c r="BJ81" s="436"/>
      <c r="BK81" s="432"/>
      <c r="BL81" s="433"/>
      <c r="BM81" s="433"/>
      <c r="BN81" s="433"/>
      <c r="BO81" s="433"/>
      <c r="BP81" s="433"/>
      <c r="BQ81" s="433"/>
      <c r="BR81" s="434"/>
      <c r="BS81" s="436"/>
      <c r="BT81" s="432"/>
      <c r="BU81" s="433"/>
      <c r="BV81" s="433"/>
      <c r="BW81" s="433"/>
      <c r="BX81" s="433"/>
      <c r="BY81" s="433"/>
      <c r="BZ81" s="434"/>
      <c r="CA81" s="373"/>
      <c r="CB81" s="432"/>
      <c r="CC81" s="433"/>
      <c r="CD81" s="433"/>
      <c r="CE81" s="433"/>
      <c r="CF81" s="433"/>
      <c r="CG81" s="433"/>
      <c r="CH81" s="434"/>
      <c r="CI81" s="373"/>
      <c r="CJ81" s="432"/>
      <c r="CK81" s="433"/>
      <c r="CL81" s="433"/>
      <c r="CM81" s="433"/>
      <c r="CN81" s="433"/>
      <c r="CO81" s="433"/>
      <c r="CP81" s="434"/>
      <c r="CQ81" s="435"/>
      <c r="CR81" s="432"/>
      <c r="CS81" s="433"/>
      <c r="CT81" s="433"/>
      <c r="CU81" s="433" t="n">
        <f aca="false">+CR81-CS81</f>
        <v>0</v>
      </c>
      <c r="CV81" s="433" t="n">
        <f aca="false">+CR81-CT81</f>
        <v>0</v>
      </c>
      <c r="CW81" s="433"/>
      <c r="CX81" s="434" t="str">
        <f aca="false">IFERROR(CR81/CW81-1, "-")</f>
        <v>-</v>
      </c>
      <c r="CY81" s="425"/>
      <c r="CZ81" s="437"/>
      <c r="DA81" s="433"/>
      <c r="DB81" s="433"/>
      <c r="DC81" s="433"/>
      <c r="DD81" s="433"/>
      <c r="DE81" s="434"/>
      <c r="DF81" s="434"/>
      <c r="DG81" s="438" t="e">
        <f aca="false">+DB81/DD81-1</f>
        <v>#DIV/0!</v>
      </c>
      <c r="DH81" s="438" t="e">
        <f aca="false">+DC81/DD81-1</f>
        <v>#DIV/0!</v>
      </c>
      <c r="DI81" s="413"/>
      <c r="DJ81" s="117" t="n">
        <f aca="false">SUM(D81,J81,P81,V81,AD81,AL81,AU81,BC81,BK81,BT81,CB81,CJ81)-CR81</f>
        <v>0</v>
      </c>
      <c r="DK81" s="117" t="n">
        <f aca="false">SUM(E81,K81,Q81,W81,AE81,AM81,AV81,BD81,BL81,BU81,CC81,CK81)-CS81</f>
        <v>0</v>
      </c>
      <c r="DL81" s="117" t="n">
        <f aca="false">SUM(G81,M81,S81,AA81,AI81,AR81,AZ81,BH81,BQ81,BY81,CG81,CO81)-CW81</f>
        <v>0</v>
      </c>
      <c r="DM81" s="117" t="n">
        <f aca="false">SUM(D81,J81,P81,V81,AD81,AL81,AU81,BC81,,BN81,BV81,CD81,CL81)-CT81</f>
        <v>0</v>
      </c>
      <c r="DN81" s="413"/>
      <c r="DO81" s="413"/>
      <c r="DP81" s="439"/>
      <c r="DQ81" s="415" t="n">
        <f aca="false">-CR81+DP81/10^6</f>
        <v>0</v>
      </c>
      <c r="DR81" s="117" t="n">
        <f aca="false">SUM(E81,K81,Q81,W81,AE81,AM81,AV81,BD81,BL81,BU81,CC81,CK81)-CS81</f>
        <v>0</v>
      </c>
      <c r="DS81" s="117" t="n">
        <f aca="false">SUM(D81,J81,P81,V81,AD81,AL81,AU81,BC81,,BN81,BV81,CD81,CL81)-CT81</f>
        <v>0</v>
      </c>
      <c r="DT81" s="416"/>
      <c r="DU81" s="440"/>
      <c r="DV81" s="418" t="n">
        <f aca="false">DU81-CJ81</f>
        <v>0</v>
      </c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  <c r="EB81" s="419"/>
    </row>
    <row r="82" s="441" customFormat="true" ht="15.75" hidden="true" customHeight="true" outlineLevel="1" collapsed="false">
      <c r="A82" s="286"/>
      <c r="B82" s="444" t="s">
        <v>241</v>
      </c>
      <c r="C82" s="431" t="s">
        <v>242</v>
      </c>
      <c r="D82" s="461"/>
      <c r="E82" s="433"/>
      <c r="F82" s="433"/>
      <c r="G82" s="433"/>
      <c r="H82" s="434"/>
      <c r="I82" s="422"/>
      <c r="J82" s="461"/>
      <c r="K82" s="516"/>
      <c r="L82" s="485"/>
      <c r="M82" s="433"/>
      <c r="N82" s="434"/>
      <c r="O82" s="435"/>
      <c r="P82" s="461"/>
      <c r="Q82" s="516"/>
      <c r="R82" s="485"/>
      <c r="S82" s="433"/>
      <c r="T82" s="434"/>
      <c r="U82" s="423"/>
      <c r="V82" s="461"/>
      <c r="W82" s="516"/>
      <c r="X82" s="517"/>
      <c r="Y82" s="433"/>
      <c r="Z82" s="433"/>
      <c r="AA82" s="433"/>
      <c r="AB82" s="434"/>
      <c r="AC82" s="435"/>
      <c r="AD82" s="461"/>
      <c r="AE82" s="516"/>
      <c r="AF82" s="516"/>
      <c r="AG82" s="433"/>
      <c r="AH82" s="433"/>
      <c r="AI82" s="433"/>
      <c r="AJ82" s="434"/>
      <c r="AK82" s="435"/>
      <c r="AL82" s="461"/>
      <c r="AM82" s="516"/>
      <c r="AN82" s="516"/>
      <c r="AO82" s="516"/>
      <c r="AP82" s="433"/>
      <c r="AQ82" s="433"/>
      <c r="AR82" s="433"/>
      <c r="AS82" s="434"/>
      <c r="AT82" s="424"/>
      <c r="AU82" s="461"/>
      <c r="AV82" s="516"/>
      <c r="AW82" s="516"/>
      <c r="AX82" s="433"/>
      <c r="AY82" s="433"/>
      <c r="AZ82" s="433"/>
      <c r="BA82" s="434"/>
      <c r="BB82" s="435"/>
      <c r="BC82" s="496"/>
      <c r="BD82" s="144"/>
      <c r="BE82" s="144"/>
      <c r="BF82" s="144"/>
      <c r="BG82" s="144"/>
      <c r="BH82" s="433"/>
      <c r="BI82" s="434"/>
      <c r="BJ82" s="436"/>
      <c r="BK82" s="461"/>
      <c r="BL82" s="433"/>
      <c r="BM82" s="433"/>
      <c r="BN82" s="433"/>
      <c r="BO82" s="433"/>
      <c r="BP82" s="433"/>
      <c r="BQ82" s="433"/>
      <c r="BR82" s="434"/>
      <c r="BS82" s="436"/>
      <c r="BT82" s="461"/>
      <c r="BU82" s="433"/>
      <c r="BV82" s="433"/>
      <c r="BW82" s="433"/>
      <c r="BX82" s="433"/>
      <c r="BY82" s="433"/>
      <c r="BZ82" s="434"/>
      <c r="CA82" s="373"/>
      <c r="CB82" s="476"/>
      <c r="CC82" s="433"/>
      <c r="CD82" s="433"/>
      <c r="CE82" s="433"/>
      <c r="CF82" s="433"/>
      <c r="CG82" s="433"/>
      <c r="CH82" s="434"/>
      <c r="CI82" s="373"/>
      <c r="CJ82" s="476"/>
      <c r="CK82" s="433"/>
      <c r="CL82" s="433"/>
      <c r="CM82" s="433"/>
      <c r="CN82" s="433"/>
      <c r="CO82" s="433"/>
      <c r="CP82" s="434"/>
      <c r="CQ82" s="435"/>
      <c r="CR82" s="490"/>
      <c r="CS82" s="433"/>
      <c r="CT82" s="433"/>
      <c r="CU82" s="433" t="n">
        <f aca="false">+CR82-CS82</f>
        <v>0</v>
      </c>
      <c r="CV82" s="433" t="n">
        <f aca="false">+CR82-CT82</f>
        <v>0</v>
      </c>
      <c r="CW82" s="433"/>
      <c r="CX82" s="434" t="str">
        <f aca="false">IFERROR(CR82/CW82-1, "-")</f>
        <v>-</v>
      </c>
      <c r="CY82" s="425"/>
      <c r="CZ82" s="437"/>
      <c r="DA82" s="516"/>
      <c r="DB82" s="516"/>
      <c r="DC82" s="433"/>
      <c r="DD82" s="516"/>
      <c r="DE82" s="434" t="e">
        <f aca="false">+CZ82/DD82-1</f>
        <v>#DIV/0!</v>
      </c>
      <c r="DF82" s="434" t="e">
        <f aca="false">+DA82/DD82-1</f>
        <v>#DIV/0!</v>
      </c>
      <c r="DG82" s="438" t="e">
        <f aca="false">+DB82/DD82-1</f>
        <v>#DIV/0!</v>
      </c>
      <c r="DH82" s="438" t="e">
        <f aca="false">+DC82/DD82-1</f>
        <v>#DIV/0!</v>
      </c>
      <c r="DI82" s="413"/>
      <c r="DJ82" s="117" t="n">
        <f aca="false">SUM(D82,J82,P82,V82,AD82,AL82,AU82,BC82,BK82,BT82,CB82,CJ82)-CR82</f>
        <v>0</v>
      </c>
      <c r="DK82" s="117" t="n">
        <f aca="false">SUM(E82,K82,Q82,W82,AE82,AM82,AV82,BD82,BL82,BU82,CC82,CK82)-CS82</f>
        <v>0</v>
      </c>
      <c r="DL82" s="117" t="n">
        <f aca="false">SUM(G82,M82,S82,AA82,AI82,AR82,AZ82,BH82,BQ82,BY82,CG82,CO82)-CW82</f>
        <v>0</v>
      </c>
      <c r="DM82" s="117" t="n">
        <f aca="false">SUM(D82,J82,P82,V82,AD82,AL82,AU82,BC82,,BN82,BV82,CD82,CL82)-CT82</f>
        <v>0</v>
      </c>
      <c r="DN82" s="413"/>
      <c r="DO82" s="413"/>
      <c r="DP82" s="501" t="n">
        <v>1375989178</v>
      </c>
      <c r="DQ82" s="415" t="n">
        <f aca="false">-CR82+DP82/10^6</f>
        <v>1375.989178</v>
      </c>
      <c r="DR82" s="117" t="n">
        <f aca="false">SUM(E82,K82,Q82,W82,AE82,AM82,AV82,BD82,BL82,BU82,CC82,CK82)-CS82</f>
        <v>0</v>
      </c>
      <c r="DS82" s="117" t="n">
        <f aca="false">SUM(D82,J82,P82,V82,AD82,AL82,AU82,BC82,,BN82,BV82,CD82,CL82)-CT82</f>
        <v>0</v>
      </c>
      <c r="DT82" s="416"/>
      <c r="DU82" s="440" t="n">
        <v>188.742867</v>
      </c>
      <c r="DV82" s="418" t="n">
        <f aca="false">DU82-CJ82</f>
        <v>188.742867</v>
      </c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  <c r="EB82" s="419"/>
    </row>
    <row r="83" s="441" customFormat="true" ht="15.75" hidden="true" customHeight="true" outlineLevel="1" collapsed="false">
      <c r="A83" s="286"/>
      <c r="B83" s="444" t="s">
        <v>243</v>
      </c>
      <c r="C83" s="431" t="s">
        <v>244</v>
      </c>
      <c r="D83" s="432"/>
      <c r="E83" s="433"/>
      <c r="F83" s="433"/>
      <c r="G83" s="433"/>
      <c r="H83" s="434"/>
      <c r="I83" s="422"/>
      <c r="J83" s="432"/>
      <c r="K83" s="433"/>
      <c r="L83" s="485"/>
      <c r="M83" s="433"/>
      <c r="N83" s="434"/>
      <c r="O83" s="435"/>
      <c r="P83" s="432"/>
      <c r="Q83" s="433"/>
      <c r="R83" s="485"/>
      <c r="S83" s="433"/>
      <c r="T83" s="434"/>
      <c r="U83" s="423"/>
      <c r="V83" s="432"/>
      <c r="W83" s="433"/>
      <c r="X83" s="433"/>
      <c r="Y83" s="433"/>
      <c r="Z83" s="433"/>
      <c r="AA83" s="433"/>
      <c r="AB83" s="434"/>
      <c r="AC83" s="435"/>
      <c r="AD83" s="432"/>
      <c r="AE83" s="433"/>
      <c r="AF83" s="433"/>
      <c r="AG83" s="433"/>
      <c r="AH83" s="433"/>
      <c r="AI83" s="433"/>
      <c r="AJ83" s="434"/>
      <c r="AK83" s="435"/>
      <c r="AL83" s="432"/>
      <c r="AM83" s="433"/>
      <c r="AN83" s="433"/>
      <c r="AO83" s="433"/>
      <c r="AP83" s="433"/>
      <c r="AQ83" s="433"/>
      <c r="AR83" s="433"/>
      <c r="AS83" s="434"/>
      <c r="AT83" s="424"/>
      <c r="AU83" s="432"/>
      <c r="AV83" s="433"/>
      <c r="AW83" s="433"/>
      <c r="AX83" s="433"/>
      <c r="AY83" s="433"/>
      <c r="AZ83" s="433"/>
      <c r="BA83" s="434"/>
      <c r="BB83" s="435"/>
      <c r="BC83" s="281"/>
      <c r="BD83" s="144"/>
      <c r="BE83" s="144"/>
      <c r="BF83" s="144"/>
      <c r="BG83" s="144"/>
      <c r="BH83" s="433"/>
      <c r="BI83" s="434"/>
      <c r="BJ83" s="436"/>
      <c r="BK83" s="432"/>
      <c r="BL83" s="433"/>
      <c r="BM83" s="433"/>
      <c r="BN83" s="433"/>
      <c r="BO83" s="433"/>
      <c r="BP83" s="433"/>
      <c r="BQ83" s="433"/>
      <c r="BR83" s="434"/>
      <c r="BS83" s="436"/>
      <c r="BT83" s="432"/>
      <c r="BU83" s="433"/>
      <c r="BV83" s="433"/>
      <c r="BW83" s="433"/>
      <c r="BX83" s="433"/>
      <c r="BY83" s="433"/>
      <c r="BZ83" s="434"/>
      <c r="CA83" s="373"/>
      <c r="CB83" s="432"/>
      <c r="CC83" s="433"/>
      <c r="CD83" s="433"/>
      <c r="CE83" s="433"/>
      <c r="CF83" s="433"/>
      <c r="CG83" s="433"/>
      <c r="CH83" s="434"/>
      <c r="CI83" s="373"/>
      <c r="CJ83" s="432"/>
      <c r="CK83" s="433"/>
      <c r="CL83" s="433"/>
      <c r="CM83" s="433"/>
      <c r="CN83" s="433"/>
      <c r="CO83" s="433"/>
      <c r="CP83" s="434"/>
      <c r="CQ83" s="435"/>
      <c r="CR83" s="432"/>
      <c r="CS83" s="433"/>
      <c r="CT83" s="433"/>
      <c r="CU83" s="433" t="n">
        <f aca="false">+CR83-CS83</f>
        <v>0</v>
      </c>
      <c r="CV83" s="433" t="n">
        <f aca="false">+CR83-CT83</f>
        <v>0</v>
      </c>
      <c r="CW83" s="433"/>
      <c r="CX83" s="434" t="str">
        <f aca="false">IFERROR(CR83/CW83-1, "-")</f>
        <v>-</v>
      </c>
      <c r="CY83" s="425"/>
      <c r="CZ83" s="437"/>
      <c r="DA83" s="433"/>
      <c r="DB83" s="433"/>
      <c r="DC83" s="433"/>
      <c r="DD83" s="433"/>
      <c r="DE83" s="434" t="e">
        <f aca="false">+CZ83/DD83-1</f>
        <v>#DIV/0!</v>
      </c>
      <c r="DF83" s="434" t="e">
        <f aca="false">+DA83/DD83-1</f>
        <v>#DIV/0!</v>
      </c>
      <c r="DG83" s="438" t="e">
        <f aca="false">+DB83/DD83-1</f>
        <v>#DIV/0!</v>
      </c>
      <c r="DH83" s="438" t="e">
        <f aca="false">+DC83/DD83-1</f>
        <v>#DIV/0!</v>
      </c>
      <c r="DI83" s="413"/>
      <c r="DJ83" s="117" t="n">
        <f aca="false">SUM(D83,J83,P83,V83,AD83,AL83,AU83,BC83,BK83,BT83,CB83,CJ83)-CR83</f>
        <v>0</v>
      </c>
      <c r="DK83" s="117" t="n">
        <f aca="false">SUM(E83,K83,Q83,W83,AE83,AM83,AV83,BD83,BL83,BU83,CC83,CK83)-CS83</f>
        <v>0</v>
      </c>
      <c r="DL83" s="117" t="n">
        <f aca="false">SUM(G83,M83,S83,AA83,AI83,AR83,AZ83,BH83,BQ83,BY83,CG83,CO83)-CW83</f>
        <v>0</v>
      </c>
      <c r="DM83" s="117" t="n">
        <f aca="false">SUM(D83,J83,P83,V83,AD83,AL83,AU83,BC83,,BN83,BV83,CD83,CL83)-CT83</f>
        <v>0</v>
      </c>
      <c r="DN83" s="413"/>
      <c r="DO83" s="413"/>
      <c r="DP83" s="439" t="n">
        <v>24074962</v>
      </c>
      <c r="DQ83" s="415" t="n">
        <f aca="false">-CR83+DP83/10^6</f>
        <v>24.074962</v>
      </c>
      <c r="DR83" s="117" t="n">
        <f aca="false">SUM(E83,K83,Q83,W83,AE83,AM83,AV83,BD83,BL83,BU83,CC83,CK83)-CS83</f>
        <v>0</v>
      </c>
      <c r="DS83" s="117" t="n">
        <f aca="false">SUM(D83,J83,P83,V83,AD83,AL83,AU83,BC83,,BN83,BV83,CD83,CL83)-CT83</f>
        <v>0</v>
      </c>
      <c r="DT83" s="416"/>
      <c r="DU83" s="440" t="n">
        <v>-63.494016</v>
      </c>
      <c r="DV83" s="418" t="n">
        <f aca="false">DU83-CJ83</f>
        <v>-63.494016</v>
      </c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  <c r="EB83" s="419"/>
    </row>
    <row r="84" s="441" customFormat="true" ht="15.75" hidden="true" customHeight="true" outlineLevel="1" collapsed="false">
      <c r="A84" s="286"/>
      <c r="B84" s="444" t="s">
        <v>245</v>
      </c>
      <c r="C84" s="431" t="s">
        <v>246</v>
      </c>
      <c r="D84" s="432"/>
      <c r="E84" s="433"/>
      <c r="F84" s="433"/>
      <c r="G84" s="433"/>
      <c r="H84" s="434"/>
      <c r="I84" s="422"/>
      <c r="J84" s="432"/>
      <c r="K84" s="433"/>
      <c r="L84" s="433"/>
      <c r="M84" s="433"/>
      <c r="N84" s="434"/>
      <c r="O84" s="435"/>
      <c r="P84" s="432"/>
      <c r="Q84" s="433"/>
      <c r="R84" s="433"/>
      <c r="S84" s="433"/>
      <c r="T84" s="434"/>
      <c r="U84" s="423"/>
      <c r="V84" s="432"/>
      <c r="W84" s="433"/>
      <c r="X84" s="433"/>
      <c r="Y84" s="433"/>
      <c r="Z84" s="433"/>
      <c r="AA84" s="433"/>
      <c r="AB84" s="434"/>
      <c r="AC84" s="435"/>
      <c r="AD84" s="432"/>
      <c r="AE84" s="433"/>
      <c r="AF84" s="433"/>
      <c r="AG84" s="433"/>
      <c r="AH84" s="433"/>
      <c r="AI84" s="433"/>
      <c r="AJ84" s="434"/>
      <c r="AK84" s="435"/>
      <c r="AL84" s="432"/>
      <c r="AM84" s="433"/>
      <c r="AN84" s="433"/>
      <c r="AO84" s="433"/>
      <c r="AP84" s="433"/>
      <c r="AQ84" s="433"/>
      <c r="AR84" s="433"/>
      <c r="AS84" s="434"/>
      <c r="AT84" s="424"/>
      <c r="AU84" s="432"/>
      <c r="AV84" s="433"/>
      <c r="AW84" s="433"/>
      <c r="AX84" s="433"/>
      <c r="AY84" s="433"/>
      <c r="AZ84" s="433"/>
      <c r="BA84" s="434"/>
      <c r="BB84" s="435"/>
      <c r="BC84" s="281"/>
      <c r="BD84" s="144"/>
      <c r="BE84" s="144"/>
      <c r="BF84" s="144"/>
      <c r="BG84" s="144"/>
      <c r="BH84" s="433"/>
      <c r="BI84" s="434"/>
      <c r="BJ84" s="436"/>
      <c r="BK84" s="432"/>
      <c r="BL84" s="433"/>
      <c r="BM84" s="433"/>
      <c r="BN84" s="433"/>
      <c r="BO84" s="433"/>
      <c r="BP84" s="433"/>
      <c r="BQ84" s="433"/>
      <c r="BR84" s="434"/>
      <c r="BS84" s="436"/>
      <c r="BT84" s="432"/>
      <c r="BU84" s="433"/>
      <c r="BV84" s="433"/>
      <c r="BW84" s="433"/>
      <c r="BX84" s="433"/>
      <c r="BY84" s="433"/>
      <c r="BZ84" s="434"/>
      <c r="CA84" s="373"/>
      <c r="CB84" s="432"/>
      <c r="CC84" s="433"/>
      <c r="CD84" s="433"/>
      <c r="CE84" s="433"/>
      <c r="CF84" s="433"/>
      <c r="CG84" s="433"/>
      <c r="CH84" s="434"/>
      <c r="CI84" s="373"/>
      <c r="CJ84" s="432"/>
      <c r="CK84" s="433"/>
      <c r="CL84" s="433"/>
      <c r="CM84" s="433"/>
      <c r="CN84" s="433"/>
      <c r="CO84" s="433"/>
      <c r="CP84" s="434"/>
      <c r="CQ84" s="435"/>
      <c r="CR84" s="490"/>
      <c r="CS84" s="433"/>
      <c r="CT84" s="433"/>
      <c r="CU84" s="433" t="n">
        <f aca="false">+CR84-CS84</f>
        <v>0</v>
      </c>
      <c r="CV84" s="433" t="n">
        <f aca="false">+CR84-CT84</f>
        <v>0</v>
      </c>
      <c r="CW84" s="433"/>
      <c r="CX84" s="434" t="str">
        <f aca="false">IFERROR(CR84/CW84-1, "-")</f>
        <v>-</v>
      </c>
      <c r="CY84" s="425"/>
      <c r="CZ84" s="437"/>
      <c r="DA84" s="433"/>
      <c r="DB84" s="433"/>
      <c r="DC84" s="433"/>
      <c r="DD84" s="433"/>
      <c r="DE84" s="434" t="e">
        <f aca="false">+CZ84/DD84-1</f>
        <v>#DIV/0!</v>
      </c>
      <c r="DF84" s="434" t="e">
        <f aca="false">+DA84/DD84-1</f>
        <v>#DIV/0!</v>
      </c>
      <c r="DG84" s="438" t="e">
        <f aca="false">+DB84/DD84-1</f>
        <v>#DIV/0!</v>
      </c>
      <c r="DH84" s="438" t="e">
        <f aca="false">+DC84/DD84-1</f>
        <v>#DIV/0!</v>
      </c>
      <c r="DI84" s="413"/>
      <c r="DJ84" s="117" t="n">
        <f aca="false">SUM(D84,J84,P84,V84,AD84,AL84,AU84,BC84,BK84,BT84,CB84,CJ84)-CR84</f>
        <v>0</v>
      </c>
      <c r="DK84" s="117" t="n">
        <f aca="false">SUM(E84,K84,Q84,W84,AE84,AM84,AV84,BD84,BL84,BU84,CC84,CK84)-CS84</f>
        <v>0</v>
      </c>
      <c r="DL84" s="117" t="n">
        <f aca="false">SUM(G84,M84,S84,AA84,AI84,AR84,AZ84,BH84,BQ84,BY84,CG84,CO84)-CW84</f>
        <v>0</v>
      </c>
      <c r="DM84" s="117" t="n">
        <f aca="false">SUM(D84,J84,P84,V84,AD84,AL84,AU84,BC84,,BN84,BV84,CD84,CL84)-CT84</f>
        <v>0</v>
      </c>
      <c r="DN84" s="413"/>
      <c r="DO84" s="413"/>
      <c r="DP84" s="439" t="n">
        <v>190417513</v>
      </c>
      <c r="DQ84" s="415" t="n">
        <f aca="false">-CR84+DP84/10^6</f>
        <v>190.417513</v>
      </c>
      <c r="DR84" s="117" t="n">
        <f aca="false">SUM(E84,K84,Q84,W84,AE84,AM84,AV84,BD84,BL84,BU84,CC84,CK84)-CS84</f>
        <v>0</v>
      </c>
      <c r="DS84" s="117" t="n">
        <f aca="false">SUM(D84,J84,P84,V84,AD84,AL84,AU84,BC84,,BN84,BV84,CD84,CL84)-CT84</f>
        <v>0</v>
      </c>
      <c r="DT84" s="416"/>
      <c r="DU84" s="440" t="n">
        <v>-0.798076</v>
      </c>
      <c r="DV84" s="418" t="n">
        <f aca="false">DU84-CJ84</f>
        <v>-0.798076</v>
      </c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  <c r="EB84" s="419"/>
    </row>
    <row r="85" s="535" customFormat="true" ht="15.75" hidden="true" customHeight="true" outlineLevel="1" collapsed="false">
      <c r="A85" s="518"/>
      <c r="B85" s="519" t="s">
        <v>247</v>
      </c>
      <c r="C85" s="431" t="s">
        <v>248</v>
      </c>
      <c r="D85" s="520"/>
      <c r="E85" s="521"/>
      <c r="F85" s="521"/>
      <c r="G85" s="521"/>
      <c r="H85" s="522"/>
      <c r="I85" s="523"/>
      <c r="J85" s="520"/>
      <c r="K85" s="521"/>
      <c r="L85" s="521"/>
      <c r="M85" s="521"/>
      <c r="N85" s="522"/>
      <c r="O85" s="524"/>
      <c r="P85" s="520"/>
      <c r="Q85" s="521"/>
      <c r="R85" s="521"/>
      <c r="S85" s="521"/>
      <c r="T85" s="522"/>
      <c r="U85" s="525"/>
      <c r="V85" s="526"/>
      <c r="W85" s="521"/>
      <c r="X85" s="521"/>
      <c r="Y85" s="521"/>
      <c r="Z85" s="521"/>
      <c r="AA85" s="521"/>
      <c r="AB85" s="522"/>
      <c r="AC85" s="524"/>
      <c r="AD85" s="526"/>
      <c r="AE85" s="521"/>
      <c r="AF85" s="521"/>
      <c r="AG85" s="521"/>
      <c r="AH85" s="521"/>
      <c r="AI85" s="521"/>
      <c r="AJ85" s="522"/>
      <c r="AK85" s="524"/>
      <c r="AL85" s="526"/>
      <c r="AM85" s="521"/>
      <c r="AN85" s="521"/>
      <c r="AO85" s="521"/>
      <c r="AP85" s="521"/>
      <c r="AQ85" s="521"/>
      <c r="AR85" s="521"/>
      <c r="AS85" s="522"/>
      <c r="AT85" s="527"/>
      <c r="AU85" s="476"/>
      <c r="AV85" s="521"/>
      <c r="AW85" s="528"/>
      <c r="AX85" s="521"/>
      <c r="AY85" s="521"/>
      <c r="AZ85" s="521"/>
      <c r="BA85" s="522"/>
      <c r="BB85" s="524"/>
      <c r="BC85" s="496"/>
      <c r="BD85" s="135"/>
      <c r="BE85" s="135"/>
      <c r="BF85" s="135"/>
      <c r="BG85" s="135"/>
      <c r="BH85" s="521"/>
      <c r="BI85" s="522"/>
      <c r="BJ85" s="529"/>
      <c r="BK85" s="461"/>
      <c r="BL85" s="521"/>
      <c r="BM85" s="521"/>
      <c r="BN85" s="521"/>
      <c r="BO85" s="521"/>
      <c r="BP85" s="521"/>
      <c r="BQ85" s="521"/>
      <c r="BR85" s="522"/>
      <c r="BS85" s="529"/>
      <c r="BT85" s="461"/>
      <c r="BU85" s="521"/>
      <c r="BV85" s="521"/>
      <c r="BW85" s="521"/>
      <c r="BX85" s="521"/>
      <c r="BY85" s="521"/>
      <c r="BZ85" s="522"/>
      <c r="CA85" s="373"/>
      <c r="CB85" s="461"/>
      <c r="CC85" s="521"/>
      <c r="CD85" s="521"/>
      <c r="CE85" s="521"/>
      <c r="CF85" s="521"/>
      <c r="CG85" s="521"/>
      <c r="CH85" s="522"/>
      <c r="CI85" s="373"/>
      <c r="CJ85" s="461"/>
      <c r="CK85" s="521"/>
      <c r="CL85" s="521"/>
      <c r="CM85" s="521"/>
      <c r="CN85" s="521"/>
      <c r="CO85" s="521"/>
      <c r="CP85" s="522"/>
      <c r="CQ85" s="524"/>
      <c r="CR85" s="530"/>
      <c r="CS85" s="521"/>
      <c r="CT85" s="521"/>
      <c r="CU85" s="521" t="n">
        <f aca="false">+CR85-CS85</f>
        <v>0</v>
      </c>
      <c r="CV85" s="521" t="n">
        <f aca="false">+CR85-CT85</f>
        <v>0</v>
      </c>
      <c r="CW85" s="521"/>
      <c r="CX85" s="522" t="str">
        <f aca="false">IFERROR(CR85/CW85-1, "-")</f>
        <v>-</v>
      </c>
      <c r="CY85" s="531"/>
      <c r="CZ85" s="532"/>
      <c r="DA85" s="521"/>
      <c r="DB85" s="521"/>
      <c r="DC85" s="521"/>
      <c r="DD85" s="521"/>
      <c r="DE85" s="522" t="e">
        <f aca="false">+CZ85/DD85-1</f>
        <v>#DIV/0!</v>
      </c>
      <c r="DF85" s="522" t="e">
        <f aca="false">+DA85/DD85-1</f>
        <v>#DIV/0!</v>
      </c>
      <c r="DG85" s="533" t="e">
        <f aca="false">+DB85/DD85-1</f>
        <v>#DIV/0!</v>
      </c>
      <c r="DH85" s="533" t="e">
        <f aca="false">+DC85/DD85-1</f>
        <v>#DIV/0!</v>
      </c>
      <c r="DI85" s="413"/>
      <c r="DJ85" s="117" t="n">
        <f aca="false">SUM(D85,J85,P85,V85,AD85,AL85,AU85,BC85,BK85,BT85,CB85,CJ85)-CR85</f>
        <v>0</v>
      </c>
      <c r="DK85" s="117" t="n">
        <f aca="false">SUM(E85,K85,Q85,W85,AE85,AM85,AV85,BD85,BL85,BU85,CC85,CK85)-CS85</f>
        <v>0</v>
      </c>
      <c r="DL85" s="117" t="n">
        <f aca="false">SUM(G85,M85,S85,AA85,AI85,AR85,AZ85,BH85,BQ85,BY85,CG85,CO85)-CW85</f>
        <v>0</v>
      </c>
      <c r="DM85" s="117" t="n">
        <f aca="false">SUM(D85,J85,P85,V85,AD85,AL85,AU85,BC85,,BN85,BV85,CD85,CL85)-CT85</f>
        <v>0</v>
      </c>
      <c r="DN85" s="413"/>
      <c r="DO85" s="413"/>
      <c r="DP85" s="534" t="n">
        <v>1056881347</v>
      </c>
      <c r="DQ85" s="415" t="n">
        <f aca="false">-CR85+DP85/10^6</f>
        <v>1056.881347</v>
      </c>
      <c r="DR85" s="117" t="n">
        <f aca="false">SUM(E85,K85,Q85,W85,AE85,AM85,AV85,BD85,BL85,BU85,CC85,CK85)-CS85</f>
        <v>0</v>
      </c>
      <c r="DS85" s="117" t="n">
        <f aca="false">SUM(D85,J85,P85,V85,AD85,AL85,AU85,BC85,,BN85,BV85,CD85,CL85)-CT85</f>
        <v>0</v>
      </c>
      <c r="DT85" s="416"/>
      <c r="DU85" s="440" t="n">
        <v>128.640072</v>
      </c>
      <c r="DV85" s="418" t="n">
        <f aca="false">DU85-CJ85</f>
        <v>128.640072</v>
      </c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  <c r="EB85" s="419"/>
    </row>
    <row r="86" s="441" customFormat="true" ht="15.75" hidden="true" customHeight="true" outlineLevel="1" collapsed="false">
      <c r="A86" s="286"/>
      <c r="B86" s="444" t="s">
        <v>249</v>
      </c>
      <c r="C86" s="431" t="s">
        <v>250</v>
      </c>
      <c r="D86" s="433"/>
      <c r="E86" s="433"/>
      <c r="F86" s="433"/>
      <c r="G86" s="433"/>
      <c r="H86" s="434"/>
      <c r="I86" s="422"/>
      <c r="J86" s="433"/>
      <c r="K86" s="433"/>
      <c r="L86" s="485"/>
      <c r="M86" s="433"/>
      <c r="N86" s="434"/>
      <c r="O86" s="435"/>
      <c r="P86" s="433"/>
      <c r="Q86" s="433"/>
      <c r="R86" s="485"/>
      <c r="S86" s="433"/>
      <c r="T86" s="434"/>
      <c r="U86" s="423"/>
      <c r="V86" s="433"/>
      <c r="W86" s="433"/>
      <c r="X86" s="433"/>
      <c r="Y86" s="433"/>
      <c r="Z86" s="433"/>
      <c r="AA86" s="433"/>
      <c r="AB86" s="434"/>
      <c r="AC86" s="435"/>
      <c r="AD86" s="433"/>
      <c r="AE86" s="433"/>
      <c r="AF86" s="433"/>
      <c r="AG86" s="433"/>
      <c r="AH86" s="433"/>
      <c r="AI86" s="433"/>
      <c r="AJ86" s="434"/>
      <c r="AK86" s="435"/>
      <c r="AL86" s="433"/>
      <c r="AM86" s="433"/>
      <c r="AN86" s="536"/>
      <c r="AO86" s="536"/>
      <c r="AP86" s="433"/>
      <c r="AQ86" s="433"/>
      <c r="AR86" s="433"/>
      <c r="AS86" s="434"/>
      <c r="AT86" s="424"/>
      <c r="AU86" s="433"/>
      <c r="AV86" s="433"/>
      <c r="AW86" s="536"/>
      <c r="AX86" s="433"/>
      <c r="AY86" s="433"/>
      <c r="AZ86" s="433"/>
      <c r="BA86" s="434"/>
      <c r="BB86" s="435"/>
      <c r="BC86" s="144"/>
      <c r="BD86" s="144"/>
      <c r="BE86" s="144"/>
      <c r="BF86" s="144"/>
      <c r="BG86" s="144"/>
      <c r="BH86" s="433"/>
      <c r="BI86" s="434"/>
      <c r="BJ86" s="436"/>
      <c r="BK86" s="433"/>
      <c r="BL86" s="433"/>
      <c r="BM86" s="433"/>
      <c r="BN86" s="433"/>
      <c r="BO86" s="433"/>
      <c r="BP86" s="433"/>
      <c r="BQ86" s="433"/>
      <c r="BR86" s="434"/>
      <c r="BS86" s="436"/>
      <c r="BT86" s="433"/>
      <c r="BU86" s="433"/>
      <c r="BV86" s="433"/>
      <c r="BW86" s="433"/>
      <c r="BX86" s="433"/>
      <c r="BY86" s="433"/>
      <c r="BZ86" s="434"/>
      <c r="CA86" s="373"/>
      <c r="CB86" s="517"/>
      <c r="CC86" s="433"/>
      <c r="CD86" s="433"/>
      <c r="CE86" s="433"/>
      <c r="CF86" s="433"/>
      <c r="CG86" s="433"/>
      <c r="CH86" s="434"/>
      <c r="CI86" s="373"/>
      <c r="CJ86" s="517"/>
      <c r="CK86" s="433"/>
      <c r="CL86" s="433"/>
      <c r="CM86" s="433"/>
      <c r="CN86" s="433"/>
      <c r="CO86" s="433"/>
      <c r="CP86" s="434"/>
      <c r="CQ86" s="435"/>
      <c r="CR86" s="490"/>
      <c r="CS86" s="433"/>
      <c r="CT86" s="433"/>
      <c r="CU86" s="433" t="n">
        <f aca="false">+CR86-CS86</f>
        <v>0</v>
      </c>
      <c r="CV86" s="433" t="n">
        <f aca="false">+CR86-CT86</f>
        <v>0</v>
      </c>
      <c r="CW86" s="433"/>
      <c r="CX86" s="434" t="str">
        <f aca="false">IFERROR(CR86/CW86-1, "-")</f>
        <v>-</v>
      </c>
      <c r="CY86" s="425"/>
      <c r="CZ86" s="437"/>
      <c r="DA86" s="433"/>
      <c r="DB86" s="536"/>
      <c r="DC86" s="433"/>
      <c r="DD86" s="536"/>
      <c r="DE86" s="434" t="e">
        <f aca="false">+CZ86/DD86-1</f>
        <v>#DIV/0!</v>
      </c>
      <c r="DF86" s="434" t="e">
        <f aca="false">+DA86/DD86-1</f>
        <v>#DIV/0!</v>
      </c>
      <c r="DG86" s="438" t="e">
        <f aca="false">+DB86/DD86-1</f>
        <v>#DIV/0!</v>
      </c>
      <c r="DH86" s="438" t="e">
        <f aca="false">+DC86/DD86-1</f>
        <v>#DIV/0!</v>
      </c>
      <c r="DI86" s="413"/>
      <c r="DJ86" s="117" t="n">
        <f aca="false">SUM(D86,J86,P86,V86,AD86,AL86,AU86,BC86,BK86,BT86,CB86,CJ86)-CR86</f>
        <v>0</v>
      </c>
      <c r="DK86" s="117" t="n">
        <f aca="false">SUM(E86,K86,Q86,W86,AE86,AM86,AV86,BD86,BL86,BU86,CC86,CK86)-CS86</f>
        <v>0</v>
      </c>
      <c r="DL86" s="117" t="n">
        <f aca="false">SUM(G86,M86,S86,AA86,AI86,AR86,AZ86,BH86,BQ86,BY86,CG86,CO86)-CW86</f>
        <v>0</v>
      </c>
      <c r="DM86" s="117" t="n">
        <f aca="false">SUM(D86,J86,P86,V86,AD86,AL86,AU86,BC86,,BN86,BV86,CD86,CL86)-CT86</f>
        <v>0</v>
      </c>
      <c r="DN86" s="413"/>
      <c r="DO86" s="413"/>
      <c r="DP86" s="537" t="n">
        <v>300348843</v>
      </c>
      <c r="DQ86" s="415" t="n">
        <f aca="false">-CR86+DP86/10^6</f>
        <v>300.348843</v>
      </c>
      <c r="DR86" s="117" t="n">
        <f aca="false">SUM(E86,K86,Q86,W86,AE86,AM86,AV86,BD86,BL86,BU86,CC86,CK86)-CS86</f>
        <v>0</v>
      </c>
      <c r="DS86" s="117" t="n">
        <f aca="false">SUM(D86,J86,P86,V86,AD86,AL86,AU86,BC86,,BN86,BV86,CD86,CL86)-CT86</f>
        <v>0</v>
      </c>
      <c r="DT86" s="416"/>
      <c r="DU86" s="440" t="n">
        <v>8.100141</v>
      </c>
      <c r="DV86" s="418" t="n">
        <f aca="false">DU86-CJ86</f>
        <v>8.100141</v>
      </c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  <c r="EB86" s="419"/>
    </row>
    <row r="87" s="441" customFormat="true" ht="15.75" hidden="true" customHeight="true" outlineLevel="1" collapsed="false">
      <c r="A87" s="286"/>
      <c r="B87" s="444" t="s">
        <v>251</v>
      </c>
      <c r="C87" s="431" t="s">
        <v>252</v>
      </c>
      <c r="D87" s="432"/>
      <c r="E87" s="433"/>
      <c r="F87" s="433"/>
      <c r="G87" s="433"/>
      <c r="H87" s="434"/>
      <c r="I87" s="422"/>
      <c r="J87" s="432"/>
      <c r="K87" s="433"/>
      <c r="L87" s="433"/>
      <c r="M87" s="433"/>
      <c r="N87" s="434"/>
      <c r="O87" s="435"/>
      <c r="P87" s="432"/>
      <c r="Q87" s="433"/>
      <c r="R87" s="433"/>
      <c r="S87" s="433"/>
      <c r="T87" s="434"/>
      <c r="U87" s="423"/>
      <c r="V87" s="432"/>
      <c r="W87" s="433"/>
      <c r="X87" s="433"/>
      <c r="Y87" s="433"/>
      <c r="Z87" s="433"/>
      <c r="AA87" s="433"/>
      <c r="AB87" s="434"/>
      <c r="AC87" s="435"/>
      <c r="AD87" s="432"/>
      <c r="AE87" s="433"/>
      <c r="AF87" s="433"/>
      <c r="AG87" s="433"/>
      <c r="AH87" s="433"/>
      <c r="AI87" s="433"/>
      <c r="AJ87" s="434"/>
      <c r="AK87" s="435"/>
      <c r="AL87" s="432"/>
      <c r="AM87" s="433"/>
      <c r="AN87" s="433"/>
      <c r="AO87" s="433"/>
      <c r="AP87" s="433"/>
      <c r="AQ87" s="433"/>
      <c r="AR87" s="433"/>
      <c r="AS87" s="434"/>
      <c r="AT87" s="424"/>
      <c r="AU87" s="432"/>
      <c r="AV87" s="433"/>
      <c r="AW87" s="433"/>
      <c r="AX87" s="433"/>
      <c r="AY87" s="433"/>
      <c r="AZ87" s="433"/>
      <c r="BA87" s="434"/>
      <c r="BB87" s="435"/>
      <c r="BC87" s="281"/>
      <c r="BD87" s="144"/>
      <c r="BE87" s="144"/>
      <c r="BF87" s="144"/>
      <c r="BG87" s="144"/>
      <c r="BH87" s="433"/>
      <c r="BI87" s="434"/>
      <c r="BJ87" s="436"/>
      <c r="BK87" s="432"/>
      <c r="BL87" s="433"/>
      <c r="BM87" s="433"/>
      <c r="BN87" s="433"/>
      <c r="BO87" s="433"/>
      <c r="BP87" s="433"/>
      <c r="BQ87" s="433"/>
      <c r="BR87" s="434"/>
      <c r="BS87" s="436"/>
      <c r="BT87" s="432"/>
      <c r="BU87" s="433"/>
      <c r="BV87" s="433"/>
      <c r="BW87" s="433"/>
      <c r="BX87" s="433"/>
      <c r="BY87" s="433"/>
      <c r="BZ87" s="434"/>
      <c r="CA87" s="373"/>
      <c r="CB87" s="442"/>
      <c r="CC87" s="433"/>
      <c r="CD87" s="433"/>
      <c r="CE87" s="433"/>
      <c r="CF87" s="433"/>
      <c r="CG87" s="433"/>
      <c r="CH87" s="434"/>
      <c r="CI87" s="373"/>
      <c r="CJ87" s="442"/>
      <c r="CK87" s="433"/>
      <c r="CL87" s="433"/>
      <c r="CM87" s="433"/>
      <c r="CN87" s="433"/>
      <c r="CO87" s="433"/>
      <c r="CP87" s="434"/>
      <c r="CQ87" s="435"/>
      <c r="CR87" s="490"/>
      <c r="CS87" s="433"/>
      <c r="CT87" s="433"/>
      <c r="CU87" s="433" t="n">
        <f aca="false">+CR87-CS87</f>
        <v>0</v>
      </c>
      <c r="CV87" s="433" t="n">
        <f aca="false">+CR87-CT87</f>
        <v>0</v>
      </c>
      <c r="CW87" s="433"/>
      <c r="CX87" s="434" t="str">
        <f aca="false">IFERROR(CR87/CW87-1, "-")</f>
        <v>-</v>
      </c>
      <c r="CY87" s="425"/>
      <c r="CZ87" s="437"/>
      <c r="DA87" s="433"/>
      <c r="DB87" s="433"/>
      <c r="DC87" s="433"/>
      <c r="DD87" s="433"/>
      <c r="DE87" s="434" t="e">
        <f aca="false">+CZ87/DD87-1</f>
        <v>#DIV/0!</v>
      </c>
      <c r="DF87" s="434" t="e">
        <f aca="false">+DA87/DD87-1</f>
        <v>#DIV/0!</v>
      </c>
      <c r="DG87" s="438" t="e">
        <f aca="false">+DB87/DD87-1</f>
        <v>#DIV/0!</v>
      </c>
      <c r="DH87" s="438" t="e">
        <f aca="false">+DC87/DD87-1</f>
        <v>#DIV/0!</v>
      </c>
      <c r="DI87" s="413"/>
      <c r="DJ87" s="117" t="n">
        <f aca="false">SUM(D87,J87,P87,V87,AD87,AL87,AU87,BC87,BK87,BT87,CB87,CJ87)-CR87</f>
        <v>0</v>
      </c>
      <c r="DK87" s="117" t="n">
        <f aca="false">SUM(E87,K87,Q87,W87,AE87,AM87,AV87,BD87,BL87,BU87,CC87,CK87)-CS87</f>
        <v>0</v>
      </c>
      <c r="DL87" s="117" t="n">
        <f aca="false">SUM(G87,M87,S87,AA87,AI87,AR87,AZ87,BH87,BQ87,BY87,CG87,CO87)-CW87</f>
        <v>0</v>
      </c>
      <c r="DM87" s="117" t="n">
        <f aca="false">SUM(D87,J87,P87,V87,AD87,AL87,AU87,BC87,,BN87,BV87,CD87,CL87)-CT87</f>
        <v>0</v>
      </c>
      <c r="DN87" s="413"/>
      <c r="DO87" s="413"/>
      <c r="DP87" s="439" t="n">
        <v>14595529</v>
      </c>
      <c r="DQ87" s="415" t="n">
        <f aca="false">-CR87+DP87/10^6</f>
        <v>14.595529</v>
      </c>
      <c r="DR87" s="117" t="n">
        <f aca="false">SUM(E87,K87,Q87,W87,AE87,AM87,AV87,BD87,BL87,BU87,CC87,CK87)-CS87</f>
        <v>0</v>
      </c>
      <c r="DS87" s="117" t="n">
        <f aca="false">SUM(D87,J87,P87,V87,AD87,AL87,AU87,BC87,,BN87,BV87,CD87,CL87)-CT87</f>
        <v>0</v>
      </c>
      <c r="DT87" s="416"/>
      <c r="DU87" s="440" t="n">
        <v>1.311914</v>
      </c>
      <c r="DV87" s="418" t="n">
        <f aca="false">DU87-CJ87</f>
        <v>1.311914</v>
      </c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  <c r="EB87" s="419"/>
    </row>
    <row r="88" s="441" customFormat="true" ht="15.75" hidden="true" customHeight="true" outlineLevel="1" collapsed="false">
      <c r="A88" s="286"/>
      <c r="B88" s="444" t="s">
        <v>253</v>
      </c>
      <c r="C88" s="431" t="s">
        <v>254</v>
      </c>
      <c r="D88" s="432"/>
      <c r="E88" s="433"/>
      <c r="F88" s="433"/>
      <c r="G88" s="433"/>
      <c r="H88" s="434"/>
      <c r="I88" s="422"/>
      <c r="J88" s="432"/>
      <c r="K88" s="433"/>
      <c r="L88" s="433"/>
      <c r="M88" s="433"/>
      <c r="N88" s="434"/>
      <c r="O88" s="435"/>
      <c r="P88" s="432"/>
      <c r="Q88" s="433"/>
      <c r="R88" s="433"/>
      <c r="S88" s="433"/>
      <c r="T88" s="434"/>
      <c r="U88" s="423"/>
      <c r="V88" s="432"/>
      <c r="W88" s="433"/>
      <c r="X88" s="433"/>
      <c r="Y88" s="433"/>
      <c r="Z88" s="433"/>
      <c r="AA88" s="433"/>
      <c r="AB88" s="434"/>
      <c r="AC88" s="435"/>
      <c r="AD88" s="432"/>
      <c r="AE88" s="433"/>
      <c r="AF88" s="433"/>
      <c r="AG88" s="433"/>
      <c r="AH88" s="433"/>
      <c r="AI88" s="433"/>
      <c r="AJ88" s="434"/>
      <c r="AK88" s="435"/>
      <c r="AL88" s="432"/>
      <c r="AM88" s="433"/>
      <c r="AN88" s="433"/>
      <c r="AO88" s="433"/>
      <c r="AP88" s="433"/>
      <c r="AQ88" s="433"/>
      <c r="AR88" s="433"/>
      <c r="AS88" s="434"/>
      <c r="AT88" s="424"/>
      <c r="AU88" s="432"/>
      <c r="AV88" s="433"/>
      <c r="AW88" s="433"/>
      <c r="AX88" s="433"/>
      <c r="AY88" s="433"/>
      <c r="AZ88" s="433"/>
      <c r="BA88" s="434"/>
      <c r="BB88" s="435"/>
      <c r="BC88" s="281"/>
      <c r="BD88" s="144"/>
      <c r="BE88" s="144"/>
      <c r="BF88" s="144"/>
      <c r="BG88" s="144"/>
      <c r="BH88" s="433"/>
      <c r="BI88" s="434"/>
      <c r="BJ88" s="436"/>
      <c r="BK88" s="432"/>
      <c r="BL88" s="433"/>
      <c r="BM88" s="433"/>
      <c r="BN88" s="433"/>
      <c r="BO88" s="433"/>
      <c r="BP88" s="433"/>
      <c r="BQ88" s="433"/>
      <c r="BR88" s="434"/>
      <c r="BS88" s="436"/>
      <c r="BT88" s="432"/>
      <c r="BU88" s="433"/>
      <c r="BV88" s="433"/>
      <c r="BW88" s="433"/>
      <c r="BX88" s="433"/>
      <c r="BY88" s="433"/>
      <c r="BZ88" s="434"/>
      <c r="CA88" s="373"/>
      <c r="CB88" s="432"/>
      <c r="CC88" s="433"/>
      <c r="CD88" s="433"/>
      <c r="CE88" s="433"/>
      <c r="CF88" s="433"/>
      <c r="CG88" s="433"/>
      <c r="CH88" s="434"/>
      <c r="CI88" s="373"/>
      <c r="CJ88" s="432"/>
      <c r="CK88" s="433"/>
      <c r="CL88" s="433"/>
      <c r="CM88" s="433"/>
      <c r="CN88" s="433"/>
      <c r="CO88" s="433"/>
      <c r="CP88" s="434"/>
      <c r="CQ88" s="435"/>
      <c r="CR88" s="432"/>
      <c r="CS88" s="433"/>
      <c r="CT88" s="433"/>
      <c r="CU88" s="433" t="n">
        <f aca="false">+CR88-CS88</f>
        <v>0</v>
      </c>
      <c r="CV88" s="433" t="n">
        <f aca="false">+CR88-CT88</f>
        <v>0</v>
      </c>
      <c r="CW88" s="433"/>
      <c r="CX88" s="434" t="str">
        <f aca="false">IFERROR(CR88/CW88-1, "-")</f>
        <v>-</v>
      </c>
      <c r="CY88" s="425"/>
      <c r="CZ88" s="437"/>
      <c r="DA88" s="433"/>
      <c r="DB88" s="433"/>
      <c r="DC88" s="433"/>
      <c r="DD88" s="433"/>
      <c r="DE88" s="434"/>
      <c r="DF88" s="434"/>
      <c r="DG88" s="438"/>
      <c r="DH88" s="438"/>
      <c r="DI88" s="413"/>
      <c r="DJ88" s="117" t="n">
        <f aca="false">SUM(D88,J88,P88,V88,AD88,AL88,AU88,BC88,BK88,BT88,CB88,CJ88)-CR88</f>
        <v>0</v>
      </c>
      <c r="DK88" s="117" t="n">
        <f aca="false">SUM(E88,K88,Q88,W88,AE88,AM88,AV88,BD88,BL88,BU88,CC88,CK88)-CS88</f>
        <v>0</v>
      </c>
      <c r="DL88" s="117" t="n">
        <f aca="false">SUM(G88,M88,S88,AA88,AI88,AR88,AZ88,BH88,BQ88,BY88,CG88,CO88)-CW88</f>
        <v>0</v>
      </c>
      <c r="DM88" s="117" t="n">
        <f aca="false">SUM(D88,J88,P88,V88,AD88,AL88,AU88,BC88,,BN88,BV88,CD88,CL88)-CT88</f>
        <v>0</v>
      </c>
      <c r="DN88" s="413"/>
      <c r="DO88" s="413"/>
      <c r="DP88" s="439" t="n">
        <v>0</v>
      </c>
      <c r="DQ88" s="415" t="n">
        <f aca="false">-CR88+DP88/10^6</f>
        <v>0</v>
      </c>
      <c r="DR88" s="117" t="n">
        <f aca="false">SUM(E88,K88,Q88,W88,AE88,AM88,AV88,BD88,BL88,BU88,CC88,CK88)-CS88</f>
        <v>0</v>
      </c>
      <c r="DS88" s="117" t="n">
        <f aca="false">SUM(D88,J88,P88,V88,AD88,AL88,AU88,BC88,,BN88,BV88,CD88,CL88)-CT88</f>
        <v>0</v>
      </c>
      <c r="DT88" s="416"/>
      <c r="DU88" s="440" t="n">
        <v>0</v>
      </c>
      <c r="DV88" s="418" t="n">
        <f aca="false">DU88-CJ88</f>
        <v>0</v>
      </c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  <c r="EB88" s="419"/>
    </row>
    <row r="89" s="441" customFormat="true" ht="15.75" hidden="true" customHeight="true" outlineLevel="1" collapsed="false">
      <c r="A89" s="286"/>
      <c r="B89" s="444" t="s">
        <v>255</v>
      </c>
      <c r="C89" s="431" t="s">
        <v>256</v>
      </c>
      <c r="D89" s="432"/>
      <c r="E89" s="433"/>
      <c r="F89" s="433"/>
      <c r="G89" s="433"/>
      <c r="H89" s="434"/>
      <c r="I89" s="422"/>
      <c r="J89" s="432"/>
      <c r="K89" s="433"/>
      <c r="L89" s="433"/>
      <c r="M89" s="433"/>
      <c r="N89" s="434"/>
      <c r="O89" s="435"/>
      <c r="P89" s="432"/>
      <c r="Q89" s="433"/>
      <c r="R89" s="433"/>
      <c r="S89" s="433"/>
      <c r="T89" s="434"/>
      <c r="U89" s="423"/>
      <c r="V89" s="432"/>
      <c r="W89" s="433"/>
      <c r="X89" s="433"/>
      <c r="Y89" s="433"/>
      <c r="Z89" s="433"/>
      <c r="AA89" s="433"/>
      <c r="AB89" s="434"/>
      <c r="AC89" s="435"/>
      <c r="AD89" s="432"/>
      <c r="AE89" s="433"/>
      <c r="AF89" s="433"/>
      <c r="AG89" s="433"/>
      <c r="AH89" s="433"/>
      <c r="AI89" s="433"/>
      <c r="AJ89" s="434"/>
      <c r="AK89" s="435"/>
      <c r="AL89" s="432"/>
      <c r="AM89" s="433"/>
      <c r="AN89" s="433"/>
      <c r="AO89" s="433"/>
      <c r="AP89" s="433"/>
      <c r="AQ89" s="433"/>
      <c r="AR89" s="433"/>
      <c r="AS89" s="434"/>
      <c r="AT89" s="424"/>
      <c r="AU89" s="432"/>
      <c r="AV89" s="433"/>
      <c r="AW89" s="433"/>
      <c r="AX89" s="433"/>
      <c r="AY89" s="433"/>
      <c r="AZ89" s="433"/>
      <c r="BA89" s="434"/>
      <c r="BB89" s="435"/>
      <c r="BC89" s="281"/>
      <c r="BD89" s="144"/>
      <c r="BE89" s="144"/>
      <c r="BF89" s="144"/>
      <c r="BG89" s="144"/>
      <c r="BH89" s="433"/>
      <c r="BI89" s="434"/>
      <c r="BJ89" s="436"/>
      <c r="BK89" s="432"/>
      <c r="BL89" s="433"/>
      <c r="BM89" s="433"/>
      <c r="BN89" s="433"/>
      <c r="BO89" s="433"/>
      <c r="BP89" s="433"/>
      <c r="BQ89" s="433"/>
      <c r="BR89" s="434"/>
      <c r="BS89" s="436"/>
      <c r="BT89" s="432"/>
      <c r="BU89" s="433"/>
      <c r="BV89" s="433"/>
      <c r="BW89" s="433"/>
      <c r="BX89" s="433"/>
      <c r="BY89" s="433"/>
      <c r="BZ89" s="434"/>
      <c r="CA89" s="373"/>
      <c r="CB89" s="432"/>
      <c r="CC89" s="433"/>
      <c r="CD89" s="433"/>
      <c r="CE89" s="433"/>
      <c r="CF89" s="433"/>
      <c r="CG89" s="433"/>
      <c r="CH89" s="434"/>
      <c r="CI89" s="373"/>
      <c r="CJ89" s="432"/>
      <c r="CK89" s="433"/>
      <c r="CL89" s="433"/>
      <c r="CM89" s="433"/>
      <c r="CN89" s="433"/>
      <c r="CO89" s="433"/>
      <c r="CP89" s="434"/>
      <c r="CQ89" s="435"/>
      <c r="CR89" s="432"/>
      <c r="CS89" s="433"/>
      <c r="CT89" s="433"/>
      <c r="CU89" s="433" t="n">
        <f aca="false">+CR89-CS89</f>
        <v>0</v>
      </c>
      <c r="CV89" s="433" t="n">
        <f aca="false">+CR89-CT89</f>
        <v>0</v>
      </c>
      <c r="CW89" s="433"/>
      <c r="CX89" s="434" t="str">
        <f aca="false">IFERROR(CR89/CW89-1, "-")</f>
        <v>-</v>
      </c>
      <c r="CY89" s="425"/>
      <c r="CZ89" s="437"/>
      <c r="DA89" s="433"/>
      <c r="DB89" s="433"/>
      <c r="DC89" s="433"/>
      <c r="DD89" s="433"/>
      <c r="DE89" s="434"/>
      <c r="DF89" s="434"/>
      <c r="DG89" s="438"/>
      <c r="DH89" s="438"/>
      <c r="DI89" s="413"/>
      <c r="DJ89" s="117" t="n">
        <f aca="false">SUM(D89,J89,P89,V89,AD89,AL89,AU89,BC89,BK89,BT89,CB89,CJ89)-CR89</f>
        <v>0</v>
      </c>
      <c r="DK89" s="117" t="n">
        <f aca="false">SUM(E89,K89,Q89,W89,AE89,AM89,AV89,BD89,BL89,BU89,CC89,CK89)-CS89</f>
        <v>0</v>
      </c>
      <c r="DL89" s="117" t="n">
        <f aca="false">SUM(G89,M89,S89,AA89,AI89,AR89,AZ89,BH89,BQ89,BY89,CG89,CO89)-CW89</f>
        <v>0</v>
      </c>
      <c r="DM89" s="117" t="n">
        <f aca="false">SUM(D89,J89,P89,V89,AD89,AL89,AU89,BC89,,BN89,BV89,CD89,CL89)-CT89</f>
        <v>0</v>
      </c>
      <c r="DN89" s="413"/>
      <c r="DO89" s="413"/>
      <c r="DP89" s="439" t="n">
        <v>0</v>
      </c>
      <c r="DQ89" s="415" t="n">
        <f aca="false">-CR89+DP89/10^6</f>
        <v>0</v>
      </c>
      <c r="DR89" s="117" t="n">
        <f aca="false">SUM(E89,K89,Q89,W89,AE89,AM89,AV89,BD89,BL89,BU89,CC89,CK89)-CS89</f>
        <v>0</v>
      </c>
      <c r="DS89" s="117" t="n">
        <f aca="false">SUM(D89,J89,P89,V89,AD89,AL89,AU89,BC89,,BN89,BV89,CD89,CL89)-CT89</f>
        <v>0</v>
      </c>
      <c r="DT89" s="416"/>
      <c r="DU89" s="440" t="n">
        <v>0</v>
      </c>
      <c r="DV89" s="418" t="n">
        <f aca="false">DU89-CJ89</f>
        <v>0</v>
      </c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  <c r="EB89" s="419"/>
    </row>
    <row r="90" s="441" customFormat="true" ht="15.75" hidden="true" customHeight="true" outlineLevel="1" collapsed="false">
      <c r="A90" s="286"/>
      <c r="B90" s="444" t="s">
        <v>257</v>
      </c>
      <c r="C90" s="431" t="s">
        <v>258</v>
      </c>
      <c r="D90" s="461"/>
      <c r="E90" s="433"/>
      <c r="F90" s="433"/>
      <c r="G90" s="433"/>
      <c r="H90" s="434"/>
      <c r="I90" s="422"/>
      <c r="J90" s="461"/>
      <c r="K90" s="433"/>
      <c r="L90" s="433"/>
      <c r="M90" s="433"/>
      <c r="N90" s="434"/>
      <c r="O90" s="435"/>
      <c r="P90" s="461"/>
      <c r="Q90" s="433"/>
      <c r="R90" s="433"/>
      <c r="S90" s="433"/>
      <c r="T90" s="434"/>
      <c r="U90" s="423"/>
      <c r="V90" s="461"/>
      <c r="W90" s="433"/>
      <c r="X90" s="433"/>
      <c r="Y90" s="433"/>
      <c r="Z90" s="433"/>
      <c r="AA90" s="433"/>
      <c r="AB90" s="434"/>
      <c r="AC90" s="435"/>
      <c r="AD90" s="461"/>
      <c r="AE90" s="433"/>
      <c r="AF90" s="433"/>
      <c r="AG90" s="433"/>
      <c r="AH90" s="433"/>
      <c r="AI90" s="433"/>
      <c r="AJ90" s="434"/>
      <c r="AK90" s="435"/>
      <c r="AL90" s="461"/>
      <c r="AM90" s="433"/>
      <c r="AN90" s="433"/>
      <c r="AO90" s="433"/>
      <c r="AP90" s="433"/>
      <c r="AQ90" s="433"/>
      <c r="AR90" s="433"/>
      <c r="AS90" s="434"/>
      <c r="AT90" s="424"/>
      <c r="AU90" s="461"/>
      <c r="AV90" s="433"/>
      <c r="AW90" s="433"/>
      <c r="AX90" s="433"/>
      <c r="AY90" s="433"/>
      <c r="AZ90" s="433"/>
      <c r="BA90" s="434"/>
      <c r="BB90" s="435"/>
      <c r="BC90" s="496"/>
      <c r="BD90" s="144"/>
      <c r="BE90" s="144"/>
      <c r="BF90" s="144"/>
      <c r="BG90" s="144"/>
      <c r="BH90" s="433"/>
      <c r="BI90" s="434"/>
      <c r="BJ90" s="436"/>
      <c r="BK90" s="461"/>
      <c r="BL90" s="433"/>
      <c r="BM90" s="433"/>
      <c r="BN90" s="433"/>
      <c r="BO90" s="433"/>
      <c r="BP90" s="433"/>
      <c r="BQ90" s="433"/>
      <c r="BR90" s="434"/>
      <c r="BS90" s="436"/>
      <c r="BT90" s="461"/>
      <c r="BU90" s="433"/>
      <c r="BV90" s="433"/>
      <c r="BW90" s="433"/>
      <c r="BX90" s="433"/>
      <c r="BY90" s="433"/>
      <c r="BZ90" s="434"/>
      <c r="CA90" s="373"/>
      <c r="CB90" s="461"/>
      <c r="CC90" s="433"/>
      <c r="CD90" s="433"/>
      <c r="CE90" s="433"/>
      <c r="CF90" s="433"/>
      <c r="CG90" s="433"/>
      <c r="CH90" s="434"/>
      <c r="CI90" s="373"/>
      <c r="CJ90" s="461"/>
      <c r="CK90" s="433"/>
      <c r="CL90" s="433"/>
      <c r="CM90" s="433"/>
      <c r="CN90" s="433"/>
      <c r="CO90" s="433"/>
      <c r="CP90" s="434"/>
      <c r="CQ90" s="435"/>
      <c r="CR90" s="490"/>
      <c r="CS90" s="433"/>
      <c r="CT90" s="433"/>
      <c r="CU90" s="433" t="n">
        <f aca="false">+CR90-CS90</f>
        <v>0</v>
      </c>
      <c r="CV90" s="433" t="n">
        <f aca="false">+CR90-CT90</f>
        <v>0</v>
      </c>
      <c r="CW90" s="433"/>
      <c r="CX90" s="434" t="str">
        <f aca="false">IFERROR(CR90/CW90-1, "-")</f>
        <v>-</v>
      </c>
      <c r="CY90" s="425"/>
      <c r="CZ90" s="437"/>
      <c r="DA90" s="433"/>
      <c r="DB90" s="433"/>
      <c r="DC90" s="433"/>
      <c r="DD90" s="433"/>
      <c r="DE90" s="434" t="e">
        <f aca="false">+CZ90/DD90-1</f>
        <v>#DIV/0!</v>
      </c>
      <c r="DF90" s="434" t="e">
        <f aca="false">+DA90/DD90-1</f>
        <v>#DIV/0!</v>
      </c>
      <c r="DG90" s="438" t="e">
        <f aca="false">+DB90/DD90-1</f>
        <v>#DIV/0!</v>
      </c>
      <c r="DH90" s="438" t="e">
        <f aca="false">+DC90/DD90-1</f>
        <v>#DIV/0!</v>
      </c>
      <c r="DI90" s="413"/>
      <c r="DJ90" s="117" t="n">
        <f aca="false">SUM(D90,J90,P90,V90,AD90,AL90,AU90,BC90,BK90,BT90,CB90,CJ90)-CR90</f>
        <v>0</v>
      </c>
      <c r="DK90" s="117" t="n">
        <f aca="false">SUM(E90,K90,Q90,W90,AE90,AM90,AV90,BD90,BL90,BU90,CC90,CK90)-CS90</f>
        <v>0</v>
      </c>
      <c r="DL90" s="117" t="n">
        <f aca="false">SUM(G90,M90,S90,AA90,AI90,AR90,AZ90,BH90,BQ90,BY90,CG90,CO90)-CW90</f>
        <v>0</v>
      </c>
      <c r="DM90" s="117" t="n">
        <f aca="false">SUM(D90,J90,P90,V90,AD90,AL90,AU90,BC90,,BN90,BV90,CD90,CL90)-CT90</f>
        <v>0</v>
      </c>
      <c r="DN90" s="413"/>
      <c r="DO90" s="413"/>
      <c r="DP90" s="501" t="n">
        <v>2486243611</v>
      </c>
      <c r="DQ90" s="415" t="n">
        <f aca="false">-CR90+DP90/10^6</f>
        <v>2486.243611</v>
      </c>
      <c r="DR90" s="117" t="n">
        <f aca="false">SUM(E90,K90,Q90,W90,AE90,AM90,AV90,BD90,BL90,BU90,CC90,CK90)-CS90</f>
        <v>0</v>
      </c>
      <c r="DS90" s="117" t="n">
        <f aca="false">SUM(D90,J90,P90,V90,AD90,AL90,AU90,BC90,,BN90,BV90,CD90,CL90)-CT90</f>
        <v>0</v>
      </c>
      <c r="DT90" s="416"/>
      <c r="DU90" s="440" t="n">
        <v>224.265926</v>
      </c>
      <c r="DV90" s="418" t="n">
        <f aca="false">DU90-CJ90</f>
        <v>224.265926</v>
      </c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  <c r="EB90" s="419"/>
    </row>
    <row r="91" s="441" customFormat="true" ht="15.75" hidden="true" customHeight="true" outlineLevel="1" collapsed="false">
      <c r="A91" s="286"/>
      <c r="B91" s="444" t="s">
        <v>259</v>
      </c>
      <c r="C91" s="431" t="s">
        <v>260</v>
      </c>
      <c r="D91" s="432"/>
      <c r="E91" s="433"/>
      <c r="F91" s="433"/>
      <c r="G91" s="433"/>
      <c r="H91" s="434"/>
      <c r="I91" s="422"/>
      <c r="J91" s="432"/>
      <c r="K91" s="433"/>
      <c r="L91" s="433"/>
      <c r="M91" s="433"/>
      <c r="N91" s="434"/>
      <c r="O91" s="435"/>
      <c r="P91" s="432"/>
      <c r="Q91" s="433"/>
      <c r="R91" s="433"/>
      <c r="S91" s="433"/>
      <c r="T91" s="434"/>
      <c r="U91" s="423"/>
      <c r="V91" s="432"/>
      <c r="W91" s="433"/>
      <c r="X91" s="433"/>
      <c r="Y91" s="433"/>
      <c r="Z91" s="433"/>
      <c r="AA91" s="433"/>
      <c r="AB91" s="434"/>
      <c r="AC91" s="435"/>
      <c r="AD91" s="432"/>
      <c r="AE91" s="433"/>
      <c r="AF91" s="433"/>
      <c r="AG91" s="433"/>
      <c r="AH91" s="433"/>
      <c r="AI91" s="433"/>
      <c r="AJ91" s="434"/>
      <c r="AK91" s="435"/>
      <c r="AL91" s="432"/>
      <c r="AM91" s="433"/>
      <c r="AN91" s="433"/>
      <c r="AO91" s="433"/>
      <c r="AP91" s="433"/>
      <c r="AQ91" s="433"/>
      <c r="AR91" s="433"/>
      <c r="AS91" s="434"/>
      <c r="AT91" s="424"/>
      <c r="AU91" s="432"/>
      <c r="AV91" s="433"/>
      <c r="AW91" s="433"/>
      <c r="AX91" s="433"/>
      <c r="AY91" s="433"/>
      <c r="AZ91" s="433"/>
      <c r="BA91" s="434"/>
      <c r="BB91" s="435"/>
      <c r="BC91" s="281"/>
      <c r="BD91" s="144"/>
      <c r="BE91" s="144"/>
      <c r="BF91" s="144"/>
      <c r="BG91" s="144"/>
      <c r="BH91" s="433"/>
      <c r="BI91" s="434"/>
      <c r="BJ91" s="436"/>
      <c r="BK91" s="432"/>
      <c r="BL91" s="433"/>
      <c r="BM91" s="433"/>
      <c r="BN91" s="433"/>
      <c r="BO91" s="433"/>
      <c r="BP91" s="433"/>
      <c r="BQ91" s="433"/>
      <c r="BR91" s="434"/>
      <c r="BS91" s="436"/>
      <c r="BT91" s="432"/>
      <c r="BU91" s="433"/>
      <c r="BV91" s="433"/>
      <c r="BW91" s="433"/>
      <c r="BX91" s="433"/>
      <c r="BY91" s="433"/>
      <c r="BZ91" s="434"/>
      <c r="CA91" s="373"/>
      <c r="CB91" s="442"/>
      <c r="CC91" s="433"/>
      <c r="CD91" s="433"/>
      <c r="CE91" s="433"/>
      <c r="CF91" s="433"/>
      <c r="CG91" s="433"/>
      <c r="CH91" s="434"/>
      <c r="CI91" s="373"/>
      <c r="CJ91" s="442"/>
      <c r="CK91" s="433"/>
      <c r="CL91" s="433"/>
      <c r="CM91" s="433"/>
      <c r="CN91" s="433"/>
      <c r="CO91" s="433"/>
      <c r="CP91" s="434"/>
      <c r="CQ91" s="435"/>
      <c r="CR91" s="490"/>
      <c r="CS91" s="433"/>
      <c r="CT91" s="433"/>
      <c r="CU91" s="433" t="n">
        <f aca="false">+CR91-CS91</f>
        <v>0</v>
      </c>
      <c r="CV91" s="433" t="n">
        <f aca="false">+CR91-CT91</f>
        <v>0</v>
      </c>
      <c r="CW91" s="433"/>
      <c r="CX91" s="434" t="str">
        <f aca="false">IFERROR(CR91/CW91-1, "-")</f>
        <v>-</v>
      </c>
      <c r="CY91" s="425"/>
      <c r="CZ91" s="437"/>
      <c r="DA91" s="433"/>
      <c r="DB91" s="433"/>
      <c r="DC91" s="433"/>
      <c r="DD91" s="433"/>
      <c r="DE91" s="434" t="e">
        <f aca="false">+CZ91/DD91-1</f>
        <v>#DIV/0!</v>
      </c>
      <c r="DF91" s="434" t="e">
        <f aca="false">+DA91/DD91-1</f>
        <v>#DIV/0!</v>
      </c>
      <c r="DG91" s="438" t="e">
        <f aca="false">+DB91/DD91-1</f>
        <v>#DIV/0!</v>
      </c>
      <c r="DH91" s="438" t="e">
        <f aca="false">+DC91/DD91-1</f>
        <v>#DIV/0!</v>
      </c>
      <c r="DI91" s="413"/>
      <c r="DJ91" s="117" t="n">
        <f aca="false">SUM(D91,J91,P91,V91,AD91,AL91,AU91,BC91,BK91,BT91,CB91,CJ91)-CR91</f>
        <v>0</v>
      </c>
      <c r="DK91" s="117" t="n">
        <f aca="false">SUM(E91,K91,Q91,W91,AE91,AM91,AV91,BD91,BL91,BU91,CC91,CK91)-CS91</f>
        <v>0</v>
      </c>
      <c r="DL91" s="117" t="n">
        <f aca="false">SUM(G91,M91,S91,AA91,AI91,AR91,AZ91,BH91,BQ91,BY91,CG91,CO91)-CW91</f>
        <v>0</v>
      </c>
      <c r="DM91" s="117" t="n">
        <f aca="false">SUM(D91,J91,P91,V91,AD91,AL91,AU91,BC91,,BN91,BV91,CD91,CL91)-CT91</f>
        <v>0</v>
      </c>
      <c r="DN91" s="413"/>
      <c r="DO91" s="413"/>
      <c r="DP91" s="439" t="n">
        <v>519830522</v>
      </c>
      <c r="DQ91" s="415" t="n">
        <f aca="false">-CR91+DP91/10^6</f>
        <v>519.830522</v>
      </c>
      <c r="DR91" s="117" t="n">
        <f aca="false">SUM(E91,K91,Q91,W91,AE91,AM91,AV91,BD91,BL91,BU91,CC91,CK91)-CS91</f>
        <v>0</v>
      </c>
      <c r="DS91" s="117" t="n">
        <f aca="false">SUM(D91,J91,P91,V91,AD91,AL91,AU91,BC91,,BN91,BV91,CD91,CL91)-CT91</f>
        <v>0</v>
      </c>
      <c r="DT91" s="416"/>
      <c r="DU91" s="440" t="n">
        <v>47.063002</v>
      </c>
      <c r="DV91" s="418" t="n">
        <f aca="false">DU91-CJ91</f>
        <v>47.063002</v>
      </c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  <c r="EB91" s="419"/>
    </row>
    <row r="92" s="441" customFormat="true" ht="15.75" hidden="true" customHeight="true" outlineLevel="1" collapsed="false">
      <c r="A92" s="286"/>
      <c r="B92" s="444" t="s">
        <v>261</v>
      </c>
      <c r="C92" s="431" t="s">
        <v>262</v>
      </c>
      <c r="D92" s="432"/>
      <c r="E92" s="433"/>
      <c r="F92" s="433"/>
      <c r="G92" s="433"/>
      <c r="H92" s="434"/>
      <c r="I92" s="422"/>
      <c r="J92" s="432"/>
      <c r="K92" s="433"/>
      <c r="L92" s="433"/>
      <c r="M92" s="433"/>
      <c r="N92" s="434"/>
      <c r="O92" s="435"/>
      <c r="P92" s="432"/>
      <c r="Q92" s="433"/>
      <c r="R92" s="433"/>
      <c r="S92" s="433"/>
      <c r="T92" s="434"/>
      <c r="U92" s="423"/>
      <c r="V92" s="432"/>
      <c r="W92" s="433"/>
      <c r="X92" s="433"/>
      <c r="Y92" s="433"/>
      <c r="Z92" s="433"/>
      <c r="AA92" s="433"/>
      <c r="AB92" s="434"/>
      <c r="AC92" s="435"/>
      <c r="AD92" s="432"/>
      <c r="AE92" s="433"/>
      <c r="AF92" s="433"/>
      <c r="AG92" s="433"/>
      <c r="AH92" s="433"/>
      <c r="AI92" s="433"/>
      <c r="AJ92" s="434"/>
      <c r="AK92" s="435"/>
      <c r="AL92" s="432"/>
      <c r="AM92" s="433"/>
      <c r="AN92" s="433"/>
      <c r="AO92" s="433"/>
      <c r="AP92" s="433"/>
      <c r="AQ92" s="433"/>
      <c r="AR92" s="433"/>
      <c r="AS92" s="434"/>
      <c r="AT92" s="424"/>
      <c r="AU92" s="432"/>
      <c r="AV92" s="433"/>
      <c r="AW92" s="433"/>
      <c r="AX92" s="433"/>
      <c r="AY92" s="433"/>
      <c r="AZ92" s="433"/>
      <c r="BA92" s="434"/>
      <c r="BB92" s="435"/>
      <c r="BC92" s="281"/>
      <c r="BD92" s="144"/>
      <c r="BE92" s="144"/>
      <c r="BF92" s="144"/>
      <c r="BG92" s="144"/>
      <c r="BH92" s="433"/>
      <c r="BI92" s="434"/>
      <c r="BJ92" s="436"/>
      <c r="BK92" s="432"/>
      <c r="BL92" s="433"/>
      <c r="BM92" s="433"/>
      <c r="BN92" s="433"/>
      <c r="BO92" s="433"/>
      <c r="BP92" s="433"/>
      <c r="BQ92" s="433"/>
      <c r="BR92" s="434"/>
      <c r="BS92" s="436"/>
      <c r="BT92" s="432"/>
      <c r="BU92" s="433"/>
      <c r="BV92" s="433"/>
      <c r="BW92" s="433"/>
      <c r="BX92" s="433"/>
      <c r="BY92" s="433"/>
      <c r="BZ92" s="434"/>
      <c r="CA92" s="373"/>
      <c r="CB92" s="432"/>
      <c r="CC92" s="433"/>
      <c r="CD92" s="433"/>
      <c r="CE92" s="433"/>
      <c r="CF92" s="433"/>
      <c r="CG92" s="433"/>
      <c r="CH92" s="434"/>
      <c r="CI92" s="373"/>
      <c r="CJ92" s="432"/>
      <c r="CK92" s="433"/>
      <c r="CL92" s="433"/>
      <c r="CM92" s="433"/>
      <c r="CN92" s="433"/>
      <c r="CO92" s="433"/>
      <c r="CP92" s="434"/>
      <c r="CQ92" s="435"/>
      <c r="CR92" s="432"/>
      <c r="CS92" s="433"/>
      <c r="CT92" s="433"/>
      <c r="CU92" s="433" t="n">
        <f aca="false">+CR92-CS92</f>
        <v>0</v>
      </c>
      <c r="CV92" s="433" t="n">
        <f aca="false">+CR92-CT92</f>
        <v>0</v>
      </c>
      <c r="CW92" s="433"/>
      <c r="CX92" s="434" t="str">
        <f aca="false">IFERROR(CR92/CW92-1, "-")</f>
        <v>-</v>
      </c>
      <c r="CY92" s="425"/>
      <c r="CZ92" s="437"/>
      <c r="DA92" s="433"/>
      <c r="DB92" s="433"/>
      <c r="DC92" s="433"/>
      <c r="DD92" s="433"/>
      <c r="DE92" s="434"/>
      <c r="DF92" s="434"/>
      <c r="DG92" s="438"/>
      <c r="DH92" s="438"/>
      <c r="DI92" s="413"/>
      <c r="DJ92" s="117" t="n">
        <f aca="false">SUM(D92,J92,P92,V92,AD92,AL92,AU92,BC92,BK92,BT92,CB92,CJ92)-CR92</f>
        <v>0</v>
      </c>
      <c r="DK92" s="117" t="n">
        <f aca="false">SUM(E92,K92,Q92,W92,AE92,AM92,AV92,BD92,BL92,BU92,CC92,CK92)-CS92</f>
        <v>0</v>
      </c>
      <c r="DL92" s="117" t="n">
        <f aca="false">SUM(G92,M92,S92,AA92,AI92,AR92,AZ92,BH92,BQ92,BY92,CG92,CO92)-CW92</f>
        <v>0</v>
      </c>
      <c r="DM92" s="117" t="n">
        <f aca="false">SUM(D92,J92,P92,V92,AD92,AL92,AU92,BC92,,BN92,BV92,CD92,CL92)-CT92</f>
        <v>0</v>
      </c>
      <c r="DN92" s="413"/>
      <c r="DO92" s="413"/>
      <c r="DP92" s="439" t="n">
        <v>0</v>
      </c>
      <c r="DQ92" s="415" t="n">
        <f aca="false">-CR92+DP92/10^6</f>
        <v>0</v>
      </c>
      <c r="DR92" s="117" t="n">
        <f aca="false">SUM(E92,K92,Q92,W92,AE92,AM92,AV92,BD92,BL92,BU92,CC92,CK92)-CS92</f>
        <v>0</v>
      </c>
      <c r="DS92" s="117" t="n">
        <f aca="false">SUM(D92,J92,P92,V92,AD92,AL92,AU92,BC92,,BN92,BV92,CD92,CL92)-CT92</f>
        <v>0</v>
      </c>
      <c r="DT92" s="416"/>
      <c r="DU92" s="440" t="n">
        <v>0</v>
      </c>
      <c r="DV92" s="418" t="n">
        <f aca="false">DU92-CJ92</f>
        <v>0</v>
      </c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  <c r="EB92" s="419"/>
    </row>
    <row r="93" s="441" customFormat="true" ht="15.75" hidden="true" customHeight="true" outlineLevel="1" collapsed="false">
      <c r="A93" s="286"/>
      <c r="B93" s="444" t="s">
        <v>263</v>
      </c>
      <c r="C93" s="431" t="s">
        <v>264</v>
      </c>
      <c r="D93" s="432"/>
      <c r="E93" s="433"/>
      <c r="F93" s="433"/>
      <c r="G93" s="433"/>
      <c r="H93" s="434"/>
      <c r="I93" s="422"/>
      <c r="J93" s="432"/>
      <c r="K93" s="433"/>
      <c r="L93" s="433"/>
      <c r="M93" s="433"/>
      <c r="N93" s="434"/>
      <c r="O93" s="435"/>
      <c r="P93" s="432"/>
      <c r="Q93" s="433"/>
      <c r="R93" s="433"/>
      <c r="S93" s="433"/>
      <c r="T93" s="434"/>
      <c r="U93" s="423"/>
      <c r="V93" s="432"/>
      <c r="W93" s="433"/>
      <c r="X93" s="433"/>
      <c r="Y93" s="433"/>
      <c r="Z93" s="433"/>
      <c r="AA93" s="433"/>
      <c r="AB93" s="434"/>
      <c r="AC93" s="435"/>
      <c r="AD93" s="432"/>
      <c r="AE93" s="433"/>
      <c r="AF93" s="433"/>
      <c r="AG93" s="433"/>
      <c r="AH93" s="433"/>
      <c r="AI93" s="433"/>
      <c r="AJ93" s="434"/>
      <c r="AK93" s="435"/>
      <c r="AL93" s="432"/>
      <c r="AM93" s="433"/>
      <c r="AN93" s="433"/>
      <c r="AO93" s="433"/>
      <c r="AP93" s="433"/>
      <c r="AQ93" s="433"/>
      <c r="AR93" s="433"/>
      <c r="AS93" s="434"/>
      <c r="AT93" s="424"/>
      <c r="AU93" s="432"/>
      <c r="AV93" s="433"/>
      <c r="AW93" s="433"/>
      <c r="AX93" s="433"/>
      <c r="AY93" s="433"/>
      <c r="AZ93" s="433"/>
      <c r="BA93" s="434"/>
      <c r="BB93" s="435"/>
      <c r="BC93" s="281"/>
      <c r="BD93" s="144"/>
      <c r="BE93" s="144"/>
      <c r="BF93" s="144"/>
      <c r="BG93" s="144"/>
      <c r="BH93" s="433"/>
      <c r="BI93" s="434"/>
      <c r="BJ93" s="436"/>
      <c r="BK93" s="432"/>
      <c r="BL93" s="433"/>
      <c r="BM93" s="433"/>
      <c r="BN93" s="433"/>
      <c r="BO93" s="433"/>
      <c r="BP93" s="433"/>
      <c r="BQ93" s="433"/>
      <c r="BR93" s="434"/>
      <c r="BS93" s="436"/>
      <c r="BT93" s="432"/>
      <c r="BU93" s="433"/>
      <c r="BV93" s="433"/>
      <c r="BW93" s="433"/>
      <c r="BX93" s="433"/>
      <c r="BY93" s="433"/>
      <c r="BZ93" s="434"/>
      <c r="CA93" s="373"/>
      <c r="CB93" s="432"/>
      <c r="CC93" s="433"/>
      <c r="CD93" s="433"/>
      <c r="CE93" s="433"/>
      <c r="CF93" s="433"/>
      <c r="CG93" s="433"/>
      <c r="CH93" s="434"/>
      <c r="CI93" s="373"/>
      <c r="CJ93" s="432"/>
      <c r="CK93" s="433"/>
      <c r="CL93" s="433"/>
      <c r="CM93" s="433"/>
      <c r="CN93" s="433"/>
      <c r="CO93" s="433"/>
      <c r="CP93" s="434"/>
      <c r="CQ93" s="435"/>
      <c r="CR93" s="432"/>
      <c r="CS93" s="433"/>
      <c r="CT93" s="433"/>
      <c r="CU93" s="433" t="n">
        <f aca="false">+CR93-CS93</f>
        <v>0</v>
      </c>
      <c r="CV93" s="433" t="n">
        <f aca="false">+CR93-CT93</f>
        <v>0</v>
      </c>
      <c r="CW93" s="433"/>
      <c r="CX93" s="434" t="str">
        <f aca="false">IFERROR(CR93/CW93-1, "-")</f>
        <v>-</v>
      </c>
      <c r="CY93" s="425"/>
      <c r="CZ93" s="437"/>
      <c r="DA93" s="433"/>
      <c r="DB93" s="433"/>
      <c r="DC93" s="433"/>
      <c r="DD93" s="433"/>
      <c r="DE93" s="434"/>
      <c r="DF93" s="434"/>
      <c r="DG93" s="438"/>
      <c r="DH93" s="438"/>
      <c r="DI93" s="413"/>
      <c r="DJ93" s="117" t="n">
        <f aca="false">SUM(D93,J93,P93,V93,AD93,AL93,AU93,BC93,BK93,BT93,CB93,CJ93)-CR93</f>
        <v>0</v>
      </c>
      <c r="DK93" s="117" t="n">
        <f aca="false">SUM(E93,K93,Q93,W93,AE93,AM93,AV93,BD93,BL93,BU93,CC93,CK93)-CS93</f>
        <v>0</v>
      </c>
      <c r="DL93" s="117" t="n">
        <f aca="false">SUM(G93,M93,S93,AA93,AI93,AR93,AZ93,BH93,BQ93,BY93,CG93,CO93)-CW93</f>
        <v>0</v>
      </c>
      <c r="DM93" s="117" t="n">
        <f aca="false">SUM(D93,J93,P93,V93,AD93,AL93,AU93,BC93,,BN93,BV93,CD93,CL93)-CT93</f>
        <v>0</v>
      </c>
      <c r="DN93" s="413"/>
      <c r="DO93" s="413"/>
      <c r="DP93" s="439" t="n">
        <v>0</v>
      </c>
      <c r="DQ93" s="415" t="n">
        <f aca="false">-CR93+DP93/10^6</f>
        <v>0</v>
      </c>
      <c r="DR93" s="117" t="n">
        <f aca="false">SUM(E93,K93,Q93,W93,AE93,AM93,AV93,BD93,BL93,BU93,CC93,CK93)-CS93</f>
        <v>0</v>
      </c>
      <c r="DS93" s="117" t="n">
        <f aca="false">SUM(D93,J93,P93,V93,AD93,AL93,AU93,BC93,,BN93,BV93,CD93,CL93)-CT93</f>
        <v>0</v>
      </c>
      <c r="DT93" s="416"/>
      <c r="DU93" s="440" t="n">
        <v>0</v>
      </c>
      <c r="DV93" s="418" t="n">
        <f aca="false">DU93-CJ93</f>
        <v>0</v>
      </c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  <c r="EB93" s="419"/>
    </row>
    <row r="94" s="441" customFormat="true" ht="15.75" hidden="true" customHeight="true" outlineLevel="1" collapsed="false">
      <c r="A94" s="286"/>
      <c r="B94" s="444" t="s">
        <v>265</v>
      </c>
      <c r="C94" s="431" t="s">
        <v>266</v>
      </c>
      <c r="D94" s="432"/>
      <c r="E94" s="433"/>
      <c r="F94" s="433"/>
      <c r="G94" s="433"/>
      <c r="H94" s="434"/>
      <c r="I94" s="422"/>
      <c r="J94" s="432"/>
      <c r="K94" s="433"/>
      <c r="L94" s="433"/>
      <c r="M94" s="433"/>
      <c r="N94" s="434"/>
      <c r="O94" s="435"/>
      <c r="P94" s="432"/>
      <c r="Q94" s="433"/>
      <c r="R94" s="433"/>
      <c r="S94" s="433"/>
      <c r="T94" s="434"/>
      <c r="U94" s="423"/>
      <c r="V94" s="432"/>
      <c r="W94" s="433"/>
      <c r="X94" s="433"/>
      <c r="Y94" s="433"/>
      <c r="Z94" s="433"/>
      <c r="AA94" s="433"/>
      <c r="AB94" s="434"/>
      <c r="AC94" s="435"/>
      <c r="AD94" s="432"/>
      <c r="AE94" s="433"/>
      <c r="AF94" s="433"/>
      <c r="AG94" s="433"/>
      <c r="AH94" s="433"/>
      <c r="AI94" s="433"/>
      <c r="AJ94" s="434"/>
      <c r="AK94" s="435"/>
      <c r="AL94" s="432"/>
      <c r="AM94" s="433"/>
      <c r="AN94" s="433"/>
      <c r="AO94" s="433"/>
      <c r="AP94" s="433"/>
      <c r="AQ94" s="433"/>
      <c r="AR94" s="433"/>
      <c r="AS94" s="434"/>
      <c r="AT94" s="424"/>
      <c r="AU94" s="432"/>
      <c r="AV94" s="433"/>
      <c r="AW94" s="433"/>
      <c r="AX94" s="433"/>
      <c r="AY94" s="433"/>
      <c r="AZ94" s="433"/>
      <c r="BA94" s="434"/>
      <c r="BB94" s="435"/>
      <c r="BC94" s="281"/>
      <c r="BD94" s="144"/>
      <c r="BE94" s="144"/>
      <c r="BF94" s="144"/>
      <c r="BG94" s="144"/>
      <c r="BH94" s="433"/>
      <c r="BI94" s="434"/>
      <c r="BJ94" s="436"/>
      <c r="BK94" s="432"/>
      <c r="BL94" s="433"/>
      <c r="BM94" s="433"/>
      <c r="BN94" s="433"/>
      <c r="BO94" s="433"/>
      <c r="BP94" s="433"/>
      <c r="BQ94" s="433"/>
      <c r="BR94" s="434"/>
      <c r="BS94" s="436"/>
      <c r="BT94" s="432"/>
      <c r="BU94" s="433"/>
      <c r="BV94" s="433"/>
      <c r="BW94" s="433"/>
      <c r="BX94" s="433"/>
      <c r="BY94" s="433"/>
      <c r="BZ94" s="434"/>
      <c r="CA94" s="373"/>
      <c r="CB94" s="432"/>
      <c r="CC94" s="433"/>
      <c r="CD94" s="433"/>
      <c r="CE94" s="433"/>
      <c r="CF94" s="433"/>
      <c r="CG94" s="433"/>
      <c r="CH94" s="434"/>
      <c r="CI94" s="373"/>
      <c r="CJ94" s="432"/>
      <c r="CK94" s="433"/>
      <c r="CL94" s="433"/>
      <c r="CM94" s="433"/>
      <c r="CN94" s="433"/>
      <c r="CO94" s="433"/>
      <c r="CP94" s="434"/>
      <c r="CQ94" s="435"/>
      <c r="CR94" s="432"/>
      <c r="CS94" s="433"/>
      <c r="CT94" s="433"/>
      <c r="CU94" s="433" t="n">
        <f aca="false">+CR94-CS94</f>
        <v>0</v>
      </c>
      <c r="CV94" s="433" t="n">
        <f aca="false">+CR94-CT94</f>
        <v>0</v>
      </c>
      <c r="CW94" s="433"/>
      <c r="CX94" s="434" t="str">
        <f aca="false">IFERROR(CR94/CW94-1, "-")</f>
        <v>-</v>
      </c>
      <c r="CY94" s="425"/>
      <c r="CZ94" s="437"/>
      <c r="DA94" s="433"/>
      <c r="DB94" s="433"/>
      <c r="DC94" s="433"/>
      <c r="DD94" s="433"/>
      <c r="DE94" s="434"/>
      <c r="DF94" s="434"/>
      <c r="DG94" s="438" t="e">
        <f aca="false">+DB94/DD94-1</f>
        <v>#DIV/0!</v>
      </c>
      <c r="DH94" s="438" t="e">
        <f aca="false">+DC94/DD94-1</f>
        <v>#DIV/0!</v>
      </c>
      <c r="DI94" s="413"/>
      <c r="DJ94" s="117" t="n">
        <f aca="false">SUM(D94,J94,P94,V94,AD94,AL94,AU94,BC94,BK94,BT94,CB94,CJ94)-CR94</f>
        <v>0</v>
      </c>
      <c r="DK94" s="117" t="n">
        <f aca="false">SUM(E94,K94,Q94,W94,AE94,AM94,AV94,BD94,BL94,BU94,CC94,CK94)-CS94</f>
        <v>0</v>
      </c>
      <c r="DL94" s="117" t="n">
        <f aca="false">SUM(G94,M94,S94,AA94,AI94,AR94,AZ94,BH94,BQ94,BY94,CG94,CO94)-CW94</f>
        <v>0</v>
      </c>
      <c r="DM94" s="117" t="n">
        <f aca="false">SUM(D94,J94,P94,V94,AD94,AL94,AU94,BC94,,BN94,BV94,CD94,CL94)-CT94</f>
        <v>0</v>
      </c>
      <c r="DN94" s="413"/>
      <c r="DO94" s="413"/>
      <c r="DP94" s="439" t="n">
        <v>2491688</v>
      </c>
      <c r="DQ94" s="415" t="n">
        <f aca="false">-CR94+DP94/10^6</f>
        <v>2.491688</v>
      </c>
      <c r="DR94" s="117" t="n">
        <f aca="false">SUM(E94,K94,Q94,W94,AE94,AM94,AV94,BD94,BL94,BU94,CC94,CK94)-CS94</f>
        <v>0</v>
      </c>
      <c r="DS94" s="117" t="n">
        <f aca="false">SUM(D94,J94,P94,V94,AD94,AL94,AU94,BC94,,BN94,BV94,CD94,CL94)-CT94</f>
        <v>0</v>
      </c>
      <c r="DT94" s="416"/>
      <c r="DU94" s="440" t="n">
        <v>1.28345</v>
      </c>
      <c r="DV94" s="418" t="n">
        <f aca="false">DU94-CJ94</f>
        <v>1.28345</v>
      </c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  <c r="EB94" s="419"/>
    </row>
    <row r="95" s="441" customFormat="true" ht="15.75" hidden="true" customHeight="true" outlineLevel="1" collapsed="false">
      <c r="A95" s="286"/>
      <c r="B95" s="444" t="s">
        <v>267</v>
      </c>
      <c r="C95" s="431" t="s">
        <v>268</v>
      </c>
      <c r="D95" s="432"/>
      <c r="E95" s="433"/>
      <c r="F95" s="433"/>
      <c r="G95" s="433"/>
      <c r="H95" s="434"/>
      <c r="I95" s="422"/>
      <c r="J95" s="432"/>
      <c r="K95" s="433"/>
      <c r="L95" s="433"/>
      <c r="M95" s="433"/>
      <c r="N95" s="434"/>
      <c r="O95" s="435"/>
      <c r="P95" s="432"/>
      <c r="Q95" s="433"/>
      <c r="R95" s="433"/>
      <c r="S95" s="433"/>
      <c r="T95" s="434"/>
      <c r="U95" s="423"/>
      <c r="V95" s="432"/>
      <c r="W95" s="433"/>
      <c r="X95" s="433"/>
      <c r="Y95" s="433"/>
      <c r="Z95" s="433"/>
      <c r="AA95" s="433"/>
      <c r="AB95" s="434"/>
      <c r="AC95" s="435"/>
      <c r="AD95" s="432"/>
      <c r="AE95" s="433"/>
      <c r="AF95" s="433"/>
      <c r="AG95" s="433"/>
      <c r="AH95" s="433"/>
      <c r="AI95" s="433"/>
      <c r="AJ95" s="434"/>
      <c r="AK95" s="435"/>
      <c r="AL95" s="432"/>
      <c r="AM95" s="433"/>
      <c r="AN95" s="433"/>
      <c r="AO95" s="433"/>
      <c r="AP95" s="433"/>
      <c r="AQ95" s="433"/>
      <c r="AR95" s="433"/>
      <c r="AS95" s="434"/>
      <c r="AT95" s="424"/>
      <c r="AU95" s="432"/>
      <c r="AV95" s="433"/>
      <c r="AW95" s="433"/>
      <c r="AX95" s="433"/>
      <c r="AY95" s="433"/>
      <c r="AZ95" s="433"/>
      <c r="BA95" s="434"/>
      <c r="BB95" s="435"/>
      <c r="BC95" s="281"/>
      <c r="BD95" s="144"/>
      <c r="BE95" s="144"/>
      <c r="BF95" s="144"/>
      <c r="BG95" s="144"/>
      <c r="BH95" s="433"/>
      <c r="BI95" s="434"/>
      <c r="BJ95" s="436"/>
      <c r="BK95" s="432"/>
      <c r="BL95" s="433"/>
      <c r="BM95" s="433"/>
      <c r="BN95" s="433"/>
      <c r="BO95" s="433"/>
      <c r="BP95" s="433"/>
      <c r="BQ95" s="433"/>
      <c r="BR95" s="434"/>
      <c r="BS95" s="436"/>
      <c r="BT95" s="432"/>
      <c r="BU95" s="433"/>
      <c r="BV95" s="433"/>
      <c r="BW95" s="433"/>
      <c r="BX95" s="433"/>
      <c r="BY95" s="433"/>
      <c r="BZ95" s="434"/>
      <c r="CA95" s="373"/>
      <c r="CB95" s="432"/>
      <c r="CC95" s="433"/>
      <c r="CD95" s="433"/>
      <c r="CE95" s="433"/>
      <c r="CF95" s="433"/>
      <c r="CG95" s="433"/>
      <c r="CH95" s="434"/>
      <c r="CI95" s="373"/>
      <c r="CJ95" s="432"/>
      <c r="CK95" s="433"/>
      <c r="CL95" s="433"/>
      <c r="CM95" s="433"/>
      <c r="CN95" s="433"/>
      <c r="CO95" s="433"/>
      <c r="CP95" s="434"/>
      <c r="CQ95" s="435"/>
      <c r="CR95" s="432"/>
      <c r="CS95" s="433"/>
      <c r="CT95" s="433"/>
      <c r="CU95" s="433" t="n">
        <f aca="false">+CR95-CS95</f>
        <v>0</v>
      </c>
      <c r="CV95" s="433" t="n">
        <f aca="false">+CR95-CT95</f>
        <v>0</v>
      </c>
      <c r="CW95" s="433"/>
      <c r="CX95" s="434" t="str">
        <f aca="false">IFERROR(CR95/CW95-1, "-")</f>
        <v>-</v>
      </c>
      <c r="CY95" s="425"/>
      <c r="CZ95" s="437"/>
      <c r="DA95" s="433"/>
      <c r="DB95" s="433"/>
      <c r="DC95" s="433"/>
      <c r="DD95" s="433"/>
      <c r="DE95" s="434"/>
      <c r="DF95" s="434"/>
      <c r="DG95" s="438"/>
      <c r="DH95" s="438"/>
      <c r="DI95" s="413"/>
      <c r="DJ95" s="117" t="n">
        <f aca="false">SUM(D95,J95,P95,V95,AD95,AL95,AU95,BC95,BK95,BT95,CB95,CJ95)-CR95</f>
        <v>0</v>
      </c>
      <c r="DK95" s="117" t="n">
        <f aca="false">SUM(E95,K95,Q95,W95,AE95,AM95,AV95,BD95,BL95,BU95,CC95,CK95)-CS95</f>
        <v>0</v>
      </c>
      <c r="DL95" s="117" t="n">
        <f aca="false">SUM(G95,M95,S95,AA95,AI95,AR95,AZ95,BH95,BQ95,BY95,CG95,CO95)-CW95</f>
        <v>0</v>
      </c>
      <c r="DM95" s="117" t="n">
        <f aca="false">SUM(D95,J95,P95,V95,AD95,AL95,AU95,BC95,,BN95,BV95,CD95,CL95)-CT95</f>
        <v>0</v>
      </c>
      <c r="DN95" s="413"/>
      <c r="DO95" s="413"/>
      <c r="DP95" s="439" t="n">
        <v>0</v>
      </c>
      <c r="DQ95" s="415" t="n">
        <f aca="false">-CR95+DP95/10^6</f>
        <v>0</v>
      </c>
      <c r="DR95" s="117" t="n">
        <f aca="false">SUM(E95,K95,Q95,W95,AE95,AM95,AV95,BD95,BL95,BU95,CC95,CK95)-CS95</f>
        <v>0</v>
      </c>
      <c r="DS95" s="117" t="n">
        <f aca="false">SUM(D95,J95,P95,V95,AD95,AL95,AU95,BC95,,BN95,BV95,CD95,CL95)-CT95</f>
        <v>0</v>
      </c>
      <c r="DT95" s="416"/>
      <c r="DU95" s="440" t="n">
        <v>0</v>
      </c>
      <c r="DV95" s="418" t="n">
        <f aca="false">DU95-CJ95</f>
        <v>0</v>
      </c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  <c r="EB95" s="419"/>
    </row>
    <row r="96" s="441" customFormat="true" ht="15.75" hidden="true" customHeight="true" outlineLevel="1" collapsed="false">
      <c r="A96" s="286"/>
      <c r="B96" s="444" t="s">
        <v>269</v>
      </c>
      <c r="C96" s="431" t="s">
        <v>270</v>
      </c>
      <c r="D96" s="432"/>
      <c r="E96" s="433"/>
      <c r="F96" s="433"/>
      <c r="G96" s="433"/>
      <c r="H96" s="434"/>
      <c r="I96" s="422"/>
      <c r="J96" s="432"/>
      <c r="K96" s="433"/>
      <c r="L96" s="433"/>
      <c r="M96" s="433"/>
      <c r="N96" s="434"/>
      <c r="O96" s="435"/>
      <c r="P96" s="432"/>
      <c r="Q96" s="433"/>
      <c r="R96" s="433"/>
      <c r="S96" s="433"/>
      <c r="T96" s="434"/>
      <c r="U96" s="423"/>
      <c r="V96" s="432"/>
      <c r="W96" s="433"/>
      <c r="X96" s="433"/>
      <c r="Y96" s="433"/>
      <c r="Z96" s="433"/>
      <c r="AA96" s="433"/>
      <c r="AB96" s="434"/>
      <c r="AC96" s="435"/>
      <c r="AD96" s="432"/>
      <c r="AE96" s="433"/>
      <c r="AF96" s="433"/>
      <c r="AG96" s="433"/>
      <c r="AH96" s="433"/>
      <c r="AI96" s="433"/>
      <c r="AJ96" s="434"/>
      <c r="AK96" s="435"/>
      <c r="AL96" s="432"/>
      <c r="AM96" s="433"/>
      <c r="AN96" s="433"/>
      <c r="AO96" s="433"/>
      <c r="AP96" s="433"/>
      <c r="AQ96" s="433"/>
      <c r="AR96" s="433"/>
      <c r="AS96" s="434"/>
      <c r="AT96" s="424"/>
      <c r="AU96" s="432"/>
      <c r="AV96" s="433"/>
      <c r="AW96" s="433"/>
      <c r="AX96" s="433"/>
      <c r="AY96" s="433"/>
      <c r="AZ96" s="433"/>
      <c r="BA96" s="434"/>
      <c r="BB96" s="435"/>
      <c r="BC96" s="281"/>
      <c r="BD96" s="144"/>
      <c r="BE96" s="144"/>
      <c r="BF96" s="144"/>
      <c r="BG96" s="144"/>
      <c r="BH96" s="433"/>
      <c r="BI96" s="434"/>
      <c r="BJ96" s="436"/>
      <c r="BK96" s="432"/>
      <c r="BL96" s="433"/>
      <c r="BM96" s="433"/>
      <c r="BN96" s="433"/>
      <c r="BO96" s="433"/>
      <c r="BP96" s="433"/>
      <c r="BQ96" s="433"/>
      <c r="BR96" s="434"/>
      <c r="BS96" s="436"/>
      <c r="BT96" s="432"/>
      <c r="BU96" s="433"/>
      <c r="BV96" s="433"/>
      <c r="BW96" s="433"/>
      <c r="BX96" s="433"/>
      <c r="BY96" s="433"/>
      <c r="BZ96" s="434"/>
      <c r="CA96" s="373"/>
      <c r="CB96" s="432"/>
      <c r="CC96" s="433"/>
      <c r="CD96" s="433"/>
      <c r="CE96" s="433"/>
      <c r="CF96" s="433"/>
      <c r="CG96" s="433"/>
      <c r="CH96" s="434"/>
      <c r="CI96" s="373"/>
      <c r="CJ96" s="432"/>
      <c r="CK96" s="433"/>
      <c r="CL96" s="433"/>
      <c r="CM96" s="433"/>
      <c r="CN96" s="433"/>
      <c r="CO96" s="433"/>
      <c r="CP96" s="434"/>
      <c r="CQ96" s="435"/>
      <c r="CR96" s="432"/>
      <c r="CS96" s="433"/>
      <c r="CT96" s="433"/>
      <c r="CU96" s="433" t="n">
        <f aca="false">+CR96-CS96</f>
        <v>0</v>
      </c>
      <c r="CV96" s="433" t="n">
        <f aca="false">+CR96-CT96</f>
        <v>0</v>
      </c>
      <c r="CW96" s="433"/>
      <c r="CX96" s="434" t="str">
        <f aca="false">IFERROR(CR96/CW96-1, "-")</f>
        <v>-</v>
      </c>
      <c r="CY96" s="425"/>
      <c r="CZ96" s="437"/>
      <c r="DA96" s="433"/>
      <c r="DB96" s="433"/>
      <c r="DC96" s="433"/>
      <c r="DD96" s="433"/>
      <c r="DE96" s="434"/>
      <c r="DF96" s="434"/>
      <c r="DG96" s="438"/>
      <c r="DH96" s="438"/>
      <c r="DI96" s="413"/>
      <c r="DJ96" s="117" t="n">
        <f aca="false">SUM(D96,J96,P96,V96,AD96,AL96,AU96,BC96,BK96,BT96,CB96,CJ96)-CR96</f>
        <v>0</v>
      </c>
      <c r="DK96" s="117" t="n">
        <f aca="false">SUM(E96,K96,Q96,W96,AE96,AM96,AV96,BD96,BL96,BU96,CC96,CK96)-CS96</f>
        <v>0</v>
      </c>
      <c r="DL96" s="117" t="n">
        <f aca="false">SUM(G96,M96,S96,AA96,AI96,AR96,AZ96,BH96,BQ96,BY96,CG96,CO96)-CW96</f>
        <v>0</v>
      </c>
      <c r="DM96" s="117" t="n">
        <f aca="false">SUM(D96,J96,P96,V96,AD96,AL96,AU96,BC96,,BN96,BV96,CD96,CL96)-CT96</f>
        <v>0</v>
      </c>
      <c r="DN96" s="413"/>
      <c r="DO96" s="413"/>
      <c r="DP96" s="439" t="n">
        <v>0</v>
      </c>
      <c r="DQ96" s="415" t="n">
        <f aca="false">-CR96+DP96/10^6</f>
        <v>0</v>
      </c>
      <c r="DR96" s="117" t="n">
        <f aca="false">SUM(E96,K96,Q96,W96,AE96,AM96,AV96,BD96,BL96,BU96,CC96,CK96)-CS96</f>
        <v>0</v>
      </c>
      <c r="DS96" s="117" t="n">
        <f aca="false">SUM(D96,J96,P96,V96,AD96,AL96,AU96,BC96,,BN96,BV96,CD96,CL96)-CT96</f>
        <v>0</v>
      </c>
      <c r="DT96" s="416"/>
      <c r="DU96" s="440" t="n">
        <v>0</v>
      </c>
      <c r="DV96" s="418" t="n">
        <f aca="false">DU96-CJ96</f>
        <v>0</v>
      </c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  <c r="EB96" s="419"/>
    </row>
    <row r="97" customFormat="false" ht="15.75" hidden="false" customHeight="true" outlineLevel="0" collapsed="false">
      <c r="B97" s="514" t="s">
        <v>271</v>
      </c>
      <c r="C97" s="398" t="s">
        <v>272</v>
      </c>
      <c r="D97" s="281"/>
      <c r="E97" s="144"/>
      <c r="F97" s="144"/>
      <c r="G97" s="144"/>
      <c r="H97" s="245"/>
      <c r="I97" s="422"/>
      <c r="J97" s="281"/>
      <c r="K97" s="144"/>
      <c r="L97" s="144"/>
      <c r="M97" s="144"/>
      <c r="N97" s="245"/>
      <c r="O97" s="422"/>
      <c r="P97" s="281"/>
      <c r="Q97" s="144"/>
      <c r="R97" s="144"/>
      <c r="S97" s="144"/>
      <c r="T97" s="245"/>
      <c r="U97" s="423"/>
      <c r="V97" s="281"/>
      <c r="W97" s="144"/>
      <c r="X97" s="144"/>
      <c r="Y97" s="144"/>
      <c r="Z97" s="144"/>
      <c r="AA97" s="144"/>
      <c r="AB97" s="245"/>
      <c r="AC97" s="422"/>
      <c r="AD97" s="281"/>
      <c r="AE97" s="144"/>
      <c r="AF97" s="144"/>
      <c r="AG97" s="144"/>
      <c r="AH97" s="144"/>
      <c r="AI97" s="144"/>
      <c r="AJ97" s="245"/>
      <c r="AK97" s="422"/>
      <c r="AL97" s="281"/>
      <c r="AM97" s="144"/>
      <c r="AN97" s="144"/>
      <c r="AO97" s="144"/>
      <c r="AP97" s="144"/>
      <c r="AQ97" s="144"/>
      <c r="AR97" s="144"/>
      <c r="AS97" s="245"/>
      <c r="AT97" s="424"/>
      <c r="AU97" s="281"/>
      <c r="AV97" s="144"/>
      <c r="AW97" s="144"/>
      <c r="AX97" s="144"/>
      <c r="AY97" s="144"/>
      <c r="AZ97" s="144"/>
      <c r="BA97" s="245"/>
      <c r="BB97" s="422"/>
      <c r="BC97" s="281"/>
      <c r="BD97" s="144"/>
      <c r="BE97" s="144"/>
      <c r="BF97" s="144"/>
      <c r="BG97" s="144"/>
      <c r="BH97" s="144"/>
      <c r="BI97" s="245"/>
      <c r="BJ97" s="423"/>
      <c r="BK97" s="281"/>
      <c r="BL97" s="144"/>
      <c r="BM97" s="144"/>
      <c r="BN97" s="144"/>
      <c r="BO97" s="144"/>
      <c r="BP97" s="144"/>
      <c r="BQ97" s="144"/>
      <c r="BR97" s="245"/>
      <c r="BS97" s="423"/>
      <c r="BT97" s="281"/>
      <c r="BU97" s="144"/>
      <c r="BV97" s="144"/>
      <c r="BW97" s="144"/>
      <c r="BX97" s="144"/>
      <c r="BY97" s="144"/>
      <c r="BZ97" s="245"/>
      <c r="CA97" s="373"/>
      <c r="CB97" s="281"/>
      <c r="CC97" s="144"/>
      <c r="CD97" s="144"/>
      <c r="CE97" s="144"/>
      <c r="CF97" s="144"/>
      <c r="CG97" s="144"/>
      <c r="CH97" s="245"/>
      <c r="CI97" s="373"/>
      <c r="CJ97" s="281"/>
      <c r="CK97" s="144"/>
      <c r="CL97" s="144"/>
      <c r="CM97" s="144"/>
      <c r="CN97" s="144"/>
      <c r="CO97" s="144"/>
      <c r="CP97" s="245"/>
      <c r="CQ97" s="422"/>
      <c r="CR97" s="281"/>
      <c r="CS97" s="144"/>
      <c r="CT97" s="144"/>
      <c r="CU97" s="144" t="n">
        <f aca="false">+CR97-CS97</f>
        <v>0</v>
      </c>
      <c r="CV97" s="144" t="n">
        <f aca="false">+CR97-CT97</f>
        <v>0</v>
      </c>
      <c r="CW97" s="144"/>
      <c r="CX97" s="245" t="str">
        <f aca="false">IFERROR(CR97/CW97-1, "-")</f>
        <v>-</v>
      </c>
      <c r="CY97" s="425"/>
      <c r="CZ97" s="426"/>
      <c r="DA97" s="144"/>
      <c r="DB97" s="144"/>
      <c r="DC97" s="144"/>
      <c r="DD97" s="144"/>
      <c r="DE97" s="245" t="e">
        <f aca="false">+CZ97/DD97-1</f>
        <v>#DIV/0!</v>
      </c>
      <c r="DF97" s="245" t="e">
        <f aca="false">+DA97/DD97-1</f>
        <v>#DIV/0!</v>
      </c>
      <c r="DG97" s="427" t="e">
        <f aca="false">+DB97/DD97-1</f>
        <v>#DIV/0!</v>
      </c>
      <c r="DH97" s="427" t="e">
        <f aca="false">+DC97/DD97-1</f>
        <v>#DIV/0!</v>
      </c>
      <c r="DI97" s="413"/>
      <c r="DJ97" s="117" t="n">
        <f aca="false">SUM(D97,J97,P97,V97,AD97,AL97,AU97,BC97,BK97,BT97,CB97,CJ97)-CR97</f>
        <v>0</v>
      </c>
      <c r="DK97" s="117" t="n">
        <f aca="false">SUM(E97,K97,Q97,W97,AE97,AM97,AV97,BD97,BL97,BU97,CC97,CK97)-CS97</f>
        <v>0</v>
      </c>
      <c r="DL97" s="117" t="n">
        <f aca="false">SUM(G97,M97,S97,AA97,AI97,AR97,AZ97,BH97,BQ97,BY97,CG97,CO97)-CW97</f>
        <v>0</v>
      </c>
      <c r="DM97" s="117" t="n">
        <f aca="false">SUM(D97,J97,P97,V97,AD97,AL97,AU97,BC97,,BN97,BV97,CD97,CL97)-CT97</f>
        <v>0</v>
      </c>
      <c r="DN97" s="413"/>
      <c r="DO97" s="413"/>
      <c r="DP97" s="428" t="n">
        <f aca="false">+DP98</f>
        <v>2092411608</v>
      </c>
      <c r="DQ97" s="415" t="n">
        <f aca="false">-CR97+DP97/10^6</f>
        <v>2092.411608</v>
      </c>
      <c r="DR97" s="117" t="n">
        <f aca="false">SUM(E97,K97,Q97,W97,AE97,AM97,AV97,BD97,BL97,BU97,CC97,CK97)-CS97</f>
        <v>0</v>
      </c>
      <c r="DS97" s="117" t="n">
        <f aca="false">SUM(D97,J97,P97,V97,AD97,AL97,AU97,BC97,,BN97,BV97,CD97,CL97)-CT97</f>
        <v>0</v>
      </c>
      <c r="DT97" s="416"/>
      <c r="DU97" s="417" t="n">
        <v>157.63914</v>
      </c>
      <c r="DV97" s="418" t="n">
        <f aca="false">DU97-CJ97</f>
        <v>157.63914</v>
      </c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  <c r="EB97" s="419"/>
    </row>
    <row r="98" s="441" customFormat="true" ht="11.25" hidden="true" customHeight="true" outlineLevel="1" collapsed="false">
      <c r="A98" s="286"/>
      <c r="B98" s="444" t="s">
        <v>273</v>
      </c>
      <c r="C98" s="431" t="s">
        <v>274</v>
      </c>
      <c r="D98" s="432"/>
      <c r="E98" s="433"/>
      <c r="F98" s="433"/>
      <c r="G98" s="433"/>
      <c r="H98" s="434"/>
      <c r="I98" s="422"/>
      <c r="J98" s="432"/>
      <c r="K98" s="433"/>
      <c r="L98" s="433"/>
      <c r="M98" s="433"/>
      <c r="N98" s="434"/>
      <c r="O98" s="435"/>
      <c r="P98" s="432"/>
      <c r="Q98" s="433"/>
      <c r="R98" s="433"/>
      <c r="S98" s="433"/>
      <c r="T98" s="434"/>
      <c r="U98" s="423"/>
      <c r="V98" s="432"/>
      <c r="W98" s="433"/>
      <c r="X98" s="433"/>
      <c r="Y98" s="433"/>
      <c r="Z98" s="433"/>
      <c r="AA98" s="433"/>
      <c r="AB98" s="434"/>
      <c r="AC98" s="435"/>
      <c r="AD98" s="432"/>
      <c r="AE98" s="433"/>
      <c r="AF98" s="433"/>
      <c r="AG98" s="433"/>
      <c r="AH98" s="433"/>
      <c r="AI98" s="433"/>
      <c r="AJ98" s="434"/>
      <c r="AK98" s="435"/>
      <c r="AL98" s="432"/>
      <c r="AM98" s="433"/>
      <c r="AN98" s="433"/>
      <c r="AO98" s="433"/>
      <c r="AP98" s="433"/>
      <c r="AQ98" s="433"/>
      <c r="AR98" s="433"/>
      <c r="AS98" s="434"/>
      <c r="AT98" s="424"/>
      <c r="AU98" s="432"/>
      <c r="AV98" s="433"/>
      <c r="AW98" s="471"/>
      <c r="AX98" s="433"/>
      <c r="AY98" s="433"/>
      <c r="AZ98" s="433"/>
      <c r="BA98" s="434"/>
      <c r="BB98" s="435"/>
      <c r="BC98" s="281"/>
      <c r="BD98" s="144"/>
      <c r="BE98" s="144"/>
      <c r="BF98" s="144"/>
      <c r="BG98" s="144"/>
      <c r="BH98" s="433"/>
      <c r="BI98" s="434"/>
      <c r="BJ98" s="436"/>
      <c r="BK98" s="432"/>
      <c r="BL98" s="433"/>
      <c r="BM98" s="433"/>
      <c r="BN98" s="433"/>
      <c r="BO98" s="433"/>
      <c r="BP98" s="433"/>
      <c r="BQ98" s="433"/>
      <c r="BR98" s="434"/>
      <c r="BS98" s="436"/>
      <c r="BT98" s="432"/>
      <c r="BU98" s="433"/>
      <c r="BV98" s="433"/>
      <c r="BW98" s="433"/>
      <c r="BX98" s="433"/>
      <c r="BY98" s="433"/>
      <c r="BZ98" s="434"/>
      <c r="CA98" s="373"/>
      <c r="CB98" s="442"/>
      <c r="CC98" s="433"/>
      <c r="CD98" s="433"/>
      <c r="CE98" s="433"/>
      <c r="CF98" s="433"/>
      <c r="CG98" s="433"/>
      <c r="CH98" s="434"/>
      <c r="CI98" s="373"/>
      <c r="CJ98" s="442"/>
      <c r="CK98" s="433"/>
      <c r="CL98" s="433"/>
      <c r="CM98" s="433"/>
      <c r="CN98" s="433"/>
      <c r="CO98" s="433"/>
      <c r="CP98" s="434"/>
      <c r="CQ98" s="435"/>
      <c r="CR98" s="538"/>
      <c r="CS98" s="433"/>
      <c r="CT98" s="433"/>
      <c r="CU98" s="433" t="n">
        <f aca="false">+CR98-CS98</f>
        <v>0</v>
      </c>
      <c r="CV98" s="433" t="n">
        <f aca="false">+CR98-CT98</f>
        <v>0</v>
      </c>
      <c r="CW98" s="433"/>
      <c r="CX98" s="434" t="str">
        <f aca="false">IFERROR(CR98/CW98-1, "-")</f>
        <v>-</v>
      </c>
      <c r="CY98" s="425"/>
      <c r="CZ98" s="437"/>
      <c r="DA98" s="433"/>
      <c r="DB98" s="433"/>
      <c r="DC98" s="433"/>
      <c r="DD98" s="433"/>
      <c r="DE98" s="434" t="e">
        <f aca="false">+CZ98/DD98-1</f>
        <v>#DIV/0!</v>
      </c>
      <c r="DF98" s="434" t="e">
        <f aca="false">+DA98/DD98-1</f>
        <v>#DIV/0!</v>
      </c>
      <c r="DG98" s="438" t="e">
        <f aca="false">+DB98/DD98-1</f>
        <v>#DIV/0!</v>
      </c>
      <c r="DH98" s="438" t="e">
        <f aca="false">+DC98/DD98-1</f>
        <v>#DIV/0!</v>
      </c>
      <c r="DI98" s="413"/>
      <c r="DJ98" s="117" t="n">
        <f aca="false">SUM(D98,J98,P98,V98,AD98,AL98,AU98,BC98,BK98,BT98,CB98,CJ98)-CR98</f>
        <v>0</v>
      </c>
      <c r="DK98" s="117" t="n">
        <f aca="false">SUM(E98,K98,Q98,W98,AE98,AM98,AV98,BD98,BL98,BU98,CC98,CK98)-CS98</f>
        <v>0</v>
      </c>
      <c r="DL98" s="117" t="n">
        <f aca="false">SUM(G98,M98,S98,AA98,AI98,AR98,AZ98,BH98,BQ98,BY98,CG98,CO98)-CW98</f>
        <v>0</v>
      </c>
      <c r="DM98" s="117" t="n">
        <f aca="false">SUM(D98,J98,P98,V98,AD98,AL98,AU98,BC98,,BN98,BV98,CD98,CL98)-CT98</f>
        <v>0</v>
      </c>
      <c r="DN98" s="413"/>
      <c r="DO98" s="413"/>
      <c r="DP98" s="439" t="n">
        <v>2092411608</v>
      </c>
      <c r="DQ98" s="415" t="n">
        <f aca="false">-CR98+DP98/10^6</f>
        <v>2092.411608</v>
      </c>
      <c r="DR98" s="117" t="n">
        <f aca="false">SUM(E98,K98,Q98,W98,AE98,AM98,AV98,BD98,BL98,BU98,CC98,CK98)-CS98</f>
        <v>0</v>
      </c>
      <c r="DS98" s="117" t="n">
        <f aca="false">SUM(D98,J98,P98,V98,AD98,AL98,AU98,BC98,,BN98,BV98,CD98,CL98)-CT98</f>
        <v>0</v>
      </c>
      <c r="DT98" s="416"/>
      <c r="DU98" s="440" t="n">
        <v>157.63914</v>
      </c>
      <c r="DV98" s="418" t="n">
        <f aca="false">DU98-CJ98</f>
        <v>157.63914</v>
      </c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  <c r="EB98" s="419"/>
    </row>
    <row r="99" customFormat="false" ht="11.25" hidden="true" customHeight="true" outlineLevel="0" collapsed="false">
      <c r="B99" s="514" t="s">
        <v>275</v>
      </c>
      <c r="C99" s="431" t="s">
        <v>276</v>
      </c>
      <c r="D99" s="281"/>
      <c r="E99" s="144"/>
      <c r="F99" s="144"/>
      <c r="G99" s="144"/>
      <c r="H99" s="245"/>
      <c r="I99" s="422"/>
      <c r="J99" s="281"/>
      <c r="K99" s="144"/>
      <c r="L99" s="144"/>
      <c r="M99" s="144"/>
      <c r="N99" s="245"/>
      <c r="O99" s="422"/>
      <c r="P99" s="281"/>
      <c r="Q99" s="144"/>
      <c r="R99" s="144"/>
      <c r="S99" s="144"/>
      <c r="T99" s="245"/>
      <c r="U99" s="423"/>
      <c r="V99" s="281"/>
      <c r="W99" s="144"/>
      <c r="X99" s="144"/>
      <c r="Y99" s="144"/>
      <c r="Z99" s="144"/>
      <c r="AA99" s="144"/>
      <c r="AB99" s="245"/>
      <c r="AC99" s="422"/>
      <c r="AD99" s="281"/>
      <c r="AE99" s="144"/>
      <c r="AF99" s="144"/>
      <c r="AG99" s="144"/>
      <c r="AH99" s="144"/>
      <c r="AI99" s="144"/>
      <c r="AJ99" s="245"/>
      <c r="AK99" s="422"/>
      <c r="AL99" s="281"/>
      <c r="AM99" s="144"/>
      <c r="AN99" s="144"/>
      <c r="AO99" s="144"/>
      <c r="AP99" s="144"/>
      <c r="AQ99" s="144"/>
      <c r="AR99" s="144"/>
      <c r="AS99" s="245"/>
      <c r="AT99" s="424"/>
      <c r="AU99" s="281"/>
      <c r="AV99" s="144"/>
      <c r="AW99" s="144"/>
      <c r="AX99" s="144"/>
      <c r="AY99" s="144"/>
      <c r="AZ99" s="144"/>
      <c r="BA99" s="245"/>
      <c r="BB99" s="422"/>
      <c r="BC99" s="281"/>
      <c r="BD99" s="144"/>
      <c r="BE99" s="144"/>
      <c r="BF99" s="144"/>
      <c r="BG99" s="144"/>
      <c r="BH99" s="144"/>
      <c r="BI99" s="245"/>
      <c r="BJ99" s="423"/>
      <c r="BK99" s="281"/>
      <c r="BL99" s="144"/>
      <c r="BM99" s="144"/>
      <c r="BN99" s="144"/>
      <c r="BO99" s="144"/>
      <c r="BP99" s="144"/>
      <c r="BQ99" s="144"/>
      <c r="BR99" s="245"/>
      <c r="BS99" s="423"/>
      <c r="BT99" s="281"/>
      <c r="BU99" s="144"/>
      <c r="BV99" s="144"/>
      <c r="BW99" s="144"/>
      <c r="BX99" s="144"/>
      <c r="BY99" s="144"/>
      <c r="BZ99" s="245"/>
      <c r="CA99" s="373"/>
      <c r="CB99" s="281"/>
      <c r="CC99" s="144"/>
      <c r="CD99" s="144"/>
      <c r="CE99" s="144"/>
      <c r="CF99" s="144"/>
      <c r="CG99" s="144"/>
      <c r="CH99" s="245"/>
      <c r="CI99" s="373"/>
      <c r="CJ99" s="281"/>
      <c r="CK99" s="144"/>
      <c r="CL99" s="144"/>
      <c r="CM99" s="144"/>
      <c r="CN99" s="144"/>
      <c r="CO99" s="144"/>
      <c r="CP99" s="245"/>
      <c r="CQ99" s="422"/>
      <c r="CR99" s="281"/>
      <c r="CS99" s="144"/>
      <c r="CT99" s="144"/>
      <c r="CU99" s="144" t="n">
        <f aca="false">+CR99-CS99</f>
        <v>0</v>
      </c>
      <c r="CV99" s="144" t="n">
        <f aca="false">+CR99-CT99</f>
        <v>0</v>
      </c>
      <c r="CW99" s="144"/>
      <c r="CX99" s="245" t="str">
        <f aca="false">IFERROR(CR99/CW99-1, "-")</f>
        <v>-</v>
      </c>
      <c r="CY99" s="425"/>
      <c r="CZ99" s="426"/>
      <c r="DA99" s="144"/>
      <c r="DB99" s="144"/>
      <c r="DC99" s="144"/>
      <c r="DD99" s="144"/>
      <c r="DE99" s="245"/>
      <c r="DF99" s="245" t="e">
        <f aca="false">+DA99/DD99-1</f>
        <v>#DIV/0!</v>
      </c>
      <c r="DG99" s="427" t="e">
        <f aca="false">+DB99/DD99-1</f>
        <v>#DIV/0!</v>
      </c>
      <c r="DH99" s="427"/>
      <c r="DI99" s="413"/>
      <c r="DJ99" s="117" t="n">
        <f aca="false">SUM(D99,J99,P99,V99,AD99,AL99,AU99,BC99,BK99,BT99,CB99,CJ99)-CR99</f>
        <v>0</v>
      </c>
      <c r="DK99" s="117" t="n">
        <f aca="false">SUM(E99,K99,Q99,W99,AE99,AM99,AV99,BD99,BL99,BU99,CC99,CK99)-CS99</f>
        <v>0</v>
      </c>
      <c r="DL99" s="117" t="n">
        <f aca="false">SUM(G99,M99,S99,AA99,AI99,AR99,AZ99,BH99,BQ99,BY99,CG99,CO99)-CW99</f>
        <v>0</v>
      </c>
      <c r="DM99" s="117" t="n">
        <f aca="false">SUM(D99,J99,P99,V99,AD99,AL99,AU99,BC99,,BN99,BV99,CD99,CL99)-CT99</f>
        <v>0</v>
      </c>
      <c r="DN99" s="413"/>
      <c r="DO99" s="413"/>
      <c r="DP99" s="428"/>
      <c r="DQ99" s="415" t="n">
        <f aca="false">-CR99+DP99/10^6</f>
        <v>0</v>
      </c>
      <c r="DR99" s="117" t="n">
        <f aca="false">SUM(E99,K99,Q99,W99,AE99,AM99,AV99,BD99,BL99,BU99,CC99,CK99)-CS99</f>
        <v>0</v>
      </c>
      <c r="DS99" s="117" t="n">
        <f aca="false">SUM(D99,J99,P99,V99,AD99,AL99,AU99,BC99,,BN99,BV99,CD99,CL99)-CT99</f>
        <v>0</v>
      </c>
      <c r="DT99" s="416"/>
      <c r="DU99" s="417"/>
      <c r="DV99" s="418" t="n">
        <f aca="false">DU99-CJ99</f>
        <v>0</v>
      </c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  <c r="EB99" s="419"/>
    </row>
    <row r="100" customFormat="false" ht="15.75" hidden="false" customHeight="true" outlineLevel="0" collapsed="false">
      <c r="B100" s="514" t="s">
        <v>277</v>
      </c>
      <c r="C100" s="398" t="s">
        <v>278</v>
      </c>
      <c r="D100" s="281"/>
      <c r="E100" s="144"/>
      <c r="F100" s="144"/>
      <c r="G100" s="144"/>
      <c r="H100" s="245"/>
      <c r="I100" s="422"/>
      <c r="J100" s="281"/>
      <c r="K100" s="144"/>
      <c r="L100" s="144"/>
      <c r="M100" s="144"/>
      <c r="N100" s="245"/>
      <c r="O100" s="422"/>
      <c r="P100" s="281"/>
      <c r="Q100" s="144"/>
      <c r="R100" s="144"/>
      <c r="S100" s="144"/>
      <c r="T100" s="245"/>
      <c r="U100" s="423"/>
      <c r="V100" s="281"/>
      <c r="W100" s="144"/>
      <c r="X100" s="144"/>
      <c r="Y100" s="144"/>
      <c r="Z100" s="144"/>
      <c r="AA100" s="144"/>
      <c r="AB100" s="245"/>
      <c r="AC100" s="422"/>
      <c r="AD100" s="281"/>
      <c r="AE100" s="144"/>
      <c r="AF100" s="144"/>
      <c r="AG100" s="144"/>
      <c r="AH100" s="144"/>
      <c r="AI100" s="144"/>
      <c r="AJ100" s="245"/>
      <c r="AK100" s="422"/>
      <c r="AL100" s="281"/>
      <c r="AM100" s="144"/>
      <c r="AN100" s="144"/>
      <c r="AO100" s="144"/>
      <c r="AP100" s="144"/>
      <c r="AQ100" s="144"/>
      <c r="AR100" s="144"/>
      <c r="AS100" s="245"/>
      <c r="AT100" s="424"/>
      <c r="AU100" s="281"/>
      <c r="AV100" s="144"/>
      <c r="AW100" s="144"/>
      <c r="AX100" s="144"/>
      <c r="AY100" s="144"/>
      <c r="AZ100" s="144"/>
      <c r="BA100" s="245"/>
      <c r="BB100" s="422"/>
      <c r="BC100" s="281"/>
      <c r="BD100" s="144"/>
      <c r="BE100" s="144"/>
      <c r="BF100" s="144"/>
      <c r="BG100" s="144"/>
      <c r="BH100" s="144"/>
      <c r="BI100" s="245"/>
      <c r="BJ100" s="423"/>
      <c r="BK100" s="281"/>
      <c r="BL100" s="144"/>
      <c r="BM100" s="144"/>
      <c r="BN100" s="144"/>
      <c r="BO100" s="144"/>
      <c r="BP100" s="144"/>
      <c r="BQ100" s="144"/>
      <c r="BR100" s="245"/>
      <c r="BS100" s="423"/>
      <c r="BT100" s="281"/>
      <c r="BU100" s="144"/>
      <c r="BV100" s="144"/>
      <c r="BW100" s="144"/>
      <c r="BX100" s="144"/>
      <c r="BY100" s="144"/>
      <c r="BZ100" s="245"/>
      <c r="CA100" s="373"/>
      <c r="CB100" s="281"/>
      <c r="CC100" s="144"/>
      <c r="CD100" s="144"/>
      <c r="CE100" s="144"/>
      <c r="CF100" s="144"/>
      <c r="CG100" s="144"/>
      <c r="CH100" s="245"/>
      <c r="CI100" s="373"/>
      <c r="CJ100" s="281"/>
      <c r="CK100" s="144"/>
      <c r="CL100" s="144"/>
      <c r="CM100" s="144"/>
      <c r="CN100" s="144"/>
      <c r="CO100" s="144"/>
      <c r="CP100" s="245"/>
      <c r="CQ100" s="422"/>
      <c r="CR100" s="281"/>
      <c r="CS100" s="144"/>
      <c r="CT100" s="144"/>
      <c r="CU100" s="144" t="n">
        <f aca="false">+CR100-CS100</f>
        <v>0</v>
      </c>
      <c r="CV100" s="144" t="n">
        <f aca="false">+CR100-CT100</f>
        <v>0</v>
      </c>
      <c r="CW100" s="144"/>
      <c r="CX100" s="245" t="str">
        <f aca="false">IFERROR(CR100/CW100-1, "-")</f>
        <v>-</v>
      </c>
      <c r="CY100" s="425"/>
      <c r="CZ100" s="426"/>
      <c r="DA100" s="144"/>
      <c r="DB100" s="144"/>
      <c r="DC100" s="144"/>
      <c r="DD100" s="144"/>
      <c r="DE100" s="245" t="e">
        <f aca="false">+CZ100/DD100-1</f>
        <v>#DIV/0!</v>
      </c>
      <c r="DF100" s="245" t="e">
        <f aca="false">+DA100/DD100-1</f>
        <v>#DIV/0!</v>
      </c>
      <c r="DG100" s="427" t="e">
        <f aca="false">+DB100/DD100-1</f>
        <v>#DIV/0!</v>
      </c>
      <c r="DH100" s="427" t="e">
        <f aca="false">+DC100/DD100-1</f>
        <v>#DIV/0!</v>
      </c>
      <c r="DI100" s="413"/>
      <c r="DJ100" s="117" t="n">
        <f aca="false">SUM(D100,J100,P100,V100,AD100,AL100,AU100,BC100,BK100,BT100,CB100,CJ100)-CR100</f>
        <v>0</v>
      </c>
      <c r="DK100" s="117" t="n">
        <f aca="false">SUM(E100,K100,Q100,W100,AE100,AM100,AV100,BD100,BL100,BU100,CC100,CK100)-CS100</f>
        <v>0</v>
      </c>
      <c r="DL100" s="117" t="n">
        <f aca="false">SUM(G100,M100,S100,AA100,AI100,AR100,AZ100,BH100,BQ100,BY100,CG100,CO100)-CW100</f>
        <v>0</v>
      </c>
      <c r="DM100" s="117" t="n">
        <f aca="false">SUM(D100,J100,P100,V100,AD100,AL100,AU100,BC100,,BN100,BV100,CD100,CL100)-CT100</f>
        <v>0</v>
      </c>
      <c r="DN100" s="413"/>
      <c r="DO100" s="413"/>
      <c r="DP100" s="428" t="n">
        <f aca="false">SUM(DP101:DP105)</f>
        <v>68726818</v>
      </c>
      <c r="DQ100" s="415" t="n">
        <f aca="false">-CR100+DP100/10^6</f>
        <v>68.726818</v>
      </c>
      <c r="DR100" s="117" t="n">
        <f aca="false">SUM(E100,K100,Q100,W100,AE100,AM100,AV100,BD100,BL100,BU100,CC100,CK100)-CS100</f>
        <v>0</v>
      </c>
      <c r="DS100" s="117" t="n">
        <f aca="false">SUM(D100,J100,P100,V100,AD100,AL100,AU100,BC100,,BN100,BV100,CD100,CL100)-CT100</f>
        <v>0</v>
      </c>
      <c r="DT100" s="416"/>
      <c r="DU100" s="417" t="n">
        <v>25.859749</v>
      </c>
      <c r="DV100" s="418" t="n">
        <f aca="false">DU100-CJ100</f>
        <v>25.859749</v>
      </c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  <c r="EB100" s="419"/>
    </row>
    <row r="101" s="441" customFormat="true" ht="15.75" hidden="true" customHeight="true" outlineLevel="1" collapsed="false">
      <c r="A101" s="286"/>
      <c r="B101" s="444" t="s">
        <v>279</v>
      </c>
      <c r="C101" s="431" t="s">
        <v>280</v>
      </c>
      <c r="D101" s="432"/>
      <c r="E101" s="433"/>
      <c r="F101" s="433"/>
      <c r="G101" s="433"/>
      <c r="H101" s="434"/>
      <c r="I101" s="422"/>
      <c r="J101" s="432"/>
      <c r="K101" s="433"/>
      <c r="L101" s="433"/>
      <c r="M101" s="433"/>
      <c r="N101" s="434"/>
      <c r="O101" s="435"/>
      <c r="P101" s="432"/>
      <c r="Q101" s="433"/>
      <c r="R101" s="433"/>
      <c r="S101" s="433"/>
      <c r="T101" s="434"/>
      <c r="U101" s="423"/>
      <c r="V101" s="432"/>
      <c r="W101" s="433"/>
      <c r="X101" s="433"/>
      <c r="Y101" s="433"/>
      <c r="Z101" s="433"/>
      <c r="AA101" s="433"/>
      <c r="AB101" s="434"/>
      <c r="AC101" s="435"/>
      <c r="AD101" s="432"/>
      <c r="AE101" s="433"/>
      <c r="AF101" s="433"/>
      <c r="AG101" s="433"/>
      <c r="AH101" s="433"/>
      <c r="AI101" s="433"/>
      <c r="AJ101" s="434"/>
      <c r="AK101" s="435"/>
      <c r="AL101" s="432"/>
      <c r="AM101" s="433"/>
      <c r="AN101" s="433"/>
      <c r="AO101" s="433"/>
      <c r="AP101" s="433"/>
      <c r="AQ101" s="433"/>
      <c r="AR101" s="433"/>
      <c r="AS101" s="434"/>
      <c r="AT101" s="424"/>
      <c r="AU101" s="432"/>
      <c r="AV101" s="433"/>
      <c r="AW101" s="433"/>
      <c r="AX101" s="433"/>
      <c r="AY101" s="433"/>
      <c r="AZ101" s="433"/>
      <c r="BA101" s="434"/>
      <c r="BB101" s="435"/>
      <c r="BC101" s="281"/>
      <c r="BD101" s="144"/>
      <c r="BE101" s="144"/>
      <c r="BF101" s="144"/>
      <c r="BG101" s="144"/>
      <c r="BH101" s="433"/>
      <c r="BI101" s="434"/>
      <c r="BJ101" s="436"/>
      <c r="BK101" s="432"/>
      <c r="BL101" s="433"/>
      <c r="BM101" s="433"/>
      <c r="BN101" s="433"/>
      <c r="BO101" s="433"/>
      <c r="BP101" s="433"/>
      <c r="BQ101" s="433"/>
      <c r="BR101" s="434"/>
      <c r="BS101" s="436"/>
      <c r="BT101" s="432"/>
      <c r="BU101" s="433"/>
      <c r="BV101" s="433"/>
      <c r="BW101" s="433"/>
      <c r="BX101" s="433"/>
      <c r="BY101" s="433"/>
      <c r="BZ101" s="434"/>
      <c r="CA101" s="373"/>
      <c r="CB101" s="432"/>
      <c r="CC101" s="433"/>
      <c r="CD101" s="433"/>
      <c r="CE101" s="433"/>
      <c r="CF101" s="433"/>
      <c r="CG101" s="433"/>
      <c r="CH101" s="434"/>
      <c r="CI101" s="373"/>
      <c r="CJ101" s="539"/>
      <c r="CK101" s="433"/>
      <c r="CL101" s="433"/>
      <c r="CM101" s="433"/>
      <c r="CN101" s="433"/>
      <c r="CO101" s="433"/>
      <c r="CP101" s="434"/>
      <c r="CQ101" s="435"/>
      <c r="CR101" s="432"/>
      <c r="CS101" s="433"/>
      <c r="CT101" s="433"/>
      <c r="CU101" s="433" t="n">
        <f aca="false">+CR101-CS101</f>
        <v>0</v>
      </c>
      <c r="CV101" s="433" t="n">
        <f aca="false">+CR101-CT101</f>
        <v>0</v>
      </c>
      <c r="CW101" s="433"/>
      <c r="CX101" s="434" t="str">
        <f aca="false">IFERROR(CR101/CW101-1, "-")</f>
        <v>-</v>
      </c>
      <c r="CY101" s="425"/>
      <c r="CZ101" s="437"/>
      <c r="DA101" s="433"/>
      <c r="DB101" s="433"/>
      <c r="DC101" s="433"/>
      <c r="DD101" s="433"/>
      <c r="DE101" s="434"/>
      <c r="DF101" s="434"/>
      <c r="DG101" s="438"/>
      <c r="DH101" s="438"/>
      <c r="DI101" s="413"/>
      <c r="DJ101" s="117" t="n">
        <f aca="false">SUM(D101,J101,P101,V101,AD101,AL101,AU101,BC101,BK101,BT101,CB101,CJ101)-CR101</f>
        <v>0</v>
      </c>
      <c r="DK101" s="117" t="n">
        <f aca="false">SUM(E101,K101,Q101,W101,AE101,AM101,AV101,BD101,BL101,BU101,CC101,CK101)-CS101</f>
        <v>0</v>
      </c>
      <c r="DL101" s="117" t="n">
        <f aca="false">SUM(G101,M101,S101,AA101,AI101,AR101,AZ101,BH101,BQ101,BY101,CG101,CO101)-CW101</f>
        <v>0</v>
      </c>
      <c r="DM101" s="117" t="n">
        <f aca="false">SUM(D101,J101,P101,V101,AD101,AL101,AU101,BC101,,BN101,BV101,CD101,CL101)-CT101</f>
        <v>0</v>
      </c>
      <c r="DN101" s="413"/>
      <c r="DO101" s="413"/>
      <c r="DP101" s="439" t="n">
        <v>10423634</v>
      </c>
      <c r="DQ101" s="415" t="n">
        <f aca="false">-CR101+DP101/10^6</f>
        <v>10.423634</v>
      </c>
      <c r="DR101" s="117" t="n">
        <f aca="false">SUM(E101,K101,Q101,W101,AE101,AM101,AV101,BD101,BL101,BU101,CC101,CK101)-CS101</f>
        <v>0</v>
      </c>
      <c r="DS101" s="117" t="n">
        <f aca="false">SUM(D101,J101,P101,V101,AD101,AL101,AU101,BC101,,BN101,BV101,CD101,CL101)-CT101</f>
        <v>0</v>
      </c>
      <c r="DT101" s="416"/>
      <c r="DU101" s="440" t="n">
        <v>4.467291</v>
      </c>
      <c r="DV101" s="418" t="n">
        <f aca="false">DU101-CJ101</f>
        <v>4.467291</v>
      </c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  <c r="EB101" s="419"/>
    </row>
    <row r="102" s="441" customFormat="true" ht="15.75" hidden="true" customHeight="true" outlineLevel="1" collapsed="false">
      <c r="A102" s="286"/>
      <c r="B102" s="444" t="s">
        <v>281</v>
      </c>
      <c r="C102" s="431" t="s">
        <v>282</v>
      </c>
      <c r="D102" s="432"/>
      <c r="E102" s="433"/>
      <c r="F102" s="433"/>
      <c r="G102" s="433"/>
      <c r="H102" s="434"/>
      <c r="I102" s="422"/>
      <c r="J102" s="432"/>
      <c r="K102" s="433"/>
      <c r="L102" s="433"/>
      <c r="M102" s="433"/>
      <c r="N102" s="434"/>
      <c r="O102" s="435"/>
      <c r="P102" s="432"/>
      <c r="Q102" s="433"/>
      <c r="R102" s="433"/>
      <c r="S102" s="433"/>
      <c r="T102" s="434"/>
      <c r="U102" s="423"/>
      <c r="V102" s="432"/>
      <c r="W102" s="433"/>
      <c r="X102" s="433"/>
      <c r="Y102" s="433"/>
      <c r="Z102" s="433"/>
      <c r="AA102" s="433"/>
      <c r="AB102" s="434"/>
      <c r="AC102" s="435"/>
      <c r="AD102" s="432"/>
      <c r="AE102" s="433"/>
      <c r="AF102" s="433"/>
      <c r="AG102" s="433"/>
      <c r="AH102" s="433"/>
      <c r="AI102" s="433"/>
      <c r="AJ102" s="434"/>
      <c r="AK102" s="435"/>
      <c r="AL102" s="432"/>
      <c r="AM102" s="433"/>
      <c r="AN102" s="433"/>
      <c r="AO102" s="433"/>
      <c r="AP102" s="433"/>
      <c r="AQ102" s="433"/>
      <c r="AR102" s="433"/>
      <c r="AS102" s="434"/>
      <c r="AT102" s="424"/>
      <c r="AU102" s="432"/>
      <c r="AV102" s="433"/>
      <c r="AW102" s="433"/>
      <c r="AX102" s="433"/>
      <c r="AY102" s="433"/>
      <c r="AZ102" s="433"/>
      <c r="BA102" s="434"/>
      <c r="BB102" s="435"/>
      <c r="BC102" s="281"/>
      <c r="BD102" s="144"/>
      <c r="BE102" s="144"/>
      <c r="BF102" s="144"/>
      <c r="BG102" s="144"/>
      <c r="BH102" s="433"/>
      <c r="BI102" s="434"/>
      <c r="BJ102" s="436"/>
      <c r="BK102" s="432"/>
      <c r="BL102" s="433"/>
      <c r="BM102" s="433"/>
      <c r="BN102" s="433"/>
      <c r="BO102" s="433"/>
      <c r="BP102" s="433"/>
      <c r="BQ102" s="433"/>
      <c r="BR102" s="434"/>
      <c r="BS102" s="436"/>
      <c r="BT102" s="432"/>
      <c r="BU102" s="433"/>
      <c r="BV102" s="433"/>
      <c r="BW102" s="433"/>
      <c r="BX102" s="433"/>
      <c r="BY102" s="433"/>
      <c r="BZ102" s="434"/>
      <c r="CA102" s="373"/>
      <c r="CB102" s="432"/>
      <c r="CC102" s="433"/>
      <c r="CD102" s="433"/>
      <c r="CE102" s="433"/>
      <c r="CF102" s="433"/>
      <c r="CG102" s="433"/>
      <c r="CH102" s="434"/>
      <c r="CI102" s="373"/>
      <c r="CJ102" s="539"/>
      <c r="CK102" s="433"/>
      <c r="CL102" s="433"/>
      <c r="CM102" s="433"/>
      <c r="CN102" s="433"/>
      <c r="CO102" s="433"/>
      <c r="CP102" s="434"/>
      <c r="CQ102" s="435"/>
      <c r="CR102" s="432"/>
      <c r="CS102" s="433"/>
      <c r="CT102" s="433"/>
      <c r="CU102" s="433" t="n">
        <f aca="false">+CR102-CS102</f>
        <v>0</v>
      </c>
      <c r="CV102" s="433" t="n">
        <f aca="false">+CR102-CT102</f>
        <v>0</v>
      </c>
      <c r="CW102" s="433"/>
      <c r="CX102" s="434" t="str">
        <f aca="false">IFERROR(CR102/CW102-1, "-")</f>
        <v>-</v>
      </c>
      <c r="CY102" s="425"/>
      <c r="CZ102" s="437"/>
      <c r="DA102" s="433"/>
      <c r="DB102" s="433"/>
      <c r="DC102" s="433"/>
      <c r="DD102" s="433"/>
      <c r="DE102" s="434"/>
      <c r="DF102" s="434" t="e">
        <f aca="false">+DA102/DD102-1</f>
        <v>#DIV/0!</v>
      </c>
      <c r="DG102" s="438" t="e">
        <f aca="false">+DB102/DD102-1</f>
        <v>#DIV/0!</v>
      </c>
      <c r="DH102" s="438" t="e">
        <f aca="false">+DC102/DD102-1</f>
        <v>#DIV/0!</v>
      </c>
      <c r="DI102" s="413"/>
      <c r="DJ102" s="117" t="n">
        <f aca="false">SUM(D102,J102,P102,V102,AD102,AL102,AU102,BC102,BK102,BT102,CB102,CJ102)-CR102</f>
        <v>0</v>
      </c>
      <c r="DK102" s="117" t="n">
        <f aca="false">SUM(E102,K102,Q102,W102,AE102,AM102,AV102,BD102,BL102,BU102,CC102,CK102)-CS102</f>
        <v>0</v>
      </c>
      <c r="DL102" s="117" t="n">
        <f aca="false">SUM(G102,M102,S102,AA102,AI102,AR102,AZ102,BH102,BQ102,BY102,CG102,CO102)-CW102</f>
        <v>0</v>
      </c>
      <c r="DM102" s="117" t="n">
        <f aca="false">SUM(D102,J102,P102,V102,AD102,AL102,AU102,BC102,,BN102,BV102,CD102,CL102)-CT102</f>
        <v>0</v>
      </c>
      <c r="DN102" s="413"/>
      <c r="DO102" s="413"/>
      <c r="DP102" s="439" t="n">
        <v>10423634</v>
      </c>
      <c r="DQ102" s="415" t="n">
        <f aca="false">-CR102+DP102/10^6</f>
        <v>10.423634</v>
      </c>
      <c r="DR102" s="117" t="n">
        <f aca="false">SUM(E102,K102,Q102,W102,AE102,AM102,AV102,BD102,BL102,BU102,CC102,CK102)-CS102</f>
        <v>0</v>
      </c>
      <c r="DS102" s="117" t="n">
        <f aca="false">SUM(D102,J102,P102,V102,AD102,AL102,AU102,BC102,,BN102,BV102,CD102,CL102)-CT102</f>
        <v>0</v>
      </c>
      <c r="DT102" s="416"/>
      <c r="DU102" s="440" t="n">
        <v>-10.423634</v>
      </c>
      <c r="DV102" s="418" t="n">
        <f aca="false">DU102-CJ102</f>
        <v>-10.423634</v>
      </c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  <c r="EB102" s="419"/>
    </row>
    <row r="103" s="441" customFormat="true" ht="15.75" hidden="true" customHeight="true" outlineLevel="1" collapsed="false">
      <c r="A103" s="286"/>
      <c r="B103" s="444" t="s">
        <v>283</v>
      </c>
      <c r="C103" s="431" t="s">
        <v>284</v>
      </c>
      <c r="D103" s="540"/>
      <c r="E103" s="433"/>
      <c r="F103" s="433"/>
      <c r="G103" s="433"/>
      <c r="H103" s="434"/>
      <c r="I103" s="422"/>
      <c r="J103" s="540"/>
      <c r="K103" s="433"/>
      <c r="L103" s="433"/>
      <c r="M103" s="433"/>
      <c r="N103" s="434"/>
      <c r="O103" s="435"/>
      <c r="P103" s="540"/>
      <c r="Q103" s="433"/>
      <c r="R103" s="433"/>
      <c r="S103" s="433"/>
      <c r="T103" s="434"/>
      <c r="U103" s="423"/>
      <c r="V103" s="540"/>
      <c r="W103" s="433"/>
      <c r="X103" s="433"/>
      <c r="Y103" s="433"/>
      <c r="Z103" s="433"/>
      <c r="AA103" s="433"/>
      <c r="AB103" s="434"/>
      <c r="AC103" s="435"/>
      <c r="AD103" s="540"/>
      <c r="AE103" s="433"/>
      <c r="AF103" s="433"/>
      <c r="AG103" s="433"/>
      <c r="AH103" s="433"/>
      <c r="AI103" s="433"/>
      <c r="AJ103" s="434"/>
      <c r="AK103" s="435"/>
      <c r="AL103" s="540"/>
      <c r="AM103" s="433"/>
      <c r="AN103" s="433"/>
      <c r="AO103" s="433"/>
      <c r="AP103" s="433"/>
      <c r="AQ103" s="433"/>
      <c r="AR103" s="433"/>
      <c r="AS103" s="434"/>
      <c r="AT103" s="424"/>
      <c r="AU103" s="540"/>
      <c r="AV103" s="433"/>
      <c r="AW103" s="433"/>
      <c r="AX103" s="433"/>
      <c r="AY103" s="433"/>
      <c r="AZ103" s="433"/>
      <c r="BA103" s="434"/>
      <c r="BB103" s="435"/>
      <c r="BC103" s="281"/>
      <c r="BD103" s="144"/>
      <c r="BE103" s="144"/>
      <c r="BF103" s="144"/>
      <c r="BG103" s="144"/>
      <c r="BH103" s="433"/>
      <c r="BI103" s="434"/>
      <c r="BJ103" s="436"/>
      <c r="BK103" s="432"/>
      <c r="BL103" s="433"/>
      <c r="BM103" s="433"/>
      <c r="BN103" s="433"/>
      <c r="BO103" s="433"/>
      <c r="BP103" s="433"/>
      <c r="BQ103" s="433"/>
      <c r="BR103" s="434"/>
      <c r="BS103" s="436"/>
      <c r="BT103" s="432"/>
      <c r="BU103" s="433"/>
      <c r="BV103" s="433"/>
      <c r="BW103" s="433"/>
      <c r="BX103" s="433"/>
      <c r="BY103" s="433"/>
      <c r="BZ103" s="434"/>
      <c r="CA103" s="373"/>
      <c r="CB103" s="432"/>
      <c r="CC103" s="433"/>
      <c r="CD103" s="433"/>
      <c r="CE103" s="433"/>
      <c r="CF103" s="433"/>
      <c r="CG103" s="433"/>
      <c r="CH103" s="434"/>
      <c r="CI103" s="373"/>
      <c r="CJ103" s="432"/>
      <c r="CK103" s="433"/>
      <c r="CL103" s="433"/>
      <c r="CM103" s="433"/>
      <c r="CN103" s="433"/>
      <c r="CO103" s="433"/>
      <c r="CP103" s="434"/>
      <c r="CQ103" s="435"/>
      <c r="CR103" s="432"/>
      <c r="CS103" s="433"/>
      <c r="CT103" s="433"/>
      <c r="CU103" s="433" t="n">
        <f aca="false">+CR103-CS103</f>
        <v>0</v>
      </c>
      <c r="CV103" s="433" t="n">
        <f aca="false">+CR103-CT103</f>
        <v>0</v>
      </c>
      <c r="CW103" s="433"/>
      <c r="CX103" s="434" t="str">
        <f aca="false">IFERROR(CR103/CW103-1, "-")</f>
        <v>-</v>
      </c>
      <c r="CY103" s="425"/>
      <c r="CZ103" s="437"/>
      <c r="DA103" s="433"/>
      <c r="DB103" s="433"/>
      <c r="DC103" s="433"/>
      <c r="DD103" s="433"/>
      <c r="DE103" s="434" t="e">
        <f aca="false">+CZ103/DD103-1</f>
        <v>#DIV/0!</v>
      </c>
      <c r="DF103" s="434" t="e">
        <f aca="false">+DA103/DD103-1</f>
        <v>#DIV/0!</v>
      </c>
      <c r="DG103" s="438" t="e">
        <f aca="false">+DB103/DD103-1</f>
        <v>#DIV/0!</v>
      </c>
      <c r="DH103" s="438" t="e">
        <f aca="false">+DC103/DD103-1</f>
        <v>#DIV/0!</v>
      </c>
      <c r="DI103" s="413"/>
      <c r="DJ103" s="117" t="n">
        <f aca="false">SUM(D103,J103,P103,V103,AD103,AL103,AU103,BC103,BK103,BT103,CB103,CJ103)-CR103</f>
        <v>0</v>
      </c>
      <c r="DK103" s="117" t="n">
        <f aca="false">SUM(E103,K103,Q103,W103,AE103,AM103,AV103,BD103,BL103,BU103,CC103,CK103)-CS103</f>
        <v>0</v>
      </c>
      <c r="DL103" s="117" t="n">
        <f aca="false">SUM(G103,M103,S103,AA103,AI103,AR103,AZ103,BH103,BQ103,BY103,CG103,CO103)-CW103</f>
        <v>0</v>
      </c>
      <c r="DM103" s="117" t="n">
        <f aca="false">SUM(D103,J103,P103,V103,AD103,AL103,AU103,BC103,,BN103,BV103,CD103,CL103)-CT103</f>
        <v>0</v>
      </c>
      <c r="DN103" s="413"/>
      <c r="DO103" s="413"/>
      <c r="DP103" s="541" t="n">
        <v>14139350</v>
      </c>
      <c r="DQ103" s="415" t="n">
        <f aca="false">-CR103+DP103/10^6</f>
        <v>14.13935</v>
      </c>
      <c r="DR103" s="117" t="n">
        <f aca="false">SUM(E103,K103,Q103,W103,AE103,AM103,AV103,BD103,BL103,BU103,CC103,CK103)-CS103</f>
        <v>0</v>
      </c>
      <c r="DS103" s="117" t="n">
        <f aca="false">SUM(D103,J103,P103,V103,AD103,AL103,AU103,BC103,,BN103,BV103,CD103,CL103)-CT103</f>
        <v>0</v>
      </c>
      <c r="DT103" s="416"/>
      <c r="DU103" s="440" t="n">
        <v>1.289912</v>
      </c>
      <c r="DV103" s="418" t="n">
        <f aca="false">DU103-CJ103</f>
        <v>1.289912</v>
      </c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  <c r="EB103" s="419"/>
    </row>
    <row r="104" s="441" customFormat="true" ht="15.75" hidden="true" customHeight="true" outlineLevel="1" collapsed="false">
      <c r="A104" s="286"/>
      <c r="B104" s="444" t="s">
        <v>285</v>
      </c>
      <c r="C104" s="431" t="s">
        <v>286</v>
      </c>
      <c r="D104" s="432"/>
      <c r="E104" s="433"/>
      <c r="F104" s="433"/>
      <c r="G104" s="433"/>
      <c r="H104" s="434"/>
      <c r="I104" s="422"/>
      <c r="J104" s="432"/>
      <c r="K104" s="433"/>
      <c r="L104" s="433"/>
      <c r="M104" s="433"/>
      <c r="N104" s="434"/>
      <c r="O104" s="435"/>
      <c r="P104" s="432"/>
      <c r="Q104" s="433"/>
      <c r="R104" s="433"/>
      <c r="S104" s="433"/>
      <c r="T104" s="434"/>
      <c r="U104" s="423"/>
      <c r="V104" s="432"/>
      <c r="W104" s="433"/>
      <c r="X104" s="433"/>
      <c r="Y104" s="433"/>
      <c r="Z104" s="433"/>
      <c r="AA104" s="433"/>
      <c r="AB104" s="434"/>
      <c r="AC104" s="435"/>
      <c r="AD104" s="432"/>
      <c r="AE104" s="433"/>
      <c r="AF104" s="433"/>
      <c r="AG104" s="433"/>
      <c r="AH104" s="433"/>
      <c r="AI104" s="433"/>
      <c r="AJ104" s="434"/>
      <c r="AK104" s="435"/>
      <c r="AL104" s="432"/>
      <c r="AM104" s="433"/>
      <c r="AN104" s="433"/>
      <c r="AO104" s="433"/>
      <c r="AP104" s="433"/>
      <c r="AQ104" s="433"/>
      <c r="AR104" s="433"/>
      <c r="AS104" s="434"/>
      <c r="AT104" s="424"/>
      <c r="AU104" s="432"/>
      <c r="AV104" s="433"/>
      <c r="AW104" s="433"/>
      <c r="AX104" s="433"/>
      <c r="AY104" s="433"/>
      <c r="AZ104" s="433"/>
      <c r="BA104" s="434"/>
      <c r="BB104" s="435"/>
      <c r="BC104" s="281"/>
      <c r="BD104" s="144"/>
      <c r="BE104" s="144"/>
      <c r="BF104" s="144"/>
      <c r="BG104" s="144"/>
      <c r="BH104" s="433"/>
      <c r="BI104" s="434"/>
      <c r="BJ104" s="436"/>
      <c r="BK104" s="432"/>
      <c r="BL104" s="433"/>
      <c r="BM104" s="433"/>
      <c r="BN104" s="433"/>
      <c r="BO104" s="433"/>
      <c r="BP104" s="433"/>
      <c r="BQ104" s="433"/>
      <c r="BR104" s="434"/>
      <c r="BS104" s="436"/>
      <c r="BT104" s="432"/>
      <c r="BU104" s="433"/>
      <c r="BV104" s="433"/>
      <c r="BW104" s="433"/>
      <c r="BX104" s="433"/>
      <c r="BY104" s="433"/>
      <c r="BZ104" s="434"/>
      <c r="CA104" s="373"/>
      <c r="CB104" s="432"/>
      <c r="CC104" s="433"/>
      <c r="CD104" s="433"/>
      <c r="CE104" s="433"/>
      <c r="CF104" s="433"/>
      <c r="CG104" s="433"/>
      <c r="CH104" s="434"/>
      <c r="CI104" s="373"/>
      <c r="CJ104" s="539"/>
      <c r="CK104" s="433"/>
      <c r="CL104" s="433"/>
      <c r="CM104" s="433"/>
      <c r="CN104" s="433"/>
      <c r="CO104" s="433"/>
      <c r="CP104" s="434"/>
      <c r="CQ104" s="435"/>
      <c r="CR104" s="432"/>
      <c r="CS104" s="433"/>
      <c r="CT104" s="433"/>
      <c r="CU104" s="433" t="n">
        <f aca="false">+CR104-CS104</f>
        <v>0</v>
      </c>
      <c r="CV104" s="433" t="n">
        <f aca="false">+CR104-CT104</f>
        <v>0</v>
      </c>
      <c r="CW104" s="433"/>
      <c r="CX104" s="434" t="str">
        <f aca="false">IFERROR(CR104/CW104-1, "-")</f>
        <v>-</v>
      </c>
      <c r="CY104" s="425"/>
      <c r="CZ104" s="437"/>
      <c r="DA104" s="433"/>
      <c r="DB104" s="433"/>
      <c r="DC104" s="433"/>
      <c r="DD104" s="433"/>
      <c r="DE104" s="434" t="e">
        <f aca="false">+CZ104/DD104-1</f>
        <v>#DIV/0!</v>
      </c>
      <c r="DF104" s="434" t="e">
        <f aca="false">+DA104/DD104-1</f>
        <v>#DIV/0!</v>
      </c>
      <c r="DG104" s="438" t="e">
        <f aca="false">+DB104/DD104-1</f>
        <v>#DIV/0!</v>
      </c>
      <c r="DH104" s="438" t="e">
        <f aca="false">+DC104/DD104-1</f>
        <v>#DIV/0!</v>
      </c>
      <c r="DI104" s="413"/>
      <c r="DJ104" s="117" t="n">
        <f aca="false">SUM(D104,J104,P104,V104,AD104,AL104,AU104,BC104,BK104,BT104,CB104,CJ104)-CR104</f>
        <v>0</v>
      </c>
      <c r="DK104" s="117" t="n">
        <f aca="false">SUM(E104,K104,Q104,W104,AE104,AM104,AV104,BD104,BL104,BU104,CC104,CK104)-CS104</f>
        <v>0</v>
      </c>
      <c r="DL104" s="117" t="n">
        <f aca="false">SUM(G104,M104,S104,AA104,AI104,AR104,AZ104,BH104,BQ104,BY104,CG104,CO104)-CW104</f>
        <v>0</v>
      </c>
      <c r="DM104" s="117" t="n">
        <f aca="false">SUM(D104,J104,P104,V104,AD104,AL104,AU104,BC104,,BN104,BV104,CD104,CL104)-CT104</f>
        <v>0</v>
      </c>
      <c r="DN104" s="413"/>
      <c r="DO104" s="413"/>
      <c r="DP104" s="439" t="n">
        <v>33740200</v>
      </c>
      <c r="DQ104" s="415" t="n">
        <f aca="false">-CR104+DP104/10^6</f>
        <v>33.7402</v>
      </c>
      <c r="DR104" s="117" t="n">
        <f aca="false">SUM(E104,K104,Q104,W104,AE104,AM104,AV104,BD104,BL104,BU104,CC104,CK104)-CS104</f>
        <v>0</v>
      </c>
      <c r="DS104" s="117" t="n">
        <f aca="false">SUM(D104,J104,P104,V104,AD104,AL104,AU104,BC104,,BN104,BV104,CD104,CL104)-CT104</f>
        <v>0</v>
      </c>
      <c r="DT104" s="416"/>
      <c r="DU104" s="440" t="n">
        <v>30.52618</v>
      </c>
      <c r="DV104" s="418" t="n">
        <f aca="false">DU104-CJ104</f>
        <v>30.52618</v>
      </c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  <c r="EB104" s="419"/>
    </row>
    <row r="105" s="441" customFormat="true" ht="15.75" hidden="true" customHeight="true" outlineLevel="1" collapsed="false">
      <c r="A105" s="286"/>
      <c r="B105" s="444" t="s">
        <v>287</v>
      </c>
      <c r="C105" s="431" t="s">
        <v>288</v>
      </c>
      <c r="D105" s="432"/>
      <c r="E105" s="433"/>
      <c r="F105" s="433"/>
      <c r="G105" s="433"/>
      <c r="H105" s="434"/>
      <c r="I105" s="422"/>
      <c r="J105" s="432"/>
      <c r="K105" s="433"/>
      <c r="L105" s="433"/>
      <c r="M105" s="433"/>
      <c r="N105" s="434"/>
      <c r="O105" s="435"/>
      <c r="P105" s="432"/>
      <c r="Q105" s="433"/>
      <c r="R105" s="433"/>
      <c r="S105" s="433"/>
      <c r="T105" s="434"/>
      <c r="U105" s="423"/>
      <c r="V105" s="432"/>
      <c r="W105" s="433"/>
      <c r="X105" s="433"/>
      <c r="Y105" s="433"/>
      <c r="Z105" s="433"/>
      <c r="AA105" s="433"/>
      <c r="AB105" s="434"/>
      <c r="AC105" s="435"/>
      <c r="AD105" s="432"/>
      <c r="AE105" s="433"/>
      <c r="AF105" s="433"/>
      <c r="AG105" s="433"/>
      <c r="AH105" s="433"/>
      <c r="AI105" s="433"/>
      <c r="AJ105" s="434"/>
      <c r="AK105" s="435"/>
      <c r="AL105" s="432"/>
      <c r="AM105" s="433"/>
      <c r="AN105" s="433"/>
      <c r="AO105" s="433"/>
      <c r="AP105" s="433"/>
      <c r="AQ105" s="433"/>
      <c r="AR105" s="433"/>
      <c r="AS105" s="434"/>
      <c r="AT105" s="424"/>
      <c r="AU105" s="432"/>
      <c r="AV105" s="433"/>
      <c r="AW105" s="433"/>
      <c r="AX105" s="433"/>
      <c r="AY105" s="433"/>
      <c r="AZ105" s="433"/>
      <c r="BA105" s="434"/>
      <c r="BB105" s="435"/>
      <c r="BC105" s="281"/>
      <c r="BD105" s="144"/>
      <c r="BE105" s="144"/>
      <c r="BF105" s="144"/>
      <c r="BG105" s="144"/>
      <c r="BH105" s="433"/>
      <c r="BI105" s="434"/>
      <c r="BJ105" s="436"/>
      <c r="BK105" s="432"/>
      <c r="BL105" s="433"/>
      <c r="BM105" s="433"/>
      <c r="BN105" s="433"/>
      <c r="BO105" s="433"/>
      <c r="BP105" s="433"/>
      <c r="BQ105" s="433"/>
      <c r="BR105" s="434"/>
      <c r="BS105" s="436"/>
      <c r="BT105" s="432"/>
      <c r="BU105" s="433"/>
      <c r="BV105" s="433"/>
      <c r="BW105" s="433"/>
      <c r="BX105" s="433"/>
      <c r="BY105" s="433"/>
      <c r="BZ105" s="434"/>
      <c r="CA105" s="373"/>
      <c r="CB105" s="432"/>
      <c r="CC105" s="433"/>
      <c r="CD105" s="433"/>
      <c r="CE105" s="433"/>
      <c r="CF105" s="433"/>
      <c r="CG105" s="433"/>
      <c r="CH105" s="434"/>
      <c r="CI105" s="373"/>
      <c r="CJ105" s="432"/>
      <c r="CK105" s="433"/>
      <c r="CL105" s="433"/>
      <c r="CM105" s="433"/>
      <c r="CN105" s="433"/>
      <c r="CO105" s="433"/>
      <c r="CP105" s="434"/>
      <c r="CQ105" s="435"/>
      <c r="CR105" s="432"/>
      <c r="CS105" s="433"/>
      <c r="CT105" s="433"/>
      <c r="CU105" s="433" t="n">
        <f aca="false">+CR105-CS105</f>
        <v>0</v>
      </c>
      <c r="CV105" s="433" t="n">
        <f aca="false">+CR105-CT105</f>
        <v>0</v>
      </c>
      <c r="CW105" s="433"/>
      <c r="CX105" s="434" t="str">
        <f aca="false">IFERROR(CR105/CW105-1, "-")</f>
        <v>-</v>
      </c>
      <c r="CY105" s="425"/>
      <c r="CZ105" s="437"/>
      <c r="DA105" s="433"/>
      <c r="DB105" s="433"/>
      <c r="DC105" s="433"/>
      <c r="DD105" s="433"/>
      <c r="DE105" s="434"/>
      <c r="DF105" s="434"/>
      <c r="DG105" s="438"/>
      <c r="DH105" s="438"/>
      <c r="DI105" s="413"/>
      <c r="DJ105" s="117" t="n">
        <f aca="false">SUM(D105,J105,P105,V105,AD105,AL105,AU105,BC105,BK105,BT105,CB105,CJ105)-CR105</f>
        <v>0</v>
      </c>
      <c r="DK105" s="117" t="n">
        <f aca="false">SUM(E105,K105,Q105,W105,AE105,AM105,AV105,BD105,BL105,BU105,CC105,CK105)-CS105</f>
        <v>0</v>
      </c>
      <c r="DL105" s="117" t="n">
        <f aca="false">SUM(G105,M105,S105,AA105,AI105,AR105,AZ105,BH105,BQ105,BY105,CG105,CO105)-CW105</f>
        <v>0</v>
      </c>
      <c r="DM105" s="117" t="n">
        <f aca="false">SUM(D105,J105,P105,V105,AD105,AL105,AU105,BC105,,BN105,BV105,CD105,CL105)-CT105</f>
        <v>0</v>
      </c>
      <c r="DN105" s="413"/>
      <c r="DO105" s="413"/>
      <c r="DP105" s="439" t="n">
        <v>0</v>
      </c>
      <c r="DQ105" s="415" t="n">
        <f aca="false">-CR105+DP105/10^6</f>
        <v>0</v>
      </c>
      <c r="DR105" s="117" t="n">
        <f aca="false">SUM(E105,K105,Q105,W105,AE105,AM105,AV105,BD105,BL105,BU105,CC105,CK105)-CS105</f>
        <v>0</v>
      </c>
      <c r="DS105" s="117" t="n">
        <f aca="false">SUM(D105,J105,P105,V105,AD105,AL105,AU105,BC105,,BN105,BV105,CD105,CL105)-CT105</f>
        <v>0</v>
      </c>
      <c r="DT105" s="416"/>
      <c r="DU105" s="440" t="n">
        <v>0</v>
      </c>
      <c r="DV105" s="418" t="n">
        <f aca="false">DU105-CJ105</f>
        <v>0</v>
      </c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  <c r="EB105" s="419"/>
    </row>
    <row r="106" customFormat="false" ht="15.75" hidden="false" customHeight="true" outlineLevel="0" collapsed="false">
      <c r="B106" s="514" t="s">
        <v>289</v>
      </c>
      <c r="C106" s="398" t="s">
        <v>290</v>
      </c>
      <c r="D106" s="281"/>
      <c r="E106" s="144"/>
      <c r="F106" s="144"/>
      <c r="G106" s="144"/>
      <c r="H106" s="245"/>
      <c r="I106" s="422"/>
      <c r="J106" s="281"/>
      <c r="K106" s="144"/>
      <c r="L106" s="144"/>
      <c r="M106" s="144"/>
      <c r="N106" s="245"/>
      <c r="O106" s="422"/>
      <c r="P106" s="281"/>
      <c r="Q106" s="144"/>
      <c r="R106" s="144"/>
      <c r="S106" s="144"/>
      <c r="T106" s="245"/>
      <c r="U106" s="423"/>
      <c r="V106" s="281"/>
      <c r="W106" s="144"/>
      <c r="X106" s="144"/>
      <c r="Y106" s="144"/>
      <c r="Z106" s="144"/>
      <c r="AA106" s="144"/>
      <c r="AB106" s="245"/>
      <c r="AC106" s="422"/>
      <c r="AD106" s="281"/>
      <c r="AE106" s="144"/>
      <c r="AF106" s="144"/>
      <c r="AG106" s="144"/>
      <c r="AH106" s="144"/>
      <c r="AI106" s="144"/>
      <c r="AJ106" s="245"/>
      <c r="AK106" s="422"/>
      <c r="AL106" s="281"/>
      <c r="AM106" s="144"/>
      <c r="AN106" s="144"/>
      <c r="AO106" s="144"/>
      <c r="AP106" s="144"/>
      <c r="AQ106" s="144"/>
      <c r="AR106" s="144"/>
      <c r="AS106" s="245"/>
      <c r="AT106" s="424"/>
      <c r="AU106" s="281"/>
      <c r="AV106" s="144"/>
      <c r="AW106" s="144"/>
      <c r="AX106" s="144"/>
      <c r="AY106" s="144"/>
      <c r="AZ106" s="144"/>
      <c r="BA106" s="245"/>
      <c r="BB106" s="422"/>
      <c r="BC106" s="281"/>
      <c r="BD106" s="144"/>
      <c r="BE106" s="144"/>
      <c r="BF106" s="144"/>
      <c r="BG106" s="144"/>
      <c r="BH106" s="144"/>
      <c r="BI106" s="245"/>
      <c r="BJ106" s="423"/>
      <c r="BK106" s="281"/>
      <c r="BL106" s="144"/>
      <c r="BM106" s="144"/>
      <c r="BN106" s="144"/>
      <c r="BO106" s="144"/>
      <c r="BP106" s="144"/>
      <c r="BQ106" s="144"/>
      <c r="BR106" s="245"/>
      <c r="BS106" s="423"/>
      <c r="BT106" s="281"/>
      <c r="BU106" s="144"/>
      <c r="BV106" s="144"/>
      <c r="BW106" s="144"/>
      <c r="BX106" s="144"/>
      <c r="BY106" s="144"/>
      <c r="BZ106" s="245"/>
      <c r="CA106" s="373"/>
      <c r="CB106" s="281"/>
      <c r="CC106" s="144"/>
      <c r="CD106" s="144"/>
      <c r="CE106" s="144"/>
      <c r="CF106" s="144"/>
      <c r="CG106" s="144"/>
      <c r="CH106" s="245"/>
      <c r="CI106" s="373"/>
      <c r="CJ106" s="281"/>
      <c r="CK106" s="144"/>
      <c r="CL106" s="144"/>
      <c r="CM106" s="144"/>
      <c r="CN106" s="144"/>
      <c r="CO106" s="144"/>
      <c r="CP106" s="245"/>
      <c r="CQ106" s="422"/>
      <c r="CR106" s="281"/>
      <c r="CS106" s="144"/>
      <c r="CT106" s="144"/>
      <c r="CU106" s="144" t="n">
        <f aca="false">+CR106-CS106</f>
        <v>0</v>
      </c>
      <c r="CV106" s="144" t="n">
        <f aca="false">+CR106-CT106</f>
        <v>0</v>
      </c>
      <c r="CW106" s="144"/>
      <c r="CX106" s="245" t="str">
        <f aca="false">IFERROR(CR106/CW106-1, "-")</f>
        <v>-</v>
      </c>
      <c r="CY106" s="425"/>
      <c r="CZ106" s="426"/>
      <c r="DA106" s="144"/>
      <c r="DB106" s="144"/>
      <c r="DC106" s="144"/>
      <c r="DD106" s="144"/>
      <c r="DE106" s="245" t="e">
        <f aca="false">+CZ106/DD106-1</f>
        <v>#DIV/0!</v>
      </c>
      <c r="DF106" s="245" t="e">
        <f aca="false">+DA106/DD106-1</f>
        <v>#DIV/0!</v>
      </c>
      <c r="DG106" s="427" t="e">
        <f aca="false">+DB106/DD106-1</f>
        <v>#DIV/0!</v>
      </c>
      <c r="DH106" s="427" t="e">
        <f aca="false">+DC106/DD106-1</f>
        <v>#DIV/0!</v>
      </c>
      <c r="DI106" s="413"/>
      <c r="DJ106" s="117" t="n">
        <f aca="false">SUM(D106,J106,P106,V106,AD106,AL106,AU106,BC106,BK106,BT106,CB106,CJ106)-CR106</f>
        <v>0</v>
      </c>
      <c r="DK106" s="117" t="n">
        <f aca="false">SUM(E106,K106,Q106,W106,AE106,AM106,AV106,BD106,BL106,BU106,CC106,CK106)-CS106</f>
        <v>0</v>
      </c>
      <c r="DL106" s="117" t="n">
        <f aca="false">SUM(G106,M106,S106,AA106,AI106,AR106,AZ106,BH106,BQ106,BY106,CG106,CO106)-CW106</f>
        <v>0</v>
      </c>
      <c r="DM106" s="117" t="n">
        <f aca="false">SUM(D106,J106,P106,V106,AD106,AL106,AU106,BC106,,BN106,BV106,CD106,CL106)-CT106</f>
        <v>0</v>
      </c>
      <c r="DN106" s="413"/>
      <c r="DO106" s="413"/>
      <c r="DP106" s="428" t="n">
        <f aca="false">SUM(DP107:DP110)</f>
        <v>1618840430</v>
      </c>
      <c r="DQ106" s="415" t="n">
        <f aca="false">-CR106+DP106/10^6</f>
        <v>1618.84043</v>
      </c>
      <c r="DR106" s="117" t="n">
        <f aca="false">SUM(E106,K106,Q106,W106,AE106,AM106,AV106,BD106,BL106,BU106,CC106,CK106)-CS106</f>
        <v>0</v>
      </c>
      <c r="DS106" s="117" t="n">
        <f aca="false">SUM(D106,J106,P106,V106,AD106,AL106,AU106,BC106,,BN106,BV106,CD106,CL106)-CT106</f>
        <v>0</v>
      </c>
      <c r="DT106" s="416"/>
      <c r="DU106" s="417" t="n">
        <v>172.377982</v>
      </c>
      <c r="DV106" s="418" t="n">
        <f aca="false">DU106-CJ106</f>
        <v>172.377982</v>
      </c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  <c r="EB106" s="419"/>
    </row>
    <row r="107" s="441" customFormat="true" ht="15.75" hidden="true" customHeight="true" outlineLevel="1" collapsed="false">
      <c r="A107" s="286"/>
      <c r="B107" s="444" t="s">
        <v>291</v>
      </c>
      <c r="C107" s="431" t="s">
        <v>292</v>
      </c>
      <c r="D107" s="432"/>
      <c r="E107" s="433"/>
      <c r="F107" s="433"/>
      <c r="G107" s="433"/>
      <c r="H107" s="434"/>
      <c r="I107" s="422"/>
      <c r="J107" s="432"/>
      <c r="K107" s="433"/>
      <c r="L107" s="433"/>
      <c r="M107" s="433"/>
      <c r="N107" s="434"/>
      <c r="O107" s="435"/>
      <c r="P107" s="432"/>
      <c r="Q107" s="433"/>
      <c r="R107" s="433"/>
      <c r="S107" s="433"/>
      <c r="T107" s="434"/>
      <c r="U107" s="423"/>
      <c r="V107" s="432"/>
      <c r="W107" s="433"/>
      <c r="X107" s="433"/>
      <c r="Y107" s="433"/>
      <c r="Z107" s="433"/>
      <c r="AA107" s="433"/>
      <c r="AB107" s="434"/>
      <c r="AC107" s="435"/>
      <c r="AD107" s="432"/>
      <c r="AE107" s="433"/>
      <c r="AF107" s="433"/>
      <c r="AG107" s="433"/>
      <c r="AH107" s="433"/>
      <c r="AI107" s="433"/>
      <c r="AJ107" s="434"/>
      <c r="AK107" s="435"/>
      <c r="AL107" s="432"/>
      <c r="AM107" s="433"/>
      <c r="AN107" s="433"/>
      <c r="AO107" s="433"/>
      <c r="AP107" s="433"/>
      <c r="AQ107" s="433"/>
      <c r="AR107" s="433"/>
      <c r="AS107" s="434"/>
      <c r="AT107" s="424"/>
      <c r="AU107" s="432"/>
      <c r="AV107" s="433"/>
      <c r="AW107" s="144"/>
      <c r="AX107" s="433"/>
      <c r="AY107" s="433"/>
      <c r="AZ107" s="433"/>
      <c r="BA107" s="434"/>
      <c r="BB107" s="435"/>
      <c r="BC107" s="432"/>
      <c r="BD107" s="433"/>
      <c r="BE107" s="144"/>
      <c r="BF107" s="433"/>
      <c r="BG107" s="433"/>
      <c r="BH107" s="433"/>
      <c r="BI107" s="434"/>
      <c r="BJ107" s="436"/>
      <c r="BK107" s="432"/>
      <c r="BL107" s="433"/>
      <c r="BM107" s="144"/>
      <c r="BN107" s="144"/>
      <c r="BO107" s="433"/>
      <c r="BP107" s="433"/>
      <c r="BQ107" s="433"/>
      <c r="BR107" s="434"/>
      <c r="BS107" s="436"/>
      <c r="BT107" s="432"/>
      <c r="BU107" s="433"/>
      <c r="BV107" s="144"/>
      <c r="BW107" s="433"/>
      <c r="BX107" s="433"/>
      <c r="BY107" s="433"/>
      <c r="BZ107" s="434"/>
      <c r="CA107" s="373"/>
      <c r="CB107" s="432"/>
      <c r="CC107" s="433"/>
      <c r="CD107" s="144"/>
      <c r="CE107" s="433"/>
      <c r="CF107" s="433"/>
      <c r="CG107" s="433"/>
      <c r="CH107" s="434"/>
      <c r="CI107" s="373"/>
      <c r="CJ107" s="432"/>
      <c r="CK107" s="433"/>
      <c r="CL107" s="433"/>
      <c r="CM107" s="433"/>
      <c r="CN107" s="433"/>
      <c r="CO107" s="433"/>
      <c r="CP107" s="434"/>
      <c r="CQ107" s="435"/>
      <c r="CR107" s="432"/>
      <c r="CS107" s="433"/>
      <c r="CT107" s="433"/>
      <c r="CU107" s="433" t="n">
        <f aca="false">+CR107-CS107</f>
        <v>0</v>
      </c>
      <c r="CV107" s="433" t="n">
        <f aca="false">+CR107-CT107</f>
        <v>0</v>
      </c>
      <c r="CW107" s="433"/>
      <c r="CX107" s="434" t="str">
        <f aca="false">IFERROR(CR107/CW107-1, "-")</f>
        <v>-</v>
      </c>
      <c r="CY107" s="425"/>
      <c r="CZ107" s="437"/>
      <c r="DA107" s="433"/>
      <c r="DB107" s="433"/>
      <c r="DC107" s="144"/>
      <c r="DD107" s="433"/>
      <c r="DE107" s="434" t="e">
        <f aca="false">+CZ107/DD107-1</f>
        <v>#DIV/0!</v>
      </c>
      <c r="DF107" s="434" t="e">
        <f aca="false">+DA107/DD107-1</f>
        <v>#DIV/0!</v>
      </c>
      <c r="DG107" s="438" t="e">
        <f aca="false">+DB107/DD107-1</f>
        <v>#DIV/0!</v>
      </c>
      <c r="DH107" s="438" t="e">
        <f aca="false">+DC107/DD107-1</f>
        <v>#DIV/0!</v>
      </c>
      <c r="DI107" s="413"/>
      <c r="DJ107" s="117" t="n">
        <f aca="false">SUM(D107,J107,P107,V107,AD107,AL107,AU107,BC107,BK107,BT107,CB107,CJ107)-CR107</f>
        <v>0</v>
      </c>
      <c r="DK107" s="117" t="n">
        <f aca="false">SUM(E107,K107,Q107,W107,AE107,AM107,AV107,BD107,BL107,BU107,CC107,CK107)-CS107</f>
        <v>0</v>
      </c>
      <c r="DL107" s="117" t="n">
        <f aca="false">SUM(G107,M107,S107,AA107,AI107,AR107,AZ107,BH107,BQ107,BY107,CG107,CO107)-CW107</f>
        <v>0</v>
      </c>
      <c r="DM107" s="117" t="n">
        <f aca="false">SUM(D107,J107,P107,V107,AD107,AL107,AU107,BC107,,BN107,BV107,CD107,CL107)-CT107</f>
        <v>0</v>
      </c>
      <c r="DN107" s="413"/>
      <c r="DO107" s="413"/>
      <c r="DP107" s="439" t="n">
        <v>72772406</v>
      </c>
      <c r="DQ107" s="415" t="n">
        <f aca="false">-CR107+DP107/10^6</f>
        <v>72.772406</v>
      </c>
      <c r="DR107" s="117" t="n">
        <f aca="false">SUM(E107,K107,Q107,W107,AE107,AM107,AV107,BD107,BL107,BU107,CC107,CK107)-CS107</f>
        <v>0</v>
      </c>
      <c r="DS107" s="117" t="n">
        <f aca="false">SUM(D107,J107,P107,V107,AD107,AL107,AU107,BC107,,BN107,BV107,CD107,CL107)-CT107</f>
        <v>0</v>
      </c>
      <c r="DT107" s="416"/>
      <c r="DU107" s="440" t="n">
        <v>3.008344</v>
      </c>
      <c r="DV107" s="418" t="n">
        <f aca="false">DU107-CJ107</f>
        <v>3.008344</v>
      </c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  <c r="EB107" s="419"/>
    </row>
    <row r="108" s="441" customFormat="true" ht="15.75" hidden="true" customHeight="true" outlineLevel="1" collapsed="false">
      <c r="A108" s="286"/>
      <c r="B108" s="444" t="s">
        <v>293</v>
      </c>
      <c r="C108" s="431" t="s">
        <v>294</v>
      </c>
      <c r="D108" s="432"/>
      <c r="E108" s="433"/>
      <c r="F108" s="433"/>
      <c r="G108" s="433"/>
      <c r="H108" s="434"/>
      <c r="I108" s="422"/>
      <c r="J108" s="432"/>
      <c r="K108" s="433"/>
      <c r="L108" s="433"/>
      <c r="M108" s="433"/>
      <c r="N108" s="434"/>
      <c r="O108" s="435"/>
      <c r="P108" s="432"/>
      <c r="Q108" s="433"/>
      <c r="R108" s="433"/>
      <c r="S108" s="433"/>
      <c r="T108" s="434"/>
      <c r="U108" s="423"/>
      <c r="V108" s="432"/>
      <c r="W108" s="433"/>
      <c r="X108" s="433"/>
      <c r="Y108" s="433"/>
      <c r="Z108" s="433"/>
      <c r="AA108" s="433"/>
      <c r="AB108" s="434"/>
      <c r="AC108" s="435"/>
      <c r="AD108" s="432"/>
      <c r="AE108" s="433"/>
      <c r="AF108" s="433"/>
      <c r="AG108" s="433"/>
      <c r="AH108" s="433"/>
      <c r="AI108" s="433"/>
      <c r="AJ108" s="434"/>
      <c r="AK108" s="435"/>
      <c r="AL108" s="432"/>
      <c r="AM108" s="433"/>
      <c r="AN108" s="433"/>
      <c r="AO108" s="433"/>
      <c r="AP108" s="433"/>
      <c r="AQ108" s="433"/>
      <c r="AR108" s="433"/>
      <c r="AS108" s="434"/>
      <c r="AT108" s="424"/>
      <c r="AU108" s="432"/>
      <c r="AV108" s="433"/>
      <c r="AW108" s="144"/>
      <c r="AX108" s="433"/>
      <c r="AY108" s="433"/>
      <c r="AZ108" s="433"/>
      <c r="BA108" s="434"/>
      <c r="BB108" s="435"/>
      <c r="BC108" s="432"/>
      <c r="BD108" s="433"/>
      <c r="BE108" s="144"/>
      <c r="BF108" s="433"/>
      <c r="BG108" s="433"/>
      <c r="BH108" s="433"/>
      <c r="BI108" s="434"/>
      <c r="BJ108" s="436"/>
      <c r="BK108" s="432"/>
      <c r="BL108" s="433"/>
      <c r="BM108" s="144"/>
      <c r="BN108" s="144"/>
      <c r="BO108" s="433"/>
      <c r="BP108" s="433"/>
      <c r="BQ108" s="433"/>
      <c r="BR108" s="434"/>
      <c r="BS108" s="436"/>
      <c r="BT108" s="432"/>
      <c r="BU108" s="433"/>
      <c r="BV108" s="144"/>
      <c r="BW108" s="433"/>
      <c r="BX108" s="433"/>
      <c r="BY108" s="433"/>
      <c r="BZ108" s="434"/>
      <c r="CA108" s="373"/>
      <c r="CB108" s="432"/>
      <c r="CC108" s="433"/>
      <c r="CD108" s="144"/>
      <c r="CE108" s="433"/>
      <c r="CF108" s="433"/>
      <c r="CG108" s="433"/>
      <c r="CH108" s="434"/>
      <c r="CI108" s="373"/>
      <c r="CJ108" s="432"/>
      <c r="CK108" s="433"/>
      <c r="CL108" s="433"/>
      <c r="CM108" s="433"/>
      <c r="CN108" s="433"/>
      <c r="CO108" s="433"/>
      <c r="CP108" s="434"/>
      <c r="CQ108" s="435"/>
      <c r="CR108" s="432"/>
      <c r="CS108" s="433"/>
      <c r="CT108" s="433"/>
      <c r="CU108" s="433" t="n">
        <f aca="false">+CR108-CS108</f>
        <v>0</v>
      </c>
      <c r="CV108" s="433" t="n">
        <f aca="false">+CR108-CT108</f>
        <v>0</v>
      </c>
      <c r="CW108" s="433"/>
      <c r="CX108" s="434" t="str">
        <f aca="false">IFERROR(CR108/CW108-1, "-")</f>
        <v>-</v>
      </c>
      <c r="CY108" s="425"/>
      <c r="CZ108" s="437"/>
      <c r="DA108" s="433"/>
      <c r="DB108" s="433"/>
      <c r="DC108" s="144"/>
      <c r="DD108" s="433"/>
      <c r="DE108" s="434" t="e">
        <f aca="false">+CZ108/DD108-1</f>
        <v>#DIV/0!</v>
      </c>
      <c r="DF108" s="434" t="e">
        <f aca="false">+DA108/DD108-1</f>
        <v>#DIV/0!</v>
      </c>
      <c r="DG108" s="438" t="e">
        <f aca="false">+DB108/DD108-1</f>
        <v>#DIV/0!</v>
      </c>
      <c r="DH108" s="438" t="e">
        <f aca="false">+DC108/DD108-1</f>
        <v>#DIV/0!</v>
      </c>
      <c r="DI108" s="413"/>
      <c r="DJ108" s="117" t="n">
        <f aca="false">SUM(D108,J108,P108,V108,AD108,AL108,AU108,BC108,BK108,BT108,CB108,CJ108)-CR108</f>
        <v>0</v>
      </c>
      <c r="DK108" s="117" t="n">
        <f aca="false">SUM(E108,K108,Q108,W108,AE108,AM108,AV108,BD108,BL108,BU108,CC108,CK108)-CS108</f>
        <v>0</v>
      </c>
      <c r="DL108" s="117" t="n">
        <f aca="false">SUM(G108,M108,S108,AA108,AI108,AR108,AZ108,BH108,BQ108,BY108,CG108,CO108)-CW108</f>
        <v>0</v>
      </c>
      <c r="DM108" s="117" t="n">
        <f aca="false">SUM(D108,J108,P108,V108,AD108,AL108,AU108,BC108,,BN108,BV108,CD108,CL108)-CT108</f>
        <v>0</v>
      </c>
      <c r="DN108" s="413"/>
      <c r="DO108" s="413"/>
      <c r="DP108" s="439" t="n">
        <v>-20542144</v>
      </c>
      <c r="DQ108" s="415" t="n">
        <f aca="false">-CR108+DP108/10^6</f>
        <v>-20.542144</v>
      </c>
      <c r="DR108" s="117" t="n">
        <f aca="false">SUM(E108,K108,Q108,W108,AE108,AM108,AV108,BD108,BL108,BU108,CC108,CK108)-CS108</f>
        <v>0</v>
      </c>
      <c r="DS108" s="117" t="n">
        <f aca="false">SUM(D108,J108,P108,V108,AD108,AL108,AU108,BC108,,BN108,BV108,CD108,CL108)-CT108</f>
        <v>0</v>
      </c>
      <c r="DT108" s="416"/>
      <c r="DU108" s="440" t="n">
        <v>-0.498401</v>
      </c>
      <c r="DV108" s="418" t="n">
        <f aca="false">DU108-CJ108</f>
        <v>-0.498401</v>
      </c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  <c r="EB108" s="419"/>
    </row>
    <row r="109" s="441" customFormat="true" ht="15.75" hidden="true" customHeight="true" outlineLevel="1" collapsed="false">
      <c r="A109" s="286"/>
      <c r="B109" s="444" t="s">
        <v>295</v>
      </c>
      <c r="C109" s="431" t="s">
        <v>296</v>
      </c>
      <c r="D109" s="432"/>
      <c r="E109" s="433"/>
      <c r="F109" s="433"/>
      <c r="G109" s="433"/>
      <c r="H109" s="434"/>
      <c r="I109" s="422"/>
      <c r="J109" s="432"/>
      <c r="K109" s="433"/>
      <c r="L109" s="433"/>
      <c r="M109" s="433"/>
      <c r="N109" s="434"/>
      <c r="O109" s="435"/>
      <c r="P109" s="432"/>
      <c r="Q109" s="433"/>
      <c r="R109" s="433"/>
      <c r="S109" s="433"/>
      <c r="T109" s="434"/>
      <c r="U109" s="423"/>
      <c r="V109" s="432"/>
      <c r="W109" s="433"/>
      <c r="X109" s="433"/>
      <c r="Y109" s="433"/>
      <c r="Z109" s="433"/>
      <c r="AA109" s="433"/>
      <c r="AB109" s="434"/>
      <c r="AC109" s="435"/>
      <c r="AD109" s="432"/>
      <c r="AE109" s="433"/>
      <c r="AF109" s="433"/>
      <c r="AG109" s="433"/>
      <c r="AH109" s="433"/>
      <c r="AI109" s="433"/>
      <c r="AJ109" s="434"/>
      <c r="AK109" s="435"/>
      <c r="AL109" s="432"/>
      <c r="AM109" s="433"/>
      <c r="AN109" s="433"/>
      <c r="AO109" s="433"/>
      <c r="AP109" s="433"/>
      <c r="AQ109" s="433"/>
      <c r="AR109" s="433"/>
      <c r="AS109" s="434"/>
      <c r="AT109" s="424"/>
      <c r="AU109" s="432"/>
      <c r="AV109" s="433"/>
      <c r="AW109" s="144"/>
      <c r="AX109" s="433"/>
      <c r="AY109" s="433"/>
      <c r="AZ109" s="433"/>
      <c r="BA109" s="434"/>
      <c r="BB109" s="435"/>
      <c r="BC109" s="432"/>
      <c r="BD109" s="433"/>
      <c r="BE109" s="144"/>
      <c r="BF109" s="433"/>
      <c r="BG109" s="433"/>
      <c r="BH109" s="433"/>
      <c r="BI109" s="434"/>
      <c r="BJ109" s="436"/>
      <c r="BK109" s="432"/>
      <c r="BL109" s="433"/>
      <c r="BM109" s="144"/>
      <c r="BN109" s="144"/>
      <c r="BO109" s="433"/>
      <c r="BP109" s="433"/>
      <c r="BQ109" s="433"/>
      <c r="BR109" s="434"/>
      <c r="BS109" s="436"/>
      <c r="BT109" s="432"/>
      <c r="BU109" s="433"/>
      <c r="BV109" s="144"/>
      <c r="BW109" s="433"/>
      <c r="BX109" s="433"/>
      <c r="BY109" s="433"/>
      <c r="BZ109" s="434"/>
      <c r="CA109" s="373"/>
      <c r="CB109" s="432"/>
      <c r="CC109" s="433"/>
      <c r="CD109" s="144"/>
      <c r="CE109" s="433"/>
      <c r="CF109" s="433"/>
      <c r="CG109" s="433"/>
      <c r="CH109" s="434"/>
      <c r="CI109" s="373"/>
      <c r="CJ109" s="432"/>
      <c r="CK109" s="433"/>
      <c r="CL109" s="433"/>
      <c r="CM109" s="433"/>
      <c r="CN109" s="433"/>
      <c r="CO109" s="433"/>
      <c r="CP109" s="434"/>
      <c r="CQ109" s="435"/>
      <c r="CR109" s="432"/>
      <c r="CS109" s="433"/>
      <c r="CT109" s="433"/>
      <c r="CU109" s="433" t="n">
        <f aca="false">+CR109-CS109</f>
        <v>0</v>
      </c>
      <c r="CV109" s="433" t="n">
        <f aca="false">+CR109-CT109</f>
        <v>0</v>
      </c>
      <c r="CW109" s="433"/>
      <c r="CX109" s="434" t="str">
        <f aca="false">IFERROR(CR109/CW109-1, "-")</f>
        <v>-</v>
      </c>
      <c r="CY109" s="425"/>
      <c r="CZ109" s="437"/>
      <c r="DA109" s="433"/>
      <c r="DB109" s="433"/>
      <c r="DC109" s="144"/>
      <c r="DD109" s="433"/>
      <c r="DE109" s="434" t="e">
        <f aca="false">+CZ109/DD109-1</f>
        <v>#DIV/0!</v>
      </c>
      <c r="DF109" s="434" t="e">
        <f aca="false">+DA109/DD109-1</f>
        <v>#DIV/0!</v>
      </c>
      <c r="DG109" s="438" t="e">
        <f aca="false">+DB109/DD109-1</f>
        <v>#DIV/0!</v>
      </c>
      <c r="DH109" s="438" t="e">
        <f aca="false">+DC109/DD109-1</f>
        <v>#DIV/0!</v>
      </c>
      <c r="DI109" s="413"/>
      <c r="DJ109" s="117" t="n">
        <f aca="false">SUM(D109,J109,P109,V109,AD109,AL109,AU109,BC109,BK109,BT109,CB109,CJ109)-CR109</f>
        <v>0</v>
      </c>
      <c r="DK109" s="117" t="n">
        <f aca="false">SUM(E109,K109,Q109,W109,AE109,AM109,AV109,BD109,BL109,BU109,CC109,CK109)-CS109</f>
        <v>0</v>
      </c>
      <c r="DL109" s="117" t="n">
        <f aca="false">SUM(G109,M109,S109,AA109,AI109,AR109,AZ109,BH109,BQ109,BY109,CG109,CO109)-CW109</f>
        <v>0</v>
      </c>
      <c r="DM109" s="117" t="n">
        <f aca="false">SUM(D109,J109,P109,V109,AD109,AL109,AU109,BC109,,BN109,BV109,CD109,CL109)-CT109</f>
        <v>0</v>
      </c>
      <c r="DN109" s="413"/>
      <c r="DO109" s="413"/>
      <c r="DP109" s="439" t="n">
        <v>132091199</v>
      </c>
      <c r="DQ109" s="415" t="n">
        <f aca="false">-CR109+DP109/10^6</f>
        <v>132.091199</v>
      </c>
      <c r="DR109" s="117" t="n">
        <f aca="false">SUM(E109,K109,Q109,W109,AE109,AM109,AV109,BD109,BL109,BU109,CC109,CK109)-CS109</f>
        <v>0</v>
      </c>
      <c r="DS109" s="117" t="n">
        <f aca="false">SUM(D109,J109,P109,V109,AD109,AL109,AU109,BC109,,BN109,BV109,CD109,CL109)-CT109</f>
        <v>0</v>
      </c>
      <c r="DT109" s="416"/>
      <c r="DU109" s="440" t="n">
        <v>32.728114</v>
      </c>
      <c r="DV109" s="418" t="n">
        <f aca="false">DU109-CJ109</f>
        <v>32.728114</v>
      </c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  <c r="EB109" s="419"/>
    </row>
    <row r="110" s="535" customFormat="true" ht="15.75" hidden="true" customHeight="true" outlineLevel="1" collapsed="false">
      <c r="A110" s="518"/>
      <c r="B110" s="519" t="s">
        <v>297</v>
      </c>
      <c r="C110" s="431" t="s">
        <v>298</v>
      </c>
      <c r="D110" s="432"/>
      <c r="E110" s="528"/>
      <c r="F110" s="521"/>
      <c r="G110" s="521"/>
      <c r="H110" s="522"/>
      <c r="I110" s="523"/>
      <c r="J110" s="432"/>
      <c r="K110" s="528"/>
      <c r="L110" s="521"/>
      <c r="M110" s="521"/>
      <c r="N110" s="522"/>
      <c r="O110" s="524"/>
      <c r="P110" s="432"/>
      <c r="Q110" s="528"/>
      <c r="R110" s="521"/>
      <c r="S110" s="521"/>
      <c r="T110" s="522"/>
      <c r="U110" s="525"/>
      <c r="V110" s="442"/>
      <c r="W110" s="528"/>
      <c r="X110" s="528"/>
      <c r="Y110" s="521"/>
      <c r="Z110" s="521"/>
      <c r="AA110" s="521"/>
      <c r="AB110" s="522"/>
      <c r="AC110" s="524"/>
      <c r="AD110" s="442"/>
      <c r="AE110" s="528"/>
      <c r="AF110" s="528"/>
      <c r="AG110" s="521"/>
      <c r="AH110" s="521"/>
      <c r="AI110" s="521"/>
      <c r="AJ110" s="522"/>
      <c r="AK110" s="524"/>
      <c r="AL110" s="442"/>
      <c r="AM110" s="528"/>
      <c r="AN110" s="528"/>
      <c r="AO110" s="528"/>
      <c r="AP110" s="521"/>
      <c r="AQ110" s="521"/>
      <c r="AR110" s="521"/>
      <c r="AS110" s="522"/>
      <c r="AT110" s="527"/>
      <c r="AU110" s="442"/>
      <c r="AV110" s="528"/>
      <c r="AW110" s="135"/>
      <c r="AX110" s="521"/>
      <c r="AY110" s="521"/>
      <c r="AZ110" s="521"/>
      <c r="BA110" s="522"/>
      <c r="BB110" s="524"/>
      <c r="BC110" s="442"/>
      <c r="BD110" s="528"/>
      <c r="BE110" s="135"/>
      <c r="BF110" s="521"/>
      <c r="BG110" s="521"/>
      <c r="BH110" s="521"/>
      <c r="BI110" s="522"/>
      <c r="BJ110" s="529"/>
      <c r="BK110" s="442"/>
      <c r="BL110" s="528"/>
      <c r="BM110" s="135"/>
      <c r="BN110" s="135"/>
      <c r="BO110" s="521"/>
      <c r="BP110" s="521"/>
      <c r="BQ110" s="521"/>
      <c r="BR110" s="522"/>
      <c r="BS110" s="529"/>
      <c r="BT110" s="442"/>
      <c r="BU110" s="528"/>
      <c r="BV110" s="135"/>
      <c r="BW110" s="521"/>
      <c r="BX110" s="521"/>
      <c r="BY110" s="521"/>
      <c r="BZ110" s="522"/>
      <c r="CA110" s="373"/>
      <c r="CB110" s="432"/>
      <c r="CC110" s="528"/>
      <c r="CD110" s="135"/>
      <c r="CE110" s="521"/>
      <c r="CF110" s="521"/>
      <c r="CG110" s="521"/>
      <c r="CH110" s="522"/>
      <c r="CI110" s="373"/>
      <c r="CJ110" s="432"/>
      <c r="CK110" s="528"/>
      <c r="CL110" s="528"/>
      <c r="CM110" s="521"/>
      <c r="CN110" s="521"/>
      <c r="CO110" s="521"/>
      <c r="CP110" s="522"/>
      <c r="CQ110" s="524"/>
      <c r="CR110" s="520"/>
      <c r="CS110" s="521"/>
      <c r="CT110" s="521"/>
      <c r="CU110" s="521" t="n">
        <f aca="false">+CR110-CS110</f>
        <v>0</v>
      </c>
      <c r="CV110" s="521" t="n">
        <f aca="false">+CR110-CT110</f>
        <v>0</v>
      </c>
      <c r="CW110" s="521"/>
      <c r="CX110" s="522" t="str">
        <f aca="false">IFERROR(CR110/CW110-1, "-")</f>
        <v>-</v>
      </c>
      <c r="CY110" s="531"/>
      <c r="CZ110" s="542"/>
      <c r="DA110" s="528"/>
      <c r="DB110" s="528"/>
      <c r="DC110" s="135"/>
      <c r="DD110" s="528"/>
      <c r="DE110" s="522" t="e">
        <f aca="false">+CZ110/DD110-1</f>
        <v>#DIV/0!</v>
      </c>
      <c r="DF110" s="522" t="e">
        <f aca="false">+DA110/DD110-1</f>
        <v>#DIV/0!</v>
      </c>
      <c r="DG110" s="533" t="e">
        <f aca="false">+DB110/DD110-1</f>
        <v>#DIV/0!</v>
      </c>
      <c r="DH110" s="533" t="e">
        <f aca="false">+DC110/DD110-1</f>
        <v>#DIV/0!</v>
      </c>
      <c r="DI110" s="413"/>
      <c r="DJ110" s="117" t="n">
        <f aca="false">SUM(D110,J110,P110,V110,AD110,AL110,AU110,BC110,BK110,BT110,CB110,CJ110)-CR110</f>
        <v>0</v>
      </c>
      <c r="DK110" s="117" t="n">
        <f aca="false">SUM(E110,K110,Q110,W110,AE110,AM110,AV110,BD110,BL110,BU110,CC110,CK110)-CS110</f>
        <v>0</v>
      </c>
      <c r="DL110" s="117" t="n">
        <f aca="false">SUM(G110,M110,S110,AA110,AI110,AR110,AZ110,BH110,BQ110,BY110,CG110,CO110)-CW110</f>
        <v>0</v>
      </c>
      <c r="DM110" s="117" t="n">
        <f aca="false">SUM(D110,J110,P110,V110,AD110,AL110,AU110,BC110,,BN110,BV110,CD110,CL110)-CT110</f>
        <v>0</v>
      </c>
      <c r="DN110" s="413"/>
      <c r="DO110" s="413"/>
      <c r="DP110" s="439" t="n">
        <v>1434518969</v>
      </c>
      <c r="DQ110" s="415" t="n">
        <f aca="false">-CR110+DP110/10^6</f>
        <v>1434.518969</v>
      </c>
      <c r="DR110" s="117" t="n">
        <f aca="false">SUM(E110,K110,Q110,W110,AE110,AM110,AV110,BD110,BL110,BU110,CC110,CK110)-CS110</f>
        <v>0</v>
      </c>
      <c r="DS110" s="117" t="n">
        <f aca="false">SUM(D110,J110,P110,V110,AD110,AL110,AU110,BC110,,BN110,BV110,CD110,CL110)-CT110</f>
        <v>0</v>
      </c>
      <c r="DT110" s="416"/>
      <c r="DU110" s="440" t="n">
        <v>137.139925</v>
      </c>
      <c r="DV110" s="418" t="n">
        <f aca="false">DU110-CJ110</f>
        <v>137.139925</v>
      </c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  <c r="EB110" s="419"/>
    </row>
    <row r="111" customFormat="false" ht="7.5" hidden="false" customHeight="true" outlineLevel="0" collapsed="false">
      <c r="B111" s="543"/>
      <c r="C111" s="398" t="s">
        <v>299</v>
      </c>
      <c r="D111" s="544"/>
      <c r="E111" s="545"/>
      <c r="F111" s="545"/>
      <c r="G111" s="545"/>
      <c r="H111" s="546"/>
      <c r="I111" s="547"/>
      <c r="J111" s="544"/>
      <c r="K111" s="545"/>
      <c r="L111" s="545"/>
      <c r="M111" s="545"/>
      <c r="N111" s="546"/>
      <c r="O111" s="547"/>
      <c r="P111" s="544"/>
      <c r="Q111" s="545"/>
      <c r="R111" s="545"/>
      <c r="S111" s="545"/>
      <c r="T111" s="546"/>
      <c r="U111" s="548"/>
      <c r="V111" s="544"/>
      <c r="W111" s="545"/>
      <c r="X111" s="545"/>
      <c r="Y111" s="545"/>
      <c r="Z111" s="545"/>
      <c r="AA111" s="545"/>
      <c r="AB111" s="546"/>
      <c r="AC111" s="547"/>
      <c r="AD111" s="544"/>
      <c r="AE111" s="545"/>
      <c r="AF111" s="545"/>
      <c r="AG111" s="545"/>
      <c r="AH111" s="545"/>
      <c r="AI111" s="545"/>
      <c r="AJ111" s="546"/>
      <c r="AK111" s="547"/>
      <c r="AL111" s="544"/>
      <c r="AM111" s="545"/>
      <c r="AN111" s="545"/>
      <c r="AO111" s="545"/>
      <c r="AP111" s="545"/>
      <c r="AQ111" s="545"/>
      <c r="AR111" s="545"/>
      <c r="AS111" s="546"/>
      <c r="AT111" s="549"/>
      <c r="AU111" s="544"/>
      <c r="AV111" s="545"/>
      <c r="AW111" s="545"/>
      <c r="AX111" s="545"/>
      <c r="AY111" s="545"/>
      <c r="AZ111" s="545"/>
      <c r="BA111" s="546"/>
      <c r="BB111" s="547"/>
      <c r="BC111" s="544"/>
      <c r="BD111" s="545"/>
      <c r="BE111" s="545"/>
      <c r="BF111" s="545"/>
      <c r="BG111" s="545"/>
      <c r="BH111" s="545"/>
      <c r="BI111" s="546"/>
      <c r="BJ111" s="548"/>
      <c r="BK111" s="544"/>
      <c r="BL111" s="545"/>
      <c r="BM111" s="545"/>
      <c r="BN111" s="545"/>
      <c r="BO111" s="545"/>
      <c r="BP111" s="545"/>
      <c r="BQ111" s="545"/>
      <c r="BR111" s="546"/>
      <c r="BS111" s="548"/>
      <c r="BT111" s="544"/>
      <c r="BU111" s="545"/>
      <c r="BV111" s="545"/>
      <c r="BW111" s="545"/>
      <c r="BX111" s="545"/>
      <c r="BY111" s="545"/>
      <c r="BZ111" s="546"/>
      <c r="CA111" s="373"/>
      <c r="CB111" s="544"/>
      <c r="CC111" s="545"/>
      <c r="CD111" s="545"/>
      <c r="CE111" s="545"/>
      <c r="CF111" s="545"/>
      <c r="CG111" s="545"/>
      <c r="CH111" s="546"/>
      <c r="CI111" s="373"/>
      <c r="CJ111" s="544"/>
      <c r="CK111" s="545"/>
      <c r="CL111" s="545"/>
      <c r="CM111" s="545"/>
      <c r="CN111" s="545"/>
      <c r="CO111" s="545"/>
      <c r="CP111" s="546"/>
      <c r="CQ111" s="547"/>
      <c r="CR111" s="544"/>
      <c r="CS111" s="545"/>
      <c r="CT111" s="545"/>
      <c r="CU111" s="545" t="n">
        <f aca="false">+CR111-CS111</f>
        <v>0</v>
      </c>
      <c r="CV111" s="545" t="n">
        <f aca="false">+CR111-CT111</f>
        <v>0</v>
      </c>
      <c r="CW111" s="545"/>
      <c r="CX111" s="546" t="str">
        <f aca="false">IFERROR(CR111/CW111-1, "-")</f>
        <v>-</v>
      </c>
      <c r="CY111" s="425"/>
      <c r="CZ111" s="550"/>
      <c r="DA111" s="545"/>
      <c r="DB111" s="545"/>
      <c r="DC111" s="545"/>
      <c r="DD111" s="545"/>
      <c r="DE111" s="546"/>
      <c r="DF111" s="546"/>
      <c r="DG111" s="551"/>
      <c r="DH111" s="551"/>
      <c r="DI111" s="413"/>
      <c r="DJ111" s="117" t="n">
        <f aca="false">SUM(D111,J111,P111,V111,AD111,AL111,AU111,BC111,BK111,BT111,CB111,CJ111)-CR111</f>
        <v>0</v>
      </c>
      <c r="DK111" s="117" t="n">
        <f aca="false">SUM(E111,K111,Q111,W111,AE111,AM111,AV111,BD111,BL111,BU111,CC111,CK111)-CS111</f>
        <v>0</v>
      </c>
      <c r="DL111" s="117" t="n">
        <f aca="false">SUM(G111,M111,S111,AA111,AI111,AR111,AZ111,BH111,BQ111,BY111,CG111,CO111)-CW111</f>
        <v>0</v>
      </c>
      <c r="DM111" s="117" t="n">
        <f aca="false">SUM(D111,J111,P111,V111,AD111,AL111,AU111,BC111,,BN111,BV111,CD111,CL111)-CT111</f>
        <v>0</v>
      </c>
      <c r="DN111" s="413"/>
      <c r="DO111" s="413"/>
      <c r="DP111" s="552"/>
      <c r="DQ111" s="415" t="n">
        <f aca="false">-CR111+DP111/10^6</f>
        <v>0</v>
      </c>
      <c r="DR111" s="117" t="n">
        <f aca="false">SUM(E111,K111,Q111,W111,AE111,AM111,AV111,BD111,BL111,BU111,CC111,CK111)-CS111</f>
        <v>0</v>
      </c>
      <c r="DS111" s="117" t="n">
        <f aca="false">SUM(D111,J111,P111,V111,AD111,AL111,AU111,BC111,,BN111,BV111,CD111,CL111)-CT111</f>
        <v>0</v>
      </c>
      <c r="DT111" s="416"/>
      <c r="DU111" s="417"/>
      <c r="DV111" s="418" t="n">
        <f aca="false">DU111-CJ111</f>
        <v>0</v>
      </c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  <c r="EB111" s="419"/>
    </row>
    <row r="112" customFormat="false" ht="3" hidden="false" customHeight="true" outlineLevel="0" collapsed="false">
      <c r="B112" s="420"/>
      <c r="C112" s="398" t="s">
        <v>300</v>
      </c>
      <c r="D112" s="281"/>
      <c r="E112" s="144"/>
      <c r="F112" s="144"/>
      <c r="G112" s="144"/>
      <c r="H112" s="245"/>
      <c r="I112" s="422"/>
      <c r="J112" s="281"/>
      <c r="K112" s="144"/>
      <c r="L112" s="144"/>
      <c r="M112" s="144"/>
      <c r="N112" s="245"/>
      <c r="O112" s="422"/>
      <c r="P112" s="281"/>
      <c r="Q112" s="144"/>
      <c r="R112" s="144"/>
      <c r="S112" s="144"/>
      <c r="T112" s="245"/>
      <c r="U112" s="423"/>
      <c r="V112" s="281"/>
      <c r="W112" s="144"/>
      <c r="X112" s="144"/>
      <c r="Y112" s="144"/>
      <c r="Z112" s="144"/>
      <c r="AA112" s="144"/>
      <c r="AB112" s="245"/>
      <c r="AC112" s="422"/>
      <c r="AD112" s="281"/>
      <c r="AE112" s="144"/>
      <c r="AF112" s="144"/>
      <c r="AG112" s="144"/>
      <c r="AH112" s="144"/>
      <c r="AI112" s="144"/>
      <c r="AJ112" s="245"/>
      <c r="AK112" s="422"/>
      <c r="AL112" s="281"/>
      <c r="AM112" s="144"/>
      <c r="AN112" s="144"/>
      <c r="AO112" s="144"/>
      <c r="AP112" s="144"/>
      <c r="AQ112" s="144"/>
      <c r="AR112" s="144"/>
      <c r="AS112" s="245"/>
      <c r="AT112" s="424"/>
      <c r="AU112" s="281"/>
      <c r="AV112" s="144"/>
      <c r="AW112" s="144"/>
      <c r="AX112" s="144"/>
      <c r="AY112" s="144"/>
      <c r="AZ112" s="144"/>
      <c r="BA112" s="245"/>
      <c r="BB112" s="422"/>
      <c r="BC112" s="281"/>
      <c r="BD112" s="144"/>
      <c r="BE112" s="144"/>
      <c r="BF112" s="144"/>
      <c r="BG112" s="144"/>
      <c r="BH112" s="144"/>
      <c r="BI112" s="245"/>
      <c r="BJ112" s="423"/>
      <c r="BK112" s="281"/>
      <c r="BL112" s="144"/>
      <c r="BM112" s="144"/>
      <c r="BN112" s="144"/>
      <c r="BO112" s="144"/>
      <c r="BP112" s="144"/>
      <c r="BQ112" s="144"/>
      <c r="BR112" s="245"/>
      <c r="BS112" s="423"/>
      <c r="BT112" s="281"/>
      <c r="BU112" s="144"/>
      <c r="BV112" s="144"/>
      <c r="BW112" s="144"/>
      <c r="BX112" s="144"/>
      <c r="BY112" s="144"/>
      <c r="BZ112" s="245"/>
      <c r="CA112" s="373"/>
      <c r="CB112" s="281"/>
      <c r="CC112" s="144"/>
      <c r="CD112" s="144"/>
      <c r="CE112" s="144"/>
      <c r="CF112" s="144"/>
      <c r="CG112" s="144"/>
      <c r="CH112" s="245"/>
      <c r="CI112" s="373"/>
      <c r="CJ112" s="281"/>
      <c r="CK112" s="144"/>
      <c r="CL112" s="144"/>
      <c r="CM112" s="144"/>
      <c r="CN112" s="144"/>
      <c r="CO112" s="144"/>
      <c r="CP112" s="245"/>
      <c r="CQ112" s="422"/>
      <c r="CR112" s="281"/>
      <c r="CS112" s="144"/>
      <c r="CT112" s="144"/>
      <c r="CU112" s="144" t="n">
        <f aca="false">+CR112-CS112</f>
        <v>0</v>
      </c>
      <c r="CV112" s="144" t="n">
        <f aca="false">+CR112-CT112</f>
        <v>0</v>
      </c>
      <c r="CW112" s="144"/>
      <c r="CX112" s="245" t="str">
        <f aca="false">IFERROR(CR112/CW112-1, "-")</f>
        <v>-</v>
      </c>
      <c r="CY112" s="425"/>
      <c r="CZ112" s="426"/>
      <c r="DA112" s="144"/>
      <c r="DB112" s="144"/>
      <c r="DC112" s="144"/>
      <c r="DD112" s="144"/>
      <c r="DE112" s="245"/>
      <c r="DF112" s="245"/>
      <c r="DG112" s="427"/>
      <c r="DH112" s="427"/>
      <c r="DI112" s="413"/>
      <c r="DJ112" s="117" t="n">
        <f aca="false">SUM(D112,J112,P112,V112,AD112,AL112,AU112,BC112,BK112,BT112,CB112,CJ112)-CR112</f>
        <v>0</v>
      </c>
      <c r="DK112" s="117" t="n">
        <f aca="false">SUM(E112,K112,Q112,W112,AE112,AM112,AV112,BD112,BL112,BU112,CC112,CK112)-CS112</f>
        <v>0</v>
      </c>
      <c r="DL112" s="117" t="n">
        <f aca="false">SUM(G112,M112,S112,AA112,AI112,AR112,AZ112,BH112,BQ112,BY112,CG112,CO112)-CW112</f>
        <v>0</v>
      </c>
      <c r="DM112" s="117" t="n">
        <f aca="false">SUM(D112,J112,P112,V112,AD112,AL112,AU112,BC112,,BN112,BV112,CD112,CL112)-CT112</f>
        <v>0</v>
      </c>
      <c r="DN112" s="413"/>
      <c r="DO112" s="413"/>
      <c r="DP112" s="428"/>
      <c r="DQ112" s="415" t="n">
        <f aca="false">-CR112+DP112/10^6</f>
        <v>0</v>
      </c>
      <c r="DR112" s="117" t="n">
        <f aca="false">SUM(E112,K112,Q112,W112,AE112,AM112,AV112,BD112,BL112,BU112,CC112,CK112)-CS112</f>
        <v>0</v>
      </c>
      <c r="DS112" s="117" t="n">
        <f aca="false">SUM(D112,J112,P112,V112,AD112,AL112,AU112,BC112,,BN112,BV112,CD112,CL112)-CT112</f>
        <v>0</v>
      </c>
      <c r="DT112" s="416"/>
      <c r="DU112" s="417"/>
      <c r="DV112" s="418" t="n">
        <f aca="false">DU112-CJ112</f>
        <v>0</v>
      </c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  <c r="EB112" s="419"/>
    </row>
    <row r="113" customFormat="false" ht="18.75" hidden="false" customHeight="true" outlineLevel="0" collapsed="false">
      <c r="B113" s="429" t="s">
        <v>301</v>
      </c>
      <c r="C113" s="398" t="s">
        <v>302</v>
      </c>
      <c r="D113" s="399"/>
      <c r="E113" s="400"/>
      <c r="F113" s="400"/>
      <c r="G113" s="400"/>
      <c r="H113" s="401"/>
      <c r="I113" s="402"/>
      <c r="J113" s="399"/>
      <c r="K113" s="400"/>
      <c r="L113" s="400"/>
      <c r="M113" s="400"/>
      <c r="N113" s="401"/>
      <c r="O113" s="403"/>
      <c r="P113" s="399"/>
      <c r="Q113" s="400"/>
      <c r="R113" s="400"/>
      <c r="S113" s="400"/>
      <c r="T113" s="401"/>
      <c r="U113" s="404"/>
      <c r="V113" s="399"/>
      <c r="W113" s="400"/>
      <c r="X113" s="400"/>
      <c r="Y113" s="400"/>
      <c r="Z113" s="400"/>
      <c r="AA113" s="400"/>
      <c r="AB113" s="401"/>
      <c r="AC113" s="403"/>
      <c r="AD113" s="399"/>
      <c r="AE113" s="400"/>
      <c r="AF113" s="400"/>
      <c r="AG113" s="400"/>
      <c r="AH113" s="400"/>
      <c r="AI113" s="400"/>
      <c r="AJ113" s="401"/>
      <c r="AK113" s="403"/>
      <c r="AL113" s="399"/>
      <c r="AM113" s="400"/>
      <c r="AN113" s="400"/>
      <c r="AO113" s="400"/>
      <c r="AP113" s="400"/>
      <c r="AQ113" s="400"/>
      <c r="AR113" s="400"/>
      <c r="AS113" s="401"/>
      <c r="AT113" s="405"/>
      <c r="AU113" s="399"/>
      <c r="AV113" s="400"/>
      <c r="AW113" s="400"/>
      <c r="AX113" s="400"/>
      <c r="AY113" s="400"/>
      <c r="AZ113" s="400"/>
      <c r="BA113" s="401"/>
      <c r="BB113" s="403"/>
      <c r="BC113" s="399"/>
      <c r="BD113" s="400"/>
      <c r="BE113" s="400"/>
      <c r="BF113" s="400"/>
      <c r="BG113" s="400"/>
      <c r="BH113" s="400"/>
      <c r="BI113" s="401"/>
      <c r="BJ113" s="407"/>
      <c r="BK113" s="399"/>
      <c r="BL113" s="400"/>
      <c r="BM113" s="400"/>
      <c r="BN113" s="400"/>
      <c r="BO113" s="400"/>
      <c r="BP113" s="400"/>
      <c r="BQ113" s="400"/>
      <c r="BR113" s="401"/>
      <c r="BS113" s="407"/>
      <c r="BT113" s="399"/>
      <c r="BU113" s="400"/>
      <c r="BV113" s="400"/>
      <c r="BW113" s="400"/>
      <c r="BX113" s="400"/>
      <c r="BY113" s="400"/>
      <c r="BZ113" s="401"/>
      <c r="CA113" s="373"/>
      <c r="CB113" s="399"/>
      <c r="CC113" s="400"/>
      <c r="CD113" s="399"/>
      <c r="CE113" s="400"/>
      <c r="CF113" s="400"/>
      <c r="CG113" s="400"/>
      <c r="CH113" s="401"/>
      <c r="CI113" s="373"/>
      <c r="CJ113" s="399"/>
      <c r="CK113" s="400"/>
      <c r="CL113" s="399"/>
      <c r="CM113" s="400"/>
      <c r="CN113" s="400"/>
      <c r="CO113" s="400"/>
      <c r="CP113" s="401"/>
      <c r="CQ113" s="403"/>
      <c r="CR113" s="399"/>
      <c r="CS113" s="399"/>
      <c r="CT113" s="400"/>
      <c r="CU113" s="400" t="n">
        <f aca="false">+CR113-CS113</f>
        <v>0</v>
      </c>
      <c r="CV113" s="400" t="n">
        <f aca="false">+CR113-CT113</f>
        <v>0</v>
      </c>
      <c r="CW113" s="400"/>
      <c r="CX113" s="401" t="str">
        <f aca="false">IFERROR(CR113/CW113-1, "-")</f>
        <v>-</v>
      </c>
      <c r="CY113" s="410"/>
      <c r="CZ113" s="411"/>
      <c r="DA113" s="400"/>
      <c r="DB113" s="400"/>
      <c r="DC113" s="400"/>
      <c r="DD113" s="400"/>
      <c r="DE113" s="401" t="e">
        <f aca="false">+CZ113/DD113-1</f>
        <v>#DIV/0!</v>
      </c>
      <c r="DF113" s="401" t="e">
        <f aca="false">+DA113/DD113-1</f>
        <v>#DIV/0!</v>
      </c>
      <c r="DG113" s="412" t="e">
        <f aca="false">+DB113/DD113-1</f>
        <v>#DIV/0!</v>
      </c>
      <c r="DH113" s="412" t="e">
        <f aca="false">+DC113/DD113-1</f>
        <v>#DIV/0!</v>
      </c>
      <c r="DI113" s="413"/>
      <c r="DJ113" s="117" t="n">
        <f aca="false">SUM(D113,J113,P113,V113,AD113,AL113,AU113,BC113,BK113,BT113,CB113,CJ113)-CR113</f>
        <v>0</v>
      </c>
      <c r="DK113" s="117"/>
      <c r="DL113" s="117" t="n">
        <f aca="false">SUM(G113,M113,S113,AA113,AI113,AR113,AZ113,BH113,BQ113,BY113,CG113,CO113)-CW113</f>
        <v>0</v>
      </c>
      <c r="DM113" s="117" t="n">
        <f aca="false">SUM(D113,J113,P113,V113,AD113,AL113,AU113,BC113,,BN113,BV113,CD113,CL113)-CT113</f>
        <v>0</v>
      </c>
      <c r="DN113" s="413"/>
      <c r="DO113" s="413"/>
      <c r="DP113" s="414" t="e">
        <f aca="false">+DP114+DP137+DP140+DP151+DP161</f>
        <v>#VALUE!</v>
      </c>
      <c r="DQ113" s="415" t="e">
        <f aca="false">-CR113+DP113/10^6</f>
        <v>#VALUE!</v>
      </c>
      <c r="DR113" s="117" t="n">
        <f aca="false">SUM(E113,K113,Q113,W113,AE113,AM113,AV113,BD113,BL113,BU113,CC113,CK113)-CS113</f>
        <v>0</v>
      </c>
      <c r="DS113" s="117" t="n">
        <f aca="false">SUM(D113,J113,P113,V113,AD113,AL113,AU113,BC113,,BN113,BV113,CD113,CL113)-CT113</f>
        <v>0</v>
      </c>
      <c r="DT113" s="416"/>
      <c r="DU113" s="417" t="n">
        <v>418.826715</v>
      </c>
      <c r="DV113" s="418" t="n">
        <f aca="false">DU113-CJ113</f>
        <v>418.826715</v>
      </c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  <c r="EB113" s="419"/>
    </row>
    <row r="114" customFormat="false" ht="15.75" hidden="false" customHeight="true" outlineLevel="0" collapsed="false">
      <c r="B114" s="553" t="s">
        <v>303</v>
      </c>
      <c r="C114" s="398" t="s">
        <v>304</v>
      </c>
      <c r="D114" s="554"/>
      <c r="E114" s="555"/>
      <c r="F114" s="144"/>
      <c r="G114" s="144"/>
      <c r="H114" s="556"/>
      <c r="I114" s="557"/>
      <c r="J114" s="554"/>
      <c r="K114" s="555"/>
      <c r="L114" s="144"/>
      <c r="M114" s="144"/>
      <c r="N114" s="556"/>
      <c r="O114" s="557"/>
      <c r="P114" s="554"/>
      <c r="Q114" s="555"/>
      <c r="R114" s="144"/>
      <c r="S114" s="144"/>
      <c r="T114" s="556"/>
      <c r="U114" s="558"/>
      <c r="V114" s="554"/>
      <c r="W114" s="555"/>
      <c r="X114" s="555"/>
      <c r="Y114" s="144"/>
      <c r="Z114" s="144"/>
      <c r="AA114" s="144"/>
      <c r="AB114" s="556"/>
      <c r="AC114" s="557"/>
      <c r="AD114" s="554"/>
      <c r="AE114" s="555"/>
      <c r="AF114" s="555"/>
      <c r="AG114" s="144"/>
      <c r="AH114" s="144"/>
      <c r="AI114" s="144"/>
      <c r="AJ114" s="556"/>
      <c r="AK114" s="557"/>
      <c r="AL114" s="554"/>
      <c r="AM114" s="555"/>
      <c r="AN114" s="555"/>
      <c r="AO114" s="555"/>
      <c r="AP114" s="144"/>
      <c r="AQ114" s="144"/>
      <c r="AR114" s="144"/>
      <c r="AS114" s="556"/>
      <c r="AT114" s="559"/>
      <c r="AU114" s="554"/>
      <c r="AV114" s="555"/>
      <c r="AW114" s="555"/>
      <c r="AX114" s="144"/>
      <c r="AY114" s="144"/>
      <c r="AZ114" s="144"/>
      <c r="BA114" s="556"/>
      <c r="BB114" s="557"/>
      <c r="BC114" s="554"/>
      <c r="BD114" s="555"/>
      <c r="BE114" s="555"/>
      <c r="BF114" s="144"/>
      <c r="BG114" s="144"/>
      <c r="BH114" s="144"/>
      <c r="BI114" s="556"/>
      <c r="BJ114" s="558"/>
      <c r="BK114" s="554"/>
      <c r="BL114" s="555"/>
      <c r="BM114" s="555"/>
      <c r="BN114" s="555"/>
      <c r="BO114" s="144"/>
      <c r="BP114" s="144"/>
      <c r="BQ114" s="144"/>
      <c r="BR114" s="556"/>
      <c r="BS114" s="558"/>
      <c r="BT114" s="554"/>
      <c r="BU114" s="555"/>
      <c r="BV114" s="555"/>
      <c r="BW114" s="144"/>
      <c r="BX114" s="144"/>
      <c r="BY114" s="144"/>
      <c r="BZ114" s="556"/>
      <c r="CA114" s="373"/>
      <c r="CB114" s="554"/>
      <c r="CC114" s="555"/>
      <c r="CD114" s="555"/>
      <c r="CE114" s="144"/>
      <c r="CF114" s="144"/>
      <c r="CG114" s="144"/>
      <c r="CH114" s="556"/>
      <c r="CI114" s="373"/>
      <c r="CJ114" s="554"/>
      <c r="CK114" s="555"/>
      <c r="CL114" s="555"/>
      <c r="CM114" s="144"/>
      <c r="CN114" s="144"/>
      <c r="CO114" s="144"/>
      <c r="CP114" s="556"/>
      <c r="CQ114" s="557"/>
      <c r="CR114" s="554"/>
      <c r="CS114" s="555"/>
      <c r="CT114" s="555"/>
      <c r="CU114" s="555" t="n">
        <f aca="false">+CR114-CS114</f>
        <v>0</v>
      </c>
      <c r="CV114" s="555" t="n">
        <f aca="false">+CR114-CT114</f>
        <v>0</v>
      </c>
      <c r="CW114" s="555"/>
      <c r="CX114" s="556" t="str">
        <f aca="false">IFERROR(CR114/CW114-1, "-")</f>
        <v>-</v>
      </c>
      <c r="CY114" s="425"/>
      <c r="CZ114" s="560"/>
      <c r="DA114" s="555"/>
      <c r="DB114" s="555"/>
      <c r="DC114" s="555"/>
      <c r="DD114" s="555"/>
      <c r="DE114" s="556" t="e">
        <f aca="false">+CZ114/DD114-1</f>
        <v>#DIV/0!</v>
      </c>
      <c r="DF114" s="556" t="e">
        <f aca="false">+DA114/DD114-1</f>
        <v>#DIV/0!</v>
      </c>
      <c r="DG114" s="561" t="e">
        <f aca="false">+DB114/DD114-1</f>
        <v>#DIV/0!</v>
      </c>
      <c r="DH114" s="561" t="e">
        <f aca="false">+DC114/DD114-1</f>
        <v>#DIV/0!</v>
      </c>
      <c r="DI114" s="413"/>
      <c r="DJ114" s="117" t="n">
        <f aca="false">SUM(D114,J114,P114,V114,AD114,AL114,AU114,BC114,BK114,BT114,CB114,CJ114)-CR114</f>
        <v>0</v>
      </c>
      <c r="DK114" s="117" t="n">
        <f aca="false">SUM(E114,K114,Q114,W114,AE114,AM114,AV114,BD114,BL114,BU114,CC114,CK114)-CS114</f>
        <v>0</v>
      </c>
      <c r="DL114" s="117" t="n">
        <f aca="false">SUM(G114,M114,S114,AA114,AI114,AR114,AZ114,BH114,BQ114,BY114,CG114,CO114)-CW114</f>
        <v>0</v>
      </c>
      <c r="DM114" s="117" t="n">
        <f aca="false">SUM(D114,J114,P114,V114,AD114,AL114,AU114,BC114,,BN114,BV114,CD114,CL114)-CT114</f>
        <v>0</v>
      </c>
      <c r="DN114" s="413"/>
      <c r="DO114" s="413"/>
      <c r="DP114" s="562" t="n">
        <f aca="false">SUM(DP115:DP136)</f>
        <v>2158372265</v>
      </c>
      <c r="DQ114" s="415" t="n">
        <f aca="false">-CR114+DP114/10^6</f>
        <v>2158.372265</v>
      </c>
      <c r="DR114" s="117" t="n">
        <f aca="false">SUM(E114,K114,Q114,W114,AE114,AM114,AV114,BD114,BL114,BU114,CC114,CK114)-CS114</f>
        <v>0</v>
      </c>
      <c r="DS114" s="117" t="n">
        <f aca="false">SUM(D114,J114,P114,V114,AD114,AL114,AU114,BC114,,BN114,BV114,CD114,CL114)-CT114</f>
        <v>0</v>
      </c>
      <c r="DT114" s="416"/>
      <c r="DU114" s="417" t="n">
        <v>237.360317</v>
      </c>
      <c r="DV114" s="418" t="n">
        <f aca="false">DU114-CJ114</f>
        <v>237.360317</v>
      </c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  <c r="EB114" s="419"/>
    </row>
    <row r="115" s="441" customFormat="true" ht="15.75" hidden="true" customHeight="true" outlineLevel="1" collapsed="false">
      <c r="A115" s="286"/>
      <c r="B115" s="444" t="s">
        <v>305</v>
      </c>
      <c r="C115" s="431" t="s">
        <v>306</v>
      </c>
      <c r="D115" s="563"/>
      <c r="E115" s="433"/>
      <c r="F115" s="433"/>
      <c r="G115" s="433"/>
      <c r="H115" s="434"/>
      <c r="I115" s="422"/>
      <c r="J115" s="563"/>
      <c r="K115" s="433"/>
      <c r="L115" s="433"/>
      <c r="M115" s="433"/>
      <c r="N115" s="434"/>
      <c r="O115" s="435"/>
      <c r="P115" s="563"/>
      <c r="Q115" s="433"/>
      <c r="R115" s="433"/>
      <c r="S115" s="433"/>
      <c r="T115" s="434"/>
      <c r="U115" s="423"/>
      <c r="V115" s="563"/>
      <c r="W115" s="433"/>
      <c r="X115" s="433"/>
      <c r="Y115" s="433"/>
      <c r="Z115" s="433"/>
      <c r="AA115" s="433"/>
      <c r="AB115" s="434"/>
      <c r="AC115" s="435"/>
      <c r="AD115" s="563"/>
      <c r="AE115" s="433"/>
      <c r="AF115" s="433"/>
      <c r="AG115" s="433"/>
      <c r="AH115" s="433"/>
      <c r="AI115" s="433"/>
      <c r="AJ115" s="434"/>
      <c r="AK115" s="435"/>
      <c r="AL115" s="563"/>
      <c r="AM115" s="433"/>
      <c r="AN115" s="433"/>
      <c r="AO115" s="433"/>
      <c r="AP115" s="433"/>
      <c r="AQ115" s="433"/>
      <c r="AR115" s="433"/>
      <c r="AS115" s="434"/>
      <c r="AT115" s="424"/>
      <c r="AU115" s="563"/>
      <c r="AV115" s="433"/>
      <c r="AW115" s="433"/>
      <c r="AX115" s="433"/>
      <c r="AY115" s="433"/>
      <c r="AZ115" s="433"/>
      <c r="BA115" s="434"/>
      <c r="BB115" s="435"/>
      <c r="BC115" s="563"/>
      <c r="BD115" s="433"/>
      <c r="BE115" s="433"/>
      <c r="BF115" s="433"/>
      <c r="BG115" s="433"/>
      <c r="BH115" s="433"/>
      <c r="BI115" s="434"/>
      <c r="BJ115" s="436"/>
      <c r="BK115" s="563"/>
      <c r="BL115" s="433"/>
      <c r="BM115" s="433"/>
      <c r="BN115" s="433"/>
      <c r="BO115" s="433"/>
      <c r="BP115" s="433"/>
      <c r="BQ115" s="433"/>
      <c r="BR115" s="434"/>
      <c r="BS115" s="436"/>
      <c r="BT115" s="563"/>
      <c r="BU115" s="433"/>
      <c r="BV115" s="433"/>
      <c r="BW115" s="433"/>
      <c r="BX115" s="433"/>
      <c r="BY115" s="433"/>
      <c r="BZ115" s="434"/>
      <c r="CA115" s="373"/>
      <c r="CB115" s="563"/>
      <c r="CC115" s="433"/>
      <c r="CD115" s="433"/>
      <c r="CE115" s="433"/>
      <c r="CF115" s="433"/>
      <c r="CG115" s="433"/>
      <c r="CH115" s="434"/>
      <c r="CI115" s="373"/>
      <c r="CJ115" s="563"/>
      <c r="CK115" s="433"/>
      <c r="CL115" s="433"/>
      <c r="CM115" s="433"/>
      <c r="CN115" s="433"/>
      <c r="CO115" s="433"/>
      <c r="CP115" s="434"/>
      <c r="CQ115" s="435"/>
      <c r="CR115" s="432"/>
      <c r="CS115" s="433"/>
      <c r="CT115" s="433"/>
      <c r="CU115" s="433" t="n">
        <f aca="false">+CR115-CS115</f>
        <v>0</v>
      </c>
      <c r="CV115" s="433" t="n">
        <f aca="false">+CR115-CT115</f>
        <v>0</v>
      </c>
      <c r="CW115" s="433"/>
      <c r="CX115" s="434" t="str">
        <f aca="false">IFERROR(CR115/CW115-1, "-")</f>
        <v>-</v>
      </c>
      <c r="CY115" s="425"/>
      <c r="CZ115" s="437"/>
      <c r="DA115" s="433"/>
      <c r="DB115" s="433"/>
      <c r="DC115" s="433"/>
      <c r="DD115" s="433"/>
      <c r="DE115" s="434"/>
      <c r="DF115" s="434" t="e">
        <f aca="false">+DA115/DD115-1</f>
        <v>#DIV/0!</v>
      </c>
      <c r="DG115" s="438" t="e">
        <f aca="false">+DB115/DD115-1</f>
        <v>#DIV/0!</v>
      </c>
      <c r="DH115" s="438" t="e">
        <f aca="false">+DC115/DD115-1</f>
        <v>#DIV/0!</v>
      </c>
      <c r="DI115" s="413"/>
      <c r="DJ115" s="117" t="n">
        <f aca="false">SUM(D115,J115,P115,V115,AD115,AL115,AU115,BC115,BK115,BT115,CB115,CJ115)-CR115</f>
        <v>0</v>
      </c>
      <c r="DK115" s="117" t="n">
        <f aca="false">SUM(E115,K115,Q115,W115,AE115,AM115,AV115,BD115,BL115,BU115,CC115,CK115)-CS115</f>
        <v>0</v>
      </c>
      <c r="DL115" s="117" t="n">
        <f aca="false">SUM(G115,M115,S115,AA115,AI115,AR115,AZ115,BH115,BQ115,BY115,CG115,CO115)-CW115</f>
        <v>0</v>
      </c>
      <c r="DM115" s="117" t="n">
        <f aca="false">SUM(D115,J115,P115,V115,AD115,AL115,AU115,BC115,,BN115,BV115,CD115,CL115)-CT115</f>
        <v>0</v>
      </c>
      <c r="DN115" s="413"/>
      <c r="DO115" s="413"/>
      <c r="DP115" s="564" t="n">
        <v>12293253</v>
      </c>
      <c r="DQ115" s="415" t="n">
        <f aca="false">-CR115+DP115/10^6</f>
        <v>12.293253</v>
      </c>
      <c r="DR115" s="117" t="n">
        <f aca="false">SUM(E115,K115,Q115,W115,AE115,AM115,AV115,BD115,BL115,BU115,CC115,CK115)-CS115</f>
        <v>0</v>
      </c>
      <c r="DS115" s="117" t="n">
        <f aca="false">SUM(D115,J115,P115,V115,AD115,AL115,AU115,BC115,,BN115,BV115,CD115,CL115)-CT115</f>
        <v>0</v>
      </c>
      <c r="DT115" s="416"/>
      <c r="DU115" s="440" t="n">
        <v>-0.125</v>
      </c>
      <c r="DV115" s="418" t="n">
        <f aca="false">DU115-CJ115</f>
        <v>-0.125</v>
      </c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  <c r="EB115" s="419"/>
    </row>
    <row r="116" s="441" customFormat="true" ht="15.75" hidden="true" customHeight="true" outlineLevel="1" collapsed="false">
      <c r="A116" s="286"/>
      <c r="B116" s="444" t="s">
        <v>267</v>
      </c>
      <c r="C116" s="431" t="s">
        <v>307</v>
      </c>
      <c r="D116" s="432"/>
      <c r="E116" s="433"/>
      <c r="F116" s="433"/>
      <c r="G116" s="433"/>
      <c r="H116" s="434"/>
      <c r="I116" s="422"/>
      <c r="J116" s="432"/>
      <c r="K116" s="433"/>
      <c r="L116" s="433"/>
      <c r="M116" s="433"/>
      <c r="N116" s="434"/>
      <c r="O116" s="435"/>
      <c r="P116" s="432"/>
      <c r="Q116" s="433"/>
      <c r="R116" s="433"/>
      <c r="S116" s="433"/>
      <c r="T116" s="434"/>
      <c r="U116" s="423"/>
      <c r="V116" s="432"/>
      <c r="W116" s="433"/>
      <c r="X116" s="433"/>
      <c r="Y116" s="433"/>
      <c r="Z116" s="433"/>
      <c r="AA116" s="433"/>
      <c r="AB116" s="434"/>
      <c r="AC116" s="435"/>
      <c r="AD116" s="432"/>
      <c r="AE116" s="433"/>
      <c r="AF116" s="433"/>
      <c r="AG116" s="433"/>
      <c r="AH116" s="433"/>
      <c r="AI116" s="433"/>
      <c r="AJ116" s="434"/>
      <c r="AK116" s="435"/>
      <c r="AL116" s="432"/>
      <c r="AM116" s="433"/>
      <c r="AN116" s="433"/>
      <c r="AO116" s="433"/>
      <c r="AP116" s="433"/>
      <c r="AQ116" s="433"/>
      <c r="AR116" s="433"/>
      <c r="AS116" s="434"/>
      <c r="AT116" s="424"/>
      <c r="AU116" s="432"/>
      <c r="AV116" s="433"/>
      <c r="AW116" s="433"/>
      <c r="AX116" s="433"/>
      <c r="AY116" s="433"/>
      <c r="AZ116" s="433"/>
      <c r="BA116" s="434"/>
      <c r="BB116" s="435"/>
      <c r="BC116" s="432"/>
      <c r="BD116" s="433"/>
      <c r="BE116" s="433"/>
      <c r="BF116" s="433"/>
      <c r="BG116" s="433"/>
      <c r="BH116" s="433"/>
      <c r="BI116" s="434"/>
      <c r="BJ116" s="436"/>
      <c r="BK116" s="432"/>
      <c r="BL116" s="433"/>
      <c r="BM116" s="433"/>
      <c r="BN116" s="433"/>
      <c r="BO116" s="433"/>
      <c r="BP116" s="433"/>
      <c r="BQ116" s="433"/>
      <c r="BR116" s="434"/>
      <c r="BS116" s="436"/>
      <c r="BT116" s="432"/>
      <c r="BU116" s="433"/>
      <c r="BV116" s="433"/>
      <c r="BW116" s="433"/>
      <c r="BX116" s="433"/>
      <c r="BY116" s="433"/>
      <c r="BZ116" s="434"/>
      <c r="CA116" s="373"/>
      <c r="CB116" s="432"/>
      <c r="CC116" s="433"/>
      <c r="CD116" s="433"/>
      <c r="CE116" s="433"/>
      <c r="CF116" s="433"/>
      <c r="CG116" s="433"/>
      <c r="CH116" s="434"/>
      <c r="CI116" s="373"/>
      <c r="CJ116" s="432"/>
      <c r="CK116" s="433"/>
      <c r="CL116" s="433"/>
      <c r="CM116" s="433"/>
      <c r="CN116" s="433"/>
      <c r="CO116" s="433"/>
      <c r="CP116" s="434"/>
      <c r="CQ116" s="435"/>
      <c r="CR116" s="432"/>
      <c r="CS116" s="433"/>
      <c r="CT116" s="433"/>
      <c r="CU116" s="433" t="n">
        <f aca="false">+CR116-CS116</f>
        <v>0</v>
      </c>
      <c r="CV116" s="433" t="n">
        <f aca="false">+CR116-CT116</f>
        <v>0</v>
      </c>
      <c r="CW116" s="433"/>
      <c r="CX116" s="434" t="str">
        <f aca="false">IFERROR(CR116/CW116-1, "-")</f>
        <v>-</v>
      </c>
      <c r="CY116" s="425"/>
      <c r="CZ116" s="437"/>
      <c r="DA116" s="433"/>
      <c r="DB116" s="433"/>
      <c r="DC116" s="433"/>
      <c r="DD116" s="433"/>
      <c r="DE116" s="434"/>
      <c r="DF116" s="434"/>
      <c r="DG116" s="438"/>
      <c r="DH116" s="438"/>
      <c r="DI116" s="413"/>
      <c r="DJ116" s="117" t="n">
        <f aca="false">SUM(D116,J116,P116,V116,AD116,AL116,AU116,BC116,BK116,BT116,CB116,CJ116)-CR116</f>
        <v>0</v>
      </c>
      <c r="DK116" s="117" t="n">
        <f aca="false">SUM(E116,K116,Q116,W116,AE116,AM116,AV116,BD116,BL116,BU116,CC116,CK116)-CS116</f>
        <v>0</v>
      </c>
      <c r="DL116" s="117" t="n">
        <f aca="false">SUM(G116,M116,S116,AA116,AI116,AR116,AZ116,BH116,BQ116,BY116,CG116,CO116)-CW116</f>
        <v>0</v>
      </c>
      <c r="DM116" s="117" t="n">
        <f aca="false">SUM(D116,J116,P116,V116,AD116,AL116,AU116,BC116,,BN116,BV116,CD116,CL116)-CT116</f>
        <v>0</v>
      </c>
      <c r="DN116" s="413"/>
      <c r="DO116" s="413"/>
      <c r="DP116" s="439"/>
      <c r="DQ116" s="415" t="n">
        <f aca="false">-CR116+DP116/10^6</f>
        <v>0</v>
      </c>
      <c r="DR116" s="117" t="n">
        <f aca="false">SUM(E116,K116,Q116,W116,AE116,AM116,AV116,BD116,BL116,BU116,CC116,CK116)-CS116</f>
        <v>0</v>
      </c>
      <c r="DS116" s="117" t="n">
        <f aca="false">SUM(D116,J116,P116,V116,AD116,AL116,AU116,BC116,,BN116,BV116,CD116,CL116)-CT116</f>
        <v>0</v>
      </c>
      <c r="DT116" s="416"/>
      <c r="DU116" s="440"/>
      <c r="DV116" s="418" t="n">
        <f aca="false">DU116-CJ116</f>
        <v>0</v>
      </c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  <c r="EB116" s="419"/>
    </row>
    <row r="117" s="441" customFormat="true" ht="15.75" hidden="true" customHeight="true" outlineLevel="1" collapsed="false">
      <c r="A117" s="286"/>
      <c r="B117" s="444" t="s">
        <v>269</v>
      </c>
      <c r="C117" s="431" t="s">
        <v>308</v>
      </c>
      <c r="D117" s="432"/>
      <c r="E117" s="433"/>
      <c r="F117" s="433"/>
      <c r="G117" s="433"/>
      <c r="H117" s="434"/>
      <c r="I117" s="422"/>
      <c r="J117" s="432"/>
      <c r="K117" s="433"/>
      <c r="L117" s="433"/>
      <c r="M117" s="433"/>
      <c r="N117" s="434"/>
      <c r="O117" s="435"/>
      <c r="P117" s="432"/>
      <c r="Q117" s="433"/>
      <c r="R117" s="433"/>
      <c r="S117" s="433"/>
      <c r="T117" s="434"/>
      <c r="U117" s="423"/>
      <c r="V117" s="432"/>
      <c r="W117" s="433"/>
      <c r="X117" s="433"/>
      <c r="Y117" s="433"/>
      <c r="Z117" s="433"/>
      <c r="AA117" s="433"/>
      <c r="AB117" s="434"/>
      <c r="AC117" s="435"/>
      <c r="AD117" s="432"/>
      <c r="AE117" s="433"/>
      <c r="AF117" s="433"/>
      <c r="AG117" s="433"/>
      <c r="AH117" s="433"/>
      <c r="AI117" s="433"/>
      <c r="AJ117" s="434"/>
      <c r="AK117" s="435"/>
      <c r="AL117" s="432"/>
      <c r="AM117" s="433"/>
      <c r="AN117" s="433"/>
      <c r="AO117" s="433"/>
      <c r="AP117" s="433"/>
      <c r="AQ117" s="433"/>
      <c r="AR117" s="433"/>
      <c r="AS117" s="434"/>
      <c r="AT117" s="424"/>
      <c r="AU117" s="432"/>
      <c r="AV117" s="433"/>
      <c r="AW117" s="433"/>
      <c r="AX117" s="433"/>
      <c r="AY117" s="433"/>
      <c r="AZ117" s="433"/>
      <c r="BA117" s="434"/>
      <c r="BB117" s="435"/>
      <c r="BC117" s="432"/>
      <c r="BD117" s="433"/>
      <c r="BE117" s="433"/>
      <c r="BF117" s="433"/>
      <c r="BG117" s="433"/>
      <c r="BH117" s="433"/>
      <c r="BI117" s="434"/>
      <c r="BJ117" s="436"/>
      <c r="BK117" s="432"/>
      <c r="BL117" s="433"/>
      <c r="BM117" s="433"/>
      <c r="BN117" s="433"/>
      <c r="BO117" s="433"/>
      <c r="BP117" s="433"/>
      <c r="BQ117" s="433"/>
      <c r="BR117" s="434"/>
      <c r="BS117" s="436"/>
      <c r="BT117" s="432"/>
      <c r="BU117" s="433"/>
      <c r="BV117" s="433"/>
      <c r="BW117" s="433"/>
      <c r="BX117" s="433"/>
      <c r="BY117" s="433"/>
      <c r="BZ117" s="434"/>
      <c r="CA117" s="373"/>
      <c r="CB117" s="432"/>
      <c r="CC117" s="433"/>
      <c r="CD117" s="433"/>
      <c r="CE117" s="433"/>
      <c r="CF117" s="433"/>
      <c r="CG117" s="433"/>
      <c r="CH117" s="434"/>
      <c r="CI117" s="373"/>
      <c r="CJ117" s="432"/>
      <c r="CK117" s="433"/>
      <c r="CL117" s="433"/>
      <c r="CM117" s="433"/>
      <c r="CN117" s="433"/>
      <c r="CO117" s="433"/>
      <c r="CP117" s="434"/>
      <c r="CQ117" s="435"/>
      <c r="CR117" s="432"/>
      <c r="CS117" s="433"/>
      <c r="CT117" s="433"/>
      <c r="CU117" s="433" t="n">
        <f aca="false">+CR117-CS117</f>
        <v>0</v>
      </c>
      <c r="CV117" s="433" t="n">
        <f aca="false">+CR117-CT117</f>
        <v>0</v>
      </c>
      <c r="CW117" s="433"/>
      <c r="CX117" s="434" t="str">
        <f aca="false">IFERROR(CR117/CW117-1, "-")</f>
        <v>-</v>
      </c>
      <c r="CY117" s="425"/>
      <c r="CZ117" s="437"/>
      <c r="DA117" s="433"/>
      <c r="DB117" s="433"/>
      <c r="DC117" s="433"/>
      <c r="DD117" s="433"/>
      <c r="DE117" s="434"/>
      <c r="DF117" s="434"/>
      <c r="DG117" s="438"/>
      <c r="DH117" s="438"/>
      <c r="DI117" s="413"/>
      <c r="DJ117" s="117" t="n">
        <f aca="false">SUM(D117,J117,P117,V117,AD117,AL117,AU117,BC117,BK117,BT117,CB117,CJ117)-CR117</f>
        <v>0</v>
      </c>
      <c r="DK117" s="117" t="n">
        <f aca="false">SUM(E117,K117,Q117,W117,AE117,AM117,AV117,BD117,BL117,BU117,CC117,CK117)-CS117</f>
        <v>0</v>
      </c>
      <c r="DL117" s="117" t="n">
        <f aca="false">SUM(G117,M117,S117,AA117,AI117,AR117,AZ117,BH117,BQ117,BY117,CG117,CO117)-CW117</f>
        <v>0</v>
      </c>
      <c r="DM117" s="117" t="n">
        <f aca="false">SUM(D117,J117,P117,V117,AD117,AL117,AU117,BC117,,BN117,BV117,CD117,CL117)-CT117</f>
        <v>0</v>
      </c>
      <c r="DN117" s="413"/>
      <c r="DO117" s="413"/>
      <c r="DP117" s="439"/>
      <c r="DQ117" s="415" t="n">
        <f aca="false">-CR117+DP117/10^6</f>
        <v>0</v>
      </c>
      <c r="DR117" s="117" t="n">
        <f aca="false">SUM(E117,K117,Q117,W117,AE117,AM117,AV117,BD117,BL117,BU117,CC117,CK117)-CS117</f>
        <v>0</v>
      </c>
      <c r="DS117" s="117" t="n">
        <f aca="false">SUM(D117,J117,P117,V117,AD117,AL117,AU117,BC117,,BN117,BV117,CD117,CL117)-CT117</f>
        <v>0</v>
      </c>
      <c r="DT117" s="416"/>
      <c r="DU117" s="440"/>
      <c r="DV117" s="418" t="n">
        <f aca="false">DU117-CJ117</f>
        <v>0</v>
      </c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  <c r="EB117" s="419"/>
    </row>
    <row r="118" s="441" customFormat="true" ht="15.75" hidden="true" customHeight="true" outlineLevel="1" collapsed="false">
      <c r="A118" s="286"/>
      <c r="B118" s="444" t="s">
        <v>309</v>
      </c>
      <c r="C118" s="431" t="s">
        <v>310</v>
      </c>
      <c r="D118" s="565"/>
      <c r="E118" s="433"/>
      <c r="F118" s="433"/>
      <c r="G118" s="433"/>
      <c r="H118" s="434"/>
      <c r="I118" s="422"/>
      <c r="J118" s="565"/>
      <c r="K118" s="433"/>
      <c r="L118" s="433"/>
      <c r="M118" s="433"/>
      <c r="N118" s="434"/>
      <c r="O118" s="435"/>
      <c r="P118" s="566"/>
      <c r="Q118" s="433"/>
      <c r="R118" s="567"/>
      <c r="S118" s="433"/>
      <c r="T118" s="434"/>
      <c r="U118" s="423"/>
      <c r="V118" s="566"/>
      <c r="W118" s="433"/>
      <c r="X118" s="433"/>
      <c r="Y118" s="433"/>
      <c r="Z118" s="433"/>
      <c r="AA118" s="433"/>
      <c r="AB118" s="434"/>
      <c r="AC118" s="435"/>
      <c r="AD118" s="566"/>
      <c r="AE118" s="433"/>
      <c r="AF118" s="433"/>
      <c r="AG118" s="433"/>
      <c r="AH118" s="433"/>
      <c r="AI118" s="433"/>
      <c r="AJ118" s="434"/>
      <c r="AK118" s="435"/>
      <c r="AL118" s="566"/>
      <c r="AM118" s="433"/>
      <c r="AN118" s="433"/>
      <c r="AO118" s="433"/>
      <c r="AP118" s="433"/>
      <c r="AQ118" s="433"/>
      <c r="AR118" s="433"/>
      <c r="AS118" s="434"/>
      <c r="AT118" s="424"/>
      <c r="AU118" s="566"/>
      <c r="AV118" s="433"/>
      <c r="AW118" s="433"/>
      <c r="AX118" s="433"/>
      <c r="AY118" s="433"/>
      <c r="AZ118" s="433"/>
      <c r="BA118" s="434"/>
      <c r="BB118" s="435"/>
      <c r="BC118" s="566"/>
      <c r="BD118" s="433"/>
      <c r="BE118" s="433"/>
      <c r="BF118" s="433"/>
      <c r="BG118" s="433"/>
      <c r="BH118" s="433"/>
      <c r="BI118" s="434"/>
      <c r="BJ118" s="436"/>
      <c r="BK118" s="566"/>
      <c r="BL118" s="433"/>
      <c r="BM118" s="433"/>
      <c r="BN118" s="433"/>
      <c r="BO118" s="433"/>
      <c r="BP118" s="433"/>
      <c r="BQ118" s="433"/>
      <c r="BR118" s="434"/>
      <c r="BS118" s="436"/>
      <c r="BT118" s="566"/>
      <c r="BU118" s="433"/>
      <c r="BV118" s="433"/>
      <c r="BW118" s="433"/>
      <c r="BX118" s="433"/>
      <c r="BY118" s="433"/>
      <c r="BZ118" s="434"/>
      <c r="CA118" s="373"/>
      <c r="CB118" s="566"/>
      <c r="CC118" s="433"/>
      <c r="CD118" s="433"/>
      <c r="CE118" s="433"/>
      <c r="CF118" s="433"/>
      <c r="CG118" s="433"/>
      <c r="CH118" s="434"/>
      <c r="CI118" s="373"/>
      <c r="CJ118" s="568"/>
      <c r="CK118" s="433"/>
      <c r="CL118" s="433"/>
      <c r="CM118" s="433"/>
      <c r="CN118" s="433"/>
      <c r="CO118" s="433"/>
      <c r="CP118" s="434"/>
      <c r="CQ118" s="435"/>
      <c r="CR118" s="432"/>
      <c r="CS118" s="433"/>
      <c r="CT118" s="433"/>
      <c r="CU118" s="433" t="n">
        <f aca="false">+CR118-CS118</f>
        <v>0</v>
      </c>
      <c r="CV118" s="433" t="n">
        <f aca="false">+CR118-CT118</f>
        <v>0</v>
      </c>
      <c r="CW118" s="433"/>
      <c r="CX118" s="434" t="str">
        <f aca="false">IFERROR(CR118/CW118-1, "-")</f>
        <v>-</v>
      </c>
      <c r="CY118" s="425"/>
      <c r="CZ118" s="437"/>
      <c r="DA118" s="433"/>
      <c r="DB118" s="433"/>
      <c r="DC118" s="433"/>
      <c r="DD118" s="433"/>
      <c r="DE118" s="434" t="e">
        <f aca="false">+CZ118/DD118-1</f>
        <v>#DIV/0!</v>
      </c>
      <c r="DF118" s="434" t="e">
        <f aca="false">+DA118/DD118-1</f>
        <v>#DIV/0!</v>
      </c>
      <c r="DG118" s="438" t="e">
        <f aca="false">+DB118/DD118-1</f>
        <v>#DIV/0!</v>
      </c>
      <c r="DH118" s="438" t="e">
        <f aca="false">+DC118/DD118-1</f>
        <v>#DIV/0!</v>
      </c>
      <c r="DI118" s="413"/>
      <c r="DJ118" s="117" t="n">
        <f aca="false">SUM(D118,J118,P118,V118,AD118,AL118,AU118,BC118,BK118,BT118,CB118,CJ118)-CR118</f>
        <v>0</v>
      </c>
      <c r="DK118" s="117" t="n">
        <f aca="false">SUM(E118,K118,Q118,W118,AE118,AM118,AV118,BD118,BL118,BU118,CC118,CK118)-CS118</f>
        <v>0</v>
      </c>
      <c r="DL118" s="117" t="n">
        <f aca="false">SUM(G118,M118,S118,AA118,AI118,AR118,AZ118,BH118,BQ118,BY118,CG118,CO118)-CW118</f>
        <v>0</v>
      </c>
      <c r="DM118" s="117" t="n">
        <f aca="false">SUM(D118,J118,P118,V118,AD118,AL118,AU118,BC118,,BN118,BV118,CD118,CL118)-CT118</f>
        <v>0</v>
      </c>
      <c r="DN118" s="413"/>
      <c r="DO118" s="413"/>
      <c r="DP118" s="569" t="n">
        <v>114755696</v>
      </c>
      <c r="DQ118" s="415" t="n">
        <f aca="false">-CR118+DP118/10^6</f>
        <v>114.755696</v>
      </c>
      <c r="DR118" s="117" t="n">
        <f aca="false">SUM(E118,K118,Q118,W118,AE118,AM118,AV118,BD118,BL118,BU118,CC118,CK118)-CS118</f>
        <v>0</v>
      </c>
      <c r="DS118" s="117" t="n">
        <f aca="false">SUM(D118,J118,P118,V118,AD118,AL118,AU118,BC118,,BN118,BV118,CD118,CL118)-CT118</f>
        <v>0</v>
      </c>
      <c r="DT118" s="416"/>
      <c r="DU118" s="440" t="n">
        <v>18.375907</v>
      </c>
      <c r="DV118" s="418" t="n">
        <f aca="false">DU118-CJ118</f>
        <v>18.375907</v>
      </c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  <c r="EB118" s="419"/>
    </row>
    <row r="119" s="441" customFormat="true" ht="15.75" hidden="true" customHeight="true" outlineLevel="1" collapsed="false">
      <c r="A119" s="286"/>
      <c r="B119" s="444" t="s">
        <v>311</v>
      </c>
      <c r="C119" s="431" t="s">
        <v>312</v>
      </c>
      <c r="D119" s="570"/>
      <c r="E119" s="433"/>
      <c r="F119" s="433"/>
      <c r="G119" s="433"/>
      <c r="H119" s="434"/>
      <c r="I119" s="422"/>
      <c r="J119" s="570"/>
      <c r="K119" s="433"/>
      <c r="L119" s="433"/>
      <c r="M119" s="433"/>
      <c r="N119" s="434"/>
      <c r="O119" s="435"/>
      <c r="P119" s="570"/>
      <c r="Q119" s="433"/>
      <c r="R119" s="433"/>
      <c r="S119" s="433"/>
      <c r="T119" s="434"/>
      <c r="U119" s="423"/>
      <c r="V119" s="570"/>
      <c r="W119" s="433"/>
      <c r="X119" s="433"/>
      <c r="Y119" s="433"/>
      <c r="Z119" s="433"/>
      <c r="AA119" s="433"/>
      <c r="AB119" s="434"/>
      <c r="AC119" s="435"/>
      <c r="AD119" s="570"/>
      <c r="AE119" s="433"/>
      <c r="AF119" s="433"/>
      <c r="AG119" s="433"/>
      <c r="AH119" s="433"/>
      <c r="AI119" s="433"/>
      <c r="AJ119" s="434"/>
      <c r="AK119" s="435"/>
      <c r="AL119" s="570"/>
      <c r="AM119" s="433"/>
      <c r="AN119" s="433"/>
      <c r="AO119" s="433"/>
      <c r="AP119" s="433"/>
      <c r="AQ119" s="433"/>
      <c r="AR119" s="433"/>
      <c r="AS119" s="434"/>
      <c r="AT119" s="424"/>
      <c r="AU119" s="570"/>
      <c r="AV119" s="433"/>
      <c r="AW119" s="433"/>
      <c r="AX119" s="433"/>
      <c r="AY119" s="433"/>
      <c r="AZ119" s="433"/>
      <c r="BA119" s="434"/>
      <c r="BB119" s="435"/>
      <c r="BC119" s="570"/>
      <c r="BD119" s="433"/>
      <c r="BE119" s="433"/>
      <c r="BF119" s="433"/>
      <c r="BG119" s="433"/>
      <c r="BH119" s="433"/>
      <c r="BI119" s="434"/>
      <c r="BJ119" s="436"/>
      <c r="BK119" s="570"/>
      <c r="BL119" s="433"/>
      <c r="BM119" s="433"/>
      <c r="BN119" s="433"/>
      <c r="BO119" s="433"/>
      <c r="BP119" s="433"/>
      <c r="BQ119" s="433"/>
      <c r="BR119" s="434"/>
      <c r="BS119" s="436"/>
      <c r="BT119" s="570"/>
      <c r="BU119" s="433"/>
      <c r="BV119" s="433"/>
      <c r="BW119" s="433"/>
      <c r="BX119" s="433"/>
      <c r="BY119" s="433"/>
      <c r="BZ119" s="434"/>
      <c r="CA119" s="373"/>
      <c r="CB119" s="570"/>
      <c r="CC119" s="433"/>
      <c r="CD119" s="433"/>
      <c r="CE119" s="433"/>
      <c r="CF119" s="433"/>
      <c r="CG119" s="433"/>
      <c r="CH119" s="434"/>
      <c r="CI119" s="373"/>
      <c r="CJ119" s="570"/>
      <c r="CK119" s="433"/>
      <c r="CL119" s="433"/>
      <c r="CM119" s="433"/>
      <c r="CN119" s="433"/>
      <c r="CO119" s="433"/>
      <c r="CP119" s="434"/>
      <c r="CQ119" s="435"/>
      <c r="CR119" s="432"/>
      <c r="CS119" s="433"/>
      <c r="CT119" s="433"/>
      <c r="CU119" s="433" t="n">
        <f aca="false">+CR119-CS119</f>
        <v>0</v>
      </c>
      <c r="CV119" s="433" t="n">
        <f aca="false">+CR119-CT119</f>
        <v>0</v>
      </c>
      <c r="CW119" s="433"/>
      <c r="CX119" s="434" t="str">
        <f aca="false">IFERROR(CR119/CW119-1, "-")</f>
        <v>-</v>
      </c>
      <c r="CY119" s="425"/>
      <c r="CZ119" s="437"/>
      <c r="DA119" s="433"/>
      <c r="DB119" s="433"/>
      <c r="DC119" s="433"/>
      <c r="DD119" s="433"/>
      <c r="DE119" s="434" t="e">
        <f aca="false">+CZ119/DD119-1</f>
        <v>#DIV/0!</v>
      </c>
      <c r="DF119" s="434" t="e">
        <f aca="false">+DA119/DD119-1</f>
        <v>#DIV/0!</v>
      </c>
      <c r="DG119" s="438" t="e">
        <f aca="false">+DB119/DD119-1</f>
        <v>#DIV/0!</v>
      </c>
      <c r="DH119" s="438" t="e">
        <f aca="false">+DC119/DD119-1</f>
        <v>#DIV/0!</v>
      </c>
      <c r="DI119" s="413"/>
      <c r="DJ119" s="117" t="n">
        <f aca="false">SUM(D119,J119,P119,V119,AD119,AL119,AU119,BC119,BK119,BT119,CB119,CJ119)-CR119</f>
        <v>0</v>
      </c>
      <c r="DK119" s="117" t="n">
        <f aca="false">SUM(E119,K119,Q119,W119,AE119,AM119,AV119,BD119,BL119,BU119,CC119,CK119)-CS119</f>
        <v>0</v>
      </c>
      <c r="DL119" s="117" t="n">
        <f aca="false">SUM(G119,M119,S119,AA119,AI119,AR119,AZ119,BH119,BQ119,BY119,CG119,CO119)-CW119</f>
        <v>0</v>
      </c>
      <c r="DM119" s="117" t="n">
        <f aca="false">SUM(D119,J119,P119,V119,AD119,AL119,AU119,BC119,,BN119,BV119,CD119,CL119)-CT119</f>
        <v>0</v>
      </c>
      <c r="DN119" s="413"/>
      <c r="DO119" s="413"/>
      <c r="DP119" s="571" t="n">
        <v>28625379</v>
      </c>
      <c r="DQ119" s="415" t="n">
        <f aca="false">-CR119+DP119/10^6</f>
        <v>28.625379</v>
      </c>
      <c r="DR119" s="117" t="n">
        <f aca="false">SUM(E119,K119,Q119,W119,AE119,AM119,AV119,BD119,BL119,BU119,CC119,CK119)-CS119</f>
        <v>0</v>
      </c>
      <c r="DS119" s="117" t="n">
        <f aca="false">SUM(D119,J119,P119,V119,AD119,AL119,AU119,BC119,,BN119,BV119,CD119,CL119)-CT119</f>
        <v>0</v>
      </c>
      <c r="DT119" s="416"/>
      <c r="DU119" s="440" t="n">
        <v>0.782</v>
      </c>
      <c r="DV119" s="418" t="n">
        <f aca="false">DU119-CJ119</f>
        <v>0.782</v>
      </c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  <c r="EB119" s="419"/>
    </row>
    <row r="120" s="441" customFormat="true" ht="15.75" hidden="true" customHeight="true" outlineLevel="1" collapsed="false">
      <c r="A120" s="286"/>
      <c r="B120" s="444" t="s">
        <v>313</v>
      </c>
      <c r="C120" s="431" t="s">
        <v>314</v>
      </c>
      <c r="D120" s="572"/>
      <c r="E120" s="433"/>
      <c r="F120" s="433"/>
      <c r="G120" s="433"/>
      <c r="H120" s="434"/>
      <c r="I120" s="422"/>
      <c r="J120" s="572"/>
      <c r="K120" s="433"/>
      <c r="L120" s="433"/>
      <c r="M120" s="433"/>
      <c r="N120" s="434"/>
      <c r="O120" s="435"/>
      <c r="P120" s="572"/>
      <c r="Q120" s="433"/>
      <c r="R120" s="433"/>
      <c r="S120" s="433"/>
      <c r="T120" s="434"/>
      <c r="U120" s="423"/>
      <c r="V120" s="572"/>
      <c r="W120" s="433"/>
      <c r="X120" s="433"/>
      <c r="Y120" s="433"/>
      <c r="Z120" s="433"/>
      <c r="AA120" s="433"/>
      <c r="AB120" s="434"/>
      <c r="AC120" s="435"/>
      <c r="AD120" s="572"/>
      <c r="AE120" s="433"/>
      <c r="AF120" s="433"/>
      <c r="AG120" s="433"/>
      <c r="AH120" s="433"/>
      <c r="AI120" s="433"/>
      <c r="AJ120" s="434"/>
      <c r="AK120" s="435"/>
      <c r="AL120" s="572"/>
      <c r="AM120" s="433"/>
      <c r="AN120" s="433"/>
      <c r="AO120" s="433"/>
      <c r="AP120" s="433"/>
      <c r="AQ120" s="433"/>
      <c r="AR120" s="433"/>
      <c r="AS120" s="434"/>
      <c r="AT120" s="424"/>
      <c r="AU120" s="572"/>
      <c r="AV120" s="433"/>
      <c r="AW120" s="433"/>
      <c r="AX120" s="433"/>
      <c r="AY120" s="433"/>
      <c r="AZ120" s="433"/>
      <c r="BA120" s="434"/>
      <c r="BB120" s="435"/>
      <c r="BC120" s="572"/>
      <c r="BD120" s="433"/>
      <c r="BE120" s="433"/>
      <c r="BF120" s="433"/>
      <c r="BG120" s="433"/>
      <c r="BH120" s="433"/>
      <c r="BI120" s="434"/>
      <c r="BJ120" s="436"/>
      <c r="BK120" s="572"/>
      <c r="BL120" s="433"/>
      <c r="BM120" s="433"/>
      <c r="BN120" s="433"/>
      <c r="BO120" s="433"/>
      <c r="BP120" s="433"/>
      <c r="BQ120" s="433"/>
      <c r="BR120" s="434"/>
      <c r="BS120" s="436"/>
      <c r="BT120" s="572"/>
      <c r="BU120" s="433"/>
      <c r="BV120" s="433"/>
      <c r="BW120" s="433"/>
      <c r="BX120" s="433"/>
      <c r="BY120" s="433"/>
      <c r="BZ120" s="434"/>
      <c r="CA120" s="373"/>
      <c r="CB120" s="572"/>
      <c r="CC120" s="433"/>
      <c r="CD120" s="433"/>
      <c r="CE120" s="433"/>
      <c r="CF120" s="433"/>
      <c r="CG120" s="433"/>
      <c r="CH120" s="434"/>
      <c r="CI120" s="373"/>
      <c r="CJ120" s="572"/>
      <c r="CK120" s="433"/>
      <c r="CL120" s="433"/>
      <c r="CM120" s="433"/>
      <c r="CN120" s="433"/>
      <c r="CO120" s="433"/>
      <c r="CP120" s="434"/>
      <c r="CQ120" s="435"/>
      <c r="CR120" s="432"/>
      <c r="CS120" s="433"/>
      <c r="CT120" s="433"/>
      <c r="CU120" s="433" t="n">
        <f aca="false">+CR120-CS120</f>
        <v>0</v>
      </c>
      <c r="CV120" s="433" t="n">
        <f aca="false">+CR120-CT120</f>
        <v>0</v>
      </c>
      <c r="CW120" s="433"/>
      <c r="CX120" s="434" t="str">
        <f aca="false">IFERROR(CR120/CW120-1, "-")</f>
        <v>-</v>
      </c>
      <c r="CY120" s="425"/>
      <c r="CZ120" s="437"/>
      <c r="DA120" s="433"/>
      <c r="DB120" s="433"/>
      <c r="DC120" s="433"/>
      <c r="DD120" s="433"/>
      <c r="DE120" s="434" t="e">
        <f aca="false">+CZ120/DD120-1</f>
        <v>#DIV/0!</v>
      </c>
      <c r="DF120" s="434" t="e">
        <f aca="false">+DA120/DD120-1</f>
        <v>#DIV/0!</v>
      </c>
      <c r="DG120" s="438" t="e">
        <f aca="false">+DB120/DD120-1</f>
        <v>#DIV/0!</v>
      </c>
      <c r="DH120" s="438" t="e">
        <f aca="false">+DC120/DD120-1</f>
        <v>#DIV/0!</v>
      </c>
      <c r="DI120" s="413"/>
      <c r="DJ120" s="117" t="n">
        <f aca="false">SUM(D120,J120,P120,V120,AD120,AL120,AU120,BC120,BK120,BT120,CB120,CJ120)-CR120</f>
        <v>0</v>
      </c>
      <c r="DK120" s="117" t="n">
        <f aca="false">SUM(E120,K120,Q120,W120,AE120,AM120,AV120,BD120,BL120,BU120,CC120,CK120)-CS120</f>
        <v>0</v>
      </c>
      <c r="DL120" s="117" t="n">
        <f aca="false">SUM(G120,M120,S120,AA120,AI120,AR120,AZ120,BH120,BQ120,BY120,CG120,CO120)-CW120</f>
        <v>0</v>
      </c>
      <c r="DM120" s="117" t="n">
        <f aca="false">SUM(D120,J120,P120,V120,AD120,AL120,AU120,BC120,,BN120,BV120,CD120,CL120)-CT120</f>
        <v>0</v>
      </c>
      <c r="DN120" s="413"/>
      <c r="DO120" s="413"/>
      <c r="DP120" s="573" t="n">
        <v>7700000</v>
      </c>
      <c r="DQ120" s="415" t="n">
        <f aca="false">-CR120+DP120/10^6</f>
        <v>7.7</v>
      </c>
      <c r="DR120" s="117" t="n">
        <f aca="false">SUM(E120,K120,Q120,W120,AE120,AM120,AV120,BD120,BL120,BU120,CC120,CK120)-CS120</f>
        <v>0</v>
      </c>
      <c r="DS120" s="117" t="n">
        <f aca="false">SUM(D120,J120,P120,V120,AD120,AL120,AU120,BC120,,BN120,BV120,CD120,CL120)-CT120</f>
        <v>0</v>
      </c>
      <c r="DT120" s="416"/>
      <c r="DU120" s="440" t="n">
        <v>-10.25</v>
      </c>
      <c r="DV120" s="418" t="n">
        <f aca="false">DU120-CJ120</f>
        <v>-10.25</v>
      </c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  <c r="EB120" s="419"/>
    </row>
    <row r="121" s="441" customFormat="true" ht="15.75" hidden="true" customHeight="true" outlineLevel="1" collapsed="false">
      <c r="A121" s="286"/>
      <c r="B121" s="444" t="s">
        <v>315</v>
      </c>
      <c r="C121" s="431" t="s">
        <v>316</v>
      </c>
      <c r="D121" s="432"/>
      <c r="E121" s="433"/>
      <c r="F121" s="433"/>
      <c r="G121" s="433"/>
      <c r="H121" s="434"/>
      <c r="I121" s="422"/>
      <c r="J121" s="432"/>
      <c r="K121" s="433"/>
      <c r="L121" s="433"/>
      <c r="M121" s="433"/>
      <c r="N121" s="434"/>
      <c r="O121" s="435"/>
      <c r="P121" s="432"/>
      <c r="Q121" s="433"/>
      <c r="R121" s="433"/>
      <c r="S121" s="433"/>
      <c r="T121" s="434"/>
      <c r="U121" s="423"/>
      <c r="V121" s="432"/>
      <c r="W121" s="433"/>
      <c r="X121" s="433"/>
      <c r="Y121" s="433"/>
      <c r="Z121" s="433"/>
      <c r="AA121" s="433"/>
      <c r="AB121" s="434"/>
      <c r="AC121" s="435"/>
      <c r="AD121" s="432"/>
      <c r="AE121" s="433"/>
      <c r="AF121" s="433"/>
      <c r="AG121" s="433"/>
      <c r="AH121" s="433"/>
      <c r="AI121" s="433"/>
      <c r="AJ121" s="434"/>
      <c r="AK121" s="435"/>
      <c r="AL121" s="432"/>
      <c r="AM121" s="433"/>
      <c r="AN121" s="433"/>
      <c r="AO121" s="433"/>
      <c r="AP121" s="433"/>
      <c r="AQ121" s="433"/>
      <c r="AR121" s="433"/>
      <c r="AS121" s="434"/>
      <c r="AT121" s="424"/>
      <c r="AU121" s="432"/>
      <c r="AV121" s="433"/>
      <c r="AW121" s="433"/>
      <c r="AX121" s="433"/>
      <c r="AY121" s="433"/>
      <c r="AZ121" s="433"/>
      <c r="BA121" s="434"/>
      <c r="BB121" s="435"/>
      <c r="BC121" s="432"/>
      <c r="BD121" s="433"/>
      <c r="BE121" s="433"/>
      <c r="BF121" s="433"/>
      <c r="BG121" s="433"/>
      <c r="BH121" s="433"/>
      <c r="BI121" s="434"/>
      <c r="BJ121" s="436"/>
      <c r="BK121" s="432"/>
      <c r="BL121" s="433"/>
      <c r="BM121" s="433"/>
      <c r="BN121" s="433"/>
      <c r="BO121" s="433"/>
      <c r="BP121" s="433"/>
      <c r="BQ121" s="433"/>
      <c r="BR121" s="434"/>
      <c r="BS121" s="436"/>
      <c r="BT121" s="432"/>
      <c r="BU121" s="433"/>
      <c r="BV121" s="433"/>
      <c r="BW121" s="433"/>
      <c r="BX121" s="433"/>
      <c r="BY121" s="433"/>
      <c r="BZ121" s="434"/>
      <c r="CA121" s="373"/>
      <c r="CB121" s="432"/>
      <c r="CC121" s="433"/>
      <c r="CD121" s="433"/>
      <c r="CE121" s="433"/>
      <c r="CF121" s="433"/>
      <c r="CG121" s="433"/>
      <c r="CH121" s="434"/>
      <c r="CI121" s="373"/>
      <c r="CJ121" s="432"/>
      <c r="CK121" s="433"/>
      <c r="CL121" s="433"/>
      <c r="CM121" s="433"/>
      <c r="CN121" s="433"/>
      <c r="CO121" s="433"/>
      <c r="CP121" s="434"/>
      <c r="CQ121" s="435"/>
      <c r="CR121" s="432"/>
      <c r="CS121" s="433"/>
      <c r="CT121" s="433"/>
      <c r="CU121" s="433" t="n">
        <f aca="false">+CR121-CS121</f>
        <v>0</v>
      </c>
      <c r="CV121" s="433" t="n">
        <f aca="false">+CR121-CT121</f>
        <v>0</v>
      </c>
      <c r="CW121" s="433"/>
      <c r="CX121" s="434" t="str">
        <f aca="false">IFERROR(CR121/CW121-1, "-")</f>
        <v>-</v>
      </c>
      <c r="CY121" s="425"/>
      <c r="CZ121" s="437"/>
      <c r="DA121" s="433"/>
      <c r="DB121" s="433"/>
      <c r="DC121" s="433"/>
      <c r="DD121" s="433"/>
      <c r="DE121" s="434" t="e">
        <f aca="false">+CZ121/DD121-1</f>
        <v>#DIV/0!</v>
      </c>
      <c r="DF121" s="434" t="e">
        <f aca="false">+DA121/DD121-1</f>
        <v>#DIV/0!</v>
      </c>
      <c r="DG121" s="438" t="e">
        <f aca="false">+DB121/DD121-1</f>
        <v>#DIV/0!</v>
      </c>
      <c r="DH121" s="438" t="e">
        <f aca="false">+DC121/DD121-1</f>
        <v>#DIV/0!</v>
      </c>
      <c r="DI121" s="413"/>
      <c r="DJ121" s="117" t="n">
        <f aca="false">SUM(D121,J121,P121,V121,AD121,AL121,AU121,BC121,BK121,BT121,CB121,CJ121)-CR121</f>
        <v>0</v>
      </c>
      <c r="DK121" s="117" t="n">
        <f aca="false">SUM(E121,K121,Q121,W121,AE121,AM121,AV121,BD121,BL121,BU121,CC121,CK121)-CS121</f>
        <v>0</v>
      </c>
      <c r="DL121" s="117" t="n">
        <f aca="false">SUM(G121,M121,S121,AA121,AI121,AR121,AZ121,BH121,BQ121,BY121,CG121,CO121)-CW121</f>
        <v>0</v>
      </c>
      <c r="DM121" s="117" t="n">
        <f aca="false">SUM(D121,J121,P121,V121,AD121,AL121,AU121,BC121,,BN121,BV121,CD121,CL121)-CT121</f>
        <v>0</v>
      </c>
      <c r="DN121" s="413"/>
      <c r="DO121" s="413"/>
      <c r="DP121" s="439" t="n">
        <v>58008657</v>
      </c>
      <c r="DQ121" s="415" t="n">
        <f aca="false">-CR121+DP121/10^6</f>
        <v>58.008657</v>
      </c>
      <c r="DR121" s="117" t="n">
        <f aca="false">SUM(E121,K121,Q121,W121,AE121,AM121,AV121,BD121,BL121,BU121,CC121,CK121)-CS121</f>
        <v>0</v>
      </c>
      <c r="DS121" s="117" t="n">
        <f aca="false">SUM(D121,J121,P121,V121,AD121,AL121,AU121,BC121,,BN121,BV121,CD121,CL121)-CT121</f>
        <v>0</v>
      </c>
      <c r="DT121" s="416"/>
      <c r="DU121" s="440" t="n">
        <v>5.582605</v>
      </c>
      <c r="DV121" s="418" t="n">
        <f aca="false">DU121-CJ121</f>
        <v>5.582605</v>
      </c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  <c r="EB121" s="419"/>
    </row>
    <row r="122" s="441" customFormat="true" ht="15.75" hidden="true" customHeight="true" outlineLevel="1" collapsed="false">
      <c r="A122" s="286"/>
      <c r="B122" s="444" t="s">
        <v>317</v>
      </c>
      <c r="C122" s="431" t="s">
        <v>318</v>
      </c>
      <c r="D122" s="563"/>
      <c r="E122" s="433"/>
      <c r="F122" s="433"/>
      <c r="G122" s="433"/>
      <c r="H122" s="434"/>
      <c r="I122" s="422"/>
      <c r="J122" s="563"/>
      <c r="K122" s="516"/>
      <c r="L122" s="433"/>
      <c r="M122" s="433"/>
      <c r="N122" s="434"/>
      <c r="O122" s="435"/>
      <c r="P122" s="563"/>
      <c r="Q122" s="516"/>
      <c r="R122" s="433"/>
      <c r="S122" s="433"/>
      <c r="T122" s="434"/>
      <c r="U122" s="423"/>
      <c r="V122" s="563"/>
      <c r="W122" s="516"/>
      <c r="X122" s="516"/>
      <c r="Y122" s="433"/>
      <c r="Z122" s="446"/>
      <c r="AA122" s="433"/>
      <c r="AB122" s="434"/>
      <c r="AC122" s="435"/>
      <c r="AD122" s="563"/>
      <c r="AE122" s="516"/>
      <c r="AF122" s="516"/>
      <c r="AG122" s="433"/>
      <c r="AH122" s="446"/>
      <c r="AI122" s="433"/>
      <c r="AJ122" s="434"/>
      <c r="AK122" s="435"/>
      <c r="AL122" s="563"/>
      <c r="AM122" s="516"/>
      <c r="AN122" s="516"/>
      <c r="AO122" s="516"/>
      <c r="AP122" s="433"/>
      <c r="AQ122" s="433"/>
      <c r="AR122" s="433"/>
      <c r="AS122" s="434"/>
      <c r="AT122" s="424"/>
      <c r="AU122" s="563"/>
      <c r="AV122" s="516"/>
      <c r="AW122" s="471"/>
      <c r="AX122" s="433"/>
      <c r="AY122" s="433"/>
      <c r="AZ122" s="433"/>
      <c r="BA122" s="434"/>
      <c r="BB122" s="435"/>
      <c r="BC122" s="563"/>
      <c r="BD122" s="516"/>
      <c r="BE122" s="471"/>
      <c r="BF122" s="433"/>
      <c r="BG122" s="433"/>
      <c r="BH122" s="433"/>
      <c r="BI122" s="434"/>
      <c r="BJ122" s="436"/>
      <c r="BK122" s="563"/>
      <c r="BL122" s="516"/>
      <c r="BM122" s="471"/>
      <c r="BN122" s="471"/>
      <c r="BO122" s="433"/>
      <c r="BP122" s="433"/>
      <c r="BQ122" s="433"/>
      <c r="BR122" s="434"/>
      <c r="BS122" s="436"/>
      <c r="BT122" s="563"/>
      <c r="BU122" s="516"/>
      <c r="BV122" s="471"/>
      <c r="BW122" s="433"/>
      <c r="BX122" s="433"/>
      <c r="BY122" s="433"/>
      <c r="BZ122" s="434"/>
      <c r="CA122" s="373"/>
      <c r="CB122" s="442"/>
      <c r="CC122" s="516"/>
      <c r="CD122" s="471"/>
      <c r="CE122" s="433"/>
      <c r="CF122" s="433"/>
      <c r="CG122" s="433"/>
      <c r="CH122" s="434"/>
      <c r="CI122" s="373"/>
      <c r="CJ122" s="468"/>
      <c r="CK122" s="516"/>
      <c r="CL122" s="516"/>
      <c r="CM122" s="433"/>
      <c r="CN122" s="433"/>
      <c r="CO122" s="433"/>
      <c r="CP122" s="434"/>
      <c r="CQ122" s="435"/>
      <c r="CR122" s="432"/>
      <c r="CS122" s="433"/>
      <c r="CT122" s="433"/>
      <c r="CU122" s="433" t="n">
        <f aca="false">+CR122-CS122</f>
        <v>0</v>
      </c>
      <c r="CV122" s="433" t="n">
        <f aca="false">+CR122-CT122</f>
        <v>0</v>
      </c>
      <c r="CW122" s="433"/>
      <c r="CX122" s="434" t="str">
        <f aca="false">IFERROR(CR122/CW122-1, "-")</f>
        <v>-</v>
      </c>
      <c r="CY122" s="425"/>
      <c r="CZ122" s="437"/>
      <c r="DA122" s="516"/>
      <c r="DB122" s="516"/>
      <c r="DC122" s="471"/>
      <c r="DD122" s="516"/>
      <c r="DE122" s="434" t="e">
        <f aca="false">+CZ122/DD122-1</f>
        <v>#DIV/0!</v>
      </c>
      <c r="DF122" s="434" t="e">
        <f aca="false">+DA122/DD122-1</f>
        <v>#DIV/0!</v>
      </c>
      <c r="DG122" s="438" t="e">
        <f aca="false">+DB122/DD122-1</f>
        <v>#DIV/0!</v>
      </c>
      <c r="DH122" s="438" t="e">
        <f aca="false">+DC122/DD122-1</f>
        <v>#DIV/0!</v>
      </c>
      <c r="DI122" s="413"/>
      <c r="DJ122" s="117" t="n">
        <f aca="false">SUM(D122,J122,P122,V122,AD122,AL122,AU122,BC122,BK122,BT122,CB122,CJ122)-CR122</f>
        <v>0</v>
      </c>
      <c r="DK122" s="117" t="n">
        <f aca="false">SUM(E122,K122,Q122,W122,AE122,AM122,AV122,BD122,BL122,BU122,CC122,CK122)-CS122</f>
        <v>0</v>
      </c>
      <c r="DL122" s="117" t="n">
        <f aca="false">SUM(G122,M122,S122,AA122,AI122,AR122,AZ122,BH122,BQ122,BY122,CG122,CO122)-CW122</f>
        <v>0</v>
      </c>
      <c r="DM122" s="117" t="n">
        <f aca="false">SUM(D122,J122,P122,V122,AD122,AL122,AU122,BC122,,BN122,BV122,CD122,CL122)-CT122</f>
        <v>0</v>
      </c>
      <c r="DN122" s="413"/>
      <c r="DO122" s="413"/>
      <c r="DP122" s="564" t="n">
        <v>1604084131</v>
      </c>
      <c r="DQ122" s="415" t="n">
        <f aca="false">-CR122+DP122/10^6</f>
        <v>1604.084131</v>
      </c>
      <c r="DR122" s="117" t="n">
        <f aca="false">SUM(E122,K122,Q122,W122,AE122,AM122,AV122,BD122,BL122,BU122,CC122,CK122)-CS122</f>
        <v>0</v>
      </c>
      <c r="DS122" s="117" t="n">
        <f aca="false">SUM(D122,J122,P122,V122,AD122,AL122,AU122,BC122,,BN122,BV122,CD122,CL122)-CT122</f>
        <v>0</v>
      </c>
      <c r="DT122" s="416"/>
      <c r="DU122" s="440" t="n">
        <v>188.151436</v>
      </c>
      <c r="DV122" s="418" t="n">
        <f aca="false">DU122-CJ122</f>
        <v>188.151436</v>
      </c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  <c r="EB122" s="419"/>
    </row>
    <row r="123" s="441" customFormat="true" ht="15.75" hidden="true" customHeight="true" outlineLevel="1" collapsed="false">
      <c r="A123" s="286"/>
      <c r="B123" s="444" t="s">
        <v>319</v>
      </c>
      <c r="C123" s="431" t="s">
        <v>320</v>
      </c>
      <c r="D123" s="432"/>
      <c r="E123" s="433"/>
      <c r="F123" s="433"/>
      <c r="G123" s="433"/>
      <c r="H123" s="434"/>
      <c r="I123" s="422"/>
      <c r="J123" s="432"/>
      <c r="K123" s="433"/>
      <c r="L123" s="433"/>
      <c r="M123" s="433"/>
      <c r="N123" s="434"/>
      <c r="O123" s="435"/>
      <c r="P123" s="432"/>
      <c r="Q123" s="433"/>
      <c r="R123" s="433"/>
      <c r="S123" s="433"/>
      <c r="T123" s="434"/>
      <c r="U123" s="423"/>
      <c r="V123" s="432"/>
      <c r="W123" s="433"/>
      <c r="X123" s="433"/>
      <c r="Y123" s="433"/>
      <c r="Z123" s="433"/>
      <c r="AA123" s="433"/>
      <c r="AB123" s="434"/>
      <c r="AC123" s="435"/>
      <c r="AD123" s="432"/>
      <c r="AE123" s="433"/>
      <c r="AF123" s="433"/>
      <c r="AG123" s="433"/>
      <c r="AH123" s="433"/>
      <c r="AI123" s="433"/>
      <c r="AJ123" s="434"/>
      <c r="AK123" s="435"/>
      <c r="AL123" s="432"/>
      <c r="AM123" s="433"/>
      <c r="AN123" s="433"/>
      <c r="AO123" s="433"/>
      <c r="AP123" s="433"/>
      <c r="AQ123" s="433"/>
      <c r="AR123" s="433"/>
      <c r="AS123" s="434"/>
      <c r="AT123" s="424"/>
      <c r="AU123" s="432"/>
      <c r="AV123" s="433"/>
      <c r="AW123" s="433"/>
      <c r="AX123" s="433"/>
      <c r="AY123" s="433"/>
      <c r="AZ123" s="433"/>
      <c r="BA123" s="434"/>
      <c r="BB123" s="435"/>
      <c r="BC123" s="432"/>
      <c r="BD123" s="433"/>
      <c r="BE123" s="433"/>
      <c r="BF123" s="433"/>
      <c r="BG123" s="433"/>
      <c r="BH123" s="433"/>
      <c r="BI123" s="434"/>
      <c r="BJ123" s="436"/>
      <c r="BK123" s="432"/>
      <c r="BL123" s="433"/>
      <c r="BM123" s="433"/>
      <c r="BN123" s="433"/>
      <c r="BO123" s="433"/>
      <c r="BP123" s="433"/>
      <c r="BQ123" s="433"/>
      <c r="BR123" s="434"/>
      <c r="BS123" s="436"/>
      <c r="BT123" s="432"/>
      <c r="BU123" s="433"/>
      <c r="BV123" s="433"/>
      <c r="BW123" s="433"/>
      <c r="BX123" s="433"/>
      <c r="BY123" s="433"/>
      <c r="BZ123" s="434"/>
      <c r="CA123" s="373"/>
      <c r="CB123" s="432"/>
      <c r="CC123" s="433"/>
      <c r="CD123" s="433"/>
      <c r="CE123" s="433"/>
      <c r="CF123" s="433"/>
      <c r="CG123" s="433"/>
      <c r="CH123" s="434"/>
      <c r="CI123" s="373"/>
      <c r="CJ123" s="432"/>
      <c r="CK123" s="433"/>
      <c r="CL123" s="433"/>
      <c r="CM123" s="433"/>
      <c r="CN123" s="433"/>
      <c r="CO123" s="433"/>
      <c r="CP123" s="434"/>
      <c r="CQ123" s="435"/>
      <c r="CR123" s="432"/>
      <c r="CS123" s="433"/>
      <c r="CT123" s="433"/>
      <c r="CU123" s="433" t="n">
        <f aca="false">+CR123-CS123</f>
        <v>0</v>
      </c>
      <c r="CV123" s="433" t="n">
        <f aca="false">+CR123-CT123</f>
        <v>0</v>
      </c>
      <c r="CW123" s="433"/>
      <c r="CX123" s="434" t="str">
        <f aca="false">IFERROR(CR123/CW123-1, "-")</f>
        <v>-</v>
      </c>
      <c r="CY123" s="425"/>
      <c r="CZ123" s="437"/>
      <c r="DA123" s="433"/>
      <c r="DB123" s="433"/>
      <c r="DC123" s="433"/>
      <c r="DD123" s="433"/>
      <c r="DE123" s="434"/>
      <c r="DF123" s="434"/>
      <c r="DG123" s="438"/>
      <c r="DH123" s="438"/>
      <c r="DI123" s="413"/>
      <c r="DJ123" s="117" t="n">
        <f aca="false">SUM(D123,J123,P123,V123,AD123,AL123,AU123,BC123,BK123,BT123,CB123,CJ123)-CR123</f>
        <v>0</v>
      </c>
      <c r="DK123" s="117" t="n">
        <f aca="false">SUM(E123,K123,Q123,W123,AE123,AM123,AV123,BD123,BL123,BU123,CC123,CK123)-CS123</f>
        <v>0</v>
      </c>
      <c r="DL123" s="117" t="n">
        <f aca="false">SUM(G123,M123,S123,AA123,AI123,AR123,AZ123,BH123,BQ123,BY123,CG123,CO123)-CW123</f>
        <v>0</v>
      </c>
      <c r="DM123" s="117" t="n">
        <f aca="false">SUM(D123,J123,P123,V123,AD123,AL123,AU123,BC123,,BN123,BV123,CD123,CL123)-CT123</f>
        <v>0</v>
      </c>
      <c r="DN123" s="413"/>
      <c r="DO123" s="413"/>
      <c r="DP123" s="439" t="n">
        <v>0</v>
      </c>
      <c r="DQ123" s="415" t="n">
        <f aca="false">-CR123+DP123/10^6</f>
        <v>0</v>
      </c>
      <c r="DR123" s="117" t="n">
        <f aca="false">SUM(E123,K123,Q123,W123,AE123,AM123,AV123,BD123,BL123,BU123,CC123,CK123)-CS123</f>
        <v>0</v>
      </c>
      <c r="DS123" s="117" t="n">
        <f aca="false">SUM(D123,J123,P123,V123,AD123,AL123,AU123,BC123,,BN123,BV123,CD123,CL123)-CT123</f>
        <v>0</v>
      </c>
      <c r="DT123" s="416"/>
      <c r="DU123" s="440" t="n">
        <v>0</v>
      </c>
      <c r="DV123" s="418" t="n">
        <f aca="false">DU123-CJ123</f>
        <v>0</v>
      </c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  <c r="EB123" s="419"/>
    </row>
    <row r="124" s="441" customFormat="true" ht="15.75" hidden="true" customHeight="true" outlineLevel="1" collapsed="false">
      <c r="A124" s="286"/>
      <c r="B124" s="444" t="s">
        <v>321</v>
      </c>
      <c r="C124" s="431" t="s">
        <v>322</v>
      </c>
      <c r="D124" s="432"/>
      <c r="E124" s="433"/>
      <c r="F124" s="433"/>
      <c r="G124" s="433"/>
      <c r="H124" s="434"/>
      <c r="I124" s="422"/>
      <c r="J124" s="432"/>
      <c r="K124" s="433"/>
      <c r="L124" s="433"/>
      <c r="M124" s="433"/>
      <c r="N124" s="434"/>
      <c r="O124" s="435"/>
      <c r="P124" s="432"/>
      <c r="Q124" s="433"/>
      <c r="R124" s="433"/>
      <c r="S124" s="433"/>
      <c r="T124" s="434"/>
      <c r="U124" s="423"/>
      <c r="V124" s="432"/>
      <c r="W124" s="433"/>
      <c r="X124" s="433"/>
      <c r="Y124" s="433"/>
      <c r="Z124" s="433"/>
      <c r="AA124" s="433"/>
      <c r="AB124" s="434"/>
      <c r="AC124" s="435"/>
      <c r="AD124" s="432"/>
      <c r="AE124" s="433"/>
      <c r="AF124" s="433"/>
      <c r="AG124" s="433"/>
      <c r="AH124" s="433"/>
      <c r="AI124" s="433"/>
      <c r="AJ124" s="434"/>
      <c r="AK124" s="435"/>
      <c r="AL124" s="432"/>
      <c r="AM124" s="433"/>
      <c r="AN124" s="433"/>
      <c r="AO124" s="433"/>
      <c r="AP124" s="433"/>
      <c r="AQ124" s="433"/>
      <c r="AR124" s="433"/>
      <c r="AS124" s="434"/>
      <c r="AT124" s="424"/>
      <c r="AU124" s="432"/>
      <c r="AV124" s="433"/>
      <c r="AW124" s="433"/>
      <c r="AX124" s="433"/>
      <c r="AY124" s="433"/>
      <c r="AZ124" s="433"/>
      <c r="BA124" s="434"/>
      <c r="BB124" s="435"/>
      <c r="BC124" s="432"/>
      <c r="BD124" s="433"/>
      <c r="BE124" s="433"/>
      <c r="BF124" s="433"/>
      <c r="BG124" s="433"/>
      <c r="BH124" s="433"/>
      <c r="BI124" s="434"/>
      <c r="BJ124" s="436"/>
      <c r="BK124" s="432"/>
      <c r="BL124" s="433"/>
      <c r="BM124" s="433"/>
      <c r="BN124" s="433"/>
      <c r="BO124" s="433"/>
      <c r="BP124" s="433"/>
      <c r="BQ124" s="433"/>
      <c r="BR124" s="434"/>
      <c r="BS124" s="436"/>
      <c r="BT124" s="432"/>
      <c r="BU124" s="433"/>
      <c r="BV124" s="433"/>
      <c r="BW124" s="433"/>
      <c r="BX124" s="433"/>
      <c r="BY124" s="433"/>
      <c r="BZ124" s="434"/>
      <c r="CA124" s="373"/>
      <c r="CB124" s="432"/>
      <c r="CC124" s="433"/>
      <c r="CD124" s="433"/>
      <c r="CE124" s="433"/>
      <c r="CF124" s="433"/>
      <c r="CG124" s="433"/>
      <c r="CH124" s="434"/>
      <c r="CI124" s="373"/>
      <c r="CJ124" s="432"/>
      <c r="CK124" s="433"/>
      <c r="CL124" s="433"/>
      <c r="CM124" s="433"/>
      <c r="CN124" s="433"/>
      <c r="CO124" s="433"/>
      <c r="CP124" s="434"/>
      <c r="CQ124" s="435"/>
      <c r="CR124" s="432"/>
      <c r="CS124" s="433"/>
      <c r="CT124" s="433"/>
      <c r="CU124" s="433" t="n">
        <f aca="false">+CR124-CS124</f>
        <v>0</v>
      </c>
      <c r="CV124" s="433" t="n">
        <f aca="false">+CR124-CT124</f>
        <v>0</v>
      </c>
      <c r="CW124" s="433"/>
      <c r="CX124" s="434" t="str">
        <f aca="false">IFERROR(CR124/CW124-1, "-")</f>
        <v>-</v>
      </c>
      <c r="CY124" s="425"/>
      <c r="CZ124" s="437"/>
      <c r="DA124" s="433"/>
      <c r="DB124" s="433"/>
      <c r="DC124" s="433"/>
      <c r="DD124" s="433"/>
      <c r="DE124" s="434" t="e">
        <f aca="false">+CZ124/DD124-1</f>
        <v>#DIV/0!</v>
      </c>
      <c r="DF124" s="434" t="e">
        <f aca="false">+DA124/DD124-1</f>
        <v>#DIV/0!</v>
      </c>
      <c r="DG124" s="438" t="e">
        <f aca="false">+DB124/DD124-1</f>
        <v>#DIV/0!</v>
      </c>
      <c r="DH124" s="438" t="e">
        <f aca="false">+DC124/DD124-1</f>
        <v>#DIV/0!</v>
      </c>
      <c r="DI124" s="413"/>
      <c r="DJ124" s="117" t="n">
        <f aca="false">SUM(D124,J124,P124,V124,AD124,AL124,AU124,BC124,BK124,BT124,CB124,CJ124)-CR124</f>
        <v>0</v>
      </c>
      <c r="DK124" s="117" t="n">
        <f aca="false">SUM(E124,K124,Q124,W124,AE124,AM124,AV124,BD124,BL124,BU124,CC124,CK124)-CS124</f>
        <v>0</v>
      </c>
      <c r="DL124" s="117" t="n">
        <f aca="false">SUM(G124,M124,S124,AA124,AI124,AR124,AZ124,BH124,BQ124,BY124,CG124,CO124)-CW124</f>
        <v>0</v>
      </c>
      <c r="DM124" s="117" t="n">
        <f aca="false">SUM(D124,J124,P124,V124,AD124,AL124,AU124,BC124,,BN124,BV124,CD124,CL124)-CT124</f>
        <v>0</v>
      </c>
      <c r="DN124" s="413"/>
      <c r="DO124" s="413"/>
      <c r="DP124" s="439" t="n">
        <v>0</v>
      </c>
      <c r="DQ124" s="415" t="n">
        <f aca="false">-CR124+DP124/10^6</f>
        <v>0</v>
      </c>
      <c r="DR124" s="117" t="n">
        <f aca="false">SUM(E124,K124,Q124,W124,AE124,AM124,AV124,BD124,BL124,BU124,CC124,CK124)-CS124</f>
        <v>0</v>
      </c>
      <c r="DS124" s="117" t="n">
        <f aca="false">SUM(D124,J124,P124,V124,AD124,AL124,AU124,BC124,,BN124,BV124,CD124,CL124)-CT124</f>
        <v>0</v>
      </c>
      <c r="DT124" s="416"/>
      <c r="DU124" s="440" t="n">
        <v>0</v>
      </c>
      <c r="DV124" s="418" t="n">
        <f aca="false">DU124-CJ124</f>
        <v>0</v>
      </c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  <c r="EB124" s="419"/>
    </row>
    <row r="125" s="441" customFormat="true" ht="15.75" hidden="true" customHeight="true" outlineLevel="1" collapsed="false">
      <c r="A125" s="286"/>
      <c r="B125" s="444" t="s">
        <v>323</v>
      </c>
      <c r="C125" s="431" t="s">
        <v>324</v>
      </c>
      <c r="D125" s="432"/>
      <c r="E125" s="433"/>
      <c r="F125" s="433"/>
      <c r="G125" s="433"/>
      <c r="H125" s="434"/>
      <c r="I125" s="422"/>
      <c r="J125" s="432"/>
      <c r="K125" s="433"/>
      <c r="L125" s="433"/>
      <c r="M125" s="433"/>
      <c r="N125" s="434"/>
      <c r="O125" s="435"/>
      <c r="P125" s="432"/>
      <c r="Q125" s="433"/>
      <c r="R125" s="433"/>
      <c r="S125" s="433"/>
      <c r="T125" s="434"/>
      <c r="U125" s="423"/>
      <c r="V125" s="432"/>
      <c r="W125" s="433"/>
      <c r="X125" s="433"/>
      <c r="Y125" s="433"/>
      <c r="Z125" s="433"/>
      <c r="AA125" s="433"/>
      <c r="AB125" s="434"/>
      <c r="AC125" s="435"/>
      <c r="AD125" s="432"/>
      <c r="AE125" s="433"/>
      <c r="AF125" s="433"/>
      <c r="AG125" s="433"/>
      <c r="AH125" s="433"/>
      <c r="AI125" s="433"/>
      <c r="AJ125" s="434"/>
      <c r="AK125" s="435"/>
      <c r="AL125" s="432"/>
      <c r="AM125" s="433"/>
      <c r="AN125" s="433"/>
      <c r="AO125" s="433"/>
      <c r="AP125" s="433"/>
      <c r="AQ125" s="433"/>
      <c r="AR125" s="433"/>
      <c r="AS125" s="434"/>
      <c r="AT125" s="424"/>
      <c r="AU125" s="432"/>
      <c r="AV125" s="433"/>
      <c r="AW125" s="433"/>
      <c r="AX125" s="433"/>
      <c r="AY125" s="433"/>
      <c r="AZ125" s="433"/>
      <c r="BA125" s="434"/>
      <c r="BB125" s="435"/>
      <c r="BC125" s="432"/>
      <c r="BD125" s="433"/>
      <c r="BE125" s="433"/>
      <c r="BF125" s="433"/>
      <c r="BG125" s="433"/>
      <c r="BH125" s="433"/>
      <c r="BI125" s="434"/>
      <c r="BJ125" s="436"/>
      <c r="BK125" s="432"/>
      <c r="BL125" s="433"/>
      <c r="BM125" s="433"/>
      <c r="BN125" s="433"/>
      <c r="BO125" s="433"/>
      <c r="BP125" s="433"/>
      <c r="BQ125" s="433"/>
      <c r="BR125" s="434"/>
      <c r="BS125" s="436"/>
      <c r="BT125" s="432"/>
      <c r="BU125" s="433"/>
      <c r="BV125" s="433"/>
      <c r="BW125" s="433"/>
      <c r="BX125" s="433"/>
      <c r="BY125" s="433"/>
      <c r="BZ125" s="434"/>
      <c r="CA125" s="373"/>
      <c r="CB125" s="432"/>
      <c r="CC125" s="433"/>
      <c r="CD125" s="433"/>
      <c r="CE125" s="433"/>
      <c r="CF125" s="433"/>
      <c r="CG125" s="433"/>
      <c r="CH125" s="434"/>
      <c r="CI125" s="373"/>
      <c r="CJ125" s="432"/>
      <c r="CK125" s="433"/>
      <c r="CL125" s="433"/>
      <c r="CM125" s="433"/>
      <c r="CN125" s="433"/>
      <c r="CO125" s="433"/>
      <c r="CP125" s="434"/>
      <c r="CQ125" s="435"/>
      <c r="CR125" s="432"/>
      <c r="CS125" s="433"/>
      <c r="CT125" s="433"/>
      <c r="CU125" s="433" t="n">
        <f aca="false">+CR125-CS125</f>
        <v>0</v>
      </c>
      <c r="CV125" s="433" t="n">
        <f aca="false">+CR125-CT125</f>
        <v>0</v>
      </c>
      <c r="CW125" s="433"/>
      <c r="CX125" s="434" t="str">
        <f aca="false">IFERROR(CR125/CW125-1, "-")</f>
        <v>-</v>
      </c>
      <c r="CY125" s="425"/>
      <c r="CZ125" s="437"/>
      <c r="DA125" s="433"/>
      <c r="DB125" s="433"/>
      <c r="DC125" s="433"/>
      <c r="DD125" s="433"/>
      <c r="DE125" s="434" t="e">
        <f aca="false">+CZ125/DD125-1</f>
        <v>#DIV/0!</v>
      </c>
      <c r="DF125" s="434" t="e">
        <f aca="false">+DA125/DD125-1</f>
        <v>#DIV/0!</v>
      </c>
      <c r="DG125" s="438" t="e">
        <f aca="false">+DB125/DD125-1</f>
        <v>#DIV/0!</v>
      </c>
      <c r="DH125" s="438" t="e">
        <f aca="false">+DC125/DD125-1</f>
        <v>#DIV/0!</v>
      </c>
      <c r="DI125" s="413"/>
      <c r="DJ125" s="117" t="n">
        <f aca="false">SUM(D125,J125,P125,V125,AD125,AL125,AU125,BC125,BK125,BT125,CB125,CJ125)-CR125</f>
        <v>0</v>
      </c>
      <c r="DK125" s="117" t="n">
        <f aca="false">SUM(E125,K125,Q125,W125,AE125,AM125,AV125,BD125,BL125,BU125,CC125,CK125)-CS125</f>
        <v>0</v>
      </c>
      <c r="DL125" s="117" t="n">
        <f aca="false">SUM(G125,M125,S125,AA125,AI125,AR125,AZ125,BH125,BQ125,BY125,CG125,CO125)-CW125</f>
        <v>0</v>
      </c>
      <c r="DM125" s="117" t="n">
        <f aca="false">SUM(D125,J125,P125,V125,AD125,AL125,AU125,BC125,,BN125,BV125,CD125,CL125)-CT125</f>
        <v>0</v>
      </c>
      <c r="DN125" s="413"/>
      <c r="DO125" s="413"/>
      <c r="DP125" s="439" t="n">
        <v>101516115</v>
      </c>
      <c r="DQ125" s="415" t="n">
        <f aca="false">-CR125+DP125/10^6</f>
        <v>101.516115</v>
      </c>
      <c r="DR125" s="117" t="n">
        <f aca="false">SUM(E125,K125,Q125,W125,AE125,AM125,AV125,BD125,BL125,BU125,CC125,CK125)-CS125</f>
        <v>0</v>
      </c>
      <c r="DS125" s="117" t="n">
        <f aca="false">SUM(D125,J125,P125,V125,AD125,AL125,AU125,BC125,,BN125,BV125,CD125,CL125)-CT125</f>
        <v>0</v>
      </c>
      <c r="DT125" s="416"/>
      <c r="DU125" s="440" t="n">
        <v>8.630277</v>
      </c>
      <c r="DV125" s="418" t="n">
        <f aca="false">DU125-CJ125</f>
        <v>8.630277</v>
      </c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  <c r="EB125" s="419"/>
    </row>
    <row r="126" s="441" customFormat="true" ht="15.75" hidden="true" customHeight="true" outlineLevel="1" collapsed="false">
      <c r="A126" s="286"/>
      <c r="B126" s="444" t="s">
        <v>325</v>
      </c>
      <c r="C126" s="431" t="s">
        <v>326</v>
      </c>
      <c r="D126" s="432"/>
      <c r="E126" s="433"/>
      <c r="F126" s="433"/>
      <c r="G126" s="433"/>
      <c r="H126" s="434"/>
      <c r="I126" s="422"/>
      <c r="J126" s="432"/>
      <c r="K126" s="433"/>
      <c r="L126" s="433"/>
      <c r="M126" s="433"/>
      <c r="N126" s="434"/>
      <c r="O126" s="435"/>
      <c r="P126" s="432"/>
      <c r="Q126" s="433"/>
      <c r="R126" s="433"/>
      <c r="S126" s="433"/>
      <c r="T126" s="434"/>
      <c r="U126" s="423"/>
      <c r="V126" s="432"/>
      <c r="W126" s="433"/>
      <c r="X126" s="433"/>
      <c r="Y126" s="433"/>
      <c r="Z126" s="433"/>
      <c r="AA126" s="433"/>
      <c r="AB126" s="434"/>
      <c r="AC126" s="435"/>
      <c r="AD126" s="432"/>
      <c r="AE126" s="433"/>
      <c r="AF126" s="433"/>
      <c r="AG126" s="433"/>
      <c r="AH126" s="433"/>
      <c r="AI126" s="433"/>
      <c r="AJ126" s="434"/>
      <c r="AK126" s="435"/>
      <c r="AL126" s="432"/>
      <c r="AM126" s="433"/>
      <c r="AN126" s="433"/>
      <c r="AO126" s="433"/>
      <c r="AP126" s="433"/>
      <c r="AQ126" s="433"/>
      <c r="AR126" s="433"/>
      <c r="AS126" s="434"/>
      <c r="AT126" s="424"/>
      <c r="AU126" s="432"/>
      <c r="AV126" s="433"/>
      <c r="AW126" s="433"/>
      <c r="AX126" s="433"/>
      <c r="AY126" s="433"/>
      <c r="AZ126" s="433"/>
      <c r="BA126" s="434"/>
      <c r="BB126" s="435"/>
      <c r="BC126" s="432"/>
      <c r="BD126" s="433"/>
      <c r="BE126" s="433"/>
      <c r="BF126" s="433"/>
      <c r="BG126" s="433"/>
      <c r="BH126" s="433"/>
      <c r="BI126" s="434"/>
      <c r="BJ126" s="436"/>
      <c r="BK126" s="432"/>
      <c r="BL126" s="433"/>
      <c r="BM126" s="433"/>
      <c r="BN126" s="433"/>
      <c r="BO126" s="433"/>
      <c r="BP126" s="433"/>
      <c r="BQ126" s="433"/>
      <c r="BR126" s="434"/>
      <c r="BS126" s="436"/>
      <c r="BT126" s="432"/>
      <c r="BU126" s="433"/>
      <c r="BV126" s="433"/>
      <c r="BW126" s="433"/>
      <c r="BX126" s="433"/>
      <c r="BY126" s="433"/>
      <c r="BZ126" s="434"/>
      <c r="CA126" s="373"/>
      <c r="CB126" s="432"/>
      <c r="CC126" s="433"/>
      <c r="CD126" s="433"/>
      <c r="CE126" s="433"/>
      <c r="CF126" s="433"/>
      <c r="CG126" s="433"/>
      <c r="CH126" s="434"/>
      <c r="CI126" s="373"/>
      <c r="CJ126" s="432"/>
      <c r="CK126" s="433"/>
      <c r="CL126" s="433"/>
      <c r="CM126" s="433"/>
      <c r="CN126" s="433"/>
      <c r="CO126" s="433"/>
      <c r="CP126" s="434"/>
      <c r="CQ126" s="435"/>
      <c r="CR126" s="432"/>
      <c r="CS126" s="433"/>
      <c r="CT126" s="433"/>
      <c r="CU126" s="433" t="n">
        <f aca="false">+CR126-CS126</f>
        <v>0</v>
      </c>
      <c r="CV126" s="433" t="n">
        <f aca="false">+CR126-CT126</f>
        <v>0</v>
      </c>
      <c r="CW126" s="433"/>
      <c r="CX126" s="434" t="str">
        <f aca="false">IFERROR(CR126/CW126-1, "-")</f>
        <v>-</v>
      </c>
      <c r="CY126" s="425"/>
      <c r="CZ126" s="437"/>
      <c r="DA126" s="433"/>
      <c r="DB126" s="433"/>
      <c r="DC126" s="433"/>
      <c r="DD126" s="433"/>
      <c r="DE126" s="434"/>
      <c r="DF126" s="434"/>
      <c r="DG126" s="438"/>
      <c r="DH126" s="438"/>
      <c r="DI126" s="413"/>
      <c r="DJ126" s="117" t="n">
        <f aca="false">SUM(D126,J126,P126,V126,AD126,AL126,AU126,BC126,BK126,BT126,CB126,CJ126)-CR126</f>
        <v>0</v>
      </c>
      <c r="DK126" s="117" t="n">
        <f aca="false">SUM(E126,K126,Q126,W126,AE126,AM126,AV126,BD126,BL126,BU126,CC126,CK126)-CS126</f>
        <v>0</v>
      </c>
      <c r="DL126" s="117" t="n">
        <f aca="false">SUM(G126,M126,S126,AA126,AI126,AR126,AZ126,BH126,BQ126,BY126,CG126,CO126)-CW126</f>
        <v>0</v>
      </c>
      <c r="DM126" s="117" t="n">
        <f aca="false">SUM(D126,J126,P126,V126,AD126,AL126,AU126,BC126,,BN126,BV126,CD126,CL126)-CT126</f>
        <v>0</v>
      </c>
      <c r="DN126" s="413"/>
      <c r="DO126" s="413"/>
      <c r="DP126" s="439" t="n">
        <v>0</v>
      </c>
      <c r="DQ126" s="415" t="n">
        <f aca="false">-CR126+DP126/10^6</f>
        <v>0</v>
      </c>
      <c r="DR126" s="117" t="n">
        <f aca="false">SUM(E126,K126,Q126,W126,AE126,AM126,AV126,BD126,BL126,BU126,CC126,CK126)-CS126</f>
        <v>0</v>
      </c>
      <c r="DS126" s="117" t="n">
        <f aca="false">SUM(D126,J126,P126,V126,AD126,AL126,AU126,BC126,,BN126,BV126,CD126,CL126)-CT126</f>
        <v>0</v>
      </c>
      <c r="DT126" s="416"/>
      <c r="DU126" s="440" t="n">
        <v>0</v>
      </c>
      <c r="DV126" s="418" t="n">
        <f aca="false">DU126-CJ126</f>
        <v>0</v>
      </c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  <c r="EB126" s="419"/>
    </row>
    <row r="127" s="441" customFormat="true" ht="15.75" hidden="true" customHeight="true" outlineLevel="1" collapsed="false">
      <c r="A127" s="286"/>
      <c r="B127" s="444" t="s">
        <v>327</v>
      </c>
      <c r="C127" s="431" t="s">
        <v>328</v>
      </c>
      <c r="D127" s="432"/>
      <c r="E127" s="433"/>
      <c r="F127" s="433"/>
      <c r="G127" s="433"/>
      <c r="H127" s="434"/>
      <c r="I127" s="422"/>
      <c r="J127" s="432"/>
      <c r="K127" s="433"/>
      <c r="L127" s="433"/>
      <c r="M127" s="433"/>
      <c r="N127" s="434"/>
      <c r="O127" s="435"/>
      <c r="P127" s="432"/>
      <c r="Q127" s="433"/>
      <c r="R127" s="433"/>
      <c r="S127" s="433"/>
      <c r="T127" s="434"/>
      <c r="U127" s="423"/>
      <c r="V127" s="432"/>
      <c r="W127" s="433"/>
      <c r="X127" s="433"/>
      <c r="Y127" s="433"/>
      <c r="Z127" s="433"/>
      <c r="AA127" s="433"/>
      <c r="AB127" s="434"/>
      <c r="AC127" s="435"/>
      <c r="AD127" s="432"/>
      <c r="AE127" s="433"/>
      <c r="AF127" s="433"/>
      <c r="AG127" s="433"/>
      <c r="AH127" s="433"/>
      <c r="AI127" s="433"/>
      <c r="AJ127" s="434"/>
      <c r="AK127" s="435"/>
      <c r="AL127" s="432"/>
      <c r="AM127" s="433"/>
      <c r="AN127" s="433"/>
      <c r="AO127" s="433"/>
      <c r="AP127" s="433"/>
      <c r="AQ127" s="433"/>
      <c r="AR127" s="433"/>
      <c r="AS127" s="434"/>
      <c r="AT127" s="424"/>
      <c r="AU127" s="432"/>
      <c r="AV127" s="433"/>
      <c r="AW127" s="433"/>
      <c r="AX127" s="433"/>
      <c r="AY127" s="433"/>
      <c r="AZ127" s="433"/>
      <c r="BA127" s="434"/>
      <c r="BB127" s="435"/>
      <c r="BC127" s="432"/>
      <c r="BD127" s="433"/>
      <c r="BE127" s="433"/>
      <c r="BF127" s="433"/>
      <c r="BG127" s="433"/>
      <c r="BH127" s="433"/>
      <c r="BI127" s="434"/>
      <c r="BJ127" s="436"/>
      <c r="BK127" s="432"/>
      <c r="BL127" s="433"/>
      <c r="BM127" s="433"/>
      <c r="BN127" s="433"/>
      <c r="BO127" s="433"/>
      <c r="BP127" s="433"/>
      <c r="BQ127" s="433"/>
      <c r="BR127" s="434"/>
      <c r="BS127" s="436"/>
      <c r="BT127" s="432"/>
      <c r="BU127" s="433"/>
      <c r="BV127" s="433"/>
      <c r="BW127" s="433"/>
      <c r="BX127" s="433"/>
      <c r="BY127" s="433"/>
      <c r="BZ127" s="434"/>
      <c r="CA127" s="373"/>
      <c r="CB127" s="432"/>
      <c r="CC127" s="433"/>
      <c r="CD127" s="433"/>
      <c r="CE127" s="433"/>
      <c r="CF127" s="433"/>
      <c r="CG127" s="433"/>
      <c r="CH127" s="434"/>
      <c r="CI127" s="373"/>
      <c r="CJ127" s="432"/>
      <c r="CK127" s="433"/>
      <c r="CL127" s="433"/>
      <c r="CM127" s="433"/>
      <c r="CN127" s="433"/>
      <c r="CO127" s="433"/>
      <c r="CP127" s="434"/>
      <c r="CQ127" s="435"/>
      <c r="CR127" s="432"/>
      <c r="CS127" s="433"/>
      <c r="CT127" s="433"/>
      <c r="CU127" s="433" t="n">
        <f aca="false">+CR127-CS127</f>
        <v>0</v>
      </c>
      <c r="CV127" s="433" t="n">
        <f aca="false">+CR127-CT127</f>
        <v>0</v>
      </c>
      <c r="CW127" s="433"/>
      <c r="CX127" s="434" t="str">
        <f aca="false">IFERROR(CR127/CW127-1, "-")</f>
        <v>-</v>
      </c>
      <c r="CY127" s="425"/>
      <c r="CZ127" s="437"/>
      <c r="DA127" s="433"/>
      <c r="DB127" s="433"/>
      <c r="DC127" s="433"/>
      <c r="DD127" s="433"/>
      <c r="DE127" s="434"/>
      <c r="DF127" s="434"/>
      <c r="DG127" s="438"/>
      <c r="DH127" s="438"/>
      <c r="DI127" s="413"/>
      <c r="DJ127" s="117" t="n">
        <f aca="false">SUM(D127,J127,P127,V127,AD127,AL127,AU127,BC127,BK127,BT127,CB127,CJ127)-CR127</f>
        <v>0</v>
      </c>
      <c r="DK127" s="117" t="n">
        <f aca="false">SUM(E127,K127,Q127,W127,AE127,AM127,AV127,BD127,BL127,BU127,CC127,CK127)-CS127</f>
        <v>0</v>
      </c>
      <c r="DL127" s="117" t="n">
        <f aca="false">SUM(G127,M127,S127,AA127,AI127,AR127,AZ127,BH127,BQ127,BY127,CG127,CO127)-CW127</f>
        <v>0</v>
      </c>
      <c r="DM127" s="117" t="n">
        <f aca="false">SUM(D127,J127,P127,V127,AD127,AL127,AU127,BC127,,BN127,BV127,CD127,CL127)-CT127</f>
        <v>0</v>
      </c>
      <c r="DN127" s="413"/>
      <c r="DO127" s="413"/>
      <c r="DP127" s="439" t="n">
        <v>0</v>
      </c>
      <c r="DQ127" s="415" t="n">
        <f aca="false">-CR127+DP127/10^6</f>
        <v>0</v>
      </c>
      <c r="DR127" s="117" t="n">
        <f aca="false">SUM(E127,K127,Q127,W127,AE127,AM127,AV127,BD127,BL127,BU127,CC127,CK127)-CS127</f>
        <v>0</v>
      </c>
      <c r="DS127" s="117" t="n">
        <f aca="false">SUM(D127,J127,P127,V127,AD127,AL127,AU127,BC127,,BN127,BV127,CD127,CL127)-CT127</f>
        <v>0</v>
      </c>
      <c r="DT127" s="416"/>
      <c r="DU127" s="440" t="n">
        <v>0</v>
      </c>
      <c r="DV127" s="418" t="n">
        <f aca="false">DU127-CJ127</f>
        <v>0</v>
      </c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  <c r="EB127" s="419"/>
    </row>
    <row r="128" s="441" customFormat="true" ht="15.75" hidden="true" customHeight="true" outlineLevel="1" collapsed="false">
      <c r="A128" s="286"/>
      <c r="B128" s="444" t="s">
        <v>329</v>
      </c>
      <c r="C128" s="431" t="s">
        <v>330</v>
      </c>
      <c r="D128" s="432"/>
      <c r="E128" s="433"/>
      <c r="F128" s="433"/>
      <c r="G128" s="433"/>
      <c r="H128" s="434"/>
      <c r="I128" s="422"/>
      <c r="J128" s="432"/>
      <c r="K128" s="433"/>
      <c r="L128" s="433"/>
      <c r="M128" s="433"/>
      <c r="N128" s="434"/>
      <c r="O128" s="435"/>
      <c r="P128" s="432"/>
      <c r="Q128" s="433"/>
      <c r="R128" s="433"/>
      <c r="S128" s="433"/>
      <c r="T128" s="434"/>
      <c r="U128" s="423"/>
      <c r="V128" s="432"/>
      <c r="W128" s="433"/>
      <c r="X128" s="433"/>
      <c r="Y128" s="433"/>
      <c r="Z128" s="433"/>
      <c r="AA128" s="433"/>
      <c r="AB128" s="434"/>
      <c r="AC128" s="435"/>
      <c r="AD128" s="432"/>
      <c r="AE128" s="433"/>
      <c r="AF128" s="433"/>
      <c r="AG128" s="433"/>
      <c r="AH128" s="433"/>
      <c r="AI128" s="433"/>
      <c r="AJ128" s="434"/>
      <c r="AK128" s="435"/>
      <c r="AL128" s="432"/>
      <c r="AM128" s="433"/>
      <c r="AN128" s="433"/>
      <c r="AO128" s="433"/>
      <c r="AP128" s="433"/>
      <c r="AQ128" s="433"/>
      <c r="AR128" s="433"/>
      <c r="AS128" s="434"/>
      <c r="AT128" s="424"/>
      <c r="AU128" s="432"/>
      <c r="AV128" s="433"/>
      <c r="AW128" s="433"/>
      <c r="AX128" s="433"/>
      <c r="AY128" s="433"/>
      <c r="AZ128" s="433"/>
      <c r="BA128" s="434"/>
      <c r="BB128" s="435"/>
      <c r="BC128" s="432"/>
      <c r="BD128" s="433"/>
      <c r="BE128" s="433"/>
      <c r="BF128" s="433"/>
      <c r="BG128" s="433"/>
      <c r="BH128" s="433"/>
      <c r="BI128" s="434"/>
      <c r="BJ128" s="436"/>
      <c r="BK128" s="432"/>
      <c r="BL128" s="433"/>
      <c r="BM128" s="433"/>
      <c r="BN128" s="433"/>
      <c r="BO128" s="433"/>
      <c r="BP128" s="433"/>
      <c r="BQ128" s="433"/>
      <c r="BR128" s="434"/>
      <c r="BS128" s="436"/>
      <c r="BT128" s="432"/>
      <c r="BU128" s="433"/>
      <c r="BV128" s="433"/>
      <c r="BW128" s="433"/>
      <c r="BX128" s="433"/>
      <c r="BY128" s="433"/>
      <c r="BZ128" s="434"/>
      <c r="CA128" s="373"/>
      <c r="CB128" s="432"/>
      <c r="CC128" s="433"/>
      <c r="CD128" s="433"/>
      <c r="CE128" s="433"/>
      <c r="CF128" s="433"/>
      <c r="CG128" s="433"/>
      <c r="CH128" s="434"/>
      <c r="CI128" s="373"/>
      <c r="CJ128" s="432"/>
      <c r="CK128" s="433"/>
      <c r="CL128" s="433"/>
      <c r="CM128" s="433"/>
      <c r="CN128" s="433"/>
      <c r="CO128" s="433"/>
      <c r="CP128" s="434"/>
      <c r="CQ128" s="435"/>
      <c r="CR128" s="432"/>
      <c r="CS128" s="433"/>
      <c r="CT128" s="433"/>
      <c r="CU128" s="433" t="n">
        <f aca="false">+CR128-CS128</f>
        <v>0</v>
      </c>
      <c r="CV128" s="433" t="n">
        <f aca="false">+CR128-CT128</f>
        <v>0</v>
      </c>
      <c r="CW128" s="433"/>
      <c r="CX128" s="434" t="str">
        <f aca="false">IFERROR(CR128/CW128-1, "-")</f>
        <v>-</v>
      </c>
      <c r="CY128" s="425"/>
      <c r="CZ128" s="437"/>
      <c r="DA128" s="433"/>
      <c r="DB128" s="433"/>
      <c r="DC128" s="433"/>
      <c r="DD128" s="433"/>
      <c r="DE128" s="434" t="e">
        <f aca="false">+CZ128/DD128-1</f>
        <v>#DIV/0!</v>
      </c>
      <c r="DF128" s="434" t="e">
        <f aca="false">+DA128/DD128-1</f>
        <v>#DIV/0!</v>
      </c>
      <c r="DG128" s="438" t="e">
        <f aca="false">+DB128/DD128-1</f>
        <v>#DIV/0!</v>
      </c>
      <c r="DH128" s="438" t="e">
        <f aca="false">+DC128/DD128-1</f>
        <v>#DIV/0!</v>
      </c>
      <c r="DI128" s="413"/>
      <c r="DJ128" s="117" t="n">
        <f aca="false">SUM(D128,J128,P128,V128,AD128,AL128,AU128,BC128,BK128,BT128,CB128,CJ128)-CR128</f>
        <v>0</v>
      </c>
      <c r="DK128" s="117" t="n">
        <f aca="false">SUM(E128,K128,Q128,W128,AE128,AM128,AV128,BD128,BL128,BU128,CC128,CK128)-CS128</f>
        <v>0</v>
      </c>
      <c r="DL128" s="117" t="n">
        <f aca="false">SUM(G128,M128,S128,AA128,AI128,AR128,AZ128,BH128,BQ128,BY128,CG128,CO128)-CW128</f>
        <v>0</v>
      </c>
      <c r="DM128" s="117" t="n">
        <f aca="false">SUM(D128,J128,P128,V128,AD128,AL128,AU128,BC128,,BN128,BV128,CD128,CL128)-CT128</f>
        <v>0</v>
      </c>
      <c r="DN128" s="413"/>
      <c r="DO128" s="413"/>
      <c r="DP128" s="439" t="n">
        <v>0</v>
      </c>
      <c r="DQ128" s="415" t="n">
        <f aca="false">-CR128+DP128/10^6</f>
        <v>0</v>
      </c>
      <c r="DR128" s="117" t="n">
        <f aca="false">SUM(E128,K128,Q128,W128,AE128,AM128,AV128,BD128,BL128,BU128,CC128,CK128)-CS128</f>
        <v>0</v>
      </c>
      <c r="DS128" s="117" t="n">
        <f aca="false">SUM(D128,J128,P128,V128,AD128,AL128,AU128,BC128,,BN128,BV128,CD128,CL128)-CT128</f>
        <v>0</v>
      </c>
      <c r="DT128" s="416"/>
      <c r="DU128" s="440" t="n">
        <v>0</v>
      </c>
      <c r="DV128" s="418" t="n">
        <f aca="false">DU128-CJ128</f>
        <v>0</v>
      </c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  <c r="EB128" s="419"/>
    </row>
    <row r="129" s="441" customFormat="true" ht="15.75" hidden="true" customHeight="true" outlineLevel="1" collapsed="false">
      <c r="A129" s="286"/>
      <c r="B129" s="444" t="s">
        <v>331</v>
      </c>
      <c r="C129" s="431" t="s">
        <v>332</v>
      </c>
      <c r="D129" s="432"/>
      <c r="E129" s="433"/>
      <c r="F129" s="433"/>
      <c r="G129" s="433"/>
      <c r="H129" s="434"/>
      <c r="I129" s="422"/>
      <c r="J129" s="432"/>
      <c r="K129" s="433"/>
      <c r="L129" s="433"/>
      <c r="M129" s="433"/>
      <c r="N129" s="434"/>
      <c r="O129" s="435"/>
      <c r="P129" s="432"/>
      <c r="Q129" s="433"/>
      <c r="R129" s="433"/>
      <c r="S129" s="433"/>
      <c r="T129" s="434"/>
      <c r="U129" s="423"/>
      <c r="V129" s="432"/>
      <c r="W129" s="433"/>
      <c r="X129" s="433"/>
      <c r="Y129" s="433"/>
      <c r="Z129" s="433"/>
      <c r="AA129" s="433"/>
      <c r="AB129" s="434"/>
      <c r="AC129" s="435"/>
      <c r="AD129" s="432"/>
      <c r="AE129" s="433"/>
      <c r="AF129" s="433"/>
      <c r="AG129" s="433"/>
      <c r="AH129" s="433"/>
      <c r="AI129" s="433"/>
      <c r="AJ129" s="434"/>
      <c r="AK129" s="435"/>
      <c r="AL129" s="432"/>
      <c r="AM129" s="433"/>
      <c r="AN129" s="433"/>
      <c r="AO129" s="433"/>
      <c r="AP129" s="433"/>
      <c r="AQ129" s="433"/>
      <c r="AR129" s="433"/>
      <c r="AS129" s="434"/>
      <c r="AT129" s="424"/>
      <c r="AU129" s="432"/>
      <c r="AV129" s="433"/>
      <c r="AW129" s="433"/>
      <c r="AX129" s="433"/>
      <c r="AY129" s="433"/>
      <c r="AZ129" s="433"/>
      <c r="BA129" s="434"/>
      <c r="BB129" s="435"/>
      <c r="BC129" s="432"/>
      <c r="BD129" s="433"/>
      <c r="BE129" s="433"/>
      <c r="BF129" s="433"/>
      <c r="BG129" s="433"/>
      <c r="BH129" s="433"/>
      <c r="BI129" s="434"/>
      <c r="BJ129" s="436"/>
      <c r="BK129" s="432"/>
      <c r="BL129" s="433"/>
      <c r="BM129" s="433"/>
      <c r="BN129" s="433"/>
      <c r="BO129" s="433"/>
      <c r="BP129" s="433"/>
      <c r="BQ129" s="433"/>
      <c r="BR129" s="434"/>
      <c r="BS129" s="436"/>
      <c r="BT129" s="432"/>
      <c r="BU129" s="433"/>
      <c r="BV129" s="433"/>
      <c r="BW129" s="433"/>
      <c r="BX129" s="433"/>
      <c r="BY129" s="433"/>
      <c r="BZ129" s="434"/>
      <c r="CA129" s="373"/>
      <c r="CB129" s="432"/>
      <c r="CC129" s="433"/>
      <c r="CD129" s="433"/>
      <c r="CE129" s="433"/>
      <c r="CF129" s="433"/>
      <c r="CG129" s="433"/>
      <c r="CH129" s="434"/>
      <c r="CI129" s="373"/>
      <c r="CJ129" s="432"/>
      <c r="CK129" s="433"/>
      <c r="CL129" s="433"/>
      <c r="CM129" s="433"/>
      <c r="CN129" s="433"/>
      <c r="CO129" s="433"/>
      <c r="CP129" s="434"/>
      <c r="CQ129" s="435"/>
      <c r="CR129" s="432"/>
      <c r="CS129" s="433"/>
      <c r="CT129" s="433"/>
      <c r="CU129" s="433" t="n">
        <f aca="false">+CR129-CS129</f>
        <v>0</v>
      </c>
      <c r="CV129" s="433" t="n">
        <f aca="false">+CR129-CT129</f>
        <v>0</v>
      </c>
      <c r="CW129" s="433"/>
      <c r="CX129" s="434" t="str">
        <f aca="false">IFERROR(CR129/CW129-1, "-")</f>
        <v>-</v>
      </c>
      <c r="CY129" s="425"/>
      <c r="CZ129" s="437"/>
      <c r="DA129" s="433"/>
      <c r="DB129" s="433"/>
      <c r="DC129" s="433"/>
      <c r="DD129" s="433"/>
      <c r="DE129" s="434"/>
      <c r="DF129" s="434"/>
      <c r="DG129" s="438"/>
      <c r="DH129" s="438"/>
      <c r="DI129" s="413"/>
      <c r="DJ129" s="117" t="n">
        <f aca="false">SUM(D129,J129,P129,V129,AD129,AL129,AU129,BC129,BK129,BT129,CB129,CJ129)-CR129</f>
        <v>0</v>
      </c>
      <c r="DK129" s="117" t="n">
        <f aca="false">SUM(E129,K129,Q129,W129,AE129,AM129,AV129,BD129,BL129,BU129,CC129,CK129)-CS129</f>
        <v>0</v>
      </c>
      <c r="DL129" s="117" t="n">
        <f aca="false">SUM(G129,M129,S129,AA129,AI129,AR129,AZ129,BH129,BQ129,BY129,CG129,CO129)-CW129</f>
        <v>0</v>
      </c>
      <c r="DM129" s="117" t="n">
        <f aca="false">SUM(D129,J129,P129,V129,AD129,AL129,AU129,BC129,,BN129,BV129,CD129,CL129)-CT129</f>
        <v>0</v>
      </c>
      <c r="DN129" s="413"/>
      <c r="DO129" s="413"/>
      <c r="DP129" s="439" t="n">
        <v>225000</v>
      </c>
      <c r="DQ129" s="415" t="n">
        <f aca="false">-CR129+DP129/10^6</f>
        <v>0.225</v>
      </c>
      <c r="DR129" s="117" t="n">
        <f aca="false">SUM(E129,K129,Q129,W129,AE129,AM129,AV129,BD129,BL129,BU129,CC129,CK129)-CS129</f>
        <v>0</v>
      </c>
      <c r="DS129" s="117" t="n">
        <f aca="false">SUM(D129,J129,P129,V129,AD129,AL129,AU129,BC129,,BN129,BV129,CD129,CL129)-CT129</f>
        <v>0</v>
      </c>
      <c r="DT129" s="416"/>
      <c r="DU129" s="440" t="n">
        <v>0</v>
      </c>
      <c r="DV129" s="418" t="n">
        <f aca="false">DU129-CJ129</f>
        <v>0</v>
      </c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  <c r="EB129" s="419"/>
    </row>
    <row r="130" s="441" customFormat="true" ht="15.75" hidden="true" customHeight="true" outlineLevel="1" collapsed="false">
      <c r="A130" s="286"/>
      <c r="B130" s="444" t="s">
        <v>333</v>
      </c>
      <c r="C130" s="431" t="s">
        <v>334</v>
      </c>
      <c r="D130" s="455"/>
      <c r="E130" s="433"/>
      <c r="F130" s="433"/>
      <c r="G130" s="433"/>
      <c r="H130" s="434"/>
      <c r="I130" s="422"/>
      <c r="J130" s="455"/>
      <c r="K130" s="433"/>
      <c r="L130" s="433"/>
      <c r="M130" s="433"/>
      <c r="N130" s="434"/>
      <c r="O130" s="435"/>
      <c r="P130" s="455"/>
      <c r="Q130" s="433"/>
      <c r="R130" s="433"/>
      <c r="S130" s="433"/>
      <c r="T130" s="434"/>
      <c r="U130" s="423"/>
      <c r="V130" s="455"/>
      <c r="W130" s="433"/>
      <c r="X130" s="433"/>
      <c r="Y130" s="433"/>
      <c r="Z130" s="433"/>
      <c r="AA130" s="433"/>
      <c r="AB130" s="434"/>
      <c r="AC130" s="435"/>
      <c r="AD130" s="455"/>
      <c r="AE130" s="433"/>
      <c r="AF130" s="433"/>
      <c r="AG130" s="433"/>
      <c r="AH130" s="433"/>
      <c r="AI130" s="433"/>
      <c r="AJ130" s="434"/>
      <c r="AK130" s="435"/>
      <c r="AL130" s="455"/>
      <c r="AM130" s="433"/>
      <c r="AN130" s="433"/>
      <c r="AO130" s="433"/>
      <c r="AP130" s="433"/>
      <c r="AQ130" s="433"/>
      <c r="AR130" s="433"/>
      <c r="AS130" s="434"/>
      <c r="AT130" s="424"/>
      <c r="AU130" s="455"/>
      <c r="AV130" s="433"/>
      <c r="AW130" s="433"/>
      <c r="AX130" s="433"/>
      <c r="AY130" s="433"/>
      <c r="AZ130" s="433"/>
      <c r="BA130" s="434"/>
      <c r="BB130" s="435"/>
      <c r="BC130" s="455"/>
      <c r="BD130" s="433"/>
      <c r="BE130" s="433"/>
      <c r="BF130" s="433"/>
      <c r="BG130" s="433"/>
      <c r="BH130" s="433"/>
      <c r="BI130" s="434"/>
      <c r="BJ130" s="436"/>
      <c r="BK130" s="455"/>
      <c r="BL130" s="433"/>
      <c r="BM130" s="433"/>
      <c r="BN130" s="433"/>
      <c r="BO130" s="433"/>
      <c r="BP130" s="433"/>
      <c r="BQ130" s="433"/>
      <c r="BR130" s="434"/>
      <c r="BS130" s="436"/>
      <c r="BT130" s="455"/>
      <c r="BU130" s="433"/>
      <c r="BV130" s="433"/>
      <c r="BW130" s="433"/>
      <c r="BX130" s="433"/>
      <c r="BY130" s="433"/>
      <c r="BZ130" s="434"/>
      <c r="CA130" s="373"/>
      <c r="CB130" s="455"/>
      <c r="CC130" s="433"/>
      <c r="CD130" s="433"/>
      <c r="CE130" s="433"/>
      <c r="CF130" s="433"/>
      <c r="CG130" s="433"/>
      <c r="CH130" s="434"/>
      <c r="CI130" s="373"/>
      <c r="CJ130" s="455"/>
      <c r="CK130" s="433"/>
      <c r="CL130" s="433"/>
      <c r="CM130" s="433"/>
      <c r="CN130" s="433"/>
      <c r="CO130" s="433"/>
      <c r="CP130" s="434"/>
      <c r="CQ130" s="435"/>
      <c r="CR130" s="432"/>
      <c r="CS130" s="433"/>
      <c r="CT130" s="433"/>
      <c r="CU130" s="433" t="n">
        <f aca="false">+CR130-CS130</f>
        <v>0</v>
      </c>
      <c r="CV130" s="433" t="n">
        <f aca="false">+CR130-CT130</f>
        <v>0</v>
      </c>
      <c r="CW130" s="433"/>
      <c r="CX130" s="434" t="str">
        <f aca="false">IFERROR(CR130/CW130-1, "-")</f>
        <v>-</v>
      </c>
      <c r="CY130" s="425"/>
      <c r="CZ130" s="437"/>
      <c r="DA130" s="433"/>
      <c r="DB130" s="433"/>
      <c r="DC130" s="433"/>
      <c r="DD130" s="433"/>
      <c r="DE130" s="434" t="e">
        <f aca="false">+CZ130/DD130-1</f>
        <v>#DIV/0!</v>
      </c>
      <c r="DF130" s="434" t="e">
        <f aca="false">+DA130/DD130-1</f>
        <v>#DIV/0!</v>
      </c>
      <c r="DG130" s="438" t="e">
        <f aca="false">+DB130/DD130-1</f>
        <v>#DIV/0!</v>
      </c>
      <c r="DH130" s="438" t="e">
        <f aca="false">+DC130/DD130-1</f>
        <v>#DIV/0!</v>
      </c>
      <c r="DI130" s="413"/>
      <c r="DJ130" s="117" t="n">
        <f aca="false">SUM(D130,J130,P130,V130,AD130,AL130,AU130,BC130,BK130,BT130,CB130,CJ130)-CR130</f>
        <v>0</v>
      </c>
      <c r="DK130" s="117" t="n">
        <f aca="false">SUM(E130,K130,Q130,W130,AE130,AM130,AV130,BD130,BL130,BU130,CC130,CK130)-CS130</f>
        <v>0</v>
      </c>
      <c r="DL130" s="117" t="n">
        <f aca="false">SUM(G130,M130,S130,AA130,AI130,AR130,AZ130,BH130,BQ130,BY130,CG130,CO130)-CW130</f>
        <v>0</v>
      </c>
      <c r="DM130" s="117" t="n">
        <f aca="false">SUM(D130,J130,P130,V130,AD130,AL130,AU130,BC130,,BN130,BV130,CD130,CL130)-CT130</f>
        <v>0</v>
      </c>
      <c r="DN130" s="413"/>
      <c r="DO130" s="413"/>
      <c r="DP130" s="469" t="n">
        <v>3808283</v>
      </c>
      <c r="DQ130" s="415" t="n">
        <f aca="false">-CR130+DP130/10^6</f>
        <v>3.808283</v>
      </c>
      <c r="DR130" s="117" t="n">
        <f aca="false">SUM(E130,K130,Q130,W130,AE130,AM130,AV130,BD130,BL130,BU130,CC130,CK130)-CS130</f>
        <v>0</v>
      </c>
      <c r="DS130" s="117" t="n">
        <f aca="false">SUM(D130,J130,P130,V130,AD130,AL130,AU130,BC130,,BN130,BV130,CD130,CL130)-CT130</f>
        <v>0</v>
      </c>
      <c r="DT130" s="416"/>
      <c r="DU130" s="440" t="n">
        <v>0.060905</v>
      </c>
      <c r="DV130" s="418" t="n">
        <f aca="false">DU130-CJ130</f>
        <v>0.060905</v>
      </c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  <c r="EB130" s="419"/>
    </row>
    <row r="131" s="441" customFormat="true" ht="15.75" hidden="true" customHeight="true" outlineLevel="1" collapsed="false">
      <c r="A131" s="286"/>
      <c r="B131" s="444" t="s">
        <v>335</v>
      </c>
      <c r="C131" s="431" t="s">
        <v>336</v>
      </c>
      <c r="D131" s="432"/>
      <c r="E131" s="433"/>
      <c r="F131" s="433"/>
      <c r="G131" s="433"/>
      <c r="H131" s="434"/>
      <c r="I131" s="422"/>
      <c r="J131" s="432"/>
      <c r="K131" s="433"/>
      <c r="L131" s="433"/>
      <c r="M131" s="433"/>
      <c r="N131" s="434"/>
      <c r="O131" s="435"/>
      <c r="P131" s="432"/>
      <c r="Q131" s="433"/>
      <c r="R131" s="433"/>
      <c r="S131" s="433"/>
      <c r="T131" s="434"/>
      <c r="U131" s="423"/>
      <c r="V131" s="432"/>
      <c r="W131" s="433"/>
      <c r="X131" s="433"/>
      <c r="Y131" s="433"/>
      <c r="Z131" s="433"/>
      <c r="AA131" s="433"/>
      <c r="AB131" s="434"/>
      <c r="AC131" s="435"/>
      <c r="AD131" s="432"/>
      <c r="AE131" s="433"/>
      <c r="AF131" s="433"/>
      <c r="AG131" s="433"/>
      <c r="AH131" s="433"/>
      <c r="AI131" s="433"/>
      <c r="AJ131" s="434"/>
      <c r="AK131" s="435"/>
      <c r="AL131" s="432"/>
      <c r="AM131" s="433"/>
      <c r="AN131" s="433"/>
      <c r="AO131" s="433"/>
      <c r="AP131" s="433"/>
      <c r="AQ131" s="433"/>
      <c r="AR131" s="433"/>
      <c r="AS131" s="434"/>
      <c r="AT131" s="424"/>
      <c r="AU131" s="432"/>
      <c r="AV131" s="433"/>
      <c r="AW131" s="433"/>
      <c r="AX131" s="433"/>
      <c r="AY131" s="433"/>
      <c r="AZ131" s="433"/>
      <c r="BA131" s="434"/>
      <c r="BB131" s="435"/>
      <c r="BC131" s="432"/>
      <c r="BD131" s="433"/>
      <c r="BE131" s="433"/>
      <c r="BF131" s="433"/>
      <c r="BG131" s="433"/>
      <c r="BH131" s="433"/>
      <c r="BI131" s="434"/>
      <c r="BJ131" s="436"/>
      <c r="BK131" s="432"/>
      <c r="BL131" s="433"/>
      <c r="BM131" s="433"/>
      <c r="BN131" s="433"/>
      <c r="BO131" s="433"/>
      <c r="BP131" s="433"/>
      <c r="BQ131" s="433"/>
      <c r="BR131" s="434"/>
      <c r="BS131" s="436"/>
      <c r="BT131" s="432"/>
      <c r="BU131" s="433"/>
      <c r="BV131" s="433"/>
      <c r="BW131" s="433"/>
      <c r="BX131" s="433"/>
      <c r="BY131" s="433"/>
      <c r="BZ131" s="434"/>
      <c r="CA131" s="373"/>
      <c r="CB131" s="432"/>
      <c r="CC131" s="433"/>
      <c r="CD131" s="433"/>
      <c r="CE131" s="433"/>
      <c r="CF131" s="433"/>
      <c r="CG131" s="433"/>
      <c r="CH131" s="434"/>
      <c r="CI131" s="373"/>
      <c r="CJ131" s="432"/>
      <c r="CK131" s="433"/>
      <c r="CL131" s="433"/>
      <c r="CM131" s="433"/>
      <c r="CN131" s="433"/>
      <c r="CO131" s="433"/>
      <c r="CP131" s="434"/>
      <c r="CQ131" s="435"/>
      <c r="CR131" s="432"/>
      <c r="CS131" s="433"/>
      <c r="CT131" s="433"/>
      <c r="CU131" s="433" t="n">
        <f aca="false">+CR131-CS131</f>
        <v>0</v>
      </c>
      <c r="CV131" s="433" t="n">
        <f aca="false">+CR131-CT131</f>
        <v>0</v>
      </c>
      <c r="CW131" s="433"/>
      <c r="CX131" s="434" t="str">
        <f aca="false">IFERROR(CR131/CW131-1, "-")</f>
        <v>-</v>
      </c>
      <c r="CY131" s="425"/>
      <c r="CZ131" s="437"/>
      <c r="DA131" s="433"/>
      <c r="DB131" s="433"/>
      <c r="DC131" s="433"/>
      <c r="DD131" s="433"/>
      <c r="DE131" s="434"/>
      <c r="DF131" s="434"/>
      <c r="DG131" s="438"/>
      <c r="DH131" s="438"/>
      <c r="DI131" s="413"/>
      <c r="DJ131" s="117" t="n">
        <f aca="false">SUM(D131,J131,P131,V131,AD131,AL131,AU131,BC131,BK131,BT131,CB131,CJ131)-CR131</f>
        <v>0</v>
      </c>
      <c r="DK131" s="117" t="n">
        <f aca="false">SUM(E131,K131,Q131,W131,AE131,AM131,AV131,BD131,BL131,BU131,CC131,CK131)-CS131</f>
        <v>0</v>
      </c>
      <c r="DL131" s="117" t="n">
        <f aca="false">SUM(G131,M131,S131,AA131,AI131,AR131,AZ131,BH131,BQ131,BY131,CG131,CO131)-CW131</f>
        <v>0</v>
      </c>
      <c r="DM131" s="117" t="n">
        <f aca="false">SUM(D131,J131,P131,V131,AD131,AL131,AU131,BC131,,BN131,BV131,CD131,CL131)-CT131</f>
        <v>0</v>
      </c>
      <c r="DN131" s="413"/>
      <c r="DO131" s="413"/>
      <c r="DP131" s="439" t="n">
        <v>0</v>
      </c>
      <c r="DQ131" s="415" t="n">
        <f aca="false">-CR131+DP131/10^6</f>
        <v>0</v>
      </c>
      <c r="DR131" s="117" t="n">
        <f aca="false">SUM(E131,K131,Q131,W131,AE131,AM131,AV131,BD131,BL131,BU131,CC131,CK131)-CS131</f>
        <v>0</v>
      </c>
      <c r="DS131" s="117" t="n">
        <f aca="false">SUM(D131,J131,P131,V131,AD131,AL131,AU131,BC131,,BN131,BV131,CD131,CL131)-CT131</f>
        <v>0</v>
      </c>
      <c r="DT131" s="416"/>
      <c r="DU131" s="440" t="n">
        <v>0</v>
      </c>
      <c r="DV131" s="418" t="n">
        <f aca="false">DU131-CJ131</f>
        <v>0</v>
      </c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  <c r="EB131" s="419"/>
    </row>
    <row r="132" s="441" customFormat="true" ht="15.75" hidden="true" customHeight="true" outlineLevel="1" collapsed="false">
      <c r="A132" s="286"/>
      <c r="B132" s="444" t="s">
        <v>337</v>
      </c>
      <c r="C132" s="431" t="s">
        <v>338</v>
      </c>
      <c r="D132" s="574"/>
      <c r="E132" s="433"/>
      <c r="F132" s="433"/>
      <c r="G132" s="433"/>
      <c r="H132" s="434"/>
      <c r="I132" s="422"/>
      <c r="J132" s="574"/>
      <c r="K132" s="433"/>
      <c r="L132" s="433"/>
      <c r="M132" s="433"/>
      <c r="N132" s="434"/>
      <c r="O132" s="435"/>
      <c r="P132" s="574"/>
      <c r="Q132" s="433"/>
      <c r="R132" s="433"/>
      <c r="S132" s="433"/>
      <c r="T132" s="434"/>
      <c r="U132" s="423"/>
      <c r="V132" s="574"/>
      <c r="W132" s="433"/>
      <c r="X132" s="433"/>
      <c r="Y132" s="433"/>
      <c r="Z132" s="433"/>
      <c r="AA132" s="433"/>
      <c r="AB132" s="434"/>
      <c r="AC132" s="435"/>
      <c r="AD132" s="574"/>
      <c r="AE132" s="433"/>
      <c r="AF132" s="433"/>
      <c r="AG132" s="433"/>
      <c r="AH132" s="433"/>
      <c r="AI132" s="433"/>
      <c r="AJ132" s="434"/>
      <c r="AK132" s="435"/>
      <c r="AL132" s="574"/>
      <c r="AM132" s="433"/>
      <c r="AN132" s="433"/>
      <c r="AO132" s="433"/>
      <c r="AP132" s="433"/>
      <c r="AQ132" s="433"/>
      <c r="AR132" s="433"/>
      <c r="AS132" s="434"/>
      <c r="AT132" s="424"/>
      <c r="AU132" s="574"/>
      <c r="AV132" s="433"/>
      <c r="AW132" s="433"/>
      <c r="AX132" s="433"/>
      <c r="AY132" s="433"/>
      <c r="AZ132" s="433"/>
      <c r="BA132" s="434"/>
      <c r="BB132" s="435"/>
      <c r="BC132" s="574"/>
      <c r="BD132" s="433"/>
      <c r="BE132" s="433"/>
      <c r="BF132" s="433"/>
      <c r="BG132" s="433"/>
      <c r="BH132" s="433"/>
      <c r="BI132" s="434"/>
      <c r="BJ132" s="436"/>
      <c r="BK132" s="574"/>
      <c r="BL132" s="433"/>
      <c r="BM132" s="433"/>
      <c r="BN132" s="433"/>
      <c r="BO132" s="433"/>
      <c r="BP132" s="433"/>
      <c r="BQ132" s="433"/>
      <c r="BR132" s="434"/>
      <c r="BS132" s="436"/>
      <c r="BT132" s="574"/>
      <c r="BU132" s="433"/>
      <c r="BV132" s="433"/>
      <c r="BW132" s="433"/>
      <c r="BX132" s="433"/>
      <c r="BY132" s="433"/>
      <c r="BZ132" s="434"/>
      <c r="CA132" s="373"/>
      <c r="CB132" s="574"/>
      <c r="CC132" s="433"/>
      <c r="CD132" s="433"/>
      <c r="CE132" s="433"/>
      <c r="CF132" s="433"/>
      <c r="CG132" s="433"/>
      <c r="CH132" s="434"/>
      <c r="CI132" s="373"/>
      <c r="CJ132" s="468"/>
      <c r="CK132" s="433"/>
      <c r="CL132" s="433"/>
      <c r="CM132" s="433"/>
      <c r="CN132" s="433"/>
      <c r="CO132" s="433"/>
      <c r="CP132" s="434"/>
      <c r="CQ132" s="435"/>
      <c r="CR132" s="432"/>
      <c r="CS132" s="433"/>
      <c r="CT132" s="433"/>
      <c r="CU132" s="433" t="n">
        <f aca="false">+CR132-CS132</f>
        <v>0</v>
      </c>
      <c r="CV132" s="433" t="n">
        <f aca="false">+CR132-CT132</f>
        <v>0</v>
      </c>
      <c r="CW132" s="433"/>
      <c r="CX132" s="434" t="str">
        <f aca="false">IFERROR(CR132/CW132-1, "-")</f>
        <v>-</v>
      </c>
      <c r="CY132" s="425"/>
      <c r="CZ132" s="437"/>
      <c r="DA132" s="433"/>
      <c r="DB132" s="433"/>
      <c r="DC132" s="433"/>
      <c r="DD132" s="433"/>
      <c r="DE132" s="434" t="e">
        <f aca="false">+CZ132/DD132-1</f>
        <v>#DIV/0!</v>
      </c>
      <c r="DF132" s="434" t="e">
        <f aca="false">+DA132/DD132-1</f>
        <v>#DIV/0!</v>
      </c>
      <c r="DG132" s="438" t="e">
        <f aca="false">+DB132/DD132-1</f>
        <v>#DIV/0!</v>
      </c>
      <c r="DH132" s="438" t="e">
        <f aca="false">+DC132/DD132-1</f>
        <v>#DIV/0!</v>
      </c>
      <c r="DI132" s="413"/>
      <c r="DJ132" s="117" t="n">
        <f aca="false">SUM(D132,J132,P132,V132,AD132,AL132,AU132,BC132,BK132,BT132,CB132,CJ132)-CR132</f>
        <v>0</v>
      </c>
      <c r="DK132" s="117" t="n">
        <f aca="false">SUM(E132,K132,Q132,W132,AE132,AM132,AV132,BD132,BL132,BU132,CC132,CK132)-CS132</f>
        <v>0</v>
      </c>
      <c r="DL132" s="117" t="n">
        <f aca="false">SUM(G132,M132,S132,AA132,AI132,AR132,AZ132,BH132,BQ132,BY132,CG132,CO132)-CW132</f>
        <v>0</v>
      </c>
      <c r="DM132" s="117" t="n">
        <f aca="false">SUM(D132,J132,P132,V132,AD132,AL132,AU132,BC132,,BN132,BV132,CD132,CL132)-CT132</f>
        <v>0</v>
      </c>
      <c r="DN132" s="413"/>
      <c r="DO132" s="413"/>
      <c r="DP132" s="575" t="n">
        <v>-26462046</v>
      </c>
      <c r="DQ132" s="415" t="n">
        <f aca="false">-CR132+DP132/10^6</f>
        <v>-26.462046</v>
      </c>
      <c r="DR132" s="117" t="n">
        <f aca="false">SUM(E132,K132,Q132,W132,AE132,AM132,AV132,BD132,BL132,BU132,CC132,CK132)-CS132</f>
        <v>0</v>
      </c>
      <c r="DS132" s="117" t="n">
        <f aca="false">SUM(D132,J132,P132,V132,AD132,AL132,AU132,BC132,,BN132,BV132,CD132,CL132)-CT132</f>
        <v>0</v>
      </c>
      <c r="DT132" s="416"/>
      <c r="DU132" s="440" t="n">
        <v>3.625504</v>
      </c>
      <c r="DV132" s="418" t="n">
        <f aca="false">DU132-CJ132</f>
        <v>3.625504</v>
      </c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  <c r="EB132" s="419"/>
    </row>
    <row r="133" s="441" customFormat="true" ht="15.75" hidden="true" customHeight="true" outlineLevel="1" collapsed="false">
      <c r="A133" s="286"/>
      <c r="B133" s="444" t="s">
        <v>339</v>
      </c>
      <c r="C133" s="431" t="s">
        <v>340</v>
      </c>
      <c r="D133" s="432"/>
      <c r="E133" s="433"/>
      <c r="F133" s="433"/>
      <c r="G133" s="433"/>
      <c r="H133" s="434"/>
      <c r="I133" s="422"/>
      <c r="J133" s="432"/>
      <c r="K133" s="433"/>
      <c r="L133" s="433"/>
      <c r="M133" s="433"/>
      <c r="N133" s="434"/>
      <c r="O133" s="435"/>
      <c r="P133" s="432"/>
      <c r="Q133" s="433"/>
      <c r="R133" s="433"/>
      <c r="S133" s="433"/>
      <c r="T133" s="434"/>
      <c r="U133" s="423"/>
      <c r="V133" s="432"/>
      <c r="W133" s="433"/>
      <c r="X133" s="433"/>
      <c r="Y133" s="433"/>
      <c r="Z133" s="433"/>
      <c r="AA133" s="433"/>
      <c r="AB133" s="434"/>
      <c r="AC133" s="435"/>
      <c r="AD133" s="432"/>
      <c r="AE133" s="433"/>
      <c r="AF133" s="433"/>
      <c r="AG133" s="433"/>
      <c r="AH133" s="433"/>
      <c r="AI133" s="433"/>
      <c r="AJ133" s="434"/>
      <c r="AK133" s="435"/>
      <c r="AL133" s="432"/>
      <c r="AM133" s="433"/>
      <c r="AN133" s="433"/>
      <c r="AO133" s="433"/>
      <c r="AP133" s="433"/>
      <c r="AQ133" s="433"/>
      <c r="AR133" s="433"/>
      <c r="AS133" s="434"/>
      <c r="AT133" s="424"/>
      <c r="AU133" s="432"/>
      <c r="AV133" s="433"/>
      <c r="AW133" s="433"/>
      <c r="AX133" s="433"/>
      <c r="AY133" s="433"/>
      <c r="AZ133" s="433"/>
      <c r="BA133" s="434"/>
      <c r="BB133" s="435"/>
      <c r="BC133" s="432"/>
      <c r="BD133" s="433"/>
      <c r="BE133" s="433"/>
      <c r="BF133" s="433"/>
      <c r="BG133" s="433"/>
      <c r="BH133" s="433"/>
      <c r="BI133" s="434"/>
      <c r="BJ133" s="436"/>
      <c r="BK133" s="432"/>
      <c r="BL133" s="433"/>
      <c r="BM133" s="433"/>
      <c r="BN133" s="433"/>
      <c r="BO133" s="433"/>
      <c r="BP133" s="433"/>
      <c r="BQ133" s="433"/>
      <c r="BR133" s="434"/>
      <c r="BS133" s="436"/>
      <c r="BT133" s="432"/>
      <c r="BU133" s="433"/>
      <c r="BV133" s="433"/>
      <c r="BW133" s="433"/>
      <c r="BX133" s="433"/>
      <c r="BY133" s="433"/>
      <c r="BZ133" s="434"/>
      <c r="CA133" s="373"/>
      <c r="CB133" s="432"/>
      <c r="CC133" s="433"/>
      <c r="CD133" s="433"/>
      <c r="CE133" s="433"/>
      <c r="CF133" s="433"/>
      <c r="CG133" s="433"/>
      <c r="CH133" s="434"/>
      <c r="CI133" s="373"/>
      <c r="CJ133" s="432"/>
      <c r="CK133" s="433"/>
      <c r="CL133" s="433"/>
      <c r="CM133" s="433"/>
      <c r="CN133" s="433"/>
      <c r="CO133" s="433"/>
      <c r="CP133" s="434"/>
      <c r="CQ133" s="435"/>
      <c r="CR133" s="432"/>
      <c r="CS133" s="433"/>
      <c r="CT133" s="433"/>
      <c r="CU133" s="433" t="n">
        <f aca="false">+CR133-CS133</f>
        <v>0</v>
      </c>
      <c r="CV133" s="433" t="n">
        <f aca="false">+CR133-CT133</f>
        <v>0</v>
      </c>
      <c r="CW133" s="433"/>
      <c r="CX133" s="434" t="str">
        <f aca="false">IFERROR(CR133/CW133-1, "-")</f>
        <v>-</v>
      </c>
      <c r="CY133" s="425"/>
      <c r="CZ133" s="437"/>
      <c r="DA133" s="433"/>
      <c r="DB133" s="433"/>
      <c r="DC133" s="433"/>
      <c r="DD133" s="433"/>
      <c r="DE133" s="434" t="e">
        <f aca="false">+CZ133/DD133-1</f>
        <v>#DIV/0!</v>
      </c>
      <c r="DF133" s="434" t="e">
        <f aca="false">+DA133/DD133-1</f>
        <v>#DIV/0!</v>
      </c>
      <c r="DG133" s="438" t="e">
        <f aca="false">+DB133/DD133-1</f>
        <v>#DIV/0!</v>
      </c>
      <c r="DH133" s="438" t="e">
        <f aca="false">+DC133/DD133-1</f>
        <v>#DIV/0!</v>
      </c>
      <c r="DI133" s="413"/>
      <c r="DJ133" s="117" t="n">
        <f aca="false">SUM(D133,J133,P133,V133,AD133,AL133,AU133,BC133,BK133,BT133,CB133,CJ133)-CR133</f>
        <v>0</v>
      </c>
      <c r="DK133" s="117" t="n">
        <f aca="false">SUM(E133,K133,Q133,W133,AE133,AM133,AV133,BD133,BL133,BU133,CC133,CK133)-CS133</f>
        <v>0</v>
      </c>
      <c r="DL133" s="117" t="n">
        <f aca="false">SUM(G133,M133,S133,AA133,AI133,AR133,AZ133,BH133,BQ133,BY133,CG133,CO133)-CW133</f>
        <v>0</v>
      </c>
      <c r="DM133" s="117" t="n">
        <f aca="false">SUM(D133,J133,P133,V133,AD133,AL133,AU133,BC133,,BN133,BV133,CD133,CL133)-CT133</f>
        <v>0</v>
      </c>
      <c r="DN133" s="413"/>
      <c r="DO133" s="413"/>
      <c r="DP133" s="439" t="n">
        <v>21775792</v>
      </c>
      <c r="DQ133" s="415" t="n">
        <f aca="false">-CR133+DP133/10^6</f>
        <v>21.775792</v>
      </c>
      <c r="DR133" s="117" t="n">
        <f aca="false">SUM(E133,K133,Q133,W133,AE133,AM133,AV133,BD133,BL133,BU133,CC133,CK133)-CS133</f>
        <v>0</v>
      </c>
      <c r="DS133" s="117" t="n">
        <f aca="false">SUM(D133,J133,P133,V133,AD133,AL133,AU133,BC133,,BN133,BV133,CD133,CL133)-CT133</f>
        <v>0</v>
      </c>
      <c r="DT133" s="416"/>
      <c r="DU133" s="440" t="n">
        <v>1.994246</v>
      </c>
      <c r="DV133" s="418" t="n">
        <f aca="false">DU133-CJ133</f>
        <v>1.994246</v>
      </c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  <c r="EB133" s="419"/>
    </row>
    <row r="134" s="441" customFormat="true" ht="15.75" hidden="true" customHeight="true" outlineLevel="1" collapsed="false">
      <c r="A134" s="286"/>
      <c r="B134" s="444" t="s">
        <v>341</v>
      </c>
      <c r="C134" s="431" t="s">
        <v>342</v>
      </c>
      <c r="D134" s="432"/>
      <c r="E134" s="433"/>
      <c r="F134" s="433"/>
      <c r="G134" s="433"/>
      <c r="H134" s="434"/>
      <c r="I134" s="422"/>
      <c r="J134" s="432"/>
      <c r="K134" s="433"/>
      <c r="L134" s="433"/>
      <c r="M134" s="433"/>
      <c r="N134" s="434"/>
      <c r="O134" s="435"/>
      <c r="P134" s="432"/>
      <c r="Q134" s="433"/>
      <c r="R134" s="433"/>
      <c r="S134" s="433"/>
      <c r="T134" s="434"/>
      <c r="U134" s="423"/>
      <c r="V134" s="432"/>
      <c r="W134" s="433"/>
      <c r="X134" s="433"/>
      <c r="Y134" s="433"/>
      <c r="Z134" s="433"/>
      <c r="AA134" s="433"/>
      <c r="AB134" s="434"/>
      <c r="AC134" s="435"/>
      <c r="AD134" s="432"/>
      <c r="AE134" s="433"/>
      <c r="AF134" s="433"/>
      <c r="AG134" s="433"/>
      <c r="AH134" s="433"/>
      <c r="AI134" s="433"/>
      <c r="AJ134" s="434"/>
      <c r="AK134" s="435"/>
      <c r="AL134" s="432"/>
      <c r="AM134" s="433"/>
      <c r="AN134" s="433"/>
      <c r="AO134" s="433"/>
      <c r="AP134" s="433"/>
      <c r="AQ134" s="433"/>
      <c r="AR134" s="433"/>
      <c r="AS134" s="434"/>
      <c r="AT134" s="424"/>
      <c r="AU134" s="432"/>
      <c r="AV134" s="433"/>
      <c r="AW134" s="433"/>
      <c r="AX134" s="433"/>
      <c r="AY134" s="433"/>
      <c r="AZ134" s="433"/>
      <c r="BA134" s="434"/>
      <c r="BB134" s="435"/>
      <c r="BC134" s="432"/>
      <c r="BD134" s="433"/>
      <c r="BE134" s="433"/>
      <c r="BF134" s="433"/>
      <c r="BG134" s="433"/>
      <c r="BH134" s="433"/>
      <c r="BI134" s="434"/>
      <c r="BJ134" s="436"/>
      <c r="BK134" s="432"/>
      <c r="BL134" s="433"/>
      <c r="BM134" s="433"/>
      <c r="BN134" s="433"/>
      <c r="BO134" s="433"/>
      <c r="BP134" s="433"/>
      <c r="BQ134" s="433"/>
      <c r="BR134" s="434"/>
      <c r="BS134" s="436"/>
      <c r="BT134" s="432"/>
      <c r="BU134" s="433"/>
      <c r="BV134" s="433"/>
      <c r="BW134" s="433"/>
      <c r="BX134" s="433"/>
      <c r="BY134" s="433"/>
      <c r="BZ134" s="434"/>
      <c r="CA134" s="373"/>
      <c r="CB134" s="432"/>
      <c r="CC134" s="433"/>
      <c r="CD134" s="433"/>
      <c r="CE134" s="433"/>
      <c r="CF134" s="433"/>
      <c r="CG134" s="433"/>
      <c r="CH134" s="434"/>
      <c r="CI134" s="373"/>
      <c r="CJ134" s="432"/>
      <c r="CK134" s="433"/>
      <c r="CL134" s="433"/>
      <c r="CM134" s="433"/>
      <c r="CN134" s="433"/>
      <c r="CO134" s="433"/>
      <c r="CP134" s="434"/>
      <c r="CQ134" s="435"/>
      <c r="CR134" s="432"/>
      <c r="CS134" s="433"/>
      <c r="CT134" s="433"/>
      <c r="CU134" s="433" t="n">
        <f aca="false">+CR134-CS134</f>
        <v>0</v>
      </c>
      <c r="CV134" s="433" t="n">
        <f aca="false">+CR134-CT134</f>
        <v>0</v>
      </c>
      <c r="CW134" s="433"/>
      <c r="CX134" s="434" t="str">
        <f aca="false">IFERROR(CR134/CW134-1, "-")</f>
        <v>-</v>
      </c>
      <c r="CY134" s="425"/>
      <c r="CZ134" s="437"/>
      <c r="DA134" s="433"/>
      <c r="DB134" s="433"/>
      <c r="DC134" s="433"/>
      <c r="DD134" s="433"/>
      <c r="DE134" s="434"/>
      <c r="DF134" s="434" t="e">
        <f aca="false">+DA134/DD134-1</f>
        <v>#DIV/0!</v>
      </c>
      <c r="DG134" s="438" t="e">
        <f aca="false">+DB134/DD134-1</f>
        <v>#DIV/0!</v>
      </c>
      <c r="DH134" s="438" t="e">
        <f aca="false">+DC134/DD134-1</f>
        <v>#DIV/0!</v>
      </c>
      <c r="DI134" s="413"/>
      <c r="DJ134" s="117" t="n">
        <f aca="false">SUM(D134,J134,P134,V134,AD134,AL134,AU134,BC134,BK134,BT134,CB134,CJ134)-CR134</f>
        <v>0</v>
      </c>
      <c r="DK134" s="117" t="n">
        <f aca="false">SUM(E134,K134,Q134,W134,AE134,AM134,AV134,BD134,BL134,BU134,CC134,CK134)-CS134</f>
        <v>0</v>
      </c>
      <c r="DL134" s="117" t="n">
        <f aca="false">SUM(G134,M134,S134,AA134,AI134,AR134,AZ134,BH134,BQ134,BY134,CG134,CO134)-CW134</f>
        <v>0</v>
      </c>
      <c r="DM134" s="117" t="n">
        <f aca="false">SUM(D134,J134,P134,V134,AD134,AL134,AU134,BC134,,BN134,BV134,CD134,CL134)-CT134</f>
        <v>0</v>
      </c>
      <c r="DN134" s="413"/>
      <c r="DO134" s="413"/>
      <c r="DP134" s="439" t="n">
        <v>2241863</v>
      </c>
      <c r="DQ134" s="415" t="n">
        <f aca="false">-CR134+DP134/10^6</f>
        <v>2.241863</v>
      </c>
      <c r="DR134" s="117" t="n">
        <f aca="false">SUM(E134,K134,Q134,W134,AE134,AM134,AV134,BD134,BL134,BU134,CC134,CK134)-CS134</f>
        <v>0</v>
      </c>
      <c r="DS134" s="117" t="n">
        <f aca="false">SUM(D134,J134,P134,V134,AD134,AL134,AU134,BC134,,BN134,BV134,CD134,CL134)-CT134</f>
        <v>0</v>
      </c>
      <c r="DT134" s="416"/>
      <c r="DU134" s="440" t="n">
        <v>0</v>
      </c>
      <c r="DV134" s="418" t="n">
        <f aca="false">DU134-CJ134</f>
        <v>0</v>
      </c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  <c r="EB134" s="419"/>
    </row>
    <row r="135" s="441" customFormat="true" ht="15.75" hidden="true" customHeight="true" outlineLevel="1" collapsed="false">
      <c r="A135" s="286"/>
      <c r="B135" s="444" t="s">
        <v>343</v>
      </c>
      <c r="C135" s="431" t="s">
        <v>344</v>
      </c>
      <c r="D135" s="455"/>
      <c r="E135" s="433"/>
      <c r="F135" s="433"/>
      <c r="G135" s="433"/>
      <c r="H135" s="434"/>
      <c r="I135" s="422"/>
      <c r="J135" s="576"/>
      <c r="K135" s="433"/>
      <c r="L135" s="433"/>
      <c r="M135" s="433"/>
      <c r="N135" s="434"/>
      <c r="O135" s="435"/>
      <c r="P135" s="576"/>
      <c r="Q135" s="433"/>
      <c r="R135" s="433"/>
      <c r="S135" s="433"/>
      <c r="T135" s="434"/>
      <c r="U135" s="423"/>
      <c r="V135" s="576"/>
      <c r="W135" s="433"/>
      <c r="X135" s="433"/>
      <c r="Y135" s="433"/>
      <c r="Z135" s="433"/>
      <c r="AA135" s="433"/>
      <c r="AB135" s="434"/>
      <c r="AC135" s="435"/>
      <c r="AD135" s="576"/>
      <c r="AE135" s="433"/>
      <c r="AF135" s="433"/>
      <c r="AG135" s="433"/>
      <c r="AH135" s="433"/>
      <c r="AI135" s="433"/>
      <c r="AJ135" s="434"/>
      <c r="AK135" s="435"/>
      <c r="AL135" s="576"/>
      <c r="AM135" s="433"/>
      <c r="AN135" s="433"/>
      <c r="AO135" s="433"/>
      <c r="AP135" s="433"/>
      <c r="AQ135" s="433"/>
      <c r="AR135" s="433"/>
      <c r="AS135" s="434"/>
      <c r="AT135" s="424"/>
      <c r="AU135" s="576"/>
      <c r="AV135" s="433"/>
      <c r="AW135" s="433"/>
      <c r="AX135" s="433"/>
      <c r="AY135" s="433"/>
      <c r="AZ135" s="433"/>
      <c r="BA135" s="434"/>
      <c r="BB135" s="435"/>
      <c r="BC135" s="576"/>
      <c r="BD135" s="433"/>
      <c r="BE135" s="433"/>
      <c r="BF135" s="433"/>
      <c r="BG135" s="433"/>
      <c r="BH135" s="433"/>
      <c r="BI135" s="434"/>
      <c r="BJ135" s="436"/>
      <c r="BK135" s="576"/>
      <c r="BL135" s="433"/>
      <c r="BM135" s="433"/>
      <c r="BN135" s="433"/>
      <c r="BO135" s="433"/>
      <c r="BP135" s="433"/>
      <c r="BQ135" s="433"/>
      <c r="BR135" s="434"/>
      <c r="BS135" s="436"/>
      <c r="BT135" s="576"/>
      <c r="BU135" s="433"/>
      <c r="BV135" s="433"/>
      <c r="BW135" s="433"/>
      <c r="BX135" s="433"/>
      <c r="BY135" s="433"/>
      <c r="BZ135" s="434"/>
      <c r="CA135" s="373"/>
      <c r="CB135" s="576"/>
      <c r="CC135" s="433"/>
      <c r="CD135" s="433"/>
      <c r="CE135" s="433"/>
      <c r="CF135" s="433"/>
      <c r="CG135" s="433"/>
      <c r="CH135" s="434"/>
      <c r="CI135" s="373"/>
      <c r="CJ135" s="576"/>
      <c r="CK135" s="433"/>
      <c r="CL135" s="433"/>
      <c r="CM135" s="433"/>
      <c r="CN135" s="433"/>
      <c r="CO135" s="433"/>
      <c r="CP135" s="434"/>
      <c r="CQ135" s="435"/>
      <c r="CR135" s="432"/>
      <c r="CS135" s="433"/>
      <c r="CT135" s="433"/>
      <c r="CU135" s="433" t="n">
        <f aca="false">+CR135-CS135</f>
        <v>0</v>
      </c>
      <c r="CV135" s="433" t="n">
        <f aca="false">+CR135-CT135</f>
        <v>0</v>
      </c>
      <c r="CW135" s="433"/>
      <c r="CX135" s="434" t="str">
        <f aca="false">IFERROR(CR135/CW135-1, "-")</f>
        <v>-</v>
      </c>
      <c r="CY135" s="425"/>
      <c r="CZ135" s="437"/>
      <c r="DA135" s="433"/>
      <c r="DB135" s="433"/>
      <c r="DC135" s="433"/>
      <c r="DD135" s="433"/>
      <c r="DE135" s="434" t="e">
        <f aca="false">+CZ135/DD135-1</f>
        <v>#DIV/0!</v>
      </c>
      <c r="DF135" s="434" t="e">
        <f aca="false">+DA135/DD135-1</f>
        <v>#DIV/0!</v>
      </c>
      <c r="DG135" s="438" t="e">
        <f aca="false">+DB135/DD135-1</f>
        <v>#DIV/0!</v>
      </c>
      <c r="DH135" s="438" t="e">
        <f aca="false">+DC135/DD135-1</f>
        <v>#DIV/0!</v>
      </c>
      <c r="DI135" s="413"/>
      <c r="DJ135" s="117" t="n">
        <f aca="false">SUM(D135,J135,P135,V135,AD135,AL135,AU135,BC135,BK135,BT135,CB135,CJ135)-CR135</f>
        <v>0</v>
      </c>
      <c r="DK135" s="117" t="n">
        <f aca="false">SUM(E135,K135,Q135,W135,AE135,AM135,AV135,BD135,BL135,BU135,CC135,CK135)-CS135</f>
        <v>0</v>
      </c>
      <c r="DL135" s="117" t="n">
        <f aca="false">SUM(G135,M135,S135,AA135,AI135,AR135,AZ135,BH135,BQ135,BY135,CG135,CO135)-CW135</f>
        <v>0</v>
      </c>
      <c r="DM135" s="117" t="n">
        <f aca="false">SUM(D135,J135,P135,V135,AD135,AL135,AU135,BC135,,BN135,BV135,CD135,CL135)-CT135</f>
        <v>0</v>
      </c>
      <c r="DN135" s="413"/>
      <c r="DO135" s="413"/>
      <c r="DP135" s="577" t="n">
        <v>5172626</v>
      </c>
      <c r="DQ135" s="415" t="n">
        <f aca="false">-CR135+DP135/10^6</f>
        <v>5.172626</v>
      </c>
      <c r="DR135" s="117" t="n">
        <f aca="false">SUM(E135,K135,Q135,W135,AE135,AM135,AV135,BD135,BL135,BU135,CC135,CK135)-CS135</f>
        <v>0</v>
      </c>
      <c r="DS135" s="117" t="n">
        <f aca="false">SUM(D135,J135,P135,V135,AD135,AL135,AU135,BC135,,BN135,BV135,CD135,CL135)-CT135</f>
        <v>0</v>
      </c>
      <c r="DT135" s="416"/>
      <c r="DU135" s="440" t="n">
        <v>-5.17262599999999</v>
      </c>
      <c r="DV135" s="418" t="n">
        <f aca="false">DU135-CJ135</f>
        <v>-5.17262599999999</v>
      </c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  <c r="EB135" s="419"/>
    </row>
    <row r="136" s="441" customFormat="true" ht="15.75" hidden="true" customHeight="true" outlineLevel="1" collapsed="false">
      <c r="A136" s="286"/>
      <c r="B136" s="444" t="s">
        <v>345</v>
      </c>
      <c r="C136" s="431" t="s">
        <v>346</v>
      </c>
      <c r="D136" s="455"/>
      <c r="E136" s="433"/>
      <c r="F136" s="433"/>
      <c r="G136" s="433"/>
      <c r="H136" s="434"/>
      <c r="I136" s="422"/>
      <c r="J136" s="455"/>
      <c r="K136" s="433"/>
      <c r="L136" s="433"/>
      <c r="M136" s="433"/>
      <c r="N136" s="434"/>
      <c r="O136" s="435"/>
      <c r="P136" s="455"/>
      <c r="Q136" s="433"/>
      <c r="R136" s="433"/>
      <c r="S136" s="433"/>
      <c r="T136" s="434"/>
      <c r="U136" s="423"/>
      <c r="V136" s="455"/>
      <c r="W136" s="433"/>
      <c r="X136" s="433"/>
      <c r="Y136" s="433"/>
      <c r="Z136" s="433"/>
      <c r="AA136" s="433"/>
      <c r="AB136" s="434"/>
      <c r="AC136" s="435"/>
      <c r="AD136" s="455"/>
      <c r="AE136" s="433"/>
      <c r="AF136" s="433"/>
      <c r="AG136" s="433"/>
      <c r="AH136" s="433"/>
      <c r="AI136" s="433"/>
      <c r="AJ136" s="434"/>
      <c r="AK136" s="435"/>
      <c r="AL136" s="455"/>
      <c r="AM136" s="433"/>
      <c r="AN136" s="433"/>
      <c r="AO136" s="433"/>
      <c r="AP136" s="433"/>
      <c r="AQ136" s="433"/>
      <c r="AR136" s="433"/>
      <c r="AS136" s="434"/>
      <c r="AT136" s="424"/>
      <c r="AU136" s="455"/>
      <c r="AV136" s="433"/>
      <c r="AW136" s="433"/>
      <c r="AX136" s="433"/>
      <c r="AY136" s="433"/>
      <c r="AZ136" s="433"/>
      <c r="BA136" s="434"/>
      <c r="BB136" s="435"/>
      <c r="BC136" s="455"/>
      <c r="BD136" s="433"/>
      <c r="BE136" s="433"/>
      <c r="BF136" s="433"/>
      <c r="BG136" s="433"/>
      <c r="BH136" s="433"/>
      <c r="BI136" s="434"/>
      <c r="BJ136" s="436"/>
      <c r="BK136" s="455"/>
      <c r="BL136" s="433"/>
      <c r="BM136" s="433"/>
      <c r="BN136" s="433"/>
      <c r="BO136" s="433"/>
      <c r="BP136" s="433"/>
      <c r="BQ136" s="433"/>
      <c r="BR136" s="434"/>
      <c r="BS136" s="436"/>
      <c r="BT136" s="455"/>
      <c r="BU136" s="433"/>
      <c r="BV136" s="433"/>
      <c r="BW136" s="433"/>
      <c r="BX136" s="433"/>
      <c r="BY136" s="433"/>
      <c r="BZ136" s="434"/>
      <c r="CA136" s="373"/>
      <c r="CB136" s="455"/>
      <c r="CC136" s="433"/>
      <c r="CD136" s="433"/>
      <c r="CE136" s="433"/>
      <c r="CF136" s="433"/>
      <c r="CG136" s="433"/>
      <c r="CH136" s="434"/>
      <c r="CI136" s="373"/>
      <c r="CJ136" s="455"/>
      <c r="CK136" s="433"/>
      <c r="CL136" s="433"/>
      <c r="CM136" s="433"/>
      <c r="CN136" s="433"/>
      <c r="CO136" s="433"/>
      <c r="CP136" s="434"/>
      <c r="CQ136" s="435"/>
      <c r="CR136" s="432"/>
      <c r="CS136" s="433"/>
      <c r="CT136" s="433"/>
      <c r="CU136" s="433" t="n">
        <f aca="false">+CR136-CS136</f>
        <v>0</v>
      </c>
      <c r="CV136" s="433" t="n">
        <f aca="false">+CR136-CT136</f>
        <v>0</v>
      </c>
      <c r="CW136" s="433"/>
      <c r="CX136" s="434" t="str">
        <f aca="false">IFERROR(CR136/CW136-1, "-")</f>
        <v>-</v>
      </c>
      <c r="CY136" s="425"/>
      <c r="CZ136" s="437"/>
      <c r="DA136" s="433"/>
      <c r="DB136" s="433"/>
      <c r="DC136" s="433"/>
      <c r="DD136" s="433"/>
      <c r="DE136" s="434"/>
      <c r="DF136" s="434" t="e">
        <f aca="false">+DA136/DD136-1</f>
        <v>#DIV/0!</v>
      </c>
      <c r="DG136" s="438" t="e">
        <f aca="false">+DB136/DD136-1</f>
        <v>#DIV/0!</v>
      </c>
      <c r="DH136" s="438" t="e">
        <f aca="false">+DC136/DD136-1</f>
        <v>#DIV/0!</v>
      </c>
      <c r="DI136" s="413"/>
      <c r="DJ136" s="117" t="n">
        <f aca="false">SUM(D136,J136,P136,V136,AD136,AL136,AU136,BC136,BK136,BT136,CB136,CJ136)-CR136</f>
        <v>0</v>
      </c>
      <c r="DK136" s="117" t="n">
        <f aca="false">SUM(E136,K136,Q136,W136,AE136,AM136,AV136,BD136,BL136,BU136,CC136,CK136)-CS136</f>
        <v>0</v>
      </c>
      <c r="DL136" s="117" t="n">
        <f aca="false">SUM(G136,M136,S136,AA136,AI136,AR136,AZ136,BH136,BQ136,BY136,CG136,CO136)-CW136</f>
        <v>0</v>
      </c>
      <c r="DM136" s="117" t="n">
        <f aca="false">SUM(D136,J136,P136,V136,AD136,AL136,AU136,BC136,,BN136,BV136,CD136,CL136)-CT136</f>
        <v>0</v>
      </c>
      <c r="DN136" s="413"/>
      <c r="DO136" s="413"/>
      <c r="DP136" s="469" t="n">
        <v>224627516</v>
      </c>
      <c r="DQ136" s="415" t="n">
        <f aca="false">-CR136+DP136/10^6</f>
        <v>224.627516</v>
      </c>
      <c r="DR136" s="117" t="n">
        <f aca="false">SUM(E136,K136,Q136,W136,AE136,AM136,AV136,BD136,BL136,BU136,CC136,CK136)-CS136</f>
        <v>0</v>
      </c>
      <c r="DS136" s="117" t="n">
        <f aca="false">SUM(D136,J136,P136,V136,AD136,AL136,AU136,BC136,,BN136,BV136,CD136,CL136)-CT136</f>
        <v>0</v>
      </c>
      <c r="DT136" s="416"/>
      <c r="DU136" s="440" t="n">
        <v>25.705063</v>
      </c>
      <c r="DV136" s="418" t="n">
        <f aca="false">DU136-CJ136</f>
        <v>25.705063</v>
      </c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  <c r="EB136" s="419"/>
    </row>
    <row r="137" customFormat="false" ht="15" hidden="false" customHeight="true" outlineLevel="0" collapsed="false">
      <c r="B137" s="578" t="s">
        <v>347</v>
      </c>
      <c r="C137" s="398" t="s">
        <v>348</v>
      </c>
      <c r="D137" s="281"/>
      <c r="E137" s="144"/>
      <c r="F137" s="144"/>
      <c r="G137" s="144"/>
      <c r="H137" s="245"/>
      <c r="I137" s="422"/>
      <c r="J137" s="281"/>
      <c r="K137" s="144"/>
      <c r="L137" s="144"/>
      <c r="M137" s="144"/>
      <c r="N137" s="245"/>
      <c r="O137" s="422"/>
      <c r="P137" s="281"/>
      <c r="Q137" s="144"/>
      <c r="R137" s="144"/>
      <c r="S137" s="144"/>
      <c r="T137" s="245"/>
      <c r="U137" s="423"/>
      <c r="V137" s="281"/>
      <c r="W137" s="144"/>
      <c r="X137" s="144"/>
      <c r="Y137" s="144"/>
      <c r="Z137" s="144"/>
      <c r="AA137" s="144"/>
      <c r="AB137" s="245"/>
      <c r="AC137" s="422"/>
      <c r="AD137" s="281"/>
      <c r="AE137" s="144"/>
      <c r="AF137" s="144"/>
      <c r="AG137" s="144"/>
      <c r="AH137" s="144"/>
      <c r="AI137" s="144"/>
      <c r="AJ137" s="245"/>
      <c r="AK137" s="422"/>
      <c r="AL137" s="281"/>
      <c r="AM137" s="144"/>
      <c r="AN137" s="144"/>
      <c r="AO137" s="144"/>
      <c r="AP137" s="144"/>
      <c r="AQ137" s="144"/>
      <c r="AR137" s="144"/>
      <c r="AS137" s="245"/>
      <c r="AT137" s="424"/>
      <c r="AU137" s="281"/>
      <c r="AV137" s="144"/>
      <c r="AW137" s="144"/>
      <c r="AX137" s="144"/>
      <c r="AY137" s="144"/>
      <c r="AZ137" s="144"/>
      <c r="BA137" s="245"/>
      <c r="BB137" s="422"/>
      <c r="BC137" s="281"/>
      <c r="BD137" s="144"/>
      <c r="BE137" s="144"/>
      <c r="BF137" s="144"/>
      <c r="BG137" s="144"/>
      <c r="BH137" s="144"/>
      <c r="BI137" s="245"/>
      <c r="BJ137" s="423"/>
      <c r="BK137" s="281"/>
      <c r="BL137" s="144"/>
      <c r="BM137" s="144"/>
      <c r="BN137" s="144"/>
      <c r="BO137" s="144"/>
      <c r="BP137" s="144"/>
      <c r="BQ137" s="144"/>
      <c r="BR137" s="245"/>
      <c r="BS137" s="423"/>
      <c r="BT137" s="281"/>
      <c r="BU137" s="144"/>
      <c r="BV137" s="144"/>
      <c r="BW137" s="144"/>
      <c r="BX137" s="144"/>
      <c r="BY137" s="144"/>
      <c r="BZ137" s="245"/>
      <c r="CA137" s="373"/>
      <c r="CB137" s="281"/>
      <c r="CC137" s="144"/>
      <c r="CD137" s="144"/>
      <c r="CE137" s="144"/>
      <c r="CF137" s="144"/>
      <c r="CG137" s="144"/>
      <c r="CH137" s="245"/>
      <c r="CI137" s="373"/>
      <c r="CJ137" s="281"/>
      <c r="CK137" s="144"/>
      <c r="CL137" s="144"/>
      <c r="CM137" s="144"/>
      <c r="CN137" s="144"/>
      <c r="CO137" s="144"/>
      <c r="CP137" s="245"/>
      <c r="CQ137" s="422"/>
      <c r="CR137" s="281"/>
      <c r="CS137" s="144"/>
      <c r="CT137" s="144"/>
      <c r="CU137" s="144" t="n">
        <f aca="false">+CR137-CS137</f>
        <v>0</v>
      </c>
      <c r="CV137" s="144" t="n">
        <f aca="false">+CR137-CT137</f>
        <v>0</v>
      </c>
      <c r="CW137" s="144"/>
      <c r="CX137" s="245" t="str">
        <f aca="false">IFERROR(CR137/CW137-1, "-")</f>
        <v>-</v>
      </c>
      <c r="CY137" s="425"/>
      <c r="CZ137" s="426"/>
      <c r="DA137" s="144"/>
      <c r="DB137" s="144"/>
      <c r="DC137" s="144"/>
      <c r="DD137" s="144"/>
      <c r="DE137" s="245" t="e">
        <f aca="false">+CZ137/DD137-1</f>
        <v>#DIV/0!</v>
      </c>
      <c r="DF137" s="245" t="e">
        <f aca="false">+DA137/DD137-1</f>
        <v>#DIV/0!</v>
      </c>
      <c r="DG137" s="427" t="e">
        <f aca="false">+DB137/DD137-1</f>
        <v>#DIV/0!</v>
      </c>
      <c r="DH137" s="427" t="e">
        <f aca="false">+DC137/DD137-1</f>
        <v>#DIV/0!</v>
      </c>
      <c r="DI137" s="413"/>
      <c r="DJ137" s="117" t="n">
        <f aca="false">SUM(D137,J137,P137,V137,AD137,AL137,AU137,BC137,BK137,BT137,CB137,CJ137)-CR137</f>
        <v>0</v>
      </c>
      <c r="DK137" s="117" t="n">
        <f aca="false">SUM(E137,K137,Q137,W137,AE137,AM137,AV137,BD137,BL137,BU137,CC137,CK137)-CS137</f>
        <v>0</v>
      </c>
      <c r="DL137" s="117" t="n">
        <f aca="false">SUM(G137,M137,S137,AA137,AI137,AR137,AZ137,BH137,BQ137,BY137,CG137,CO137)-CW137</f>
        <v>0</v>
      </c>
      <c r="DM137" s="117" t="n">
        <f aca="false">SUM(D137,J137,P137,V137,AD137,AL137,AU137,BC137,,BN137,BV137,CD137,CL137)-CT137</f>
        <v>0</v>
      </c>
      <c r="DN137" s="413"/>
      <c r="DO137" s="413"/>
      <c r="DP137" s="428" t="n">
        <f aca="false">+DP138+DP139</f>
        <v>587944412</v>
      </c>
      <c r="DQ137" s="415" t="n">
        <f aca="false">-CR137+DP137/10^6</f>
        <v>587.944412</v>
      </c>
      <c r="DR137" s="117" t="n">
        <f aca="false">SUM(E137,K137,Q137,W137,AE137,AM137,AV137,BD137,BL137,BU137,CC137,CK137)-CS137</f>
        <v>0</v>
      </c>
      <c r="DS137" s="117" t="n">
        <f aca="false">SUM(D137,J137,P137,V137,AD137,AL137,AU137,BC137,,BN137,BV137,CD137,CL137)-CT137</f>
        <v>0</v>
      </c>
      <c r="DT137" s="416"/>
      <c r="DU137" s="417" t="n">
        <v>76.138415</v>
      </c>
      <c r="DV137" s="418" t="n">
        <f aca="false">DU137-CJ137</f>
        <v>76.138415</v>
      </c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  <c r="EB137" s="419"/>
    </row>
    <row r="138" s="441" customFormat="true" ht="15.75" hidden="true" customHeight="true" outlineLevel="1" collapsed="false">
      <c r="A138" s="286"/>
      <c r="B138" s="444" t="s">
        <v>349</v>
      </c>
      <c r="C138" s="431" t="s">
        <v>350</v>
      </c>
      <c r="D138" s="432"/>
      <c r="E138" s="433"/>
      <c r="F138" s="433"/>
      <c r="G138" s="433"/>
      <c r="H138" s="434"/>
      <c r="I138" s="422"/>
      <c r="J138" s="432"/>
      <c r="K138" s="433"/>
      <c r="L138" s="433"/>
      <c r="M138" s="433"/>
      <c r="N138" s="434"/>
      <c r="O138" s="435"/>
      <c r="P138" s="432"/>
      <c r="Q138" s="433"/>
      <c r="R138" s="433"/>
      <c r="S138" s="433"/>
      <c r="T138" s="434"/>
      <c r="U138" s="423"/>
      <c r="V138" s="579"/>
      <c r="W138" s="433"/>
      <c r="X138" s="433"/>
      <c r="Y138" s="433"/>
      <c r="Z138" s="433"/>
      <c r="AA138" s="580"/>
      <c r="AB138" s="434"/>
      <c r="AC138" s="435"/>
      <c r="AD138" s="579"/>
      <c r="AE138" s="433"/>
      <c r="AF138" s="433"/>
      <c r="AG138" s="433"/>
      <c r="AH138" s="433"/>
      <c r="AI138" s="580"/>
      <c r="AJ138" s="434"/>
      <c r="AK138" s="435"/>
      <c r="AL138" s="579"/>
      <c r="AM138" s="433"/>
      <c r="AN138" s="433"/>
      <c r="AO138" s="433"/>
      <c r="AP138" s="433"/>
      <c r="AQ138" s="433"/>
      <c r="AR138" s="580"/>
      <c r="AS138" s="434"/>
      <c r="AT138" s="424"/>
      <c r="AU138" s="579"/>
      <c r="AV138" s="433"/>
      <c r="AW138" s="433"/>
      <c r="AX138" s="433"/>
      <c r="AY138" s="433"/>
      <c r="AZ138" s="580"/>
      <c r="BA138" s="434"/>
      <c r="BB138" s="435"/>
      <c r="BC138" s="579"/>
      <c r="BD138" s="433"/>
      <c r="BE138" s="433"/>
      <c r="BF138" s="433"/>
      <c r="BG138" s="433"/>
      <c r="BH138" s="580"/>
      <c r="BI138" s="434"/>
      <c r="BJ138" s="436"/>
      <c r="BK138" s="579"/>
      <c r="BL138" s="433"/>
      <c r="BM138" s="433"/>
      <c r="BN138" s="433"/>
      <c r="BO138" s="433"/>
      <c r="BP138" s="433"/>
      <c r="BQ138" s="580"/>
      <c r="BR138" s="434"/>
      <c r="BS138" s="436"/>
      <c r="BT138" s="579"/>
      <c r="BU138" s="433"/>
      <c r="BV138" s="433"/>
      <c r="BW138" s="433"/>
      <c r="BX138" s="433"/>
      <c r="BY138" s="580"/>
      <c r="BZ138" s="434"/>
      <c r="CA138" s="373"/>
      <c r="CB138" s="432"/>
      <c r="CC138" s="433"/>
      <c r="CD138" s="433"/>
      <c r="CE138" s="433"/>
      <c r="CF138" s="433"/>
      <c r="CG138" s="580"/>
      <c r="CH138" s="434"/>
      <c r="CI138" s="373"/>
      <c r="CJ138" s="432"/>
      <c r="CK138" s="433"/>
      <c r="CL138" s="433"/>
      <c r="CM138" s="433"/>
      <c r="CN138" s="433"/>
      <c r="CO138" s="580"/>
      <c r="CP138" s="434"/>
      <c r="CQ138" s="435"/>
      <c r="CR138" s="432"/>
      <c r="CS138" s="433"/>
      <c r="CT138" s="433"/>
      <c r="CU138" s="433" t="n">
        <f aca="false">+CR138-CS138</f>
        <v>0</v>
      </c>
      <c r="CV138" s="433" t="n">
        <f aca="false">+CR138-CT138</f>
        <v>0</v>
      </c>
      <c r="CW138" s="433"/>
      <c r="CX138" s="434" t="str">
        <f aca="false">IFERROR(CR138/CW138-1, "-")</f>
        <v>-</v>
      </c>
      <c r="CY138" s="425"/>
      <c r="CZ138" s="437"/>
      <c r="DA138" s="433"/>
      <c r="DB138" s="433"/>
      <c r="DC138" s="433"/>
      <c r="DD138" s="433"/>
      <c r="DE138" s="434" t="e">
        <f aca="false">+CZ138/DD138-1</f>
        <v>#DIV/0!</v>
      </c>
      <c r="DF138" s="434" t="e">
        <f aca="false">+DA138/DD138-1</f>
        <v>#DIV/0!</v>
      </c>
      <c r="DG138" s="438" t="e">
        <f aca="false">+DB138/DD138-1</f>
        <v>#DIV/0!</v>
      </c>
      <c r="DH138" s="438" t="e">
        <f aca="false">+DC138/DD138-1</f>
        <v>#DIV/0!</v>
      </c>
      <c r="DI138" s="413"/>
      <c r="DJ138" s="117" t="n">
        <f aca="false">SUM(D138,J138,P138,V138,AD138,AL138,AU138,BC138,BK138,BT138,CB138,CJ138)-CR138</f>
        <v>0</v>
      </c>
      <c r="DK138" s="117" t="n">
        <f aca="false">SUM(E138,K138,Q138,W138,AE138,AM138,AV138,BD138,BL138,BU138,CC138,CK138)-CS138</f>
        <v>0</v>
      </c>
      <c r="DL138" s="117" t="n">
        <f aca="false">SUM(G138,M138,S138,AA138,AI138,AR138,AZ138,BH138,BQ138,BY138,CG138,CO138)-CW138</f>
        <v>0</v>
      </c>
      <c r="DM138" s="117" t="n">
        <f aca="false">SUM(D138,J138,P138,V138,AD138,AL138,AU138,BC138,,BN138,BV138,CD138,CL138)-CT138</f>
        <v>0</v>
      </c>
      <c r="DN138" s="413"/>
      <c r="DO138" s="413"/>
      <c r="DP138" s="439" t="n">
        <v>-273701160</v>
      </c>
      <c r="DQ138" s="415" t="n">
        <f aca="false">-CR138+DP138/10^6</f>
        <v>-273.70116</v>
      </c>
      <c r="DR138" s="117" t="n">
        <f aca="false">SUM(E138,K138,Q138,W138,AE138,AM138,AV138,BD138,BL138,BU138,CC138,CK138)-CS138</f>
        <v>0</v>
      </c>
      <c r="DS138" s="117" t="n">
        <f aca="false">SUM(D138,J138,P138,V138,AD138,AL138,AU138,BC138,,BN138,BV138,CD138,CL138)-CT138</f>
        <v>0</v>
      </c>
      <c r="DT138" s="416"/>
      <c r="DU138" s="440" t="n">
        <v>0</v>
      </c>
      <c r="DV138" s="418" t="n">
        <f aca="false">DU138-CJ138</f>
        <v>0</v>
      </c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  <c r="EB138" s="419"/>
    </row>
    <row r="139" s="441" customFormat="true" ht="15.75" hidden="true" customHeight="true" outlineLevel="1" collapsed="false">
      <c r="A139" s="286"/>
      <c r="B139" s="444" t="s">
        <v>351</v>
      </c>
      <c r="C139" s="431" t="s">
        <v>352</v>
      </c>
      <c r="D139" s="455"/>
      <c r="E139" s="433"/>
      <c r="F139" s="433"/>
      <c r="G139" s="433"/>
      <c r="H139" s="434"/>
      <c r="I139" s="422"/>
      <c r="J139" s="455"/>
      <c r="K139" s="433"/>
      <c r="L139" s="433"/>
      <c r="M139" s="433"/>
      <c r="N139" s="434"/>
      <c r="O139" s="435"/>
      <c r="P139" s="455"/>
      <c r="Q139" s="433"/>
      <c r="R139" s="433"/>
      <c r="S139" s="433"/>
      <c r="T139" s="434"/>
      <c r="U139" s="423"/>
      <c r="V139" s="442"/>
      <c r="W139" s="433"/>
      <c r="X139" s="433"/>
      <c r="Y139" s="433"/>
      <c r="Z139" s="433"/>
      <c r="AA139" s="433"/>
      <c r="AB139" s="434"/>
      <c r="AC139" s="435"/>
      <c r="AD139" s="442"/>
      <c r="AE139" s="433"/>
      <c r="AF139" s="433"/>
      <c r="AG139" s="433"/>
      <c r="AH139" s="433"/>
      <c r="AI139" s="433"/>
      <c r="AJ139" s="434"/>
      <c r="AK139" s="435"/>
      <c r="AL139" s="442"/>
      <c r="AM139" s="433"/>
      <c r="AN139" s="433"/>
      <c r="AO139" s="433"/>
      <c r="AP139" s="433"/>
      <c r="AQ139" s="433"/>
      <c r="AR139" s="433"/>
      <c r="AS139" s="434"/>
      <c r="AT139" s="424"/>
      <c r="AU139" s="442"/>
      <c r="AV139" s="433"/>
      <c r="AW139" s="433"/>
      <c r="AX139" s="433"/>
      <c r="AY139" s="433"/>
      <c r="AZ139" s="433"/>
      <c r="BA139" s="434"/>
      <c r="BB139" s="435"/>
      <c r="BC139" s="442"/>
      <c r="BD139" s="433"/>
      <c r="BE139" s="433"/>
      <c r="BF139" s="433"/>
      <c r="BG139" s="433"/>
      <c r="BH139" s="433"/>
      <c r="BI139" s="434"/>
      <c r="BJ139" s="436"/>
      <c r="BK139" s="442"/>
      <c r="BL139" s="433"/>
      <c r="BM139" s="433"/>
      <c r="BN139" s="433"/>
      <c r="BO139" s="433"/>
      <c r="BP139" s="433"/>
      <c r="BQ139" s="433"/>
      <c r="BR139" s="434"/>
      <c r="BS139" s="436"/>
      <c r="BT139" s="442"/>
      <c r="BU139" s="433"/>
      <c r="BV139" s="433"/>
      <c r="BW139" s="433"/>
      <c r="BX139" s="433"/>
      <c r="BY139" s="433"/>
      <c r="BZ139" s="434"/>
      <c r="CA139" s="373"/>
      <c r="CB139" s="432"/>
      <c r="CC139" s="433"/>
      <c r="CD139" s="433"/>
      <c r="CE139" s="433"/>
      <c r="CF139" s="433"/>
      <c r="CG139" s="433"/>
      <c r="CH139" s="434"/>
      <c r="CI139" s="373"/>
      <c r="CJ139" s="432"/>
      <c r="CK139" s="433"/>
      <c r="CL139" s="433"/>
      <c r="CM139" s="433"/>
      <c r="CN139" s="433"/>
      <c r="CO139" s="433"/>
      <c r="CP139" s="434"/>
      <c r="CQ139" s="435"/>
      <c r="CR139" s="432"/>
      <c r="CS139" s="433"/>
      <c r="CT139" s="433"/>
      <c r="CU139" s="433" t="n">
        <f aca="false">+CR139-CS139</f>
        <v>0</v>
      </c>
      <c r="CV139" s="433" t="n">
        <f aca="false">+CR139-CT139</f>
        <v>0</v>
      </c>
      <c r="CW139" s="433"/>
      <c r="CX139" s="434" t="str">
        <f aca="false">IFERROR(CR139/CW139-1, "-")</f>
        <v>-</v>
      </c>
      <c r="CY139" s="425"/>
      <c r="CZ139" s="437"/>
      <c r="DA139" s="433"/>
      <c r="DB139" s="433"/>
      <c r="DC139" s="433"/>
      <c r="DD139" s="433"/>
      <c r="DE139" s="434" t="e">
        <f aca="false">+CZ139/DD139-1</f>
        <v>#DIV/0!</v>
      </c>
      <c r="DF139" s="434" t="e">
        <f aca="false">+DA139/DD139-1</f>
        <v>#DIV/0!</v>
      </c>
      <c r="DG139" s="438" t="e">
        <f aca="false">+DB139/DD139-1</f>
        <v>#DIV/0!</v>
      </c>
      <c r="DH139" s="438" t="e">
        <f aca="false">+DC139/DD139-1</f>
        <v>#DIV/0!</v>
      </c>
      <c r="DI139" s="413"/>
      <c r="DJ139" s="117" t="n">
        <f aca="false">SUM(D139,J139,P139,V139,AD139,AL139,AU139,BC139,BK139,BT139,CB139,CJ139)-CR139</f>
        <v>0</v>
      </c>
      <c r="DK139" s="117" t="n">
        <f aca="false">SUM(E139,K139,Q139,W139,AE139,AM139,AV139,BD139,BL139,BU139,CC139,CK139)-CS139</f>
        <v>0</v>
      </c>
      <c r="DL139" s="117" t="n">
        <f aca="false">SUM(G139,M139,S139,AA139,AI139,AR139,AZ139,BH139,BQ139,BY139,CG139,CO139)-CW139</f>
        <v>0</v>
      </c>
      <c r="DM139" s="117" t="n">
        <f aca="false">SUM(D139,J139,P139,V139,AD139,AL139,AU139,BC139,,BN139,BV139,CD139,CL139)-CT139</f>
        <v>0</v>
      </c>
      <c r="DN139" s="413"/>
      <c r="DO139" s="413"/>
      <c r="DP139" s="469" t="n">
        <v>861645572</v>
      </c>
      <c r="DQ139" s="415" t="n">
        <f aca="false">-CR139+DP139/10^6</f>
        <v>861.645572</v>
      </c>
      <c r="DR139" s="117" t="n">
        <f aca="false">SUM(E139,K139,Q139,W139,AE139,AM139,AV139,BD139,BL139,BU139,CC139,CK139)-CS139</f>
        <v>0</v>
      </c>
      <c r="DS139" s="117" t="n">
        <f aca="false">SUM(D139,J139,P139,V139,AD139,AL139,AU139,BC139,,BN139,BV139,CD139,CL139)-CT139</f>
        <v>0</v>
      </c>
      <c r="DT139" s="416"/>
      <c r="DU139" s="440" t="n">
        <v>76.138415</v>
      </c>
      <c r="DV139" s="418" t="n">
        <f aca="false">DU139-CJ139</f>
        <v>76.138415</v>
      </c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  <c r="EB139" s="419"/>
    </row>
    <row r="140" customFormat="false" ht="15.75" hidden="false" customHeight="true" outlineLevel="0" collapsed="false">
      <c r="B140" s="578" t="s">
        <v>353</v>
      </c>
      <c r="C140" s="398" t="s">
        <v>354</v>
      </c>
      <c r="D140" s="281"/>
      <c r="E140" s="144"/>
      <c r="F140" s="144"/>
      <c r="G140" s="144"/>
      <c r="H140" s="245"/>
      <c r="I140" s="422"/>
      <c r="J140" s="281"/>
      <c r="K140" s="144"/>
      <c r="L140" s="144"/>
      <c r="M140" s="144"/>
      <c r="N140" s="245"/>
      <c r="O140" s="422"/>
      <c r="P140" s="281"/>
      <c r="Q140" s="144"/>
      <c r="R140" s="144"/>
      <c r="S140" s="144"/>
      <c r="T140" s="245"/>
      <c r="U140" s="423"/>
      <c r="V140" s="281"/>
      <c r="W140" s="144"/>
      <c r="X140" s="144"/>
      <c r="Y140" s="144"/>
      <c r="Z140" s="144"/>
      <c r="AA140" s="144"/>
      <c r="AB140" s="245"/>
      <c r="AC140" s="422"/>
      <c r="AD140" s="281"/>
      <c r="AE140" s="144"/>
      <c r="AF140" s="144"/>
      <c r="AG140" s="144"/>
      <c r="AH140" s="144"/>
      <c r="AI140" s="144"/>
      <c r="AJ140" s="245"/>
      <c r="AK140" s="422"/>
      <c r="AL140" s="281"/>
      <c r="AM140" s="144"/>
      <c r="AN140" s="144"/>
      <c r="AO140" s="144"/>
      <c r="AP140" s="144"/>
      <c r="AQ140" s="144"/>
      <c r="AR140" s="144"/>
      <c r="AS140" s="245"/>
      <c r="AT140" s="424"/>
      <c r="AU140" s="281"/>
      <c r="AV140" s="144"/>
      <c r="AW140" s="144"/>
      <c r="AX140" s="144"/>
      <c r="AY140" s="144"/>
      <c r="AZ140" s="144"/>
      <c r="BA140" s="245"/>
      <c r="BB140" s="422"/>
      <c r="BC140" s="281"/>
      <c r="BD140" s="144"/>
      <c r="BE140" s="144"/>
      <c r="BF140" s="144"/>
      <c r="BG140" s="144"/>
      <c r="BH140" s="144"/>
      <c r="BI140" s="245"/>
      <c r="BJ140" s="423"/>
      <c r="BK140" s="281"/>
      <c r="BL140" s="144"/>
      <c r="BM140" s="144"/>
      <c r="BN140" s="144"/>
      <c r="BO140" s="144"/>
      <c r="BP140" s="144"/>
      <c r="BQ140" s="144"/>
      <c r="BR140" s="245"/>
      <c r="BS140" s="423"/>
      <c r="BT140" s="281"/>
      <c r="BU140" s="144"/>
      <c r="BV140" s="144"/>
      <c r="BW140" s="144"/>
      <c r="BX140" s="144"/>
      <c r="BY140" s="144"/>
      <c r="BZ140" s="245"/>
      <c r="CA140" s="373"/>
      <c r="CB140" s="281"/>
      <c r="CC140" s="144"/>
      <c r="CD140" s="144"/>
      <c r="CE140" s="144"/>
      <c r="CF140" s="144"/>
      <c r="CG140" s="144"/>
      <c r="CH140" s="245"/>
      <c r="CI140" s="373"/>
      <c r="CJ140" s="281"/>
      <c r="CK140" s="144"/>
      <c r="CL140" s="144"/>
      <c r="CM140" s="144"/>
      <c r="CN140" s="144"/>
      <c r="CO140" s="144"/>
      <c r="CP140" s="245"/>
      <c r="CQ140" s="422"/>
      <c r="CR140" s="281"/>
      <c r="CS140" s="144"/>
      <c r="CT140" s="144"/>
      <c r="CU140" s="144" t="n">
        <f aca="false">+CR140-CS140</f>
        <v>0</v>
      </c>
      <c r="CV140" s="144" t="n">
        <f aca="false">+CR140-CT140</f>
        <v>0</v>
      </c>
      <c r="CW140" s="144"/>
      <c r="CX140" s="245" t="str">
        <f aca="false">IFERROR(CR140/CW140-1, "-")</f>
        <v>-</v>
      </c>
      <c r="CY140" s="425"/>
      <c r="CZ140" s="426"/>
      <c r="DA140" s="144"/>
      <c r="DB140" s="144"/>
      <c r="DC140" s="144"/>
      <c r="DD140" s="144"/>
      <c r="DE140" s="245" t="e">
        <f aca="false">+CZ140/DD140-1</f>
        <v>#DIV/0!</v>
      </c>
      <c r="DF140" s="245" t="e">
        <f aca="false">+DA140/DD140-1</f>
        <v>#DIV/0!</v>
      </c>
      <c r="DG140" s="427" t="e">
        <f aca="false">+DB140/DD140-1</f>
        <v>#DIV/0!</v>
      </c>
      <c r="DH140" s="427" t="e">
        <f aca="false">+DC140/DD140-1</f>
        <v>#DIV/0!</v>
      </c>
      <c r="DI140" s="413"/>
      <c r="DJ140" s="117" t="n">
        <f aca="false">SUM(D140,J140,P140,V140,AD140,AL140,AU140,BC140,BK140,BT140,CB140,CJ140)-CR140</f>
        <v>0</v>
      </c>
      <c r="DK140" s="117" t="n">
        <f aca="false">SUM(E140,K140,Q140,W140,AE140,AM140,AV140,BD140,BL140,BU140,CC140,CK140)-CS140</f>
        <v>0</v>
      </c>
      <c r="DL140" s="117" t="n">
        <f aca="false">SUM(G140,M140,S140,AA140,AI140,AR140,AZ140,BH140,BQ140,BY140,CG140,CO140)-CW140</f>
        <v>0</v>
      </c>
      <c r="DM140" s="117" t="n">
        <f aca="false">SUM(D140,J140,P140,V140,AD140,AL140,AU140,BC140,,BN140,BV140,CD140,CL140)-CT140</f>
        <v>0</v>
      </c>
      <c r="DN140" s="413"/>
      <c r="DO140" s="413"/>
      <c r="DP140" s="428" t="e">
        <f aca="false">SUM(DP141:DP150)</f>
        <v>#VALUE!</v>
      </c>
      <c r="DQ140" s="415" t="e">
        <f aca="false">-CR140+DP140/10^6</f>
        <v>#VALUE!</v>
      </c>
      <c r="DR140" s="117" t="n">
        <f aca="false">SUM(E140,K140,Q140,W140,AE140,AM140,AV140,BD140,BL140,BU140,CC140,CK140)-CS140</f>
        <v>0</v>
      </c>
      <c r="DS140" s="117" t="n">
        <f aca="false">SUM(D140,J140,P140,V140,AD140,AL140,AU140,BC140,,BN140,BV140,CD140,CL140)-CT140</f>
        <v>0</v>
      </c>
      <c r="DT140" s="416"/>
      <c r="DU140" s="417" t="n">
        <v>20.62295</v>
      </c>
      <c r="DV140" s="418" t="n">
        <f aca="false">DU140-CJ140</f>
        <v>20.62295</v>
      </c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  <c r="EB140" s="419"/>
    </row>
    <row r="141" s="441" customFormat="true" ht="15.75" hidden="true" customHeight="true" outlineLevel="1" collapsed="false">
      <c r="A141" s="286"/>
      <c r="B141" s="444" t="s">
        <v>355</v>
      </c>
      <c r="C141" s="431" t="s">
        <v>356</v>
      </c>
      <c r="D141" s="432"/>
      <c r="E141" s="433"/>
      <c r="F141" s="433"/>
      <c r="G141" s="433"/>
      <c r="H141" s="434"/>
      <c r="I141" s="422"/>
      <c r="J141" s="432"/>
      <c r="K141" s="433"/>
      <c r="L141" s="433"/>
      <c r="M141" s="433"/>
      <c r="N141" s="434"/>
      <c r="O141" s="435"/>
      <c r="P141" s="432"/>
      <c r="Q141" s="433"/>
      <c r="R141" s="433"/>
      <c r="S141" s="433"/>
      <c r="T141" s="434"/>
      <c r="U141" s="423"/>
      <c r="V141" s="432"/>
      <c r="W141" s="433"/>
      <c r="X141" s="433"/>
      <c r="Y141" s="433"/>
      <c r="Z141" s="433"/>
      <c r="AA141" s="433"/>
      <c r="AB141" s="434"/>
      <c r="AC141" s="435"/>
      <c r="AD141" s="432"/>
      <c r="AE141" s="433"/>
      <c r="AF141" s="433"/>
      <c r="AG141" s="433"/>
      <c r="AH141" s="433"/>
      <c r="AI141" s="433"/>
      <c r="AJ141" s="434"/>
      <c r="AK141" s="435"/>
      <c r="AL141" s="432"/>
      <c r="AM141" s="433"/>
      <c r="AN141" s="433"/>
      <c r="AO141" s="433"/>
      <c r="AP141" s="433"/>
      <c r="AQ141" s="433"/>
      <c r="AR141" s="433"/>
      <c r="AS141" s="434"/>
      <c r="AT141" s="424"/>
      <c r="AU141" s="432"/>
      <c r="AV141" s="433"/>
      <c r="AW141" s="433"/>
      <c r="AX141" s="433"/>
      <c r="AY141" s="433"/>
      <c r="AZ141" s="433"/>
      <c r="BA141" s="434"/>
      <c r="BB141" s="435"/>
      <c r="BC141" s="432"/>
      <c r="BD141" s="433"/>
      <c r="BE141" s="433"/>
      <c r="BF141" s="433"/>
      <c r="BG141" s="433"/>
      <c r="BH141" s="433"/>
      <c r="BI141" s="434"/>
      <c r="BJ141" s="436"/>
      <c r="BK141" s="432"/>
      <c r="BL141" s="433"/>
      <c r="BM141" s="433"/>
      <c r="BN141" s="433"/>
      <c r="BO141" s="433"/>
      <c r="BP141" s="433"/>
      <c r="BQ141" s="433"/>
      <c r="BR141" s="434"/>
      <c r="BS141" s="436"/>
      <c r="BT141" s="432"/>
      <c r="BU141" s="433"/>
      <c r="BV141" s="433"/>
      <c r="BW141" s="433"/>
      <c r="BX141" s="433"/>
      <c r="BY141" s="433"/>
      <c r="BZ141" s="434"/>
      <c r="CA141" s="373"/>
      <c r="CB141" s="432"/>
      <c r="CC141" s="433"/>
      <c r="CD141" s="433"/>
      <c r="CE141" s="433"/>
      <c r="CF141" s="433"/>
      <c r="CG141" s="433"/>
      <c r="CH141" s="434"/>
      <c r="CI141" s="373"/>
      <c r="CJ141" s="432"/>
      <c r="CK141" s="433"/>
      <c r="CL141" s="433"/>
      <c r="CM141" s="433"/>
      <c r="CN141" s="433"/>
      <c r="CO141" s="433"/>
      <c r="CP141" s="434"/>
      <c r="CQ141" s="435"/>
      <c r="CR141" s="432"/>
      <c r="CS141" s="433"/>
      <c r="CT141" s="433"/>
      <c r="CU141" s="433" t="n">
        <f aca="false">+CR141-CS141</f>
        <v>0</v>
      </c>
      <c r="CV141" s="433" t="n">
        <f aca="false">+CR141-CT141</f>
        <v>0</v>
      </c>
      <c r="CW141" s="433"/>
      <c r="CX141" s="434" t="str">
        <f aca="false">IFERROR(CR141/CW141-1, "-")</f>
        <v>-</v>
      </c>
      <c r="CY141" s="425"/>
      <c r="CZ141" s="437"/>
      <c r="DA141" s="433"/>
      <c r="DB141" s="433"/>
      <c r="DC141" s="433"/>
      <c r="DD141" s="433"/>
      <c r="DE141" s="434" t="e">
        <f aca="false">+CZ141/DD141-1</f>
        <v>#DIV/0!</v>
      </c>
      <c r="DF141" s="434" t="e">
        <f aca="false">+DA141/DD141-1</f>
        <v>#DIV/0!</v>
      </c>
      <c r="DG141" s="438" t="e">
        <f aca="false">+DB141/DD141-1</f>
        <v>#DIV/0!</v>
      </c>
      <c r="DH141" s="438" t="e">
        <f aca="false">+DC141/DD141-1</f>
        <v>#DIV/0!</v>
      </c>
      <c r="DI141" s="413"/>
      <c r="DJ141" s="117" t="n">
        <f aca="false">SUM(D141,J141,P141,V141,AD141,AL141,AU141,BC141,BK141,BT141,CB141,CJ141)-CR141</f>
        <v>0</v>
      </c>
      <c r="DK141" s="117" t="n">
        <f aca="false">SUM(E141,K141,Q141,W141,AE141,AM141,AV141,BD141,BL141,BU141,CC141,CK141)-CS141</f>
        <v>0</v>
      </c>
      <c r="DL141" s="117" t="n">
        <f aca="false">SUM(G141,M141,S141,AA141,AI141,AR141,AZ141,BH141,BQ141,BY141,CG141,CO141)-CW141</f>
        <v>0</v>
      </c>
      <c r="DM141" s="117" t="n">
        <f aca="false">SUM(D141,J141,P141,V141,AD141,AL141,AU141,BC141,,BN141,BV141,CD141,CL141)-CT141</f>
        <v>0</v>
      </c>
      <c r="DN141" s="413"/>
      <c r="DO141" s="413"/>
      <c r="DP141" s="439" t="n">
        <v>78562298</v>
      </c>
      <c r="DQ141" s="415" t="n">
        <f aca="false">-CR141+DP141/10^6</f>
        <v>78.562298</v>
      </c>
      <c r="DR141" s="117" t="n">
        <f aca="false">SUM(E141,K141,Q141,W141,AE141,AM141,AV141,BD141,BL141,BU141,CC141,CK141)-CS141</f>
        <v>0</v>
      </c>
      <c r="DS141" s="117" t="n">
        <f aca="false">SUM(D141,J141,P141,V141,AD141,AL141,AU141,BC141,,BN141,BV141,CD141,CL141)-CT141</f>
        <v>0</v>
      </c>
      <c r="DT141" s="416"/>
      <c r="DU141" s="440" t="n">
        <v>4.983162</v>
      </c>
      <c r="DV141" s="418" t="n">
        <f aca="false">DU141-CJ141</f>
        <v>4.983162</v>
      </c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  <c r="EB141" s="419"/>
    </row>
    <row r="142" s="441" customFormat="true" ht="15.75" hidden="true" customHeight="true" outlineLevel="1" collapsed="false">
      <c r="A142" s="286"/>
      <c r="B142" s="444" t="s">
        <v>357</v>
      </c>
      <c r="C142" s="431" t="s">
        <v>358</v>
      </c>
      <c r="D142" s="432"/>
      <c r="E142" s="433"/>
      <c r="F142" s="433"/>
      <c r="G142" s="433"/>
      <c r="H142" s="434"/>
      <c r="I142" s="422"/>
      <c r="J142" s="432"/>
      <c r="K142" s="433"/>
      <c r="L142" s="433"/>
      <c r="M142" s="433"/>
      <c r="N142" s="434"/>
      <c r="O142" s="435"/>
      <c r="P142" s="432"/>
      <c r="Q142" s="433"/>
      <c r="R142" s="433"/>
      <c r="S142" s="433"/>
      <c r="T142" s="434"/>
      <c r="U142" s="423"/>
      <c r="V142" s="432"/>
      <c r="W142" s="433"/>
      <c r="X142" s="433"/>
      <c r="Y142" s="433"/>
      <c r="Z142" s="433"/>
      <c r="AA142" s="433"/>
      <c r="AB142" s="434"/>
      <c r="AC142" s="435"/>
      <c r="AD142" s="432"/>
      <c r="AE142" s="433"/>
      <c r="AF142" s="433"/>
      <c r="AG142" s="433"/>
      <c r="AH142" s="433"/>
      <c r="AI142" s="433"/>
      <c r="AJ142" s="434"/>
      <c r="AK142" s="435"/>
      <c r="AL142" s="432"/>
      <c r="AM142" s="433"/>
      <c r="AN142" s="433"/>
      <c r="AO142" s="433"/>
      <c r="AP142" s="433"/>
      <c r="AQ142" s="433"/>
      <c r="AR142" s="433"/>
      <c r="AS142" s="434"/>
      <c r="AT142" s="424"/>
      <c r="AU142" s="432"/>
      <c r="AV142" s="433"/>
      <c r="AW142" s="433"/>
      <c r="AX142" s="433"/>
      <c r="AY142" s="433"/>
      <c r="AZ142" s="433"/>
      <c r="BA142" s="434"/>
      <c r="BB142" s="435"/>
      <c r="BC142" s="432"/>
      <c r="BD142" s="433"/>
      <c r="BE142" s="433"/>
      <c r="BF142" s="433"/>
      <c r="BG142" s="433"/>
      <c r="BH142" s="433"/>
      <c r="BI142" s="434"/>
      <c r="BJ142" s="436"/>
      <c r="BK142" s="432"/>
      <c r="BL142" s="433"/>
      <c r="BM142" s="433"/>
      <c r="BN142" s="433"/>
      <c r="BO142" s="433"/>
      <c r="BP142" s="433"/>
      <c r="BQ142" s="433"/>
      <c r="BR142" s="434"/>
      <c r="BS142" s="436"/>
      <c r="BT142" s="432"/>
      <c r="BU142" s="433"/>
      <c r="BV142" s="433"/>
      <c r="BW142" s="433"/>
      <c r="BX142" s="433"/>
      <c r="BY142" s="433"/>
      <c r="BZ142" s="434"/>
      <c r="CA142" s="373"/>
      <c r="CB142" s="432"/>
      <c r="CC142" s="433"/>
      <c r="CD142" s="433"/>
      <c r="CE142" s="433"/>
      <c r="CF142" s="433"/>
      <c r="CG142" s="433"/>
      <c r="CH142" s="434"/>
      <c r="CI142" s="373"/>
      <c r="CJ142" s="432"/>
      <c r="CK142" s="433"/>
      <c r="CL142" s="433"/>
      <c r="CM142" s="433"/>
      <c r="CN142" s="433"/>
      <c r="CO142" s="433"/>
      <c r="CP142" s="434"/>
      <c r="CQ142" s="435"/>
      <c r="CR142" s="432"/>
      <c r="CS142" s="433"/>
      <c r="CT142" s="433"/>
      <c r="CU142" s="433" t="n">
        <f aca="false">+CR142-CS142</f>
        <v>0</v>
      </c>
      <c r="CV142" s="433" t="n">
        <f aca="false">+CR142-CT142</f>
        <v>0</v>
      </c>
      <c r="CW142" s="433"/>
      <c r="CX142" s="434" t="str">
        <f aca="false">IFERROR(CR142/CW142-1, "-")</f>
        <v>-</v>
      </c>
      <c r="CY142" s="425"/>
      <c r="CZ142" s="437"/>
      <c r="DA142" s="433"/>
      <c r="DB142" s="433"/>
      <c r="DC142" s="433"/>
      <c r="DD142" s="433"/>
      <c r="DE142" s="434"/>
      <c r="DF142" s="434"/>
      <c r="DG142" s="438"/>
      <c r="DH142" s="438"/>
      <c r="DI142" s="413"/>
      <c r="DJ142" s="117" t="n">
        <f aca="false">SUM(D142,J142,P142,V142,AD142,AL142,AU142,BC142,BK142,BT142,CB142,CJ142)-CR142</f>
        <v>0</v>
      </c>
      <c r="DK142" s="117" t="n">
        <f aca="false">SUM(E142,K142,Q142,W142,AE142,AM142,AV142,BD142,BL142,BU142,CC142,CK142)-CS142</f>
        <v>0</v>
      </c>
      <c r="DL142" s="117" t="n">
        <f aca="false">SUM(G142,M142,S142,AA142,AI142,AR142,AZ142,BH142,BQ142,BY142,CG142,CO142)-CW142</f>
        <v>0</v>
      </c>
      <c r="DM142" s="117" t="n">
        <f aca="false">SUM(D142,J142,P142,V142,AD142,AL142,AU142,BC142,,BN142,BV142,CD142,CL142)-CT142</f>
        <v>0</v>
      </c>
      <c r="DN142" s="413"/>
      <c r="DO142" s="413"/>
      <c r="DP142" s="439" t="n">
        <v>0</v>
      </c>
      <c r="DQ142" s="415" t="n">
        <f aca="false">-CR142+DP142/10^6</f>
        <v>0</v>
      </c>
      <c r="DR142" s="117" t="n">
        <f aca="false">SUM(E142,K142,Q142,W142,AE142,AM142,AV142,BD142,BL142,BU142,CC142,CK142)-CS142</f>
        <v>0</v>
      </c>
      <c r="DS142" s="117" t="n">
        <f aca="false">SUM(D142,J142,P142,V142,AD142,AL142,AU142,BC142,,BN142,BV142,CD142,CL142)-CT142</f>
        <v>0</v>
      </c>
      <c r="DT142" s="416"/>
      <c r="DU142" s="440" t="n">
        <v>0</v>
      </c>
      <c r="DV142" s="418" t="n">
        <f aca="false">DU142-CJ142</f>
        <v>0</v>
      </c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  <c r="EB142" s="419"/>
    </row>
    <row r="143" s="441" customFormat="true" ht="15.75" hidden="true" customHeight="true" outlineLevel="1" collapsed="false">
      <c r="A143" s="286"/>
      <c r="B143" s="444" t="s">
        <v>359</v>
      </c>
      <c r="C143" s="431" t="s">
        <v>360</v>
      </c>
      <c r="D143" s="432"/>
      <c r="E143" s="433"/>
      <c r="F143" s="433"/>
      <c r="G143" s="433"/>
      <c r="H143" s="434"/>
      <c r="I143" s="422"/>
      <c r="J143" s="432"/>
      <c r="K143" s="433"/>
      <c r="L143" s="433"/>
      <c r="M143" s="433"/>
      <c r="N143" s="434"/>
      <c r="O143" s="435"/>
      <c r="P143" s="432"/>
      <c r="Q143" s="433"/>
      <c r="R143" s="433"/>
      <c r="S143" s="433"/>
      <c r="T143" s="434"/>
      <c r="U143" s="423"/>
      <c r="V143" s="432"/>
      <c r="W143" s="433"/>
      <c r="X143" s="433"/>
      <c r="Y143" s="433"/>
      <c r="Z143" s="433"/>
      <c r="AA143" s="433"/>
      <c r="AB143" s="434"/>
      <c r="AC143" s="435"/>
      <c r="AD143" s="432"/>
      <c r="AE143" s="433"/>
      <c r="AF143" s="433"/>
      <c r="AG143" s="433"/>
      <c r="AH143" s="433"/>
      <c r="AI143" s="433"/>
      <c r="AJ143" s="434"/>
      <c r="AK143" s="435"/>
      <c r="AL143" s="432"/>
      <c r="AM143" s="433"/>
      <c r="AN143" s="433"/>
      <c r="AO143" s="433"/>
      <c r="AP143" s="433"/>
      <c r="AQ143" s="433"/>
      <c r="AR143" s="433"/>
      <c r="AS143" s="434"/>
      <c r="AT143" s="424"/>
      <c r="AU143" s="432"/>
      <c r="AV143" s="433"/>
      <c r="AW143" s="433"/>
      <c r="AX143" s="433"/>
      <c r="AY143" s="433"/>
      <c r="AZ143" s="433"/>
      <c r="BA143" s="434"/>
      <c r="BB143" s="435"/>
      <c r="BC143" s="432"/>
      <c r="BD143" s="433"/>
      <c r="BE143" s="433"/>
      <c r="BF143" s="433"/>
      <c r="BG143" s="433"/>
      <c r="BH143" s="433"/>
      <c r="BI143" s="434"/>
      <c r="BJ143" s="436"/>
      <c r="BK143" s="432"/>
      <c r="BL143" s="433"/>
      <c r="BM143" s="433"/>
      <c r="BN143" s="433"/>
      <c r="BO143" s="433"/>
      <c r="BP143" s="433"/>
      <c r="BQ143" s="433"/>
      <c r="BR143" s="434"/>
      <c r="BS143" s="436"/>
      <c r="BT143" s="432"/>
      <c r="BU143" s="433"/>
      <c r="BV143" s="433"/>
      <c r="BW143" s="433"/>
      <c r="BX143" s="433"/>
      <c r="BY143" s="433"/>
      <c r="BZ143" s="434"/>
      <c r="CA143" s="373"/>
      <c r="CB143" s="432"/>
      <c r="CC143" s="433"/>
      <c r="CD143" s="433"/>
      <c r="CE143" s="433"/>
      <c r="CF143" s="433"/>
      <c r="CG143" s="433"/>
      <c r="CH143" s="434"/>
      <c r="CI143" s="373"/>
      <c r="CJ143" s="432"/>
      <c r="CK143" s="433"/>
      <c r="CL143" s="433"/>
      <c r="CM143" s="433"/>
      <c r="CN143" s="433"/>
      <c r="CO143" s="433"/>
      <c r="CP143" s="434"/>
      <c r="CQ143" s="435"/>
      <c r="CR143" s="432"/>
      <c r="CS143" s="433"/>
      <c r="CT143" s="433"/>
      <c r="CU143" s="433" t="n">
        <f aca="false">+CR143-CS143</f>
        <v>0</v>
      </c>
      <c r="CV143" s="433" t="n">
        <f aca="false">+CR143-CT143</f>
        <v>0</v>
      </c>
      <c r="CW143" s="433"/>
      <c r="CX143" s="434" t="str">
        <f aca="false">IFERROR(CR143/CW143-1, "-")</f>
        <v>-</v>
      </c>
      <c r="CY143" s="425"/>
      <c r="CZ143" s="437"/>
      <c r="DA143" s="433"/>
      <c r="DB143" s="460"/>
      <c r="DC143" s="433"/>
      <c r="DD143" s="460"/>
      <c r="DE143" s="434"/>
      <c r="DF143" s="434" t="e">
        <f aca="false">+DA143/DD143-1</f>
        <v>#DIV/0!</v>
      </c>
      <c r="DG143" s="438" t="e">
        <f aca="false">+DB143/DD143-1</f>
        <v>#DIV/0!</v>
      </c>
      <c r="DH143" s="438" t="e">
        <f aca="false">+DC143/DD143-1</f>
        <v>#DIV/0!</v>
      </c>
      <c r="DI143" s="413"/>
      <c r="DJ143" s="117" t="n">
        <f aca="false">SUM(D143,J143,P143,V143,AD143,AL143,AU143,BC143,BK143,BT143,CB143,CJ143)-CR143</f>
        <v>0</v>
      </c>
      <c r="DK143" s="117" t="n">
        <f aca="false">SUM(E143,K143,Q143,W143,AE143,AM143,AV143,BD143,BL143,BU143,CC143,CK143)-CS143</f>
        <v>0</v>
      </c>
      <c r="DL143" s="117" t="n">
        <f aca="false">SUM(G143,M143,S143,AA143,AI143,AR143,AZ143,BH143,BQ143,BY143,CG143,CO143)-CW143</f>
        <v>0</v>
      </c>
      <c r="DM143" s="117" t="n">
        <f aca="false">SUM(D143,J143,P143,V143,AD143,AL143,AU143,BC143,,BN143,BV143,CD143,CL143)-CT143</f>
        <v>0</v>
      </c>
      <c r="DN143" s="413"/>
      <c r="DO143" s="413"/>
      <c r="DP143" s="439"/>
      <c r="DQ143" s="415" t="n">
        <f aca="false">-CR143+DP143/10^6</f>
        <v>0</v>
      </c>
      <c r="DR143" s="117" t="n">
        <f aca="false">SUM(E143,K143,Q143,W143,AE143,AM143,AV143,BD143,BL143,BU143,CC143,CK143)-CS143</f>
        <v>0</v>
      </c>
      <c r="DS143" s="117" t="n">
        <f aca="false">SUM(D143,J143,P143,V143,AD143,AL143,AU143,BC143,,BN143,BV143,CD143,CL143)-CT143</f>
        <v>0</v>
      </c>
      <c r="DT143" s="416"/>
      <c r="DU143" s="440"/>
      <c r="DV143" s="418" t="n">
        <f aca="false">DU143-CJ143</f>
        <v>0</v>
      </c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  <c r="EB143" s="419"/>
    </row>
    <row r="144" s="441" customFormat="true" ht="15.75" hidden="true" customHeight="true" outlineLevel="1" collapsed="false">
      <c r="A144" s="286"/>
      <c r="B144" s="444" t="s">
        <v>361</v>
      </c>
      <c r="C144" s="431" t="s">
        <v>362</v>
      </c>
      <c r="D144" s="455"/>
      <c r="E144" s="433"/>
      <c r="F144" s="433"/>
      <c r="G144" s="433"/>
      <c r="H144" s="434"/>
      <c r="I144" s="422"/>
      <c r="J144" s="455"/>
      <c r="K144" s="433"/>
      <c r="L144" s="433"/>
      <c r="M144" s="433"/>
      <c r="N144" s="434"/>
      <c r="O144" s="435"/>
      <c r="P144" s="455"/>
      <c r="Q144" s="433"/>
      <c r="R144" s="433"/>
      <c r="S144" s="433"/>
      <c r="T144" s="434"/>
      <c r="U144" s="423"/>
      <c r="V144" s="455"/>
      <c r="W144" s="433"/>
      <c r="X144" s="433"/>
      <c r="Y144" s="433"/>
      <c r="Z144" s="433"/>
      <c r="AA144" s="433"/>
      <c r="AB144" s="434"/>
      <c r="AC144" s="435"/>
      <c r="AD144" s="455"/>
      <c r="AE144" s="433"/>
      <c r="AF144" s="433"/>
      <c r="AG144" s="433"/>
      <c r="AH144" s="433"/>
      <c r="AI144" s="433"/>
      <c r="AJ144" s="434"/>
      <c r="AK144" s="435"/>
      <c r="AL144" s="455"/>
      <c r="AM144" s="433"/>
      <c r="AN144" s="433"/>
      <c r="AO144" s="433"/>
      <c r="AP144" s="433"/>
      <c r="AQ144" s="433"/>
      <c r="AR144" s="433"/>
      <c r="AS144" s="434"/>
      <c r="AT144" s="424"/>
      <c r="AU144" s="455"/>
      <c r="AV144" s="433"/>
      <c r="AW144" s="433"/>
      <c r="AX144" s="433"/>
      <c r="AY144" s="433"/>
      <c r="AZ144" s="433"/>
      <c r="BA144" s="434"/>
      <c r="BB144" s="435"/>
      <c r="BC144" s="455"/>
      <c r="BD144" s="433"/>
      <c r="BE144" s="433"/>
      <c r="BF144" s="433"/>
      <c r="BG144" s="433"/>
      <c r="BH144" s="433"/>
      <c r="BI144" s="434"/>
      <c r="BJ144" s="436"/>
      <c r="BK144" s="455"/>
      <c r="BL144" s="433"/>
      <c r="BM144" s="433"/>
      <c r="BN144" s="433"/>
      <c r="BO144" s="433"/>
      <c r="BP144" s="433"/>
      <c r="BQ144" s="433"/>
      <c r="BR144" s="434"/>
      <c r="BS144" s="436"/>
      <c r="BT144" s="455"/>
      <c r="BU144" s="433"/>
      <c r="BV144" s="433"/>
      <c r="BW144" s="433"/>
      <c r="BX144" s="433"/>
      <c r="BY144" s="433"/>
      <c r="BZ144" s="434"/>
      <c r="CA144" s="373"/>
      <c r="CB144" s="455"/>
      <c r="CC144" s="433"/>
      <c r="CD144" s="433"/>
      <c r="CE144" s="433"/>
      <c r="CF144" s="433"/>
      <c r="CG144" s="433"/>
      <c r="CH144" s="434"/>
      <c r="CI144" s="373"/>
      <c r="CJ144" s="468"/>
      <c r="CK144" s="433"/>
      <c r="CL144" s="433"/>
      <c r="CM144" s="433"/>
      <c r="CN144" s="433"/>
      <c r="CO144" s="433"/>
      <c r="CP144" s="434"/>
      <c r="CQ144" s="435"/>
      <c r="CR144" s="432"/>
      <c r="CS144" s="433"/>
      <c r="CT144" s="433"/>
      <c r="CU144" s="433" t="n">
        <f aca="false">+CR144-CS144</f>
        <v>0</v>
      </c>
      <c r="CV144" s="433" t="n">
        <f aca="false">+CR144-CT144</f>
        <v>0</v>
      </c>
      <c r="CW144" s="433"/>
      <c r="CX144" s="434" t="str">
        <f aca="false">IFERROR(CR144/CW144-1, "-")</f>
        <v>-</v>
      </c>
      <c r="CY144" s="425"/>
      <c r="CZ144" s="437"/>
      <c r="DA144" s="433"/>
      <c r="DB144" s="433"/>
      <c r="DC144" s="433"/>
      <c r="DD144" s="433"/>
      <c r="DE144" s="434" t="e">
        <f aca="false">+CZ144/DD144-1</f>
        <v>#DIV/0!</v>
      </c>
      <c r="DF144" s="434" t="e">
        <f aca="false">+DA144/DD144-1</f>
        <v>#DIV/0!</v>
      </c>
      <c r="DG144" s="438" t="e">
        <f aca="false">+DB144/DD144-1</f>
        <v>#DIV/0!</v>
      </c>
      <c r="DH144" s="438" t="e">
        <f aca="false">+DC144/DD144-1</f>
        <v>#DIV/0!</v>
      </c>
      <c r="DI144" s="413"/>
      <c r="DJ144" s="117" t="n">
        <f aca="false">SUM(D144,J144,P144,V144,AD144,AL144,AU144,BC144,BK144,BT144,CB144,CJ144)-CR144</f>
        <v>0</v>
      </c>
      <c r="DK144" s="117" t="n">
        <f aca="false">SUM(E144,K144,Q144,W144,AE144,AM144,AV144,BD144,BL144,BU144,CC144,CK144)-CS144</f>
        <v>0</v>
      </c>
      <c r="DL144" s="117" t="n">
        <f aca="false">SUM(G144,M144,S144,AA144,AI144,AR144,AZ144,BH144,BQ144,BY144,CG144,CO144)-CW144</f>
        <v>0</v>
      </c>
      <c r="DM144" s="117" t="n">
        <f aca="false">SUM(D144,J144,P144,V144,AD144,AL144,AU144,BC144,,BN144,BV144,CD144,CL144)-CT144</f>
        <v>0</v>
      </c>
      <c r="DN144" s="413"/>
      <c r="DO144" s="413"/>
      <c r="DP144" s="469" t="n">
        <v>1064777</v>
      </c>
      <c r="DQ144" s="415" t="n">
        <f aca="false">-CR144+DP144/10^6</f>
        <v>1.064777</v>
      </c>
      <c r="DR144" s="117" t="n">
        <f aca="false">SUM(E144,K144,Q144,W144,AE144,AM144,AV144,BD144,BL144,BU144,CC144,CK144)-CS144</f>
        <v>0</v>
      </c>
      <c r="DS144" s="117" t="n">
        <f aca="false">SUM(D144,J144,P144,V144,AD144,AL144,AU144,BC144,,BN144,BV144,CD144,CL144)-CT144</f>
        <v>0</v>
      </c>
      <c r="DT144" s="416"/>
      <c r="DU144" s="440" t="n">
        <v>4.574522</v>
      </c>
      <c r="DV144" s="418" t="n">
        <f aca="false">DU144-CJ144</f>
        <v>4.574522</v>
      </c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  <c r="EB144" s="419"/>
    </row>
    <row r="145" s="441" customFormat="true" ht="15.75" hidden="true" customHeight="true" outlineLevel="1" collapsed="false">
      <c r="A145" s="286"/>
      <c r="B145" s="444" t="s">
        <v>363</v>
      </c>
      <c r="C145" s="431" t="s">
        <v>364</v>
      </c>
      <c r="D145" s="432"/>
      <c r="E145" s="433"/>
      <c r="F145" s="433"/>
      <c r="G145" s="433"/>
      <c r="H145" s="434"/>
      <c r="I145" s="422"/>
      <c r="J145" s="432"/>
      <c r="K145" s="433"/>
      <c r="L145" s="433"/>
      <c r="M145" s="433"/>
      <c r="N145" s="434"/>
      <c r="O145" s="435"/>
      <c r="P145" s="432"/>
      <c r="Q145" s="433"/>
      <c r="R145" s="433"/>
      <c r="S145" s="433"/>
      <c r="T145" s="434"/>
      <c r="U145" s="423"/>
      <c r="V145" s="432"/>
      <c r="W145" s="433"/>
      <c r="X145" s="433"/>
      <c r="Y145" s="433"/>
      <c r="Z145" s="433"/>
      <c r="AA145" s="433"/>
      <c r="AB145" s="434"/>
      <c r="AC145" s="435"/>
      <c r="AD145" s="432"/>
      <c r="AE145" s="433"/>
      <c r="AF145" s="433"/>
      <c r="AG145" s="433"/>
      <c r="AH145" s="433"/>
      <c r="AI145" s="433"/>
      <c r="AJ145" s="434"/>
      <c r="AK145" s="435"/>
      <c r="AL145" s="432"/>
      <c r="AM145" s="433"/>
      <c r="AN145" s="433"/>
      <c r="AO145" s="433"/>
      <c r="AP145" s="433"/>
      <c r="AQ145" s="433"/>
      <c r="AR145" s="433"/>
      <c r="AS145" s="434"/>
      <c r="AT145" s="424"/>
      <c r="AU145" s="432"/>
      <c r="AV145" s="433"/>
      <c r="AW145" s="433"/>
      <c r="AX145" s="433"/>
      <c r="AY145" s="433"/>
      <c r="AZ145" s="433"/>
      <c r="BA145" s="434"/>
      <c r="BB145" s="435"/>
      <c r="BC145" s="432"/>
      <c r="BD145" s="433"/>
      <c r="BE145" s="433"/>
      <c r="BF145" s="433"/>
      <c r="BG145" s="433"/>
      <c r="BH145" s="433"/>
      <c r="BI145" s="434"/>
      <c r="BJ145" s="436"/>
      <c r="BK145" s="432"/>
      <c r="BL145" s="433"/>
      <c r="BM145" s="433"/>
      <c r="BN145" s="433"/>
      <c r="BO145" s="433"/>
      <c r="BP145" s="433"/>
      <c r="BQ145" s="433"/>
      <c r="BR145" s="434"/>
      <c r="BS145" s="436"/>
      <c r="BT145" s="432"/>
      <c r="BU145" s="433"/>
      <c r="BV145" s="433"/>
      <c r="BW145" s="433"/>
      <c r="BX145" s="433"/>
      <c r="BY145" s="433"/>
      <c r="BZ145" s="434"/>
      <c r="CA145" s="373"/>
      <c r="CB145" s="432"/>
      <c r="CC145" s="433"/>
      <c r="CD145" s="433"/>
      <c r="CE145" s="433"/>
      <c r="CF145" s="433"/>
      <c r="CG145" s="433"/>
      <c r="CH145" s="434"/>
      <c r="CI145" s="373"/>
      <c r="CJ145" s="432"/>
      <c r="CK145" s="433"/>
      <c r="CL145" s="433"/>
      <c r="CM145" s="433"/>
      <c r="CN145" s="433"/>
      <c r="CO145" s="433"/>
      <c r="CP145" s="434"/>
      <c r="CQ145" s="435"/>
      <c r="CR145" s="432"/>
      <c r="CS145" s="433"/>
      <c r="CT145" s="433"/>
      <c r="CU145" s="433" t="n">
        <f aca="false">+CR145-CS145</f>
        <v>0</v>
      </c>
      <c r="CV145" s="433" t="n">
        <f aca="false">+CR145-CT145</f>
        <v>0</v>
      </c>
      <c r="CW145" s="433"/>
      <c r="CX145" s="434" t="str">
        <f aca="false">IFERROR(CR145/CW145-1, "-")</f>
        <v>-</v>
      </c>
      <c r="CY145" s="425"/>
      <c r="CZ145" s="437"/>
      <c r="DA145" s="433"/>
      <c r="DB145" s="433"/>
      <c r="DC145" s="433"/>
      <c r="DD145" s="433"/>
      <c r="DE145" s="434"/>
      <c r="DF145" s="434"/>
      <c r="DG145" s="438"/>
      <c r="DH145" s="438"/>
      <c r="DI145" s="413"/>
      <c r="DJ145" s="117" t="n">
        <f aca="false">SUM(D145,J145,P145,V145,AD145,AL145,AU145,BC145,BK145,BT145,CB145,CJ145)-CR145</f>
        <v>0</v>
      </c>
      <c r="DK145" s="117" t="n">
        <f aca="false">SUM(E145,K145,Q145,W145,AE145,AM145,AV145,BD145,BL145,BU145,CC145,CK145)-CS145</f>
        <v>0</v>
      </c>
      <c r="DL145" s="117" t="n">
        <f aca="false">SUM(G145,M145,S145,AA145,AI145,AR145,AZ145,BH145,BQ145,BY145,CG145,CO145)-CW145</f>
        <v>0</v>
      </c>
      <c r="DM145" s="117" t="n">
        <f aca="false">SUM(D145,J145,P145,V145,AD145,AL145,AU145,BC145,,BN145,BV145,CD145,CL145)-CT145</f>
        <v>0</v>
      </c>
      <c r="DN145" s="413"/>
      <c r="DO145" s="413"/>
      <c r="DP145" s="439" t="n">
        <v>0</v>
      </c>
      <c r="DQ145" s="415" t="n">
        <f aca="false">-CR145+DP145/10^6</f>
        <v>0</v>
      </c>
      <c r="DR145" s="117" t="n">
        <f aca="false">SUM(E145,K145,Q145,W145,AE145,AM145,AV145,BD145,BL145,BU145,CC145,CK145)-CS145</f>
        <v>0</v>
      </c>
      <c r="DS145" s="117" t="n">
        <f aca="false">SUM(D145,J145,P145,V145,AD145,AL145,AU145,BC145,,BN145,BV145,CD145,CL145)-CT145</f>
        <v>0</v>
      </c>
      <c r="DT145" s="416"/>
      <c r="DU145" s="440" t="n">
        <v>0</v>
      </c>
      <c r="DV145" s="418" t="n">
        <f aca="false">DU145-CJ145</f>
        <v>0</v>
      </c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  <c r="EB145" s="419"/>
    </row>
    <row r="146" s="441" customFormat="true" ht="15.75" hidden="true" customHeight="true" outlineLevel="1" collapsed="false">
      <c r="A146" s="286"/>
      <c r="B146" s="444" t="s">
        <v>365</v>
      </c>
      <c r="C146" s="431" t="s">
        <v>366</v>
      </c>
      <c r="D146" s="432"/>
      <c r="E146" s="433"/>
      <c r="F146" s="433"/>
      <c r="G146" s="433"/>
      <c r="H146" s="434"/>
      <c r="I146" s="422"/>
      <c r="J146" s="432"/>
      <c r="K146" s="433"/>
      <c r="L146" s="433"/>
      <c r="M146" s="433"/>
      <c r="N146" s="434"/>
      <c r="O146" s="435"/>
      <c r="P146" s="432"/>
      <c r="Q146" s="433"/>
      <c r="R146" s="433"/>
      <c r="S146" s="433"/>
      <c r="T146" s="434"/>
      <c r="U146" s="423"/>
      <c r="V146" s="432"/>
      <c r="W146" s="433"/>
      <c r="X146" s="433"/>
      <c r="Y146" s="433"/>
      <c r="Z146" s="433"/>
      <c r="AA146" s="433"/>
      <c r="AB146" s="434"/>
      <c r="AC146" s="435"/>
      <c r="AD146" s="432"/>
      <c r="AE146" s="433"/>
      <c r="AF146" s="433"/>
      <c r="AG146" s="433"/>
      <c r="AH146" s="433"/>
      <c r="AI146" s="433"/>
      <c r="AJ146" s="434"/>
      <c r="AK146" s="435"/>
      <c r="AL146" s="432"/>
      <c r="AM146" s="433"/>
      <c r="AN146" s="433"/>
      <c r="AO146" s="433"/>
      <c r="AP146" s="433"/>
      <c r="AQ146" s="433"/>
      <c r="AR146" s="433"/>
      <c r="AS146" s="434"/>
      <c r="AT146" s="424"/>
      <c r="AU146" s="432"/>
      <c r="AV146" s="433"/>
      <c r="AW146" s="433"/>
      <c r="AX146" s="433"/>
      <c r="AY146" s="433"/>
      <c r="AZ146" s="433"/>
      <c r="BA146" s="434"/>
      <c r="BB146" s="435"/>
      <c r="BC146" s="432"/>
      <c r="BD146" s="433"/>
      <c r="BE146" s="433"/>
      <c r="BF146" s="433"/>
      <c r="BG146" s="433"/>
      <c r="BH146" s="433"/>
      <c r="BI146" s="434"/>
      <c r="BJ146" s="436"/>
      <c r="BK146" s="432"/>
      <c r="BL146" s="433"/>
      <c r="BM146" s="433"/>
      <c r="BN146" s="433"/>
      <c r="BO146" s="433"/>
      <c r="BP146" s="433"/>
      <c r="BQ146" s="433"/>
      <c r="BR146" s="434"/>
      <c r="BS146" s="436"/>
      <c r="BT146" s="432"/>
      <c r="BU146" s="433"/>
      <c r="BV146" s="433"/>
      <c r="BW146" s="433"/>
      <c r="BX146" s="433"/>
      <c r="BY146" s="433"/>
      <c r="BZ146" s="434"/>
      <c r="CA146" s="373"/>
      <c r="CB146" s="432"/>
      <c r="CC146" s="433"/>
      <c r="CD146" s="433"/>
      <c r="CE146" s="433"/>
      <c r="CF146" s="433"/>
      <c r="CG146" s="433"/>
      <c r="CH146" s="434"/>
      <c r="CI146" s="373"/>
      <c r="CJ146" s="432"/>
      <c r="CK146" s="433"/>
      <c r="CL146" s="433"/>
      <c r="CM146" s="433"/>
      <c r="CN146" s="433"/>
      <c r="CO146" s="433"/>
      <c r="CP146" s="434"/>
      <c r="CQ146" s="435"/>
      <c r="CR146" s="432"/>
      <c r="CS146" s="433"/>
      <c r="CT146" s="433"/>
      <c r="CU146" s="433" t="n">
        <f aca="false">+CR146-CS146</f>
        <v>0</v>
      </c>
      <c r="CV146" s="433" t="n">
        <f aca="false">+CR146-CT146</f>
        <v>0</v>
      </c>
      <c r="CW146" s="433"/>
      <c r="CX146" s="434" t="str">
        <f aca="false">IFERROR(CR146/CW146-1, "-")</f>
        <v>-</v>
      </c>
      <c r="CY146" s="425"/>
      <c r="CZ146" s="437"/>
      <c r="DA146" s="433"/>
      <c r="DB146" s="433"/>
      <c r="DC146" s="433"/>
      <c r="DD146" s="433"/>
      <c r="DE146" s="434" t="e">
        <f aca="false">+CZ146/DD146-1</f>
        <v>#DIV/0!</v>
      </c>
      <c r="DF146" s="434" t="e">
        <f aca="false">+DA146/DD146-1</f>
        <v>#DIV/0!</v>
      </c>
      <c r="DG146" s="438" t="e">
        <f aca="false">+DB146/DD146-1</f>
        <v>#DIV/0!</v>
      </c>
      <c r="DH146" s="438" t="e">
        <f aca="false">+DC146/DD146-1</f>
        <v>#DIV/0!</v>
      </c>
      <c r="DI146" s="413"/>
      <c r="DJ146" s="117" t="n">
        <f aca="false">SUM(D146,J146,P146,V146,AD146,AL146,AU146,BC146,BK146,BT146,CB146,CJ146)-CR146</f>
        <v>0</v>
      </c>
      <c r="DK146" s="117" t="n">
        <f aca="false">SUM(E146,K146,Q146,W146,AE146,AM146,AV146,BD146,BL146,BU146,CC146,CK146)-CS146</f>
        <v>0</v>
      </c>
      <c r="DL146" s="117" t="n">
        <f aca="false">SUM(G146,M146,S146,AA146,AI146,AR146,AZ146,BH146,BQ146,BY146,CG146,CO146)-CW146</f>
        <v>0</v>
      </c>
      <c r="DM146" s="117" t="n">
        <f aca="false">SUM(D146,J146,P146,V146,AD146,AL146,AU146,BC146,,BN146,BV146,CD146,CL146)-CT146</f>
        <v>0</v>
      </c>
      <c r="DN146" s="413"/>
      <c r="DO146" s="413"/>
      <c r="DP146" s="439" t="n">
        <v>0</v>
      </c>
      <c r="DQ146" s="415" t="n">
        <f aca="false">-CR146+DP146/10^6</f>
        <v>0</v>
      </c>
      <c r="DR146" s="117" t="n">
        <f aca="false">SUM(E146,K146,Q146,W146,AE146,AM146,AV146,BD146,BL146,BU146,CC146,CK146)-CS146</f>
        <v>0</v>
      </c>
      <c r="DS146" s="117" t="n">
        <f aca="false">SUM(D146,J146,P146,V146,AD146,AL146,AU146,BC146,,BN146,BV146,CD146,CL146)-CT146</f>
        <v>0</v>
      </c>
      <c r="DT146" s="416"/>
      <c r="DU146" s="440" t="n">
        <v>0</v>
      </c>
      <c r="DV146" s="418" t="n">
        <f aca="false">DU146-CJ146</f>
        <v>0</v>
      </c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  <c r="EB146" s="419"/>
    </row>
    <row r="147" s="441" customFormat="true" ht="15.75" hidden="true" customHeight="true" outlineLevel="1" collapsed="false">
      <c r="A147" s="286"/>
      <c r="B147" s="444" t="s">
        <v>367</v>
      </c>
      <c r="C147" s="431" t="s">
        <v>368</v>
      </c>
      <c r="D147" s="432"/>
      <c r="E147" s="433"/>
      <c r="F147" s="433"/>
      <c r="G147" s="433"/>
      <c r="H147" s="434"/>
      <c r="I147" s="422"/>
      <c r="J147" s="432"/>
      <c r="K147" s="433"/>
      <c r="L147" s="433"/>
      <c r="M147" s="433"/>
      <c r="N147" s="434"/>
      <c r="O147" s="435"/>
      <c r="P147" s="432"/>
      <c r="Q147" s="433"/>
      <c r="R147" s="433"/>
      <c r="S147" s="433"/>
      <c r="T147" s="434"/>
      <c r="U147" s="423"/>
      <c r="V147" s="432"/>
      <c r="W147" s="433"/>
      <c r="X147" s="433"/>
      <c r="Y147" s="433"/>
      <c r="Z147" s="433"/>
      <c r="AA147" s="433"/>
      <c r="AB147" s="434"/>
      <c r="AC147" s="435"/>
      <c r="AD147" s="432"/>
      <c r="AE147" s="433"/>
      <c r="AF147" s="433"/>
      <c r="AG147" s="433"/>
      <c r="AH147" s="433"/>
      <c r="AI147" s="433"/>
      <c r="AJ147" s="434"/>
      <c r="AK147" s="435"/>
      <c r="AL147" s="432"/>
      <c r="AM147" s="433"/>
      <c r="AN147" s="433"/>
      <c r="AO147" s="433"/>
      <c r="AP147" s="433"/>
      <c r="AQ147" s="433"/>
      <c r="AR147" s="433"/>
      <c r="AS147" s="434"/>
      <c r="AT147" s="424"/>
      <c r="AU147" s="432"/>
      <c r="AV147" s="433"/>
      <c r="AW147" s="433"/>
      <c r="AX147" s="433"/>
      <c r="AY147" s="433"/>
      <c r="AZ147" s="433"/>
      <c r="BA147" s="434"/>
      <c r="BB147" s="435"/>
      <c r="BC147" s="432"/>
      <c r="BD147" s="433"/>
      <c r="BE147" s="433"/>
      <c r="BF147" s="433"/>
      <c r="BG147" s="433"/>
      <c r="BH147" s="433"/>
      <c r="BI147" s="434"/>
      <c r="BJ147" s="436"/>
      <c r="BK147" s="432"/>
      <c r="BL147" s="433"/>
      <c r="BM147" s="433"/>
      <c r="BN147" s="433"/>
      <c r="BO147" s="433"/>
      <c r="BP147" s="433"/>
      <c r="BQ147" s="433"/>
      <c r="BR147" s="434"/>
      <c r="BS147" s="436"/>
      <c r="BT147" s="432"/>
      <c r="BU147" s="433"/>
      <c r="BV147" s="433"/>
      <c r="BW147" s="433"/>
      <c r="BX147" s="433"/>
      <c r="BY147" s="433"/>
      <c r="BZ147" s="434"/>
      <c r="CA147" s="373"/>
      <c r="CB147" s="432"/>
      <c r="CC147" s="433"/>
      <c r="CD147" s="433"/>
      <c r="CE147" s="433"/>
      <c r="CF147" s="433"/>
      <c r="CG147" s="433"/>
      <c r="CH147" s="434"/>
      <c r="CI147" s="373"/>
      <c r="CJ147" s="468"/>
      <c r="CK147" s="433"/>
      <c r="CL147" s="433"/>
      <c r="CM147" s="433"/>
      <c r="CN147" s="433"/>
      <c r="CO147" s="433"/>
      <c r="CP147" s="434"/>
      <c r="CQ147" s="435"/>
      <c r="CR147" s="432"/>
      <c r="CS147" s="433"/>
      <c r="CT147" s="433"/>
      <c r="CU147" s="433" t="n">
        <f aca="false">+CR147-CS147</f>
        <v>0</v>
      </c>
      <c r="CV147" s="433" t="n">
        <f aca="false">+CR147-CT147</f>
        <v>0</v>
      </c>
      <c r="CW147" s="433"/>
      <c r="CX147" s="434" t="str">
        <f aca="false">IFERROR(CR147/CW147-1, "-")</f>
        <v>-</v>
      </c>
      <c r="CY147" s="425"/>
      <c r="CZ147" s="437"/>
      <c r="DA147" s="433"/>
      <c r="DB147" s="433"/>
      <c r="DC147" s="433"/>
      <c r="DD147" s="433"/>
      <c r="DE147" s="434" t="e">
        <f aca="false">+CZ147/DD147-1</f>
        <v>#DIV/0!</v>
      </c>
      <c r="DF147" s="434" t="e">
        <f aca="false">+DA147/DD147-1</f>
        <v>#DIV/0!</v>
      </c>
      <c r="DG147" s="438" t="e">
        <f aca="false">+DB147/DD147-1</f>
        <v>#DIV/0!</v>
      </c>
      <c r="DH147" s="438" t="e">
        <f aca="false">+DC147/DD147-1</f>
        <v>#DIV/0!</v>
      </c>
      <c r="DI147" s="413"/>
      <c r="DJ147" s="117" t="n">
        <f aca="false">SUM(D147,J147,P147,V147,AD147,AL147,AU147,BC147,BK147,BT147,CB147,CJ147)-CR147</f>
        <v>0</v>
      </c>
      <c r="DK147" s="117" t="n">
        <f aca="false">SUM(E147,K147,Q147,W147,AE147,AM147,AV147,BD147,BL147,BU147,CC147,CK147)-CS147</f>
        <v>0</v>
      </c>
      <c r="DL147" s="117" t="n">
        <f aca="false">SUM(G147,M147,S147,AA147,AI147,AR147,AZ147,BH147,BQ147,BY147,CG147,CO147)-CW147</f>
        <v>0</v>
      </c>
      <c r="DM147" s="117" t="n">
        <f aca="false">SUM(D147,J147,P147,V147,AD147,AL147,AU147,BC147,,BN147,BV147,CD147,CL147)-CT147</f>
        <v>0</v>
      </c>
      <c r="DN147" s="413"/>
      <c r="DO147" s="413"/>
      <c r="DP147" s="439" t="n">
        <v>74576824</v>
      </c>
      <c r="DQ147" s="415" t="n">
        <f aca="false">-CR147+DP147/10^6</f>
        <v>74.576824</v>
      </c>
      <c r="DR147" s="117" t="n">
        <f aca="false">SUM(E147,K147,Q147,W147,AE147,AM147,AV147,BD147,BL147,BU147,CC147,CK147)-CS147</f>
        <v>0</v>
      </c>
      <c r="DS147" s="117" t="n">
        <f aca="false">SUM(D147,J147,P147,V147,AD147,AL147,AU147,BC147,,BN147,BV147,CD147,CL147)-CT147</f>
        <v>0</v>
      </c>
      <c r="DT147" s="416"/>
      <c r="DU147" s="440" t="n">
        <v>6.085875</v>
      </c>
      <c r="DV147" s="418" t="n">
        <f aca="false">DU147-CJ147</f>
        <v>6.085875</v>
      </c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  <c r="EB147" s="419"/>
    </row>
    <row r="148" s="441" customFormat="true" ht="15.75" hidden="true" customHeight="true" outlineLevel="1" collapsed="false">
      <c r="A148" s="286"/>
      <c r="B148" s="444" t="s">
        <v>369</v>
      </c>
      <c r="C148" s="431" t="s">
        <v>370</v>
      </c>
      <c r="D148" s="432"/>
      <c r="E148" s="580"/>
      <c r="F148" s="433"/>
      <c r="G148" s="433"/>
      <c r="H148" s="434"/>
      <c r="I148" s="422"/>
      <c r="J148" s="432"/>
      <c r="K148" s="580"/>
      <c r="L148" s="433"/>
      <c r="M148" s="433"/>
      <c r="N148" s="434"/>
      <c r="O148" s="435"/>
      <c r="P148" s="432"/>
      <c r="Q148" s="580"/>
      <c r="R148" s="433"/>
      <c r="S148" s="433"/>
      <c r="T148" s="434"/>
      <c r="U148" s="423"/>
      <c r="V148" s="432"/>
      <c r="W148" s="580"/>
      <c r="X148" s="580"/>
      <c r="Y148" s="433"/>
      <c r="Z148" s="433"/>
      <c r="AA148" s="433"/>
      <c r="AB148" s="434"/>
      <c r="AC148" s="435"/>
      <c r="AD148" s="432"/>
      <c r="AE148" s="580"/>
      <c r="AF148" s="580"/>
      <c r="AG148" s="433"/>
      <c r="AH148" s="433"/>
      <c r="AI148" s="433"/>
      <c r="AJ148" s="434"/>
      <c r="AK148" s="435"/>
      <c r="AL148" s="432"/>
      <c r="AM148" s="580"/>
      <c r="AN148" s="580"/>
      <c r="AO148" s="580"/>
      <c r="AP148" s="433"/>
      <c r="AQ148" s="433"/>
      <c r="AR148" s="433"/>
      <c r="AS148" s="434"/>
      <c r="AT148" s="424"/>
      <c r="AU148" s="432"/>
      <c r="AV148" s="580"/>
      <c r="AW148" s="580"/>
      <c r="AX148" s="433"/>
      <c r="AY148" s="433"/>
      <c r="AZ148" s="433"/>
      <c r="BA148" s="434"/>
      <c r="BB148" s="435"/>
      <c r="BC148" s="432"/>
      <c r="BD148" s="580"/>
      <c r="BE148" s="580"/>
      <c r="BF148" s="433"/>
      <c r="BG148" s="433"/>
      <c r="BH148" s="433"/>
      <c r="BI148" s="434"/>
      <c r="BJ148" s="436"/>
      <c r="BK148" s="432"/>
      <c r="BL148" s="580"/>
      <c r="BM148" s="580"/>
      <c r="BN148" s="580"/>
      <c r="BO148" s="433"/>
      <c r="BP148" s="433"/>
      <c r="BQ148" s="433"/>
      <c r="BR148" s="434"/>
      <c r="BS148" s="436"/>
      <c r="BT148" s="432"/>
      <c r="BU148" s="580"/>
      <c r="BV148" s="580"/>
      <c r="BW148" s="433"/>
      <c r="BX148" s="433"/>
      <c r="BY148" s="433"/>
      <c r="BZ148" s="434"/>
      <c r="CA148" s="373"/>
      <c r="CB148" s="432"/>
      <c r="CC148" s="580"/>
      <c r="CD148" s="580"/>
      <c r="CE148" s="433"/>
      <c r="CF148" s="433"/>
      <c r="CG148" s="433"/>
      <c r="CH148" s="434"/>
      <c r="CI148" s="373"/>
      <c r="CJ148" s="468"/>
      <c r="CK148" s="580"/>
      <c r="CL148" s="580"/>
      <c r="CM148" s="433"/>
      <c r="CN148" s="433"/>
      <c r="CO148" s="433"/>
      <c r="CP148" s="434"/>
      <c r="CQ148" s="435"/>
      <c r="CR148" s="432"/>
      <c r="CS148" s="433"/>
      <c r="CT148" s="433"/>
      <c r="CU148" s="433" t="n">
        <f aca="false">+CR148-CS148</f>
        <v>0</v>
      </c>
      <c r="CV148" s="433" t="n">
        <f aca="false">+CR148-CT148</f>
        <v>0</v>
      </c>
      <c r="CW148" s="433"/>
      <c r="CX148" s="434" t="str">
        <f aca="false">IFERROR(CR148/CW148-1, "-")</f>
        <v>-</v>
      </c>
      <c r="CY148" s="425"/>
      <c r="CZ148" s="581"/>
      <c r="DA148" s="580"/>
      <c r="DB148" s="580"/>
      <c r="DC148" s="580"/>
      <c r="DD148" s="580"/>
      <c r="DE148" s="434" t="e">
        <f aca="false">+CZ148/DD148-1</f>
        <v>#DIV/0!</v>
      </c>
      <c r="DF148" s="434" t="e">
        <f aca="false">+DA148/DD148-1</f>
        <v>#DIV/0!</v>
      </c>
      <c r="DG148" s="438" t="e">
        <f aca="false">+DB148/DD148-1</f>
        <v>#DIV/0!</v>
      </c>
      <c r="DH148" s="438" t="e">
        <f aca="false">+DC148/DD148-1</f>
        <v>#DIV/0!</v>
      </c>
      <c r="DI148" s="413"/>
      <c r="DJ148" s="117" t="n">
        <f aca="false">SUM(D148,J148,P148,V148,AD148,AL148,AU148,BC148,BK148,BT148,CB148,CJ148)-CR148</f>
        <v>0</v>
      </c>
      <c r="DK148" s="117" t="n">
        <f aca="false">SUM(E148,K148,Q148,W148,AE148,AM148,AV148,BD148,BL148,BU148,CC148,CK148)-CS148</f>
        <v>0</v>
      </c>
      <c r="DL148" s="117" t="n">
        <f aca="false">SUM(G148,M148,S148,AA148,AI148,AR148,AZ148,BH148,BQ148,BY148,CG148,CO148)-CW148</f>
        <v>0</v>
      </c>
      <c r="DM148" s="117" t="n">
        <f aca="false">SUM(D148,J148,P148,V148,AD148,AL148,AU148,BC148,,BN148,BV148,CD148,CL148)-CT148</f>
        <v>0</v>
      </c>
      <c r="DN148" s="413"/>
      <c r="DO148" s="413"/>
      <c r="DP148" s="439" t="n">
        <v>12846044</v>
      </c>
      <c r="DQ148" s="415" t="n">
        <f aca="false">-CR148+DP148/10^6</f>
        <v>12.846044</v>
      </c>
      <c r="DR148" s="117" t="n">
        <f aca="false">SUM(E148,K148,Q148,W148,AE148,AM148,AV148,BD148,BL148,BU148,CC148,CK148)-CS148</f>
        <v>0</v>
      </c>
      <c r="DS148" s="117" t="n">
        <f aca="false">SUM(D148,J148,P148,V148,AD148,AL148,AU148,BC148,,BN148,BV148,CD148,CL148)-CT148</f>
        <v>0</v>
      </c>
      <c r="DT148" s="416"/>
      <c r="DU148" s="440" t="n">
        <v>2.367822</v>
      </c>
      <c r="DV148" s="418" t="n">
        <f aca="false">DU148-CJ148</f>
        <v>2.367822</v>
      </c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  <c r="EB148" s="419"/>
    </row>
    <row r="149" s="441" customFormat="true" ht="15.75" hidden="true" customHeight="true" outlineLevel="1" collapsed="false">
      <c r="A149" s="286"/>
      <c r="B149" s="444" t="s">
        <v>371</v>
      </c>
      <c r="C149" s="431" t="s">
        <v>372</v>
      </c>
      <c r="D149" s="432"/>
      <c r="E149" s="580"/>
      <c r="F149" s="433"/>
      <c r="G149" s="433"/>
      <c r="H149" s="434"/>
      <c r="I149" s="422"/>
      <c r="J149" s="432"/>
      <c r="K149" s="580"/>
      <c r="L149" s="433"/>
      <c r="M149" s="433"/>
      <c r="N149" s="434"/>
      <c r="O149" s="435"/>
      <c r="P149" s="432"/>
      <c r="Q149" s="580"/>
      <c r="R149" s="433"/>
      <c r="S149" s="433"/>
      <c r="T149" s="434"/>
      <c r="U149" s="423"/>
      <c r="V149" s="432"/>
      <c r="W149" s="580"/>
      <c r="X149" s="580"/>
      <c r="Y149" s="433"/>
      <c r="Z149" s="433"/>
      <c r="AA149" s="433"/>
      <c r="AB149" s="434"/>
      <c r="AC149" s="435"/>
      <c r="AD149" s="432"/>
      <c r="AE149" s="580"/>
      <c r="AF149" s="580"/>
      <c r="AG149" s="433"/>
      <c r="AH149" s="433"/>
      <c r="AI149" s="433"/>
      <c r="AJ149" s="434"/>
      <c r="AK149" s="435"/>
      <c r="AL149" s="432"/>
      <c r="AM149" s="580"/>
      <c r="AN149" s="580"/>
      <c r="AO149" s="580"/>
      <c r="AP149" s="433"/>
      <c r="AQ149" s="433"/>
      <c r="AR149" s="433"/>
      <c r="AS149" s="434"/>
      <c r="AT149" s="424"/>
      <c r="AU149" s="432"/>
      <c r="AV149" s="580"/>
      <c r="AW149" s="580"/>
      <c r="AX149" s="433"/>
      <c r="AY149" s="433"/>
      <c r="AZ149" s="433"/>
      <c r="BA149" s="434"/>
      <c r="BB149" s="435"/>
      <c r="BC149" s="432"/>
      <c r="BD149" s="580"/>
      <c r="BE149" s="580"/>
      <c r="BF149" s="433"/>
      <c r="BG149" s="433"/>
      <c r="BH149" s="433"/>
      <c r="BI149" s="434"/>
      <c r="BJ149" s="436"/>
      <c r="BK149" s="432"/>
      <c r="BL149" s="580"/>
      <c r="BM149" s="580"/>
      <c r="BN149" s="580"/>
      <c r="BO149" s="433"/>
      <c r="BP149" s="433"/>
      <c r="BQ149" s="433"/>
      <c r="BR149" s="434"/>
      <c r="BS149" s="436"/>
      <c r="BT149" s="432"/>
      <c r="BU149" s="580"/>
      <c r="BV149" s="580"/>
      <c r="BW149" s="433"/>
      <c r="BX149" s="433"/>
      <c r="BY149" s="433"/>
      <c r="BZ149" s="434"/>
      <c r="CA149" s="373"/>
      <c r="CB149" s="432"/>
      <c r="CC149" s="580"/>
      <c r="CD149" s="580"/>
      <c r="CE149" s="433"/>
      <c r="CF149" s="433"/>
      <c r="CG149" s="433"/>
      <c r="CH149" s="434"/>
      <c r="CI149" s="373"/>
      <c r="CJ149" s="432"/>
      <c r="CK149" s="580"/>
      <c r="CL149" s="580"/>
      <c r="CM149" s="433"/>
      <c r="CN149" s="433"/>
      <c r="CO149" s="433"/>
      <c r="CP149" s="434"/>
      <c r="CQ149" s="435"/>
      <c r="CR149" s="432"/>
      <c r="CS149" s="433"/>
      <c r="CT149" s="433"/>
      <c r="CU149" s="433" t="n">
        <f aca="false">+CR149-CS149</f>
        <v>0</v>
      </c>
      <c r="CV149" s="433" t="n">
        <f aca="false">+CR149-CT149</f>
        <v>0</v>
      </c>
      <c r="CW149" s="433"/>
      <c r="CX149" s="434" t="str">
        <f aca="false">IFERROR(CR149/CW149-1, "-")</f>
        <v>-</v>
      </c>
      <c r="CY149" s="425"/>
      <c r="CZ149" s="581"/>
      <c r="DA149" s="580"/>
      <c r="DB149" s="580"/>
      <c r="DC149" s="580"/>
      <c r="DD149" s="580"/>
      <c r="DE149" s="434" t="e">
        <f aca="false">+CZ149/DD149-1</f>
        <v>#DIV/0!</v>
      </c>
      <c r="DF149" s="434" t="e">
        <f aca="false">+DA149/DD149-1</f>
        <v>#DIV/0!</v>
      </c>
      <c r="DG149" s="438" t="e">
        <f aca="false">+DB149/DD149-1</f>
        <v>#DIV/0!</v>
      </c>
      <c r="DH149" s="438" t="e">
        <f aca="false">+DC149/DD149-1</f>
        <v>#DIV/0!</v>
      </c>
      <c r="DI149" s="413"/>
      <c r="DJ149" s="117" t="n">
        <f aca="false">SUM(D149,J149,P149,V149,AD149,AL149,AU149,BC149,BK149,BT149,CB149,CJ149)-CR149</f>
        <v>0</v>
      </c>
      <c r="DK149" s="117" t="n">
        <f aca="false">SUM(E149,K149,Q149,W149,AE149,AM149,AV149,BD149,BL149,BU149,CC149,CK149)-CS149</f>
        <v>0</v>
      </c>
      <c r="DL149" s="117" t="n">
        <f aca="false">SUM(G149,M149,S149,AA149,AI149,AR149,AZ149,BH149,BQ149,BY149,CG149,CO149)-CW149</f>
        <v>0</v>
      </c>
      <c r="DM149" s="117" t="n">
        <f aca="false">SUM(D149,J149,P149,V149,AD149,AL149,AU149,BC149,,BN149,BV149,CD149,CL149)-CT149</f>
        <v>0</v>
      </c>
      <c r="DN149" s="413"/>
      <c r="DO149" s="413"/>
      <c r="DP149" s="439" t="e">
        <f aca="false">#VALUE!</f>
        <v>#VALUE!</v>
      </c>
      <c r="DQ149" s="415" t="e">
        <f aca="false">-CR149+DP149/10^6</f>
        <v>#VALUE!</v>
      </c>
      <c r="DR149" s="117" t="n">
        <f aca="false">SUM(E149,K149,Q149,W149,AE149,AM149,AV149,BD149,BL149,BU149,CC149,CK149)-CS149</f>
        <v>0</v>
      </c>
      <c r="DS149" s="117" t="n">
        <f aca="false">SUM(D149,J149,P149,V149,AD149,AL149,AU149,BC149,,BN149,BV149,CD149,CL149)-CT149</f>
        <v>0</v>
      </c>
      <c r="DT149" s="416"/>
      <c r="DU149" s="440" t="n">
        <v>2.611569</v>
      </c>
      <c r="DV149" s="418" t="n">
        <f aca="false">DU149-CJ149</f>
        <v>2.611569</v>
      </c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  <c r="EB149" s="419"/>
    </row>
    <row r="150" s="441" customFormat="true" ht="15.75" hidden="true" customHeight="true" outlineLevel="1" collapsed="false">
      <c r="A150" s="286"/>
      <c r="B150" s="444" t="s">
        <v>373</v>
      </c>
      <c r="C150" s="431" t="s">
        <v>374</v>
      </c>
      <c r="D150" s="432"/>
      <c r="E150" s="433"/>
      <c r="F150" s="433"/>
      <c r="G150" s="433"/>
      <c r="H150" s="434"/>
      <c r="I150" s="422"/>
      <c r="J150" s="432"/>
      <c r="K150" s="433"/>
      <c r="L150" s="433"/>
      <c r="M150" s="433"/>
      <c r="N150" s="434"/>
      <c r="O150" s="435"/>
      <c r="P150" s="432"/>
      <c r="Q150" s="433"/>
      <c r="R150" s="433"/>
      <c r="S150" s="433"/>
      <c r="T150" s="434"/>
      <c r="U150" s="423"/>
      <c r="V150" s="432"/>
      <c r="W150" s="433"/>
      <c r="X150" s="433"/>
      <c r="Y150" s="433"/>
      <c r="Z150" s="433"/>
      <c r="AA150" s="433"/>
      <c r="AB150" s="434"/>
      <c r="AC150" s="435"/>
      <c r="AD150" s="432"/>
      <c r="AE150" s="433"/>
      <c r="AF150" s="433"/>
      <c r="AG150" s="433"/>
      <c r="AH150" s="433"/>
      <c r="AI150" s="433"/>
      <c r="AJ150" s="434"/>
      <c r="AK150" s="435"/>
      <c r="AL150" s="432"/>
      <c r="AM150" s="433"/>
      <c r="AN150" s="433"/>
      <c r="AO150" s="433"/>
      <c r="AP150" s="433"/>
      <c r="AQ150" s="433"/>
      <c r="AR150" s="433"/>
      <c r="AS150" s="434"/>
      <c r="AT150" s="424"/>
      <c r="AU150" s="432"/>
      <c r="AV150" s="433"/>
      <c r="AW150" s="433"/>
      <c r="AX150" s="433"/>
      <c r="AY150" s="433"/>
      <c r="AZ150" s="433"/>
      <c r="BA150" s="434"/>
      <c r="BB150" s="435"/>
      <c r="BC150" s="432"/>
      <c r="BD150" s="433"/>
      <c r="BE150" s="433"/>
      <c r="BF150" s="433"/>
      <c r="BG150" s="433"/>
      <c r="BH150" s="433"/>
      <c r="BI150" s="434"/>
      <c r="BJ150" s="436"/>
      <c r="BK150" s="432"/>
      <c r="BL150" s="433"/>
      <c r="BM150" s="433"/>
      <c r="BN150" s="433"/>
      <c r="BO150" s="433"/>
      <c r="BP150" s="433"/>
      <c r="BQ150" s="433"/>
      <c r="BR150" s="434"/>
      <c r="BS150" s="436"/>
      <c r="BT150" s="432"/>
      <c r="BU150" s="433"/>
      <c r="BV150" s="433"/>
      <c r="BW150" s="433"/>
      <c r="BX150" s="433"/>
      <c r="BY150" s="433"/>
      <c r="BZ150" s="434"/>
      <c r="CA150" s="373"/>
      <c r="CB150" s="432"/>
      <c r="CC150" s="433"/>
      <c r="CD150" s="433"/>
      <c r="CE150" s="433"/>
      <c r="CF150" s="433"/>
      <c r="CG150" s="433"/>
      <c r="CH150" s="434"/>
      <c r="CI150" s="373"/>
      <c r="CJ150" s="432"/>
      <c r="CK150" s="433"/>
      <c r="CL150" s="433"/>
      <c r="CM150" s="433"/>
      <c r="CN150" s="433"/>
      <c r="CO150" s="433"/>
      <c r="CP150" s="434"/>
      <c r="CQ150" s="435"/>
      <c r="CR150" s="432"/>
      <c r="CS150" s="433"/>
      <c r="CT150" s="433"/>
      <c r="CU150" s="433" t="n">
        <f aca="false">+CR150-CS150</f>
        <v>0</v>
      </c>
      <c r="CV150" s="433" t="n">
        <f aca="false">+CR150-CT150</f>
        <v>0</v>
      </c>
      <c r="CW150" s="433"/>
      <c r="CX150" s="434" t="str">
        <f aca="false">IFERROR(CR150/CW150-1, "-")</f>
        <v>-</v>
      </c>
      <c r="CY150" s="425"/>
      <c r="CZ150" s="437"/>
      <c r="DA150" s="433"/>
      <c r="DB150" s="433"/>
      <c r="DC150" s="433"/>
      <c r="DD150" s="433"/>
      <c r="DE150" s="434"/>
      <c r="DF150" s="434"/>
      <c r="DG150" s="438"/>
      <c r="DH150" s="438"/>
      <c r="DI150" s="413"/>
      <c r="DJ150" s="117" t="n">
        <f aca="false">SUM(D150,J150,P150,V150,AD150,AL150,AU150,BC150,BK150,BT150,CB150,CJ150)-CR150</f>
        <v>0</v>
      </c>
      <c r="DK150" s="117" t="n">
        <f aca="false">SUM(E150,K150,Q150,W150,AE150,AM150,AV150,BD150,BL150,BU150,CC150,CK150)-CS150</f>
        <v>0</v>
      </c>
      <c r="DL150" s="117" t="n">
        <f aca="false">SUM(G150,M150,S150,AA150,AI150,AR150,AZ150,BH150,BQ150,BY150,CG150,CO150)-CW150</f>
        <v>0</v>
      </c>
      <c r="DM150" s="117" t="n">
        <f aca="false">SUM(D150,J150,P150,V150,AD150,AL150,AU150,BC150,,BN150,BV150,CD150,CL150)-CT150</f>
        <v>0</v>
      </c>
      <c r="DN150" s="413"/>
      <c r="DO150" s="413"/>
      <c r="DP150" s="439" t="n">
        <v>0</v>
      </c>
      <c r="DQ150" s="415" t="n">
        <f aca="false">-CR150+DP150/10^6</f>
        <v>0</v>
      </c>
      <c r="DR150" s="117" t="n">
        <f aca="false">SUM(E150,K150,Q150,W150,AE150,AM150,AV150,BD150,BL150,BU150,CC150,CK150)-CS150</f>
        <v>0</v>
      </c>
      <c r="DS150" s="117" t="n">
        <f aca="false">SUM(D150,J150,P150,V150,AD150,AL150,AU150,BC150,,BN150,BV150,CD150,CL150)-CT150</f>
        <v>0</v>
      </c>
      <c r="DT150" s="416"/>
      <c r="DU150" s="440" t="n">
        <v>0</v>
      </c>
      <c r="DV150" s="418" t="n">
        <f aca="false">DU150-CJ150</f>
        <v>0</v>
      </c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  <c r="EB150" s="419"/>
    </row>
    <row r="151" customFormat="false" ht="15.75" hidden="false" customHeight="true" outlineLevel="0" collapsed="false">
      <c r="B151" s="578" t="s">
        <v>375</v>
      </c>
      <c r="C151" s="398" t="s">
        <v>376</v>
      </c>
      <c r="D151" s="281"/>
      <c r="E151" s="144"/>
      <c r="F151" s="144"/>
      <c r="G151" s="144"/>
      <c r="H151" s="245"/>
      <c r="I151" s="422"/>
      <c r="J151" s="281"/>
      <c r="K151" s="144"/>
      <c r="L151" s="144"/>
      <c r="M151" s="144"/>
      <c r="N151" s="245"/>
      <c r="O151" s="422"/>
      <c r="P151" s="281"/>
      <c r="Q151" s="144"/>
      <c r="R151" s="144"/>
      <c r="S151" s="144"/>
      <c r="T151" s="245"/>
      <c r="U151" s="423"/>
      <c r="V151" s="281"/>
      <c r="W151" s="144"/>
      <c r="X151" s="144"/>
      <c r="Y151" s="144"/>
      <c r="Z151" s="144"/>
      <c r="AA151" s="144"/>
      <c r="AB151" s="245"/>
      <c r="AC151" s="422"/>
      <c r="AD151" s="281"/>
      <c r="AE151" s="144"/>
      <c r="AF151" s="144"/>
      <c r="AG151" s="144"/>
      <c r="AH151" s="144"/>
      <c r="AI151" s="144"/>
      <c r="AJ151" s="245"/>
      <c r="AK151" s="422"/>
      <c r="AL151" s="281"/>
      <c r="AM151" s="144"/>
      <c r="AN151" s="144"/>
      <c r="AO151" s="144"/>
      <c r="AP151" s="144"/>
      <c r="AQ151" s="144"/>
      <c r="AR151" s="144"/>
      <c r="AS151" s="245"/>
      <c r="AT151" s="424"/>
      <c r="AU151" s="281"/>
      <c r="AV151" s="144"/>
      <c r="AW151" s="144"/>
      <c r="AX151" s="144"/>
      <c r="AY151" s="144"/>
      <c r="AZ151" s="144"/>
      <c r="BA151" s="245"/>
      <c r="BB151" s="422"/>
      <c r="BC151" s="281"/>
      <c r="BD151" s="144"/>
      <c r="BE151" s="144"/>
      <c r="BF151" s="144"/>
      <c r="BG151" s="144"/>
      <c r="BH151" s="144"/>
      <c r="BI151" s="245"/>
      <c r="BJ151" s="423"/>
      <c r="BK151" s="281"/>
      <c r="BL151" s="144"/>
      <c r="BM151" s="144"/>
      <c r="BN151" s="144"/>
      <c r="BO151" s="144"/>
      <c r="BP151" s="144"/>
      <c r="BQ151" s="144"/>
      <c r="BR151" s="245"/>
      <c r="BS151" s="423"/>
      <c r="BT151" s="281"/>
      <c r="BU151" s="144"/>
      <c r="BV151" s="144"/>
      <c r="BW151" s="144"/>
      <c r="BX151" s="144"/>
      <c r="BY151" s="144"/>
      <c r="BZ151" s="245"/>
      <c r="CA151" s="373"/>
      <c r="CB151" s="281"/>
      <c r="CC151" s="144"/>
      <c r="CD151" s="144"/>
      <c r="CE151" s="144"/>
      <c r="CF151" s="144"/>
      <c r="CG151" s="144"/>
      <c r="CH151" s="245"/>
      <c r="CI151" s="373"/>
      <c r="CJ151" s="281"/>
      <c r="CK151" s="144"/>
      <c r="CL151" s="144"/>
      <c r="CM151" s="144"/>
      <c r="CN151" s="144"/>
      <c r="CO151" s="144"/>
      <c r="CP151" s="245"/>
      <c r="CQ151" s="422"/>
      <c r="CR151" s="281"/>
      <c r="CS151" s="144"/>
      <c r="CT151" s="144"/>
      <c r="CU151" s="144" t="n">
        <f aca="false">+CR151-CS151</f>
        <v>0</v>
      </c>
      <c r="CV151" s="144" t="n">
        <f aca="false">+CR151-CT151</f>
        <v>0</v>
      </c>
      <c r="CW151" s="144"/>
      <c r="CX151" s="245" t="str">
        <f aca="false">IFERROR(CR151/CW151-1, "-")</f>
        <v>-</v>
      </c>
      <c r="CY151" s="425"/>
      <c r="CZ151" s="426"/>
      <c r="DA151" s="144"/>
      <c r="DB151" s="144"/>
      <c r="DC151" s="144"/>
      <c r="DD151" s="144"/>
      <c r="DE151" s="245" t="e">
        <f aca="false">+CZ151/DD151-1</f>
        <v>#DIV/0!</v>
      </c>
      <c r="DF151" s="245" t="e">
        <f aca="false">+DA151/DD151-1</f>
        <v>#DIV/0!</v>
      </c>
      <c r="DG151" s="427" t="e">
        <f aca="false">+DB151/DD151-1</f>
        <v>#DIV/0!</v>
      </c>
      <c r="DH151" s="427" t="e">
        <f aca="false">+DC151/DD151-1</f>
        <v>#DIV/0!</v>
      </c>
      <c r="DI151" s="413"/>
      <c r="DJ151" s="117" t="n">
        <f aca="false">SUM(D151,J151,P151,V151,AD151,AL151,AU151,BC151,BK151,BT151,CB151,CJ151)-CR151</f>
        <v>0</v>
      </c>
      <c r="DK151" s="117" t="n">
        <f aca="false">SUM(E151,K151,Q151,W151,AE151,AM151,AV151,BD151,BL151,BU151,CC151,CK151)-CS151</f>
        <v>0</v>
      </c>
      <c r="DL151" s="117" t="n">
        <f aca="false">SUM(G151,M151,S151,AA151,AI151,AR151,AZ151,BH151,BQ151,BY151,CG151,CO151)-CW151</f>
        <v>0</v>
      </c>
      <c r="DM151" s="117" t="n">
        <f aca="false">SUM(D151,J151,P151,V151,AD151,AL151,AU151,BC151,,BN151,BV151,CD151,CL151)-CT151</f>
        <v>0</v>
      </c>
      <c r="DN151" s="413"/>
      <c r="DO151" s="413"/>
      <c r="DP151" s="428" t="e">
        <f aca="false">SUM(DP152:DP160)</f>
        <v>#VALUE!</v>
      </c>
      <c r="DQ151" s="415" t="e">
        <f aca="false">-CR151+DP151/10^6</f>
        <v>#VALUE!</v>
      </c>
      <c r="DR151" s="117" t="n">
        <f aca="false">SUM(E151,K151,Q151,W151,AE151,AM151,AV151,BD151,BL151,BU151,CC151,CK151)-CS151</f>
        <v>0</v>
      </c>
      <c r="DS151" s="117" t="n">
        <f aca="false">SUM(D151,J151,P151,V151,AD151,AL151,AU151,BC151,,BN151,BV151,CD151,CL151)-CT151</f>
        <v>0</v>
      </c>
      <c r="DT151" s="416"/>
      <c r="DU151" s="417" t="n">
        <v>80.647586</v>
      </c>
      <c r="DV151" s="418" t="n">
        <f aca="false">DU151-CJ151</f>
        <v>80.647586</v>
      </c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  <c r="EB151" s="419"/>
    </row>
    <row r="152" s="441" customFormat="true" ht="15.75" hidden="true" customHeight="true" outlineLevel="1" collapsed="false">
      <c r="A152" s="286"/>
      <c r="B152" s="444" t="s">
        <v>377</v>
      </c>
      <c r="C152" s="431" t="s">
        <v>378</v>
      </c>
      <c r="D152" s="432"/>
      <c r="E152" s="433"/>
      <c r="F152" s="433"/>
      <c r="G152" s="433"/>
      <c r="H152" s="434"/>
      <c r="I152" s="422"/>
      <c r="J152" s="432"/>
      <c r="K152" s="433"/>
      <c r="L152" s="433"/>
      <c r="M152" s="433"/>
      <c r="N152" s="434"/>
      <c r="O152" s="435"/>
      <c r="P152" s="432"/>
      <c r="Q152" s="433"/>
      <c r="R152" s="433"/>
      <c r="S152" s="433"/>
      <c r="T152" s="434"/>
      <c r="U152" s="423"/>
      <c r="V152" s="432"/>
      <c r="W152" s="433"/>
      <c r="X152" s="433"/>
      <c r="Y152" s="433"/>
      <c r="Z152" s="433"/>
      <c r="AA152" s="433"/>
      <c r="AB152" s="434"/>
      <c r="AC152" s="435"/>
      <c r="AD152" s="432"/>
      <c r="AE152" s="433"/>
      <c r="AF152" s="433"/>
      <c r="AG152" s="433"/>
      <c r="AH152" s="433"/>
      <c r="AI152" s="433"/>
      <c r="AJ152" s="434"/>
      <c r="AK152" s="435"/>
      <c r="AL152" s="432"/>
      <c r="AM152" s="433"/>
      <c r="AN152" s="433"/>
      <c r="AO152" s="433"/>
      <c r="AP152" s="433"/>
      <c r="AQ152" s="433"/>
      <c r="AR152" s="433"/>
      <c r="AS152" s="434"/>
      <c r="AT152" s="424"/>
      <c r="AU152" s="432"/>
      <c r="AV152" s="433"/>
      <c r="AW152" s="433"/>
      <c r="AX152" s="433"/>
      <c r="AY152" s="433"/>
      <c r="AZ152" s="433"/>
      <c r="BA152" s="434"/>
      <c r="BB152" s="435"/>
      <c r="BC152" s="432"/>
      <c r="BD152" s="433"/>
      <c r="BE152" s="433"/>
      <c r="BF152" s="433"/>
      <c r="BG152" s="433"/>
      <c r="BH152" s="433"/>
      <c r="BI152" s="434"/>
      <c r="BJ152" s="436"/>
      <c r="BK152" s="432"/>
      <c r="BL152" s="433"/>
      <c r="BM152" s="433"/>
      <c r="BN152" s="433"/>
      <c r="BO152" s="433"/>
      <c r="BP152" s="433"/>
      <c r="BQ152" s="433"/>
      <c r="BR152" s="434"/>
      <c r="BS152" s="436"/>
      <c r="BT152" s="432"/>
      <c r="BU152" s="433"/>
      <c r="BV152" s="433"/>
      <c r="BW152" s="433"/>
      <c r="BX152" s="433"/>
      <c r="BY152" s="433"/>
      <c r="BZ152" s="434"/>
      <c r="CA152" s="373"/>
      <c r="CB152" s="432"/>
      <c r="CC152" s="433"/>
      <c r="CD152" s="433"/>
      <c r="CE152" s="433"/>
      <c r="CF152" s="433"/>
      <c r="CG152" s="433"/>
      <c r="CH152" s="434"/>
      <c r="CI152" s="373"/>
      <c r="CJ152" s="432"/>
      <c r="CK152" s="433"/>
      <c r="CL152" s="433"/>
      <c r="CM152" s="433"/>
      <c r="CN152" s="433"/>
      <c r="CO152" s="433"/>
      <c r="CP152" s="434"/>
      <c r="CQ152" s="435"/>
      <c r="CR152" s="432"/>
      <c r="CS152" s="433"/>
      <c r="CT152" s="433"/>
      <c r="CU152" s="433" t="n">
        <f aca="false">+CR152-CS152</f>
        <v>0</v>
      </c>
      <c r="CV152" s="433" t="n">
        <f aca="false">+CR152-CT152</f>
        <v>0</v>
      </c>
      <c r="CW152" s="433"/>
      <c r="CX152" s="434" t="str">
        <f aca="false">IFERROR(CR152/CW152-1, "-")</f>
        <v>-</v>
      </c>
      <c r="CY152" s="425"/>
      <c r="CZ152" s="437"/>
      <c r="DA152" s="433"/>
      <c r="DB152" s="433"/>
      <c r="DC152" s="433"/>
      <c r="DD152" s="433"/>
      <c r="DE152" s="434" t="e">
        <f aca="false">+CZ152/DD152-1</f>
        <v>#DIV/0!</v>
      </c>
      <c r="DF152" s="434" t="e">
        <f aca="false">+DA152/DD152-1</f>
        <v>#DIV/0!</v>
      </c>
      <c r="DG152" s="438" t="e">
        <f aca="false">+DB152/DD152-1</f>
        <v>#DIV/0!</v>
      </c>
      <c r="DH152" s="438" t="e">
        <f aca="false">+DC152/DD152-1</f>
        <v>#DIV/0!</v>
      </c>
      <c r="DI152" s="413"/>
      <c r="DJ152" s="117" t="n">
        <f aca="false">SUM(D152,J152,P152,V152,AD152,AL152,AU152,BC152,BK152,BT152,CB152,CJ152)-CR152</f>
        <v>0</v>
      </c>
      <c r="DK152" s="117" t="n">
        <f aca="false">SUM(E152,K152,Q152,W152,AE152,AM152,AV152,BD152,BL152,BU152,CC152,CK152)-CS152</f>
        <v>0</v>
      </c>
      <c r="DL152" s="117" t="n">
        <f aca="false">SUM(G152,M152,S152,AA152,AI152,AR152,AZ152,BH152,BQ152,BY152,CG152,CO152)-CW152</f>
        <v>0</v>
      </c>
      <c r="DM152" s="117" t="n">
        <f aca="false">SUM(D152,J152,P152,V152,AD152,AL152,AU152,BC152,,BN152,BV152,CD152,CL152)-CT152</f>
        <v>0</v>
      </c>
      <c r="DN152" s="413"/>
      <c r="DO152" s="413"/>
      <c r="DP152" s="439" t="n">
        <v>61621059</v>
      </c>
      <c r="DQ152" s="415" t="n">
        <f aca="false">-CR152+DP152/10^6</f>
        <v>61.621059</v>
      </c>
      <c r="DR152" s="117" t="n">
        <f aca="false">SUM(E152,K152,Q152,W152,AE152,AM152,AV152,BD152,BL152,BU152,CC152,CK152)-CS152</f>
        <v>0</v>
      </c>
      <c r="DS152" s="117" t="n">
        <f aca="false">SUM(D152,J152,P152,V152,AD152,AL152,AU152,BC152,,BN152,BV152,CD152,CL152)-CT152</f>
        <v>0</v>
      </c>
      <c r="DT152" s="416"/>
      <c r="DU152" s="440" t="n">
        <v>5.789133</v>
      </c>
      <c r="DV152" s="418" t="n">
        <f aca="false">DU152-CJ152</f>
        <v>5.789133</v>
      </c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  <c r="EB152" s="419"/>
    </row>
    <row r="153" s="441" customFormat="true" ht="15.75" hidden="true" customHeight="true" outlineLevel="1" collapsed="false">
      <c r="A153" s="286"/>
      <c r="B153" s="444" t="s">
        <v>379</v>
      </c>
      <c r="C153" s="431" t="s">
        <v>380</v>
      </c>
      <c r="D153" s="432"/>
      <c r="E153" s="433"/>
      <c r="F153" s="433"/>
      <c r="G153" s="433"/>
      <c r="H153" s="434"/>
      <c r="I153" s="422"/>
      <c r="J153" s="432"/>
      <c r="K153" s="433"/>
      <c r="L153" s="433"/>
      <c r="M153" s="433"/>
      <c r="N153" s="434"/>
      <c r="O153" s="435"/>
      <c r="P153" s="432"/>
      <c r="Q153" s="433"/>
      <c r="R153" s="433"/>
      <c r="S153" s="433"/>
      <c r="T153" s="434"/>
      <c r="U153" s="423"/>
      <c r="V153" s="432"/>
      <c r="W153" s="433"/>
      <c r="X153" s="433"/>
      <c r="Y153" s="433"/>
      <c r="Z153" s="433"/>
      <c r="AA153" s="433"/>
      <c r="AB153" s="434"/>
      <c r="AC153" s="435"/>
      <c r="AD153" s="432"/>
      <c r="AE153" s="433"/>
      <c r="AF153" s="433"/>
      <c r="AG153" s="433"/>
      <c r="AH153" s="433"/>
      <c r="AI153" s="433"/>
      <c r="AJ153" s="434"/>
      <c r="AK153" s="435"/>
      <c r="AL153" s="432"/>
      <c r="AM153" s="433"/>
      <c r="AN153" s="433"/>
      <c r="AO153" s="433"/>
      <c r="AP153" s="433"/>
      <c r="AQ153" s="433"/>
      <c r="AR153" s="433"/>
      <c r="AS153" s="434"/>
      <c r="AT153" s="424"/>
      <c r="AU153" s="432"/>
      <c r="AV153" s="433"/>
      <c r="AW153" s="433"/>
      <c r="AX153" s="433"/>
      <c r="AY153" s="433"/>
      <c r="AZ153" s="433"/>
      <c r="BA153" s="434"/>
      <c r="BB153" s="435"/>
      <c r="BC153" s="432"/>
      <c r="BD153" s="433"/>
      <c r="BE153" s="433"/>
      <c r="BF153" s="433"/>
      <c r="BG153" s="433"/>
      <c r="BH153" s="433"/>
      <c r="BI153" s="434"/>
      <c r="BJ153" s="436"/>
      <c r="BK153" s="432"/>
      <c r="BL153" s="433"/>
      <c r="BM153" s="433"/>
      <c r="BN153" s="433"/>
      <c r="BO153" s="433"/>
      <c r="BP153" s="433"/>
      <c r="BQ153" s="433"/>
      <c r="BR153" s="434"/>
      <c r="BS153" s="436"/>
      <c r="BT153" s="432"/>
      <c r="BU153" s="433"/>
      <c r="BV153" s="433"/>
      <c r="BW153" s="433"/>
      <c r="BX153" s="433"/>
      <c r="BY153" s="433"/>
      <c r="BZ153" s="434"/>
      <c r="CA153" s="373"/>
      <c r="CB153" s="432"/>
      <c r="CC153" s="433"/>
      <c r="CD153" s="433"/>
      <c r="CE153" s="433"/>
      <c r="CF153" s="433"/>
      <c r="CG153" s="433"/>
      <c r="CH153" s="434"/>
      <c r="CI153" s="373"/>
      <c r="CJ153" s="432"/>
      <c r="CK153" s="433"/>
      <c r="CL153" s="433"/>
      <c r="CM153" s="433"/>
      <c r="CN153" s="433"/>
      <c r="CO153" s="433"/>
      <c r="CP153" s="434"/>
      <c r="CQ153" s="435"/>
      <c r="CR153" s="432"/>
      <c r="CS153" s="433"/>
      <c r="CT153" s="433"/>
      <c r="CU153" s="433" t="n">
        <f aca="false">+CR153-CS153</f>
        <v>0</v>
      </c>
      <c r="CV153" s="433" t="n">
        <f aca="false">+CR153-CT153</f>
        <v>0</v>
      </c>
      <c r="CW153" s="433"/>
      <c r="CX153" s="434" t="str">
        <f aca="false">IFERROR(CR153/CW153-1, "-")</f>
        <v>-</v>
      </c>
      <c r="CY153" s="425"/>
      <c r="CZ153" s="437"/>
      <c r="DA153" s="433"/>
      <c r="DB153" s="433"/>
      <c r="DC153" s="433"/>
      <c r="DD153" s="433"/>
      <c r="DE153" s="434"/>
      <c r="DF153" s="434"/>
      <c r="DG153" s="438"/>
      <c r="DH153" s="438"/>
      <c r="DI153" s="413"/>
      <c r="DJ153" s="117" t="n">
        <f aca="false">SUM(D153,J153,P153,V153,AD153,AL153,AU153,BC153,BK153,BT153,CB153,CJ153)-CR153</f>
        <v>0</v>
      </c>
      <c r="DK153" s="117" t="n">
        <f aca="false">SUM(E153,K153,Q153,W153,AE153,AM153,AV153,BD153,BL153,BU153,CC153,CK153)-CS153</f>
        <v>0</v>
      </c>
      <c r="DL153" s="117" t="n">
        <f aca="false">SUM(G153,M153,S153,AA153,AI153,AR153,AZ153,BH153,BQ153,BY153,CG153,CO153)-CW153</f>
        <v>0</v>
      </c>
      <c r="DM153" s="117" t="n">
        <f aca="false">SUM(D153,J153,P153,V153,AD153,AL153,AU153,BC153,,BN153,BV153,CD153,CL153)-CT153</f>
        <v>0</v>
      </c>
      <c r="DN153" s="413"/>
      <c r="DO153" s="413"/>
      <c r="DP153" s="439" t="n">
        <v>0</v>
      </c>
      <c r="DQ153" s="415" t="n">
        <f aca="false">-CR153+DP153/10^6</f>
        <v>0</v>
      </c>
      <c r="DR153" s="117" t="n">
        <f aca="false">SUM(E153,K153,Q153,W153,AE153,AM153,AV153,BD153,BL153,BU153,CC153,CK153)-CS153</f>
        <v>0</v>
      </c>
      <c r="DS153" s="117" t="n">
        <f aca="false">SUM(D153,J153,P153,V153,AD153,AL153,AU153,BC153,,BN153,BV153,CD153,CL153)-CT153</f>
        <v>0</v>
      </c>
      <c r="DT153" s="416"/>
      <c r="DU153" s="440" t="n">
        <v>0</v>
      </c>
      <c r="DV153" s="418" t="n">
        <f aca="false">DU153-CJ153</f>
        <v>0</v>
      </c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  <c r="EB153" s="419"/>
    </row>
    <row r="154" s="441" customFormat="true" ht="15.75" hidden="true" customHeight="true" outlineLevel="1" collapsed="false">
      <c r="A154" s="286"/>
      <c r="B154" s="444" t="s">
        <v>381</v>
      </c>
      <c r="C154" s="431" t="s">
        <v>382</v>
      </c>
      <c r="D154" s="432"/>
      <c r="E154" s="433"/>
      <c r="F154" s="433"/>
      <c r="G154" s="433"/>
      <c r="H154" s="434"/>
      <c r="I154" s="422"/>
      <c r="J154" s="432"/>
      <c r="K154" s="433"/>
      <c r="L154" s="433"/>
      <c r="M154" s="433"/>
      <c r="N154" s="434"/>
      <c r="O154" s="435"/>
      <c r="P154" s="432"/>
      <c r="Q154" s="433"/>
      <c r="R154" s="433"/>
      <c r="S154" s="433"/>
      <c r="T154" s="434"/>
      <c r="U154" s="423"/>
      <c r="V154" s="432"/>
      <c r="W154" s="433"/>
      <c r="X154" s="433"/>
      <c r="Y154" s="433"/>
      <c r="Z154" s="433"/>
      <c r="AA154" s="433"/>
      <c r="AB154" s="434"/>
      <c r="AC154" s="435"/>
      <c r="AD154" s="432"/>
      <c r="AE154" s="433"/>
      <c r="AF154" s="433"/>
      <c r="AG154" s="433"/>
      <c r="AH154" s="433"/>
      <c r="AI154" s="433"/>
      <c r="AJ154" s="434"/>
      <c r="AK154" s="435"/>
      <c r="AL154" s="432"/>
      <c r="AM154" s="433"/>
      <c r="AN154" s="433"/>
      <c r="AO154" s="433"/>
      <c r="AP154" s="433"/>
      <c r="AQ154" s="433"/>
      <c r="AR154" s="433"/>
      <c r="AS154" s="434"/>
      <c r="AT154" s="424"/>
      <c r="AU154" s="432"/>
      <c r="AV154" s="433"/>
      <c r="AW154" s="433"/>
      <c r="AX154" s="433"/>
      <c r="AY154" s="433"/>
      <c r="AZ154" s="433"/>
      <c r="BA154" s="434"/>
      <c r="BB154" s="435"/>
      <c r="BC154" s="432"/>
      <c r="BD154" s="433"/>
      <c r="BE154" s="433"/>
      <c r="BF154" s="433"/>
      <c r="BG154" s="433"/>
      <c r="BH154" s="433"/>
      <c r="BI154" s="434"/>
      <c r="BJ154" s="436"/>
      <c r="BK154" s="432"/>
      <c r="BL154" s="433"/>
      <c r="BM154" s="433"/>
      <c r="BN154" s="433"/>
      <c r="BO154" s="433"/>
      <c r="BP154" s="433"/>
      <c r="BQ154" s="433"/>
      <c r="BR154" s="434"/>
      <c r="BS154" s="436"/>
      <c r="BT154" s="432"/>
      <c r="BU154" s="433"/>
      <c r="BV154" s="433"/>
      <c r="BW154" s="433"/>
      <c r="BX154" s="433"/>
      <c r="BY154" s="433"/>
      <c r="BZ154" s="434"/>
      <c r="CA154" s="373"/>
      <c r="CB154" s="432"/>
      <c r="CC154" s="433"/>
      <c r="CD154" s="433"/>
      <c r="CE154" s="433"/>
      <c r="CF154" s="433"/>
      <c r="CG154" s="433"/>
      <c r="CH154" s="434"/>
      <c r="CI154" s="373"/>
      <c r="CJ154" s="432"/>
      <c r="CK154" s="433"/>
      <c r="CL154" s="433"/>
      <c r="CM154" s="433"/>
      <c r="CN154" s="433"/>
      <c r="CO154" s="433"/>
      <c r="CP154" s="434"/>
      <c r="CQ154" s="435"/>
      <c r="CR154" s="432"/>
      <c r="CS154" s="433"/>
      <c r="CT154" s="433"/>
      <c r="CU154" s="433" t="n">
        <f aca="false">+CR154-CS154</f>
        <v>0</v>
      </c>
      <c r="CV154" s="433" t="n">
        <f aca="false">+CR154-CT154</f>
        <v>0</v>
      </c>
      <c r="CW154" s="433"/>
      <c r="CX154" s="434" t="str">
        <f aca="false">IFERROR(CR154/CW154-1, "-")</f>
        <v>-</v>
      </c>
      <c r="CY154" s="425"/>
      <c r="CZ154" s="437"/>
      <c r="DA154" s="433"/>
      <c r="DB154" s="433"/>
      <c r="DC154" s="433"/>
      <c r="DD154" s="433"/>
      <c r="DE154" s="434"/>
      <c r="DF154" s="434"/>
      <c r="DG154" s="438"/>
      <c r="DH154" s="438"/>
      <c r="DI154" s="413"/>
      <c r="DJ154" s="117" t="n">
        <f aca="false">SUM(D154,J154,P154,V154,AD154,AL154,AU154,BC154,BK154,BT154,CB154,CJ154)-CR154</f>
        <v>0</v>
      </c>
      <c r="DK154" s="117" t="n">
        <f aca="false">SUM(E154,K154,Q154,W154,AE154,AM154,AV154,BD154,BL154,BU154,CC154,CK154)-CS154</f>
        <v>0</v>
      </c>
      <c r="DL154" s="117" t="n">
        <f aca="false">SUM(G154,M154,S154,AA154,AI154,AR154,AZ154,BH154,BQ154,BY154,CG154,CO154)-CW154</f>
        <v>0</v>
      </c>
      <c r="DM154" s="117" t="n">
        <f aca="false">SUM(D154,J154,P154,V154,AD154,AL154,AU154,BC154,,BN154,BV154,CD154,CL154)-CT154</f>
        <v>0</v>
      </c>
      <c r="DN154" s="413"/>
      <c r="DO154" s="413"/>
      <c r="DP154" s="439" t="n">
        <v>0</v>
      </c>
      <c r="DQ154" s="415" t="n">
        <f aca="false">-CR154+DP154/10^6</f>
        <v>0</v>
      </c>
      <c r="DR154" s="117" t="n">
        <f aca="false">SUM(E154,K154,Q154,W154,AE154,AM154,AV154,BD154,BL154,BU154,CC154,CK154)-CS154</f>
        <v>0</v>
      </c>
      <c r="DS154" s="117" t="n">
        <f aca="false">SUM(D154,J154,P154,V154,AD154,AL154,AU154,BC154,,BN154,BV154,CD154,CL154)-CT154</f>
        <v>0</v>
      </c>
      <c r="DT154" s="416"/>
      <c r="DU154" s="440" t="n">
        <v>0</v>
      </c>
      <c r="DV154" s="418" t="n">
        <f aca="false">DU154-CJ154</f>
        <v>0</v>
      </c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  <c r="EB154" s="419"/>
    </row>
    <row r="155" s="441" customFormat="true" ht="15.75" hidden="true" customHeight="true" outlineLevel="1" collapsed="false">
      <c r="A155" s="286"/>
      <c r="B155" s="444" t="s">
        <v>383</v>
      </c>
      <c r="C155" s="431" t="s">
        <v>384</v>
      </c>
      <c r="D155" s="432"/>
      <c r="E155" s="433"/>
      <c r="F155" s="433"/>
      <c r="G155" s="433"/>
      <c r="H155" s="434"/>
      <c r="I155" s="422"/>
      <c r="J155" s="432"/>
      <c r="K155" s="433"/>
      <c r="L155" s="433"/>
      <c r="M155" s="433"/>
      <c r="N155" s="434"/>
      <c r="O155" s="435"/>
      <c r="P155" s="432"/>
      <c r="Q155" s="433"/>
      <c r="R155" s="433"/>
      <c r="S155" s="433"/>
      <c r="T155" s="434"/>
      <c r="U155" s="423"/>
      <c r="V155" s="432"/>
      <c r="W155" s="433"/>
      <c r="X155" s="433"/>
      <c r="Y155" s="433"/>
      <c r="Z155" s="433"/>
      <c r="AA155" s="433"/>
      <c r="AB155" s="434"/>
      <c r="AC155" s="435"/>
      <c r="AD155" s="432"/>
      <c r="AE155" s="433"/>
      <c r="AF155" s="433"/>
      <c r="AG155" s="433"/>
      <c r="AH155" s="433"/>
      <c r="AI155" s="433"/>
      <c r="AJ155" s="434"/>
      <c r="AK155" s="435"/>
      <c r="AL155" s="432"/>
      <c r="AM155" s="433"/>
      <c r="AN155" s="433"/>
      <c r="AO155" s="433"/>
      <c r="AP155" s="433"/>
      <c r="AQ155" s="433"/>
      <c r="AR155" s="433"/>
      <c r="AS155" s="434"/>
      <c r="AT155" s="424"/>
      <c r="AU155" s="432"/>
      <c r="AV155" s="433"/>
      <c r="AW155" s="433"/>
      <c r="AX155" s="433"/>
      <c r="AY155" s="433"/>
      <c r="AZ155" s="433"/>
      <c r="BA155" s="434"/>
      <c r="BB155" s="435"/>
      <c r="BC155" s="432"/>
      <c r="BD155" s="433"/>
      <c r="BE155" s="433"/>
      <c r="BF155" s="433"/>
      <c r="BG155" s="433"/>
      <c r="BH155" s="433"/>
      <c r="BI155" s="434"/>
      <c r="BJ155" s="436"/>
      <c r="BK155" s="432"/>
      <c r="BL155" s="433"/>
      <c r="BM155" s="433"/>
      <c r="BN155" s="433"/>
      <c r="BO155" s="433"/>
      <c r="BP155" s="433"/>
      <c r="BQ155" s="433"/>
      <c r="BR155" s="434"/>
      <c r="BS155" s="436"/>
      <c r="BT155" s="432"/>
      <c r="BU155" s="433"/>
      <c r="BV155" s="433"/>
      <c r="BW155" s="433"/>
      <c r="BX155" s="433"/>
      <c r="BY155" s="433"/>
      <c r="BZ155" s="434"/>
      <c r="CA155" s="373"/>
      <c r="CB155" s="432"/>
      <c r="CC155" s="433"/>
      <c r="CD155" s="433"/>
      <c r="CE155" s="433"/>
      <c r="CF155" s="433"/>
      <c r="CG155" s="433"/>
      <c r="CH155" s="434"/>
      <c r="CI155" s="373"/>
      <c r="CJ155" s="432"/>
      <c r="CK155" s="433"/>
      <c r="CL155" s="433"/>
      <c r="CM155" s="433"/>
      <c r="CN155" s="433"/>
      <c r="CO155" s="433"/>
      <c r="CP155" s="434"/>
      <c r="CQ155" s="435"/>
      <c r="CR155" s="432"/>
      <c r="CS155" s="433"/>
      <c r="CT155" s="433"/>
      <c r="CU155" s="433" t="n">
        <f aca="false">+CR155-CS155</f>
        <v>0</v>
      </c>
      <c r="CV155" s="433" t="n">
        <f aca="false">+CR155-CT155</f>
        <v>0</v>
      </c>
      <c r="CW155" s="433"/>
      <c r="CX155" s="434" t="str">
        <f aca="false">IFERROR(CR155/CW155-1, "-")</f>
        <v>-</v>
      </c>
      <c r="CY155" s="425"/>
      <c r="CZ155" s="437"/>
      <c r="DA155" s="433"/>
      <c r="DB155" s="433"/>
      <c r="DC155" s="433"/>
      <c r="DD155" s="433"/>
      <c r="DE155" s="434"/>
      <c r="DF155" s="434"/>
      <c r="DG155" s="438"/>
      <c r="DH155" s="438"/>
      <c r="DI155" s="413"/>
      <c r="DJ155" s="117" t="n">
        <f aca="false">SUM(D155,J155,P155,V155,AD155,AL155,AU155,BC155,BK155,BT155,CB155,CJ155)-CR155</f>
        <v>0</v>
      </c>
      <c r="DK155" s="117" t="n">
        <f aca="false">SUM(E155,K155,Q155,W155,AE155,AM155,AV155,BD155,BL155,BU155,CC155,CK155)-CS155</f>
        <v>0</v>
      </c>
      <c r="DL155" s="117" t="n">
        <f aca="false">SUM(G155,M155,S155,AA155,AI155,AR155,AZ155,BH155,BQ155,BY155,CG155,CO155)-CW155</f>
        <v>0</v>
      </c>
      <c r="DM155" s="117" t="n">
        <f aca="false">SUM(D155,J155,P155,V155,AD155,AL155,AU155,BC155,,BN155,BV155,CD155,CL155)-CT155</f>
        <v>0</v>
      </c>
      <c r="DN155" s="413"/>
      <c r="DO155" s="413"/>
      <c r="DP155" s="439" t="n">
        <v>0</v>
      </c>
      <c r="DQ155" s="415" t="n">
        <f aca="false">-CR155+DP155/10^6</f>
        <v>0</v>
      </c>
      <c r="DR155" s="117" t="n">
        <f aca="false">SUM(E155,K155,Q155,W155,AE155,AM155,AV155,BD155,BL155,BU155,CC155,CK155)-CS155</f>
        <v>0</v>
      </c>
      <c r="DS155" s="117" t="n">
        <f aca="false">SUM(D155,J155,P155,V155,AD155,AL155,AU155,BC155,,BN155,BV155,CD155,CL155)-CT155</f>
        <v>0</v>
      </c>
      <c r="DT155" s="416"/>
      <c r="DU155" s="440" t="n">
        <v>0</v>
      </c>
      <c r="DV155" s="418" t="n">
        <f aca="false">DU155-CJ155</f>
        <v>0</v>
      </c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  <c r="EB155" s="419"/>
    </row>
    <row r="156" s="441" customFormat="true" ht="15.75" hidden="true" customHeight="true" outlineLevel="1" collapsed="false">
      <c r="A156" s="286"/>
      <c r="B156" s="444" t="s">
        <v>385</v>
      </c>
      <c r="C156" s="431" t="s">
        <v>386</v>
      </c>
      <c r="D156" s="432"/>
      <c r="E156" s="433"/>
      <c r="F156" s="433"/>
      <c r="G156" s="433"/>
      <c r="H156" s="434"/>
      <c r="I156" s="422"/>
      <c r="J156" s="432"/>
      <c r="K156" s="433"/>
      <c r="L156" s="433"/>
      <c r="M156" s="433"/>
      <c r="N156" s="434"/>
      <c r="O156" s="435"/>
      <c r="P156" s="432"/>
      <c r="Q156" s="433"/>
      <c r="R156" s="433"/>
      <c r="S156" s="433"/>
      <c r="T156" s="434"/>
      <c r="U156" s="423"/>
      <c r="V156" s="432"/>
      <c r="W156" s="433"/>
      <c r="X156" s="433"/>
      <c r="Y156" s="433"/>
      <c r="Z156" s="433"/>
      <c r="AA156" s="433"/>
      <c r="AB156" s="434"/>
      <c r="AC156" s="435"/>
      <c r="AD156" s="432"/>
      <c r="AE156" s="433"/>
      <c r="AF156" s="433"/>
      <c r="AG156" s="433"/>
      <c r="AH156" s="433"/>
      <c r="AI156" s="433"/>
      <c r="AJ156" s="434"/>
      <c r="AK156" s="435"/>
      <c r="AL156" s="432"/>
      <c r="AM156" s="433"/>
      <c r="AN156" s="433"/>
      <c r="AO156" s="433"/>
      <c r="AP156" s="433"/>
      <c r="AQ156" s="433"/>
      <c r="AR156" s="433"/>
      <c r="AS156" s="434"/>
      <c r="AT156" s="424"/>
      <c r="AU156" s="432"/>
      <c r="AV156" s="433"/>
      <c r="AW156" s="433"/>
      <c r="AX156" s="433"/>
      <c r="AY156" s="433"/>
      <c r="AZ156" s="433"/>
      <c r="BA156" s="434"/>
      <c r="BB156" s="435"/>
      <c r="BC156" s="432"/>
      <c r="BD156" s="433"/>
      <c r="BE156" s="433"/>
      <c r="BF156" s="433"/>
      <c r="BG156" s="433"/>
      <c r="BH156" s="433"/>
      <c r="BI156" s="434"/>
      <c r="BJ156" s="436"/>
      <c r="BK156" s="432"/>
      <c r="BL156" s="433"/>
      <c r="BM156" s="433"/>
      <c r="BN156" s="433"/>
      <c r="BO156" s="433"/>
      <c r="BP156" s="433"/>
      <c r="BQ156" s="433"/>
      <c r="BR156" s="434"/>
      <c r="BS156" s="436"/>
      <c r="BT156" s="432"/>
      <c r="BU156" s="433"/>
      <c r="BV156" s="433"/>
      <c r="BW156" s="433"/>
      <c r="BX156" s="433"/>
      <c r="BY156" s="433"/>
      <c r="BZ156" s="434"/>
      <c r="CA156" s="373"/>
      <c r="CB156" s="432"/>
      <c r="CC156" s="433"/>
      <c r="CD156" s="433"/>
      <c r="CE156" s="433"/>
      <c r="CF156" s="433"/>
      <c r="CG156" s="433"/>
      <c r="CH156" s="434"/>
      <c r="CI156" s="373"/>
      <c r="CJ156" s="432"/>
      <c r="CK156" s="433"/>
      <c r="CL156" s="433"/>
      <c r="CM156" s="433"/>
      <c r="CN156" s="433"/>
      <c r="CO156" s="433"/>
      <c r="CP156" s="434"/>
      <c r="CQ156" s="435"/>
      <c r="CR156" s="432"/>
      <c r="CS156" s="433"/>
      <c r="CT156" s="433"/>
      <c r="CU156" s="433" t="n">
        <f aca="false">+CR156-CS156</f>
        <v>0</v>
      </c>
      <c r="CV156" s="433" t="n">
        <f aca="false">+CR156-CT156</f>
        <v>0</v>
      </c>
      <c r="CW156" s="433"/>
      <c r="CX156" s="434" t="str">
        <f aca="false">IFERROR(CR156/CW156-1, "-")</f>
        <v>-</v>
      </c>
      <c r="CY156" s="425"/>
      <c r="CZ156" s="437"/>
      <c r="DA156" s="433"/>
      <c r="DB156" s="433"/>
      <c r="DC156" s="433"/>
      <c r="DD156" s="433"/>
      <c r="DE156" s="434"/>
      <c r="DF156" s="434"/>
      <c r="DG156" s="438"/>
      <c r="DH156" s="438"/>
      <c r="DI156" s="413"/>
      <c r="DJ156" s="117" t="n">
        <f aca="false">SUM(D156,J156,P156,V156,AD156,AL156,AU156,BC156,BK156,BT156,CB156,CJ156)-CR156</f>
        <v>0</v>
      </c>
      <c r="DK156" s="117" t="n">
        <f aca="false">SUM(E156,K156,Q156,W156,AE156,AM156,AV156,BD156,BL156,BU156,CC156,CK156)-CS156</f>
        <v>0</v>
      </c>
      <c r="DL156" s="117" t="n">
        <f aca="false">SUM(G156,M156,S156,AA156,AI156,AR156,AZ156,BH156,BQ156,BY156,CG156,CO156)-CW156</f>
        <v>0</v>
      </c>
      <c r="DM156" s="117" t="n">
        <f aca="false">SUM(D156,J156,P156,V156,AD156,AL156,AU156,BC156,,BN156,BV156,CD156,CL156)-CT156</f>
        <v>0</v>
      </c>
      <c r="DN156" s="413"/>
      <c r="DO156" s="413"/>
      <c r="DP156" s="439" t="n">
        <v>0</v>
      </c>
      <c r="DQ156" s="415" t="n">
        <f aca="false">-CR156+DP156/10^6</f>
        <v>0</v>
      </c>
      <c r="DR156" s="117" t="n">
        <f aca="false">SUM(E156,K156,Q156,W156,AE156,AM156,AV156,BD156,BL156,BU156,CC156,CK156)-CS156</f>
        <v>0</v>
      </c>
      <c r="DS156" s="117" t="n">
        <f aca="false">SUM(D156,J156,P156,V156,AD156,AL156,AU156,BC156,,BN156,BV156,CD156,CL156)-CT156</f>
        <v>0</v>
      </c>
      <c r="DT156" s="416"/>
      <c r="DU156" s="440" t="n">
        <v>0</v>
      </c>
      <c r="DV156" s="418" t="n">
        <f aca="false">DU156-CJ156</f>
        <v>0</v>
      </c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  <c r="EB156" s="419"/>
    </row>
    <row r="157" s="441" customFormat="true" ht="15.75" hidden="true" customHeight="true" outlineLevel="1" collapsed="false">
      <c r="A157" s="286"/>
      <c r="B157" s="444" t="s">
        <v>387</v>
      </c>
      <c r="C157" s="431" t="s">
        <v>388</v>
      </c>
      <c r="D157" s="432"/>
      <c r="E157" s="433"/>
      <c r="F157" s="433"/>
      <c r="G157" s="433"/>
      <c r="H157" s="434"/>
      <c r="I157" s="422"/>
      <c r="J157" s="432"/>
      <c r="K157" s="433"/>
      <c r="L157" s="433"/>
      <c r="M157" s="433"/>
      <c r="N157" s="434"/>
      <c r="O157" s="435"/>
      <c r="P157" s="432"/>
      <c r="Q157" s="433"/>
      <c r="R157" s="433"/>
      <c r="S157" s="433"/>
      <c r="T157" s="434"/>
      <c r="U157" s="423"/>
      <c r="V157" s="432"/>
      <c r="W157" s="433"/>
      <c r="X157" s="433"/>
      <c r="Y157" s="433"/>
      <c r="Z157" s="433"/>
      <c r="AA157" s="433"/>
      <c r="AB157" s="434"/>
      <c r="AC157" s="435"/>
      <c r="AD157" s="432"/>
      <c r="AE157" s="433"/>
      <c r="AF157" s="433"/>
      <c r="AG157" s="433"/>
      <c r="AH157" s="433"/>
      <c r="AI157" s="433"/>
      <c r="AJ157" s="434"/>
      <c r="AK157" s="435"/>
      <c r="AL157" s="432"/>
      <c r="AM157" s="433"/>
      <c r="AN157" s="433"/>
      <c r="AO157" s="433"/>
      <c r="AP157" s="433"/>
      <c r="AQ157" s="433"/>
      <c r="AR157" s="433"/>
      <c r="AS157" s="434"/>
      <c r="AT157" s="424"/>
      <c r="AU157" s="432"/>
      <c r="AV157" s="433"/>
      <c r="AW157" s="433"/>
      <c r="AX157" s="433"/>
      <c r="AY157" s="433"/>
      <c r="AZ157" s="433"/>
      <c r="BA157" s="434"/>
      <c r="BB157" s="435"/>
      <c r="BC157" s="432"/>
      <c r="BD157" s="433"/>
      <c r="BE157" s="433"/>
      <c r="BF157" s="433"/>
      <c r="BG157" s="433"/>
      <c r="BH157" s="433"/>
      <c r="BI157" s="434"/>
      <c r="BJ157" s="436"/>
      <c r="BK157" s="432"/>
      <c r="BL157" s="433"/>
      <c r="BM157" s="433"/>
      <c r="BN157" s="433"/>
      <c r="BO157" s="433"/>
      <c r="BP157" s="433"/>
      <c r="BQ157" s="433"/>
      <c r="BR157" s="434"/>
      <c r="BS157" s="436"/>
      <c r="BT157" s="432"/>
      <c r="BU157" s="433"/>
      <c r="BV157" s="433"/>
      <c r="BW157" s="433"/>
      <c r="BX157" s="433"/>
      <c r="BY157" s="433"/>
      <c r="BZ157" s="434"/>
      <c r="CA157" s="373"/>
      <c r="CB157" s="432"/>
      <c r="CC157" s="433"/>
      <c r="CD157" s="433"/>
      <c r="CE157" s="433"/>
      <c r="CF157" s="433"/>
      <c r="CG157" s="433"/>
      <c r="CH157" s="434"/>
      <c r="CI157" s="373"/>
      <c r="CJ157" s="432"/>
      <c r="CK157" s="433"/>
      <c r="CL157" s="433"/>
      <c r="CM157" s="433"/>
      <c r="CN157" s="433"/>
      <c r="CO157" s="433"/>
      <c r="CP157" s="434"/>
      <c r="CQ157" s="435"/>
      <c r="CR157" s="432"/>
      <c r="CS157" s="433"/>
      <c r="CT157" s="433"/>
      <c r="CU157" s="433" t="n">
        <f aca="false">+CR157-CS157</f>
        <v>0</v>
      </c>
      <c r="CV157" s="433" t="n">
        <f aca="false">+CR157-CT157</f>
        <v>0</v>
      </c>
      <c r="CW157" s="433"/>
      <c r="CX157" s="434" t="str">
        <f aca="false">IFERROR(CR157/CW157-1, "-")</f>
        <v>-</v>
      </c>
      <c r="CY157" s="425"/>
      <c r="CZ157" s="437"/>
      <c r="DA157" s="433"/>
      <c r="DB157" s="433"/>
      <c r="DC157" s="433"/>
      <c r="DD157" s="433"/>
      <c r="DE157" s="434"/>
      <c r="DF157" s="434"/>
      <c r="DG157" s="438"/>
      <c r="DH157" s="438"/>
      <c r="DI157" s="413"/>
      <c r="DJ157" s="117" t="n">
        <f aca="false">SUM(D157,J157,P157,V157,AD157,AL157,AU157,BC157,BK157,BT157,CB157,CJ157)-CR157</f>
        <v>0</v>
      </c>
      <c r="DK157" s="117" t="n">
        <f aca="false">SUM(E157,K157,Q157,W157,AE157,AM157,AV157,BD157,BL157,BU157,CC157,CK157)-CS157</f>
        <v>0</v>
      </c>
      <c r="DL157" s="117" t="n">
        <f aca="false">SUM(G157,M157,S157,AA157,AI157,AR157,AZ157,BH157,BQ157,BY157,CG157,CO157)-CW157</f>
        <v>0</v>
      </c>
      <c r="DM157" s="117" t="n">
        <f aca="false">SUM(D157,J157,P157,V157,AD157,AL157,AU157,BC157,,BN157,BV157,CD157,CL157)-CT157</f>
        <v>0</v>
      </c>
      <c r="DN157" s="413"/>
      <c r="DO157" s="413"/>
      <c r="DP157" s="439" t="n">
        <v>0</v>
      </c>
      <c r="DQ157" s="415" t="n">
        <f aca="false">-CR157+DP157/10^6</f>
        <v>0</v>
      </c>
      <c r="DR157" s="117" t="n">
        <f aca="false">SUM(E157,K157,Q157,W157,AE157,AM157,AV157,BD157,BL157,BU157,CC157,CK157)-CS157</f>
        <v>0</v>
      </c>
      <c r="DS157" s="117" t="n">
        <f aca="false">SUM(D157,J157,P157,V157,AD157,AL157,AU157,BC157,,BN157,BV157,CD157,CL157)-CT157</f>
        <v>0</v>
      </c>
      <c r="DT157" s="416"/>
      <c r="DU157" s="440" t="n">
        <v>0</v>
      </c>
      <c r="DV157" s="418" t="n">
        <f aca="false">DU157-CJ157</f>
        <v>0</v>
      </c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  <c r="EB157" s="419"/>
    </row>
    <row r="158" s="441" customFormat="true" ht="15.75" hidden="true" customHeight="true" outlineLevel="1" collapsed="false">
      <c r="A158" s="286"/>
      <c r="B158" s="444" t="s">
        <v>389</v>
      </c>
      <c r="C158" s="431" t="s">
        <v>390</v>
      </c>
      <c r="D158" s="470"/>
      <c r="E158" s="433"/>
      <c r="F158" s="433"/>
      <c r="G158" s="433"/>
      <c r="H158" s="434"/>
      <c r="I158" s="422"/>
      <c r="J158" s="470"/>
      <c r="K158" s="433"/>
      <c r="L158" s="433"/>
      <c r="M158" s="433"/>
      <c r="N158" s="434"/>
      <c r="O158" s="435"/>
      <c r="P158" s="470"/>
      <c r="Q158" s="433"/>
      <c r="R158" s="433"/>
      <c r="S158" s="433"/>
      <c r="T158" s="434"/>
      <c r="U158" s="423"/>
      <c r="V158" s="470"/>
      <c r="W158" s="433"/>
      <c r="X158" s="433"/>
      <c r="Y158" s="433"/>
      <c r="Z158" s="433"/>
      <c r="AA158" s="433"/>
      <c r="AB158" s="434"/>
      <c r="AC158" s="435"/>
      <c r="AD158" s="470"/>
      <c r="AE158" s="433"/>
      <c r="AF158" s="433"/>
      <c r="AG158" s="433"/>
      <c r="AH158" s="433"/>
      <c r="AI158" s="433"/>
      <c r="AJ158" s="434"/>
      <c r="AK158" s="435"/>
      <c r="AL158" s="470"/>
      <c r="AM158" s="433"/>
      <c r="AN158" s="433"/>
      <c r="AO158" s="433"/>
      <c r="AP158" s="433"/>
      <c r="AQ158" s="433"/>
      <c r="AR158" s="433"/>
      <c r="AS158" s="434"/>
      <c r="AT158" s="424"/>
      <c r="AU158" s="470"/>
      <c r="AV158" s="433"/>
      <c r="AW158" s="433"/>
      <c r="AX158" s="433"/>
      <c r="AY158" s="433"/>
      <c r="AZ158" s="433"/>
      <c r="BA158" s="434"/>
      <c r="BB158" s="435"/>
      <c r="BC158" s="470"/>
      <c r="BD158" s="433"/>
      <c r="BE158" s="433"/>
      <c r="BF158" s="433"/>
      <c r="BG158" s="433"/>
      <c r="BH158" s="433"/>
      <c r="BI158" s="434"/>
      <c r="BJ158" s="436"/>
      <c r="BK158" s="470"/>
      <c r="BL158" s="433"/>
      <c r="BM158" s="433"/>
      <c r="BN158" s="433"/>
      <c r="BO158" s="433"/>
      <c r="BP158" s="433"/>
      <c r="BQ158" s="433"/>
      <c r="BR158" s="434"/>
      <c r="BS158" s="436"/>
      <c r="BT158" s="470"/>
      <c r="BU158" s="433"/>
      <c r="BV158" s="433"/>
      <c r="BW158" s="433"/>
      <c r="BX158" s="433"/>
      <c r="BY158" s="433"/>
      <c r="BZ158" s="434"/>
      <c r="CA158" s="373"/>
      <c r="CB158" s="470"/>
      <c r="CC158" s="433"/>
      <c r="CD158" s="433"/>
      <c r="CE158" s="433"/>
      <c r="CF158" s="433"/>
      <c r="CG158" s="433"/>
      <c r="CH158" s="434"/>
      <c r="CI158" s="373"/>
      <c r="CJ158" s="470"/>
      <c r="CK158" s="433"/>
      <c r="CL158" s="433"/>
      <c r="CM158" s="433"/>
      <c r="CN158" s="433"/>
      <c r="CO158" s="433"/>
      <c r="CP158" s="434"/>
      <c r="CQ158" s="435"/>
      <c r="CR158" s="432"/>
      <c r="CS158" s="433"/>
      <c r="CT158" s="433"/>
      <c r="CU158" s="433" t="n">
        <f aca="false">+CR158-CS158</f>
        <v>0</v>
      </c>
      <c r="CV158" s="433" t="n">
        <f aca="false">+CR158-CT158</f>
        <v>0</v>
      </c>
      <c r="CW158" s="433"/>
      <c r="CX158" s="434" t="str">
        <f aca="false">IFERROR(CR158/CW158-1, "-")</f>
        <v>-</v>
      </c>
      <c r="CY158" s="425"/>
      <c r="CZ158" s="437"/>
      <c r="DA158" s="433"/>
      <c r="DB158" s="433"/>
      <c r="DC158" s="433"/>
      <c r="DD158" s="433"/>
      <c r="DE158" s="434" t="e">
        <f aca="false">+CZ158/DD158-1</f>
        <v>#DIV/0!</v>
      </c>
      <c r="DF158" s="434" t="e">
        <f aca="false">+DA158/DD158-1</f>
        <v>#DIV/0!</v>
      </c>
      <c r="DG158" s="438" t="e">
        <f aca="false">+DB158/DD158-1</f>
        <v>#DIV/0!</v>
      </c>
      <c r="DH158" s="438" t="e">
        <f aca="false">+DC158/DD158-1</f>
        <v>#DIV/0!</v>
      </c>
      <c r="DI158" s="413"/>
      <c r="DJ158" s="117" t="n">
        <f aca="false">SUM(D158,J158,P158,V158,AD158,AL158,AU158,BC158,BK158,BT158,CB158,CJ158)-CR158</f>
        <v>0</v>
      </c>
      <c r="DK158" s="117" t="n">
        <f aca="false">SUM(E158,K158,Q158,W158,AE158,AM158,AV158,BD158,BL158,BU158,CC158,CK158)-CS158</f>
        <v>0</v>
      </c>
      <c r="DL158" s="117" t="n">
        <f aca="false">SUM(G158,M158,S158,AA158,AI158,AR158,AZ158,BH158,BQ158,BY158,CG158,CO158)-CW158</f>
        <v>0</v>
      </c>
      <c r="DM158" s="117" t="n">
        <f aca="false">SUM(D158,J158,P158,V158,AD158,AL158,AU158,BC158,,BN158,BV158,CD158,CL158)-CT158</f>
        <v>0</v>
      </c>
      <c r="DN158" s="413"/>
      <c r="DO158" s="413"/>
      <c r="DP158" s="474" t="e">
        <f aca="false">#VALUE!</f>
        <v>#VALUE!</v>
      </c>
      <c r="DQ158" s="415" t="e">
        <f aca="false">-CR158+DP158/10^6</f>
        <v>#VALUE!</v>
      </c>
      <c r="DR158" s="117" t="n">
        <f aca="false">SUM(E158,K158,Q158,W158,AE158,AM158,AV158,BD158,BL158,BU158,CC158,CK158)-CS158</f>
        <v>0</v>
      </c>
      <c r="DS158" s="117" t="n">
        <f aca="false">SUM(D158,J158,P158,V158,AD158,AL158,AU158,BC158,,BN158,BV158,CD158,CL158)-CT158</f>
        <v>0</v>
      </c>
      <c r="DT158" s="582" t="n">
        <v>-29.353233</v>
      </c>
      <c r="DU158" s="440" t="n">
        <v>56.609742</v>
      </c>
      <c r="DV158" s="418" t="n">
        <f aca="false">DU158-CJ158</f>
        <v>56.609742</v>
      </c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  <c r="EB158" s="419"/>
    </row>
    <row r="159" s="441" customFormat="true" ht="15.75" hidden="true" customHeight="true" outlineLevel="1" collapsed="false">
      <c r="A159" s="286"/>
      <c r="B159" s="444" t="s">
        <v>391</v>
      </c>
      <c r="C159" s="431" t="s">
        <v>392</v>
      </c>
      <c r="D159" s="455"/>
      <c r="E159" s="433"/>
      <c r="F159" s="433"/>
      <c r="G159" s="433"/>
      <c r="H159" s="434"/>
      <c r="I159" s="422"/>
      <c r="J159" s="455"/>
      <c r="K159" s="433"/>
      <c r="L159" s="433"/>
      <c r="M159" s="433"/>
      <c r="N159" s="434"/>
      <c r="O159" s="435"/>
      <c r="P159" s="455"/>
      <c r="Q159" s="433"/>
      <c r="R159" s="433"/>
      <c r="S159" s="433"/>
      <c r="T159" s="434"/>
      <c r="U159" s="423"/>
      <c r="V159" s="455"/>
      <c r="W159" s="433"/>
      <c r="X159" s="433"/>
      <c r="Y159" s="433"/>
      <c r="Z159" s="433"/>
      <c r="AA159" s="433"/>
      <c r="AB159" s="434"/>
      <c r="AC159" s="435"/>
      <c r="AD159" s="455"/>
      <c r="AE159" s="433"/>
      <c r="AF159" s="433"/>
      <c r="AG159" s="433"/>
      <c r="AH159" s="433"/>
      <c r="AI159" s="433"/>
      <c r="AJ159" s="434"/>
      <c r="AK159" s="435"/>
      <c r="AL159" s="455"/>
      <c r="AM159" s="433"/>
      <c r="AN159" s="433"/>
      <c r="AO159" s="433"/>
      <c r="AP159" s="433"/>
      <c r="AQ159" s="433"/>
      <c r="AR159" s="433"/>
      <c r="AS159" s="434"/>
      <c r="AT159" s="424"/>
      <c r="AU159" s="455"/>
      <c r="AV159" s="433"/>
      <c r="AW159" s="433"/>
      <c r="AX159" s="433"/>
      <c r="AY159" s="433"/>
      <c r="AZ159" s="433"/>
      <c r="BA159" s="434"/>
      <c r="BB159" s="435"/>
      <c r="BC159" s="455"/>
      <c r="BD159" s="433"/>
      <c r="BE159" s="433"/>
      <c r="BF159" s="433"/>
      <c r="BG159" s="433"/>
      <c r="BH159" s="433"/>
      <c r="BI159" s="434"/>
      <c r="BJ159" s="436"/>
      <c r="BK159" s="455"/>
      <c r="BL159" s="433"/>
      <c r="BM159" s="433"/>
      <c r="BN159" s="433"/>
      <c r="BO159" s="433"/>
      <c r="BP159" s="433"/>
      <c r="BQ159" s="433"/>
      <c r="BR159" s="434"/>
      <c r="BS159" s="436"/>
      <c r="BT159" s="455"/>
      <c r="BU159" s="433"/>
      <c r="BV159" s="433"/>
      <c r="BW159" s="433"/>
      <c r="BX159" s="433"/>
      <c r="BY159" s="433"/>
      <c r="BZ159" s="434"/>
      <c r="CA159" s="373"/>
      <c r="CB159" s="455"/>
      <c r="CC159" s="433"/>
      <c r="CD159" s="433"/>
      <c r="CE159" s="433"/>
      <c r="CF159" s="433"/>
      <c r="CG159" s="433"/>
      <c r="CH159" s="434"/>
      <c r="CI159" s="373"/>
      <c r="CJ159" s="455"/>
      <c r="CK159" s="433"/>
      <c r="CL159" s="433"/>
      <c r="CM159" s="433"/>
      <c r="CN159" s="433"/>
      <c r="CO159" s="433"/>
      <c r="CP159" s="434"/>
      <c r="CQ159" s="435"/>
      <c r="CR159" s="432"/>
      <c r="CS159" s="433"/>
      <c r="CT159" s="433"/>
      <c r="CU159" s="433" t="n">
        <f aca="false">+CR159-CS159</f>
        <v>0</v>
      </c>
      <c r="CV159" s="433" t="n">
        <f aca="false">+CR159-CT159</f>
        <v>0</v>
      </c>
      <c r="CW159" s="433"/>
      <c r="CX159" s="434" t="str">
        <f aca="false">IFERROR(CR159/CW159-1, "-")</f>
        <v>-</v>
      </c>
      <c r="CY159" s="425"/>
      <c r="CZ159" s="437"/>
      <c r="DA159" s="433"/>
      <c r="DB159" s="433"/>
      <c r="DC159" s="433"/>
      <c r="DD159" s="433"/>
      <c r="DE159" s="434" t="e">
        <f aca="false">+CZ159/DD159-1</f>
        <v>#DIV/0!</v>
      </c>
      <c r="DF159" s="434" t="e">
        <f aca="false">+DA159/DD159-1</f>
        <v>#DIV/0!</v>
      </c>
      <c r="DG159" s="438" t="e">
        <f aca="false">+DB159/DD159-1</f>
        <v>#DIV/0!</v>
      </c>
      <c r="DH159" s="438" t="e">
        <f aca="false">+DC159/DD159-1</f>
        <v>#DIV/0!</v>
      </c>
      <c r="DI159" s="413"/>
      <c r="DJ159" s="117" t="n">
        <f aca="false">SUM(D159,J159,P159,V159,AD159,AL159,AU159,BC159,BK159,BT159,CB159,CJ159)-CR159</f>
        <v>0</v>
      </c>
      <c r="DK159" s="117" t="n">
        <f aca="false">SUM(E159,K159,Q159,W159,AE159,AM159,AV159,BD159,BL159,BU159,CC159,CK159)-CS159</f>
        <v>0</v>
      </c>
      <c r="DL159" s="117" t="n">
        <f aca="false">SUM(G159,M159,S159,AA159,AI159,AR159,AZ159,BH159,BQ159,BY159,CG159,CO159)-CW159</f>
        <v>0</v>
      </c>
      <c r="DM159" s="117" t="n">
        <f aca="false">SUM(D159,J159,P159,V159,AD159,AL159,AU159,BC159,,BN159,BV159,CD159,CL159)-CT159</f>
        <v>0</v>
      </c>
      <c r="DN159" s="413"/>
      <c r="DO159" s="413"/>
      <c r="DP159" s="469" t="n">
        <v>199826146</v>
      </c>
      <c r="DQ159" s="415" t="n">
        <f aca="false">-CR159+DP159/10^6</f>
        <v>199.826146</v>
      </c>
      <c r="DR159" s="117" t="n">
        <f aca="false">SUM(E159,K159,Q159,W159,AE159,AM159,AV159,BD159,BL159,BU159,CC159,CK159)-CS159</f>
        <v>0</v>
      </c>
      <c r="DS159" s="117" t="n">
        <f aca="false">SUM(D159,J159,P159,V159,AD159,AL159,AU159,BC159,,BN159,BV159,CD159,CL159)-CT159</f>
        <v>0</v>
      </c>
      <c r="DT159" s="416"/>
      <c r="DU159" s="440" t="n">
        <v>18.233711</v>
      </c>
      <c r="DV159" s="418" t="n">
        <f aca="false">DU159-CJ159</f>
        <v>18.233711</v>
      </c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  <c r="EB159" s="419"/>
    </row>
    <row r="160" s="441" customFormat="true" ht="15.75" hidden="true" customHeight="true" outlineLevel="1" collapsed="false">
      <c r="A160" s="286"/>
      <c r="B160" s="444" t="s">
        <v>393</v>
      </c>
      <c r="C160" s="431" t="s">
        <v>394</v>
      </c>
      <c r="D160" s="432"/>
      <c r="E160" s="433"/>
      <c r="F160" s="433"/>
      <c r="G160" s="433"/>
      <c r="H160" s="434"/>
      <c r="I160" s="422"/>
      <c r="J160" s="432"/>
      <c r="K160" s="433"/>
      <c r="L160" s="433"/>
      <c r="M160" s="433"/>
      <c r="N160" s="434"/>
      <c r="O160" s="435"/>
      <c r="P160" s="432"/>
      <c r="Q160" s="433"/>
      <c r="R160" s="433"/>
      <c r="S160" s="433"/>
      <c r="T160" s="434"/>
      <c r="U160" s="423"/>
      <c r="V160" s="432"/>
      <c r="W160" s="433"/>
      <c r="X160" s="433"/>
      <c r="Y160" s="433"/>
      <c r="Z160" s="433"/>
      <c r="AA160" s="433"/>
      <c r="AB160" s="434"/>
      <c r="AC160" s="435"/>
      <c r="AD160" s="432"/>
      <c r="AE160" s="433"/>
      <c r="AF160" s="433"/>
      <c r="AG160" s="433"/>
      <c r="AH160" s="433"/>
      <c r="AI160" s="433"/>
      <c r="AJ160" s="434"/>
      <c r="AK160" s="435"/>
      <c r="AL160" s="432"/>
      <c r="AM160" s="433"/>
      <c r="AN160" s="433"/>
      <c r="AO160" s="433"/>
      <c r="AP160" s="433"/>
      <c r="AQ160" s="433"/>
      <c r="AR160" s="433"/>
      <c r="AS160" s="434"/>
      <c r="AT160" s="424"/>
      <c r="AU160" s="432"/>
      <c r="AV160" s="433"/>
      <c r="AW160" s="433"/>
      <c r="AX160" s="433"/>
      <c r="AY160" s="433"/>
      <c r="AZ160" s="433"/>
      <c r="BA160" s="434"/>
      <c r="BB160" s="435"/>
      <c r="BC160" s="432"/>
      <c r="BD160" s="433"/>
      <c r="BE160" s="433"/>
      <c r="BF160" s="433"/>
      <c r="BG160" s="433"/>
      <c r="BH160" s="433"/>
      <c r="BI160" s="434"/>
      <c r="BJ160" s="436"/>
      <c r="BK160" s="432"/>
      <c r="BL160" s="433"/>
      <c r="BM160" s="433"/>
      <c r="BN160" s="433"/>
      <c r="BO160" s="433"/>
      <c r="BP160" s="433"/>
      <c r="BQ160" s="433"/>
      <c r="BR160" s="434"/>
      <c r="BS160" s="436"/>
      <c r="BT160" s="432"/>
      <c r="BU160" s="433"/>
      <c r="BV160" s="433"/>
      <c r="BW160" s="433"/>
      <c r="BX160" s="433"/>
      <c r="BY160" s="433"/>
      <c r="BZ160" s="434"/>
      <c r="CA160" s="373"/>
      <c r="CB160" s="432"/>
      <c r="CC160" s="433"/>
      <c r="CD160" s="433"/>
      <c r="CE160" s="433"/>
      <c r="CF160" s="433"/>
      <c r="CG160" s="433"/>
      <c r="CH160" s="434"/>
      <c r="CI160" s="373"/>
      <c r="CJ160" s="432"/>
      <c r="CK160" s="433"/>
      <c r="CL160" s="433"/>
      <c r="CM160" s="433"/>
      <c r="CN160" s="433"/>
      <c r="CO160" s="433"/>
      <c r="CP160" s="434"/>
      <c r="CQ160" s="435"/>
      <c r="CR160" s="432"/>
      <c r="CS160" s="433"/>
      <c r="CT160" s="433"/>
      <c r="CU160" s="433" t="n">
        <f aca="false">+CR160-CS160</f>
        <v>0</v>
      </c>
      <c r="CV160" s="433" t="n">
        <f aca="false">+CR160-CT160</f>
        <v>0</v>
      </c>
      <c r="CW160" s="433"/>
      <c r="CX160" s="434" t="str">
        <f aca="false">IFERROR(CR160/CW160-1, "-")</f>
        <v>-</v>
      </c>
      <c r="CY160" s="425"/>
      <c r="CZ160" s="437"/>
      <c r="DA160" s="433"/>
      <c r="DB160" s="433"/>
      <c r="DC160" s="433"/>
      <c r="DD160" s="433"/>
      <c r="DE160" s="434" t="e">
        <f aca="false">+CZ160/DD160-1</f>
        <v>#DIV/0!</v>
      </c>
      <c r="DF160" s="434" t="e">
        <f aca="false">+DA160/DD160-1</f>
        <v>#DIV/0!</v>
      </c>
      <c r="DG160" s="438" t="e">
        <f aca="false">+DB160/DD160-1</f>
        <v>#DIV/0!</v>
      </c>
      <c r="DH160" s="438" t="e">
        <f aca="false">+DC160/DD160-1</f>
        <v>#DIV/0!</v>
      </c>
      <c r="DI160" s="413"/>
      <c r="DJ160" s="117" t="n">
        <f aca="false">SUM(D160,J160,P160,V160,AD160,AL160,AU160,BC160,BK160,BT160,CB160,CJ160)-CR160</f>
        <v>0</v>
      </c>
      <c r="DK160" s="117" t="n">
        <f aca="false">SUM(E160,K160,Q160,W160,AE160,AM160,AV160,BD160,BL160,BU160,CC160,CK160)-CS160</f>
        <v>0</v>
      </c>
      <c r="DL160" s="117" t="n">
        <f aca="false">SUM(G160,M160,S160,AA160,AI160,AR160,AZ160,BH160,BQ160,BY160,CG160,CO160)-CW160</f>
        <v>0</v>
      </c>
      <c r="DM160" s="117" t="n">
        <f aca="false">SUM(D160,J160,P160,V160,AD160,AL160,AU160,BC160,,BN160,BV160,CD160,CL160)-CT160</f>
        <v>0</v>
      </c>
      <c r="DN160" s="413"/>
      <c r="DO160" s="413"/>
      <c r="DP160" s="439" t="n">
        <v>480000</v>
      </c>
      <c r="DQ160" s="415" t="n">
        <f aca="false">-CR160+DP160/10^6</f>
        <v>0.48</v>
      </c>
      <c r="DR160" s="117" t="n">
        <f aca="false">SUM(E160,K160,Q160,W160,AE160,AM160,AV160,BD160,BL160,BU160,CC160,CK160)-CS160</f>
        <v>0</v>
      </c>
      <c r="DS160" s="117" t="n">
        <f aca="false">SUM(D160,J160,P160,V160,AD160,AL160,AU160,BC160,,BN160,BV160,CD160,CL160)-CT160</f>
        <v>0</v>
      </c>
      <c r="DT160" s="416"/>
      <c r="DU160" s="440" t="n">
        <v>0.015</v>
      </c>
      <c r="DV160" s="418" t="n">
        <f aca="false">DU160-CJ160</f>
        <v>0.015</v>
      </c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  <c r="EB160" s="419"/>
    </row>
    <row r="161" customFormat="false" ht="15.75" hidden="false" customHeight="true" outlineLevel="0" collapsed="false">
      <c r="B161" s="578" t="s">
        <v>395</v>
      </c>
      <c r="C161" s="398" t="s">
        <v>396</v>
      </c>
      <c r="D161" s="281"/>
      <c r="E161" s="144"/>
      <c r="F161" s="144"/>
      <c r="G161" s="144"/>
      <c r="H161" s="245"/>
      <c r="I161" s="422"/>
      <c r="J161" s="281"/>
      <c r="K161" s="144"/>
      <c r="L161" s="144"/>
      <c r="M161" s="144"/>
      <c r="N161" s="245"/>
      <c r="O161" s="422"/>
      <c r="P161" s="281"/>
      <c r="Q161" s="144"/>
      <c r="R161" s="144"/>
      <c r="S161" s="144"/>
      <c r="T161" s="245"/>
      <c r="U161" s="423"/>
      <c r="V161" s="281"/>
      <c r="W161" s="144"/>
      <c r="X161" s="144"/>
      <c r="Y161" s="144"/>
      <c r="Z161" s="144"/>
      <c r="AA161" s="144"/>
      <c r="AB161" s="245"/>
      <c r="AC161" s="422"/>
      <c r="AD161" s="281"/>
      <c r="AE161" s="144"/>
      <c r="AF161" s="144"/>
      <c r="AG161" s="144"/>
      <c r="AH161" s="144"/>
      <c r="AI161" s="144"/>
      <c r="AJ161" s="245"/>
      <c r="AK161" s="422"/>
      <c r="AL161" s="281"/>
      <c r="AM161" s="144"/>
      <c r="AN161" s="144"/>
      <c r="AO161" s="144"/>
      <c r="AP161" s="144"/>
      <c r="AQ161" s="144"/>
      <c r="AR161" s="144"/>
      <c r="AS161" s="245"/>
      <c r="AT161" s="424"/>
      <c r="AU161" s="281"/>
      <c r="AV161" s="144"/>
      <c r="AW161" s="144"/>
      <c r="AX161" s="144"/>
      <c r="AY161" s="144"/>
      <c r="AZ161" s="144"/>
      <c r="BA161" s="245"/>
      <c r="BB161" s="422"/>
      <c r="BC161" s="281"/>
      <c r="BD161" s="144"/>
      <c r="BE161" s="144"/>
      <c r="BF161" s="144"/>
      <c r="BG161" s="144"/>
      <c r="BH161" s="144"/>
      <c r="BI161" s="245"/>
      <c r="BJ161" s="423"/>
      <c r="BK161" s="281"/>
      <c r="BL161" s="144"/>
      <c r="BM161" s="144"/>
      <c r="BN161" s="144"/>
      <c r="BO161" s="144"/>
      <c r="BP161" s="144"/>
      <c r="BQ161" s="144"/>
      <c r="BR161" s="245"/>
      <c r="BS161" s="423"/>
      <c r="BT161" s="281"/>
      <c r="BU161" s="144"/>
      <c r="BV161" s="144"/>
      <c r="BW161" s="144"/>
      <c r="BX161" s="144"/>
      <c r="BY161" s="144"/>
      <c r="BZ161" s="245"/>
      <c r="CA161" s="373"/>
      <c r="CB161" s="281"/>
      <c r="CC161" s="144"/>
      <c r="CD161" s="144"/>
      <c r="CE161" s="144"/>
      <c r="CF161" s="144"/>
      <c r="CG161" s="144"/>
      <c r="CH161" s="245"/>
      <c r="CI161" s="373"/>
      <c r="CJ161" s="281"/>
      <c r="CK161" s="144"/>
      <c r="CL161" s="144"/>
      <c r="CM161" s="144"/>
      <c r="CN161" s="144"/>
      <c r="CO161" s="144"/>
      <c r="CP161" s="245"/>
      <c r="CQ161" s="422"/>
      <c r="CR161" s="281"/>
      <c r="CS161" s="144"/>
      <c r="CT161" s="144"/>
      <c r="CU161" s="144" t="n">
        <f aca="false">+CR161-CS161</f>
        <v>0</v>
      </c>
      <c r="CV161" s="144" t="n">
        <f aca="false">+CR161-CT161</f>
        <v>0</v>
      </c>
      <c r="CW161" s="144"/>
      <c r="CX161" s="245" t="str">
        <f aca="false">IFERROR(CR161/CW161-1, "-")</f>
        <v>-</v>
      </c>
      <c r="CY161" s="425"/>
      <c r="CZ161" s="426"/>
      <c r="DA161" s="144"/>
      <c r="DB161" s="144"/>
      <c r="DC161" s="144"/>
      <c r="DD161" s="144"/>
      <c r="DE161" s="245" t="e">
        <f aca="false">+CZ161/DD161-1</f>
        <v>#DIV/0!</v>
      </c>
      <c r="DF161" s="245" t="e">
        <f aca="false">+DA161/DD161-1</f>
        <v>#DIV/0!</v>
      </c>
      <c r="DG161" s="427" t="e">
        <f aca="false">+DB161/DD161-1</f>
        <v>#DIV/0!</v>
      </c>
      <c r="DH161" s="427" t="e">
        <f aca="false">+DC161/DD161-1</f>
        <v>#DIV/0!</v>
      </c>
      <c r="DI161" s="413"/>
      <c r="DJ161" s="117" t="n">
        <f aca="false">SUM(D161,J161,P161,V161,AD161,AL161,AU161,BC161,BK161,BT161,CB161,CJ161)-CR161</f>
        <v>0</v>
      </c>
      <c r="DK161" s="117" t="n">
        <f aca="false">SUM(E161,K161,Q161,W161,AE161,AM161,AV161,BD161,BL161,BU161,CC161,CK161)-CS161</f>
        <v>0</v>
      </c>
      <c r="DL161" s="117" t="n">
        <f aca="false">SUM(G161,M161,S161,AA161,AI161,AR161,AZ161,BH161,BQ161,BY161,CG161,CO161)-CW161</f>
        <v>0</v>
      </c>
      <c r="DM161" s="117" t="n">
        <f aca="false">SUM(D161,J161,P161,V161,AD161,AL161,AU161,BC161,,BN161,BV161,CD161,CL161)-CT161</f>
        <v>0</v>
      </c>
      <c r="DN161" s="413"/>
      <c r="DO161" s="413"/>
      <c r="DP161" s="428" t="n">
        <f aca="false">+DP162+DP163</f>
        <v>175057535</v>
      </c>
      <c r="DQ161" s="415" t="n">
        <f aca="false">-CR161+DP161/10^6</f>
        <v>175.057535</v>
      </c>
      <c r="DR161" s="117" t="n">
        <f aca="false">SUM(E161,K161,Q161,W161,AE161,AM161,AV161,BD161,BL161,BU161,CC161,CK161)-CS161</f>
        <v>0</v>
      </c>
      <c r="DS161" s="117" t="n">
        <f aca="false">SUM(D161,J161,P161,V161,AD161,AL161,AU161,BC161,,BN161,BV161,CD161,CL161)-CT161</f>
        <v>0</v>
      </c>
      <c r="DT161" s="416"/>
      <c r="DU161" s="417" t="n">
        <v>4.057447</v>
      </c>
      <c r="DV161" s="418" t="n">
        <f aca="false">DU161-CJ161</f>
        <v>4.057447</v>
      </c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  <c r="EB161" s="419"/>
    </row>
    <row r="162" s="441" customFormat="true" ht="15.75" hidden="true" customHeight="true" outlineLevel="1" collapsed="false">
      <c r="A162" s="286"/>
      <c r="B162" s="444" t="s">
        <v>397</v>
      </c>
      <c r="C162" s="431" t="s">
        <v>398</v>
      </c>
      <c r="D162" s="470"/>
      <c r="E162" s="433"/>
      <c r="F162" s="433"/>
      <c r="G162" s="433"/>
      <c r="H162" s="434"/>
      <c r="I162" s="422"/>
      <c r="J162" s="470"/>
      <c r="K162" s="433"/>
      <c r="L162" s="433"/>
      <c r="M162" s="433"/>
      <c r="N162" s="434"/>
      <c r="O162" s="435"/>
      <c r="P162" s="470"/>
      <c r="Q162" s="433"/>
      <c r="R162" s="433"/>
      <c r="S162" s="433"/>
      <c r="T162" s="434"/>
      <c r="U162" s="423"/>
      <c r="V162" s="470"/>
      <c r="W162" s="433"/>
      <c r="X162" s="433"/>
      <c r="Y162" s="433"/>
      <c r="Z162" s="433"/>
      <c r="AA162" s="433"/>
      <c r="AB162" s="434"/>
      <c r="AC162" s="435"/>
      <c r="AD162" s="470"/>
      <c r="AE162" s="433"/>
      <c r="AF162" s="433"/>
      <c r="AG162" s="433"/>
      <c r="AH162" s="433"/>
      <c r="AI162" s="433"/>
      <c r="AJ162" s="434"/>
      <c r="AK162" s="435"/>
      <c r="AL162" s="470"/>
      <c r="AM162" s="433"/>
      <c r="AN162" s="433"/>
      <c r="AO162" s="433"/>
      <c r="AP162" s="433"/>
      <c r="AQ162" s="433"/>
      <c r="AR162" s="433"/>
      <c r="AS162" s="434"/>
      <c r="AT162" s="424"/>
      <c r="AU162" s="470"/>
      <c r="AV162" s="433"/>
      <c r="AW162" s="433"/>
      <c r="AX162" s="433"/>
      <c r="AY162" s="433"/>
      <c r="AZ162" s="433"/>
      <c r="BA162" s="434"/>
      <c r="BB162" s="435"/>
      <c r="BC162" s="470"/>
      <c r="BD162" s="433"/>
      <c r="BE162" s="433"/>
      <c r="BF162" s="433"/>
      <c r="BG162" s="433"/>
      <c r="BH162" s="433"/>
      <c r="BI162" s="434"/>
      <c r="BJ162" s="436"/>
      <c r="BK162" s="470"/>
      <c r="BL162" s="433"/>
      <c r="BM162" s="433"/>
      <c r="BN162" s="433"/>
      <c r="BO162" s="433"/>
      <c r="BP162" s="433"/>
      <c r="BQ162" s="433"/>
      <c r="BR162" s="434"/>
      <c r="BS162" s="436"/>
      <c r="BT162" s="470"/>
      <c r="BU162" s="433"/>
      <c r="BV162" s="433"/>
      <c r="BW162" s="433"/>
      <c r="BX162" s="433"/>
      <c r="BY162" s="433"/>
      <c r="BZ162" s="434"/>
      <c r="CA162" s="373"/>
      <c r="CB162" s="470"/>
      <c r="CC162" s="433"/>
      <c r="CD162" s="433"/>
      <c r="CE162" s="433"/>
      <c r="CF162" s="433"/>
      <c r="CG162" s="433"/>
      <c r="CH162" s="434"/>
      <c r="CI162" s="373"/>
      <c r="CJ162" s="470"/>
      <c r="CK162" s="433"/>
      <c r="CL162" s="433"/>
      <c r="CM162" s="433"/>
      <c r="CN162" s="433"/>
      <c r="CO162" s="433"/>
      <c r="CP162" s="434"/>
      <c r="CQ162" s="435"/>
      <c r="CR162" s="432"/>
      <c r="CS162" s="433"/>
      <c r="CT162" s="433"/>
      <c r="CU162" s="433" t="n">
        <f aca="false">+CR162-CS162</f>
        <v>0</v>
      </c>
      <c r="CV162" s="433" t="n">
        <f aca="false">+CR162-CT162</f>
        <v>0</v>
      </c>
      <c r="CW162" s="433"/>
      <c r="CX162" s="434" t="str">
        <f aca="false">IFERROR(CR162/CW162-1, "-")</f>
        <v>-</v>
      </c>
      <c r="CY162" s="425"/>
      <c r="CZ162" s="437"/>
      <c r="DA162" s="433"/>
      <c r="DB162" s="433"/>
      <c r="DC162" s="433"/>
      <c r="DD162" s="433"/>
      <c r="DE162" s="434" t="e">
        <f aca="false">+CZ162/DD162-1</f>
        <v>#DIV/0!</v>
      </c>
      <c r="DF162" s="434" t="e">
        <f aca="false">+DA162/DD162-1</f>
        <v>#DIV/0!</v>
      </c>
      <c r="DG162" s="438" t="e">
        <f aca="false">+DB162/DD162-1</f>
        <v>#DIV/0!</v>
      </c>
      <c r="DH162" s="438" t="e">
        <f aca="false">+DC162/DD162-1</f>
        <v>#DIV/0!</v>
      </c>
      <c r="DI162" s="413"/>
      <c r="DJ162" s="117" t="n">
        <f aca="false">SUM(D162,J162,P162,V162,AD162,AL162,AU162,BC162,BK162,BT162,CB162,CJ162)-CR162</f>
        <v>0</v>
      </c>
      <c r="DK162" s="117" t="n">
        <f aca="false">SUM(E162,K162,Q162,W162,AE162,AM162,AV162,BD162,BL162,BU162,CC162,CK162)-CS162</f>
        <v>0</v>
      </c>
      <c r="DL162" s="117" t="n">
        <f aca="false">SUM(G162,M162,S162,AA162,AI162,AR162,AZ162,BH162,BQ162,BY162,CG162,CO162)-CW162</f>
        <v>0</v>
      </c>
      <c r="DM162" s="117" t="n">
        <f aca="false">SUM(D162,J162,P162,V162,AD162,AL162,AU162,BC162,,BN162,BV162,CD162,CL162)-CT162</f>
        <v>0</v>
      </c>
      <c r="DN162" s="413"/>
      <c r="DO162" s="413"/>
      <c r="DP162" s="474" t="n">
        <v>12679732</v>
      </c>
      <c r="DQ162" s="415" t="n">
        <f aca="false">-CR162+DP162/10^6</f>
        <v>12.679732</v>
      </c>
      <c r="DR162" s="117" t="n">
        <f aca="false">SUM(E162,K162,Q162,W162,AE162,AM162,AV162,BD162,BL162,BU162,CC162,CK162)-CS162</f>
        <v>0</v>
      </c>
      <c r="DS162" s="117" t="n">
        <f aca="false">SUM(D162,J162,P162,V162,AD162,AL162,AU162,BC162,,BN162,BV162,CD162,CL162)-CT162</f>
        <v>0</v>
      </c>
      <c r="DT162" s="416"/>
      <c r="DU162" s="440" t="n">
        <v>-30.135301</v>
      </c>
      <c r="DV162" s="418" t="n">
        <f aca="false">DU162-CJ162</f>
        <v>-30.135301</v>
      </c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  <c r="EB162" s="419"/>
    </row>
    <row r="163" s="441" customFormat="true" ht="15.75" hidden="true" customHeight="true" outlineLevel="1" collapsed="false">
      <c r="A163" s="286"/>
      <c r="B163" s="444" t="s">
        <v>399</v>
      </c>
      <c r="C163" s="431" t="s">
        <v>400</v>
      </c>
      <c r="D163" s="455"/>
      <c r="E163" s="433"/>
      <c r="F163" s="433"/>
      <c r="G163" s="433"/>
      <c r="H163" s="434"/>
      <c r="I163" s="422"/>
      <c r="J163" s="455"/>
      <c r="K163" s="433"/>
      <c r="L163" s="433"/>
      <c r="M163" s="433"/>
      <c r="N163" s="434"/>
      <c r="O163" s="435"/>
      <c r="P163" s="455"/>
      <c r="Q163" s="433"/>
      <c r="R163" s="433"/>
      <c r="S163" s="433"/>
      <c r="T163" s="434"/>
      <c r="U163" s="423"/>
      <c r="V163" s="455"/>
      <c r="W163" s="433"/>
      <c r="X163" s="433"/>
      <c r="Y163" s="433"/>
      <c r="Z163" s="433"/>
      <c r="AA163" s="433"/>
      <c r="AB163" s="434"/>
      <c r="AC163" s="435"/>
      <c r="AD163" s="455"/>
      <c r="AE163" s="433"/>
      <c r="AF163" s="433"/>
      <c r="AG163" s="433"/>
      <c r="AH163" s="433"/>
      <c r="AI163" s="433"/>
      <c r="AJ163" s="434"/>
      <c r="AK163" s="435"/>
      <c r="AL163" s="455"/>
      <c r="AM163" s="433"/>
      <c r="AN163" s="433"/>
      <c r="AO163" s="433"/>
      <c r="AP163" s="433"/>
      <c r="AQ163" s="433"/>
      <c r="AR163" s="433"/>
      <c r="AS163" s="434"/>
      <c r="AT163" s="424"/>
      <c r="AU163" s="455"/>
      <c r="AV163" s="433"/>
      <c r="AW163" s="433"/>
      <c r="AX163" s="433"/>
      <c r="AY163" s="433"/>
      <c r="AZ163" s="433"/>
      <c r="BA163" s="434"/>
      <c r="BB163" s="435"/>
      <c r="BC163" s="455"/>
      <c r="BD163" s="433"/>
      <c r="BE163" s="433"/>
      <c r="BF163" s="433"/>
      <c r="BG163" s="433"/>
      <c r="BH163" s="433"/>
      <c r="BI163" s="434"/>
      <c r="BJ163" s="436"/>
      <c r="BK163" s="455"/>
      <c r="BL163" s="433"/>
      <c r="BM163" s="433"/>
      <c r="BN163" s="433"/>
      <c r="BO163" s="433"/>
      <c r="BP163" s="433"/>
      <c r="BQ163" s="433"/>
      <c r="BR163" s="434"/>
      <c r="BS163" s="436"/>
      <c r="BT163" s="455"/>
      <c r="BU163" s="433"/>
      <c r="BV163" s="433"/>
      <c r="BW163" s="433"/>
      <c r="BX163" s="433"/>
      <c r="BY163" s="433"/>
      <c r="BZ163" s="434"/>
      <c r="CA163" s="373"/>
      <c r="CB163" s="455"/>
      <c r="CC163" s="433"/>
      <c r="CD163" s="433"/>
      <c r="CE163" s="433"/>
      <c r="CF163" s="433"/>
      <c r="CG163" s="433"/>
      <c r="CH163" s="434"/>
      <c r="CI163" s="373"/>
      <c r="CJ163" s="455"/>
      <c r="CK163" s="433"/>
      <c r="CL163" s="433"/>
      <c r="CM163" s="433"/>
      <c r="CN163" s="433"/>
      <c r="CO163" s="433"/>
      <c r="CP163" s="434"/>
      <c r="CQ163" s="435"/>
      <c r="CR163" s="432"/>
      <c r="CS163" s="433"/>
      <c r="CT163" s="433"/>
      <c r="CU163" s="433" t="n">
        <f aca="false">+CR163-CS163</f>
        <v>0</v>
      </c>
      <c r="CV163" s="433" t="n">
        <f aca="false">+CR163-CT163</f>
        <v>0</v>
      </c>
      <c r="CW163" s="433"/>
      <c r="CX163" s="434" t="str">
        <f aca="false">IFERROR(CR163/CW163-1, "-")</f>
        <v>-</v>
      </c>
      <c r="CY163" s="425"/>
      <c r="CZ163" s="437"/>
      <c r="DA163" s="433"/>
      <c r="DB163" s="433"/>
      <c r="DC163" s="433"/>
      <c r="DD163" s="433"/>
      <c r="DE163" s="434" t="e">
        <f aca="false">+CZ163/DD163-1</f>
        <v>#DIV/0!</v>
      </c>
      <c r="DF163" s="434" t="e">
        <f aca="false">+DA163/DD163-1</f>
        <v>#DIV/0!</v>
      </c>
      <c r="DG163" s="438" t="e">
        <f aca="false">+DB163/DD163-1</f>
        <v>#DIV/0!</v>
      </c>
      <c r="DH163" s="438" t="e">
        <f aca="false">+DC163/DD163-1</f>
        <v>#DIV/0!</v>
      </c>
      <c r="DI163" s="413"/>
      <c r="DJ163" s="117" t="n">
        <f aca="false">SUM(D163,J163,P163,V163,AD163,AL163,AU163,BC163,BK163,BT163,CB163,CJ163)-CR163</f>
        <v>0</v>
      </c>
      <c r="DK163" s="117" t="n">
        <f aca="false">SUM(E163,K163,Q163,W163,AE163,AM163,AV163,BD163,BL163,BU163,CC163,CK163)-CS163</f>
        <v>0</v>
      </c>
      <c r="DL163" s="117" t="n">
        <f aca="false">SUM(G163,M163,S163,AA163,AI163,AR163,AZ163,BH163,BQ163,BY163,CG163,CO163)-CW163</f>
        <v>0</v>
      </c>
      <c r="DM163" s="117" t="n">
        <f aca="false">SUM(D163,J163,P163,V163,AD163,AL163,AU163,BC163,,BN163,BV163,CD163,CL163)-CT163</f>
        <v>0</v>
      </c>
      <c r="DN163" s="413"/>
      <c r="DO163" s="413"/>
      <c r="DP163" s="469" t="n">
        <v>162377803</v>
      </c>
      <c r="DQ163" s="415" t="n">
        <f aca="false">-CR163+DP163/10^6</f>
        <v>162.377803</v>
      </c>
      <c r="DR163" s="117" t="n">
        <f aca="false">SUM(E163,K163,Q163,W163,AE163,AM163,AV163,BD163,BL163,BU163,CC163,CK163)-CS163</f>
        <v>0</v>
      </c>
      <c r="DS163" s="117" t="n">
        <f aca="false">SUM(D163,J163,P163,V163,AD163,AL163,AU163,BC163,,BN163,BV163,CD163,CL163)-CT163</f>
        <v>0</v>
      </c>
      <c r="DT163" s="416"/>
      <c r="DU163" s="440" t="n">
        <v>34.192748</v>
      </c>
      <c r="DV163" s="418" t="n">
        <f aca="false">DU163-CJ163</f>
        <v>34.192748</v>
      </c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  <c r="EB163" s="419"/>
    </row>
    <row r="164" s="440" customFormat="true" ht="15.75" hidden="true" customHeight="true" outlineLevel="1" collapsed="false">
      <c r="A164" s="417"/>
      <c r="B164" s="502" t="s">
        <v>401</v>
      </c>
      <c r="C164" s="431" t="s">
        <v>402</v>
      </c>
      <c r="D164" s="503"/>
      <c r="E164" s="504"/>
      <c r="F164" s="504"/>
      <c r="G164" s="504"/>
      <c r="H164" s="505"/>
      <c r="I164" s="365"/>
      <c r="J164" s="503"/>
      <c r="K164" s="504"/>
      <c r="L164" s="504"/>
      <c r="M164" s="504"/>
      <c r="N164" s="505"/>
      <c r="O164" s="506"/>
      <c r="P164" s="503"/>
      <c r="Q164" s="504"/>
      <c r="R164" s="504"/>
      <c r="S164" s="504"/>
      <c r="T164" s="505"/>
      <c r="U164" s="507"/>
      <c r="V164" s="503"/>
      <c r="W164" s="504"/>
      <c r="X164" s="504"/>
      <c r="Y164" s="504"/>
      <c r="Z164" s="504"/>
      <c r="AA164" s="504"/>
      <c r="AB164" s="505"/>
      <c r="AC164" s="506"/>
      <c r="AD164" s="503"/>
      <c r="AE164" s="504"/>
      <c r="AF164" s="504"/>
      <c r="AG164" s="504"/>
      <c r="AH164" s="504"/>
      <c r="AI164" s="504"/>
      <c r="AJ164" s="505"/>
      <c r="AK164" s="506"/>
      <c r="AL164" s="503"/>
      <c r="AM164" s="504"/>
      <c r="AN164" s="504"/>
      <c r="AO164" s="504"/>
      <c r="AP164" s="504"/>
      <c r="AQ164" s="504"/>
      <c r="AR164" s="504"/>
      <c r="AS164" s="505"/>
      <c r="AT164" s="508"/>
      <c r="AU164" s="503"/>
      <c r="AV164" s="504"/>
      <c r="AW164" s="504"/>
      <c r="AX164" s="504"/>
      <c r="AY164" s="504"/>
      <c r="AZ164" s="504"/>
      <c r="BA164" s="505"/>
      <c r="BB164" s="506"/>
      <c r="BC164" s="503"/>
      <c r="BD164" s="504"/>
      <c r="BE164" s="504"/>
      <c r="BF164" s="504"/>
      <c r="BG164" s="504"/>
      <c r="BH164" s="504"/>
      <c r="BI164" s="505"/>
      <c r="BJ164" s="510"/>
      <c r="BK164" s="503"/>
      <c r="BL164" s="504"/>
      <c r="BM164" s="504"/>
      <c r="BN164" s="504"/>
      <c r="BO164" s="504"/>
      <c r="BP164" s="504"/>
      <c r="BQ164" s="504"/>
      <c r="BR164" s="505"/>
      <c r="BS164" s="510"/>
      <c r="BT164" s="503"/>
      <c r="BU164" s="504"/>
      <c r="BV164" s="504"/>
      <c r="BW164" s="504"/>
      <c r="BX164" s="504"/>
      <c r="BY164" s="504"/>
      <c r="BZ164" s="505"/>
      <c r="CA164" s="373"/>
      <c r="CB164" s="503"/>
      <c r="CC164" s="504"/>
      <c r="CD164" s="504"/>
      <c r="CE164" s="504"/>
      <c r="CF164" s="504"/>
      <c r="CG164" s="504"/>
      <c r="CH164" s="505"/>
      <c r="CI164" s="373"/>
      <c r="CJ164" s="503"/>
      <c r="CK164" s="504"/>
      <c r="CL164" s="504"/>
      <c r="CM164" s="504"/>
      <c r="CN164" s="504"/>
      <c r="CO164" s="504"/>
      <c r="CP164" s="505"/>
      <c r="CQ164" s="506"/>
      <c r="CR164" s="503"/>
      <c r="CS164" s="504"/>
      <c r="CT164" s="504"/>
      <c r="CU164" s="504" t="n">
        <f aca="false">+CR164-CS164</f>
        <v>0</v>
      </c>
      <c r="CV164" s="504" t="n">
        <f aca="false">+CR164-CT164</f>
        <v>0</v>
      </c>
      <c r="CW164" s="504"/>
      <c r="CX164" s="505" t="str">
        <f aca="false">IFERROR(CR164/CW164-1, "-")</f>
        <v>-</v>
      </c>
      <c r="CY164" s="375"/>
      <c r="CZ164" s="511"/>
      <c r="DA164" s="504"/>
      <c r="DB164" s="504"/>
      <c r="DC164" s="504"/>
      <c r="DD164" s="504"/>
      <c r="DE164" s="505"/>
      <c r="DF164" s="505"/>
      <c r="DG164" s="512"/>
      <c r="DH164" s="512"/>
      <c r="DI164" s="413"/>
      <c r="DJ164" s="117" t="n">
        <f aca="false">SUM(D164,J164,P164,V164,AD164,AL164,AU164,BC164,BK164,BT164,CB164,CJ164)-CR164</f>
        <v>0</v>
      </c>
      <c r="DK164" s="117" t="n">
        <f aca="false">SUM(E164,K164,Q164,W164,AE164,AM164,AV164,BD164,BL164,BU164,CC164,CK164)-CS164</f>
        <v>0</v>
      </c>
      <c r="DL164" s="117" t="n">
        <f aca="false">SUM(G164,M164,S164,AA164,AI164,AR164,AZ164,BH164,BQ164,BY164,CG164,CO164)-CW164</f>
        <v>0</v>
      </c>
      <c r="DM164" s="117" t="n">
        <f aca="false">SUM(D164,J164,P164,V164,AD164,AL164,AU164,BC164,,BN164,BV164,CD164,CL164)-CT164</f>
        <v>0</v>
      </c>
      <c r="DN164" s="413"/>
      <c r="DO164" s="413"/>
      <c r="DP164" s="513"/>
      <c r="DQ164" s="415" t="n">
        <f aca="false">-CR164+DP164/10^6</f>
        <v>0</v>
      </c>
      <c r="DR164" s="117" t="n">
        <f aca="false">SUM(E164,K164,Q164,W164,AE164,AM164,AV164,BD164,BL164,BU164,CC164,CK164)-CS164</f>
        <v>0</v>
      </c>
      <c r="DS164" s="117" t="n">
        <f aca="false">SUM(D164,J164,P164,V164,AD164,AL164,AU164,BC164,,BN164,BV164,CD164,CL164)-CT164</f>
        <v>0</v>
      </c>
      <c r="DT164" s="416"/>
      <c r="DV164" s="418" t="n">
        <f aca="false">DU164-CJ164</f>
        <v>0</v>
      </c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  <c r="EB164" s="419"/>
    </row>
    <row r="165" customFormat="false" ht="9" hidden="false" customHeight="true" outlineLevel="0" collapsed="false">
      <c r="B165" s="543"/>
      <c r="C165" s="398" t="s">
        <v>403</v>
      </c>
      <c r="D165" s="544"/>
      <c r="E165" s="545"/>
      <c r="F165" s="545"/>
      <c r="G165" s="545"/>
      <c r="H165" s="546"/>
      <c r="I165" s="547"/>
      <c r="J165" s="544"/>
      <c r="K165" s="545"/>
      <c r="L165" s="545"/>
      <c r="M165" s="545"/>
      <c r="N165" s="546"/>
      <c r="O165" s="547"/>
      <c r="P165" s="544"/>
      <c r="Q165" s="545"/>
      <c r="R165" s="545"/>
      <c r="S165" s="545"/>
      <c r="T165" s="546"/>
      <c r="U165" s="548"/>
      <c r="V165" s="544"/>
      <c r="W165" s="545"/>
      <c r="X165" s="545"/>
      <c r="Y165" s="545"/>
      <c r="Z165" s="545"/>
      <c r="AA165" s="545"/>
      <c r="AB165" s="546"/>
      <c r="AC165" s="547"/>
      <c r="AD165" s="544"/>
      <c r="AE165" s="545"/>
      <c r="AF165" s="545"/>
      <c r="AG165" s="545"/>
      <c r="AH165" s="545"/>
      <c r="AI165" s="545"/>
      <c r="AJ165" s="546"/>
      <c r="AK165" s="547"/>
      <c r="AL165" s="583"/>
      <c r="AM165" s="545"/>
      <c r="AN165" s="545"/>
      <c r="AO165" s="545"/>
      <c r="AP165" s="545"/>
      <c r="AQ165" s="545"/>
      <c r="AR165" s="545"/>
      <c r="AS165" s="546"/>
      <c r="AT165" s="549"/>
      <c r="AU165" s="583"/>
      <c r="AV165" s="545"/>
      <c r="AW165" s="545"/>
      <c r="AX165" s="545"/>
      <c r="AY165" s="545"/>
      <c r="AZ165" s="545"/>
      <c r="BA165" s="546"/>
      <c r="BB165" s="547"/>
      <c r="BC165" s="583"/>
      <c r="BD165" s="545"/>
      <c r="BE165" s="545"/>
      <c r="BF165" s="545"/>
      <c r="BG165" s="545"/>
      <c r="BH165" s="545"/>
      <c r="BI165" s="546"/>
      <c r="BJ165" s="548"/>
      <c r="BK165" s="583"/>
      <c r="BL165" s="545"/>
      <c r="BM165" s="545"/>
      <c r="BN165" s="545"/>
      <c r="BO165" s="545"/>
      <c r="BP165" s="545"/>
      <c r="BQ165" s="545"/>
      <c r="BR165" s="546"/>
      <c r="BS165" s="548"/>
      <c r="BT165" s="583"/>
      <c r="BU165" s="545"/>
      <c r="BV165" s="545"/>
      <c r="BW165" s="545"/>
      <c r="BX165" s="545"/>
      <c r="BY165" s="545"/>
      <c r="BZ165" s="546"/>
      <c r="CA165" s="373"/>
      <c r="CB165" s="583"/>
      <c r="CC165" s="545"/>
      <c r="CD165" s="545"/>
      <c r="CE165" s="545"/>
      <c r="CF165" s="545"/>
      <c r="CG165" s="545"/>
      <c r="CH165" s="546"/>
      <c r="CI165" s="373"/>
      <c r="CJ165" s="583"/>
      <c r="CK165" s="545"/>
      <c r="CL165" s="545"/>
      <c r="CM165" s="545"/>
      <c r="CN165" s="545"/>
      <c r="CO165" s="545"/>
      <c r="CP165" s="546"/>
      <c r="CQ165" s="547"/>
      <c r="CR165" s="544"/>
      <c r="CS165" s="545"/>
      <c r="CT165" s="545"/>
      <c r="CU165" s="545"/>
      <c r="CV165" s="545"/>
      <c r="CW165" s="545"/>
      <c r="CX165" s="546" t="str">
        <f aca="false">IFERROR(CR165/CW165-1, "-")</f>
        <v>-</v>
      </c>
      <c r="CY165" s="425"/>
      <c r="CZ165" s="550"/>
      <c r="DA165" s="545"/>
      <c r="DB165" s="545"/>
      <c r="DC165" s="545"/>
      <c r="DD165" s="545"/>
      <c r="DE165" s="546"/>
      <c r="DF165" s="546"/>
      <c r="DG165" s="551"/>
      <c r="DH165" s="551"/>
      <c r="DI165" s="413"/>
      <c r="DJ165" s="117" t="n">
        <f aca="false">SUM(D165,J165,P165,V165,AD165,AL165,AU165,BC165,BK165,BT165,CB165,CJ165)-CR165</f>
        <v>0</v>
      </c>
      <c r="DK165" s="117" t="n">
        <f aca="false">SUM(E165,K165,Q165,W165,AE165,AM165,AV165,BD165,BL165,BU165,CC165,CK165)-CS165</f>
        <v>0</v>
      </c>
      <c r="DL165" s="117" t="n">
        <f aca="false">SUM(G165,M165,S165,AA165,AI165,AR165,AZ165,BH165,BQ165,BY165,CG165,CO165)-CW165</f>
        <v>0</v>
      </c>
      <c r="DM165" s="117" t="n">
        <f aca="false">SUM(D165,J165,P165,V165,AD165,AL165,AU165,BC165,,BN165,BV165,CD165,CL165)-CT165</f>
        <v>0</v>
      </c>
      <c r="DN165" s="413"/>
      <c r="DO165" s="413"/>
      <c r="DP165" s="552"/>
      <c r="DQ165" s="415" t="n">
        <f aca="false">-CR165+DP165/10^6</f>
        <v>0</v>
      </c>
      <c r="DR165" s="117" t="n">
        <f aca="false">SUM(E165,K165,Q165,W165,AE165,AM165,AV165,BD165,BL165,BU165,CC165,CK165)-CS165</f>
        <v>0</v>
      </c>
      <c r="DS165" s="117" t="n">
        <f aca="false">SUM(D165,J165,P165,V165,AD165,AL165,AU165,BC165,,BN165,BV165,CD165,CL165)-CT165</f>
        <v>0</v>
      </c>
      <c r="DT165" s="416"/>
      <c r="DU165" s="417"/>
      <c r="DV165" s="418" t="n">
        <f aca="false">DU165-CJ165</f>
        <v>0</v>
      </c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  <c r="EB165" s="419"/>
    </row>
    <row r="166" customFormat="false" ht="3" hidden="false" customHeight="true" outlineLevel="0" collapsed="false">
      <c r="B166" s="420"/>
      <c r="C166" s="398" t="s">
        <v>404</v>
      </c>
      <c r="D166" s="281"/>
      <c r="E166" s="144"/>
      <c r="F166" s="144"/>
      <c r="G166" s="144"/>
      <c r="H166" s="245"/>
      <c r="I166" s="422"/>
      <c r="J166" s="281"/>
      <c r="K166" s="144"/>
      <c r="L166" s="144"/>
      <c r="M166" s="144"/>
      <c r="N166" s="245"/>
      <c r="O166" s="422"/>
      <c r="P166" s="281"/>
      <c r="Q166" s="144"/>
      <c r="R166" s="144"/>
      <c r="S166" s="144"/>
      <c r="T166" s="245"/>
      <c r="U166" s="423"/>
      <c r="V166" s="281"/>
      <c r="W166" s="144"/>
      <c r="X166" s="144"/>
      <c r="Y166" s="144"/>
      <c r="Z166" s="144"/>
      <c r="AA166" s="144"/>
      <c r="AB166" s="245"/>
      <c r="AC166" s="422"/>
      <c r="AD166" s="281"/>
      <c r="AE166" s="144"/>
      <c r="AF166" s="144"/>
      <c r="AG166" s="144"/>
      <c r="AH166" s="144"/>
      <c r="AI166" s="144"/>
      <c r="AJ166" s="245"/>
      <c r="AK166" s="422"/>
      <c r="AL166" s="281"/>
      <c r="AM166" s="144"/>
      <c r="AN166" s="144"/>
      <c r="AO166" s="144"/>
      <c r="AP166" s="144"/>
      <c r="AQ166" s="144"/>
      <c r="AR166" s="144"/>
      <c r="AS166" s="245"/>
      <c r="AT166" s="424"/>
      <c r="AU166" s="281"/>
      <c r="AV166" s="144"/>
      <c r="AW166" s="144"/>
      <c r="AX166" s="144"/>
      <c r="AY166" s="144"/>
      <c r="AZ166" s="144"/>
      <c r="BA166" s="245"/>
      <c r="BB166" s="422"/>
      <c r="BC166" s="281"/>
      <c r="BD166" s="144"/>
      <c r="BE166" s="144"/>
      <c r="BF166" s="144"/>
      <c r="BG166" s="144"/>
      <c r="BH166" s="144"/>
      <c r="BI166" s="245"/>
      <c r="BJ166" s="423"/>
      <c r="BK166" s="281"/>
      <c r="BL166" s="144"/>
      <c r="BM166" s="144"/>
      <c r="BN166" s="144"/>
      <c r="BO166" s="144"/>
      <c r="BP166" s="144"/>
      <c r="BQ166" s="144"/>
      <c r="BR166" s="245"/>
      <c r="BS166" s="423"/>
      <c r="BT166" s="281"/>
      <c r="BU166" s="144"/>
      <c r="BV166" s="144"/>
      <c r="BW166" s="144"/>
      <c r="BX166" s="144"/>
      <c r="BY166" s="144"/>
      <c r="BZ166" s="245"/>
      <c r="CA166" s="373"/>
      <c r="CB166" s="281"/>
      <c r="CC166" s="144"/>
      <c r="CD166" s="144"/>
      <c r="CE166" s="144"/>
      <c r="CF166" s="144"/>
      <c r="CG166" s="144"/>
      <c r="CH166" s="245"/>
      <c r="CI166" s="373"/>
      <c r="CJ166" s="281"/>
      <c r="CK166" s="144"/>
      <c r="CL166" s="144"/>
      <c r="CM166" s="144"/>
      <c r="CN166" s="144"/>
      <c r="CO166" s="144"/>
      <c r="CP166" s="245"/>
      <c r="CQ166" s="422"/>
      <c r="CR166" s="281"/>
      <c r="CS166" s="144"/>
      <c r="CT166" s="144"/>
      <c r="CU166" s="144" t="n">
        <f aca="false">+CR166-CS166</f>
        <v>0</v>
      </c>
      <c r="CV166" s="144" t="n">
        <f aca="false">+CR166-CT166</f>
        <v>0</v>
      </c>
      <c r="CW166" s="144"/>
      <c r="CX166" s="245" t="str">
        <f aca="false">IFERROR(CR166/CW166-1, "-")</f>
        <v>-</v>
      </c>
      <c r="CY166" s="425"/>
      <c r="CZ166" s="426"/>
      <c r="DA166" s="144"/>
      <c r="DB166" s="144"/>
      <c r="DC166" s="144"/>
      <c r="DD166" s="144"/>
      <c r="DE166" s="245"/>
      <c r="DF166" s="245"/>
      <c r="DG166" s="427"/>
      <c r="DH166" s="427"/>
      <c r="DI166" s="413"/>
      <c r="DJ166" s="117" t="n">
        <f aca="false">SUM(D166,J166,P166,V166,AD166,AL166,AU166,BC166,BK166,BT166,CB166,CJ166)-CR166</f>
        <v>0</v>
      </c>
      <c r="DK166" s="117" t="n">
        <f aca="false">SUM(E166,K166,Q166,W166,AE166,AM166,AV166,BD166,BL166,BU166,CC166,CK166)-CS166</f>
        <v>0</v>
      </c>
      <c r="DL166" s="117" t="n">
        <f aca="false">SUM(G166,M166,S166,AA166,AI166,AR166,AZ166,BH166,BQ166,BY166,CG166,CO166)-CW166</f>
        <v>0</v>
      </c>
      <c r="DM166" s="117" t="n">
        <f aca="false">SUM(D166,J166,P166,V166,AD166,AL166,AU166,BC166,,BN166,BV166,CD166,CL166)-CT166</f>
        <v>0</v>
      </c>
      <c r="DN166" s="413"/>
      <c r="DO166" s="413"/>
      <c r="DP166" s="428"/>
      <c r="DQ166" s="415" t="n">
        <f aca="false">-CR166+DP166/10^6</f>
        <v>0</v>
      </c>
      <c r="DR166" s="117" t="n">
        <f aca="false">SUM(E166,K166,Q166,W166,AE166,AM166,AV166,BD166,BL166,BU166,CC166,CK166)-CS166</f>
        <v>0</v>
      </c>
      <c r="DS166" s="117" t="n">
        <f aca="false">SUM(D166,J166,P166,V166,AD166,AL166,AU166,BC166,,BN166,BV166,CD166,CL166)-CT166</f>
        <v>0</v>
      </c>
      <c r="DT166" s="416"/>
      <c r="DU166" s="417"/>
      <c r="DV166" s="418" t="n">
        <f aca="false">DU166-CJ166</f>
        <v>0</v>
      </c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  <c r="EB166" s="419"/>
    </row>
    <row r="167" customFormat="false" ht="22.5" hidden="false" customHeight="true" outlineLevel="0" collapsed="false">
      <c r="B167" s="429" t="s">
        <v>405</v>
      </c>
      <c r="C167" s="398" t="s">
        <v>406</v>
      </c>
      <c r="D167" s="399"/>
      <c r="E167" s="400"/>
      <c r="F167" s="400"/>
      <c r="G167" s="400"/>
      <c r="H167" s="401"/>
      <c r="I167" s="402"/>
      <c r="J167" s="399"/>
      <c r="K167" s="400"/>
      <c r="L167" s="400"/>
      <c r="M167" s="400"/>
      <c r="N167" s="401"/>
      <c r="O167" s="403"/>
      <c r="P167" s="399"/>
      <c r="Q167" s="400"/>
      <c r="R167" s="400"/>
      <c r="S167" s="400"/>
      <c r="T167" s="401"/>
      <c r="U167" s="404"/>
      <c r="V167" s="399"/>
      <c r="W167" s="400"/>
      <c r="X167" s="400"/>
      <c r="Y167" s="400"/>
      <c r="Z167" s="400"/>
      <c r="AA167" s="400"/>
      <c r="AB167" s="401"/>
      <c r="AC167" s="403"/>
      <c r="AD167" s="399"/>
      <c r="AE167" s="400"/>
      <c r="AF167" s="400"/>
      <c r="AG167" s="400"/>
      <c r="AH167" s="400"/>
      <c r="AI167" s="400"/>
      <c r="AJ167" s="401"/>
      <c r="AK167" s="403"/>
      <c r="AL167" s="399"/>
      <c r="AM167" s="400"/>
      <c r="AN167" s="400"/>
      <c r="AO167" s="400"/>
      <c r="AP167" s="400"/>
      <c r="AQ167" s="400"/>
      <c r="AR167" s="400"/>
      <c r="AS167" s="401"/>
      <c r="AT167" s="405"/>
      <c r="AU167" s="399"/>
      <c r="AV167" s="400"/>
      <c r="AW167" s="400"/>
      <c r="AX167" s="400"/>
      <c r="AY167" s="400"/>
      <c r="AZ167" s="400"/>
      <c r="BA167" s="401"/>
      <c r="BB167" s="403"/>
      <c r="BC167" s="399"/>
      <c r="BD167" s="400"/>
      <c r="BE167" s="400"/>
      <c r="BF167" s="400"/>
      <c r="BG167" s="400"/>
      <c r="BH167" s="400"/>
      <c r="BI167" s="401"/>
      <c r="BJ167" s="407"/>
      <c r="BK167" s="399"/>
      <c r="BL167" s="400"/>
      <c r="BM167" s="400"/>
      <c r="BN167" s="400"/>
      <c r="BO167" s="400"/>
      <c r="BP167" s="400"/>
      <c r="BQ167" s="400"/>
      <c r="BR167" s="401"/>
      <c r="BS167" s="407"/>
      <c r="BT167" s="399"/>
      <c r="BU167" s="400"/>
      <c r="BV167" s="400"/>
      <c r="BW167" s="400"/>
      <c r="BX167" s="400"/>
      <c r="BY167" s="400"/>
      <c r="BZ167" s="401"/>
      <c r="CA167" s="373"/>
      <c r="CB167" s="399"/>
      <c r="CC167" s="400"/>
      <c r="CD167" s="400"/>
      <c r="CE167" s="400"/>
      <c r="CF167" s="400"/>
      <c r="CG167" s="400"/>
      <c r="CH167" s="401"/>
      <c r="CI167" s="373"/>
      <c r="CJ167" s="399"/>
      <c r="CK167" s="400"/>
      <c r="CL167" s="400"/>
      <c r="CM167" s="400"/>
      <c r="CN167" s="400"/>
      <c r="CO167" s="400"/>
      <c r="CP167" s="401"/>
      <c r="CQ167" s="403"/>
      <c r="CR167" s="408"/>
      <c r="CS167" s="400"/>
      <c r="CT167" s="400"/>
      <c r="CU167" s="400" t="n">
        <f aca="false">+CR167-CS167</f>
        <v>0</v>
      </c>
      <c r="CV167" s="400" t="n">
        <f aca="false">+CR167-CT167</f>
        <v>0</v>
      </c>
      <c r="CW167" s="400"/>
      <c r="CX167" s="401" t="str">
        <f aca="false">IFERROR(CR167/CW167-1, "-")</f>
        <v>-</v>
      </c>
      <c r="CY167" s="410"/>
      <c r="CZ167" s="411"/>
      <c r="DA167" s="400"/>
      <c r="DB167" s="400"/>
      <c r="DC167" s="400"/>
      <c r="DD167" s="400"/>
      <c r="DE167" s="401" t="e">
        <f aca="false">+CZ167/DD167-1</f>
        <v>#DIV/0!</v>
      </c>
      <c r="DF167" s="401" t="e">
        <f aca="false">+DA167/DD167-1</f>
        <v>#DIV/0!</v>
      </c>
      <c r="DG167" s="412" t="e">
        <f aca="false">+DB167/DD167-1</f>
        <v>#DIV/0!</v>
      </c>
      <c r="DH167" s="412" t="e">
        <f aca="false">+DC167/DD167-1</f>
        <v>#DIV/0!</v>
      </c>
      <c r="DI167" s="413"/>
      <c r="DJ167" s="117" t="n">
        <f aca="false">SUM(D167,J167,P167,V167,AD167,AL167,AU167,BC167,BK167,BT167,CB167,CJ167)-CR167</f>
        <v>0</v>
      </c>
      <c r="DK167" s="117" t="n">
        <f aca="false">SUM(E167,K167,Q167,W167,AE167,AM167,AV167,BD167,BL167,BU167,CC167,CK167)-CS167</f>
        <v>0</v>
      </c>
      <c r="DL167" s="117" t="n">
        <f aca="false">SUM(G167,M167,S167,AA167,AI167,AR167,AZ167,BH167,BQ167,BY167,CG167,CO167)-CW167</f>
        <v>0</v>
      </c>
      <c r="DM167" s="117" t="n">
        <f aca="false">SUM(D167,J167,P167,V167,AD167,AL167,AU167,BC167,,BN167,BV167,CD167,CL167)-CT167</f>
        <v>0</v>
      </c>
      <c r="DN167" s="413"/>
      <c r="DO167" s="413"/>
      <c r="DP167" s="414" t="e">
        <f aca="false">+DP168+DP171+DP173</f>
        <v>#VALUE!</v>
      </c>
      <c r="DQ167" s="415" t="e">
        <f aca="false">-CR167+DP167/10^6</f>
        <v>#VALUE!</v>
      </c>
      <c r="DR167" s="117" t="n">
        <f aca="false">SUM(E167,K167,Q167,W167,AE167,AM167,AV167,BD167,BL167,BU167,CC167,CK167)-CS167</f>
        <v>0</v>
      </c>
      <c r="DS167" s="117" t="n">
        <f aca="false">SUM(D167,J167,P167,V167,AD167,AL167,AU167,BC167,,BN167,BV167,CD167,CL167)-CT167</f>
        <v>0</v>
      </c>
      <c r="DT167" s="416"/>
      <c r="DU167" s="417" t="n">
        <v>3507.105477</v>
      </c>
      <c r="DV167" s="418" t="n">
        <f aca="false">DU167-CJ167</f>
        <v>3507.105477</v>
      </c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  <c r="EB167" s="419"/>
    </row>
    <row r="168" customFormat="false" ht="15.75" hidden="false" customHeight="true" outlineLevel="0" collapsed="false">
      <c r="B168" s="482" t="s">
        <v>407</v>
      </c>
      <c r="C168" s="398" t="s">
        <v>408</v>
      </c>
      <c r="D168" s="554"/>
      <c r="E168" s="555"/>
      <c r="F168" s="144"/>
      <c r="G168" s="144"/>
      <c r="H168" s="556"/>
      <c r="I168" s="557"/>
      <c r="J168" s="554"/>
      <c r="K168" s="555"/>
      <c r="L168" s="144"/>
      <c r="M168" s="144"/>
      <c r="N168" s="556"/>
      <c r="O168" s="557"/>
      <c r="P168" s="554"/>
      <c r="Q168" s="555"/>
      <c r="R168" s="144"/>
      <c r="S168" s="144"/>
      <c r="T168" s="556"/>
      <c r="U168" s="558"/>
      <c r="V168" s="554"/>
      <c r="W168" s="555"/>
      <c r="X168" s="555"/>
      <c r="Y168" s="144"/>
      <c r="Z168" s="144"/>
      <c r="AA168" s="144"/>
      <c r="AB168" s="556"/>
      <c r="AC168" s="557"/>
      <c r="AD168" s="554"/>
      <c r="AE168" s="555"/>
      <c r="AF168" s="555"/>
      <c r="AG168" s="144"/>
      <c r="AH168" s="144"/>
      <c r="AI168" s="144"/>
      <c r="AJ168" s="556"/>
      <c r="AK168" s="557"/>
      <c r="AL168" s="554"/>
      <c r="AM168" s="555"/>
      <c r="AN168" s="555"/>
      <c r="AO168" s="555"/>
      <c r="AP168" s="144"/>
      <c r="AQ168" s="144"/>
      <c r="AR168" s="144"/>
      <c r="AS168" s="556"/>
      <c r="AT168" s="559"/>
      <c r="AU168" s="554"/>
      <c r="AV168" s="555"/>
      <c r="AW168" s="555"/>
      <c r="AX168" s="144"/>
      <c r="AY168" s="144"/>
      <c r="AZ168" s="144"/>
      <c r="BA168" s="556"/>
      <c r="BB168" s="557"/>
      <c r="BC168" s="554"/>
      <c r="BD168" s="555"/>
      <c r="BE168" s="555"/>
      <c r="BF168" s="144"/>
      <c r="BG168" s="144"/>
      <c r="BH168" s="144"/>
      <c r="BI168" s="556"/>
      <c r="BJ168" s="558"/>
      <c r="BK168" s="554"/>
      <c r="BL168" s="555"/>
      <c r="BM168" s="555"/>
      <c r="BN168" s="555"/>
      <c r="BO168" s="144"/>
      <c r="BP168" s="144"/>
      <c r="BQ168" s="144"/>
      <c r="BR168" s="556"/>
      <c r="BS168" s="558"/>
      <c r="BT168" s="554"/>
      <c r="BU168" s="555"/>
      <c r="BV168" s="555"/>
      <c r="BW168" s="144"/>
      <c r="BX168" s="144"/>
      <c r="BY168" s="144"/>
      <c r="BZ168" s="556"/>
      <c r="CA168" s="373"/>
      <c r="CB168" s="554"/>
      <c r="CC168" s="555"/>
      <c r="CD168" s="555"/>
      <c r="CE168" s="144"/>
      <c r="CF168" s="144"/>
      <c r="CG168" s="144"/>
      <c r="CH168" s="556"/>
      <c r="CI168" s="373"/>
      <c r="CJ168" s="554"/>
      <c r="CK168" s="555"/>
      <c r="CL168" s="555"/>
      <c r="CM168" s="144"/>
      <c r="CN168" s="144"/>
      <c r="CO168" s="144"/>
      <c r="CP168" s="556"/>
      <c r="CQ168" s="557"/>
      <c r="CR168" s="554"/>
      <c r="CS168" s="555"/>
      <c r="CT168" s="555"/>
      <c r="CU168" s="555" t="n">
        <f aca="false">+CR168-CS168</f>
        <v>0</v>
      </c>
      <c r="CV168" s="555" t="n">
        <f aca="false">+CR168-CT168</f>
        <v>0</v>
      </c>
      <c r="CW168" s="555"/>
      <c r="CX168" s="556" t="str">
        <f aca="false">IFERROR(CR168/CW168-1, "-")</f>
        <v>-</v>
      </c>
      <c r="CY168" s="425"/>
      <c r="CZ168" s="560"/>
      <c r="DA168" s="555"/>
      <c r="DB168" s="555"/>
      <c r="DC168" s="555"/>
      <c r="DD168" s="555"/>
      <c r="DE168" s="556" t="e">
        <f aca="false">+CZ168/DD168-1</f>
        <v>#DIV/0!</v>
      </c>
      <c r="DF168" s="556" t="e">
        <f aca="false">+DA168/DD168-1</f>
        <v>#DIV/0!</v>
      </c>
      <c r="DG168" s="561" t="e">
        <f aca="false">+DB168/DD168-1</f>
        <v>#DIV/0!</v>
      </c>
      <c r="DH168" s="561" t="e">
        <f aca="false">+DC168/DD168-1</f>
        <v>#DIV/0!</v>
      </c>
      <c r="DI168" s="413"/>
      <c r="DJ168" s="117" t="n">
        <f aca="false">SUM(D168,J168,P168,V168,AD168,AL168,AU168,BC168,BK168,BT168,CB168,CJ168)-CR168</f>
        <v>0</v>
      </c>
      <c r="DK168" s="117" t="n">
        <f aca="false">SUM(E168,K168,Q168,W168,AE168,AM168,AV168,BD168,BL168,BU168,CC168,CK168)-CS168</f>
        <v>0</v>
      </c>
      <c r="DL168" s="117" t="n">
        <f aca="false">SUM(G168,M168,S168,AA168,AI168,AR168,AZ168,BH168,BQ168,BY168,CG168,CO168)-CW168</f>
        <v>0</v>
      </c>
      <c r="DM168" s="117" t="n">
        <f aca="false">SUM(D168,J168,P168,V168,AD168,AL168,AU168,BC168,,BN168,BV168,CD168,CL168)-CT168</f>
        <v>0</v>
      </c>
      <c r="DN168" s="413"/>
      <c r="DO168" s="413"/>
      <c r="DP168" s="562" t="n">
        <f aca="false">+DP169+DP170</f>
        <v>27649911524</v>
      </c>
      <c r="DQ168" s="415" t="n">
        <f aca="false">-CR168+DP168/10^6</f>
        <v>27649.911524</v>
      </c>
      <c r="DR168" s="117" t="n">
        <f aca="false">SUM(E168,K168,Q168,W168,AE168,AM168,AV168,BD168,BL168,BU168,CC168,CK168)-CS168</f>
        <v>0</v>
      </c>
      <c r="DS168" s="117" t="n">
        <f aca="false">SUM(D168,J168,P168,V168,AD168,AL168,AU168,BC168,,BN168,BV168,CD168,CL168)-CT168</f>
        <v>0</v>
      </c>
      <c r="DT168" s="416"/>
      <c r="DU168" s="417" t="n">
        <v>2477.641711</v>
      </c>
      <c r="DV168" s="418" t="n">
        <f aca="false">DU168-CJ168</f>
        <v>2477.641711</v>
      </c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  <c r="EB168" s="419"/>
    </row>
    <row r="169" s="441" customFormat="true" ht="15.75" hidden="true" customHeight="true" outlineLevel="1" collapsed="false">
      <c r="A169" s="286"/>
      <c r="B169" s="444" t="s">
        <v>409</v>
      </c>
      <c r="C169" s="431" t="s">
        <v>410</v>
      </c>
      <c r="D169" s="432"/>
      <c r="E169" s="433"/>
      <c r="F169" s="433"/>
      <c r="G169" s="433"/>
      <c r="H169" s="434"/>
      <c r="I169" s="422"/>
      <c r="J169" s="432"/>
      <c r="K169" s="433"/>
      <c r="L169" s="433"/>
      <c r="M169" s="433"/>
      <c r="N169" s="434"/>
      <c r="O169" s="435"/>
      <c r="P169" s="432"/>
      <c r="Q169" s="433"/>
      <c r="R169" s="433"/>
      <c r="S169" s="433"/>
      <c r="T169" s="434"/>
      <c r="U169" s="423"/>
      <c r="V169" s="432"/>
      <c r="W169" s="433"/>
      <c r="X169" s="433"/>
      <c r="Y169" s="433"/>
      <c r="Z169" s="433"/>
      <c r="AA169" s="433"/>
      <c r="AB169" s="434"/>
      <c r="AC169" s="435"/>
      <c r="AD169" s="432"/>
      <c r="AE169" s="433"/>
      <c r="AF169" s="433"/>
      <c r="AG169" s="433"/>
      <c r="AH169" s="433"/>
      <c r="AI169" s="433"/>
      <c r="AJ169" s="434"/>
      <c r="AK169" s="435"/>
      <c r="AL169" s="432"/>
      <c r="AM169" s="433"/>
      <c r="AN169" s="433"/>
      <c r="AO169" s="433"/>
      <c r="AP169" s="433"/>
      <c r="AQ169" s="433"/>
      <c r="AR169" s="433"/>
      <c r="AS169" s="434"/>
      <c r="AT169" s="424"/>
      <c r="AU169" s="432"/>
      <c r="AV169" s="433"/>
      <c r="AW169" s="433"/>
      <c r="AX169" s="433"/>
      <c r="AY169" s="433"/>
      <c r="AZ169" s="433"/>
      <c r="BA169" s="434"/>
      <c r="BB169" s="435"/>
      <c r="BC169" s="432"/>
      <c r="BD169" s="433"/>
      <c r="BE169" s="433"/>
      <c r="BF169" s="433"/>
      <c r="BG169" s="433"/>
      <c r="BH169" s="433"/>
      <c r="BI169" s="434"/>
      <c r="BJ169" s="436"/>
      <c r="BK169" s="432"/>
      <c r="BL169" s="433"/>
      <c r="BM169" s="433"/>
      <c r="BN169" s="433"/>
      <c r="BO169" s="433"/>
      <c r="BP169" s="433"/>
      <c r="BQ169" s="433"/>
      <c r="BR169" s="434"/>
      <c r="BS169" s="436"/>
      <c r="BT169" s="432"/>
      <c r="BU169" s="433"/>
      <c r="BV169" s="433"/>
      <c r="BW169" s="433"/>
      <c r="BX169" s="433"/>
      <c r="BY169" s="433"/>
      <c r="BZ169" s="434"/>
      <c r="CA169" s="373"/>
      <c r="CB169" s="432"/>
      <c r="CC169" s="433"/>
      <c r="CD169" s="433"/>
      <c r="CE169" s="433"/>
      <c r="CF169" s="433"/>
      <c r="CG169" s="433"/>
      <c r="CH169" s="434"/>
      <c r="CI169" s="373"/>
      <c r="CJ169" s="432"/>
      <c r="CK169" s="433"/>
      <c r="CL169" s="433"/>
      <c r="CM169" s="433"/>
      <c r="CN169" s="433"/>
      <c r="CO169" s="433"/>
      <c r="CP169" s="434"/>
      <c r="CQ169" s="435"/>
      <c r="CR169" s="584"/>
      <c r="CS169" s="433"/>
      <c r="CT169" s="433"/>
      <c r="CU169" s="433" t="n">
        <f aca="false">+CR169-CS169</f>
        <v>0</v>
      </c>
      <c r="CV169" s="433" t="n">
        <f aca="false">+CR169-CT169</f>
        <v>0</v>
      </c>
      <c r="CW169" s="433"/>
      <c r="CX169" s="434" t="str">
        <f aca="false">IFERROR(CR169/CW169-1, "-")</f>
        <v>-</v>
      </c>
      <c r="CY169" s="425"/>
      <c r="CZ169" s="437"/>
      <c r="DA169" s="433"/>
      <c r="DB169" s="433"/>
      <c r="DC169" s="433"/>
      <c r="DD169" s="433"/>
      <c r="DE169" s="434" t="e">
        <f aca="false">+CZ169/DD169-1</f>
        <v>#DIV/0!</v>
      </c>
      <c r="DF169" s="434" t="e">
        <f aca="false">+DA169/DD169-1</f>
        <v>#DIV/0!</v>
      </c>
      <c r="DG169" s="438" t="e">
        <f aca="false">+DB169/DD169-1</f>
        <v>#DIV/0!</v>
      </c>
      <c r="DH169" s="438" t="e">
        <f aca="false">+DC169/DD169-1</f>
        <v>#DIV/0!</v>
      </c>
      <c r="DI169" s="413"/>
      <c r="DJ169" s="117" t="n">
        <f aca="false">SUM(D169,J169,P169,V169,AD169,AL169,AU169,BC169,BK169,BT169,CB169,CJ169)-CR169</f>
        <v>0</v>
      </c>
      <c r="DK169" s="117" t="n">
        <f aca="false">SUM(E169,K169,Q169,W169,AE169,AM169,AV169,BD169,BL169,BU169,CC169,CK169)-CS169</f>
        <v>0</v>
      </c>
      <c r="DL169" s="117" t="n">
        <f aca="false">SUM(G169,M169,S169,AA169,AI169,AR169,AZ169,BH169,BQ169,BY169,CG169,CO169)-CW169</f>
        <v>0</v>
      </c>
      <c r="DM169" s="117" t="n">
        <f aca="false">SUM(D169,J169,P169,V169,AD169,AL169,AU169,BC169,,BN169,BV169,CD169,CL169)-CT169</f>
        <v>0</v>
      </c>
      <c r="DN169" s="413"/>
      <c r="DO169" s="413"/>
      <c r="DP169" s="432" t="n">
        <v>27649911524</v>
      </c>
      <c r="DQ169" s="415"/>
      <c r="DR169" s="117" t="n">
        <f aca="false">SUM(E169,K169,Q169,W169,AE169,AM169,AV169,BD169,BL169,BU169,CC169,CK169)-CS169</f>
        <v>0</v>
      </c>
      <c r="DS169" s="117" t="n">
        <f aca="false">SUM(D169,J169,P169,V169,AD169,AL169,AU169,BC169,,BN169,BV169,CD169,CL169)-CT169</f>
        <v>0</v>
      </c>
      <c r="DT169" s="416"/>
      <c r="DU169" s="440" t="n">
        <v>2477.641711</v>
      </c>
      <c r="DV169" s="418" t="n">
        <f aca="false">DU169-CJ169</f>
        <v>2477.641711</v>
      </c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  <c r="EB169" s="419"/>
    </row>
    <row r="170" s="441" customFormat="true" ht="30" hidden="true" customHeight="true" outlineLevel="1" collapsed="false">
      <c r="A170" s="286"/>
      <c r="B170" s="585" t="s">
        <v>411</v>
      </c>
      <c r="C170" s="431" t="s">
        <v>412</v>
      </c>
      <c r="D170" s="432"/>
      <c r="E170" s="433"/>
      <c r="F170" s="433"/>
      <c r="G170" s="433"/>
      <c r="H170" s="434"/>
      <c r="I170" s="422"/>
      <c r="J170" s="432"/>
      <c r="K170" s="433"/>
      <c r="L170" s="433"/>
      <c r="M170" s="433"/>
      <c r="N170" s="434"/>
      <c r="O170" s="435"/>
      <c r="P170" s="432"/>
      <c r="Q170" s="433"/>
      <c r="R170" s="433"/>
      <c r="S170" s="433"/>
      <c r="T170" s="434"/>
      <c r="U170" s="423"/>
      <c r="V170" s="432"/>
      <c r="W170" s="433"/>
      <c r="X170" s="433"/>
      <c r="Y170" s="433"/>
      <c r="Z170" s="433"/>
      <c r="AA170" s="433"/>
      <c r="AB170" s="434"/>
      <c r="AC170" s="435"/>
      <c r="AD170" s="432"/>
      <c r="AE170" s="433"/>
      <c r="AF170" s="433"/>
      <c r="AG170" s="433"/>
      <c r="AH170" s="433"/>
      <c r="AI170" s="433"/>
      <c r="AJ170" s="434"/>
      <c r="AK170" s="435"/>
      <c r="AL170" s="432"/>
      <c r="AM170" s="433"/>
      <c r="AN170" s="433"/>
      <c r="AO170" s="433"/>
      <c r="AP170" s="433"/>
      <c r="AQ170" s="433"/>
      <c r="AR170" s="433"/>
      <c r="AS170" s="434"/>
      <c r="AT170" s="424"/>
      <c r="AU170" s="432"/>
      <c r="AV170" s="433"/>
      <c r="AW170" s="433"/>
      <c r="AX170" s="433"/>
      <c r="AY170" s="433"/>
      <c r="AZ170" s="433"/>
      <c r="BA170" s="434"/>
      <c r="BB170" s="435"/>
      <c r="BC170" s="432"/>
      <c r="BD170" s="433"/>
      <c r="BE170" s="433"/>
      <c r="BF170" s="433"/>
      <c r="BG170" s="433"/>
      <c r="BH170" s="433"/>
      <c r="BI170" s="434"/>
      <c r="BJ170" s="436"/>
      <c r="BK170" s="432"/>
      <c r="BL170" s="433"/>
      <c r="BM170" s="433"/>
      <c r="BN170" s="433"/>
      <c r="BO170" s="433"/>
      <c r="BP170" s="433"/>
      <c r="BQ170" s="433"/>
      <c r="BR170" s="434"/>
      <c r="BS170" s="436"/>
      <c r="BT170" s="432"/>
      <c r="BU170" s="433"/>
      <c r="BV170" s="433"/>
      <c r="BW170" s="433"/>
      <c r="BX170" s="433"/>
      <c r="BY170" s="433"/>
      <c r="BZ170" s="434"/>
      <c r="CA170" s="373"/>
      <c r="CB170" s="432"/>
      <c r="CC170" s="433"/>
      <c r="CD170" s="433"/>
      <c r="CE170" s="433"/>
      <c r="CF170" s="433"/>
      <c r="CG170" s="433"/>
      <c r="CH170" s="434"/>
      <c r="CI170" s="373"/>
      <c r="CJ170" s="432"/>
      <c r="CK170" s="433"/>
      <c r="CL170" s="433"/>
      <c r="CM170" s="433"/>
      <c r="CN170" s="433"/>
      <c r="CO170" s="433"/>
      <c r="CP170" s="434"/>
      <c r="CQ170" s="435"/>
      <c r="CR170" s="432"/>
      <c r="CS170" s="433"/>
      <c r="CT170" s="433"/>
      <c r="CU170" s="433" t="n">
        <f aca="false">+CR170-CS170</f>
        <v>0</v>
      </c>
      <c r="CV170" s="433" t="n">
        <f aca="false">+CR170-CT170</f>
        <v>0</v>
      </c>
      <c r="CW170" s="433"/>
      <c r="CX170" s="434" t="str">
        <f aca="false">IFERROR(CR170/CW170-1, "-")</f>
        <v>-</v>
      </c>
      <c r="CY170" s="425"/>
      <c r="CZ170" s="437"/>
      <c r="DA170" s="433"/>
      <c r="DB170" s="433"/>
      <c r="DC170" s="433"/>
      <c r="DD170" s="433"/>
      <c r="DE170" s="434" t="e">
        <f aca="false">+CZ170/DD170-1</f>
        <v>#DIV/0!</v>
      </c>
      <c r="DF170" s="434" t="e">
        <f aca="false">+DA170/DD170-1</f>
        <v>#DIV/0!</v>
      </c>
      <c r="DG170" s="438" t="e">
        <f aca="false">+DB170/DD170-1</f>
        <v>#DIV/0!</v>
      </c>
      <c r="DH170" s="438" t="e">
        <f aca="false">+DC170/DD170-1</f>
        <v>#DIV/0!</v>
      </c>
      <c r="DI170" s="413"/>
      <c r="DJ170" s="117" t="n">
        <f aca="false">SUM(D170,J170,P170,V170,AD170,AL170,AU170,BC170,BK170,BT170,CB170,CJ170)-CR170</f>
        <v>0</v>
      </c>
      <c r="DK170" s="117" t="n">
        <f aca="false">SUM(E170,K170,Q170,W170,AE170,AM170,AV170,BD170,BL170,BU170,CC170,CK170)-CS170</f>
        <v>0</v>
      </c>
      <c r="DL170" s="117" t="n">
        <f aca="false">SUM(G170,M170,S170,AA170,AI170,AR170,AZ170,BH170,BQ170,BY170,CG170,CO170)-CW170</f>
        <v>0</v>
      </c>
      <c r="DM170" s="117" t="n">
        <f aca="false">SUM(D170,J170,P170,V170,AD170,AL170,AU170,BC170,,BN170,BV170,CD170,CL170)-CT170</f>
        <v>0</v>
      </c>
      <c r="DN170" s="413"/>
      <c r="DO170" s="413"/>
      <c r="DP170" s="439"/>
      <c r="DQ170" s="415"/>
      <c r="DR170" s="117" t="n">
        <f aca="false">SUM(E170,K170,Q170,W170,AE170,AM170,AV170,BD170,BL170,BU170,CC170,CK170)-CS170</f>
        <v>0</v>
      </c>
      <c r="DS170" s="117" t="n">
        <f aca="false">SUM(D170,J170,P170,V170,AD170,AL170,AU170,BC170,,BN170,BV170,CD170,CL170)-CT170</f>
        <v>0</v>
      </c>
      <c r="DT170" s="416"/>
      <c r="DU170" s="440"/>
      <c r="DV170" s="418" t="n">
        <f aca="false">DU170-CJ170</f>
        <v>0</v>
      </c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  <c r="EB170" s="419"/>
    </row>
    <row r="171" customFormat="false" ht="15.75" hidden="false" customHeight="true" outlineLevel="0" collapsed="false">
      <c r="B171" s="514" t="s">
        <v>413</v>
      </c>
      <c r="C171" s="398" t="s">
        <v>414</v>
      </c>
      <c r="D171" s="281"/>
      <c r="E171" s="144"/>
      <c r="F171" s="144"/>
      <c r="G171" s="144"/>
      <c r="H171" s="245"/>
      <c r="I171" s="422"/>
      <c r="J171" s="281"/>
      <c r="K171" s="144"/>
      <c r="L171" s="144"/>
      <c r="M171" s="144"/>
      <c r="N171" s="245"/>
      <c r="O171" s="422"/>
      <c r="P171" s="281"/>
      <c r="Q171" s="144"/>
      <c r="R171" s="144"/>
      <c r="S171" s="144"/>
      <c r="T171" s="245"/>
      <c r="U171" s="423"/>
      <c r="V171" s="281"/>
      <c r="W171" s="144"/>
      <c r="X171" s="144"/>
      <c r="Y171" s="144"/>
      <c r="Z171" s="144"/>
      <c r="AA171" s="144"/>
      <c r="AB171" s="245"/>
      <c r="AC171" s="422"/>
      <c r="AD171" s="281"/>
      <c r="AE171" s="144"/>
      <c r="AF171" s="144"/>
      <c r="AG171" s="144"/>
      <c r="AH171" s="144"/>
      <c r="AI171" s="144"/>
      <c r="AJ171" s="245"/>
      <c r="AK171" s="422"/>
      <c r="AL171" s="281"/>
      <c r="AM171" s="144"/>
      <c r="AN171" s="144"/>
      <c r="AO171" s="144"/>
      <c r="AP171" s="144"/>
      <c r="AQ171" s="144"/>
      <c r="AR171" s="144"/>
      <c r="AS171" s="245"/>
      <c r="AT171" s="424"/>
      <c r="AU171" s="281"/>
      <c r="AV171" s="144"/>
      <c r="AW171" s="144"/>
      <c r="AX171" s="144"/>
      <c r="AY171" s="144"/>
      <c r="AZ171" s="144"/>
      <c r="BA171" s="245"/>
      <c r="BB171" s="422"/>
      <c r="BC171" s="281"/>
      <c r="BD171" s="144"/>
      <c r="BE171" s="144"/>
      <c r="BF171" s="144"/>
      <c r="BG171" s="144"/>
      <c r="BH171" s="144"/>
      <c r="BI171" s="245"/>
      <c r="BJ171" s="423"/>
      <c r="BK171" s="281"/>
      <c r="BL171" s="144"/>
      <c r="BM171" s="144"/>
      <c r="BN171" s="144"/>
      <c r="BO171" s="144"/>
      <c r="BP171" s="144"/>
      <c r="BQ171" s="144"/>
      <c r="BR171" s="245"/>
      <c r="BS171" s="423"/>
      <c r="BT171" s="281"/>
      <c r="BU171" s="144"/>
      <c r="BV171" s="144"/>
      <c r="BW171" s="144"/>
      <c r="BX171" s="144"/>
      <c r="BY171" s="144"/>
      <c r="BZ171" s="245"/>
      <c r="CA171" s="373"/>
      <c r="CB171" s="281"/>
      <c r="CC171" s="144"/>
      <c r="CD171" s="144"/>
      <c r="CE171" s="144"/>
      <c r="CF171" s="144"/>
      <c r="CG171" s="144"/>
      <c r="CH171" s="245"/>
      <c r="CI171" s="373"/>
      <c r="CJ171" s="281"/>
      <c r="CK171" s="144"/>
      <c r="CL171" s="144"/>
      <c r="CM171" s="144"/>
      <c r="CN171" s="144"/>
      <c r="CO171" s="144"/>
      <c r="CP171" s="245"/>
      <c r="CQ171" s="422"/>
      <c r="CR171" s="281"/>
      <c r="CS171" s="144"/>
      <c r="CT171" s="144"/>
      <c r="CU171" s="144" t="n">
        <f aca="false">+CR171-CS171</f>
        <v>0</v>
      </c>
      <c r="CV171" s="144" t="n">
        <f aca="false">+CR171-CT171</f>
        <v>0</v>
      </c>
      <c r="CW171" s="144"/>
      <c r="CX171" s="245" t="str">
        <f aca="false">IFERROR(CR171/CW171-1, "-")</f>
        <v>-</v>
      </c>
      <c r="CY171" s="425"/>
      <c r="CZ171" s="426"/>
      <c r="DA171" s="144"/>
      <c r="DB171" s="144"/>
      <c r="DC171" s="144"/>
      <c r="DD171" s="144"/>
      <c r="DE171" s="245"/>
      <c r="DF171" s="245"/>
      <c r="DG171" s="427"/>
      <c r="DH171" s="427"/>
      <c r="DI171" s="413"/>
      <c r="DJ171" s="117" t="n">
        <f aca="false">SUM(D171,J171,P171,V171,AD171,AL171,AU171,BC171,BK171,BT171,CB171,CJ171)-CR171</f>
        <v>0</v>
      </c>
      <c r="DK171" s="117" t="n">
        <f aca="false">SUM(E171,K171,Q171,W171,AE171,AM171,AV171,BD171,BL171,BU171,CC171,CK171)-CS171</f>
        <v>0</v>
      </c>
      <c r="DL171" s="117" t="n">
        <f aca="false">SUM(G171,M171,S171,AA171,AI171,AR171,AZ171,BH171,BQ171,BY171,CG171,CO171)-CW171</f>
        <v>0</v>
      </c>
      <c r="DM171" s="117" t="n">
        <f aca="false">SUM(D171,J171,P171,V171,AD171,AL171,AU171,BC171,,BN171,BV171,CD171,CL171)-CT171</f>
        <v>0</v>
      </c>
      <c r="DN171" s="413"/>
      <c r="DO171" s="413"/>
      <c r="DP171" s="428"/>
      <c r="DQ171" s="415"/>
      <c r="DR171" s="117" t="n">
        <f aca="false">SUM(E171,K171,Q171,W171,AE171,AM171,AV171,BD171,BL171,BU171,CC171,CK171)-CS171</f>
        <v>0</v>
      </c>
      <c r="DS171" s="117" t="n">
        <f aca="false">SUM(D171,J171,P171,V171,AD171,AL171,AU171,BC171,,BN171,BV171,CD171,CL171)-CT171</f>
        <v>0</v>
      </c>
      <c r="DT171" s="416"/>
      <c r="DU171" s="417"/>
      <c r="DV171" s="418" t="n">
        <f aca="false">DU171-CJ171</f>
        <v>0</v>
      </c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  <c r="EB171" s="419"/>
    </row>
    <row r="172" s="441" customFormat="true" ht="15.75" hidden="true" customHeight="true" outlineLevel="1" collapsed="false">
      <c r="A172" s="286"/>
      <c r="B172" s="444" t="s">
        <v>413</v>
      </c>
      <c r="C172" s="431" t="s">
        <v>415</v>
      </c>
      <c r="D172" s="432"/>
      <c r="E172" s="433"/>
      <c r="F172" s="433"/>
      <c r="G172" s="433"/>
      <c r="H172" s="434"/>
      <c r="I172" s="422"/>
      <c r="J172" s="432"/>
      <c r="K172" s="433"/>
      <c r="L172" s="433"/>
      <c r="M172" s="433"/>
      <c r="N172" s="434"/>
      <c r="O172" s="435"/>
      <c r="P172" s="432"/>
      <c r="Q172" s="433"/>
      <c r="R172" s="433"/>
      <c r="S172" s="433"/>
      <c r="T172" s="434"/>
      <c r="U172" s="423"/>
      <c r="V172" s="432"/>
      <c r="W172" s="433"/>
      <c r="X172" s="433"/>
      <c r="Y172" s="433"/>
      <c r="Z172" s="433"/>
      <c r="AA172" s="433"/>
      <c r="AB172" s="434"/>
      <c r="AC172" s="435"/>
      <c r="AD172" s="432"/>
      <c r="AE172" s="433"/>
      <c r="AF172" s="433"/>
      <c r="AG172" s="433"/>
      <c r="AH172" s="433"/>
      <c r="AI172" s="433"/>
      <c r="AJ172" s="434"/>
      <c r="AK172" s="435"/>
      <c r="AL172" s="432"/>
      <c r="AM172" s="433"/>
      <c r="AN172" s="433"/>
      <c r="AO172" s="433"/>
      <c r="AP172" s="433"/>
      <c r="AQ172" s="433"/>
      <c r="AR172" s="433"/>
      <c r="AS172" s="434"/>
      <c r="AT172" s="424"/>
      <c r="AU172" s="432"/>
      <c r="AV172" s="433"/>
      <c r="AW172" s="433"/>
      <c r="AX172" s="433"/>
      <c r="AY172" s="433"/>
      <c r="AZ172" s="433"/>
      <c r="BA172" s="434"/>
      <c r="BB172" s="435"/>
      <c r="BC172" s="432"/>
      <c r="BD172" s="433"/>
      <c r="BE172" s="433"/>
      <c r="BF172" s="433"/>
      <c r="BG172" s="433"/>
      <c r="BH172" s="433"/>
      <c r="BI172" s="434"/>
      <c r="BJ172" s="436"/>
      <c r="BK172" s="432"/>
      <c r="BL172" s="433"/>
      <c r="BM172" s="433"/>
      <c r="BN172" s="433"/>
      <c r="BO172" s="433"/>
      <c r="BP172" s="433"/>
      <c r="BQ172" s="433"/>
      <c r="BR172" s="434"/>
      <c r="BS172" s="436"/>
      <c r="BT172" s="432"/>
      <c r="BU172" s="433"/>
      <c r="BV172" s="433"/>
      <c r="BW172" s="433"/>
      <c r="BX172" s="433"/>
      <c r="BY172" s="433"/>
      <c r="BZ172" s="434"/>
      <c r="CA172" s="373"/>
      <c r="CB172" s="432"/>
      <c r="CC172" s="433"/>
      <c r="CD172" s="433"/>
      <c r="CE172" s="433"/>
      <c r="CF172" s="433"/>
      <c r="CG172" s="433"/>
      <c r="CH172" s="434"/>
      <c r="CI172" s="373"/>
      <c r="CJ172" s="432"/>
      <c r="CK172" s="433"/>
      <c r="CL172" s="433"/>
      <c r="CM172" s="433"/>
      <c r="CN172" s="433"/>
      <c r="CO172" s="433"/>
      <c r="CP172" s="434"/>
      <c r="CQ172" s="435"/>
      <c r="CR172" s="432"/>
      <c r="CS172" s="433"/>
      <c r="CT172" s="433"/>
      <c r="CU172" s="433" t="n">
        <f aca="false">+CR172-CS172</f>
        <v>0</v>
      </c>
      <c r="CV172" s="433" t="n">
        <f aca="false">+CR172-CT172</f>
        <v>0</v>
      </c>
      <c r="CW172" s="433"/>
      <c r="CX172" s="434" t="str">
        <f aca="false">IFERROR(CR172/CW172-1, "-")</f>
        <v>-</v>
      </c>
      <c r="CY172" s="425"/>
      <c r="CZ172" s="437"/>
      <c r="DA172" s="433"/>
      <c r="DB172" s="433"/>
      <c r="DC172" s="433"/>
      <c r="DD172" s="433"/>
      <c r="DE172" s="434"/>
      <c r="DF172" s="434"/>
      <c r="DG172" s="438"/>
      <c r="DH172" s="438"/>
      <c r="DI172" s="413"/>
      <c r="DJ172" s="117" t="n">
        <f aca="false">SUM(D172,J172,P172,V172,AD172,AL172,AU172,BC172,BK172,BT172,CB172,CJ172)-CR172</f>
        <v>0</v>
      </c>
      <c r="DK172" s="117" t="n">
        <f aca="false">SUM(E172,K172,Q172,W172,AE172,AM172,AV172,BD172,BL172,BU172,CC172,CK172)-CS172</f>
        <v>0</v>
      </c>
      <c r="DL172" s="117" t="n">
        <f aca="false">SUM(G172,M172,S172,AA172,AI172,AR172,AZ172,BH172,BQ172,BY172,CG172,CO172)-CW172</f>
        <v>0</v>
      </c>
      <c r="DM172" s="117" t="n">
        <f aca="false">SUM(D172,J172,P172,V172,AD172,AL172,AU172,BC172,,BN172,BV172,CD172,CL172)-CT172</f>
        <v>0</v>
      </c>
      <c r="DN172" s="413"/>
      <c r="DO172" s="413"/>
      <c r="DP172" s="439"/>
      <c r="DQ172" s="415" t="n">
        <f aca="false">-CR172+DP172/10^6</f>
        <v>0</v>
      </c>
      <c r="DR172" s="117" t="n">
        <f aca="false">SUM(E172,K172,Q172,W172,AE172,AM172,AV172,BD172,BL172,BU172,CC172,CK172)-CS172</f>
        <v>0</v>
      </c>
      <c r="DS172" s="117" t="n">
        <f aca="false">SUM(D172,J172,P172,V172,AD172,AL172,AU172,BC172,,BN172,BV172,CD172,CL172)-CT172</f>
        <v>0</v>
      </c>
      <c r="DT172" s="416"/>
      <c r="DU172" s="440"/>
      <c r="DV172" s="418" t="n">
        <f aca="false">DU172-CJ172</f>
        <v>0</v>
      </c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  <c r="EB172" s="419"/>
    </row>
    <row r="173" customFormat="false" ht="15.75" hidden="false" customHeight="true" outlineLevel="0" collapsed="false">
      <c r="B173" s="514" t="s">
        <v>416</v>
      </c>
      <c r="C173" s="398" t="s">
        <v>417</v>
      </c>
      <c r="D173" s="281"/>
      <c r="E173" s="144"/>
      <c r="F173" s="144"/>
      <c r="G173" s="144"/>
      <c r="H173" s="245"/>
      <c r="I173" s="422"/>
      <c r="J173" s="281"/>
      <c r="K173" s="144"/>
      <c r="L173" s="144"/>
      <c r="M173" s="144"/>
      <c r="N173" s="245"/>
      <c r="O173" s="422"/>
      <c r="P173" s="281"/>
      <c r="Q173" s="144"/>
      <c r="R173" s="144"/>
      <c r="S173" s="144"/>
      <c r="T173" s="245"/>
      <c r="U173" s="423"/>
      <c r="V173" s="281"/>
      <c r="W173" s="144"/>
      <c r="X173" s="144"/>
      <c r="Y173" s="144"/>
      <c r="Z173" s="144"/>
      <c r="AA173" s="144"/>
      <c r="AB173" s="245"/>
      <c r="AC173" s="422"/>
      <c r="AD173" s="281"/>
      <c r="AE173" s="144"/>
      <c r="AF173" s="144"/>
      <c r="AG173" s="144"/>
      <c r="AH173" s="144"/>
      <c r="AI173" s="144"/>
      <c r="AJ173" s="245"/>
      <c r="AK173" s="422"/>
      <c r="AL173" s="281"/>
      <c r="AM173" s="144"/>
      <c r="AN173" s="144"/>
      <c r="AO173" s="144"/>
      <c r="AP173" s="144"/>
      <c r="AQ173" s="144"/>
      <c r="AR173" s="144"/>
      <c r="AS173" s="245"/>
      <c r="AT173" s="424"/>
      <c r="AU173" s="281"/>
      <c r="AV173" s="144"/>
      <c r="AW173" s="144"/>
      <c r="AX173" s="144"/>
      <c r="AY173" s="144"/>
      <c r="AZ173" s="144"/>
      <c r="BA173" s="245"/>
      <c r="BB173" s="422"/>
      <c r="BC173" s="281"/>
      <c r="BD173" s="144"/>
      <c r="BE173" s="144"/>
      <c r="BF173" s="144"/>
      <c r="BG173" s="144"/>
      <c r="BH173" s="144"/>
      <c r="BI173" s="245"/>
      <c r="BJ173" s="423"/>
      <c r="BK173" s="281"/>
      <c r="BL173" s="144"/>
      <c r="BM173" s="144"/>
      <c r="BN173" s="144"/>
      <c r="BO173" s="144"/>
      <c r="BP173" s="144"/>
      <c r="BQ173" s="144"/>
      <c r="BR173" s="245"/>
      <c r="BS173" s="423"/>
      <c r="BT173" s="281"/>
      <c r="BU173" s="144"/>
      <c r="BV173" s="144"/>
      <c r="BW173" s="144"/>
      <c r="BX173" s="144"/>
      <c r="BY173" s="144"/>
      <c r="BZ173" s="245"/>
      <c r="CA173" s="373"/>
      <c r="CB173" s="281"/>
      <c r="CC173" s="144"/>
      <c r="CD173" s="144"/>
      <c r="CE173" s="144"/>
      <c r="CF173" s="144"/>
      <c r="CG173" s="144"/>
      <c r="CH173" s="245"/>
      <c r="CI173" s="373"/>
      <c r="CJ173" s="281"/>
      <c r="CK173" s="144"/>
      <c r="CL173" s="144"/>
      <c r="CM173" s="144"/>
      <c r="CN173" s="144"/>
      <c r="CO173" s="144"/>
      <c r="CP173" s="245"/>
      <c r="CQ173" s="422"/>
      <c r="CR173" s="281"/>
      <c r="CS173" s="144"/>
      <c r="CT173" s="144"/>
      <c r="CU173" s="144" t="n">
        <f aca="false">+CR173-CS173</f>
        <v>0</v>
      </c>
      <c r="CV173" s="144" t="n">
        <f aca="false">+CR173-CT173</f>
        <v>0</v>
      </c>
      <c r="CW173" s="144"/>
      <c r="CX173" s="245" t="str">
        <f aca="false">IFERROR(CR173/CW173-1, "-")</f>
        <v>-</v>
      </c>
      <c r="CY173" s="425"/>
      <c r="CZ173" s="426"/>
      <c r="DA173" s="144"/>
      <c r="DB173" s="144"/>
      <c r="DC173" s="144"/>
      <c r="DD173" s="144"/>
      <c r="DE173" s="245" t="e">
        <f aca="false">+CZ173/DD173-1</f>
        <v>#DIV/0!</v>
      </c>
      <c r="DF173" s="245" t="e">
        <f aca="false">+DA173/DD173-1</f>
        <v>#DIV/0!</v>
      </c>
      <c r="DG173" s="427" t="e">
        <f aca="false">+DB173/DD173-1</f>
        <v>#DIV/0!</v>
      </c>
      <c r="DH173" s="427" t="e">
        <f aca="false">+DC173/DD173-1</f>
        <v>#DIV/0!</v>
      </c>
      <c r="DI173" s="413"/>
      <c r="DJ173" s="117" t="n">
        <f aca="false">SUM(D173,J173,P173,V173,AD173,AL173,AU173,BC173,BK173,BT173,CB173,CJ173)-CR173</f>
        <v>0</v>
      </c>
      <c r="DK173" s="117" t="n">
        <f aca="false">SUM(E173,K173,Q173,W173,AE173,AM173,AV173,BD173,BL173,BU173,CC173,CK173)-CS173</f>
        <v>0</v>
      </c>
      <c r="DL173" s="117" t="n">
        <f aca="false">SUM(G173,M173,S173,AA173,AI173,AR173,AZ173,BH173,BQ173,BY173,CG173,CO173)-CW173</f>
        <v>0</v>
      </c>
      <c r="DM173" s="117" t="n">
        <f aca="false">SUM(D173,J173,P173,V173,AD173,AL173,AU173,BC173,,BN173,BV173,CD173,CL173)-CT173</f>
        <v>0</v>
      </c>
      <c r="DN173" s="413"/>
      <c r="DO173" s="413"/>
      <c r="DP173" s="428" t="e">
        <f aca="false">SUM(DP174:DP181)</f>
        <v>#VALUE!</v>
      </c>
      <c r="DQ173" s="415" t="e">
        <f aca="false">-CR173+DP173/10^6</f>
        <v>#VALUE!</v>
      </c>
      <c r="DR173" s="117" t="n">
        <f aca="false">SUM(E173,K173,Q173,W173,AE173,AM173,AV173,BD173,BL173,BU173,CC173,CK173)-CS173</f>
        <v>0</v>
      </c>
      <c r="DS173" s="117" t="n">
        <f aca="false">SUM(D173,J173,P173,V173,AD173,AL173,AU173,BC173,,BN173,BV173,CD173,CL173)-CT173</f>
        <v>0</v>
      </c>
      <c r="DT173" s="416"/>
      <c r="DU173" s="417" t="n">
        <v>1029.463766</v>
      </c>
      <c r="DV173" s="418" t="n">
        <f aca="false">DU173-CJ173</f>
        <v>1029.463766</v>
      </c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  <c r="EB173" s="419"/>
    </row>
    <row r="174" s="441" customFormat="true" ht="15.75" hidden="true" customHeight="true" outlineLevel="1" collapsed="false">
      <c r="A174" s="286"/>
      <c r="B174" s="444" t="s">
        <v>418</v>
      </c>
      <c r="C174" s="431" t="s">
        <v>419</v>
      </c>
      <c r="D174" s="432"/>
      <c r="E174" s="433"/>
      <c r="F174" s="433"/>
      <c r="G174" s="433"/>
      <c r="H174" s="434"/>
      <c r="I174" s="422"/>
      <c r="J174" s="432"/>
      <c r="K174" s="433"/>
      <c r="L174" s="433"/>
      <c r="M174" s="433"/>
      <c r="N174" s="434"/>
      <c r="O174" s="435"/>
      <c r="P174" s="432"/>
      <c r="Q174" s="433"/>
      <c r="R174" s="433"/>
      <c r="S174" s="433"/>
      <c r="T174" s="434"/>
      <c r="U174" s="423"/>
      <c r="V174" s="432"/>
      <c r="W174" s="433"/>
      <c r="X174" s="433"/>
      <c r="Y174" s="433"/>
      <c r="Z174" s="433"/>
      <c r="AA174" s="433"/>
      <c r="AB174" s="434"/>
      <c r="AC174" s="435"/>
      <c r="AD174" s="432"/>
      <c r="AE174" s="433"/>
      <c r="AF174" s="433"/>
      <c r="AG174" s="433"/>
      <c r="AH174" s="433"/>
      <c r="AI174" s="433"/>
      <c r="AJ174" s="434"/>
      <c r="AK174" s="435"/>
      <c r="AL174" s="432"/>
      <c r="AM174" s="433"/>
      <c r="AN174" s="433"/>
      <c r="AO174" s="433"/>
      <c r="AP174" s="433"/>
      <c r="AQ174" s="433"/>
      <c r="AR174" s="433"/>
      <c r="AS174" s="434"/>
      <c r="AT174" s="424"/>
      <c r="AU174" s="432"/>
      <c r="AV174" s="433"/>
      <c r="AW174" s="433"/>
      <c r="AX174" s="433"/>
      <c r="AY174" s="433"/>
      <c r="AZ174" s="433"/>
      <c r="BA174" s="434"/>
      <c r="BB174" s="435"/>
      <c r="BC174" s="432"/>
      <c r="BD174" s="433"/>
      <c r="BE174" s="433"/>
      <c r="BF174" s="433"/>
      <c r="BG174" s="433"/>
      <c r="BH174" s="433"/>
      <c r="BI174" s="434"/>
      <c r="BJ174" s="436"/>
      <c r="BK174" s="432"/>
      <c r="BL174" s="433"/>
      <c r="BM174" s="433"/>
      <c r="BN174" s="433"/>
      <c r="BO174" s="433"/>
      <c r="BP174" s="433"/>
      <c r="BQ174" s="433"/>
      <c r="BR174" s="434"/>
      <c r="BS174" s="436"/>
      <c r="BT174" s="432"/>
      <c r="BU174" s="433"/>
      <c r="BV174" s="433"/>
      <c r="BW174" s="433"/>
      <c r="BX174" s="433"/>
      <c r="BY174" s="433"/>
      <c r="BZ174" s="434"/>
      <c r="CA174" s="373"/>
      <c r="CB174" s="432"/>
      <c r="CC174" s="433"/>
      <c r="CD174" s="433"/>
      <c r="CE174" s="433"/>
      <c r="CF174" s="433"/>
      <c r="CG174" s="433"/>
      <c r="CH174" s="434"/>
      <c r="CI174" s="373"/>
      <c r="CJ174" s="432"/>
      <c r="CK174" s="433"/>
      <c r="CL174" s="433"/>
      <c r="CM174" s="433"/>
      <c r="CN174" s="433"/>
      <c r="CO174" s="433"/>
      <c r="CP174" s="434"/>
      <c r="CQ174" s="435"/>
      <c r="CR174" s="432"/>
      <c r="CS174" s="433"/>
      <c r="CT174" s="433"/>
      <c r="CU174" s="433" t="n">
        <f aca="false">+CR174-CS174</f>
        <v>0</v>
      </c>
      <c r="CV174" s="433" t="n">
        <f aca="false">+CR174-CT174</f>
        <v>0</v>
      </c>
      <c r="CW174" s="433"/>
      <c r="CX174" s="434" t="str">
        <f aca="false">IFERROR(CR174/CW174-1, "-")</f>
        <v>-</v>
      </c>
      <c r="CY174" s="425"/>
      <c r="CZ174" s="437"/>
      <c r="DA174" s="433"/>
      <c r="DB174" s="433"/>
      <c r="DC174" s="433"/>
      <c r="DD174" s="433"/>
      <c r="DE174" s="434" t="e">
        <f aca="false">+CZ174/DD174-1</f>
        <v>#DIV/0!</v>
      </c>
      <c r="DF174" s="434" t="e">
        <f aca="false">+DA174/DD174-1</f>
        <v>#DIV/0!</v>
      </c>
      <c r="DG174" s="438" t="e">
        <f aca="false">+DB174/DD174-1</f>
        <v>#DIV/0!</v>
      </c>
      <c r="DH174" s="438" t="e">
        <f aca="false">+DC174/DD174-1</f>
        <v>#DIV/0!</v>
      </c>
      <c r="DI174" s="413"/>
      <c r="DJ174" s="117" t="n">
        <f aca="false">SUM(D174,J174,P174,V174,AD174,AL174,AU174,BC174,BK174,BT174,CB174,CJ174)-CR174</f>
        <v>0</v>
      </c>
      <c r="DK174" s="117" t="n">
        <f aca="false">SUM(E174,K174,Q174,W174,AE174,AM174,AV174,BD174,BL174,BU174,CC174,CK174)-CS174</f>
        <v>0</v>
      </c>
      <c r="DL174" s="117" t="n">
        <f aca="false">SUM(G174,M174,S174,AA174,AI174,AR174,AZ174,BH174,BQ174,BY174,CG174,CO174)-CW174</f>
        <v>0</v>
      </c>
      <c r="DM174" s="117" t="n">
        <f aca="false">SUM(D174,J174,P174,V174,AD174,AL174,AU174,BC174,,BN174,BV174,CD174,CL174)-CT174</f>
        <v>0</v>
      </c>
      <c r="DN174" s="413"/>
      <c r="DO174" s="413"/>
      <c r="DP174" s="439" t="n">
        <v>73499320</v>
      </c>
      <c r="DQ174" s="415" t="n">
        <f aca="false">-CR174+DP174/10^6</f>
        <v>73.49932</v>
      </c>
      <c r="DR174" s="117" t="n">
        <f aca="false">SUM(E174,K174,Q174,W174,AE174,AM174,AV174,BD174,BL174,BU174,CC174,CK174)-CS174</f>
        <v>0</v>
      </c>
      <c r="DS174" s="117" t="n">
        <f aca="false">SUM(D174,J174,P174,V174,AD174,AL174,AU174,BC174,,BN174,BV174,CD174,CL174)-CT174</f>
        <v>0</v>
      </c>
      <c r="DT174" s="416"/>
      <c r="DU174" s="440" t="n">
        <v>6.654011</v>
      </c>
      <c r="DV174" s="418" t="n">
        <f aca="false">DU174-CJ174</f>
        <v>6.654011</v>
      </c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  <c r="EB174" s="419"/>
    </row>
    <row r="175" s="441" customFormat="true" ht="15.75" hidden="true" customHeight="true" outlineLevel="1" collapsed="false">
      <c r="A175" s="286"/>
      <c r="B175" s="444" t="s">
        <v>420</v>
      </c>
      <c r="C175" s="431" t="s">
        <v>421</v>
      </c>
      <c r="D175" s="563"/>
      <c r="E175" s="433"/>
      <c r="F175" s="433"/>
      <c r="G175" s="433"/>
      <c r="H175" s="434"/>
      <c r="I175" s="422"/>
      <c r="J175" s="563"/>
      <c r="K175" s="433"/>
      <c r="L175" s="433"/>
      <c r="M175" s="433"/>
      <c r="N175" s="434"/>
      <c r="O175" s="435"/>
      <c r="P175" s="563"/>
      <c r="Q175" s="433"/>
      <c r="R175" s="433"/>
      <c r="S175" s="433"/>
      <c r="T175" s="434"/>
      <c r="U175" s="423"/>
      <c r="V175" s="563"/>
      <c r="W175" s="433"/>
      <c r="X175" s="433"/>
      <c r="Y175" s="433"/>
      <c r="Z175" s="433"/>
      <c r="AA175" s="433"/>
      <c r="AB175" s="434"/>
      <c r="AC175" s="435"/>
      <c r="AD175" s="563"/>
      <c r="AE175" s="433"/>
      <c r="AF175" s="433"/>
      <c r="AG175" s="433"/>
      <c r="AH175" s="433"/>
      <c r="AI175" s="433"/>
      <c r="AJ175" s="434"/>
      <c r="AK175" s="435"/>
      <c r="AL175" s="563"/>
      <c r="AM175" s="433"/>
      <c r="AN175" s="433"/>
      <c r="AO175" s="433"/>
      <c r="AP175" s="433"/>
      <c r="AQ175" s="433"/>
      <c r="AR175" s="433"/>
      <c r="AS175" s="434"/>
      <c r="AT175" s="424"/>
      <c r="AU175" s="563"/>
      <c r="AV175" s="433"/>
      <c r="AW175" s="433"/>
      <c r="AX175" s="433"/>
      <c r="AY175" s="433"/>
      <c r="AZ175" s="433"/>
      <c r="BA175" s="434"/>
      <c r="BB175" s="435"/>
      <c r="BC175" s="563"/>
      <c r="BD175" s="433"/>
      <c r="BE175" s="433"/>
      <c r="BF175" s="433"/>
      <c r="BG175" s="433"/>
      <c r="BH175" s="433"/>
      <c r="BI175" s="434"/>
      <c r="BJ175" s="436"/>
      <c r="BK175" s="563"/>
      <c r="BL175" s="433"/>
      <c r="BM175" s="433"/>
      <c r="BN175" s="433"/>
      <c r="BO175" s="433"/>
      <c r="BP175" s="433"/>
      <c r="BQ175" s="433"/>
      <c r="BR175" s="434"/>
      <c r="BS175" s="436"/>
      <c r="BT175" s="563"/>
      <c r="BU175" s="433"/>
      <c r="BV175" s="433"/>
      <c r="BW175" s="433"/>
      <c r="BX175" s="433"/>
      <c r="BY175" s="433"/>
      <c r="BZ175" s="434"/>
      <c r="CA175" s="373"/>
      <c r="CB175" s="563"/>
      <c r="CC175" s="433"/>
      <c r="CD175" s="433"/>
      <c r="CE175" s="433"/>
      <c r="CF175" s="433"/>
      <c r="CG175" s="433"/>
      <c r="CH175" s="434"/>
      <c r="CI175" s="373"/>
      <c r="CJ175" s="563"/>
      <c r="CK175" s="433"/>
      <c r="CL175" s="433"/>
      <c r="CM175" s="433"/>
      <c r="CN175" s="433"/>
      <c r="CO175" s="433"/>
      <c r="CP175" s="434"/>
      <c r="CQ175" s="435"/>
      <c r="CR175" s="432"/>
      <c r="CS175" s="433"/>
      <c r="CT175" s="433"/>
      <c r="CU175" s="433" t="n">
        <f aca="false">+CR175-CS175</f>
        <v>0</v>
      </c>
      <c r="CV175" s="433" t="n">
        <f aca="false">+CR175-CT175</f>
        <v>0</v>
      </c>
      <c r="CW175" s="433"/>
      <c r="CX175" s="434" t="str">
        <f aca="false">IFERROR(CR175/CW175-1, "-")</f>
        <v>-</v>
      </c>
      <c r="CY175" s="425"/>
      <c r="CZ175" s="437"/>
      <c r="DA175" s="433"/>
      <c r="DB175" s="433"/>
      <c r="DC175" s="433"/>
      <c r="DD175" s="433"/>
      <c r="DE175" s="434" t="e">
        <f aca="false">+CZ175/DD175-1</f>
        <v>#DIV/0!</v>
      </c>
      <c r="DF175" s="434" t="e">
        <f aca="false">+DA175/DD175-1</f>
        <v>#DIV/0!</v>
      </c>
      <c r="DG175" s="438" t="e">
        <f aca="false">+DB175/DD175-1</f>
        <v>#DIV/0!</v>
      </c>
      <c r="DH175" s="438" t="e">
        <f aca="false">+DC175/DD175-1</f>
        <v>#DIV/0!</v>
      </c>
      <c r="DI175" s="413"/>
      <c r="DJ175" s="117" t="n">
        <f aca="false">SUM(D175,J175,P175,V175,AD175,AL175,AU175,BC175,BK175,BT175,CB175,CJ175)-CR175</f>
        <v>0</v>
      </c>
      <c r="DK175" s="117" t="n">
        <f aca="false">SUM(E175,K175,Q175,W175,AE175,AM175,AV175,BD175,BL175,BU175,CC175,CK175)-CS175</f>
        <v>0</v>
      </c>
      <c r="DL175" s="117" t="n">
        <f aca="false">SUM(G175,M175,S175,AA175,AI175,AR175,AZ175,BH175,BQ175,BY175,CG175,CO175)-CW175</f>
        <v>0</v>
      </c>
      <c r="DM175" s="117" t="n">
        <f aca="false">SUM(D175,J175,P175,V175,AD175,AL175,AU175,BC175,,BN175,BV175,CD175,CL175)-CT175</f>
        <v>0</v>
      </c>
      <c r="DN175" s="413"/>
      <c r="DO175" s="413"/>
      <c r="DP175" s="564" t="e">
        <f aca="false">#VALUE!</f>
        <v>#VALUE!</v>
      </c>
      <c r="DQ175" s="415" t="e">
        <f aca="false">-CR175+DP175/10^6</f>
        <v>#VALUE!</v>
      </c>
      <c r="DR175" s="117" t="n">
        <f aca="false">SUM(E175,K175,Q175,W175,AE175,AM175,AV175,BD175,BL175,BU175,CC175,CK175)-CS175</f>
        <v>0</v>
      </c>
      <c r="DS175" s="117" t="n">
        <f aca="false">SUM(D175,J175,P175,V175,AD175,AL175,AU175,BC175,,BN175,BV175,CD175,CL175)-CT175</f>
        <v>0</v>
      </c>
      <c r="DT175" s="416"/>
      <c r="DU175" s="440" t="n">
        <v>34.166017</v>
      </c>
      <c r="DV175" s="418" t="n">
        <f aca="false">DU175-CJ175</f>
        <v>34.166017</v>
      </c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  <c r="EB175" s="419"/>
    </row>
    <row r="176" s="441" customFormat="true" ht="15.75" hidden="true" customHeight="true" outlineLevel="1" collapsed="false">
      <c r="A176" s="286"/>
      <c r="B176" s="444" t="s">
        <v>422</v>
      </c>
      <c r="C176" s="431" t="s">
        <v>423</v>
      </c>
      <c r="D176" s="586"/>
      <c r="E176" s="433"/>
      <c r="F176" s="433"/>
      <c r="G176" s="433"/>
      <c r="H176" s="434"/>
      <c r="I176" s="422"/>
      <c r="J176" s="586"/>
      <c r="K176" s="433"/>
      <c r="L176" s="433"/>
      <c r="M176" s="433"/>
      <c r="N176" s="434"/>
      <c r="O176" s="435"/>
      <c r="P176" s="586"/>
      <c r="Q176" s="433"/>
      <c r="R176" s="433"/>
      <c r="S176" s="433"/>
      <c r="T176" s="434"/>
      <c r="U176" s="423"/>
      <c r="V176" s="586"/>
      <c r="W176" s="433"/>
      <c r="X176" s="433"/>
      <c r="Y176" s="433"/>
      <c r="Z176" s="433"/>
      <c r="AA176" s="433"/>
      <c r="AB176" s="434"/>
      <c r="AC176" s="435"/>
      <c r="AD176" s="586"/>
      <c r="AE176" s="433"/>
      <c r="AF176" s="433"/>
      <c r="AG176" s="433"/>
      <c r="AH176" s="433"/>
      <c r="AI176" s="433"/>
      <c r="AJ176" s="434"/>
      <c r="AK176" s="435"/>
      <c r="AL176" s="586"/>
      <c r="AM176" s="433"/>
      <c r="AN176" s="433"/>
      <c r="AO176" s="433"/>
      <c r="AP176" s="433"/>
      <c r="AQ176" s="433"/>
      <c r="AR176" s="433"/>
      <c r="AS176" s="434"/>
      <c r="AT176" s="424"/>
      <c r="AU176" s="586"/>
      <c r="AV176" s="433"/>
      <c r="AW176" s="433"/>
      <c r="AX176" s="433"/>
      <c r="AY176" s="433"/>
      <c r="AZ176" s="433"/>
      <c r="BA176" s="434"/>
      <c r="BB176" s="435"/>
      <c r="BC176" s="586"/>
      <c r="BD176" s="433"/>
      <c r="BE176" s="433"/>
      <c r="BF176" s="433"/>
      <c r="BG176" s="433"/>
      <c r="BH176" s="433"/>
      <c r="BI176" s="434"/>
      <c r="BJ176" s="436"/>
      <c r="BK176" s="586"/>
      <c r="BL176" s="433"/>
      <c r="BM176" s="433"/>
      <c r="BN176" s="433"/>
      <c r="BO176" s="433"/>
      <c r="BP176" s="433"/>
      <c r="BQ176" s="433"/>
      <c r="BR176" s="434"/>
      <c r="BS176" s="436"/>
      <c r="BT176" s="586"/>
      <c r="BU176" s="433"/>
      <c r="BV176" s="433"/>
      <c r="BW176" s="433"/>
      <c r="BX176" s="433"/>
      <c r="BY176" s="433"/>
      <c r="BZ176" s="434"/>
      <c r="CA176" s="373"/>
      <c r="CB176" s="586"/>
      <c r="CC176" s="433"/>
      <c r="CD176" s="433"/>
      <c r="CE176" s="433"/>
      <c r="CF176" s="433"/>
      <c r="CG176" s="433"/>
      <c r="CH176" s="434"/>
      <c r="CI176" s="373"/>
      <c r="CJ176" s="586"/>
      <c r="CK176" s="433"/>
      <c r="CL176" s="433"/>
      <c r="CM176" s="433"/>
      <c r="CN176" s="433"/>
      <c r="CO176" s="433"/>
      <c r="CP176" s="434"/>
      <c r="CQ176" s="435"/>
      <c r="CR176" s="432"/>
      <c r="CS176" s="433"/>
      <c r="CT176" s="433"/>
      <c r="CU176" s="433" t="n">
        <f aca="false">+CR176-CS176</f>
        <v>0</v>
      </c>
      <c r="CV176" s="433" t="n">
        <f aca="false">+CR176-CT176</f>
        <v>0</v>
      </c>
      <c r="CW176" s="433"/>
      <c r="CX176" s="434" t="str">
        <f aca="false">IFERROR(CR176/CW176-1, "-")</f>
        <v>-</v>
      </c>
      <c r="CY176" s="425"/>
      <c r="CZ176" s="437"/>
      <c r="DA176" s="433"/>
      <c r="DB176" s="433"/>
      <c r="DC176" s="433"/>
      <c r="DD176" s="433"/>
      <c r="DE176" s="434" t="e">
        <f aca="false">+CZ176/DD176-1</f>
        <v>#DIV/0!</v>
      </c>
      <c r="DF176" s="434" t="e">
        <f aca="false">+DA176/DD176-1</f>
        <v>#DIV/0!</v>
      </c>
      <c r="DG176" s="438" t="e">
        <f aca="false">+DB176/DD176-1</f>
        <v>#DIV/0!</v>
      </c>
      <c r="DH176" s="438" t="e">
        <f aca="false">+DC176/DD176-1</f>
        <v>#DIV/0!</v>
      </c>
      <c r="DI176" s="413"/>
      <c r="DJ176" s="117" t="n">
        <f aca="false">SUM(D176,J176,P176,V176,AD176,AL176,AU176,BC176,BK176,BT176,CB176,CJ176)-CR176</f>
        <v>0</v>
      </c>
      <c r="DK176" s="117" t="n">
        <f aca="false">SUM(E176,K176,Q176,W176,AE176,AM176,AV176,BD176,BL176,BU176,CC176,CK176)-CS176</f>
        <v>0</v>
      </c>
      <c r="DL176" s="117" t="n">
        <f aca="false">SUM(G176,M176,S176,AA176,AI176,AR176,AZ176,BH176,BQ176,BY176,CG176,CO176)-CW176</f>
        <v>0</v>
      </c>
      <c r="DM176" s="117" t="n">
        <f aca="false">SUM(D176,J176,P176,V176,AD176,AL176,AU176,BC176,,BN176,BV176,CD176,CL176)-CT176</f>
        <v>0</v>
      </c>
      <c r="DN176" s="413"/>
      <c r="DO176" s="413"/>
      <c r="DP176" s="587" t="e">
        <f aca="false">#VALUE!</f>
        <v>#VALUE!</v>
      </c>
      <c r="DQ176" s="415" t="e">
        <f aca="false">-CR176+DP176/10^6</f>
        <v>#VALUE!</v>
      </c>
      <c r="DR176" s="117" t="n">
        <f aca="false">SUM(E176,K176,Q176,W176,AE176,AM176,AV176,BD176,BL176,BU176,CC176,CK176)-CS176</f>
        <v>0</v>
      </c>
      <c r="DS176" s="117" t="n">
        <f aca="false">SUM(D176,J176,P176,V176,AD176,AL176,AU176,BC176,,BN176,BV176,CD176,CL176)-CT176</f>
        <v>0</v>
      </c>
      <c r="DT176" s="416"/>
      <c r="DU176" s="440" t="n">
        <v>965.316362</v>
      </c>
      <c r="DV176" s="418" t="n">
        <f aca="false">DU176-CJ176</f>
        <v>965.316362</v>
      </c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  <c r="EB176" s="419"/>
    </row>
    <row r="177" s="441" customFormat="true" ht="15.75" hidden="true" customHeight="true" outlineLevel="1" collapsed="false">
      <c r="A177" s="286"/>
      <c r="B177" s="444" t="s">
        <v>424</v>
      </c>
      <c r="C177" s="431" t="s">
        <v>425</v>
      </c>
      <c r="D177" s="432"/>
      <c r="E177" s="433"/>
      <c r="F177" s="433"/>
      <c r="G177" s="433"/>
      <c r="H177" s="434"/>
      <c r="I177" s="422"/>
      <c r="J177" s="432"/>
      <c r="K177" s="433"/>
      <c r="L177" s="433"/>
      <c r="M177" s="433"/>
      <c r="N177" s="434"/>
      <c r="O177" s="435"/>
      <c r="P177" s="432"/>
      <c r="Q177" s="433"/>
      <c r="R177" s="433"/>
      <c r="S177" s="433"/>
      <c r="T177" s="434"/>
      <c r="U177" s="423"/>
      <c r="V177" s="432"/>
      <c r="W177" s="433"/>
      <c r="X177" s="433"/>
      <c r="Y177" s="433"/>
      <c r="Z177" s="433"/>
      <c r="AA177" s="433"/>
      <c r="AB177" s="434"/>
      <c r="AC177" s="435"/>
      <c r="AD177" s="432"/>
      <c r="AE177" s="433"/>
      <c r="AF177" s="433"/>
      <c r="AG177" s="433"/>
      <c r="AH177" s="433"/>
      <c r="AI177" s="433"/>
      <c r="AJ177" s="434"/>
      <c r="AK177" s="435"/>
      <c r="AL177" s="432"/>
      <c r="AM177" s="433"/>
      <c r="AN177" s="433"/>
      <c r="AO177" s="433"/>
      <c r="AP177" s="433"/>
      <c r="AQ177" s="433"/>
      <c r="AR177" s="433"/>
      <c r="AS177" s="434"/>
      <c r="AT177" s="424"/>
      <c r="AU177" s="432"/>
      <c r="AV177" s="433"/>
      <c r="AW177" s="433"/>
      <c r="AX177" s="433"/>
      <c r="AY177" s="433"/>
      <c r="AZ177" s="433"/>
      <c r="BA177" s="434"/>
      <c r="BB177" s="435"/>
      <c r="BC177" s="432"/>
      <c r="BD177" s="433"/>
      <c r="BE177" s="433"/>
      <c r="BF177" s="433"/>
      <c r="BG177" s="433"/>
      <c r="BH177" s="433"/>
      <c r="BI177" s="434"/>
      <c r="BJ177" s="436"/>
      <c r="BK177" s="432"/>
      <c r="BL177" s="433"/>
      <c r="BM177" s="433"/>
      <c r="BN177" s="433"/>
      <c r="BO177" s="433"/>
      <c r="BP177" s="433"/>
      <c r="BQ177" s="433"/>
      <c r="BR177" s="434"/>
      <c r="BS177" s="436"/>
      <c r="BT177" s="432"/>
      <c r="BU177" s="433"/>
      <c r="BV177" s="433"/>
      <c r="BW177" s="433"/>
      <c r="BX177" s="433"/>
      <c r="BY177" s="433"/>
      <c r="BZ177" s="434"/>
      <c r="CA177" s="373"/>
      <c r="CB177" s="432"/>
      <c r="CC177" s="433"/>
      <c r="CD177" s="433"/>
      <c r="CE177" s="433"/>
      <c r="CF177" s="433"/>
      <c r="CG177" s="433"/>
      <c r="CH177" s="434"/>
      <c r="CI177" s="373"/>
      <c r="CJ177" s="432"/>
      <c r="CK177" s="433"/>
      <c r="CL177" s="433"/>
      <c r="CM177" s="433"/>
      <c r="CN177" s="433"/>
      <c r="CO177" s="433"/>
      <c r="CP177" s="434"/>
      <c r="CQ177" s="435"/>
      <c r="CR177" s="432"/>
      <c r="CS177" s="433"/>
      <c r="CT177" s="433"/>
      <c r="CU177" s="433" t="n">
        <f aca="false">+CR177-CS177</f>
        <v>0</v>
      </c>
      <c r="CV177" s="433" t="n">
        <f aca="false">+CR177-CT177</f>
        <v>0</v>
      </c>
      <c r="CW177" s="433"/>
      <c r="CX177" s="434" t="str">
        <f aca="false">IFERROR(CR177/CW177-1, "-")</f>
        <v>-</v>
      </c>
      <c r="CY177" s="425"/>
      <c r="CZ177" s="437"/>
      <c r="DA177" s="433"/>
      <c r="DB177" s="433"/>
      <c r="DC177" s="433"/>
      <c r="DD177" s="433"/>
      <c r="DE177" s="434"/>
      <c r="DF177" s="434"/>
      <c r="DG177" s="438"/>
      <c r="DH177" s="438"/>
      <c r="DI177" s="413"/>
      <c r="DJ177" s="117" t="n">
        <f aca="false">SUM(D177,J177,P177,V177,AD177,AL177,AU177,BC177,BK177,BT177,CB177,CJ177)-CR177</f>
        <v>0</v>
      </c>
      <c r="DK177" s="117" t="n">
        <f aca="false">SUM(E177,K177,Q177,W177,AE177,AM177,AV177,BD177,BL177,BU177,CC177,CK177)-CS177</f>
        <v>0</v>
      </c>
      <c r="DL177" s="117" t="n">
        <f aca="false">SUM(G177,M177,S177,AA177,AI177,AR177,AZ177,BH177,BQ177,BY177,CG177,CO177)-CW177</f>
        <v>0</v>
      </c>
      <c r="DM177" s="117" t="n">
        <f aca="false">SUM(D177,J177,P177,V177,AD177,AL177,AU177,BC177,,BN177,BV177,CD177,CL177)-CT177</f>
        <v>0</v>
      </c>
      <c r="DN177" s="413"/>
      <c r="DO177" s="413"/>
      <c r="DP177" s="439" t="n">
        <v>0</v>
      </c>
      <c r="DQ177" s="415" t="n">
        <f aca="false">-CR177+DP177/10^6</f>
        <v>0</v>
      </c>
      <c r="DR177" s="117" t="n">
        <f aca="false">SUM(E177,K177,Q177,W177,AE177,AM177,AV177,BD177,BL177,BU177,CC177,CK177)-CS177</f>
        <v>0</v>
      </c>
      <c r="DS177" s="117" t="n">
        <f aca="false">SUM(D177,J177,P177,V177,AD177,AL177,AU177,BC177,,BN177,BV177,CD177,CL177)-CT177</f>
        <v>0</v>
      </c>
      <c r="DT177" s="416"/>
      <c r="DU177" s="440" t="n">
        <v>0</v>
      </c>
      <c r="DV177" s="418" t="n">
        <f aca="false">DU177-CJ177</f>
        <v>0</v>
      </c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  <c r="EB177" s="419"/>
    </row>
    <row r="178" s="441" customFormat="true" ht="15.75" hidden="true" customHeight="true" outlineLevel="1" collapsed="false">
      <c r="A178" s="286"/>
      <c r="B178" s="444" t="s">
        <v>426</v>
      </c>
      <c r="C178" s="431" t="s">
        <v>427</v>
      </c>
      <c r="D178" s="432"/>
      <c r="E178" s="433"/>
      <c r="F178" s="433"/>
      <c r="G178" s="433"/>
      <c r="H178" s="434"/>
      <c r="I178" s="422"/>
      <c r="J178" s="432"/>
      <c r="K178" s="433"/>
      <c r="L178" s="433"/>
      <c r="M178" s="433"/>
      <c r="N178" s="434"/>
      <c r="O178" s="435"/>
      <c r="P178" s="432"/>
      <c r="Q178" s="433"/>
      <c r="R178" s="433"/>
      <c r="S178" s="433"/>
      <c r="T178" s="434"/>
      <c r="U178" s="423"/>
      <c r="V178" s="432"/>
      <c r="W178" s="433"/>
      <c r="X178" s="433"/>
      <c r="Y178" s="433"/>
      <c r="Z178" s="433"/>
      <c r="AA178" s="433"/>
      <c r="AB178" s="434"/>
      <c r="AC178" s="435"/>
      <c r="AD178" s="432"/>
      <c r="AE178" s="433"/>
      <c r="AF178" s="433"/>
      <c r="AG178" s="433"/>
      <c r="AH178" s="433"/>
      <c r="AI178" s="433"/>
      <c r="AJ178" s="434"/>
      <c r="AK178" s="435"/>
      <c r="AL178" s="432"/>
      <c r="AM178" s="433"/>
      <c r="AN178" s="433"/>
      <c r="AO178" s="433"/>
      <c r="AP178" s="433"/>
      <c r="AQ178" s="433"/>
      <c r="AR178" s="433"/>
      <c r="AS178" s="434"/>
      <c r="AT178" s="424"/>
      <c r="AU178" s="432"/>
      <c r="AV178" s="433"/>
      <c r="AW178" s="433"/>
      <c r="AX178" s="433"/>
      <c r="AY178" s="433"/>
      <c r="AZ178" s="433"/>
      <c r="BA178" s="434"/>
      <c r="BB178" s="435"/>
      <c r="BC178" s="432"/>
      <c r="BD178" s="433"/>
      <c r="BE178" s="433"/>
      <c r="BF178" s="433"/>
      <c r="BG178" s="433"/>
      <c r="BH178" s="433"/>
      <c r="BI178" s="434"/>
      <c r="BJ178" s="436"/>
      <c r="BK178" s="432"/>
      <c r="BL178" s="433"/>
      <c r="BM178" s="433"/>
      <c r="BN178" s="433"/>
      <c r="BO178" s="433"/>
      <c r="BP178" s="433"/>
      <c r="BQ178" s="433"/>
      <c r="BR178" s="434"/>
      <c r="BS178" s="436"/>
      <c r="BT178" s="432"/>
      <c r="BU178" s="433"/>
      <c r="BV178" s="433"/>
      <c r="BW178" s="433"/>
      <c r="BX178" s="433"/>
      <c r="BY178" s="433"/>
      <c r="BZ178" s="434"/>
      <c r="CA178" s="373"/>
      <c r="CB178" s="432"/>
      <c r="CC178" s="433"/>
      <c r="CD178" s="433"/>
      <c r="CE178" s="433"/>
      <c r="CF178" s="433"/>
      <c r="CG178" s="433"/>
      <c r="CH178" s="434"/>
      <c r="CI178" s="373"/>
      <c r="CJ178" s="432"/>
      <c r="CK178" s="433"/>
      <c r="CL178" s="433"/>
      <c r="CM178" s="433"/>
      <c r="CN178" s="433"/>
      <c r="CO178" s="433"/>
      <c r="CP178" s="434"/>
      <c r="CQ178" s="435"/>
      <c r="CR178" s="432"/>
      <c r="CS178" s="433"/>
      <c r="CT178" s="433"/>
      <c r="CU178" s="433" t="n">
        <f aca="false">+CR178-CS178</f>
        <v>0</v>
      </c>
      <c r="CV178" s="433" t="n">
        <f aca="false">+CR178-CT178</f>
        <v>0</v>
      </c>
      <c r="CW178" s="433"/>
      <c r="CX178" s="434" t="str">
        <f aca="false">IFERROR(CR178/CW178-1, "-")</f>
        <v>-</v>
      </c>
      <c r="CY178" s="425"/>
      <c r="CZ178" s="437"/>
      <c r="DA178" s="433"/>
      <c r="DB178" s="433"/>
      <c r="DC178" s="433"/>
      <c r="DD178" s="433"/>
      <c r="DE178" s="434" t="e">
        <f aca="false">+CZ178/DD178-1</f>
        <v>#DIV/0!</v>
      </c>
      <c r="DF178" s="434" t="e">
        <f aca="false">+DA178/DD178-1</f>
        <v>#DIV/0!</v>
      </c>
      <c r="DG178" s="438" t="e">
        <f aca="false">+DB178/DD178-1</f>
        <v>#DIV/0!</v>
      </c>
      <c r="DH178" s="438" t="e">
        <f aca="false">+DC178/DD178-1</f>
        <v>#DIV/0!</v>
      </c>
      <c r="DI178" s="413"/>
      <c r="DJ178" s="117" t="n">
        <f aca="false">SUM(D178,J178,P178,V178,AD178,AL178,AU178,BC178,BK178,BT178,CB178,CJ178)-CR178</f>
        <v>0</v>
      </c>
      <c r="DK178" s="117" t="n">
        <f aca="false">SUM(E178,K178,Q178,W178,AE178,AM178,AV178,BD178,BL178,BU178,CC178,CK178)-CS178</f>
        <v>0</v>
      </c>
      <c r="DL178" s="117" t="n">
        <f aca="false">SUM(G178,M178,S178,AA178,AI178,AR178,AZ178,BH178,BQ178,BY178,CG178,CO178)-CW178</f>
        <v>0</v>
      </c>
      <c r="DM178" s="117" t="n">
        <f aca="false">SUM(D178,J178,P178,V178,AD178,AL178,AU178,BC178,,BN178,BV178,CD178,CL178)-CT178</f>
        <v>0</v>
      </c>
      <c r="DN178" s="413"/>
      <c r="DO178" s="413"/>
      <c r="DP178" s="439" t="n">
        <v>4880000</v>
      </c>
      <c r="DQ178" s="415" t="n">
        <f aca="false">-CR178+DP178/10^6</f>
        <v>4.88</v>
      </c>
      <c r="DR178" s="117" t="n">
        <f aca="false">SUM(E178,K178,Q178,W178,AE178,AM178,AV178,BD178,BL178,BU178,CC178,CK178)-CS178</f>
        <v>0</v>
      </c>
      <c r="DS178" s="117" t="n">
        <f aca="false">SUM(D178,J178,P178,V178,AD178,AL178,AU178,BC178,,BN178,BV178,CD178,CL178)-CT178</f>
        <v>0</v>
      </c>
      <c r="DT178" s="416"/>
      <c r="DU178" s="440" t="n">
        <v>0</v>
      </c>
      <c r="DV178" s="418" t="n">
        <f aca="false">DU178-CJ178</f>
        <v>0</v>
      </c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  <c r="EB178" s="419"/>
    </row>
    <row r="179" s="441" customFormat="true" ht="15.75" hidden="true" customHeight="true" outlineLevel="1" collapsed="false">
      <c r="A179" s="286"/>
      <c r="B179" s="444" t="s">
        <v>428</v>
      </c>
      <c r="C179" s="431" t="s">
        <v>429</v>
      </c>
      <c r="D179" s="480"/>
      <c r="E179" s="433"/>
      <c r="F179" s="433"/>
      <c r="G179" s="433"/>
      <c r="H179" s="434"/>
      <c r="I179" s="422"/>
      <c r="J179" s="480"/>
      <c r="K179" s="433"/>
      <c r="L179" s="433"/>
      <c r="M179" s="433"/>
      <c r="N179" s="434"/>
      <c r="O179" s="435"/>
      <c r="P179" s="480"/>
      <c r="Q179" s="433"/>
      <c r="R179" s="433"/>
      <c r="S179" s="433"/>
      <c r="T179" s="434"/>
      <c r="U179" s="423"/>
      <c r="V179" s="480"/>
      <c r="W179" s="433"/>
      <c r="X179" s="433"/>
      <c r="Y179" s="433"/>
      <c r="Z179" s="433"/>
      <c r="AA179" s="433"/>
      <c r="AB179" s="434"/>
      <c r="AC179" s="435"/>
      <c r="AD179" s="480"/>
      <c r="AE179" s="433"/>
      <c r="AF179" s="433"/>
      <c r="AG179" s="433"/>
      <c r="AH179" s="433"/>
      <c r="AI179" s="433"/>
      <c r="AJ179" s="434"/>
      <c r="AK179" s="435"/>
      <c r="AL179" s="480"/>
      <c r="AM179" s="433"/>
      <c r="AN179" s="433"/>
      <c r="AO179" s="433"/>
      <c r="AP179" s="433"/>
      <c r="AQ179" s="433"/>
      <c r="AR179" s="433"/>
      <c r="AS179" s="434"/>
      <c r="AT179" s="424"/>
      <c r="AU179" s="480"/>
      <c r="AV179" s="433"/>
      <c r="AW179" s="433"/>
      <c r="AX179" s="433"/>
      <c r="AY179" s="433"/>
      <c r="AZ179" s="433"/>
      <c r="BA179" s="434"/>
      <c r="BB179" s="435"/>
      <c r="BC179" s="480"/>
      <c r="BD179" s="433"/>
      <c r="BE179" s="433"/>
      <c r="BF179" s="433"/>
      <c r="BG179" s="433"/>
      <c r="BH179" s="433"/>
      <c r="BI179" s="434"/>
      <c r="BJ179" s="436"/>
      <c r="BK179" s="480"/>
      <c r="BL179" s="433"/>
      <c r="BM179" s="433"/>
      <c r="BN179" s="433"/>
      <c r="BO179" s="433"/>
      <c r="BP179" s="433"/>
      <c r="BQ179" s="433"/>
      <c r="BR179" s="434"/>
      <c r="BS179" s="436"/>
      <c r="BT179" s="480"/>
      <c r="BU179" s="433"/>
      <c r="BV179" s="433"/>
      <c r="BW179" s="433"/>
      <c r="BX179" s="433"/>
      <c r="BY179" s="433"/>
      <c r="BZ179" s="434"/>
      <c r="CA179" s="373"/>
      <c r="CB179" s="480"/>
      <c r="CC179" s="433"/>
      <c r="CD179" s="433"/>
      <c r="CE179" s="433"/>
      <c r="CF179" s="433"/>
      <c r="CG179" s="433"/>
      <c r="CH179" s="434"/>
      <c r="CI179" s="373"/>
      <c r="CJ179" s="480"/>
      <c r="CK179" s="433"/>
      <c r="CL179" s="433"/>
      <c r="CM179" s="433"/>
      <c r="CN179" s="433"/>
      <c r="CO179" s="433"/>
      <c r="CP179" s="434"/>
      <c r="CQ179" s="435"/>
      <c r="CR179" s="432"/>
      <c r="CS179" s="433"/>
      <c r="CT179" s="433"/>
      <c r="CU179" s="433" t="n">
        <f aca="false">+CR179-CS179</f>
        <v>0</v>
      </c>
      <c r="CV179" s="433" t="n">
        <f aca="false">+CR179-CT179</f>
        <v>0</v>
      </c>
      <c r="CW179" s="433"/>
      <c r="CX179" s="434" t="str">
        <f aca="false">IFERROR(CR179/CW179-1, "-")</f>
        <v>-</v>
      </c>
      <c r="CY179" s="425"/>
      <c r="CZ179" s="437"/>
      <c r="DA179" s="433"/>
      <c r="DB179" s="433"/>
      <c r="DC179" s="433"/>
      <c r="DD179" s="433"/>
      <c r="DE179" s="434" t="e">
        <f aca="false">+CZ179/DD179-1</f>
        <v>#DIV/0!</v>
      </c>
      <c r="DF179" s="434" t="e">
        <f aca="false">+DA179/DD179-1</f>
        <v>#DIV/0!</v>
      </c>
      <c r="DG179" s="438" t="e">
        <f aca="false">+DB179/DD179-1</f>
        <v>#DIV/0!</v>
      </c>
      <c r="DH179" s="438" t="e">
        <f aca="false">+DC179/DD179-1</f>
        <v>#DIV/0!</v>
      </c>
      <c r="DI179" s="413"/>
      <c r="DJ179" s="117" t="n">
        <f aca="false">SUM(D179,J179,P179,V179,AD179,AL179,AU179,BC179,BK179,BT179,CB179,CJ179)-CR179</f>
        <v>0</v>
      </c>
      <c r="DK179" s="117" t="n">
        <f aca="false">SUM(E179,K179,Q179,W179,AE179,AM179,AV179,BD179,BL179,BU179,CC179,CK179)-CS179</f>
        <v>0</v>
      </c>
      <c r="DL179" s="117" t="n">
        <f aca="false">SUM(G179,M179,S179,AA179,AI179,AR179,AZ179,BH179,BQ179,BY179,CG179,CO179)-CW179</f>
        <v>0</v>
      </c>
      <c r="DM179" s="117" t="n">
        <f aca="false">SUM(D179,J179,P179,V179,AD179,AL179,AU179,BC179,,BN179,BV179,CD179,CL179)-CT179</f>
        <v>0</v>
      </c>
      <c r="DN179" s="413"/>
      <c r="DO179" s="413"/>
      <c r="DP179" s="481" t="e">
        <f aca="false">#VALUE!</f>
        <v>#VALUE!</v>
      </c>
      <c r="DQ179" s="415" t="e">
        <f aca="false">-CR179+DP179/10^6</f>
        <v>#VALUE!</v>
      </c>
      <c r="DR179" s="117" t="n">
        <f aca="false">SUM(E179,K179,Q179,W179,AE179,AM179,AV179,BD179,BL179,BU179,CC179,CK179)-CS179</f>
        <v>0</v>
      </c>
      <c r="DS179" s="117" t="n">
        <f aca="false">SUM(D179,J179,P179,V179,AD179,AL179,AU179,BC179,,BN179,BV179,CD179,CL179)-CT179</f>
        <v>0</v>
      </c>
      <c r="DT179" s="416"/>
      <c r="DU179" s="440" t="n">
        <v>2.03179000000001</v>
      </c>
      <c r="DV179" s="418" t="n">
        <f aca="false">DU179-CJ179</f>
        <v>2.03179000000001</v>
      </c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  <c r="EB179" s="419"/>
    </row>
    <row r="180" s="441" customFormat="true" ht="15.75" hidden="true" customHeight="true" outlineLevel="1" collapsed="false">
      <c r="A180" s="286"/>
      <c r="B180" s="444" t="s">
        <v>430</v>
      </c>
      <c r="C180" s="431" t="s">
        <v>431</v>
      </c>
      <c r="D180" s="432"/>
      <c r="E180" s="433"/>
      <c r="F180" s="433"/>
      <c r="G180" s="433"/>
      <c r="H180" s="434"/>
      <c r="I180" s="422"/>
      <c r="J180" s="432"/>
      <c r="K180" s="433"/>
      <c r="L180" s="433"/>
      <c r="M180" s="433"/>
      <c r="N180" s="434"/>
      <c r="O180" s="435"/>
      <c r="P180" s="432"/>
      <c r="Q180" s="433"/>
      <c r="R180" s="433"/>
      <c r="S180" s="433"/>
      <c r="T180" s="434"/>
      <c r="U180" s="423"/>
      <c r="V180" s="432"/>
      <c r="W180" s="433"/>
      <c r="X180" s="433"/>
      <c r="Y180" s="433"/>
      <c r="Z180" s="433"/>
      <c r="AA180" s="433"/>
      <c r="AB180" s="434"/>
      <c r="AC180" s="435"/>
      <c r="AD180" s="432"/>
      <c r="AE180" s="433"/>
      <c r="AF180" s="433"/>
      <c r="AG180" s="433"/>
      <c r="AH180" s="433"/>
      <c r="AI180" s="433"/>
      <c r="AJ180" s="434"/>
      <c r="AK180" s="435"/>
      <c r="AL180" s="432"/>
      <c r="AM180" s="433"/>
      <c r="AN180" s="433"/>
      <c r="AO180" s="433"/>
      <c r="AP180" s="433"/>
      <c r="AQ180" s="433"/>
      <c r="AR180" s="433"/>
      <c r="AS180" s="434"/>
      <c r="AT180" s="424"/>
      <c r="AU180" s="432"/>
      <c r="AV180" s="433"/>
      <c r="AW180" s="433"/>
      <c r="AX180" s="433"/>
      <c r="AY180" s="433"/>
      <c r="AZ180" s="433"/>
      <c r="BA180" s="434"/>
      <c r="BB180" s="435"/>
      <c r="BC180" s="432"/>
      <c r="BD180" s="433"/>
      <c r="BE180" s="433"/>
      <c r="BF180" s="433"/>
      <c r="BG180" s="433"/>
      <c r="BH180" s="433"/>
      <c r="BI180" s="434"/>
      <c r="BJ180" s="436"/>
      <c r="BK180" s="432"/>
      <c r="BL180" s="433"/>
      <c r="BM180" s="433"/>
      <c r="BN180" s="433"/>
      <c r="BO180" s="433"/>
      <c r="BP180" s="433"/>
      <c r="BQ180" s="433"/>
      <c r="BR180" s="434"/>
      <c r="BS180" s="436"/>
      <c r="BT180" s="432"/>
      <c r="BU180" s="433"/>
      <c r="BV180" s="433"/>
      <c r="BW180" s="433"/>
      <c r="BX180" s="433"/>
      <c r="BY180" s="433"/>
      <c r="BZ180" s="434"/>
      <c r="CA180" s="373"/>
      <c r="CB180" s="432"/>
      <c r="CC180" s="433"/>
      <c r="CD180" s="433"/>
      <c r="CE180" s="433"/>
      <c r="CF180" s="433"/>
      <c r="CG180" s="433"/>
      <c r="CH180" s="434"/>
      <c r="CI180" s="373"/>
      <c r="CJ180" s="432"/>
      <c r="CK180" s="433"/>
      <c r="CL180" s="433"/>
      <c r="CM180" s="433"/>
      <c r="CN180" s="433"/>
      <c r="CO180" s="433"/>
      <c r="CP180" s="434"/>
      <c r="CQ180" s="435"/>
      <c r="CR180" s="432"/>
      <c r="CS180" s="433"/>
      <c r="CT180" s="433"/>
      <c r="CU180" s="433" t="n">
        <f aca="false">+CR180-CS180</f>
        <v>0</v>
      </c>
      <c r="CV180" s="433" t="n">
        <f aca="false">+CR180-CT180</f>
        <v>0</v>
      </c>
      <c r="CW180" s="433"/>
      <c r="CX180" s="434" t="str">
        <f aca="false">IFERROR(CR180/CW180-1, "-")</f>
        <v>-</v>
      </c>
      <c r="CY180" s="425"/>
      <c r="CZ180" s="437"/>
      <c r="DA180" s="433"/>
      <c r="DB180" s="433"/>
      <c r="DC180" s="433"/>
      <c r="DD180" s="433"/>
      <c r="DE180" s="434" t="e">
        <f aca="false">+CZ180/DD180-1</f>
        <v>#DIV/0!</v>
      </c>
      <c r="DF180" s="434" t="e">
        <f aca="false">+DA180/DD180-1</f>
        <v>#DIV/0!</v>
      </c>
      <c r="DG180" s="438" t="e">
        <f aca="false">+DB180/DD180-1</f>
        <v>#DIV/0!</v>
      </c>
      <c r="DH180" s="438" t="e">
        <f aca="false">+DC180/DD180-1</f>
        <v>#DIV/0!</v>
      </c>
      <c r="DI180" s="413"/>
      <c r="DJ180" s="117" t="n">
        <f aca="false">SUM(D180,J180,P180,V180,AD180,AL180,AU180,BC180,BK180,BT180,CB180,CJ180)-CR180</f>
        <v>0</v>
      </c>
      <c r="DK180" s="117" t="n">
        <f aca="false">SUM(E180,K180,Q180,W180,AE180,AM180,AV180,BD180,BL180,BU180,CC180,CK180)-CS180</f>
        <v>0</v>
      </c>
      <c r="DL180" s="117" t="n">
        <f aca="false">SUM(G180,M180,S180,AA180,AI180,AR180,AZ180,BH180,BQ180,BY180,CG180,CO180)-CW180</f>
        <v>0</v>
      </c>
      <c r="DM180" s="117" t="n">
        <f aca="false">SUM(D180,J180,P180,V180,AD180,AL180,AU180,BC180,,BN180,BV180,CD180,CL180)-CT180</f>
        <v>0</v>
      </c>
      <c r="DN180" s="413"/>
      <c r="DO180" s="413"/>
      <c r="DP180" s="439" t="e">
        <f aca="false">#VALUE!</f>
        <v>#VALUE!</v>
      </c>
      <c r="DQ180" s="415" t="e">
        <f aca="false">-CR180+DP180/10^6</f>
        <v>#VALUE!</v>
      </c>
      <c r="DR180" s="117" t="n">
        <f aca="false">SUM(E180,K180,Q180,W180,AE180,AM180,AV180,BD180,BL180,BU180,CC180,CK180)-CS180</f>
        <v>0</v>
      </c>
      <c r="DS180" s="117" t="n">
        <f aca="false">SUM(D180,J180,P180,V180,AD180,AL180,AU180,BC180,,BN180,BV180,CD180,CL180)-CT180</f>
        <v>0</v>
      </c>
      <c r="DT180" s="416"/>
      <c r="DU180" s="440" t="n">
        <v>14.122604</v>
      </c>
      <c r="DV180" s="418" t="n">
        <f aca="false">DU180-CJ180</f>
        <v>14.122604</v>
      </c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  <c r="EB180" s="419"/>
    </row>
    <row r="181" s="441" customFormat="true" ht="15.75" hidden="true" customHeight="true" outlineLevel="1" collapsed="false">
      <c r="A181" s="286"/>
      <c r="B181" s="444" t="s">
        <v>432</v>
      </c>
      <c r="C181" s="431" t="s">
        <v>433</v>
      </c>
      <c r="D181" s="433"/>
      <c r="E181" s="433"/>
      <c r="F181" s="433"/>
      <c r="G181" s="433"/>
      <c r="H181" s="434"/>
      <c r="I181" s="422"/>
      <c r="J181" s="433"/>
      <c r="K181" s="433"/>
      <c r="L181" s="433"/>
      <c r="M181" s="433"/>
      <c r="N181" s="434"/>
      <c r="O181" s="435"/>
      <c r="P181" s="433"/>
      <c r="Q181" s="433"/>
      <c r="R181" s="433"/>
      <c r="S181" s="433"/>
      <c r="T181" s="434"/>
      <c r="U181" s="423"/>
      <c r="V181" s="433"/>
      <c r="W181" s="433"/>
      <c r="X181" s="433"/>
      <c r="Y181" s="433"/>
      <c r="Z181" s="433"/>
      <c r="AA181" s="433"/>
      <c r="AB181" s="434"/>
      <c r="AC181" s="435"/>
      <c r="AD181" s="433"/>
      <c r="AE181" s="433"/>
      <c r="AF181" s="433"/>
      <c r="AG181" s="433"/>
      <c r="AH181" s="433"/>
      <c r="AI181" s="433"/>
      <c r="AJ181" s="434"/>
      <c r="AK181" s="435"/>
      <c r="AL181" s="433"/>
      <c r="AM181" s="433"/>
      <c r="AN181" s="433"/>
      <c r="AO181" s="433"/>
      <c r="AP181" s="433"/>
      <c r="AQ181" s="433"/>
      <c r="AR181" s="433"/>
      <c r="AS181" s="434"/>
      <c r="AT181" s="424"/>
      <c r="AU181" s="433"/>
      <c r="AV181" s="433"/>
      <c r="AW181" s="433"/>
      <c r="AX181" s="433"/>
      <c r="AY181" s="433"/>
      <c r="AZ181" s="433"/>
      <c r="BA181" s="434"/>
      <c r="BB181" s="435"/>
      <c r="BC181" s="433"/>
      <c r="BD181" s="433"/>
      <c r="BE181" s="433"/>
      <c r="BF181" s="433"/>
      <c r="BG181" s="433"/>
      <c r="BH181" s="433"/>
      <c r="BI181" s="434"/>
      <c r="BJ181" s="436"/>
      <c r="BK181" s="433"/>
      <c r="BL181" s="433"/>
      <c r="BM181" s="433"/>
      <c r="BN181" s="433"/>
      <c r="BO181" s="433"/>
      <c r="BP181" s="433"/>
      <c r="BQ181" s="433"/>
      <c r="BR181" s="434"/>
      <c r="BS181" s="436"/>
      <c r="BT181" s="433"/>
      <c r="BU181" s="433"/>
      <c r="BV181" s="433"/>
      <c r="BW181" s="433"/>
      <c r="BX181" s="433"/>
      <c r="BY181" s="433"/>
      <c r="BZ181" s="434"/>
      <c r="CA181" s="373"/>
      <c r="CB181" s="433"/>
      <c r="CC181" s="433"/>
      <c r="CD181" s="433"/>
      <c r="CE181" s="433"/>
      <c r="CF181" s="433"/>
      <c r="CG181" s="433"/>
      <c r="CH181" s="434"/>
      <c r="CI181" s="373"/>
      <c r="CJ181" s="433"/>
      <c r="CK181" s="433"/>
      <c r="CL181" s="433"/>
      <c r="CM181" s="433"/>
      <c r="CN181" s="433"/>
      <c r="CO181" s="433"/>
      <c r="CP181" s="434"/>
      <c r="CQ181" s="435"/>
      <c r="CR181" s="432"/>
      <c r="CS181" s="433"/>
      <c r="CT181" s="433"/>
      <c r="CU181" s="433" t="n">
        <f aca="false">+CR181-CS181</f>
        <v>0</v>
      </c>
      <c r="CV181" s="433" t="n">
        <f aca="false">+CR181-CT181</f>
        <v>0</v>
      </c>
      <c r="CW181" s="433"/>
      <c r="CX181" s="434" t="str">
        <f aca="false">IFERROR(CR181/CW181-1, "-")</f>
        <v>-</v>
      </c>
      <c r="CY181" s="425"/>
      <c r="CZ181" s="437"/>
      <c r="DA181" s="433"/>
      <c r="DB181" s="433"/>
      <c r="DC181" s="433"/>
      <c r="DD181" s="433"/>
      <c r="DE181" s="434" t="e">
        <f aca="false">+CZ181/DD181-1</f>
        <v>#DIV/0!</v>
      </c>
      <c r="DF181" s="434" t="e">
        <f aca="false">+DA181/DD181-1</f>
        <v>#DIV/0!</v>
      </c>
      <c r="DG181" s="438" t="e">
        <f aca="false">+DB181/DD181-1</f>
        <v>#DIV/0!</v>
      </c>
      <c r="DH181" s="438" t="e">
        <f aca="false">+DC181/DD181-1</f>
        <v>#DIV/0!</v>
      </c>
      <c r="DI181" s="413"/>
      <c r="DJ181" s="117" t="n">
        <f aca="false">SUM(D181,J181,P181,V181,AD181,AL181,AU181,BC181,BK181,BT181,CB181,CJ181)-CR181</f>
        <v>0</v>
      </c>
      <c r="DK181" s="117" t="n">
        <f aca="false">SUM(E181,K181,Q181,W181,AE181,AM181,AV181,BD181,BL181,BU181,CC181,CK181)-CS181</f>
        <v>0</v>
      </c>
      <c r="DL181" s="117" t="n">
        <f aca="false">SUM(G181,M181,S181,AA181,AI181,AR181,AZ181,BH181,BQ181,BY181,CG181,CO181)-CW181</f>
        <v>0</v>
      </c>
      <c r="DM181" s="117" t="n">
        <f aca="false">SUM(D181,J181,P181,V181,AD181,AL181,AU181,BC181,,BN181,BV181,CD181,CL181)-CT181</f>
        <v>0</v>
      </c>
      <c r="DN181" s="413"/>
      <c r="DO181" s="413"/>
      <c r="DP181" s="537" t="n">
        <v>-10457839</v>
      </c>
      <c r="DQ181" s="415" t="n">
        <f aca="false">-CR181+DP181/10^6</f>
        <v>-10.457839</v>
      </c>
      <c r="DR181" s="117" t="n">
        <f aca="false">SUM(E181,K181,Q181,W181,AE181,AM181,AV181,BD181,BL181,BU181,CC181,CK181)-CS181</f>
        <v>0</v>
      </c>
      <c r="DS181" s="117" t="n">
        <f aca="false">SUM(D181,J181,P181,V181,AD181,AL181,AU181,BC181,,BN181,BV181,CD181,CL181)-CT181</f>
        <v>0</v>
      </c>
      <c r="DT181" s="416"/>
      <c r="DU181" s="440" t="n">
        <v>7.172982</v>
      </c>
      <c r="DV181" s="418" t="n">
        <f aca="false">DU181-CJ181</f>
        <v>7.172982</v>
      </c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  <c r="EB181" s="419"/>
    </row>
    <row r="182" customFormat="false" ht="8.25" hidden="false" customHeight="true" outlineLevel="0" collapsed="false">
      <c r="B182" s="543"/>
      <c r="C182" s="398" t="s">
        <v>434</v>
      </c>
      <c r="D182" s="544"/>
      <c r="E182" s="545"/>
      <c r="F182" s="545"/>
      <c r="G182" s="545"/>
      <c r="H182" s="546"/>
      <c r="I182" s="547"/>
      <c r="J182" s="544"/>
      <c r="K182" s="545"/>
      <c r="L182" s="545"/>
      <c r="M182" s="545"/>
      <c r="N182" s="546"/>
      <c r="O182" s="547"/>
      <c r="P182" s="544"/>
      <c r="Q182" s="545"/>
      <c r="R182" s="545"/>
      <c r="S182" s="545"/>
      <c r="T182" s="546"/>
      <c r="U182" s="548"/>
      <c r="V182" s="544"/>
      <c r="W182" s="545"/>
      <c r="X182" s="545"/>
      <c r="Y182" s="545"/>
      <c r="Z182" s="545"/>
      <c r="AA182" s="545"/>
      <c r="AB182" s="546"/>
      <c r="AC182" s="547"/>
      <c r="AD182" s="544"/>
      <c r="AE182" s="545"/>
      <c r="AF182" s="545"/>
      <c r="AG182" s="545"/>
      <c r="AH182" s="545"/>
      <c r="AI182" s="545"/>
      <c r="AJ182" s="546"/>
      <c r="AK182" s="547"/>
      <c r="AL182" s="544"/>
      <c r="AM182" s="545"/>
      <c r="AN182" s="545"/>
      <c r="AO182" s="545"/>
      <c r="AP182" s="545"/>
      <c r="AQ182" s="545"/>
      <c r="AR182" s="545"/>
      <c r="AS182" s="546"/>
      <c r="AT182" s="549"/>
      <c r="AU182" s="544"/>
      <c r="AV182" s="545"/>
      <c r="AW182" s="545"/>
      <c r="AX182" s="545"/>
      <c r="AY182" s="545"/>
      <c r="AZ182" s="545"/>
      <c r="BA182" s="546"/>
      <c r="BB182" s="547"/>
      <c r="BC182" s="544"/>
      <c r="BD182" s="545"/>
      <c r="BE182" s="545"/>
      <c r="BF182" s="545"/>
      <c r="BG182" s="545"/>
      <c r="BH182" s="545"/>
      <c r="BI182" s="546"/>
      <c r="BJ182" s="548"/>
      <c r="BK182" s="544"/>
      <c r="BL182" s="545"/>
      <c r="BM182" s="545"/>
      <c r="BN182" s="545"/>
      <c r="BO182" s="545"/>
      <c r="BP182" s="545"/>
      <c r="BQ182" s="545"/>
      <c r="BR182" s="546"/>
      <c r="BS182" s="548"/>
      <c r="BT182" s="544"/>
      <c r="BU182" s="545"/>
      <c r="BV182" s="545"/>
      <c r="BW182" s="545"/>
      <c r="BX182" s="545"/>
      <c r="BY182" s="545"/>
      <c r="BZ182" s="546"/>
      <c r="CA182" s="373"/>
      <c r="CB182" s="544"/>
      <c r="CC182" s="545"/>
      <c r="CD182" s="545"/>
      <c r="CE182" s="545"/>
      <c r="CF182" s="545"/>
      <c r="CG182" s="545"/>
      <c r="CH182" s="546"/>
      <c r="CI182" s="373"/>
      <c r="CJ182" s="544"/>
      <c r="CK182" s="545"/>
      <c r="CL182" s="545"/>
      <c r="CM182" s="545"/>
      <c r="CN182" s="545"/>
      <c r="CO182" s="545"/>
      <c r="CP182" s="546"/>
      <c r="CQ182" s="547"/>
      <c r="CR182" s="588"/>
      <c r="CS182" s="545"/>
      <c r="CT182" s="545"/>
      <c r="CU182" s="545"/>
      <c r="CV182" s="545"/>
      <c r="CW182" s="545"/>
      <c r="CX182" s="546" t="str">
        <f aca="false">IFERROR(CR182/CW182-1, "-")</f>
        <v>-</v>
      </c>
      <c r="CY182" s="425"/>
      <c r="CZ182" s="550"/>
      <c r="DA182" s="545"/>
      <c r="DB182" s="545"/>
      <c r="DC182" s="545"/>
      <c r="DD182" s="545"/>
      <c r="DE182" s="546"/>
      <c r="DF182" s="546"/>
      <c r="DG182" s="551"/>
      <c r="DH182" s="551"/>
      <c r="DI182" s="413"/>
      <c r="DJ182" s="117" t="n">
        <f aca="false">SUM(D182,J182,P182,V182,AD182,AL182,AU182,BC182,BK182,BT182,CB182,CJ182)-CR182</f>
        <v>0</v>
      </c>
      <c r="DK182" s="117" t="n">
        <f aca="false">SUM(E182,K182,Q182,W182,AE182,AM182,AV182,BD182,BL182,BU182,CC182,CK182)-CS182</f>
        <v>0</v>
      </c>
      <c r="DL182" s="117" t="n">
        <f aca="false">SUM(G182,M182,S182,AA182,AI182,AR182,AZ182,BH182,BQ182,BY182,CG182,CO182)-CW182</f>
        <v>0</v>
      </c>
      <c r="DM182" s="117" t="n">
        <f aca="false">SUM(D182,J182,P182,V182,AD182,AL182,AU182,BC182,,BN182,BV182,CD182,CL182)-CT182</f>
        <v>0</v>
      </c>
      <c r="DN182" s="413"/>
      <c r="DO182" s="413"/>
      <c r="DP182" s="552"/>
      <c r="DQ182" s="415" t="n">
        <f aca="false">-CR182+DP182/10^6</f>
        <v>0</v>
      </c>
      <c r="DR182" s="117" t="n">
        <f aca="false">SUM(E182,K182,Q182,W182,AE182,AM182,AV182,BD182,BL182,BU182,CC182,CK182)-CS182</f>
        <v>0</v>
      </c>
      <c r="DS182" s="117" t="n">
        <f aca="false">SUM(D182,J182,P182,V182,AD182,AL182,AU182,BC182,,BN182,BV182,CD182,CL182)-CT182</f>
        <v>0</v>
      </c>
      <c r="DT182" s="416"/>
      <c r="DU182" s="417"/>
      <c r="DV182" s="418" t="n">
        <f aca="false">DU182-CJ182</f>
        <v>0</v>
      </c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  <c r="EB182" s="419"/>
    </row>
    <row r="183" customFormat="false" ht="3" hidden="false" customHeight="true" outlineLevel="0" collapsed="false">
      <c r="B183" s="420"/>
      <c r="C183" s="398" t="s">
        <v>435</v>
      </c>
      <c r="D183" s="281"/>
      <c r="E183" s="144"/>
      <c r="F183" s="144"/>
      <c r="G183" s="144"/>
      <c r="H183" s="245"/>
      <c r="I183" s="422"/>
      <c r="J183" s="281"/>
      <c r="K183" s="144"/>
      <c r="L183" s="144"/>
      <c r="M183" s="144"/>
      <c r="N183" s="245"/>
      <c r="O183" s="422"/>
      <c r="P183" s="281"/>
      <c r="Q183" s="144"/>
      <c r="R183" s="144"/>
      <c r="S183" s="144"/>
      <c r="T183" s="245"/>
      <c r="U183" s="423"/>
      <c r="V183" s="281"/>
      <c r="W183" s="144"/>
      <c r="X183" s="144"/>
      <c r="Y183" s="144"/>
      <c r="Z183" s="144"/>
      <c r="AA183" s="144"/>
      <c r="AB183" s="245"/>
      <c r="AC183" s="422"/>
      <c r="AD183" s="281"/>
      <c r="AE183" s="144"/>
      <c r="AF183" s="144"/>
      <c r="AG183" s="144"/>
      <c r="AH183" s="144"/>
      <c r="AI183" s="144"/>
      <c r="AJ183" s="245"/>
      <c r="AK183" s="422"/>
      <c r="AL183" s="281"/>
      <c r="AM183" s="144"/>
      <c r="AN183" s="144"/>
      <c r="AO183" s="144"/>
      <c r="AP183" s="144"/>
      <c r="AQ183" s="144"/>
      <c r="AR183" s="144"/>
      <c r="AS183" s="245"/>
      <c r="AT183" s="424"/>
      <c r="AU183" s="281"/>
      <c r="AV183" s="144"/>
      <c r="AW183" s="144"/>
      <c r="AX183" s="144"/>
      <c r="AY183" s="144"/>
      <c r="AZ183" s="144"/>
      <c r="BA183" s="245"/>
      <c r="BB183" s="422"/>
      <c r="BC183" s="281"/>
      <c r="BD183" s="144"/>
      <c r="BE183" s="144"/>
      <c r="BF183" s="144"/>
      <c r="BG183" s="144"/>
      <c r="BH183" s="144"/>
      <c r="BI183" s="245"/>
      <c r="BJ183" s="423"/>
      <c r="BK183" s="281"/>
      <c r="BL183" s="144"/>
      <c r="BM183" s="144"/>
      <c r="BN183" s="144"/>
      <c r="BO183" s="144"/>
      <c r="BP183" s="144"/>
      <c r="BQ183" s="144"/>
      <c r="BR183" s="245"/>
      <c r="BS183" s="423"/>
      <c r="BT183" s="281"/>
      <c r="BU183" s="144"/>
      <c r="BV183" s="144"/>
      <c r="BW183" s="144"/>
      <c r="BX183" s="144"/>
      <c r="BY183" s="144"/>
      <c r="BZ183" s="245"/>
      <c r="CA183" s="373"/>
      <c r="CB183" s="281"/>
      <c r="CC183" s="144"/>
      <c r="CD183" s="144"/>
      <c r="CE183" s="144"/>
      <c r="CF183" s="144"/>
      <c r="CG183" s="144"/>
      <c r="CH183" s="245"/>
      <c r="CI183" s="373"/>
      <c r="CJ183" s="281"/>
      <c r="CK183" s="144"/>
      <c r="CL183" s="144"/>
      <c r="CM183" s="144"/>
      <c r="CN183" s="144"/>
      <c r="CO183" s="144"/>
      <c r="CP183" s="245"/>
      <c r="CQ183" s="422"/>
      <c r="CR183" s="281"/>
      <c r="CS183" s="144"/>
      <c r="CT183" s="144"/>
      <c r="CU183" s="144" t="n">
        <f aca="false">+CR183-CS183</f>
        <v>0</v>
      </c>
      <c r="CV183" s="144" t="n">
        <f aca="false">+CR183-CT183</f>
        <v>0</v>
      </c>
      <c r="CW183" s="144"/>
      <c r="CX183" s="245" t="str">
        <f aca="false">IFERROR(CR183/CW183-1, "-")</f>
        <v>-</v>
      </c>
      <c r="CY183" s="425"/>
      <c r="CZ183" s="426"/>
      <c r="DA183" s="144"/>
      <c r="DB183" s="144"/>
      <c r="DC183" s="144"/>
      <c r="DD183" s="144"/>
      <c r="DE183" s="245"/>
      <c r="DF183" s="245"/>
      <c r="DG183" s="427"/>
      <c r="DH183" s="427"/>
      <c r="DI183" s="413"/>
      <c r="DJ183" s="117" t="n">
        <f aca="false">SUM(D183,J183,P183,V183,AD183,AL183,AU183,BC183,BK183,BT183,CB183,CJ183)-CR183</f>
        <v>0</v>
      </c>
      <c r="DK183" s="117" t="n">
        <f aca="false">SUM(E183,K183,Q183,W183,AE183,AM183,AV183,BD183,BL183,BU183,CC183,CK183)-CS183</f>
        <v>0</v>
      </c>
      <c r="DL183" s="117" t="n">
        <f aca="false">SUM(G183,M183,S183,AA183,AI183,AR183,AZ183,BH183,BQ183,BY183,CG183,CO183)-CW183</f>
        <v>0</v>
      </c>
      <c r="DM183" s="117" t="n">
        <f aca="false">SUM(D183,J183,P183,V183,AD183,AL183,AU183,BC183,,BN183,BV183,CD183,CL183)-CT183</f>
        <v>0</v>
      </c>
      <c r="DN183" s="413"/>
      <c r="DO183" s="413"/>
      <c r="DP183" s="428"/>
      <c r="DQ183" s="415" t="n">
        <f aca="false">-CR183+DP183/10^6</f>
        <v>0</v>
      </c>
      <c r="DR183" s="117" t="n">
        <f aca="false">SUM(E183,K183,Q183,W183,AE183,AM183,AV183,BD183,BL183,BU183,CC183,CK183)-CS183</f>
        <v>0</v>
      </c>
      <c r="DS183" s="117" t="n">
        <f aca="false">SUM(D183,J183,P183,V183,AD183,AL183,AU183,BC183,,BN183,BV183,CD183,CL183)-CT183</f>
        <v>0</v>
      </c>
      <c r="DT183" s="416"/>
      <c r="DU183" s="417"/>
      <c r="DV183" s="418" t="n">
        <f aca="false">DU183-CJ183</f>
        <v>0</v>
      </c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  <c r="EB183" s="419"/>
    </row>
    <row r="184" customFormat="false" ht="21" hidden="false" customHeight="true" outlineLevel="0" collapsed="false">
      <c r="B184" s="429" t="s">
        <v>436</v>
      </c>
      <c r="C184" s="398" t="s">
        <v>437</v>
      </c>
      <c r="D184" s="399"/>
      <c r="E184" s="400"/>
      <c r="F184" s="400"/>
      <c r="G184" s="400"/>
      <c r="H184" s="401"/>
      <c r="I184" s="402"/>
      <c r="J184" s="399"/>
      <c r="K184" s="400"/>
      <c r="L184" s="400"/>
      <c r="M184" s="400"/>
      <c r="N184" s="401"/>
      <c r="O184" s="403"/>
      <c r="P184" s="399"/>
      <c r="Q184" s="400"/>
      <c r="R184" s="400"/>
      <c r="S184" s="400"/>
      <c r="T184" s="401"/>
      <c r="U184" s="404"/>
      <c r="V184" s="399"/>
      <c r="W184" s="400"/>
      <c r="X184" s="400"/>
      <c r="Y184" s="400"/>
      <c r="Z184" s="400"/>
      <c r="AA184" s="400"/>
      <c r="AB184" s="401"/>
      <c r="AC184" s="403"/>
      <c r="AD184" s="399"/>
      <c r="AE184" s="400"/>
      <c r="AF184" s="400"/>
      <c r="AG184" s="400"/>
      <c r="AH184" s="400"/>
      <c r="AI184" s="400"/>
      <c r="AJ184" s="401"/>
      <c r="AK184" s="403"/>
      <c r="AL184" s="399"/>
      <c r="AM184" s="400"/>
      <c r="AN184" s="400"/>
      <c r="AO184" s="400"/>
      <c r="AP184" s="400"/>
      <c r="AQ184" s="400"/>
      <c r="AR184" s="400"/>
      <c r="AS184" s="401"/>
      <c r="AT184" s="405"/>
      <c r="AU184" s="399"/>
      <c r="AV184" s="400"/>
      <c r="AW184" s="400"/>
      <c r="AX184" s="400"/>
      <c r="AY184" s="400"/>
      <c r="AZ184" s="400"/>
      <c r="BA184" s="401"/>
      <c r="BB184" s="403"/>
      <c r="BC184" s="399"/>
      <c r="BD184" s="400"/>
      <c r="BE184" s="400"/>
      <c r="BF184" s="400"/>
      <c r="BG184" s="400"/>
      <c r="BH184" s="400"/>
      <c r="BI184" s="401"/>
      <c r="BJ184" s="407"/>
      <c r="BK184" s="399"/>
      <c r="BL184" s="400"/>
      <c r="BM184" s="400"/>
      <c r="BN184" s="400"/>
      <c r="BO184" s="400"/>
      <c r="BP184" s="400"/>
      <c r="BQ184" s="400"/>
      <c r="BR184" s="401"/>
      <c r="BS184" s="407"/>
      <c r="BT184" s="399"/>
      <c r="BU184" s="400"/>
      <c r="BV184" s="400"/>
      <c r="BW184" s="400"/>
      <c r="BX184" s="400"/>
      <c r="BY184" s="400"/>
      <c r="BZ184" s="401"/>
      <c r="CA184" s="373"/>
      <c r="CB184" s="399"/>
      <c r="CC184" s="400"/>
      <c r="CD184" s="400"/>
      <c r="CE184" s="400"/>
      <c r="CF184" s="400"/>
      <c r="CG184" s="400"/>
      <c r="CH184" s="401"/>
      <c r="CI184" s="373"/>
      <c r="CJ184" s="399"/>
      <c r="CK184" s="400"/>
      <c r="CL184" s="400"/>
      <c r="CM184" s="400"/>
      <c r="CN184" s="400"/>
      <c r="CO184" s="400"/>
      <c r="CP184" s="401"/>
      <c r="CQ184" s="403"/>
      <c r="CR184" s="408"/>
      <c r="CS184" s="400"/>
      <c r="CT184" s="400"/>
      <c r="CU184" s="400" t="n">
        <f aca="false">+CR184-CS184</f>
        <v>0</v>
      </c>
      <c r="CV184" s="400" t="n">
        <f aca="false">+CR184-CT184</f>
        <v>0</v>
      </c>
      <c r="CW184" s="400"/>
      <c r="CX184" s="401" t="str">
        <f aca="false">IFERROR(CR184/CW184-1, "-")</f>
        <v>-</v>
      </c>
      <c r="CY184" s="410"/>
      <c r="CZ184" s="411"/>
      <c r="DA184" s="400"/>
      <c r="DB184" s="400"/>
      <c r="DC184" s="400"/>
      <c r="DD184" s="400"/>
      <c r="DE184" s="401" t="e">
        <f aca="false">+CZ184/DD184-1</f>
        <v>#DIV/0!</v>
      </c>
      <c r="DF184" s="401" t="e">
        <f aca="false">+DA184/DD184-1</f>
        <v>#DIV/0!</v>
      </c>
      <c r="DG184" s="412" t="e">
        <f aca="false">+DB184/DD184-1</f>
        <v>#DIV/0!</v>
      </c>
      <c r="DH184" s="412" t="e">
        <f aca="false">+DC184/DD184-1</f>
        <v>#DIV/0!</v>
      </c>
      <c r="DI184" s="413"/>
      <c r="DJ184" s="117" t="n">
        <f aca="false">SUM(D184,J184,P184,V184,AD184,AL184,AU184,BC184,BK184,BT184,CB184,CJ184)-CR184</f>
        <v>0</v>
      </c>
      <c r="DK184" s="117" t="n">
        <f aca="false">SUM(E184,K184,Q184,W184,AE184,AM184,AV184,BD184,BL184,BU184,CC184,CK184)-CS184</f>
        <v>0</v>
      </c>
      <c r="DL184" s="117" t="n">
        <f aca="false">SUM(G184,M184,S184,AA184,AI184,AR184,AZ184,BH184,BQ184,BY184,CG184,CO184)-CW184</f>
        <v>0</v>
      </c>
      <c r="DM184" s="117" t="n">
        <f aca="false">SUM(D184,J184,P184,V184,AD184,AL184,AU184,BC184,,BN184,BV184,CD184,CL184)-CT184</f>
        <v>0</v>
      </c>
      <c r="DN184" s="413"/>
      <c r="DO184" s="413"/>
      <c r="DP184" s="414" t="e">
        <f aca="false">+DP185+DP186+DP198+DP199</f>
        <v>#VALUE!</v>
      </c>
      <c r="DQ184" s="415" t="e">
        <f aca="false">-CR184+DP184/10^6</f>
        <v>#VALUE!</v>
      </c>
      <c r="DR184" s="117" t="n">
        <f aca="false">SUM(E184,K184,Q184,W184,AE184,AM184,AV184,BD184,BL184,BU184,CC184,CK184)-CS184</f>
        <v>0</v>
      </c>
      <c r="DS184" s="117" t="n">
        <f aca="false">SUM(D184,J184,P184,V184,AD184,AL184,AU184,BC184,,BN184,BV184,CD184,CL184)-CT184</f>
        <v>0</v>
      </c>
      <c r="DT184" s="416"/>
      <c r="DU184" s="417" t="n">
        <v>191.741452</v>
      </c>
      <c r="DV184" s="418" t="n">
        <f aca="false">DU184-CJ184</f>
        <v>191.741452</v>
      </c>
      <c r="DW184" s="589"/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  <c r="EB184" s="419"/>
    </row>
    <row r="185" customFormat="false" ht="12.75" hidden="false" customHeight="false" outlineLevel="0" collapsed="false">
      <c r="B185" s="590" t="s">
        <v>438</v>
      </c>
      <c r="C185" s="398" t="s">
        <v>439</v>
      </c>
      <c r="D185" s="554"/>
      <c r="E185" s="555"/>
      <c r="F185" s="144"/>
      <c r="G185" s="144"/>
      <c r="H185" s="556"/>
      <c r="I185" s="557"/>
      <c r="J185" s="554"/>
      <c r="K185" s="555"/>
      <c r="L185" s="144"/>
      <c r="M185" s="144"/>
      <c r="N185" s="556"/>
      <c r="O185" s="557"/>
      <c r="P185" s="554"/>
      <c r="Q185" s="555"/>
      <c r="R185" s="144"/>
      <c r="S185" s="144"/>
      <c r="T185" s="556"/>
      <c r="U185" s="558"/>
      <c r="V185" s="554"/>
      <c r="W185" s="555"/>
      <c r="X185" s="555"/>
      <c r="Y185" s="144"/>
      <c r="Z185" s="144"/>
      <c r="AA185" s="144"/>
      <c r="AB185" s="556"/>
      <c r="AC185" s="557"/>
      <c r="AD185" s="554"/>
      <c r="AE185" s="555"/>
      <c r="AF185" s="555"/>
      <c r="AG185" s="144"/>
      <c r="AH185" s="144"/>
      <c r="AI185" s="144"/>
      <c r="AJ185" s="556"/>
      <c r="AK185" s="557"/>
      <c r="AL185" s="554"/>
      <c r="AM185" s="555"/>
      <c r="AN185" s="555"/>
      <c r="AO185" s="555"/>
      <c r="AP185" s="144"/>
      <c r="AQ185" s="144"/>
      <c r="AR185" s="144"/>
      <c r="AS185" s="556"/>
      <c r="AT185" s="559"/>
      <c r="AU185" s="554"/>
      <c r="AV185" s="555"/>
      <c r="AW185" s="555"/>
      <c r="AX185" s="144"/>
      <c r="AY185" s="144"/>
      <c r="AZ185" s="144"/>
      <c r="BA185" s="556"/>
      <c r="BB185" s="557"/>
      <c r="BC185" s="554"/>
      <c r="BD185" s="555"/>
      <c r="BE185" s="555"/>
      <c r="BF185" s="144"/>
      <c r="BG185" s="144"/>
      <c r="BH185" s="144"/>
      <c r="BI185" s="556"/>
      <c r="BJ185" s="558"/>
      <c r="BK185" s="554"/>
      <c r="BL185" s="555"/>
      <c r="BM185" s="555"/>
      <c r="BN185" s="555"/>
      <c r="BO185" s="144"/>
      <c r="BP185" s="144"/>
      <c r="BQ185" s="144"/>
      <c r="BR185" s="556"/>
      <c r="BS185" s="558"/>
      <c r="BT185" s="554"/>
      <c r="BU185" s="555"/>
      <c r="BV185" s="555"/>
      <c r="BW185" s="144"/>
      <c r="BX185" s="144"/>
      <c r="BY185" s="144"/>
      <c r="BZ185" s="556"/>
      <c r="CA185" s="373"/>
      <c r="CB185" s="554"/>
      <c r="CC185" s="555"/>
      <c r="CD185" s="555"/>
      <c r="CE185" s="144"/>
      <c r="CF185" s="144"/>
      <c r="CG185" s="144"/>
      <c r="CH185" s="556"/>
      <c r="CI185" s="373"/>
      <c r="CJ185" s="554"/>
      <c r="CK185" s="555"/>
      <c r="CL185" s="555"/>
      <c r="CM185" s="144"/>
      <c r="CN185" s="144"/>
      <c r="CO185" s="144"/>
      <c r="CP185" s="556"/>
      <c r="CQ185" s="557"/>
      <c r="CR185" s="554"/>
      <c r="CS185" s="555"/>
      <c r="CT185" s="555"/>
      <c r="CU185" s="555" t="n">
        <f aca="false">+CR185-CS185</f>
        <v>0</v>
      </c>
      <c r="CV185" s="555" t="n">
        <f aca="false">+CR185-CT185</f>
        <v>0</v>
      </c>
      <c r="CW185" s="555"/>
      <c r="CX185" s="556" t="str">
        <f aca="false">IFERROR(CR185/CW185-1, "-")</f>
        <v>-</v>
      </c>
      <c r="CY185" s="425"/>
      <c r="CZ185" s="560"/>
      <c r="DA185" s="555"/>
      <c r="DB185" s="555"/>
      <c r="DC185" s="555"/>
      <c r="DD185" s="555"/>
      <c r="DE185" s="556" t="e">
        <f aca="false">+CZ185/DD185-1</f>
        <v>#DIV/0!</v>
      </c>
      <c r="DF185" s="556" t="e">
        <f aca="false">+DA185/DD185-1</f>
        <v>#DIV/0!</v>
      </c>
      <c r="DG185" s="561" t="e">
        <f aca="false">+DB185/DD185-1</f>
        <v>#DIV/0!</v>
      </c>
      <c r="DH185" s="561" t="e">
        <f aca="false">+DC185/DD185-1</f>
        <v>#DIV/0!</v>
      </c>
      <c r="DI185" s="413"/>
      <c r="DJ185" s="117" t="n">
        <f aca="false">SUM(D185,J185,P185,V185,AD185,AL185,AU185,BC185,BK185,BT185,CB185,CJ185)-CR185</f>
        <v>0</v>
      </c>
      <c r="DK185" s="117" t="n">
        <f aca="false">SUM(E185,K185,Q185,W185,AE185,AM185,AV185,BD185,BL185,BU185,CC185,CK185)-CS185</f>
        <v>0</v>
      </c>
      <c r="DL185" s="117" t="n">
        <f aca="false">SUM(G185,M185,S185,AA185,AI185,AR185,AZ185,BH185,BQ185,BY185,CG185,CO185)-CW185</f>
        <v>0</v>
      </c>
      <c r="DM185" s="117" t="n">
        <f aca="false">SUM(D185,J185,P185,V185,AD185,AL185,AU185,BC185,,BN185,BV185,CD185,CL185)-CT185</f>
        <v>0</v>
      </c>
      <c r="DN185" s="413"/>
      <c r="DO185" s="413"/>
      <c r="DP185" s="562" t="n">
        <f aca="false">SUM(DP190:DP193,DP195:DP197)+DP187+DP188</f>
        <v>293139880</v>
      </c>
      <c r="DQ185" s="415" t="n">
        <f aca="false">-CR185+DP185/10^6</f>
        <v>293.13988</v>
      </c>
      <c r="DR185" s="117" t="n">
        <f aca="false">SUM(E185,K185,Q185,W185,AE185,AM185,AV185,BD185,BL185,BU185,CC185,CK185)-CS185</f>
        <v>0</v>
      </c>
      <c r="DS185" s="117" t="n">
        <f aca="false">SUM(D185,J185,P185,V185,AD185,AL185,AU185,BC185,,BN185,BV185,CD185,CL185)-CT185</f>
        <v>0</v>
      </c>
      <c r="DT185" s="416"/>
      <c r="DU185" s="417" t="n">
        <v>167.672564</v>
      </c>
      <c r="DV185" s="418" t="n">
        <f aca="false">DU185-CJ185</f>
        <v>167.672564</v>
      </c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  <c r="EB185" s="419"/>
    </row>
    <row r="186" customFormat="false" ht="12.75" hidden="false" customHeight="false" outlineLevel="0" collapsed="false">
      <c r="B186" s="591" t="s">
        <v>440</v>
      </c>
      <c r="C186" s="398" t="s">
        <v>441</v>
      </c>
      <c r="D186" s="281"/>
      <c r="E186" s="144"/>
      <c r="F186" s="144"/>
      <c r="G186" s="144"/>
      <c r="H186" s="245"/>
      <c r="I186" s="422"/>
      <c r="J186" s="281"/>
      <c r="K186" s="144"/>
      <c r="L186" s="144"/>
      <c r="M186" s="144"/>
      <c r="N186" s="245"/>
      <c r="O186" s="422"/>
      <c r="P186" s="281"/>
      <c r="Q186" s="144"/>
      <c r="R186" s="144"/>
      <c r="S186" s="144"/>
      <c r="T186" s="245"/>
      <c r="U186" s="423"/>
      <c r="V186" s="281"/>
      <c r="W186" s="144"/>
      <c r="X186" s="144"/>
      <c r="Y186" s="144"/>
      <c r="Z186" s="144"/>
      <c r="AA186" s="144"/>
      <c r="AB186" s="245"/>
      <c r="AC186" s="422"/>
      <c r="AD186" s="281"/>
      <c r="AE186" s="144"/>
      <c r="AF186" s="144"/>
      <c r="AG186" s="144"/>
      <c r="AH186" s="144"/>
      <c r="AI186" s="144"/>
      <c r="AJ186" s="245"/>
      <c r="AK186" s="422"/>
      <c r="AL186" s="281"/>
      <c r="AM186" s="144"/>
      <c r="AN186" s="144"/>
      <c r="AO186" s="144"/>
      <c r="AP186" s="144"/>
      <c r="AQ186" s="144"/>
      <c r="AR186" s="144"/>
      <c r="AS186" s="245"/>
      <c r="AT186" s="424"/>
      <c r="AU186" s="281"/>
      <c r="AV186" s="144"/>
      <c r="AW186" s="144"/>
      <c r="AX186" s="144"/>
      <c r="AY186" s="144"/>
      <c r="AZ186" s="144"/>
      <c r="BA186" s="245"/>
      <c r="BB186" s="422"/>
      <c r="BC186" s="281"/>
      <c r="BD186" s="144"/>
      <c r="BE186" s="144"/>
      <c r="BF186" s="144"/>
      <c r="BG186" s="144"/>
      <c r="BH186" s="144"/>
      <c r="BI186" s="245"/>
      <c r="BJ186" s="423"/>
      <c r="BK186" s="281"/>
      <c r="BL186" s="144"/>
      <c r="BM186" s="144"/>
      <c r="BN186" s="144"/>
      <c r="BO186" s="144"/>
      <c r="BP186" s="144"/>
      <c r="BQ186" s="144"/>
      <c r="BR186" s="245"/>
      <c r="BS186" s="423"/>
      <c r="BT186" s="281"/>
      <c r="BU186" s="144"/>
      <c r="BV186" s="144"/>
      <c r="BW186" s="144"/>
      <c r="BX186" s="144"/>
      <c r="BY186" s="144"/>
      <c r="BZ186" s="245"/>
      <c r="CA186" s="373"/>
      <c r="CB186" s="281"/>
      <c r="CC186" s="144"/>
      <c r="CD186" s="144"/>
      <c r="CE186" s="144"/>
      <c r="CF186" s="144"/>
      <c r="CG186" s="144"/>
      <c r="CH186" s="245"/>
      <c r="CI186" s="373"/>
      <c r="CJ186" s="281"/>
      <c r="CK186" s="144"/>
      <c r="CL186" s="144"/>
      <c r="CM186" s="144"/>
      <c r="CN186" s="144"/>
      <c r="CO186" s="144"/>
      <c r="CP186" s="245"/>
      <c r="CQ186" s="422"/>
      <c r="CR186" s="281"/>
      <c r="CS186" s="144"/>
      <c r="CT186" s="144"/>
      <c r="CU186" s="144" t="n">
        <f aca="false">+CR186-CS186</f>
        <v>0</v>
      </c>
      <c r="CV186" s="144" t="n">
        <f aca="false">+CR186-CT186</f>
        <v>0</v>
      </c>
      <c r="CW186" s="144"/>
      <c r="CX186" s="245" t="str">
        <f aca="false">IFERROR(CR186/CW186-1, "-")</f>
        <v>-</v>
      </c>
      <c r="CY186" s="425"/>
      <c r="CZ186" s="426"/>
      <c r="DA186" s="144"/>
      <c r="DB186" s="144"/>
      <c r="DC186" s="144"/>
      <c r="DD186" s="144"/>
      <c r="DE186" s="245"/>
      <c r="DF186" s="245"/>
      <c r="DG186" s="427"/>
      <c r="DH186" s="427"/>
      <c r="DI186" s="413"/>
      <c r="DJ186" s="117" t="n">
        <f aca="false">SUM(D186,J186,P186,V186,AD186,AL186,AU186,BC186,BK186,BT186,CB186,CJ186)-CR186</f>
        <v>0</v>
      </c>
      <c r="DK186" s="117" t="n">
        <f aca="false">SUM(E186,K186,Q186,W186,AE186,AM186,AV186,BD186,BL186,BU186,CC186,CK186)-CS186</f>
        <v>0</v>
      </c>
      <c r="DL186" s="117" t="n">
        <f aca="false">SUM(G186,M186,S186,AA186,AI186,AR186,AZ186,BH186,BQ186,BY186,CG186,CO186)-CW186</f>
        <v>0</v>
      </c>
      <c r="DM186" s="117" t="n">
        <f aca="false">SUM(D186,J186,P186,V186,AD186,AL186,AU186,BC186,,BN186,BV186,CD186,CL186)-CT186</f>
        <v>0</v>
      </c>
      <c r="DN186" s="413"/>
      <c r="DO186" s="413"/>
      <c r="DP186" s="428" t="n">
        <f aca="false">+DP189+DP194</f>
        <v>0</v>
      </c>
      <c r="DQ186" s="415" t="n">
        <f aca="false">-CR186+DP186/10^6</f>
        <v>0</v>
      </c>
      <c r="DR186" s="117" t="n">
        <f aca="false">SUM(E186,K186,Q186,W186,AE186,AM186,AV186,BD186,BL186,BU186,CC186,CK186)-CS186</f>
        <v>0</v>
      </c>
      <c r="DS186" s="117" t="n">
        <f aca="false">SUM(D186,J186,P186,V186,AD186,AL186,AU186,BC186,,BN186,BV186,CD186,CL186)-CT186</f>
        <v>0</v>
      </c>
      <c r="DT186" s="416"/>
      <c r="DU186" s="417" t="n">
        <v>0</v>
      </c>
      <c r="DV186" s="418" t="n">
        <f aca="false">DU186-CJ186</f>
        <v>0</v>
      </c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  <c r="EB186" s="419"/>
    </row>
    <row r="187" s="441" customFormat="true" ht="15.75" hidden="true" customHeight="true" outlineLevel="1" collapsed="false">
      <c r="A187" s="286"/>
      <c r="B187" s="444" t="s">
        <v>442</v>
      </c>
      <c r="C187" s="398" t="s">
        <v>443</v>
      </c>
      <c r="D187" s="592"/>
      <c r="E187" s="593"/>
      <c r="F187" s="593"/>
      <c r="G187" s="593"/>
      <c r="H187" s="594"/>
      <c r="I187" s="422"/>
      <c r="J187" s="592"/>
      <c r="K187" s="593"/>
      <c r="L187" s="593"/>
      <c r="M187" s="593"/>
      <c r="N187" s="594"/>
      <c r="O187" s="595"/>
      <c r="P187" s="592"/>
      <c r="Q187" s="593"/>
      <c r="R187" s="593"/>
      <c r="S187" s="593"/>
      <c r="T187" s="594"/>
      <c r="U187" s="423"/>
      <c r="V187" s="592"/>
      <c r="W187" s="593"/>
      <c r="X187" s="593"/>
      <c r="Y187" s="593"/>
      <c r="Z187" s="593"/>
      <c r="AA187" s="593"/>
      <c r="AB187" s="594"/>
      <c r="AC187" s="595"/>
      <c r="AD187" s="592"/>
      <c r="AE187" s="593"/>
      <c r="AF187" s="593"/>
      <c r="AG187" s="593"/>
      <c r="AH187" s="593"/>
      <c r="AI187" s="593"/>
      <c r="AJ187" s="594"/>
      <c r="AK187" s="595"/>
      <c r="AL187" s="592"/>
      <c r="AM187" s="593"/>
      <c r="AN187" s="593"/>
      <c r="AO187" s="593"/>
      <c r="AP187" s="593"/>
      <c r="AQ187" s="593"/>
      <c r="AR187" s="593"/>
      <c r="AS187" s="594"/>
      <c r="AT187" s="424"/>
      <c r="AU187" s="592"/>
      <c r="AV187" s="593"/>
      <c r="AW187" s="593"/>
      <c r="AX187" s="593"/>
      <c r="AY187" s="593"/>
      <c r="AZ187" s="593"/>
      <c r="BA187" s="594"/>
      <c r="BB187" s="595"/>
      <c r="BC187" s="592"/>
      <c r="BD187" s="593"/>
      <c r="BE187" s="593"/>
      <c r="BF187" s="593"/>
      <c r="BG187" s="593"/>
      <c r="BH187" s="593"/>
      <c r="BI187" s="594"/>
      <c r="BJ187" s="596"/>
      <c r="BK187" s="592"/>
      <c r="BL187" s="593"/>
      <c r="BM187" s="593"/>
      <c r="BN187" s="593"/>
      <c r="BO187" s="433"/>
      <c r="BP187" s="433"/>
      <c r="BQ187" s="593"/>
      <c r="BR187" s="594"/>
      <c r="BS187" s="596"/>
      <c r="BT187" s="592"/>
      <c r="BU187" s="593"/>
      <c r="BV187" s="593"/>
      <c r="BW187" s="593"/>
      <c r="BX187" s="593"/>
      <c r="BY187" s="593"/>
      <c r="BZ187" s="594"/>
      <c r="CA187" s="373"/>
      <c r="CB187" s="592"/>
      <c r="CC187" s="593"/>
      <c r="CD187" s="593"/>
      <c r="CE187" s="593"/>
      <c r="CF187" s="593"/>
      <c r="CG187" s="593"/>
      <c r="CH187" s="594"/>
      <c r="CI187" s="373"/>
      <c r="CJ187" s="592"/>
      <c r="CK187" s="593"/>
      <c r="CL187" s="593"/>
      <c r="CM187" s="593"/>
      <c r="CN187" s="593"/>
      <c r="CO187" s="593"/>
      <c r="CP187" s="594"/>
      <c r="CQ187" s="595"/>
      <c r="CR187" s="592"/>
      <c r="CS187" s="593"/>
      <c r="CT187" s="593"/>
      <c r="CU187" s="593" t="n">
        <f aca="false">+CR187-CS187</f>
        <v>0</v>
      </c>
      <c r="CV187" s="593" t="n">
        <f aca="false">+CR187-CT187</f>
        <v>0</v>
      </c>
      <c r="CW187" s="593"/>
      <c r="CX187" s="594" t="str">
        <f aca="false">IFERROR(CR187/CW187-1, "-")</f>
        <v>-</v>
      </c>
      <c r="CY187" s="597"/>
      <c r="CZ187" s="598"/>
      <c r="DA187" s="593"/>
      <c r="DB187" s="433"/>
      <c r="DC187" s="593"/>
      <c r="DD187" s="433"/>
      <c r="DE187" s="434"/>
      <c r="DF187" s="434"/>
      <c r="DG187" s="438"/>
      <c r="DH187" s="438"/>
      <c r="DI187" s="413"/>
      <c r="DJ187" s="117" t="n">
        <f aca="false">SUM(D187,J187,P187,V187,AD187,AL187,AU187,BC187,BK187,BT187,CB187,CJ187)-CR187</f>
        <v>0</v>
      </c>
      <c r="DK187" s="117" t="n">
        <f aca="false">SUM(E187,K187,Q187,W187,AE187,AM187,AV187,BD187,BL187,BU187,CC187,CK187)-CS187</f>
        <v>0</v>
      </c>
      <c r="DL187" s="117" t="n">
        <f aca="false">SUM(G187,M187,S187,AA187,AI187,AR187,AZ187,BH187,BQ187,BY187,CG187,CO187)-CW187</f>
        <v>0</v>
      </c>
      <c r="DM187" s="117" t="n">
        <f aca="false">SUM(D187,J187,P187,V187,AD187,AL187,AU187,BC187,,BN187,BV187,CD187,CL187)-CT187</f>
        <v>0</v>
      </c>
      <c r="DN187" s="413"/>
      <c r="DO187" s="413"/>
      <c r="DP187" s="599" t="n">
        <v>0</v>
      </c>
      <c r="DQ187" s="415" t="n">
        <f aca="false">-CR187+DP187/10^6</f>
        <v>0</v>
      </c>
      <c r="DR187" s="117" t="n">
        <f aca="false">SUM(E187,K187,Q187,W187,AE187,AM187,AV187,BD187,BL187,BU187,CC187,CK187)-CS187</f>
        <v>0</v>
      </c>
      <c r="DS187" s="117" t="n">
        <f aca="false">SUM(D187,J187,P187,V187,AD187,AL187,AU187,BC187,,BN187,BV187,CD187,CL187)-CT187</f>
        <v>0</v>
      </c>
      <c r="DT187" s="416"/>
      <c r="DU187" s="440" t="n">
        <v>0</v>
      </c>
      <c r="DV187" s="418" t="n">
        <f aca="false">DU187-CJ187</f>
        <v>0</v>
      </c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  <c r="EB187" s="419"/>
    </row>
    <row r="188" s="441" customFormat="true" ht="15.75" hidden="true" customHeight="true" outlineLevel="1" collapsed="false">
      <c r="A188" s="286"/>
      <c r="B188" s="444" t="s">
        <v>444</v>
      </c>
      <c r="C188" s="398" t="s">
        <v>445</v>
      </c>
      <c r="D188" s="592"/>
      <c r="E188" s="593"/>
      <c r="F188" s="593"/>
      <c r="G188" s="593"/>
      <c r="H188" s="594"/>
      <c r="I188" s="422"/>
      <c r="J188" s="592"/>
      <c r="K188" s="593"/>
      <c r="L188" s="593"/>
      <c r="M188" s="593"/>
      <c r="N188" s="594"/>
      <c r="O188" s="595"/>
      <c r="P188" s="592"/>
      <c r="Q188" s="593"/>
      <c r="R188" s="593"/>
      <c r="S188" s="593"/>
      <c r="T188" s="594"/>
      <c r="U188" s="423"/>
      <c r="V188" s="592"/>
      <c r="W188" s="593"/>
      <c r="X188" s="593"/>
      <c r="Y188" s="593"/>
      <c r="Z188" s="593"/>
      <c r="AA188" s="593"/>
      <c r="AB188" s="594"/>
      <c r="AC188" s="595"/>
      <c r="AD188" s="592"/>
      <c r="AE188" s="593"/>
      <c r="AF188" s="593"/>
      <c r="AG188" s="593"/>
      <c r="AH188" s="593"/>
      <c r="AI188" s="593"/>
      <c r="AJ188" s="594"/>
      <c r="AK188" s="595"/>
      <c r="AL188" s="592"/>
      <c r="AM188" s="593"/>
      <c r="AN188" s="593"/>
      <c r="AO188" s="593"/>
      <c r="AP188" s="593"/>
      <c r="AQ188" s="593"/>
      <c r="AR188" s="593"/>
      <c r="AS188" s="594"/>
      <c r="AT188" s="424"/>
      <c r="AU188" s="592"/>
      <c r="AV188" s="593"/>
      <c r="AW188" s="593"/>
      <c r="AX188" s="593"/>
      <c r="AY188" s="593"/>
      <c r="AZ188" s="593"/>
      <c r="BA188" s="594"/>
      <c r="BB188" s="595"/>
      <c r="BC188" s="592"/>
      <c r="BD188" s="593"/>
      <c r="BE188" s="593"/>
      <c r="BF188" s="593"/>
      <c r="BG188" s="593"/>
      <c r="BH188" s="593"/>
      <c r="BI188" s="594"/>
      <c r="BJ188" s="596"/>
      <c r="BK188" s="592"/>
      <c r="BL188" s="593"/>
      <c r="BM188" s="593"/>
      <c r="BN188" s="593"/>
      <c r="BO188" s="433"/>
      <c r="BP188" s="433"/>
      <c r="BQ188" s="593"/>
      <c r="BR188" s="594"/>
      <c r="BS188" s="596"/>
      <c r="BT188" s="592"/>
      <c r="BU188" s="593"/>
      <c r="BV188" s="593"/>
      <c r="BW188" s="593"/>
      <c r="BX188" s="593"/>
      <c r="BY188" s="593"/>
      <c r="BZ188" s="594"/>
      <c r="CA188" s="373"/>
      <c r="CB188" s="592"/>
      <c r="CC188" s="593"/>
      <c r="CD188" s="593"/>
      <c r="CE188" s="593"/>
      <c r="CF188" s="593"/>
      <c r="CG188" s="593"/>
      <c r="CH188" s="594"/>
      <c r="CI188" s="373"/>
      <c r="CJ188" s="592"/>
      <c r="CK188" s="593"/>
      <c r="CL188" s="593"/>
      <c r="CM188" s="593"/>
      <c r="CN188" s="593"/>
      <c r="CO188" s="593"/>
      <c r="CP188" s="594"/>
      <c r="CQ188" s="595"/>
      <c r="CR188" s="592"/>
      <c r="CS188" s="593"/>
      <c r="CT188" s="593"/>
      <c r="CU188" s="593" t="n">
        <f aca="false">+CR188-CS188</f>
        <v>0</v>
      </c>
      <c r="CV188" s="593" t="n">
        <f aca="false">+CR188-CT188</f>
        <v>0</v>
      </c>
      <c r="CW188" s="593"/>
      <c r="CX188" s="594" t="str">
        <f aca="false">IFERROR(CR188/CW188-1, "-")</f>
        <v>-</v>
      </c>
      <c r="CY188" s="597"/>
      <c r="CZ188" s="598"/>
      <c r="DA188" s="593"/>
      <c r="DB188" s="593"/>
      <c r="DC188" s="593"/>
      <c r="DD188" s="593"/>
      <c r="DE188" s="434"/>
      <c r="DF188" s="434"/>
      <c r="DG188" s="438"/>
      <c r="DH188" s="438"/>
      <c r="DI188" s="413"/>
      <c r="DJ188" s="117" t="n">
        <f aca="false">SUM(D188,J188,P188,V188,AD188,AL188,AU188,BC188,BK188,BT188,CB188,CJ188)-CR188</f>
        <v>0</v>
      </c>
      <c r="DK188" s="117" t="n">
        <f aca="false">SUM(E188,K188,Q188,W188,AE188,AM188,AV188,BD188,BL188,BU188,CC188,CK188)-CS188</f>
        <v>0</v>
      </c>
      <c r="DL188" s="117" t="n">
        <f aca="false">SUM(G188,M188,S188,AA188,AI188,AR188,AZ188,BH188,BQ188,BY188,CG188,CO188)-CW188</f>
        <v>0</v>
      </c>
      <c r="DM188" s="117" t="n">
        <f aca="false">SUM(D188,J188,P188,V188,AD188,AL188,AU188,BC188,,BN188,BV188,CD188,CL188)-CT188</f>
        <v>0</v>
      </c>
      <c r="DN188" s="413"/>
      <c r="DO188" s="413"/>
      <c r="DP188" s="599" t="n">
        <v>0</v>
      </c>
      <c r="DQ188" s="415" t="n">
        <f aca="false">-CR188+DP188/10^6</f>
        <v>0</v>
      </c>
      <c r="DR188" s="117" t="n">
        <f aca="false">SUM(E188,K188,Q188,W188,AE188,AM188,AV188,BD188,BL188,BU188,CC188,CK188)-CS188</f>
        <v>0</v>
      </c>
      <c r="DS188" s="117" t="n">
        <f aca="false">SUM(D188,J188,P188,V188,AD188,AL188,AU188,BC188,,BN188,BV188,CD188,CL188)-CT188</f>
        <v>0</v>
      </c>
      <c r="DT188" s="416"/>
      <c r="DU188" s="440" t="n">
        <v>0</v>
      </c>
      <c r="DV188" s="418" t="n">
        <f aca="false">DU188-CJ188</f>
        <v>0</v>
      </c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  <c r="EB188" s="419"/>
    </row>
    <row r="189" s="441" customFormat="true" ht="15.75" hidden="true" customHeight="true" outlineLevel="1" collapsed="false">
      <c r="A189" s="286"/>
      <c r="B189" s="444" t="s">
        <v>446</v>
      </c>
      <c r="C189" s="431" t="s">
        <v>447</v>
      </c>
      <c r="D189" s="432"/>
      <c r="E189" s="433"/>
      <c r="F189" s="433"/>
      <c r="G189" s="433"/>
      <c r="H189" s="434"/>
      <c r="I189" s="422"/>
      <c r="J189" s="432"/>
      <c r="K189" s="433"/>
      <c r="L189" s="433"/>
      <c r="M189" s="433"/>
      <c r="N189" s="434"/>
      <c r="O189" s="435"/>
      <c r="P189" s="432"/>
      <c r="Q189" s="433"/>
      <c r="R189" s="433"/>
      <c r="S189" s="433"/>
      <c r="T189" s="434"/>
      <c r="U189" s="423"/>
      <c r="V189" s="432"/>
      <c r="W189" s="433"/>
      <c r="X189" s="433"/>
      <c r="Y189" s="433"/>
      <c r="Z189" s="433"/>
      <c r="AA189" s="433"/>
      <c r="AB189" s="434"/>
      <c r="AC189" s="435"/>
      <c r="AD189" s="432"/>
      <c r="AE189" s="433"/>
      <c r="AF189" s="433"/>
      <c r="AG189" s="433"/>
      <c r="AH189" s="433"/>
      <c r="AI189" s="433"/>
      <c r="AJ189" s="434"/>
      <c r="AK189" s="435"/>
      <c r="AL189" s="432"/>
      <c r="AM189" s="433"/>
      <c r="AN189" s="433"/>
      <c r="AO189" s="433"/>
      <c r="AP189" s="433"/>
      <c r="AQ189" s="433"/>
      <c r="AR189" s="433"/>
      <c r="AS189" s="434"/>
      <c r="AT189" s="424"/>
      <c r="AU189" s="432"/>
      <c r="AV189" s="433"/>
      <c r="AW189" s="433"/>
      <c r="AX189" s="433"/>
      <c r="AY189" s="433"/>
      <c r="AZ189" s="433"/>
      <c r="BA189" s="434"/>
      <c r="BB189" s="435"/>
      <c r="BC189" s="432"/>
      <c r="BD189" s="433"/>
      <c r="BE189" s="433"/>
      <c r="BF189" s="433"/>
      <c r="BG189" s="433"/>
      <c r="BH189" s="433"/>
      <c r="BI189" s="434"/>
      <c r="BJ189" s="436"/>
      <c r="BK189" s="432"/>
      <c r="BL189" s="433"/>
      <c r="BM189" s="433"/>
      <c r="BN189" s="433"/>
      <c r="BO189" s="433"/>
      <c r="BP189" s="433"/>
      <c r="BQ189" s="433"/>
      <c r="BR189" s="434"/>
      <c r="BS189" s="436"/>
      <c r="BT189" s="432"/>
      <c r="BU189" s="433"/>
      <c r="BV189" s="433"/>
      <c r="BW189" s="433"/>
      <c r="BX189" s="433"/>
      <c r="BY189" s="433"/>
      <c r="BZ189" s="434"/>
      <c r="CA189" s="373"/>
      <c r="CB189" s="432"/>
      <c r="CC189" s="433"/>
      <c r="CD189" s="433"/>
      <c r="CE189" s="433"/>
      <c r="CF189" s="433"/>
      <c r="CG189" s="433"/>
      <c r="CH189" s="434"/>
      <c r="CI189" s="373"/>
      <c r="CJ189" s="432"/>
      <c r="CK189" s="433"/>
      <c r="CL189" s="433"/>
      <c r="CM189" s="433"/>
      <c r="CN189" s="433"/>
      <c r="CO189" s="433"/>
      <c r="CP189" s="434"/>
      <c r="CQ189" s="435"/>
      <c r="CR189" s="432"/>
      <c r="CS189" s="433"/>
      <c r="CT189" s="433"/>
      <c r="CU189" s="433" t="n">
        <f aca="false">+CR189-CS189</f>
        <v>0</v>
      </c>
      <c r="CV189" s="433" t="n">
        <f aca="false">+CR189-CT189</f>
        <v>0</v>
      </c>
      <c r="CW189" s="433"/>
      <c r="CX189" s="434" t="str">
        <f aca="false">IFERROR(CR189/CW189-1, "-")</f>
        <v>-</v>
      </c>
      <c r="CY189" s="425"/>
      <c r="CZ189" s="437"/>
      <c r="DA189" s="433"/>
      <c r="DB189" s="433"/>
      <c r="DC189" s="433"/>
      <c r="DD189" s="433"/>
      <c r="DE189" s="434" t="e">
        <f aca="false">+CZ189/DD189-1</f>
        <v>#DIV/0!</v>
      </c>
      <c r="DF189" s="434" t="e">
        <f aca="false">+DA189/DD189-1</f>
        <v>#DIV/0!</v>
      </c>
      <c r="DG189" s="438" t="e">
        <f aca="false">+DB189/DD189-1</f>
        <v>#DIV/0!</v>
      </c>
      <c r="DH189" s="438" t="e">
        <f aca="false">+DC189/DD189-1</f>
        <v>#DIV/0!</v>
      </c>
      <c r="DI189" s="413"/>
      <c r="DJ189" s="117" t="n">
        <f aca="false">SUM(D189,J189,P189,V189,AD189,AL189,AU189,BC189,BK189,BT189,CB189,CJ189)-CR189</f>
        <v>0</v>
      </c>
      <c r="DK189" s="117" t="n">
        <f aca="false">SUM(E189,K189,Q189,W189,AE189,AM189,AV189,BD189,BL189,BU189,CC189,CK189)-CS189</f>
        <v>0</v>
      </c>
      <c r="DL189" s="117" t="n">
        <f aca="false">SUM(G189,M189,S189,AA189,AI189,AR189,AZ189,BH189,BQ189,BY189,CG189,CO189)-CW189</f>
        <v>0</v>
      </c>
      <c r="DM189" s="117" t="n">
        <f aca="false">SUM(D189,J189,P189,V189,AD189,AL189,AU189,BC189,,BN189,BV189,CD189,CL189)-CT189</f>
        <v>0</v>
      </c>
      <c r="DN189" s="413"/>
      <c r="DO189" s="413"/>
      <c r="DP189" s="439" t="n">
        <v>0</v>
      </c>
      <c r="DQ189" s="415" t="n">
        <f aca="false">-CR189+DP189/10^6</f>
        <v>0</v>
      </c>
      <c r="DR189" s="117" t="n">
        <f aca="false">SUM(E189,K189,Q189,W189,AE189,AM189,AV189,BD189,BL189,BU189,CC189,CK189)-CS189</f>
        <v>0</v>
      </c>
      <c r="DS189" s="117" t="n">
        <f aca="false">SUM(D189,J189,P189,V189,AD189,AL189,AU189,BC189,,BN189,BV189,CD189,CL189)-CT189</f>
        <v>0</v>
      </c>
      <c r="DT189" s="416"/>
      <c r="DU189" s="440" t="n">
        <v>0</v>
      </c>
      <c r="DV189" s="418" t="n">
        <f aca="false">DU189-CJ189</f>
        <v>0</v>
      </c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  <c r="EB189" s="419"/>
    </row>
    <row r="190" s="441" customFormat="true" ht="15.75" hidden="true" customHeight="true" outlineLevel="1" collapsed="false">
      <c r="A190" s="286"/>
      <c r="B190" s="444" t="s">
        <v>448</v>
      </c>
      <c r="C190" s="398" t="s">
        <v>449</v>
      </c>
      <c r="D190" s="592"/>
      <c r="E190" s="593"/>
      <c r="F190" s="593"/>
      <c r="G190" s="593"/>
      <c r="H190" s="594"/>
      <c r="I190" s="422"/>
      <c r="J190" s="592"/>
      <c r="K190" s="593"/>
      <c r="L190" s="593"/>
      <c r="M190" s="593"/>
      <c r="N190" s="594"/>
      <c r="O190" s="595"/>
      <c r="P190" s="592"/>
      <c r="Q190" s="593"/>
      <c r="R190" s="593"/>
      <c r="S190" s="593"/>
      <c r="T190" s="594"/>
      <c r="U190" s="423"/>
      <c r="V190" s="592"/>
      <c r="W190" s="593"/>
      <c r="X190" s="593"/>
      <c r="Y190" s="593"/>
      <c r="Z190" s="593"/>
      <c r="AA190" s="593"/>
      <c r="AB190" s="594"/>
      <c r="AC190" s="595"/>
      <c r="AD190" s="592"/>
      <c r="AE190" s="593"/>
      <c r="AF190" s="593"/>
      <c r="AG190" s="593"/>
      <c r="AH190" s="593"/>
      <c r="AI190" s="593"/>
      <c r="AJ190" s="594"/>
      <c r="AK190" s="595"/>
      <c r="AL190" s="592"/>
      <c r="AM190" s="593"/>
      <c r="AN190" s="593"/>
      <c r="AO190" s="593"/>
      <c r="AP190" s="593"/>
      <c r="AQ190" s="593"/>
      <c r="AR190" s="593"/>
      <c r="AS190" s="594"/>
      <c r="AT190" s="424"/>
      <c r="AU190" s="592"/>
      <c r="AV190" s="593"/>
      <c r="AW190" s="593"/>
      <c r="AX190" s="593"/>
      <c r="AY190" s="593"/>
      <c r="AZ190" s="593"/>
      <c r="BA190" s="594"/>
      <c r="BB190" s="595"/>
      <c r="BC190" s="592"/>
      <c r="BD190" s="593"/>
      <c r="BE190" s="593"/>
      <c r="BF190" s="593"/>
      <c r="BG190" s="593"/>
      <c r="BH190" s="593"/>
      <c r="BI190" s="594"/>
      <c r="BJ190" s="596"/>
      <c r="BK190" s="592"/>
      <c r="BL190" s="593"/>
      <c r="BM190" s="593"/>
      <c r="BN190" s="593"/>
      <c r="BO190" s="433"/>
      <c r="BP190" s="433"/>
      <c r="BQ190" s="593"/>
      <c r="BR190" s="594"/>
      <c r="BS190" s="596"/>
      <c r="BT190" s="592"/>
      <c r="BU190" s="593"/>
      <c r="BV190" s="593"/>
      <c r="BW190" s="593"/>
      <c r="BX190" s="593"/>
      <c r="BY190" s="593"/>
      <c r="BZ190" s="594"/>
      <c r="CA190" s="373"/>
      <c r="CB190" s="592"/>
      <c r="CC190" s="593"/>
      <c r="CD190" s="593"/>
      <c r="CE190" s="593"/>
      <c r="CF190" s="593"/>
      <c r="CG190" s="593"/>
      <c r="CH190" s="594"/>
      <c r="CI190" s="373"/>
      <c r="CJ190" s="592"/>
      <c r="CK190" s="593"/>
      <c r="CL190" s="593"/>
      <c r="CM190" s="593"/>
      <c r="CN190" s="593"/>
      <c r="CO190" s="593"/>
      <c r="CP190" s="594"/>
      <c r="CQ190" s="595"/>
      <c r="CR190" s="592"/>
      <c r="CS190" s="593"/>
      <c r="CT190" s="593"/>
      <c r="CU190" s="593" t="n">
        <f aca="false">+CR190-CS190</f>
        <v>0</v>
      </c>
      <c r="CV190" s="593" t="n">
        <f aca="false">+CR190-CT190</f>
        <v>0</v>
      </c>
      <c r="CW190" s="593"/>
      <c r="CX190" s="594" t="str">
        <f aca="false">IFERROR(CR190/CW190-1, "-")</f>
        <v>-</v>
      </c>
      <c r="CY190" s="597"/>
      <c r="CZ190" s="598"/>
      <c r="DA190" s="593"/>
      <c r="DB190" s="593"/>
      <c r="DC190" s="593"/>
      <c r="DD190" s="593"/>
      <c r="DE190" s="434"/>
      <c r="DF190" s="434"/>
      <c r="DG190" s="438"/>
      <c r="DH190" s="438"/>
      <c r="DI190" s="413"/>
      <c r="DJ190" s="117" t="n">
        <f aca="false">SUM(D190,J190,P190,V190,AD190,AL190,AU190,BC190,BK190,BT190,CB190,CJ190)-CR190</f>
        <v>0</v>
      </c>
      <c r="DK190" s="117" t="n">
        <f aca="false">SUM(E190,K190,Q190,W190,AE190,AM190,AV190,BD190,BL190,BU190,CC190,CK190)-CS190</f>
        <v>0</v>
      </c>
      <c r="DL190" s="117" t="n">
        <f aca="false">SUM(G190,M190,S190,AA190,AI190,AR190,AZ190,BH190,BQ190,BY190,CG190,CO190)-CW190</f>
        <v>0</v>
      </c>
      <c r="DM190" s="117" t="n">
        <f aca="false">SUM(D190,J190,P190,V190,AD190,AL190,AU190,BC190,,BN190,BV190,CD190,CL190)-CT190</f>
        <v>0</v>
      </c>
      <c r="DN190" s="413"/>
      <c r="DO190" s="413"/>
      <c r="DP190" s="599" t="n">
        <v>0</v>
      </c>
      <c r="DQ190" s="415" t="n">
        <f aca="false">-CR190+DP190/10^6</f>
        <v>0</v>
      </c>
      <c r="DR190" s="117" t="n">
        <f aca="false">SUM(E190,K190,Q190,W190,AE190,AM190,AV190,BD190,BL190,BU190,CC190,CK190)-CS190</f>
        <v>0</v>
      </c>
      <c r="DS190" s="117" t="n">
        <f aca="false">SUM(D190,J190,P190,V190,AD190,AL190,AU190,BC190,,BN190,BV190,CD190,CL190)-CT190</f>
        <v>0</v>
      </c>
      <c r="DT190" s="416"/>
      <c r="DU190" s="440" t="n">
        <v>0</v>
      </c>
      <c r="DV190" s="418" t="n">
        <f aca="false">DU190-CJ190</f>
        <v>0</v>
      </c>
      <c r="DX190" s="400" t="n">
        <f aca="false">(CS190-CZ190)*10^6</f>
        <v>0</v>
      </c>
      <c r="DY190" s="400" t="n">
        <f aca="false">(CT190-DC190)*10^6</f>
        <v>0</v>
      </c>
      <c r="DZ190" s="400" t="n">
        <f aca="false">(CW190-DD190)*10^6</f>
        <v>0</v>
      </c>
      <c r="EB190" s="419"/>
    </row>
    <row r="191" s="441" customFormat="true" ht="15.75" hidden="true" customHeight="true" outlineLevel="1" collapsed="false">
      <c r="A191" s="286"/>
      <c r="B191" s="444" t="s">
        <v>450</v>
      </c>
      <c r="C191" s="398" t="s">
        <v>451</v>
      </c>
      <c r="D191" s="592"/>
      <c r="E191" s="593"/>
      <c r="F191" s="593"/>
      <c r="G191" s="593"/>
      <c r="H191" s="594"/>
      <c r="I191" s="422"/>
      <c r="J191" s="592"/>
      <c r="K191" s="593"/>
      <c r="L191" s="593"/>
      <c r="M191" s="593"/>
      <c r="N191" s="594"/>
      <c r="O191" s="595"/>
      <c r="P191" s="592"/>
      <c r="Q191" s="593"/>
      <c r="R191" s="593"/>
      <c r="S191" s="593"/>
      <c r="T191" s="594"/>
      <c r="U191" s="423"/>
      <c r="V191" s="592"/>
      <c r="W191" s="593"/>
      <c r="X191" s="593"/>
      <c r="Y191" s="593"/>
      <c r="Z191" s="593"/>
      <c r="AA191" s="593"/>
      <c r="AB191" s="594"/>
      <c r="AC191" s="595"/>
      <c r="AD191" s="592"/>
      <c r="AE191" s="593"/>
      <c r="AF191" s="593"/>
      <c r="AG191" s="593"/>
      <c r="AH191" s="593"/>
      <c r="AI191" s="593"/>
      <c r="AJ191" s="594"/>
      <c r="AK191" s="595"/>
      <c r="AL191" s="592"/>
      <c r="AM191" s="593"/>
      <c r="AN191" s="593"/>
      <c r="AO191" s="593"/>
      <c r="AP191" s="593"/>
      <c r="AQ191" s="593"/>
      <c r="AR191" s="593"/>
      <c r="AS191" s="594"/>
      <c r="AT191" s="424"/>
      <c r="AU191" s="592"/>
      <c r="AV191" s="593"/>
      <c r="AW191" s="593"/>
      <c r="AX191" s="593"/>
      <c r="AY191" s="593"/>
      <c r="AZ191" s="593"/>
      <c r="BA191" s="594"/>
      <c r="BB191" s="595"/>
      <c r="BC191" s="592"/>
      <c r="BD191" s="593"/>
      <c r="BE191" s="593"/>
      <c r="BF191" s="593"/>
      <c r="BG191" s="593"/>
      <c r="BH191" s="593"/>
      <c r="BI191" s="594"/>
      <c r="BJ191" s="596"/>
      <c r="BK191" s="592"/>
      <c r="BL191" s="593"/>
      <c r="BM191" s="593"/>
      <c r="BN191" s="593"/>
      <c r="BO191" s="433"/>
      <c r="BP191" s="433"/>
      <c r="BQ191" s="593"/>
      <c r="BR191" s="594"/>
      <c r="BS191" s="596"/>
      <c r="BT191" s="592"/>
      <c r="BU191" s="593"/>
      <c r="BV191" s="593"/>
      <c r="BW191" s="593"/>
      <c r="BX191" s="593"/>
      <c r="BY191" s="593"/>
      <c r="BZ191" s="594"/>
      <c r="CA191" s="373"/>
      <c r="CB191" s="592"/>
      <c r="CC191" s="593"/>
      <c r="CD191" s="593"/>
      <c r="CE191" s="593"/>
      <c r="CF191" s="593"/>
      <c r="CG191" s="593"/>
      <c r="CH191" s="594"/>
      <c r="CI191" s="373"/>
      <c r="CJ191" s="592"/>
      <c r="CK191" s="593"/>
      <c r="CL191" s="593"/>
      <c r="CM191" s="593"/>
      <c r="CN191" s="593"/>
      <c r="CO191" s="593"/>
      <c r="CP191" s="594"/>
      <c r="CQ191" s="595"/>
      <c r="CR191" s="592"/>
      <c r="CS191" s="593"/>
      <c r="CT191" s="593"/>
      <c r="CU191" s="593" t="n">
        <f aca="false">+CR191-CS191</f>
        <v>0</v>
      </c>
      <c r="CV191" s="593" t="n">
        <f aca="false">+CR191-CT191</f>
        <v>0</v>
      </c>
      <c r="CW191" s="593"/>
      <c r="CX191" s="594" t="str">
        <f aca="false">IFERROR(CR191/CW191-1, "-")</f>
        <v>-</v>
      </c>
      <c r="CY191" s="597"/>
      <c r="CZ191" s="598"/>
      <c r="DA191" s="593"/>
      <c r="DB191" s="593"/>
      <c r="DC191" s="593"/>
      <c r="DD191" s="593"/>
      <c r="DE191" s="434" t="e">
        <f aca="false">+CZ191/DD191-1</f>
        <v>#DIV/0!</v>
      </c>
      <c r="DF191" s="434" t="e">
        <f aca="false">+DA191/DD191-1</f>
        <v>#DIV/0!</v>
      </c>
      <c r="DG191" s="438" t="e">
        <f aca="false">+DB191/DD191-1</f>
        <v>#DIV/0!</v>
      </c>
      <c r="DH191" s="438" t="e">
        <f aca="false">+DC191/DD191-1</f>
        <v>#DIV/0!</v>
      </c>
      <c r="DI191" s="413"/>
      <c r="DJ191" s="117" t="n">
        <f aca="false">SUM(D191,J191,P191,V191,AD191,AL191,AU191,BC191,BK191,BT191,CB191,CJ191)-CR191</f>
        <v>0</v>
      </c>
      <c r="DK191" s="117" t="n">
        <f aca="false">SUM(E191,K191,Q191,W191,AE191,AM191,AV191,BD191,BL191,BU191,CC191,CK191)-CS191</f>
        <v>0</v>
      </c>
      <c r="DL191" s="117" t="n">
        <f aca="false">SUM(G191,M191,S191,AA191,AI191,AR191,AZ191,BH191,BQ191,BY191,CG191,CO191)-CW191</f>
        <v>0</v>
      </c>
      <c r="DM191" s="117" t="n">
        <f aca="false">SUM(D191,J191,P191,V191,AD191,AL191,AU191,BC191,,BN191,BV191,CD191,CL191)-CT191</f>
        <v>0</v>
      </c>
      <c r="DN191" s="413"/>
      <c r="DO191" s="413"/>
      <c r="DP191" s="599" t="n">
        <v>293139877</v>
      </c>
      <c r="DQ191" s="415" t="n">
        <f aca="false">-CR191+DP191/10^6</f>
        <v>293.139877</v>
      </c>
      <c r="DR191" s="117" t="n">
        <f aca="false">SUM(E191,K191,Q191,W191,AE191,AM191,AV191,BD191,BL191,BU191,CC191,CK191)-CS191</f>
        <v>0</v>
      </c>
      <c r="DS191" s="117" t="n">
        <f aca="false">SUM(D191,J191,P191,V191,AD191,AL191,AU191,BC191,,BN191,BV191,CD191,CL191)-CT191</f>
        <v>0</v>
      </c>
      <c r="DT191" s="416"/>
      <c r="DU191" s="440" t="n">
        <v>167.672564</v>
      </c>
      <c r="DV191" s="418" t="n">
        <f aca="false">DU191-CJ191</f>
        <v>167.672564</v>
      </c>
      <c r="DX191" s="400" t="n">
        <f aca="false">(CS191-CZ191)*10^6</f>
        <v>0</v>
      </c>
      <c r="DY191" s="400" t="n">
        <f aca="false">(CT191-DC191)*10^6</f>
        <v>0</v>
      </c>
      <c r="DZ191" s="400" t="n">
        <f aca="false">(CW191-DD191)*10^6</f>
        <v>0</v>
      </c>
      <c r="EB191" s="419"/>
    </row>
    <row r="192" s="441" customFormat="true" ht="15.75" hidden="true" customHeight="true" outlineLevel="1" collapsed="false">
      <c r="A192" s="286"/>
      <c r="B192" s="444" t="s">
        <v>452</v>
      </c>
      <c r="C192" s="398" t="s">
        <v>453</v>
      </c>
      <c r="D192" s="592"/>
      <c r="E192" s="593"/>
      <c r="F192" s="593"/>
      <c r="G192" s="593"/>
      <c r="H192" s="594"/>
      <c r="I192" s="422"/>
      <c r="J192" s="592"/>
      <c r="K192" s="593"/>
      <c r="L192" s="593"/>
      <c r="M192" s="593"/>
      <c r="N192" s="594"/>
      <c r="O192" s="595"/>
      <c r="P192" s="592"/>
      <c r="Q192" s="593"/>
      <c r="R192" s="593"/>
      <c r="S192" s="593"/>
      <c r="T192" s="594"/>
      <c r="U192" s="423"/>
      <c r="V192" s="592"/>
      <c r="W192" s="593"/>
      <c r="X192" s="593"/>
      <c r="Y192" s="593"/>
      <c r="Z192" s="593"/>
      <c r="AA192" s="593"/>
      <c r="AB192" s="594"/>
      <c r="AC192" s="595"/>
      <c r="AD192" s="592"/>
      <c r="AE192" s="593"/>
      <c r="AF192" s="593"/>
      <c r="AG192" s="593"/>
      <c r="AH192" s="593"/>
      <c r="AI192" s="593"/>
      <c r="AJ192" s="594"/>
      <c r="AK192" s="595"/>
      <c r="AL192" s="592"/>
      <c r="AM192" s="593"/>
      <c r="AN192" s="593"/>
      <c r="AO192" s="593"/>
      <c r="AP192" s="593"/>
      <c r="AQ192" s="593"/>
      <c r="AR192" s="593"/>
      <c r="AS192" s="594"/>
      <c r="AT192" s="424"/>
      <c r="AU192" s="592"/>
      <c r="AV192" s="593"/>
      <c r="AW192" s="593"/>
      <c r="AX192" s="593"/>
      <c r="AY192" s="593"/>
      <c r="AZ192" s="593"/>
      <c r="BA192" s="594"/>
      <c r="BB192" s="595"/>
      <c r="BC192" s="592"/>
      <c r="BD192" s="593"/>
      <c r="BE192" s="593"/>
      <c r="BF192" s="593"/>
      <c r="BG192" s="593"/>
      <c r="BH192" s="593"/>
      <c r="BI192" s="594"/>
      <c r="BJ192" s="596"/>
      <c r="BK192" s="592"/>
      <c r="BL192" s="593"/>
      <c r="BM192" s="593"/>
      <c r="BN192" s="593"/>
      <c r="BO192" s="433"/>
      <c r="BP192" s="433"/>
      <c r="BQ192" s="593"/>
      <c r="BR192" s="594"/>
      <c r="BS192" s="596"/>
      <c r="BT192" s="592"/>
      <c r="BU192" s="593"/>
      <c r="BV192" s="593"/>
      <c r="BW192" s="593"/>
      <c r="BX192" s="593"/>
      <c r="BY192" s="593"/>
      <c r="BZ192" s="594"/>
      <c r="CA192" s="373"/>
      <c r="CB192" s="592"/>
      <c r="CC192" s="593"/>
      <c r="CD192" s="593"/>
      <c r="CE192" s="593"/>
      <c r="CF192" s="593"/>
      <c r="CG192" s="593"/>
      <c r="CH192" s="594"/>
      <c r="CI192" s="373"/>
      <c r="CJ192" s="592"/>
      <c r="CK192" s="593"/>
      <c r="CL192" s="593"/>
      <c r="CM192" s="593"/>
      <c r="CN192" s="593"/>
      <c r="CO192" s="593"/>
      <c r="CP192" s="594"/>
      <c r="CQ192" s="595"/>
      <c r="CR192" s="592"/>
      <c r="CS192" s="593"/>
      <c r="CT192" s="593"/>
      <c r="CU192" s="593" t="n">
        <f aca="false">+CR192-CS192</f>
        <v>0</v>
      </c>
      <c r="CV192" s="593" t="n">
        <f aca="false">+CR192-CT192</f>
        <v>0</v>
      </c>
      <c r="CW192" s="593"/>
      <c r="CX192" s="594" t="str">
        <f aca="false">IFERROR(CR192/CW192-1, "-")</f>
        <v>-</v>
      </c>
      <c r="CY192" s="597"/>
      <c r="CZ192" s="598"/>
      <c r="DA192" s="593"/>
      <c r="DB192" s="593"/>
      <c r="DC192" s="593"/>
      <c r="DD192" s="593"/>
      <c r="DE192" s="434"/>
      <c r="DF192" s="434" t="e">
        <f aca="false">+DA192/DD192-1</f>
        <v>#DIV/0!</v>
      </c>
      <c r="DG192" s="438" t="e">
        <f aca="false">+DB192/DD192-1</f>
        <v>#DIV/0!</v>
      </c>
      <c r="DH192" s="438" t="e">
        <f aca="false">+DC192/DD192-1</f>
        <v>#DIV/0!</v>
      </c>
      <c r="DI192" s="413"/>
      <c r="DJ192" s="117" t="n">
        <f aca="false">SUM(D192,J192,P192,V192,AD192,AL192,AU192,BC192,BK192,BT192,CB192,CJ192)-CR192</f>
        <v>0</v>
      </c>
      <c r="DK192" s="117" t="n">
        <f aca="false">SUM(E192,K192,Q192,W192,AE192,AM192,AV192,BD192,BL192,BU192,CC192,CK192)-CS192</f>
        <v>0</v>
      </c>
      <c r="DL192" s="117" t="n">
        <f aca="false">SUM(G192,M192,S192,AA192,AI192,AR192,AZ192,BH192,BQ192,BY192,CG192,CO192)-CW192</f>
        <v>0</v>
      </c>
      <c r="DM192" s="117" t="n">
        <f aca="false">SUM(D192,J192,P192,V192,AD192,AL192,AU192,BC192,,BN192,BV192,CD192,CL192)-CT192</f>
        <v>0</v>
      </c>
      <c r="DN192" s="413"/>
      <c r="DO192" s="413"/>
      <c r="DP192" s="599" t="n">
        <v>3</v>
      </c>
      <c r="DQ192" s="415" t="n">
        <f aca="false">-CR192+DP192/10^6</f>
        <v>3E-006</v>
      </c>
      <c r="DR192" s="117" t="n">
        <f aca="false">SUM(E192,K192,Q192,W192,AE192,AM192,AV192,BD192,BL192,BU192,CC192,CK192)-CS192</f>
        <v>0</v>
      </c>
      <c r="DS192" s="117" t="n">
        <f aca="false">SUM(D192,J192,P192,V192,AD192,AL192,AU192,BC192,,BN192,BV192,CD192,CL192)-CT192</f>
        <v>0</v>
      </c>
      <c r="DT192" s="416"/>
      <c r="DU192" s="440" t="n">
        <v>0</v>
      </c>
      <c r="DV192" s="418" t="n">
        <f aca="false">DU192-CJ192</f>
        <v>0</v>
      </c>
      <c r="DX192" s="400" t="n">
        <f aca="false">(CS192-CZ192)*10^6</f>
        <v>0</v>
      </c>
      <c r="DY192" s="400" t="n">
        <f aca="false">(CT192-DC192)*10^6</f>
        <v>0</v>
      </c>
      <c r="DZ192" s="400" t="n">
        <f aca="false">(CW192-DD192)*10^6</f>
        <v>0</v>
      </c>
      <c r="EB192" s="419"/>
    </row>
    <row r="193" s="441" customFormat="true" ht="15.75" hidden="true" customHeight="true" outlineLevel="1" collapsed="false">
      <c r="A193" s="286"/>
      <c r="B193" s="444" t="s">
        <v>454</v>
      </c>
      <c r="C193" s="431" t="s">
        <v>455</v>
      </c>
      <c r="D193" s="432"/>
      <c r="E193" s="433"/>
      <c r="F193" s="433"/>
      <c r="G193" s="433"/>
      <c r="H193" s="434"/>
      <c r="I193" s="422"/>
      <c r="J193" s="432"/>
      <c r="K193" s="433"/>
      <c r="L193" s="433"/>
      <c r="M193" s="433"/>
      <c r="N193" s="434"/>
      <c r="O193" s="435"/>
      <c r="P193" s="432"/>
      <c r="Q193" s="433"/>
      <c r="R193" s="433"/>
      <c r="S193" s="433"/>
      <c r="T193" s="434"/>
      <c r="U193" s="423"/>
      <c r="V193" s="432"/>
      <c r="W193" s="433"/>
      <c r="X193" s="433"/>
      <c r="Y193" s="433"/>
      <c r="Z193" s="433"/>
      <c r="AA193" s="433"/>
      <c r="AB193" s="434"/>
      <c r="AC193" s="435"/>
      <c r="AD193" s="432"/>
      <c r="AE193" s="433"/>
      <c r="AF193" s="433"/>
      <c r="AG193" s="433"/>
      <c r="AH193" s="433"/>
      <c r="AI193" s="433"/>
      <c r="AJ193" s="434"/>
      <c r="AK193" s="435"/>
      <c r="AL193" s="432"/>
      <c r="AM193" s="433"/>
      <c r="AN193" s="433"/>
      <c r="AO193" s="433"/>
      <c r="AP193" s="433"/>
      <c r="AQ193" s="433"/>
      <c r="AR193" s="433"/>
      <c r="AS193" s="434"/>
      <c r="AT193" s="424"/>
      <c r="AU193" s="432"/>
      <c r="AV193" s="433"/>
      <c r="AW193" s="433"/>
      <c r="AX193" s="433"/>
      <c r="AY193" s="433"/>
      <c r="AZ193" s="433"/>
      <c r="BA193" s="434"/>
      <c r="BB193" s="435"/>
      <c r="BC193" s="432"/>
      <c r="BD193" s="433"/>
      <c r="BE193" s="433"/>
      <c r="BF193" s="433"/>
      <c r="BG193" s="433"/>
      <c r="BH193" s="433"/>
      <c r="BI193" s="434"/>
      <c r="BJ193" s="436"/>
      <c r="BK193" s="432"/>
      <c r="BL193" s="433"/>
      <c r="BM193" s="433"/>
      <c r="BN193" s="433"/>
      <c r="BO193" s="433"/>
      <c r="BP193" s="433"/>
      <c r="BQ193" s="433"/>
      <c r="BR193" s="434"/>
      <c r="BS193" s="436"/>
      <c r="BT193" s="432"/>
      <c r="BU193" s="433"/>
      <c r="BV193" s="433"/>
      <c r="BW193" s="433"/>
      <c r="BX193" s="433"/>
      <c r="BY193" s="433"/>
      <c r="BZ193" s="434"/>
      <c r="CA193" s="373"/>
      <c r="CB193" s="432"/>
      <c r="CC193" s="433"/>
      <c r="CD193" s="433"/>
      <c r="CE193" s="433"/>
      <c r="CF193" s="433"/>
      <c r="CG193" s="433"/>
      <c r="CH193" s="434"/>
      <c r="CI193" s="373"/>
      <c r="CJ193" s="432"/>
      <c r="CK193" s="433"/>
      <c r="CL193" s="433"/>
      <c r="CM193" s="433"/>
      <c r="CN193" s="433"/>
      <c r="CO193" s="433"/>
      <c r="CP193" s="434"/>
      <c r="CQ193" s="435"/>
      <c r="CR193" s="539"/>
      <c r="CS193" s="433"/>
      <c r="CT193" s="433"/>
      <c r="CU193" s="433" t="n">
        <f aca="false">+CR193-CS193</f>
        <v>0</v>
      </c>
      <c r="CV193" s="433" t="n">
        <f aca="false">+CR193-CT193</f>
        <v>0</v>
      </c>
      <c r="CW193" s="433"/>
      <c r="CX193" s="434" t="str">
        <f aca="false">IFERROR(CR193/CW193-1, "-")</f>
        <v>-</v>
      </c>
      <c r="CY193" s="425"/>
      <c r="CZ193" s="437"/>
      <c r="DA193" s="433"/>
      <c r="DB193" s="433"/>
      <c r="DC193" s="433"/>
      <c r="DD193" s="433"/>
      <c r="DE193" s="434"/>
      <c r="DF193" s="434"/>
      <c r="DG193" s="438"/>
      <c r="DH193" s="438"/>
      <c r="DI193" s="413"/>
      <c r="DJ193" s="117" t="n">
        <f aca="false">SUM(D193,J193,P193,V193,AD193,AL193,AU193,BC193,BK193,BT193,CB193,CJ193)-CR193</f>
        <v>0</v>
      </c>
      <c r="DK193" s="117" t="n">
        <f aca="false">SUM(E193,K193,Q193,W193,AE193,AM193,AV193,BD193,BL193,BU193,CC193,CK193)-CS193</f>
        <v>0</v>
      </c>
      <c r="DL193" s="117" t="n">
        <f aca="false">SUM(G193,M193,S193,AA193,AI193,AR193,AZ193,BH193,BQ193,BY193,CG193,CO193)-CW193</f>
        <v>0</v>
      </c>
      <c r="DM193" s="117" t="n">
        <f aca="false">SUM(D193,J193,P193,V193,AD193,AL193,AU193,BC193,,BN193,BV193,CD193,CL193)-CT193</f>
        <v>0</v>
      </c>
      <c r="DN193" s="413"/>
      <c r="DO193" s="413"/>
      <c r="DP193" s="439" t="n">
        <v>0</v>
      </c>
      <c r="DQ193" s="415" t="n">
        <f aca="false">-CR193+DP193/10^6</f>
        <v>0</v>
      </c>
      <c r="DR193" s="117" t="n">
        <f aca="false">SUM(E193,K193,Q193,W193,AE193,AM193,AV193,BD193,BL193,BU193,CC193,CK193)-CS193</f>
        <v>0</v>
      </c>
      <c r="DS193" s="117" t="n">
        <f aca="false">SUM(D193,J193,P193,V193,AD193,AL193,AU193,BC193,,BN193,BV193,CD193,CL193)-CT193</f>
        <v>0</v>
      </c>
      <c r="DT193" s="416"/>
      <c r="DU193" s="440" t="n">
        <v>0</v>
      </c>
      <c r="DV193" s="418" t="n">
        <f aca="false">DU193-CJ193</f>
        <v>0</v>
      </c>
      <c r="DX193" s="400" t="n">
        <f aca="false">(CS193-CZ193)*10^6</f>
        <v>0</v>
      </c>
      <c r="DY193" s="400" t="n">
        <f aca="false">(CT193-DC193)*10^6</f>
        <v>0</v>
      </c>
      <c r="DZ193" s="400" t="n">
        <f aca="false">(CW193-DD193)*10^6</f>
        <v>0</v>
      </c>
      <c r="EB193" s="419"/>
    </row>
    <row r="194" s="441" customFormat="true" ht="15.75" hidden="true" customHeight="true" outlineLevel="1" collapsed="false">
      <c r="A194" s="286"/>
      <c r="B194" s="444" t="s">
        <v>456</v>
      </c>
      <c r="C194" s="431" t="s">
        <v>457</v>
      </c>
      <c r="D194" s="432"/>
      <c r="E194" s="433"/>
      <c r="F194" s="433"/>
      <c r="G194" s="433"/>
      <c r="H194" s="434"/>
      <c r="I194" s="422"/>
      <c r="J194" s="432"/>
      <c r="K194" s="433"/>
      <c r="L194" s="433"/>
      <c r="M194" s="433"/>
      <c r="N194" s="434"/>
      <c r="O194" s="435"/>
      <c r="P194" s="432"/>
      <c r="Q194" s="433"/>
      <c r="R194" s="433"/>
      <c r="S194" s="433"/>
      <c r="T194" s="434"/>
      <c r="U194" s="423"/>
      <c r="V194" s="432"/>
      <c r="W194" s="433"/>
      <c r="X194" s="433"/>
      <c r="Y194" s="433"/>
      <c r="Z194" s="433"/>
      <c r="AA194" s="433"/>
      <c r="AB194" s="434"/>
      <c r="AC194" s="435"/>
      <c r="AD194" s="432"/>
      <c r="AE194" s="433"/>
      <c r="AF194" s="433"/>
      <c r="AG194" s="433"/>
      <c r="AH194" s="433"/>
      <c r="AI194" s="433"/>
      <c r="AJ194" s="434"/>
      <c r="AK194" s="435"/>
      <c r="AL194" s="432"/>
      <c r="AM194" s="433"/>
      <c r="AN194" s="433"/>
      <c r="AO194" s="433"/>
      <c r="AP194" s="433"/>
      <c r="AQ194" s="433"/>
      <c r="AR194" s="433"/>
      <c r="AS194" s="434"/>
      <c r="AT194" s="424"/>
      <c r="AU194" s="432"/>
      <c r="AV194" s="433"/>
      <c r="AW194" s="433"/>
      <c r="AX194" s="433"/>
      <c r="AY194" s="433"/>
      <c r="AZ194" s="433"/>
      <c r="BA194" s="434"/>
      <c r="BB194" s="435"/>
      <c r="BC194" s="432"/>
      <c r="BD194" s="433"/>
      <c r="BE194" s="433"/>
      <c r="BF194" s="433"/>
      <c r="BG194" s="433"/>
      <c r="BH194" s="433"/>
      <c r="BI194" s="434"/>
      <c r="BJ194" s="436"/>
      <c r="BK194" s="432"/>
      <c r="BL194" s="433"/>
      <c r="BM194" s="433"/>
      <c r="BN194" s="433"/>
      <c r="BO194" s="433"/>
      <c r="BP194" s="433"/>
      <c r="BQ194" s="433"/>
      <c r="BR194" s="434"/>
      <c r="BS194" s="436"/>
      <c r="BT194" s="432"/>
      <c r="BU194" s="433"/>
      <c r="BV194" s="433"/>
      <c r="BW194" s="433"/>
      <c r="BX194" s="433"/>
      <c r="BY194" s="433"/>
      <c r="BZ194" s="434"/>
      <c r="CA194" s="373"/>
      <c r="CB194" s="432"/>
      <c r="CC194" s="433"/>
      <c r="CD194" s="433"/>
      <c r="CE194" s="433"/>
      <c r="CF194" s="433"/>
      <c r="CG194" s="433"/>
      <c r="CH194" s="434"/>
      <c r="CI194" s="373"/>
      <c r="CJ194" s="432"/>
      <c r="CK194" s="433"/>
      <c r="CL194" s="433"/>
      <c r="CM194" s="433"/>
      <c r="CN194" s="433"/>
      <c r="CO194" s="433"/>
      <c r="CP194" s="434"/>
      <c r="CQ194" s="435"/>
      <c r="CR194" s="432"/>
      <c r="CS194" s="433"/>
      <c r="CT194" s="433"/>
      <c r="CU194" s="433" t="n">
        <f aca="false">+CR194-CS194</f>
        <v>0</v>
      </c>
      <c r="CV194" s="433" t="n">
        <f aca="false">+CR194-CT194</f>
        <v>0</v>
      </c>
      <c r="CW194" s="433"/>
      <c r="CX194" s="434" t="str">
        <f aca="false">IFERROR(CR194/CW194-1, "-")</f>
        <v>-</v>
      </c>
      <c r="CY194" s="425"/>
      <c r="CZ194" s="437"/>
      <c r="DA194" s="433"/>
      <c r="DB194" s="433"/>
      <c r="DC194" s="433"/>
      <c r="DD194" s="433"/>
      <c r="DE194" s="434"/>
      <c r="DF194" s="434" t="e">
        <f aca="false">+DA194/DD194-1</f>
        <v>#DIV/0!</v>
      </c>
      <c r="DG194" s="438" t="e">
        <f aca="false">+DB194/DD194-1</f>
        <v>#DIV/0!</v>
      </c>
      <c r="DH194" s="438" t="e">
        <f aca="false">+DC194/DD194-1</f>
        <v>#DIV/0!</v>
      </c>
      <c r="DI194" s="413"/>
      <c r="DJ194" s="117" t="n">
        <f aca="false">SUM(D194,J194,P194,V194,AD194,AL194,AU194,BC194,BK194,BT194,CB194,CJ194)-CR194</f>
        <v>0</v>
      </c>
      <c r="DK194" s="117" t="n">
        <f aca="false">SUM(E194,K194,Q194,W194,AE194,AM194,AV194,BD194,BL194,BU194,CC194,CK194)-CS194</f>
        <v>0</v>
      </c>
      <c r="DL194" s="117" t="n">
        <f aca="false">SUM(G194,M194,S194,AA194,AI194,AR194,AZ194,BH194,BQ194,BY194,CG194,CO194)-CW194</f>
        <v>0</v>
      </c>
      <c r="DM194" s="117" t="n">
        <f aca="false">SUM(D194,J194,P194,V194,AD194,AL194,AU194,BC194,,BN194,BV194,CD194,CL194)-CT194</f>
        <v>0</v>
      </c>
      <c r="DN194" s="413"/>
      <c r="DO194" s="413"/>
      <c r="DP194" s="439" t="n">
        <v>0</v>
      </c>
      <c r="DQ194" s="415" t="n">
        <f aca="false">-CR194+DP194/10^6</f>
        <v>0</v>
      </c>
      <c r="DR194" s="117" t="n">
        <f aca="false">SUM(E194,K194,Q194,W194,AE194,AM194,AV194,BD194,BL194,BU194,CC194,CK194)-CS194</f>
        <v>0</v>
      </c>
      <c r="DS194" s="117" t="n">
        <f aca="false">SUM(D194,J194,P194,V194,AD194,AL194,AU194,BC194,,BN194,BV194,CD194,CL194)-CT194</f>
        <v>0</v>
      </c>
      <c r="DT194" s="416"/>
      <c r="DU194" s="440" t="n">
        <v>0</v>
      </c>
      <c r="DV194" s="418" t="n">
        <f aca="false">DU194-CJ194</f>
        <v>0</v>
      </c>
      <c r="DX194" s="400" t="n">
        <f aca="false">(CS194-CZ194)*10^6</f>
        <v>0</v>
      </c>
      <c r="DY194" s="400" t="n">
        <f aca="false">(CT194-DC194)*10^6</f>
        <v>0</v>
      </c>
      <c r="DZ194" s="400" t="n">
        <f aca="false">(CW194-DD194)*10^6</f>
        <v>0</v>
      </c>
      <c r="EB194" s="419"/>
    </row>
    <row r="195" s="441" customFormat="true" ht="15.75" hidden="true" customHeight="true" outlineLevel="1" collapsed="false">
      <c r="A195" s="286"/>
      <c r="B195" s="444" t="s">
        <v>458</v>
      </c>
      <c r="C195" s="431" t="s">
        <v>459</v>
      </c>
      <c r="D195" s="432"/>
      <c r="E195" s="433"/>
      <c r="F195" s="433"/>
      <c r="G195" s="433"/>
      <c r="H195" s="434"/>
      <c r="I195" s="422"/>
      <c r="J195" s="432"/>
      <c r="K195" s="433"/>
      <c r="L195" s="433"/>
      <c r="M195" s="433"/>
      <c r="N195" s="434"/>
      <c r="O195" s="435"/>
      <c r="P195" s="432"/>
      <c r="Q195" s="433"/>
      <c r="R195" s="433"/>
      <c r="S195" s="433"/>
      <c r="T195" s="434"/>
      <c r="U195" s="423"/>
      <c r="V195" s="432"/>
      <c r="W195" s="433"/>
      <c r="X195" s="433"/>
      <c r="Y195" s="433"/>
      <c r="Z195" s="433"/>
      <c r="AA195" s="433"/>
      <c r="AB195" s="434"/>
      <c r="AC195" s="435"/>
      <c r="AD195" s="432"/>
      <c r="AE195" s="433"/>
      <c r="AF195" s="433"/>
      <c r="AG195" s="433"/>
      <c r="AH195" s="433"/>
      <c r="AI195" s="433"/>
      <c r="AJ195" s="434"/>
      <c r="AK195" s="435"/>
      <c r="AL195" s="432"/>
      <c r="AM195" s="433"/>
      <c r="AN195" s="433"/>
      <c r="AO195" s="433"/>
      <c r="AP195" s="433"/>
      <c r="AQ195" s="433"/>
      <c r="AR195" s="433"/>
      <c r="AS195" s="434"/>
      <c r="AT195" s="424"/>
      <c r="AU195" s="432"/>
      <c r="AV195" s="433"/>
      <c r="AW195" s="433"/>
      <c r="AX195" s="433"/>
      <c r="AY195" s="433"/>
      <c r="AZ195" s="433"/>
      <c r="BA195" s="434"/>
      <c r="BB195" s="435"/>
      <c r="BC195" s="432"/>
      <c r="BD195" s="433"/>
      <c r="BE195" s="433"/>
      <c r="BF195" s="433"/>
      <c r="BG195" s="433"/>
      <c r="BH195" s="433"/>
      <c r="BI195" s="434"/>
      <c r="BJ195" s="436"/>
      <c r="BK195" s="432"/>
      <c r="BL195" s="433"/>
      <c r="BM195" s="433"/>
      <c r="BN195" s="433"/>
      <c r="BO195" s="433"/>
      <c r="BP195" s="433"/>
      <c r="BQ195" s="433"/>
      <c r="BR195" s="434"/>
      <c r="BS195" s="436"/>
      <c r="BT195" s="432"/>
      <c r="BU195" s="433"/>
      <c r="BV195" s="433"/>
      <c r="BW195" s="433"/>
      <c r="BX195" s="433"/>
      <c r="BY195" s="433"/>
      <c r="BZ195" s="434"/>
      <c r="CA195" s="373"/>
      <c r="CB195" s="432"/>
      <c r="CC195" s="433"/>
      <c r="CD195" s="433"/>
      <c r="CE195" s="433"/>
      <c r="CF195" s="433"/>
      <c r="CG195" s="433"/>
      <c r="CH195" s="434"/>
      <c r="CI195" s="373"/>
      <c r="CJ195" s="432"/>
      <c r="CK195" s="433"/>
      <c r="CL195" s="433"/>
      <c r="CM195" s="433"/>
      <c r="CN195" s="433"/>
      <c r="CO195" s="433"/>
      <c r="CP195" s="434"/>
      <c r="CQ195" s="435"/>
      <c r="CR195" s="539"/>
      <c r="CS195" s="433"/>
      <c r="CT195" s="433"/>
      <c r="CU195" s="433" t="n">
        <f aca="false">+CR195-CS195</f>
        <v>0</v>
      </c>
      <c r="CV195" s="433" t="n">
        <f aca="false">+CR195-CT195</f>
        <v>0</v>
      </c>
      <c r="CW195" s="433"/>
      <c r="CX195" s="434" t="str">
        <f aca="false">IFERROR(CR195/CW195-1, "-")</f>
        <v>-</v>
      </c>
      <c r="CY195" s="425"/>
      <c r="CZ195" s="437"/>
      <c r="DA195" s="433"/>
      <c r="DB195" s="433"/>
      <c r="DC195" s="433"/>
      <c r="DD195" s="433"/>
      <c r="DE195" s="434" t="e">
        <f aca="false">+CZ195/DD195-1</f>
        <v>#DIV/0!</v>
      </c>
      <c r="DF195" s="434" t="e">
        <f aca="false">+DA195/DD195-1</f>
        <v>#DIV/0!</v>
      </c>
      <c r="DG195" s="438" t="e">
        <f aca="false">+DB195/DD195-1</f>
        <v>#DIV/0!</v>
      </c>
      <c r="DH195" s="438" t="e">
        <f aca="false">+DC195/DD195-1</f>
        <v>#DIV/0!</v>
      </c>
      <c r="DI195" s="413"/>
      <c r="DJ195" s="117" t="n">
        <f aca="false">SUM(D195,J195,P195,V195,AD195,AL195,AU195,BC195,BK195,BT195,CB195,CJ195)-CR195</f>
        <v>0</v>
      </c>
      <c r="DK195" s="117" t="n">
        <f aca="false">SUM(E195,K195,Q195,W195,AE195,AM195,AV195,BD195,BL195,BU195,CC195,CK195)-CS195</f>
        <v>0</v>
      </c>
      <c r="DL195" s="117" t="n">
        <f aca="false">SUM(G195,M195,S195,AA195,AI195,AR195,AZ195,BH195,BQ195,BY195,CG195,CO195)-CW195</f>
        <v>0</v>
      </c>
      <c r="DM195" s="117" t="n">
        <f aca="false">SUM(D195,J195,P195,V195,AD195,AL195,AU195,BC195,,BN195,BV195,CD195,CL195)-CT195</f>
        <v>0</v>
      </c>
      <c r="DN195" s="413"/>
      <c r="DO195" s="413"/>
      <c r="DP195" s="439" t="n">
        <v>0</v>
      </c>
      <c r="DQ195" s="415" t="n">
        <f aca="false">-CR195+DP195/10^6</f>
        <v>0</v>
      </c>
      <c r="DR195" s="117" t="n">
        <f aca="false">SUM(E195,K195,Q195,W195,AE195,AM195,AV195,BD195,BL195,BU195,CC195,CK195)-CS195</f>
        <v>0</v>
      </c>
      <c r="DS195" s="117" t="n">
        <f aca="false">SUM(D195,J195,P195,V195,AD195,AL195,AU195,BC195,,BN195,BV195,CD195,CL195)-CT195</f>
        <v>0</v>
      </c>
      <c r="DT195" s="416"/>
      <c r="DU195" s="440" t="n">
        <v>0</v>
      </c>
      <c r="DV195" s="418" t="n">
        <f aca="false">DU195-CJ195</f>
        <v>0</v>
      </c>
      <c r="DX195" s="400" t="n">
        <f aca="false">(CS195-CZ195)*10^6</f>
        <v>0</v>
      </c>
      <c r="DY195" s="400" t="n">
        <f aca="false">(CT195-DC195)*10^6</f>
        <v>0</v>
      </c>
      <c r="DZ195" s="400" t="n">
        <f aca="false">(CW195-DD195)*10^6</f>
        <v>0</v>
      </c>
      <c r="EB195" s="419"/>
    </row>
    <row r="196" s="441" customFormat="true" ht="15.75" hidden="true" customHeight="true" outlineLevel="1" collapsed="false">
      <c r="A196" s="286"/>
      <c r="B196" s="444" t="s">
        <v>460</v>
      </c>
      <c r="C196" s="431" t="s">
        <v>461</v>
      </c>
      <c r="D196" s="432"/>
      <c r="E196" s="433"/>
      <c r="F196" s="433"/>
      <c r="G196" s="433"/>
      <c r="H196" s="434"/>
      <c r="I196" s="422"/>
      <c r="J196" s="432"/>
      <c r="K196" s="433"/>
      <c r="L196" s="433"/>
      <c r="M196" s="433"/>
      <c r="N196" s="434"/>
      <c r="O196" s="435"/>
      <c r="P196" s="432"/>
      <c r="Q196" s="433"/>
      <c r="R196" s="433"/>
      <c r="S196" s="433"/>
      <c r="T196" s="434"/>
      <c r="U196" s="423"/>
      <c r="V196" s="432"/>
      <c r="W196" s="433"/>
      <c r="X196" s="433"/>
      <c r="Y196" s="433"/>
      <c r="Z196" s="433"/>
      <c r="AA196" s="433"/>
      <c r="AB196" s="434"/>
      <c r="AC196" s="435"/>
      <c r="AD196" s="432"/>
      <c r="AE196" s="433"/>
      <c r="AF196" s="433"/>
      <c r="AG196" s="433"/>
      <c r="AH196" s="433"/>
      <c r="AI196" s="433"/>
      <c r="AJ196" s="434"/>
      <c r="AK196" s="435"/>
      <c r="AL196" s="432"/>
      <c r="AM196" s="433"/>
      <c r="AN196" s="433"/>
      <c r="AO196" s="433"/>
      <c r="AP196" s="433"/>
      <c r="AQ196" s="433"/>
      <c r="AR196" s="433"/>
      <c r="AS196" s="434"/>
      <c r="AT196" s="424"/>
      <c r="AU196" s="432"/>
      <c r="AV196" s="433"/>
      <c r="AW196" s="433"/>
      <c r="AX196" s="433"/>
      <c r="AY196" s="433"/>
      <c r="AZ196" s="433"/>
      <c r="BA196" s="434"/>
      <c r="BB196" s="435"/>
      <c r="BC196" s="432"/>
      <c r="BD196" s="433"/>
      <c r="BE196" s="433"/>
      <c r="BF196" s="433"/>
      <c r="BG196" s="433"/>
      <c r="BH196" s="433"/>
      <c r="BI196" s="434"/>
      <c r="BJ196" s="436"/>
      <c r="BK196" s="432"/>
      <c r="BL196" s="433"/>
      <c r="BM196" s="433"/>
      <c r="BN196" s="433"/>
      <c r="BO196" s="433"/>
      <c r="BP196" s="433"/>
      <c r="BQ196" s="433"/>
      <c r="BR196" s="434"/>
      <c r="BS196" s="436"/>
      <c r="BT196" s="432"/>
      <c r="BU196" s="433"/>
      <c r="BV196" s="433"/>
      <c r="BW196" s="433"/>
      <c r="BX196" s="433"/>
      <c r="BY196" s="433"/>
      <c r="BZ196" s="434"/>
      <c r="CA196" s="373"/>
      <c r="CB196" s="432"/>
      <c r="CC196" s="433"/>
      <c r="CD196" s="433"/>
      <c r="CE196" s="433"/>
      <c r="CF196" s="433"/>
      <c r="CG196" s="433"/>
      <c r="CH196" s="434"/>
      <c r="CI196" s="373"/>
      <c r="CJ196" s="432"/>
      <c r="CK196" s="433"/>
      <c r="CL196" s="433"/>
      <c r="CM196" s="433"/>
      <c r="CN196" s="433"/>
      <c r="CO196" s="433"/>
      <c r="CP196" s="434"/>
      <c r="CQ196" s="435"/>
      <c r="CR196" s="539"/>
      <c r="CS196" s="433"/>
      <c r="CT196" s="433"/>
      <c r="CU196" s="433" t="n">
        <f aca="false">+CR196-CS196</f>
        <v>0</v>
      </c>
      <c r="CV196" s="433" t="n">
        <f aca="false">+CR196-CT196</f>
        <v>0</v>
      </c>
      <c r="CW196" s="433"/>
      <c r="CX196" s="434" t="str">
        <f aca="false">IFERROR(CR196/CW196-1, "-")</f>
        <v>-</v>
      </c>
      <c r="CY196" s="425"/>
      <c r="CZ196" s="437"/>
      <c r="DA196" s="433"/>
      <c r="DB196" s="433"/>
      <c r="DC196" s="433"/>
      <c r="DD196" s="433"/>
      <c r="DE196" s="434"/>
      <c r="DF196" s="434"/>
      <c r="DG196" s="438"/>
      <c r="DH196" s="438"/>
      <c r="DI196" s="413"/>
      <c r="DJ196" s="117" t="n">
        <f aca="false">SUM(D196,J196,P196,V196,AD196,AL196,AU196,BC196,BK196,BT196,CB196,CJ196)-CR196</f>
        <v>0</v>
      </c>
      <c r="DK196" s="117" t="n">
        <f aca="false">SUM(E196,K196,Q196,W196,AE196,AM196,AV196,BD196,BL196,BU196,CC196,CK196)-CS196</f>
        <v>0</v>
      </c>
      <c r="DL196" s="117" t="n">
        <f aca="false">SUM(G196,M196,S196,AA196,AI196,AR196,AZ196,BH196,BQ196,BY196,CG196,CO196)-CW196</f>
        <v>0</v>
      </c>
      <c r="DM196" s="117" t="n">
        <f aca="false">SUM(D196,J196,P196,V196,AD196,AL196,AU196,BC196,,BN196,BV196,CD196,CL196)-CT196</f>
        <v>0</v>
      </c>
      <c r="DN196" s="413"/>
      <c r="DO196" s="413"/>
      <c r="DP196" s="439" t="n">
        <v>0</v>
      </c>
      <c r="DQ196" s="415" t="n">
        <f aca="false">-CR196+DP196/10^6</f>
        <v>0</v>
      </c>
      <c r="DR196" s="117" t="n">
        <f aca="false">SUM(E196,K196,Q196,W196,AE196,AM196,AV196,BD196,BL196,BU196,CC196,CK196)-CS196</f>
        <v>0</v>
      </c>
      <c r="DS196" s="117" t="n">
        <f aca="false">SUM(D196,J196,P196,V196,AD196,AL196,AU196,BC196,,BN196,BV196,CD196,CL196)-CT196</f>
        <v>0</v>
      </c>
      <c r="DT196" s="416"/>
      <c r="DU196" s="440" t="n">
        <v>0</v>
      </c>
      <c r="DV196" s="418" t="n">
        <f aca="false">DU196-CJ196</f>
        <v>0</v>
      </c>
      <c r="DX196" s="400" t="n">
        <f aca="false">(CS196-CZ196)*10^6</f>
        <v>0</v>
      </c>
      <c r="DY196" s="400" t="n">
        <f aca="false">(CT196-DC196)*10^6</f>
        <v>0</v>
      </c>
      <c r="DZ196" s="400" t="n">
        <f aca="false">(CW196-DD196)*10^6</f>
        <v>0</v>
      </c>
      <c r="EB196" s="419"/>
    </row>
    <row r="197" s="441" customFormat="true" ht="15.75" hidden="true" customHeight="true" outlineLevel="1" collapsed="false">
      <c r="A197" s="286"/>
      <c r="B197" s="444" t="s">
        <v>462</v>
      </c>
      <c r="C197" s="431" t="s">
        <v>463</v>
      </c>
      <c r="D197" s="432"/>
      <c r="E197" s="433"/>
      <c r="F197" s="433"/>
      <c r="G197" s="433"/>
      <c r="H197" s="434"/>
      <c r="I197" s="422"/>
      <c r="J197" s="432"/>
      <c r="K197" s="433"/>
      <c r="L197" s="433"/>
      <c r="M197" s="433"/>
      <c r="N197" s="434"/>
      <c r="O197" s="435"/>
      <c r="P197" s="432"/>
      <c r="Q197" s="433"/>
      <c r="R197" s="433"/>
      <c r="S197" s="433"/>
      <c r="T197" s="434"/>
      <c r="U197" s="423"/>
      <c r="V197" s="432"/>
      <c r="W197" s="433"/>
      <c r="X197" s="433"/>
      <c r="Y197" s="433"/>
      <c r="Z197" s="433"/>
      <c r="AA197" s="433"/>
      <c r="AB197" s="434"/>
      <c r="AC197" s="435"/>
      <c r="AD197" s="432"/>
      <c r="AE197" s="433"/>
      <c r="AF197" s="433"/>
      <c r="AG197" s="433"/>
      <c r="AH197" s="433"/>
      <c r="AI197" s="433"/>
      <c r="AJ197" s="434"/>
      <c r="AK197" s="435"/>
      <c r="AL197" s="432"/>
      <c r="AM197" s="433"/>
      <c r="AN197" s="433"/>
      <c r="AO197" s="433"/>
      <c r="AP197" s="433"/>
      <c r="AQ197" s="433"/>
      <c r="AR197" s="433"/>
      <c r="AS197" s="434"/>
      <c r="AT197" s="424"/>
      <c r="AU197" s="432"/>
      <c r="AV197" s="433"/>
      <c r="AW197" s="433"/>
      <c r="AX197" s="433"/>
      <c r="AY197" s="433"/>
      <c r="AZ197" s="433"/>
      <c r="BA197" s="434"/>
      <c r="BB197" s="435"/>
      <c r="BC197" s="432"/>
      <c r="BD197" s="433"/>
      <c r="BE197" s="433"/>
      <c r="BF197" s="433"/>
      <c r="BG197" s="433"/>
      <c r="BH197" s="433"/>
      <c r="BI197" s="434"/>
      <c r="BJ197" s="436"/>
      <c r="BK197" s="432"/>
      <c r="BL197" s="433"/>
      <c r="BM197" s="433"/>
      <c r="BN197" s="433"/>
      <c r="BO197" s="433"/>
      <c r="BP197" s="433"/>
      <c r="BQ197" s="433"/>
      <c r="BR197" s="434"/>
      <c r="BS197" s="436"/>
      <c r="BT197" s="432"/>
      <c r="BU197" s="433"/>
      <c r="BV197" s="433"/>
      <c r="BW197" s="433"/>
      <c r="BX197" s="433"/>
      <c r="BY197" s="433"/>
      <c r="BZ197" s="434"/>
      <c r="CA197" s="373"/>
      <c r="CB197" s="432"/>
      <c r="CC197" s="433"/>
      <c r="CD197" s="433"/>
      <c r="CE197" s="433"/>
      <c r="CF197" s="433"/>
      <c r="CG197" s="433"/>
      <c r="CH197" s="434"/>
      <c r="CI197" s="373"/>
      <c r="CJ197" s="432"/>
      <c r="CK197" s="433"/>
      <c r="CL197" s="433"/>
      <c r="CM197" s="433"/>
      <c r="CN197" s="433"/>
      <c r="CO197" s="433"/>
      <c r="CP197" s="434"/>
      <c r="CQ197" s="435"/>
      <c r="CR197" s="539"/>
      <c r="CS197" s="433"/>
      <c r="CT197" s="433"/>
      <c r="CU197" s="433" t="n">
        <f aca="false">+CR197-CS197</f>
        <v>0</v>
      </c>
      <c r="CV197" s="433" t="n">
        <f aca="false">+CR197-CT197</f>
        <v>0</v>
      </c>
      <c r="CW197" s="433"/>
      <c r="CX197" s="434" t="str">
        <f aca="false">IFERROR(CR197/CW197-1, "-")</f>
        <v>-</v>
      </c>
      <c r="CY197" s="425"/>
      <c r="CZ197" s="437"/>
      <c r="DA197" s="433"/>
      <c r="DB197" s="433"/>
      <c r="DC197" s="433"/>
      <c r="DD197" s="433"/>
      <c r="DE197" s="434"/>
      <c r="DF197" s="434"/>
      <c r="DG197" s="438"/>
      <c r="DH197" s="438"/>
      <c r="DI197" s="413"/>
      <c r="DJ197" s="117" t="n">
        <f aca="false">SUM(D197,J197,P197,V197,AD197,AL197,AU197,BC197,BK197,BT197,CB197,CJ197)-CR197</f>
        <v>0</v>
      </c>
      <c r="DK197" s="117" t="n">
        <f aca="false">SUM(E197,K197,Q197,W197,AE197,AM197,AV197,BD197,BL197,BU197,CC197,CK197)-CS197</f>
        <v>0</v>
      </c>
      <c r="DL197" s="117" t="n">
        <f aca="false">SUM(G197,M197,S197,AA197,AI197,AR197,AZ197,BH197,BQ197,BY197,CG197,CO197)-CW197</f>
        <v>0</v>
      </c>
      <c r="DM197" s="117" t="n">
        <f aca="false">SUM(D197,J197,P197,V197,AD197,AL197,AU197,BC197,,BN197,BV197,CD197,CL197)-CT197</f>
        <v>0</v>
      </c>
      <c r="DN197" s="413"/>
      <c r="DO197" s="413"/>
      <c r="DP197" s="439" t="n">
        <v>0</v>
      </c>
      <c r="DQ197" s="415" t="n">
        <f aca="false">-CR197+DP197/10^6</f>
        <v>0</v>
      </c>
      <c r="DR197" s="117" t="n">
        <f aca="false">SUM(E197,K197,Q197,W197,AE197,AM197,AV197,BD197,BL197,BU197,CC197,CK197)-CS197</f>
        <v>0</v>
      </c>
      <c r="DS197" s="117" t="n">
        <f aca="false">SUM(D197,J197,P197,V197,AD197,AL197,AU197,BC197,,BN197,BV197,CD197,CL197)-CT197</f>
        <v>0</v>
      </c>
      <c r="DT197" s="416"/>
      <c r="DU197" s="440" t="n">
        <v>0</v>
      </c>
      <c r="DV197" s="418" t="n">
        <f aca="false">DU197-CJ197</f>
        <v>0</v>
      </c>
      <c r="DX197" s="400" t="n">
        <f aca="false">(CS197-CZ197)*10^6</f>
        <v>0</v>
      </c>
      <c r="DY197" s="400" t="n">
        <f aca="false">(CT197-DC197)*10^6</f>
        <v>0</v>
      </c>
      <c r="DZ197" s="400" t="n">
        <f aca="false">(CW197-DD197)*10^6</f>
        <v>0</v>
      </c>
      <c r="EB197" s="419"/>
    </row>
    <row r="198" customFormat="false" ht="12.75" hidden="false" customHeight="false" outlineLevel="0" collapsed="false">
      <c r="B198" s="591" t="s">
        <v>464</v>
      </c>
      <c r="C198" s="398" t="s">
        <v>465</v>
      </c>
      <c r="D198" s="144"/>
      <c r="E198" s="144"/>
      <c r="F198" s="144"/>
      <c r="G198" s="144"/>
      <c r="H198" s="245"/>
      <c r="I198" s="422"/>
      <c r="J198" s="144"/>
      <c r="K198" s="144"/>
      <c r="L198" s="144"/>
      <c r="M198" s="144"/>
      <c r="N198" s="245"/>
      <c r="O198" s="422"/>
      <c r="P198" s="144"/>
      <c r="Q198" s="144"/>
      <c r="R198" s="144"/>
      <c r="S198" s="144"/>
      <c r="T198" s="245"/>
      <c r="U198" s="423"/>
      <c r="V198" s="144"/>
      <c r="W198" s="144"/>
      <c r="X198" s="144"/>
      <c r="Y198" s="144"/>
      <c r="Z198" s="144"/>
      <c r="AA198" s="144"/>
      <c r="AB198" s="245"/>
      <c r="AC198" s="422"/>
      <c r="AD198" s="144"/>
      <c r="AE198" s="144"/>
      <c r="AF198" s="144"/>
      <c r="AG198" s="144"/>
      <c r="AH198" s="144"/>
      <c r="AI198" s="144"/>
      <c r="AJ198" s="245"/>
      <c r="AK198" s="422"/>
      <c r="AL198" s="144"/>
      <c r="AM198" s="144"/>
      <c r="AN198" s="144"/>
      <c r="AO198" s="144"/>
      <c r="AP198" s="144"/>
      <c r="AQ198" s="144"/>
      <c r="AR198" s="144"/>
      <c r="AS198" s="245"/>
      <c r="AT198" s="424"/>
      <c r="AU198" s="144"/>
      <c r="AV198" s="144"/>
      <c r="AW198" s="144"/>
      <c r="AX198" s="144"/>
      <c r="AY198" s="144"/>
      <c r="AZ198" s="144"/>
      <c r="BA198" s="245"/>
      <c r="BB198" s="422"/>
      <c r="BC198" s="144"/>
      <c r="BD198" s="144"/>
      <c r="BE198" s="144"/>
      <c r="BF198" s="144"/>
      <c r="BG198" s="144"/>
      <c r="BH198" s="144"/>
      <c r="BI198" s="245"/>
      <c r="BJ198" s="423"/>
      <c r="BK198" s="144"/>
      <c r="BL198" s="144"/>
      <c r="BM198" s="144"/>
      <c r="BN198" s="144"/>
      <c r="BO198" s="144"/>
      <c r="BP198" s="144"/>
      <c r="BQ198" s="144"/>
      <c r="BR198" s="245"/>
      <c r="BS198" s="423"/>
      <c r="BT198" s="144"/>
      <c r="BU198" s="144"/>
      <c r="BV198" s="144"/>
      <c r="BW198" s="144"/>
      <c r="BX198" s="144"/>
      <c r="BY198" s="144"/>
      <c r="BZ198" s="245"/>
      <c r="CA198" s="373"/>
      <c r="CB198" s="144"/>
      <c r="CC198" s="144"/>
      <c r="CD198" s="144"/>
      <c r="CE198" s="144"/>
      <c r="CF198" s="144"/>
      <c r="CG198" s="144"/>
      <c r="CH198" s="245"/>
      <c r="CI198" s="373"/>
      <c r="CJ198" s="144"/>
      <c r="CK198" s="144"/>
      <c r="CL198" s="144"/>
      <c r="CM198" s="144"/>
      <c r="CN198" s="144"/>
      <c r="CO198" s="144"/>
      <c r="CP198" s="245"/>
      <c r="CQ198" s="422"/>
      <c r="CR198" s="281"/>
      <c r="CS198" s="144"/>
      <c r="CT198" s="144"/>
      <c r="CU198" s="144" t="n">
        <f aca="false">+CR198-CS198</f>
        <v>0</v>
      </c>
      <c r="CV198" s="144" t="n">
        <f aca="false">+CR198-CT198</f>
        <v>0</v>
      </c>
      <c r="CW198" s="144"/>
      <c r="CX198" s="245" t="str">
        <f aca="false">IFERROR(CR198/CW198-1, "-")</f>
        <v>-</v>
      </c>
      <c r="CY198" s="425"/>
      <c r="CZ198" s="426"/>
      <c r="DA198" s="144"/>
      <c r="DB198" s="144"/>
      <c r="DC198" s="144"/>
      <c r="DD198" s="144"/>
      <c r="DE198" s="245" t="e">
        <f aca="false">+CZ198/DD198-1</f>
        <v>#DIV/0!</v>
      </c>
      <c r="DF198" s="245" t="e">
        <f aca="false">+DA198/DD198-1</f>
        <v>#DIV/0!</v>
      </c>
      <c r="DG198" s="427" t="e">
        <f aca="false">+DB198/DD198-1</f>
        <v>#DIV/0!</v>
      </c>
      <c r="DH198" s="427" t="e">
        <f aca="false">+DC198/DD198-1</f>
        <v>#DIV/0!</v>
      </c>
      <c r="DI198" s="413"/>
      <c r="DJ198" s="117" t="n">
        <f aca="false">SUM(D198,J198,P198,V198,AD198,AL198,AU198,BC198,BK198,BT198,CB198,CJ198)-CR198</f>
        <v>0</v>
      </c>
      <c r="DK198" s="117" t="n">
        <f aca="false">SUM(E198,K198,Q198,W198,AE198,AM198,AV198,BD198,BL198,BU198,CC198,CK198)-CS198</f>
        <v>0</v>
      </c>
      <c r="DL198" s="117" t="n">
        <f aca="false">SUM(G198,M198,S198,AA198,AI198,AR198,AZ198,BH198,BQ198,BY198,CG198,CO198)-CW198</f>
        <v>0</v>
      </c>
      <c r="DM198" s="117" t="n">
        <f aca="false">SUM(D198,J198,P198,V198,AD198,AL198,AU198,BC198,,BN198,BV198,CD198,CL198)-CT198</f>
        <v>0</v>
      </c>
      <c r="DN198" s="413"/>
      <c r="DO198" s="413"/>
      <c r="DP198" s="600" t="e">
        <f aca="false">#VALUE!</f>
        <v>#VALUE!</v>
      </c>
      <c r="DQ198" s="415" t="e">
        <f aca="false">-CR198+DP198/10^6</f>
        <v>#VALUE!</v>
      </c>
      <c r="DR198" s="117" t="n">
        <f aca="false">SUM(E198,K198,Q198,W198,AE198,AM198,AV198,BD198,BL198,BU198,CC198,CK198)-CS198</f>
        <v>0</v>
      </c>
      <c r="DS198" s="117" t="n">
        <f aca="false">SUM(D198,J198,P198,V198,AD198,AL198,AU198,BC198,,BN198,BV198,CD198,CL198)-CT198</f>
        <v>0</v>
      </c>
      <c r="DT198" s="416"/>
      <c r="DU198" s="417" t="n">
        <v>24.068888</v>
      </c>
      <c r="DV198" s="418" t="n">
        <f aca="false">DU198-CJ198</f>
        <v>24.068888</v>
      </c>
      <c r="DX198" s="400" t="n">
        <f aca="false">(CS198-CZ198)*10^6</f>
        <v>0</v>
      </c>
      <c r="DY198" s="400" t="n">
        <f aca="false">(CT198-DC198)*10^6</f>
        <v>0</v>
      </c>
      <c r="DZ198" s="400" t="n">
        <f aca="false">(CW198-DD198)*10^6</f>
        <v>0</v>
      </c>
      <c r="EB198" s="419"/>
    </row>
    <row r="199" customFormat="false" ht="16.5" hidden="false" customHeight="true" outlineLevel="0" collapsed="false">
      <c r="B199" s="601" t="s">
        <v>466</v>
      </c>
      <c r="C199" s="398" t="s">
        <v>467</v>
      </c>
      <c r="D199" s="544"/>
      <c r="E199" s="545"/>
      <c r="F199" s="545"/>
      <c r="G199" s="545"/>
      <c r="H199" s="546"/>
      <c r="I199" s="547"/>
      <c r="J199" s="544"/>
      <c r="K199" s="545"/>
      <c r="L199" s="545"/>
      <c r="M199" s="545"/>
      <c r="N199" s="546"/>
      <c r="O199" s="547"/>
      <c r="P199" s="544"/>
      <c r="Q199" s="545"/>
      <c r="R199" s="545"/>
      <c r="S199" s="545"/>
      <c r="T199" s="546"/>
      <c r="U199" s="548"/>
      <c r="V199" s="544"/>
      <c r="W199" s="545"/>
      <c r="X199" s="545"/>
      <c r="Y199" s="545"/>
      <c r="Z199" s="545"/>
      <c r="AA199" s="545"/>
      <c r="AB199" s="546"/>
      <c r="AC199" s="547"/>
      <c r="AD199" s="544"/>
      <c r="AE199" s="545"/>
      <c r="AF199" s="545"/>
      <c r="AG199" s="545"/>
      <c r="AH199" s="545"/>
      <c r="AI199" s="545"/>
      <c r="AJ199" s="546"/>
      <c r="AK199" s="547"/>
      <c r="AL199" s="544"/>
      <c r="AM199" s="545"/>
      <c r="AN199" s="545"/>
      <c r="AO199" s="545"/>
      <c r="AP199" s="545"/>
      <c r="AQ199" s="545"/>
      <c r="AR199" s="545"/>
      <c r="AS199" s="546"/>
      <c r="AT199" s="549"/>
      <c r="AU199" s="544"/>
      <c r="AV199" s="545"/>
      <c r="AW199" s="545"/>
      <c r="AX199" s="545"/>
      <c r="AY199" s="545"/>
      <c r="AZ199" s="545"/>
      <c r="BA199" s="546"/>
      <c r="BB199" s="547"/>
      <c r="BC199" s="544"/>
      <c r="BD199" s="545"/>
      <c r="BE199" s="545"/>
      <c r="BF199" s="545"/>
      <c r="BG199" s="545"/>
      <c r="BH199" s="545"/>
      <c r="BI199" s="546"/>
      <c r="BJ199" s="548"/>
      <c r="BK199" s="544"/>
      <c r="BL199" s="545"/>
      <c r="BM199" s="545"/>
      <c r="BN199" s="545"/>
      <c r="BO199" s="545"/>
      <c r="BP199" s="545"/>
      <c r="BQ199" s="545"/>
      <c r="BR199" s="546"/>
      <c r="BS199" s="548"/>
      <c r="BT199" s="544"/>
      <c r="BU199" s="545"/>
      <c r="BV199" s="545"/>
      <c r="BW199" s="545"/>
      <c r="BX199" s="545"/>
      <c r="BY199" s="545"/>
      <c r="BZ199" s="546"/>
      <c r="CA199" s="373"/>
      <c r="CB199" s="544"/>
      <c r="CC199" s="545"/>
      <c r="CD199" s="545"/>
      <c r="CE199" s="545"/>
      <c r="CF199" s="545"/>
      <c r="CG199" s="545"/>
      <c r="CH199" s="546"/>
      <c r="CI199" s="373"/>
      <c r="CJ199" s="544"/>
      <c r="CK199" s="545"/>
      <c r="CL199" s="545"/>
      <c r="CM199" s="545"/>
      <c r="CN199" s="545"/>
      <c r="CO199" s="545"/>
      <c r="CP199" s="546"/>
      <c r="CQ199" s="547"/>
      <c r="CR199" s="544"/>
      <c r="CS199" s="545"/>
      <c r="CT199" s="545"/>
      <c r="CU199" s="545" t="n">
        <f aca="false">+CR199-CS199</f>
        <v>0</v>
      </c>
      <c r="CV199" s="545" t="n">
        <f aca="false">+CR199-CT199</f>
        <v>0</v>
      </c>
      <c r="CW199" s="545"/>
      <c r="CX199" s="546" t="str">
        <f aca="false">IFERROR(CR199/CW199-1, "-")</f>
        <v>-</v>
      </c>
      <c r="CY199" s="425"/>
      <c r="CZ199" s="550"/>
      <c r="DA199" s="545"/>
      <c r="DB199" s="545"/>
      <c r="DC199" s="545"/>
      <c r="DD199" s="545"/>
      <c r="DE199" s="546"/>
      <c r="DF199" s="546"/>
      <c r="DG199" s="551"/>
      <c r="DH199" s="551"/>
      <c r="DI199" s="413"/>
      <c r="DJ199" s="117" t="n">
        <f aca="false">SUM(D199,J199,P199,V199,AD199,AL199,AU199,BC199,BK199,BT199,CB199,CJ199)-CR199</f>
        <v>0</v>
      </c>
      <c r="DK199" s="117" t="n">
        <f aca="false">SUM(E199,K199,Q199,W199,AE199,AM199,AV199,BD199,BL199,BU199,CC199,CK199)-CS199</f>
        <v>0</v>
      </c>
      <c r="DL199" s="117" t="n">
        <f aca="false">SUM(G199,M199,S199,AA199,AI199,AR199,AZ199,BH199,BQ199,BY199,CG199,CO199)-CW199</f>
        <v>0</v>
      </c>
      <c r="DM199" s="117" t="n">
        <f aca="false">SUM(D199,J199,P199,V199,AD199,AL199,AU199,BC199,,BN199,BV199,CD199,CL199)-CT199</f>
        <v>0</v>
      </c>
      <c r="DN199" s="413"/>
      <c r="DO199" s="413"/>
      <c r="DP199" s="552"/>
      <c r="DQ199" s="415" t="n">
        <f aca="false">-CR199+DP199/10^6</f>
        <v>0</v>
      </c>
      <c r="DR199" s="117" t="n">
        <f aca="false">SUM(E199,K199,Q199,W199,AE199,AM199,AV199,BD199,BL199,BU199,CC199,CK199)-CS199</f>
        <v>0</v>
      </c>
      <c r="DS199" s="117" t="n">
        <f aca="false">SUM(D199,J199,P199,V199,AD199,AL199,AU199,BC199,,BN199,BV199,CD199,CL199)-CT199</f>
        <v>0</v>
      </c>
      <c r="DT199" s="416"/>
      <c r="DU199" s="417"/>
      <c r="DV199" s="418" t="n">
        <f aca="false">DU199-CJ199</f>
        <v>0</v>
      </c>
      <c r="DX199" s="400" t="n">
        <f aca="false">(CS199-CZ199)*10^6</f>
        <v>0</v>
      </c>
      <c r="DY199" s="400" t="n">
        <f aca="false">(CT199-DC199)*10^6</f>
        <v>0</v>
      </c>
      <c r="DZ199" s="400" t="n">
        <f aca="false">(CW199-DD199)*10^6</f>
        <v>0</v>
      </c>
      <c r="EB199" s="419"/>
    </row>
    <row r="200" customFormat="false" ht="3" hidden="false" customHeight="true" outlineLevel="0" collapsed="false">
      <c r="B200" s="420"/>
      <c r="C200" s="398" t="s">
        <v>468</v>
      </c>
      <c r="D200" s="281"/>
      <c r="E200" s="144"/>
      <c r="F200" s="144"/>
      <c r="G200" s="144"/>
      <c r="H200" s="245"/>
      <c r="I200" s="422"/>
      <c r="J200" s="281"/>
      <c r="K200" s="144"/>
      <c r="L200" s="144"/>
      <c r="M200" s="144"/>
      <c r="N200" s="245"/>
      <c r="O200" s="422"/>
      <c r="P200" s="281"/>
      <c r="Q200" s="144"/>
      <c r="R200" s="144"/>
      <c r="S200" s="144"/>
      <c r="T200" s="245"/>
      <c r="U200" s="423"/>
      <c r="V200" s="281"/>
      <c r="W200" s="144"/>
      <c r="X200" s="144"/>
      <c r="Y200" s="144"/>
      <c r="Z200" s="144"/>
      <c r="AA200" s="144"/>
      <c r="AB200" s="245"/>
      <c r="AC200" s="422"/>
      <c r="AD200" s="281"/>
      <c r="AE200" s="144"/>
      <c r="AF200" s="144"/>
      <c r="AG200" s="144"/>
      <c r="AH200" s="144"/>
      <c r="AI200" s="144"/>
      <c r="AJ200" s="245"/>
      <c r="AK200" s="422"/>
      <c r="AL200" s="281"/>
      <c r="AM200" s="144"/>
      <c r="AN200" s="144"/>
      <c r="AO200" s="144"/>
      <c r="AP200" s="144"/>
      <c r="AQ200" s="144"/>
      <c r="AR200" s="144"/>
      <c r="AS200" s="245"/>
      <c r="AT200" s="424"/>
      <c r="AU200" s="281"/>
      <c r="AV200" s="144"/>
      <c r="AW200" s="144"/>
      <c r="AX200" s="144"/>
      <c r="AY200" s="144"/>
      <c r="AZ200" s="144"/>
      <c r="BA200" s="245"/>
      <c r="BB200" s="422"/>
      <c r="BC200" s="281"/>
      <c r="BD200" s="144"/>
      <c r="BE200" s="144"/>
      <c r="BF200" s="144"/>
      <c r="BG200" s="144"/>
      <c r="BH200" s="144"/>
      <c r="BI200" s="245"/>
      <c r="BJ200" s="423"/>
      <c r="BK200" s="281"/>
      <c r="BL200" s="144"/>
      <c r="BM200" s="144"/>
      <c r="BN200" s="144"/>
      <c r="BO200" s="144"/>
      <c r="BP200" s="144"/>
      <c r="BQ200" s="144"/>
      <c r="BR200" s="245"/>
      <c r="BS200" s="423"/>
      <c r="BT200" s="281"/>
      <c r="BU200" s="144"/>
      <c r="BV200" s="144"/>
      <c r="BW200" s="144"/>
      <c r="BX200" s="144"/>
      <c r="BY200" s="144"/>
      <c r="BZ200" s="245"/>
      <c r="CA200" s="373"/>
      <c r="CB200" s="281"/>
      <c r="CC200" s="144"/>
      <c r="CD200" s="144"/>
      <c r="CE200" s="144"/>
      <c r="CF200" s="144"/>
      <c r="CG200" s="144"/>
      <c r="CH200" s="245"/>
      <c r="CI200" s="373"/>
      <c r="CJ200" s="281"/>
      <c r="CK200" s="144"/>
      <c r="CL200" s="144"/>
      <c r="CM200" s="144"/>
      <c r="CN200" s="144"/>
      <c r="CO200" s="144"/>
      <c r="CP200" s="245"/>
      <c r="CQ200" s="422"/>
      <c r="CR200" s="281"/>
      <c r="CS200" s="144"/>
      <c r="CT200" s="144"/>
      <c r="CU200" s="144"/>
      <c r="CV200" s="144"/>
      <c r="CW200" s="144"/>
      <c r="CX200" s="245" t="str">
        <f aca="false">IFERROR(CR200/CW200-1, "-")</f>
        <v>-</v>
      </c>
      <c r="CY200" s="425"/>
      <c r="CZ200" s="426"/>
      <c r="DA200" s="144"/>
      <c r="DB200" s="144"/>
      <c r="DC200" s="144"/>
      <c r="DD200" s="144"/>
      <c r="DE200" s="245"/>
      <c r="DF200" s="245"/>
      <c r="DG200" s="427"/>
      <c r="DH200" s="427"/>
      <c r="DI200" s="413"/>
      <c r="DJ200" s="117" t="n">
        <f aca="false">SUM(D200,J200,P200,V200,AD200,AL200,AU200,BC200,BK200,BT200,CB200,CJ200)-CR200</f>
        <v>0</v>
      </c>
      <c r="DK200" s="117" t="n">
        <f aca="false">SUM(E200,K200,Q200,W200,AE200,AM200,AV200,BD200,BL200,BU200,CC200,CK200)-CS200</f>
        <v>0</v>
      </c>
      <c r="DL200" s="117" t="n">
        <f aca="false">SUM(G200,M200,S200,AA200,AI200,AR200,AZ200,BH200,BQ200,BY200,CG200,CO200)-CW200</f>
        <v>0</v>
      </c>
      <c r="DM200" s="117" t="n">
        <f aca="false">SUM(D200,J200,P200,V200,AD200,AL200,AU200,BC200,,BN200,BV200,CD200,CL200)-CT200</f>
        <v>0</v>
      </c>
      <c r="DN200" s="413"/>
      <c r="DO200" s="413"/>
      <c r="DP200" s="428"/>
      <c r="DQ200" s="415" t="n">
        <f aca="false">-CR200+DP200/10^6</f>
        <v>0</v>
      </c>
      <c r="DR200" s="117" t="n">
        <f aca="false">SUM(E200,K200,Q200,W200,AE200,AM200,AV200,BD200,BL200,BU200,CC200,CK200)-CS200</f>
        <v>0</v>
      </c>
      <c r="DS200" s="117" t="n">
        <f aca="false">SUM(D200,J200,P200,V200,AD200,AL200,AU200,BC200,,BN200,BV200,CD200,CL200)-CT200</f>
        <v>0</v>
      </c>
      <c r="DT200" s="416"/>
      <c r="DU200" s="417"/>
      <c r="DV200" s="418" t="n">
        <f aca="false">DU200-CJ200</f>
        <v>0</v>
      </c>
      <c r="DX200" s="400" t="n">
        <f aca="false">(CS200-CZ200)*10^6</f>
        <v>0</v>
      </c>
      <c r="DY200" s="400" t="n">
        <f aca="false">(CT200-DC200)*10^6</f>
        <v>0</v>
      </c>
      <c r="DZ200" s="400" t="n">
        <f aca="false">(CW200-DD200)*10^6</f>
        <v>0</v>
      </c>
      <c r="EB200" s="419"/>
    </row>
    <row r="201" customFormat="false" ht="21" hidden="false" customHeight="true" outlineLevel="0" collapsed="false">
      <c r="B201" s="429" t="s">
        <v>469</v>
      </c>
      <c r="C201" s="398" t="s">
        <v>470</v>
      </c>
      <c r="D201" s="602"/>
      <c r="E201" s="603"/>
      <c r="F201" s="604"/>
      <c r="G201" s="605"/>
      <c r="H201" s="606"/>
      <c r="I201" s="607"/>
      <c r="J201" s="602"/>
      <c r="K201" s="603"/>
      <c r="L201" s="604"/>
      <c r="M201" s="605"/>
      <c r="N201" s="606"/>
      <c r="O201" s="608"/>
      <c r="P201" s="602"/>
      <c r="Q201" s="603"/>
      <c r="R201" s="604"/>
      <c r="S201" s="605"/>
      <c r="T201" s="606"/>
      <c r="U201" s="609"/>
      <c r="V201" s="602"/>
      <c r="W201" s="603"/>
      <c r="X201" s="603"/>
      <c r="Y201" s="603"/>
      <c r="Z201" s="603"/>
      <c r="AA201" s="605"/>
      <c r="AB201" s="606"/>
      <c r="AC201" s="610"/>
      <c r="AD201" s="602"/>
      <c r="AE201" s="603"/>
      <c r="AF201" s="603"/>
      <c r="AG201" s="603"/>
      <c r="AH201" s="603"/>
      <c r="AI201" s="605"/>
      <c r="AJ201" s="606"/>
      <c r="AK201" s="610"/>
      <c r="AL201" s="602"/>
      <c r="AM201" s="603"/>
      <c r="AN201" s="603"/>
      <c r="AO201" s="603"/>
      <c r="AP201" s="603"/>
      <c r="AQ201" s="603"/>
      <c r="AR201" s="605"/>
      <c r="AS201" s="606"/>
      <c r="AT201" s="611"/>
      <c r="AU201" s="602"/>
      <c r="AV201" s="603"/>
      <c r="AW201" s="603"/>
      <c r="AX201" s="603"/>
      <c r="AY201" s="603"/>
      <c r="AZ201" s="605"/>
      <c r="BA201" s="606"/>
      <c r="BB201" s="610"/>
      <c r="BC201" s="602"/>
      <c r="BD201" s="603"/>
      <c r="BE201" s="603"/>
      <c r="BF201" s="603"/>
      <c r="BG201" s="603"/>
      <c r="BH201" s="605"/>
      <c r="BI201" s="606"/>
      <c r="BJ201" s="612"/>
      <c r="BK201" s="602"/>
      <c r="BL201" s="603"/>
      <c r="BM201" s="603"/>
      <c r="BN201" s="603"/>
      <c r="BO201" s="603"/>
      <c r="BP201" s="603"/>
      <c r="BQ201" s="605"/>
      <c r="BR201" s="606"/>
      <c r="BS201" s="612"/>
      <c r="BT201" s="602"/>
      <c r="BU201" s="603"/>
      <c r="BV201" s="603"/>
      <c r="BW201" s="603"/>
      <c r="BX201" s="603"/>
      <c r="BY201" s="605"/>
      <c r="BZ201" s="606"/>
      <c r="CA201" s="613"/>
      <c r="CB201" s="602"/>
      <c r="CC201" s="603"/>
      <c r="CD201" s="603"/>
      <c r="CE201" s="603"/>
      <c r="CF201" s="603"/>
      <c r="CG201" s="605"/>
      <c r="CH201" s="606"/>
      <c r="CI201" s="613"/>
      <c r="CJ201" s="602"/>
      <c r="CK201" s="603"/>
      <c r="CL201" s="603"/>
      <c r="CM201" s="603"/>
      <c r="CN201" s="603"/>
      <c r="CO201" s="605"/>
      <c r="CP201" s="606"/>
      <c r="CQ201" s="610"/>
      <c r="CR201" s="602"/>
      <c r="CS201" s="399"/>
      <c r="CT201" s="399"/>
      <c r="CU201" s="399" t="n">
        <f aca="false">+CR201-CS201</f>
        <v>0</v>
      </c>
      <c r="CV201" s="399" t="n">
        <f aca="false">+CR201-CT201</f>
        <v>0</v>
      </c>
      <c r="CW201" s="399"/>
      <c r="CX201" s="401" t="str">
        <f aca="false">IFERROR(CR201/CW201-1, "-")</f>
        <v>-</v>
      </c>
      <c r="CY201" s="614"/>
      <c r="CZ201" s="615"/>
      <c r="DA201" s="603"/>
      <c r="DB201" s="603"/>
      <c r="DC201" s="603"/>
      <c r="DD201" s="603"/>
      <c r="DE201" s="616" t="e">
        <f aca="false">+CZ201/DD201-1</f>
        <v>#DIV/0!</v>
      </c>
      <c r="DF201" s="616" t="e">
        <f aca="false">+DA201/DD201-1</f>
        <v>#DIV/0!</v>
      </c>
      <c r="DG201" s="617" t="e">
        <f aca="false">+DB201/DD201-1</f>
        <v>#DIV/0!</v>
      </c>
      <c r="DH201" s="617" t="e">
        <f aca="false">+DC201/DD201-1</f>
        <v>#DIV/0!</v>
      </c>
      <c r="DI201" s="413"/>
      <c r="DJ201" s="117" t="n">
        <f aca="false">SUM(D201,J201,P201,V201,AD201,AL201,AU201,BC201,BK201,BT201,CB201,CJ201)-CR201</f>
        <v>0</v>
      </c>
      <c r="DK201" s="117" t="n">
        <f aca="false">SUM(E201,K201,Q201,W201,AE201,AM201,AV201,BD201,BL201,BU201,CC201,CK201)-CS201</f>
        <v>0</v>
      </c>
      <c r="DL201" s="117" t="n">
        <f aca="false">SUM(G201,M201,S201,AA201,AI201,AR201,AZ201,BH201,BQ201,BY201,CG201,CO201)-CW201</f>
        <v>0</v>
      </c>
      <c r="DM201" s="117" t="n">
        <f aca="false">SUM(D201,J201,P201,V201,AD201,AL201,AU201,BC201,,BN201,BV201,CD201,CL201)-CT201</f>
        <v>0</v>
      </c>
      <c r="DN201" s="413"/>
      <c r="DO201" s="413"/>
      <c r="DP201" s="618" t="n">
        <v>456255</v>
      </c>
      <c r="DQ201" s="415" t="n">
        <f aca="false">-CR201+DP201/10^6</f>
        <v>0.456255</v>
      </c>
      <c r="DR201" s="117" t="n">
        <f aca="false">SUM(E201,K201,Q201,W201,AE201,AM201,AV201,BD201,BL201,BU201,CC201,CK201)-CS201</f>
        <v>0</v>
      </c>
      <c r="DS201" s="117" t="n">
        <f aca="false">SUM(D201,J201,P201,V201,AD201,AL201,AU201,BC201,,BN201,BV201,CD201,CL201)-CT201</f>
        <v>0</v>
      </c>
      <c r="DT201" s="416"/>
      <c r="DU201" s="417" t="n">
        <v>2.019243</v>
      </c>
      <c r="DV201" s="418" t="n">
        <f aca="false">DU201-CJ201</f>
        <v>2.019243</v>
      </c>
      <c r="DX201" s="400" t="n">
        <f aca="false">(CS201-CZ201)*10^6</f>
        <v>0</v>
      </c>
      <c r="DY201" s="400" t="n">
        <f aca="false">(CT201-DC201)*10^6</f>
        <v>0</v>
      </c>
      <c r="DZ201" s="400" t="n">
        <f aca="false">(CW201-DD201)*10^6</f>
        <v>0</v>
      </c>
      <c r="EB201" s="419"/>
    </row>
    <row r="202" s="619" customFormat="true" ht="12" hidden="false" customHeight="true" outlineLevel="0" collapsed="false">
      <c r="B202" s="620"/>
      <c r="C202" s="620"/>
      <c r="D202" s="620"/>
      <c r="E202" s="620"/>
      <c r="F202" s="620"/>
      <c r="G202" s="620"/>
      <c r="H202" s="620"/>
      <c r="I202" s="620"/>
      <c r="J202" s="621"/>
      <c r="K202" s="621"/>
      <c r="L202" s="621"/>
      <c r="M202" s="621"/>
      <c r="N202" s="622"/>
      <c r="O202" s="622"/>
      <c r="P202" s="623"/>
      <c r="Q202" s="622"/>
      <c r="R202" s="622"/>
      <c r="S202" s="622"/>
      <c r="T202" s="622"/>
      <c r="U202" s="622"/>
      <c r="V202" s="622"/>
      <c r="W202" s="622"/>
      <c r="X202" s="622"/>
      <c r="Y202" s="622"/>
      <c r="Z202" s="622"/>
      <c r="AA202" s="622"/>
      <c r="AB202" s="622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624"/>
      <c r="CR202" s="625"/>
      <c r="CS202" s="625"/>
      <c r="CT202" s="243"/>
      <c r="CU202" s="43"/>
      <c r="CV202" s="43"/>
      <c r="CW202" s="43"/>
      <c r="CX202" s="624"/>
      <c r="CY202" s="624"/>
      <c r="CZ202" s="624"/>
      <c r="DA202" s="43"/>
      <c r="DB202" s="43"/>
      <c r="DC202" s="299"/>
      <c r="DD202" s="43"/>
      <c r="DE202" s="624"/>
      <c r="DF202" s="624"/>
      <c r="DG202" s="626"/>
      <c r="DH202" s="626"/>
      <c r="DI202" s="627"/>
      <c r="DJ202" s="627"/>
      <c r="DK202" s="627"/>
      <c r="DL202" s="627"/>
      <c r="DM202" s="627"/>
      <c r="DN202" s="627"/>
      <c r="DO202" s="627"/>
      <c r="DP202" s="628"/>
      <c r="DQ202" s="290"/>
      <c r="DR202" s="117"/>
      <c r="DS202" s="629"/>
      <c r="DT202" s="416"/>
      <c r="DV202" s="416"/>
      <c r="DX202" s="400" t="n">
        <f aca="false">(CS202-CZ202)*10^6</f>
        <v>0</v>
      </c>
      <c r="DY202" s="400" t="n">
        <f aca="false">(CT202-DC202)*10^6</f>
        <v>0</v>
      </c>
      <c r="DZ202" s="400" t="n">
        <f aca="false">(CW202-DD202)*10^6</f>
        <v>0</v>
      </c>
    </row>
    <row r="203" customFormat="false" ht="12.75" hidden="false" customHeight="false" outlineLevel="0" collapsed="false">
      <c r="CR203" s="625"/>
      <c r="CS203" s="625"/>
      <c r="CZ203" s="625" t="n">
        <v>0</v>
      </c>
      <c r="DB203" s="246"/>
      <c r="DV203" s="416"/>
    </row>
    <row r="204" customFormat="false" ht="12.75" hidden="false" customHeight="false" outlineLevel="0" collapsed="false">
      <c r="CR204" s="625"/>
      <c r="DV204" s="416"/>
    </row>
    <row r="205" customFormat="false" ht="12.75" hidden="false" customHeight="false" outlineLevel="0" collapsed="false">
      <c r="DV205" s="416"/>
    </row>
    <row r="206" customFormat="false" ht="12.75" hidden="false" customHeight="false" outlineLevel="0" collapsed="false">
      <c r="DV206" s="416"/>
    </row>
    <row r="207" customFormat="false" ht="12.75" hidden="false" customHeight="false" outlineLevel="0" collapsed="false">
      <c r="DV207" s="416"/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L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7" topLeftCell="AI8" activePane="bottomRight" state="frozen"/>
      <selection pane="topLeft" activeCell="A1" activeCellId="0" sqref="A1"/>
      <selection pane="topRight" activeCell="AI1" activeCellId="0" sqref="AI1"/>
      <selection pane="bottomLeft" activeCell="A8" activeCellId="0" sqref="A8"/>
      <selection pane="bottomRight" activeCell="CU24" activeCellId="0" sqref="CU24"/>
    </sheetView>
  </sheetViews>
  <sheetFormatPr defaultColWidth="11.58984375" defaultRowHeight="12.75" zeroHeight="false" outlineLevelRow="1" outlineLevelCol="0"/>
  <cols>
    <col collapsed="false" customWidth="true" hidden="false" outlineLevel="0" max="1" min="1" style="2" width="17.83"/>
    <col collapsed="false" customWidth="true" hidden="false" outlineLevel="0" max="2" min="2" style="2" width="25.83"/>
    <col collapsed="false" customWidth="true" hidden="false" outlineLevel="0" max="3" min="3" style="2" width="8.52"/>
    <col collapsed="false" customWidth="true" hidden="false" outlineLevel="0" max="6" min="6" style="2" width="10.5"/>
    <col collapsed="false" customWidth="true" hidden="false" outlineLevel="0" max="7" min="7" style="2" width="11.64"/>
    <col collapsed="false" customWidth="true" hidden="false" outlineLevel="0" max="8" min="8" style="246" width="7.49"/>
    <col collapsed="false" customWidth="true" hidden="false" outlineLevel="0" max="9" min="9" style="2" width="0.33"/>
    <col collapsed="false" customWidth="true" hidden="false" outlineLevel="0" max="10" min="10" style="246" width="13.83"/>
    <col collapsed="false" customWidth="true" hidden="false" outlineLevel="0" max="11" min="11" style="2" width="10.99"/>
    <col collapsed="false" customWidth="true" hidden="false" outlineLevel="0" max="12" min="12" style="2" width="9.33"/>
    <col collapsed="false" customWidth="true" hidden="false" outlineLevel="0" max="13" min="13" style="2" width="10.5"/>
    <col collapsed="false" customWidth="true" hidden="false" outlineLevel="0" max="14" min="14" style="39" width="10.5"/>
    <col collapsed="false" customWidth="true" hidden="false" outlineLevel="0" max="15" min="15" style="2" width="0.33"/>
    <col collapsed="false" customWidth="true" hidden="false" outlineLevel="0" max="16" min="16" style="2" width="14.16"/>
    <col collapsed="false" customWidth="true" hidden="false" outlineLevel="0" max="17" min="17" style="2" width="11.84"/>
    <col collapsed="false" customWidth="true" hidden="false" outlineLevel="0" max="18" min="18" style="2" width="9.66"/>
    <col collapsed="false" customWidth="true" hidden="false" outlineLevel="0" max="19" min="19" style="2" width="11.99"/>
    <col collapsed="false" customWidth="true" hidden="false" outlineLevel="0" max="20" min="20" style="246" width="9.66"/>
    <col collapsed="false" customWidth="true" hidden="false" outlineLevel="0" max="21" min="21" style="2" width="0.16"/>
    <col collapsed="false" customWidth="true" hidden="false" outlineLevel="0" max="24" min="22" style="2" width="10.65"/>
    <col collapsed="false" customWidth="true" hidden="false" outlineLevel="0" max="25" min="25" style="2" width="10.16"/>
    <col collapsed="false" customWidth="true" hidden="false" outlineLevel="0" max="26" min="26" style="2" width="8.52"/>
    <col collapsed="false" customWidth="true" hidden="false" outlineLevel="0" max="27" min="27" style="2" width="10.65"/>
    <col collapsed="false" customWidth="true" hidden="false" outlineLevel="0" max="28" min="28" style="40" width="10.65"/>
    <col collapsed="false" customWidth="true" hidden="false" outlineLevel="0" max="29" min="29" style="40" width="0.33"/>
    <col collapsed="false" customWidth="true" hidden="false" outlineLevel="0" max="32" min="30" style="40" width="12.5"/>
    <col collapsed="false" customWidth="true" hidden="false" outlineLevel="0" max="33" min="33" style="40" width="10.5"/>
    <col collapsed="false" customWidth="true" hidden="false" outlineLevel="0" max="34" min="34" style="40" width="10.16"/>
    <col collapsed="false" customWidth="true" hidden="false" outlineLevel="0" max="35" min="35" style="40" width="14.66"/>
    <col collapsed="false" customWidth="true" hidden="false" outlineLevel="0" max="36" min="36" style="40" width="8.67"/>
    <col collapsed="false" customWidth="true" hidden="false" outlineLevel="0" max="37" min="37" style="40" width="0.33"/>
    <col collapsed="false" customWidth="true" hidden="false" outlineLevel="0" max="38" min="38" style="40" width="13.5"/>
    <col collapsed="false" customWidth="true" hidden="false" outlineLevel="0" max="39" min="39" style="40" width="11.5"/>
    <col collapsed="false" customWidth="true" hidden="false" outlineLevel="0" max="43" min="40" style="40" width="10.99"/>
    <col collapsed="false" customWidth="true" hidden="false" outlineLevel="0" max="44" min="44" style="40" width="13.83"/>
    <col collapsed="false" customWidth="true" hidden="false" outlineLevel="0" max="45" min="45" style="40" width="8.67"/>
    <col collapsed="false" customWidth="true" hidden="false" outlineLevel="0" max="46" min="46" style="40" width="0.16"/>
    <col collapsed="false" customWidth="true" hidden="false" outlineLevel="0" max="47" min="47" style="37" width="10.16"/>
    <col collapsed="false" customWidth="true" hidden="false" outlineLevel="0" max="52" min="48" style="40" width="10.5"/>
    <col collapsed="false" customWidth="true" hidden="false" outlineLevel="0" max="53" min="53" style="40" width="8.67"/>
    <col collapsed="false" customWidth="true" hidden="false" outlineLevel="0" max="54" min="54" style="40" width="0.16"/>
    <col collapsed="false" customWidth="true" hidden="false" outlineLevel="0" max="55" min="55" style="40" width="15.15"/>
    <col collapsed="false" customWidth="true" hidden="false" outlineLevel="0" max="57" min="56" style="40" width="12.5"/>
    <col collapsed="false" customWidth="true" hidden="false" outlineLevel="0" max="59" min="58" style="40" width="11.84"/>
    <col collapsed="false" customWidth="true" hidden="false" outlineLevel="0" max="60" min="60" style="40" width="12.33"/>
    <col collapsed="false" customWidth="true" hidden="false" outlineLevel="0" max="61" min="61" style="40" width="9.51"/>
    <col collapsed="false" customWidth="true" hidden="false" outlineLevel="0" max="62" min="62" style="40" width="0.33"/>
    <col collapsed="false" customWidth="true" hidden="false" outlineLevel="0" max="63" min="63" style="37" width="8.83"/>
    <col collapsed="false" customWidth="true" hidden="false" outlineLevel="0" max="64" min="64" style="40" width="15.49"/>
    <col collapsed="false" customWidth="true" hidden="false" outlineLevel="0" max="66" min="65" style="40" width="10.99"/>
    <col collapsed="false" customWidth="true" hidden="false" outlineLevel="0" max="67" min="67" style="40" width="10.5"/>
    <col collapsed="false" customWidth="true" hidden="false" outlineLevel="0" max="68" min="68" style="40" width="10.16"/>
    <col collapsed="false" customWidth="true" hidden="false" outlineLevel="0" max="69" min="69" style="40" width="15"/>
    <col collapsed="false" customWidth="true" hidden="false" outlineLevel="0" max="70" min="70" style="40" width="7.83"/>
    <col collapsed="false" customWidth="true" hidden="false" outlineLevel="0" max="71" min="71" style="40" width="0.52"/>
    <col collapsed="false" customWidth="true" hidden="false" outlineLevel="0" max="72" min="72" style="40" width="10.33"/>
    <col collapsed="false" customWidth="true" hidden="false" outlineLevel="0" max="74" min="73" style="40" width="10.99"/>
    <col collapsed="false" customWidth="true" hidden="false" outlineLevel="0" max="75" min="75" style="40" width="10.5"/>
    <col collapsed="false" customWidth="true" hidden="false" outlineLevel="0" max="76" min="76" style="40" width="9.33"/>
    <col collapsed="false" customWidth="true" hidden="false" outlineLevel="0" max="77" min="77" style="40" width="10.99"/>
    <col collapsed="false" customWidth="true" hidden="false" outlineLevel="0" max="78" min="78" style="40" width="7.67"/>
    <col collapsed="false" customWidth="true" hidden="false" outlineLevel="0" max="79" min="79" style="40" width="0.16"/>
    <col collapsed="false" customWidth="true" hidden="false" outlineLevel="0" max="80" min="80" style="40" width="8.67"/>
    <col collapsed="false" customWidth="true" hidden="false" outlineLevel="0" max="81" min="81" style="40" width="10.5"/>
    <col collapsed="false" customWidth="true" hidden="false" outlineLevel="0" max="82" min="82" style="40" width="12.33"/>
    <col collapsed="false" customWidth="true" hidden="false" outlineLevel="0" max="83" min="83" style="40" width="10.99"/>
    <col collapsed="false" customWidth="true" hidden="false" outlineLevel="0" max="84" min="84" style="40" width="10.16"/>
    <col collapsed="false" customWidth="true" hidden="false" outlineLevel="0" max="85" min="85" style="40" width="10.5"/>
    <col collapsed="false" customWidth="true" hidden="false" outlineLevel="0" max="86" min="86" style="40" width="7.67"/>
    <col collapsed="false" customWidth="true" hidden="false" outlineLevel="0" max="87" min="87" style="40" width="0.52"/>
    <col collapsed="false" customWidth="true" hidden="false" outlineLevel="0" max="88" min="88" style="287" width="10.33"/>
    <col collapsed="false" customWidth="true" hidden="false" outlineLevel="0" max="89" min="89" style="40" width="11.64"/>
    <col collapsed="false" customWidth="true" hidden="false" outlineLevel="0" max="90" min="90" style="40" width="11.5"/>
    <col collapsed="false" customWidth="true" hidden="false" outlineLevel="0" max="91" min="91" style="40" width="10.5"/>
    <col collapsed="false" customWidth="true" hidden="false" outlineLevel="0" max="93" min="92" style="40" width="10.99"/>
    <col collapsed="false" customWidth="true" hidden="false" outlineLevel="0" max="94" min="94" style="39" width="13.5"/>
    <col collapsed="false" customWidth="true" hidden="false" outlineLevel="0" max="95" min="95" style="40" width="0.33"/>
    <col collapsed="false" customWidth="true" hidden="false" outlineLevel="0" max="96" min="96" style="43" width="13.02"/>
    <col collapsed="false" customWidth="true" hidden="false" outlineLevel="0" max="97" min="97" style="43" width="13.5"/>
    <col collapsed="false" customWidth="true" hidden="false" outlineLevel="0" max="98" min="98" style="43" width="13.33"/>
    <col collapsed="false" customWidth="true" hidden="false" outlineLevel="0" max="99" min="99" style="43" width="11.84"/>
    <col collapsed="false" customWidth="true" hidden="false" outlineLevel="0" max="100" min="100" style="43" width="11.64"/>
    <col collapsed="false" customWidth="true" hidden="false" outlineLevel="0" max="101" min="101" style="43" width="12.83"/>
    <col collapsed="false" customWidth="true" hidden="false" outlineLevel="0" max="102" min="102" style="246" width="7.67"/>
    <col collapsed="false" customWidth="true" hidden="false" outlineLevel="0" max="103" min="103" style="2" width="0.33"/>
    <col collapsed="false" customWidth="true" hidden="false" outlineLevel="0" max="104" min="104" style="42" width="12.66"/>
    <col collapsed="false" customWidth="true" hidden="false" outlineLevel="0" max="105" min="105" style="42" width="12.5"/>
    <col collapsed="false" customWidth="true" hidden="false" outlineLevel="0" max="106" min="106" style="42" width="13.02"/>
    <col collapsed="false" customWidth="true" hidden="false" outlineLevel="0" max="107" min="107" style="42" width="12.5"/>
    <col collapsed="false" customWidth="true" hidden="false" outlineLevel="0" max="108" min="108" style="42" width="13.02"/>
    <col collapsed="false" customWidth="true" hidden="false" outlineLevel="0" max="112" min="109" style="40" width="10.5"/>
    <col collapsed="false" customWidth="true" hidden="false" outlineLevel="0" max="113" min="113" style="14" width="11.5"/>
    <col collapsed="false" customWidth="true" hidden="false" outlineLevel="0" max="114" min="114" style="37" width="11.5"/>
    <col collapsed="false" customWidth="true" hidden="true" outlineLevel="0" max="117" min="116" style="2" width="11.5"/>
    <col collapsed="false" customWidth="true" hidden="true" outlineLevel="0" max="118" min="118" style="2" width="20.98"/>
    <col collapsed="false" customWidth="false" hidden="true" outlineLevel="0" max="121" min="119" style="2" width="11.52"/>
  </cols>
  <sheetData>
    <row r="1" s="40" customFormat="true" ht="15" hidden="false" customHeight="true" outlineLevel="0" collapsed="false">
      <c r="H1" s="39"/>
      <c r="J1" s="287"/>
      <c r="N1" s="39"/>
      <c r="P1" s="294" t="e">
        <f aca="false">#REF!</f>
        <v>#REF!</v>
      </c>
      <c r="Q1" s="294"/>
      <c r="R1" s="294"/>
      <c r="T1" s="39"/>
      <c r="Y1" s="630" t="e">
        <f aca="false">Y8/W8</f>
        <v>#DIV/0!</v>
      </c>
      <c r="Z1" s="630" t="e">
        <f aca="false">Z8/X8</f>
        <v>#DIV/0!</v>
      </c>
      <c r="AU1" s="37" t="n">
        <v>0</v>
      </c>
      <c r="AV1" s="40" t="n">
        <v>0</v>
      </c>
      <c r="BC1" s="631"/>
      <c r="BK1" s="37"/>
      <c r="BT1" s="632"/>
      <c r="CB1" s="37"/>
      <c r="CE1" s="37"/>
      <c r="CG1" s="632"/>
      <c r="CH1" s="37"/>
      <c r="CJ1" s="261"/>
      <c r="CK1" s="256"/>
      <c r="CL1" s="633"/>
      <c r="CM1" s="256"/>
      <c r="CN1" s="37"/>
      <c r="CO1" s="37"/>
      <c r="CP1" s="287"/>
      <c r="CQ1" s="294"/>
      <c r="CR1" s="634"/>
      <c r="CS1" s="635"/>
      <c r="CT1" s="261"/>
      <c r="CU1" s="636"/>
      <c r="CV1" s="261"/>
      <c r="CW1" s="294"/>
      <c r="CX1" s="295"/>
      <c r="CY1" s="294"/>
      <c r="CZ1" s="294"/>
      <c r="DA1" s="294"/>
      <c r="DB1" s="294"/>
      <c r="DC1" s="294"/>
      <c r="DD1" s="294"/>
      <c r="DE1" s="294"/>
      <c r="DF1" s="294"/>
      <c r="DG1" s="294"/>
      <c r="DH1" s="294"/>
      <c r="DI1" s="260"/>
      <c r="DJ1" s="37" t="n">
        <v>0</v>
      </c>
    </row>
    <row r="2" customFormat="false" ht="19.5" hidden="false" customHeight="false" outlineLevel="0" collapsed="false">
      <c r="A2" s="44" t="s">
        <v>471</v>
      </c>
      <c r="B2" s="637"/>
      <c r="D2" s="37"/>
      <c r="E2" s="638"/>
      <c r="J2" s="388" t="n">
        <v>0</v>
      </c>
      <c r="K2" s="638"/>
      <c r="P2" s="639" t="n">
        <v>8366.77913068185</v>
      </c>
      <c r="Q2" s="639" t="n">
        <f aca="false">P2+P179+P177+P171+P149+P144+P143+P53-P118-P126</f>
        <v>8366.77913068185</v>
      </c>
      <c r="R2" s="639" t="n">
        <f aca="false">+P8-Q2</f>
        <v>-8366.77913068185</v>
      </c>
      <c r="V2" s="638"/>
      <c r="W2" s="638" t="n">
        <v>0</v>
      </c>
      <c r="X2" s="248"/>
      <c r="AD2" s="40" t="n">
        <v>0</v>
      </c>
      <c r="AE2" s="37"/>
      <c r="AG2" s="40" t="e">
        <f aca="false">AD8/AF8-1</f>
        <v>#DIV/0!</v>
      </c>
      <c r="AN2" s="37"/>
      <c r="AO2" s="632"/>
      <c r="BC2" s="640" t="n">
        <v>0</v>
      </c>
      <c r="BH2" s="37"/>
      <c r="BI2" s="37"/>
      <c r="BL2" s="37"/>
      <c r="BM2" s="37"/>
      <c r="BN2" s="641"/>
      <c r="BO2" s="37"/>
      <c r="BP2" s="37"/>
      <c r="BQ2" s="37"/>
      <c r="BR2" s="37"/>
      <c r="BT2" s="256"/>
      <c r="BU2" s="260"/>
      <c r="BV2" s="260"/>
      <c r="BW2" s="260"/>
      <c r="BX2" s="260"/>
      <c r="BY2" s="260"/>
      <c r="BZ2" s="260"/>
      <c r="CA2" s="260"/>
      <c r="CB2" s="256"/>
      <c r="CC2" s="260"/>
      <c r="CD2" s="260"/>
      <c r="CE2" s="260"/>
      <c r="CF2" s="260"/>
      <c r="CG2" s="260"/>
      <c r="CH2" s="260"/>
      <c r="CI2" s="260"/>
      <c r="CJ2" s="642"/>
      <c r="CK2" s="256" t="n">
        <v>0</v>
      </c>
      <c r="CL2" s="643"/>
      <c r="CM2" s="633"/>
      <c r="CN2" s="37"/>
      <c r="CO2" s="118"/>
      <c r="CP2" s="261"/>
      <c r="CQ2" s="644"/>
      <c r="CR2" s="256"/>
      <c r="CS2" s="645"/>
      <c r="CT2" s="261"/>
      <c r="CU2" s="271"/>
      <c r="CV2" s="271"/>
      <c r="CW2" s="646"/>
      <c r="CX2" s="238"/>
      <c r="CY2" s="14"/>
      <c r="CZ2" s="643"/>
      <c r="DA2" s="643"/>
      <c r="DB2" s="647"/>
      <c r="DC2" s="643" t="n">
        <v>0</v>
      </c>
      <c r="DD2" s="643"/>
      <c r="DE2" s="648"/>
      <c r="DF2" s="648"/>
      <c r="DG2" s="648"/>
      <c r="DH2" s="260"/>
    </row>
    <row r="3" customFormat="false" ht="10.5" hidden="false" customHeight="true" outlineLevel="0" collapsed="false">
      <c r="D3" s="649"/>
      <c r="E3" s="650" t="n">
        <v>0</v>
      </c>
      <c r="F3" s="651"/>
      <c r="G3" s="649"/>
      <c r="H3" s="340"/>
      <c r="I3" s="652"/>
      <c r="J3" s="340"/>
      <c r="K3" s="653"/>
      <c r="L3" s="653"/>
      <c r="M3" s="653"/>
      <c r="N3" s="340"/>
      <c r="O3" s="654"/>
      <c r="P3" s="655"/>
      <c r="Q3" s="651"/>
      <c r="R3" s="651"/>
      <c r="S3" s="651"/>
      <c r="T3" s="337"/>
      <c r="U3" s="652"/>
      <c r="V3" s="343"/>
      <c r="W3" s="651"/>
      <c r="X3" s="651"/>
      <c r="Y3" s="651"/>
      <c r="Z3" s="651"/>
      <c r="AA3" s="651"/>
      <c r="AB3" s="340"/>
      <c r="AC3" s="341"/>
      <c r="AD3" s="343"/>
      <c r="AE3" s="651"/>
      <c r="AF3" s="651"/>
      <c r="AG3" s="651"/>
      <c r="AH3" s="651"/>
      <c r="AI3" s="651"/>
      <c r="AJ3" s="337"/>
      <c r="AK3" s="341"/>
      <c r="AL3" s="346"/>
      <c r="AM3" s="347"/>
      <c r="AN3" s="347"/>
      <c r="AO3" s="347"/>
      <c r="AP3" s="347"/>
      <c r="AQ3" s="347"/>
      <c r="AR3" s="347"/>
      <c r="AS3" s="340"/>
      <c r="AT3" s="351"/>
      <c r="AU3" s="346"/>
      <c r="AV3" s="347"/>
      <c r="AW3" s="347"/>
      <c r="AX3" s="347"/>
      <c r="AY3" s="347"/>
      <c r="AZ3" s="347"/>
      <c r="BA3" s="347"/>
      <c r="BB3" s="351"/>
      <c r="BC3" s="346"/>
      <c r="BD3" s="347"/>
      <c r="BE3" s="347"/>
      <c r="BF3" s="347"/>
      <c r="BG3" s="347"/>
      <c r="BH3" s="347"/>
      <c r="BI3" s="340"/>
      <c r="BJ3" s="351"/>
      <c r="BK3" s="346"/>
      <c r="BL3" s="651"/>
      <c r="BM3" s="651"/>
      <c r="BN3" s="651"/>
      <c r="BO3" s="651"/>
      <c r="BP3" s="651"/>
      <c r="BQ3" s="651"/>
      <c r="BR3" s="337"/>
      <c r="BS3" s="656"/>
      <c r="BT3" s="346"/>
      <c r="BU3" s="651"/>
      <c r="BV3" s="651"/>
      <c r="BW3" s="651"/>
      <c r="BX3" s="651"/>
      <c r="BY3" s="651"/>
      <c r="BZ3" s="337"/>
      <c r="CA3" s="657"/>
      <c r="CB3" s="346"/>
      <c r="CC3" s="651"/>
      <c r="CD3" s="651"/>
      <c r="CE3" s="651"/>
      <c r="CF3" s="651"/>
      <c r="CG3" s="651"/>
      <c r="CH3" s="337"/>
      <c r="CI3" s="341"/>
      <c r="CJ3" s="346"/>
      <c r="CK3" s="651"/>
      <c r="CL3" s="651"/>
      <c r="CM3" s="651"/>
      <c r="CN3" s="651"/>
      <c r="CO3" s="651"/>
      <c r="CP3" s="337"/>
      <c r="CQ3" s="652"/>
      <c r="CR3" s="655"/>
      <c r="CS3" s="343"/>
      <c r="CT3" s="343"/>
      <c r="CU3" s="343"/>
      <c r="CV3" s="343"/>
      <c r="CW3" s="343"/>
      <c r="CX3" s="658"/>
      <c r="CZ3" s="650" t="n">
        <v>0</v>
      </c>
      <c r="DA3" s="659"/>
      <c r="DB3" s="659"/>
      <c r="DC3" s="659"/>
      <c r="DD3" s="659" t="n">
        <v>0</v>
      </c>
      <c r="DE3" s="659"/>
      <c r="DF3" s="659"/>
      <c r="DG3" s="660"/>
      <c r="DH3" s="653"/>
    </row>
    <row r="4" s="79" customFormat="true" ht="12.75" hidden="false" customHeight="true" outlineLevel="0" collapsed="false">
      <c r="D4" s="362" t="n">
        <v>45292</v>
      </c>
      <c r="E4" s="362"/>
      <c r="F4" s="362"/>
      <c r="G4" s="362"/>
      <c r="H4" s="362"/>
      <c r="I4" s="367"/>
      <c r="J4" s="362" t="n">
        <v>45323</v>
      </c>
      <c r="K4" s="362"/>
      <c r="L4" s="362"/>
      <c r="M4" s="362"/>
      <c r="N4" s="362"/>
      <c r="O4" s="367"/>
      <c r="P4" s="364" t="n">
        <v>45352</v>
      </c>
      <c r="Q4" s="364"/>
      <c r="R4" s="364"/>
      <c r="S4" s="364"/>
      <c r="T4" s="364"/>
      <c r="U4" s="367"/>
      <c r="V4" s="362" t="n">
        <v>45383</v>
      </c>
      <c r="W4" s="362"/>
      <c r="X4" s="362"/>
      <c r="Y4" s="362"/>
      <c r="Z4" s="362"/>
      <c r="AA4" s="362"/>
      <c r="AB4" s="362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362" t="n">
        <v>45444</v>
      </c>
      <c r="AM4" s="362"/>
      <c r="AN4" s="362"/>
      <c r="AO4" s="362"/>
      <c r="AP4" s="362"/>
      <c r="AQ4" s="362"/>
      <c r="AR4" s="362"/>
      <c r="AS4" s="362"/>
      <c r="AT4" s="372"/>
      <c r="AU4" s="362" t="n">
        <v>45474</v>
      </c>
      <c r="AV4" s="362"/>
      <c r="AW4" s="362"/>
      <c r="AX4" s="362"/>
      <c r="AY4" s="362"/>
      <c r="AZ4" s="362"/>
      <c r="BA4" s="362"/>
      <c r="BB4" s="367"/>
      <c r="BC4" s="362" t="n">
        <v>45505</v>
      </c>
      <c r="BD4" s="362"/>
      <c r="BE4" s="362"/>
      <c r="BF4" s="362"/>
      <c r="BG4" s="362"/>
      <c r="BH4" s="362"/>
      <c r="BI4" s="362"/>
      <c r="BJ4" s="372"/>
      <c r="BK4" s="364" t="n">
        <v>45536</v>
      </c>
      <c r="BL4" s="364"/>
      <c r="BM4" s="364"/>
      <c r="BN4" s="364"/>
      <c r="BO4" s="364"/>
      <c r="BP4" s="364"/>
      <c r="BQ4" s="364"/>
      <c r="BR4" s="364"/>
      <c r="BS4" s="661"/>
      <c r="BT4" s="662" t="n">
        <v>45566</v>
      </c>
      <c r="BU4" s="662"/>
      <c r="BV4" s="662"/>
      <c r="BW4" s="662"/>
      <c r="BX4" s="662"/>
      <c r="BY4" s="662"/>
      <c r="BZ4" s="662"/>
      <c r="CA4" s="663"/>
      <c r="CB4" s="362" t="n">
        <v>45597</v>
      </c>
      <c r="CC4" s="362"/>
      <c r="CD4" s="362"/>
      <c r="CE4" s="362"/>
      <c r="CF4" s="362"/>
      <c r="CG4" s="362"/>
      <c r="CH4" s="362"/>
      <c r="CI4" s="367"/>
      <c r="CJ4" s="364" t="n">
        <v>45627</v>
      </c>
      <c r="CK4" s="364"/>
      <c r="CL4" s="364"/>
      <c r="CM4" s="364"/>
      <c r="CN4" s="364"/>
      <c r="CO4" s="364"/>
      <c r="CP4" s="364"/>
      <c r="CQ4" s="664"/>
      <c r="CR4" s="367" t="s">
        <v>3</v>
      </c>
      <c r="CS4" s="367"/>
      <c r="CT4" s="367"/>
      <c r="CU4" s="367"/>
      <c r="CV4" s="367"/>
      <c r="CW4" s="367"/>
      <c r="CX4" s="367"/>
      <c r="CZ4" s="665"/>
      <c r="DA4" s="666"/>
      <c r="DB4" s="666" t="s">
        <v>4</v>
      </c>
      <c r="DC4" s="666"/>
      <c r="DD4" s="666"/>
      <c r="DE4" s="666"/>
      <c r="DF4" s="666"/>
      <c r="DG4" s="667"/>
      <c r="DH4" s="668"/>
      <c r="DJ4" s="509"/>
    </row>
    <row r="5" s="91" customFormat="true" ht="27.75" hidden="false" customHeight="true" outlineLevel="0" collapsed="false">
      <c r="B5" s="85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669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669" t="s">
        <v>10</v>
      </c>
      <c r="CZ5" s="86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J5" s="670"/>
    </row>
    <row r="6" customFormat="false" ht="1.5" hidden="false" customHeight="true" outlineLevel="0" collapsed="false">
      <c r="D6" s="43"/>
      <c r="E6" s="42"/>
      <c r="F6" s="42"/>
      <c r="G6" s="42"/>
      <c r="H6" s="39"/>
      <c r="I6" s="671"/>
      <c r="J6" s="287"/>
      <c r="K6" s="42"/>
      <c r="L6" s="37"/>
      <c r="M6" s="37"/>
      <c r="O6" s="373"/>
      <c r="P6" s="672"/>
      <c r="Q6" s="42"/>
      <c r="R6" s="42"/>
      <c r="S6" s="42"/>
      <c r="T6" s="673"/>
      <c r="U6" s="671"/>
      <c r="V6" s="37"/>
      <c r="W6" s="37"/>
      <c r="X6" s="37"/>
      <c r="Y6" s="37"/>
      <c r="Z6" s="37"/>
      <c r="AA6" s="37"/>
      <c r="AC6" s="671"/>
      <c r="AD6" s="43"/>
      <c r="AE6" s="42"/>
      <c r="AF6" s="43"/>
      <c r="AG6" s="42"/>
      <c r="AH6" s="42"/>
      <c r="AI6" s="42"/>
      <c r="AJ6" s="39"/>
      <c r="AK6" s="338"/>
      <c r="AL6" s="674"/>
      <c r="AM6" s="287"/>
      <c r="AN6" s="287"/>
      <c r="AO6" s="287"/>
      <c r="AP6" s="287"/>
      <c r="AQ6" s="287"/>
      <c r="AR6" s="287"/>
      <c r="AS6" s="39"/>
      <c r="AT6" s="389"/>
      <c r="AU6" s="287"/>
      <c r="AV6" s="42"/>
      <c r="AW6" s="42"/>
      <c r="AX6" s="42"/>
      <c r="AY6" s="42"/>
      <c r="AZ6" s="42"/>
      <c r="BA6" s="39"/>
      <c r="BB6" s="338"/>
      <c r="BC6" s="287"/>
      <c r="BD6" s="287"/>
      <c r="BE6" s="287"/>
      <c r="BF6" s="287"/>
      <c r="BG6" s="287"/>
      <c r="BH6" s="287"/>
      <c r="BI6" s="39"/>
      <c r="BJ6" s="389"/>
      <c r="BK6" s="287"/>
      <c r="BL6" s="42"/>
      <c r="BM6" s="42"/>
      <c r="BN6" s="42"/>
      <c r="BO6" s="42"/>
      <c r="BP6" s="42"/>
      <c r="BQ6" s="42"/>
      <c r="BR6" s="39"/>
      <c r="BS6" s="338"/>
      <c r="BT6" s="287"/>
      <c r="BU6" s="42"/>
      <c r="BV6" s="42"/>
      <c r="BW6" s="42"/>
      <c r="BX6" s="42"/>
      <c r="BY6" s="42"/>
      <c r="BZ6" s="39"/>
      <c r="CA6" s="338"/>
      <c r="CB6" s="287"/>
      <c r="CC6" s="42"/>
      <c r="CD6" s="42"/>
      <c r="CE6" s="42"/>
      <c r="CF6" s="42"/>
      <c r="CG6" s="42"/>
      <c r="CH6" s="39"/>
      <c r="CI6" s="338"/>
      <c r="CK6" s="42"/>
      <c r="CL6" s="42"/>
      <c r="CM6" s="42"/>
      <c r="CN6" s="42"/>
      <c r="CO6" s="42"/>
      <c r="CQ6" s="671"/>
      <c r="CR6" s="675"/>
      <c r="CS6" s="42"/>
      <c r="CT6" s="42"/>
      <c r="CU6" s="42"/>
      <c r="CV6" s="42"/>
      <c r="CW6" s="42"/>
      <c r="CZ6" s="675"/>
    </row>
    <row r="7" customFormat="false" ht="3.75" hidden="false" customHeight="true" outlineLevel="0" collapsed="false">
      <c r="D7" s="43"/>
      <c r="E7" s="43"/>
      <c r="F7" s="43"/>
      <c r="G7" s="43"/>
      <c r="H7" s="39"/>
      <c r="I7" s="671"/>
      <c r="J7" s="287"/>
      <c r="K7" s="43"/>
      <c r="L7" s="37"/>
      <c r="M7" s="37"/>
      <c r="O7" s="373"/>
      <c r="P7" s="672"/>
      <c r="Q7" s="43"/>
      <c r="R7" s="43"/>
      <c r="S7" s="43"/>
      <c r="T7" s="673"/>
      <c r="U7" s="671"/>
      <c r="V7" s="37"/>
      <c r="W7" s="37"/>
      <c r="X7" s="37"/>
      <c r="Y7" s="37"/>
      <c r="Z7" s="37"/>
      <c r="AA7" s="37"/>
      <c r="AC7" s="671"/>
      <c r="AD7" s="43"/>
      <c r="AE7" s="43"/>
      <c r="AF7" s="676"/>
      <c r="AG7" s="43"/>
      <c r="AH7" s="43"/>
      <c r="AI7" s="43"/>
      <c r="AJ7" s="39"/>
      <c r="AK7" s="338"/>
      <c r="AL7" s="674"/>
      <c r="AM7" s="287"/>
      <c r="AN7" s="287"/>
      <c r="AO7" s="287"/>
      <c r="AP7" s="287"/>
      <c r="AQ7" s="287"/>
      <c r="AR7" s="287"/>
      <c r="AS7" s="39"/>
      <c r="AT7" s="389"/>
      <c r="AU7" s="287"/>
      <c r="AV7" s="43"/>
      <c r="AW7" s="43"/>
      <c r="AX7" s="43"/>
      <c r="AY7" s="43"/>
      <c r="AZ7" s="43"/>
      <c r="BA7" s="39"/>
      <c r="BB7" s="338"/>
      <c r="BC7" s="287"/>
      <c r="BD7" s="287"/>
      <c r="BE7" s="287"/>
      <c r="BF7" s="287"/>
      <c r="BG7" s="287"/>
      <c r="BH7" s="287"/>
      <c r="BI7" s="39"/>
      <c r="BJ7" s="389"/>
      <c r="BK7" s="287"/>
      <c r="BL7" s="43"/>
      <c r="BM7" s="43"/>
      <c r="BN7" s="43"/>
      <c r="BO7" s="43"/>
      <c r="BP7" s="43"/>
      <c r="BQ7" s="43"/>
      <c r="BR7" s="39"/>
      <c r="BS7" s="338"/>
      <c r="BT7" s="287"/>
      <c r="BU7" s="43"/>
      <c r="BV7" s="43"/>
      <c r="BW7" s="43"/>
      <c r="BX7" s="43"/>
      <c r="BY7" s="43"/>
      <c r="BZ7" s="39"/>
      <c r="CA7" s="338"/>
      <c r="CB7" s="287"/>
      <c r="CC7" s="43"/>
      <c r="CD7" s="43"/>
      <c r="CE7" s="43"/>
      <c r="CF7" s="43"/>
      <c r="CG7" s="43"/>
      <c r="CH7" s="39"/>
      <c r="CI7" s="338"/>
      <c r="CK7" s="43"/>
      <c r="CL7" s="43"/>
      <c r="CM7" s="43"/>
      <c r="CN7" s="43"/>
      <c r="CO7" s="43"/>
      <c r="CQ7" s="671"/>
      <c r="CR7" s="672"/>
      <c r="CV7" s="42"/>
      <c r="CX7" s="40"/>
      <c r="CZ7" s="672"/>
      <c r="DA7" s="43"/>
      <c r="DB7" s="43"/>
      <c r="DC7" s="43"/>
      <c r="DD7" s="43"/>
      <c r="DE7" s="39"/>
      <c r="DF7" s="39"/>
      <c r="DG7" s="39"/>
      <c r="DH7" s="39"/>
    </row>
    <row r="8" s="36" customFormat="true" ht="15" hidden="false" customHeight="true" outlineLevel="0" collapsed="false">
      <c r="A8" s="677" t="s">
        <v>472</v>
      </c>
      <c r="B8" s="678"/>
      <c r="C8" s="679" t="s">
        <v>473</v>
      </c>
      <c r="D8" s="680"/>
      <c r="E8" s="681"/>
      <c r="F8" s="681"/>
      <c r="G8" s="681"/>
      <c r="H8" s="682"/>
      <c r="I8" s="683"/>
      <c r="J8" s="680"/>
      <c r="K8" s="681"/>
      <c r="L8" s="681"/>
      <c r="M8" s="681"/>
      <c r="N8" s="682"/>
      <c r="O8" s="684"/>
      <c r="P8" s="680"/>
      <c r="Q8" s="681"/>
      <c r="R8" s="681"/>
      <c r="S8" s="681"/>
      <c r="T8" s="682"/>
      <c r="U8" s="683"/>
      <c r="V8" s="680"/>
      <c r="W8" s="681"/>
      <c r="X8" s="681"/>
      <c r="Y8" s="681"/>
      <c r="Z8" s="685"/>
      <c r="AA8" s="681"/>
      <c r="AB8" s="682"/>
      <c r="AC8" s="686"/>
      <c r="AD8" s="680"/>
      <c r="AE8" s="681"/>
      <c r="AF8" s="681"/>
      <c r="AG8" s="681"/>
      <c r="AH8" s="685"/>
      <c r="AI8" s="681"/>
      <c r="AJ8" s="682"/>
      <c r="AK8" s="683"/>
      <c r="AL8" s="680"/>
      <c r="AM8" s="681"/>
      <c r="AN8" s="681"/>
      <c r="AO8" s="681"/>
      <c r="AP8" s="681"/>
      <c r="AQ8" s="681"/>
      <c r="AR8" s="681"/>
      <c r="AS8" s="687"/>
      <c r="AT8" s="684"/>
      <c r="AU8" s="688"/>
      <c r="AV8" s="681"/>
      <c r="AW8" s="681"/>
      <c r="AX8" s="681"/>
      <c r="AY8" s="681"/>
      <c r="AZ8" s="681"/>
      <c r="BA8" s="682"/>
      <c r="BB8" s="686"/>
      <c r="BC8" s="688"/>
      <c r="BD8" s="681"/>
      <c r="BE8" s="681"/>
      <c r="BF8" s="681"/>
      <c r="BG8" s="681"/>
      <c r="BH8" s="681"/>
      <c r="BI8" s="682"/>
      <c r="BJ8" s="684"/>
      <c r="BK8" s="688"/>
      <c r="BL8" s="681"/>
      <c r="BM8" s="681"/>
      <c r="BN8" s="681"/>
      <c r="BO8" s="681"/>
      <c r="BP8" s="681"/>
      <c r="BQ8" s="681"/>
      <c r="BR8" s="687"/>
      <c r="BS8" s="686"/>
      <c r="BT8" s="688"/>
      <c r="BU8" s="681"/>
      <c r="BV8" s="681"/>
      <c r="BW8" s="681"/>
      <c r="BX8" s="681"/>
      <c r="BY8" s="681"/>
      <c r="BZ8" s="687"/>
      <c r="CA8" s="689"/>
      <c r="CB8" s="688"/>
      <c r="CC8" s="681"/>
      <c r="CD8" s="681"/>
      <c r="CE8" s="681"/>
      <c r="CF8" s="681"/>
      <c r="CG8" s="681"/>
      <c r="CH8" s="687"/>
      <c r="CI8" s="690"/>
      <c r="CJ8" s="688"/>
      <c r="CK8" s="681"/>
      <c r="CL8" s="681"/>
      <c r="CM8" s="681"/>
      <c r="CN8" s="681"/>
      <c r="CO8" s="681"/>
      <c r="CP8" s="687"/>
      <c r="CQ8" s="691"/>
      <c r="CR8" s="692"/>
      <c r="CS8" s="693"/>
      <c r="CT8" s="409"/>
      <c r="CU8" s="693" t="n">
        <f aca="false">+CR8-CS8</f>
        <v>0</v>
      </c>
      <c r="CV8" s="693" t="n">
        <f aca="false">+CR8-CT8</f>
        <v>0</v>
      </c>
      <c r="CW8" s="693"/>
      <c r="CX8" s="682" t="str">
        <f aca="false">IFERROR(CR8/CW8-1, "-")</f>
        <v>-</v>
      </c>
      <c r="CY8" s="694"/>
      <c r="CZ8" s="680"/>
      <c r="DA8" s="681"/>
      <c r="DB8" s="681"/>
      <c r="DC8" s="681"/>
      <c r="DD8" s="681"/>
      <c r="DE8" s="695" t="e">
        <f aca="false">(CZ8-DD8)/DD8</f>
        <v>#DIV/0!</v>
      </c>
      <c r="DF8" s="695" t="e">
        <f aca="false">(DA8-DD8)/DD8</f>
        <v>#DIV/0!</v>
      </c>
      <c r="DG8" s="695" t="e">
        <f aca="false">(DB8-DD8)/DD8</f>
        <v>#DIV/0!</v>
      </c>
      <c r="DH8" s="695" t="e">
        <f aca="false">(DC8-DD8)/DD8</f>
        <v>#DIV/0!</v>
      </c>
      <c r="DI8" s="696"/>
      <c r="DJ8" s="37"/>
      <c r="DL8" s="37"/>
      <c r="DM8" s="400" t="n">
        <f aca="false">CS8-CZ8</f>
        <v>0</v>
      </c>
      <c r="DN8" s="400" t="n">
        <f aca="false">CT8-DC8</f>
        <v>0</v>
      </c>
      <c r="DO8" s="400" t="n">
        <f aca="false">CW8-DD8</f>
        <v>0</v>
      </c>
      <c r="DP8" s="400"/>
    </row>
    <row r="9" customFormat="false" ht="1.5" hidden="false" customHeight="true" outlineLevel="0" collapsed="false">
      <c r="C9" s="679" t="s">
        <v>474</v>
      </c>
      <c r="D9" s="144"/>
      <c r="E9" s="144"/>
      <c r="F9" s="144"/>
      <c r="G9" s="144"/>
      <c r="H9" s="245"/>
      <c r="I9" s="422"/>
      <c r="J9" s="144"/>
      <c r="K9" s="144"/>
      <c r="L9" s="144"/>
      <c r="M9" s="144"/>
      <c r="N9" s="245"/>
      <c r="O9" s="423"/>
      <c r="P9" s="144"/>
      <c r="Q9" s="144"/>
      <c r="R9" s="144"/>
      <c r="S9" s="144"/>
      <c r="T9" s="245"/>
      <c r="U9" s="422"/>
      <c r="V9" s="144"/>
      <c r="W9" s="144"/>
      <c r="X9" s="144"/>
      <c r="Y9" s="144"/>
      <c r="Z9" s="281"/>
      <c r="AA9" s="144"/>
      <c r="AB9" s="245"/>
      <c r="AC9" s="422"/>
      <c r="AD9" s="144"/>
      <c r="AE9" s="144"/>
      <c r="AF9" s="144"/>
      <c r="AG9" s="144"/>
      <c r="AH9" s="281"/>
      <c r="AI9" s="144"/>
      <c r="AJ9" s="245"/>
      <c r="AK9" s="422"/>
      <c r="AL9" s="144"/>
      <c r="AM9" s="144"/>
      <c r="AN9" s="144"/>
      <c r="AO9" s="144"/>
      <c r="AP9" s="144"/>
      <c r="AQ9" s="281"/>
      <c r="AR9" s="144"/>
      <c r="AS9" s="245"/>
      <c r="AT9" s="423"/>
      <c r="AU9" s="281"/>
      <c r="AV9" s="144"/>
      <c r="AW9" s="144"/>
      <c r="AX9" s="144"/>
      <c r="AY9" s="144"/>
      <c r="AZ9" s="144"/>
      <c r="BA9" s="245"/>
      <c r="BB9" s="422"/>
      <c r="BC9" s="281"/>
      <c r="BD9" s="144"/>
      <c r="BE9" s="144"/>
      <c r="BF9" s="144"/>
      <c r="BG9" s="144"/>
      <c r="BH9" s="144"/>
      <c r="BI9" s="245"/>
      <c r="BJ9" s="423"/>
      <c r="BK9" s="281"/>
      <c r="BL9" s="144"/>
      <c r="BM9" s="144"/>
      <c r="BN9" s="144"/>
      <c r="BO9" s="144"/>
      <c r="BP9" s="144"/>
      <c r="BQ9" s="144"/>
      <c r="BR9" s="245"/>
      <c r="BS9" s="422"/>
      <c r="BT9" s="281"/>
      <c r="BU9" s="144"/>
      <c r="BV9" s="144"/>
      <c r="BW9" s="144"/>
      <c r="BX9" s="144"/>
      <c r="BY9" s="144"/>
      <c r="BZ9" s="245"/>
      <c r="CA9" s="422"/>
      <c r="CB9" s="281"/>
      <c r="CC9" s="144"/>
      <c r="CD9" s="144"/>
      <c r="CE9" s="144"/>
      <c r="CF9" s="144"/>
      <c r="CG9" s="144"/>
      <c r="CH9" s="245"/>
      <c r="CI9" s="422"/>
      <c r="CJ9" s="281"/>
      <c r="CK9" s="144"/>
      <c r="CL9" s="144"/>
      <c r="CM9" s="144"/>
      <c r="CN9" s="144"/>
      <c r="CO9" s="144"/>
      <c r="CP9" s="245"/>
      <c r="CQ9" s="422"/>
      <c r="CR9" s="697"/>
      <c r="CS9" s="697"/>
      <c r="CT9" s="144"/>
      <c r="CU9" s="698"/>
      <c r="CV9" s="698" t="n">
        <f aca="false">+CR9-CT9</f>
        <v>0</v>
      </c>
      <c r="CW9" s="697"/>
      <c r="CX9" s="245" t="str">
        <f aca="false">IFERROR(CR9/CW9-1, "-")</f>
        <v>-</v>
      </c>
      <c r="CY9" s="206"/>
      <c r="CZ9" s="699"/>
      <c r="DA9" s="144"/>
      <c r="DB9" s="144"/>
      <c r="DC9" s="144"/>
      <c r="DD9" s="144"/>
      <c r="DE9" s="245"/>
      <c r="DF9" s="245"/>
      <c r="DG9" s="245"/>
      <c r="DH9" s="245"/>
      <c r="DI9" s="696"/>
      <c r="DL9" s="37"/>
      <c r="DM9" s="400" t="n">
        <f aca="false">(CS9-CZ9)*10^6</f>
        <v>0</v>
      </c>
      <c r="DN9" s="400" t="n">
        <f aca="false">(CT9-DC9)*10^6</f>
        <v>0</v>
      </c>
      <c r="DO9" s="400" t="n">
        <f aca="false">(CW9-DD9)*10^6</f>
        <v>0</v>
      </c>
    </row>
    <row r="10" s="36" customFormat="true" ht="17.25" hidden="true" customHeight="true" outlineLevel="0" collapsed="false">
      <c r="A10" s="700"/>
      <c r="B10" s="701" t="s">
        <v>475</v>
      </c>
      <c r="C10" s="679" t="s">
        <v>476</v>
      </c>
      <c r="D10" s="400"/>
      <c r="E10" s="400"/>
      <c r="F10" s="400"/>
      <c r="G10" s="400"/>
      <c r="H10" s="401"/>
      <c r="I10" s="403"/>
      <c r="J10" s="400"/>
      <c r="K10" s="400"/>
      <c r="L10" s="400"/>
      <c r="M10" s="400"/>
      <c r="N10" s="401"/>
      <c r="O10" s="404"/>
      <c r="P10" s="400"/>
      <c r="Q10" s="400"/>
      <c r="R10" s="400"/>
      <c r="S10" s="400"/>
      <c r="T10" s="401"/>
      <c r="U10" s="403"/>
      <c r="V10" s="400"/>
      <c r="W10" s="400"/>
      <c r="X10" s="702"/>
      <c r="Y10" s="400"/>
      <c r="Z10" s="399"/>
      <c r="AA10" s="400"/>
      <c r="AB10" s="401"/>
      <c r="AC10" s="403"/>
      <c r="AD10" s="400"/>
      <c r="AE10" s="400"/>
      <c r="AF10" s="400"/>
      <c r="AG10" s="400"/>
      <c r="AH10" s="399"/>
      <c r="AI10" s="400"/>
      <c r="AJ10" s="401"/>
      <c r="AK10" s="403"/>
      <c r="AL10" s="400"/>
      <c r="AM10" s="400"/>
      <c r="AN10" s="400"/>
      <c r="AO10" s="400"/>
      <c r="AP10" s="400"/>
      <c r="AQ10" s="399"/>
      <c r="AR10" s="400"/>
      <c r="AS10" s="401"/>
      <c r="AT10" s="404"/>
      <c r="AU10" s="399"/>
      <c r="AV10" s="400"/>
      <c r="AW10" s="400"/>
      <c r="AX10" s="400"/>
      <c r="AY10" s="400"/>
      <c r="AZ10" s="400"/>
      <c r="BA10" s="401"/>
      <c r="BB10" s="403"/>
      <c r="BC10" s="399"/>
      <c r="BD10" s="400"/>
      <c r="BE10" s="400"/>
      <c r="BF10" s="400"/>
      <c r="BG10" s="400"/>
      <c r="BH10" s="400"/>
      <c r="BI10" s="401"/>
      <c r="BJ10" s="404"/>
      <c r="BK10" s="399"/>
      <c r="BL10" s="400"/>
      <c r="BM10" s="400"/>
      <c r="BN10" s="400"/>
      <c r="BO10" s="400"/>
      <c r="BP10" s="400"/>
      <c r="BQ10" s="400"/>
      <c r="BR10" s="401"/>
      <c r="BS10" s="403"/>
      <c r="BT10" s="399"/>
      <c r="BU10" s="400"/>
      <c r="BV10" s="400"/>
      <c r="BW10" s="400"/>
      <c r="BX10" s="400"/>
      <c r="BY10" s="400"/>
      <c r="BZ10" s="401"/>
      <c r="CA10" s="402"/>
      <c r="CB10" s="399"/>
      <c r="CC10" s="400"/>
      <c r="CD10" s="400"/>
      <c r="CE10" s="400"/>
      <c r="CF10" s="400"/>
      <c r="CG10" s="400"/>
      <c r="CH10" s="401"/>
      <c r="CI10" s="402"/>
      <c r="CJ10" s="399"/>
      <c r="CK10" s="400"/>
      <c r="CL10" s="400"/>
      <c r="CM10" s="400"/>
      <c r="CN10" s="400"/>
      <c r="CO10" s="400"/>
      <c r="CP10" s="401"/>
      <c r="CQ10" s="703"/>
      <c r="CR10" s="704"/>
      <c r="CS10" s="704"/>
      <c r="CT10" s="400"/>
      <c r="CU10" s="704"/>
      <c r="CV10" s="704" t="n">
        <f aca="false">+CR10-CT10</f>
        <v>0</v>
      </c>
      <c r="CW10" s="704"/>
      <c r="CX10" s="705" t="str">
        <f aca="false">IFERROR(CR10/CW10-1, "-")</f>
        <v>-</v>
      </c>
      <c r="CY10" s="105"/>
      <c r="CZ10" s="706"/>
      <c r="DA10" s="400"/>
      <c r="DB10" s="400"/>
      <c r="DC10" s="400"/>
      <c r="DD10" s="400"/>
      <c r="DE10" s="401"/>
      <c r="DF10" s="401"/>
      <c r="DG10" s="401"/>
      <c r="DH10" s="401"/>
      <c r="DI10" s="696"/>
      <c r="DJ10" s="37"/>
      <c r="DL10" s="37"/>
      <c r="DM10" s="400" t="n">
        <f aca="false">(CS10-CZ10)*10^6</f>
        <v>0</v>
      </c>
      <c r="DN10" s="400" t="n">
        <f aca="false">(CT10-DC10)*10^6</f>
        <v>0</v>
      </c>
      <c r="DO10" s="400" t="n">
        <f aca="false">(CW10-DD10)*10^6</f>
        <v>0</v>
      </c>
    </row>
    <row r="11" customFormat="false" ht="3" hidden="false" customHeight="true" outlineLevel="0" collapsed="false">
      <c r="C11" s="679" t="s">
        <v>477</v>
      </c>
      <c r="D11" s="144"/>
      <c r="E11" s="144"/>
      <c r="F11" s="144"/>
      <c r="G11" s="144"/>
      <c r="H11" s="245"/>
      <c r="I11" s="547"/>
      <c r="J11" s="144"/>
      <c r="K11" s="144"/>
      <c r="L11" s="144"/>
      <c r="M11" s="144"/>
      <c r="N11" s="245"/>
      <c r="O11" s="548"/>
      <c r="P11" s="144"/>
      <c r="Q11" s="144"/>
      <c r="R11" s="144"/>
      <c r="S11" s="144"/>
      <c r="T11" s="245"/>
      <c r="U11" s="547"/>
      <c r="V11" s="144"/>
      <c r="W11" s="144"/>
      <c r="X11" s="144"/>
      <c r="Y11" s="144"/>
      <c r="Z11" s="544"/>
      <c r="AA11" s="144"/>
      <c r="AB11" s="245"/>
      <c r="AC11" s="547"/>
      <c r="AD11" s="144"/>
      <c r="AE11" s="144"/>
      <c r="AF11" s="144"/>
      <c r="AG11" s="144"/>
      <c r="AH11" s="544"/>
      <c r="AI11" s="144"/>
      <c r="AJ11" s="245"/>
      <c r="AK11" s="422"/>
      <c r="AL11" s="144"/>
      <c r="AM11" s="144"/>
      <c r="AN11" s="144"/>
      <c r="AO11" s="144"/>
      <c r="AP11" s="144"/>
      <c r="AQ11" s="281"/>
      <c r="AR11" s="144"/>
      <c r="AS11" s="245"/>
      <c r="AT11" s="423"/>
      <c r="AU11" s="281"/>
      <c r="AV11" s="144"/>
      <c r="AW11" s="144"/>
      <c r="AX11" s="144"/>
      <c r="AY11" s="144"/>
      <c r="AZ11" s="144"/>
      <c r="BA11" s="245"/>
      <c r="BB11" s="422"/>
      <c r="BC11" s="281"/>
      <c r="BD11" s="144"/>
      <c r="BE11" s="144"/>
      <c r="BF11" s="144"/>
      <c r="BG11" s="144"/>
      <c r="BH11" s="144"/>
      <c r="BI11" s="245"/>
      <c r="BJ11" s="423"/>
      <c r="BK11" s="281"/>
      <c r="BL11" s="144"/>
      <c r="BM11" s="144"/>
      <c r="BN11" s="144"/>
      <c r="BO11" s="144"/>
      <c r="BP11" s="144"/>
      <c r="BQ11" s="144"/>
      <c r="BR11" s="245"/>
      <c r="BS11" s="422"/>
      <c r="BT11" s="281"/>
      <c r="BU11" s="144"/>
      <c r="BV11" s="144"/>
      <c r="BW11" s="144"/>
      <c r="BX11" s="144"/>
      <c r="BY11" s="144"/>
      <c r="BZ11" s="245"/>
      <c r="CA11" s="422"/>
      <c r="CB11" s="281"/>
      <c r="CC11" s="144"/>
      <c r="CD11" s="144"/>
      <c r="CE11" s="144"/>
      <c r="CF11" s="144"/>
      <c r="CG11" s="144"/>
      <c r="CH11" s="245"/>
      <c r="CI11" s="422"/>
      <c r="CJ11" s="281"/>
      <c r="CK11" s="144"/>
      <c r="CL11" s="144"/>
      <c r="CM11" s="144"/>
      <c r="CN11" s="144"/>
      <c r="CO11" s="144"/>
      <c r="CP11" s="245"/>
      <c r="CQ11" s="422"/>
      <c r="CR11" s="144"/>
      <c r="CS11" s="144"/>
      <c r="CT11" s="144"/>
      <c r="CU11" s="144"/>
      <c r="CV11" s="144" t="n">
        <f aca="false">+CR11-CT11</f>
        <v>0</v>
      </c>
      <c r="CW11" s="144"/>
      <c r="CX11" s="245" t="str">
        <f aca="false">IFERROR(CR11/CW11-1, "-")</f>
        <v>-</v>
      </c>
      <c r="CY11" s="206"/>
      <c r="CZ11" s="699"/>
      <c r="DA11" s="144"/>
      <c r="DB11" s="144"/>
      <c r="DC11" s="144"/>
      <c r="DD11" s="144"/>
      <c r="DE11" s="546"/>
      <c r="DF11" s="546"/>
      <c r="DG11" s="546"/>
      <c r="DH11" s="546"/>
      <c r="DI11" s="696"/>
      <c r="DL11" s="37"/>
      <c r="DM11" s="400" t="n">
        <f aca="false">(CS11-CZ11)*10^6</f>
        <v>0</v>
      </c>
      <c r="DN11" s="400" t="n">
        <f aca="false">(CT11-DC11)*10^6</f>
        <v>0</v>
      </c>
      <c r="DO11" s="400" t="n">
        <f aca="false">(CW11-DD11)*10^6</f>
        <v>0</v>
      </c>
    </row>
    <row r="12" s="36" customFormat="true" ht="12.75" hidden="false" customHeight="false" outlineLevel="0" collapsed="false">
      <c r="A12" s="700" t="s">
        <v>478</v>
      </c>
      <c r="B12" s="707"/>
      <c r="C12" s="679" t="s">
        <v>479</v>
      </c>
      <c r="D12" s="400"/>
      <c r="E12" s="400"/>
      <c r="F12" s="400"/>
      <c r="G12" s="400"/>
      <c r="H12" s="401"/>
      <c r="I12" s="403"/>
      <c r="J12" s="400"/>
      <c r="K12" s="400"/>
      <c r="L12" s="400"/>
      <c r="M12" s="400"/>
      <c r="N12" s="401"/>
      <c r="O12" s="404"/>
      <c r="P12" s="400"/>
      <c r="Q12" s="400"/>
      <c r="R12" s="400"/>
      <c r="S12" s="400"/>
      <c r="T12" s="401"/>
      <c r="U12" s="403"/>
      <c r="V12" s="400"/>
      <c r="W12" s="400"/>
      <c r="X12" s="400"/>
      <c r="Y12" s="400"/>
      <c r="Z12" s="399"/>
      <c r="AA12" s="400"/>
      <c r="AB12" s="401"/>
      <c r="AC12" s="403"/>
      <c r="AD12" s="400"/>
      <c r="AE12" s="400"/>
      <c r="AF12" s="400"/>
      <c r="AG12" s="400"/>
      <c r="AH12" s="399"/>
      <c r="AI12" s="400"/>
      <c r="AJ12" s="401"/>
      <c r="AK12" s="403"/>
      <c r="AL12" s="400"/>
      <c r="AM12" s="400"/>
      <c r="AN12" s="400"/>
      <c r="AO12" s="400"/>
      <c r="AP12" s="400"/>
      <c r="AQ12" s="399"/>
      <c r="AR12" s="400"/>
      <c r="AS12" s="401"/>
      <c r="AT12" s="404"/>
      <c r="AU12" s="399"/>
      <c r="AV12" s="400"/>
      <c r="AW12" s="400"/>
      <c r="AX12" s="400"/>
      <c r="AY12" s="400"/>
      <c r="AZ12" s="400"/>
      <c r="BA12" s="401"/>
      <c r="BB12" s="403"/>
      <c r="BC12" s="399"/>
      <c r="BD12" s="400"/>
      <c r="BE12" s="400"/>
      <c r="BF12" s="400"/>
      <c r="BG12" s="400"/>
      <c r="BH12" s="400"/>
      <c r="BI12" s="401"/>
      <c r="BJ12" s="404"/>
      <c r="BK12" s="399"/>
      <c r="BL12" s="400"/>
      <c r="BM12" s="400"/>
      <c r="BN12" s="400"/>
      <c r="BO12" s="400"/>
      <c r="BP12" s="400"/>
      <c r="BQ12" s="400"/>
      <c r="BR12" s="401"/>
      <c r="BS12" s="403"/>
      <c r="BT12" s="399"/>
      <c r="BU12" s="400"/>
      <c r="BV12" s="400"/>
      <c r="BW12" s="400"/>
      <c r="BX12" s="400"/>
      <c r="BY12" s="400"/>
      <c r="BZ12" s="401"/>
      <c r="CA12" s="402"/>
      <c r="CB12" s="399"/>
      <c r="CC12" s="400"/>
      <c r="CD12" s="400"/>
      <c r="CE12" s="400"/>
      <c r="CF12" s="400"/>
      <c r="CG12" s="400"/>
      <c r="CH12" s="401"/>
      <c r="CI12" s="402"/>
      <c r="CJ12" s="399"/>
      <c r="CK12" s="400"/>
      <c r="CL12" s="400"/>
      <c r="CM12" s="400"/>
      <c r="CN12" s="400"/>
      <c r="CO12" s="400"/>
      <c r="CP12" s="401"/>
      <c r="CQ12" s="703"/>
      <c r="CR12" s="400"/>
      <c r="CS12" s="400"/>
      <c r="CT12" s="400"/>
      <c r="CU12" s="400" t="n">
        <f aca="false">+CR12-CS12</f>
        <v>0</v>
      </c>
      <c r="CV12" s="400" t="n">
        <f aca="false">+CR12-CT12</f>
        <v>0</v>
      </c>
      <c r="CW12" s="400"/>
      <c r="CX12" s="705" t="str">
        <f aca="false">IFERROR(CR12/CW12-1, "-")</f>
        <v>-</v>
      </c>
      <c r="CY12" s="105"/>
      <c r="CZ12" s="706"/>
      <c r="DA12" s="400"/>
      <c r="DB12" s="400"/>
      <c r="DC12" s="400"/>
      <c r="DD12" s="400"/>
      <c r="DE12" s="401" t="e">
        <f aca="false">(CZ12-DD12)/DD12</f>
        <v>#DIV/0!</v>
      </c>
      <c r="DF12" s="401" t="e">
        <f aca="false">(DA12-DD12)/DD12</f>
        <v>#DIV/0!</v>
      </c>
      <c r="DG12" s="401" t="e">
        <f aca="false">(DB12-DD12)/DD12</f>
        <v>#DIV/0!</v>
      </c>
      <c r="DH12" s="401" t="e">
        <f aca="false">(DC12-DD12)/DD12</f>
        <v>#DIV/0!</v>
      </c>
      <c r="DI12" s="696"/>
      <c r="DJ12" s="37"/>
      <c r="DL12" s="37"/>
      <c r="DM12" s="400" t="n">
        <f aca="false">(CS12-CZ12)*10^6</f>
        <v>0</v>
      </c>
      <c r="DN12" s="400" t="n">
        <f aca="false">(CT12-DC12)*10^6</f>
        <v>0</v>
      </c>
      <c r="DO12" s="400" t="n">
        <f aca="false">(CW12-DD12)*10^6</f>
        <v>0</v>
      </c>
    </row>
    <row r="13" customFormat="false" ht="4.5" hidden="false" customHeight="true" outlineLevel="0" collapsed="false">
      <c r="C13" s="679" t="s">
        <v>480</v>
      </c>
      <c r="D13" s="144"/>
      <c r="E13" s="144"/>
      <c r="F13" s="144"/>
      <c r="G13" s="144"/>
      <c r="H13" s="245"/>
      <c r="I13" s="422"/>
      <c r="J13" s="144"/>
      <c r="K13" s="144"/>
      <c r="L13" s="144"/>
      <c r="M13" s="144"/>
      <c r="N13" s="245"/>
      <c r="O13" s="423"/>
      <c r="P13" s="144"/>
      <c r="Q13" s="144"/>
      <c r="R13" s="144"/>
      <c r="S13" s="144"/>
      <c r="T13" s="245"/>
      <c r="U13" s="422"/>
      <c r="V13" s="144"/>
      <c r="W13" s="144"/>
      <c r="X13" s="144"/>
      <c r="Y13" s="144"/>
      <c r="Z13" s="281"/>
      <c r="AA13" s="144"/>
      <c r="AB13" s="245"/>
      <c r="AC13" s="422"/>
      <c r="AD13" s="144"/>
      <c r="AE13" s="144"/>
      <c r="AF13" s="144"/>
      <c r="AG13" s="144"/>
      <c r="AH13" s="281"/>
      <c r="AI13" s="144"/>
      <c r="AJ13" s="245"/>
      <c r="AK13" s="422"/>
      <c r="AL13" s="144"/>
      <c r="AM13" s="144"/>
      <c r="AN13" s="144"/>
      <c r="AO13" s="144"/>
      <c r="AP13" s="144"/>
      <c r="AQ13" s="281"/>
      <c r="AR13" s="144"/>
      <c r="AS13" s="245"/>
      <c r="AT13" s="423"/>
      <c r="AU13" s="281"/>
      <c r="AV13" s="144"/>
      <c r="AW13" s="144"/>
      <c r="AX13" s="144"/>
      <c r="AY13" s="144"/>
      <c r="AZ13" s="144"/>
      <c r="BA13" s="245"/>
      <c r="BB13" s="422"/>
      <c r="BC13" s="281"/>
      <c r="BD13" s="144"/>
      <c r="BE13" s="144"/>
      <c r="BF13" s="144"/>
      <c r="BG13" s="144"/>
      <c r="BH13" s="144"/>
      <c r="BI13" s="245"/>
      <c r="BJ13" s="423"/>
      <c r="BK13" s="281"/>
      <c r="BL13" s="144"/>
      <c r="BM13" s="144"/>
      <c r="BN13" s="144"/>
      <c r="BO13" s="144"/>
      <c r="BP13" s="144"/>
      <c r="BQ13" s="144"/>
      <c r="BR13" s="245"/>
      <c r="BS13" s="422"/>
      <c r="BT13" s="281"/>
      <c r="BU13" s="144"/>
      <c r="BV13" s="144"/>
      <c r="BW13" s="144"/>
      <c r="BX13" s="144"/>
      <c r="BY13" s="144"/>
      <c r="BZ13" s="245"/>
      <c r="CA13" s="422"/>
      <c r="CB13" s="281"/>
      <c r="CC13" s="144"/>
      <c r="CD13" s="144"/>
      <c r="CE13" s="144"/>
      <c r="CF13" s="144"/>
      <c r="CG13" s="144"/>
      <c r="CH13" s="245"/>
      <c r="CI13" s="422"/>
      <c r="CJ13" s="281"/>
      <c r="CK13" s="144"/>
      <c r="CL13" s="144"/>
      <c r="CM13" s="144"/>
      <c r="CN13" s="144"/>
      <c r="CO13" s="144"/>
      <c r="CP13" s="245"/>
      <c r="CQ13" s="422"/>
      <c r="CR13" s="708"/>
      <c r="CS13" s="708"/>
      <c r="CT13" s="708"/>
      <c r="CU13" s="144"/>
      <c r="CV13" s="144" t="n">
        <f aca="false">+CR13-CT13</f>
        <v>0</v>
      </c>
      <c r="CW13" s="708"/>
      <c r="CX13" s="245" t="str">
        <f aca="false">IFERROR(CR13/CW13-1, "-")</f>
        <v>-</v>
      </c>
      <c r="CY13" s="206"/>
      <c r="CZ13" s="699"/>
      <c r="DA13" s="144"/>
      <c r="DB13" s="144"/>
      <c r="DC13" s="144"/>
      <c r="DD13" s="144"/>
      <c r="DE13" s="245"/>
      <c r="DF13" s="245"/>
      <c r="DG13" s="245"/>
      <c r="DH13" s="245"/>
      <c r="DI13" s="696"/>
      <c r="DL13" s="37"/>
      <c r="DM13" s="400" t="n">
        <f aca="false">(CS13-CZ13)*10^6</f>
        <v>0</v>
      </c>
      <c r="DN13" s="400" t="n">
        <f aca="false">(CT13-DC13)*10^6</f>
        <v>0</v>
      </c>
      <c r="DO13" s="400" t="n">
        <f aca="false">(CW13-DD13)*10^6</f>
        <v>0</v>
      </c>
    </row>
    <row r="14" s="36" customFormat="true" ht="12.75" hidden="false" customHeight="false" outlineLevel="0" collapsed="false">
      <c r="A14" s="709" t="s">
        <v>481</v>
      </c>
      <c r="B14" s="707"/>
      <c r="C14" s="679" t="s">
        <v>482</v>
      </c>
      <c r="D14" s="400"/>
      <c r="E14" s="400"/>
      <c r="F14" s="400"/>
      <c r="G14" s="400"/>
      <c r="H14" s="401"/>
      <c r="I14" s="403"/>
      <c r="J14" s="400"/>
      <c r="K14" s="400"/>
      <c r="L14" s="400"/>
      <c r="M14" s="400"/>
      <c r="N14" s="401"/>
      <c r="O14" s="404"/>
      <c r="P14" s="400"/>
      <c r="Q14" s="400"/>
      <c r="R14" s="400"/>
      <c r="S14" s="400"/>
      <c r="T14" s="401"/>
      <c r="U14" s="403"/>
      <c r="V14" s="400"/>
      <c r="W14" s="400"/>
      <c r="X14" s="400"/>
      <c r="Y14" s="400"/>
      <c r="Z14" s="399"/>
      <c r="AA14" s="400"/>
      <c r="AB14" s="401"/>
      <c r="AC14" s="403"/>
      <c r="AD14" s="400"/>
      <c r="AE14" s="400"/>
      <c r="AF14" s="400"/>
      <c r="AG14" s="400"/>
      <c r="AH14" s="399"/>
      <c r="AI14" s="400"/>
      <c r="AJ14" s="401"/>
      <c r="AK14" s="403"/>
      <c r="AL14" s="400"/>
      <c r="AM14" s="400"/>
      <c r="AN14" s="400"/>
      <c r="AO14" s="400"/>
      <c r="AP14" s="400"/>
      <c r="AQ14" s="399"/>
      <c r="AR14" s="400"/>
      <c r="AS14" s="406"/>
      <c r="AT14" s="404"/>
      <c r="AU14" s="399"/>
      <c r="AV14" s="400"/>
      <c r="AW14" s="400"/>
      <c r="AX14" s="400"/>
      <c r="AY14" s="400"/>
      <c r="AZ14" s="400"/>
      <c r="BA14" s="401"/>
      <c r="BB14" s="403"/>
      <c r="BC14" s="399"/>
      <c r="BD14" s="400"/>
      <c r="BE14" s="400"/>
      <c r="BF14" s="400"/>
      <c r="BG14" s="400"/>
      <c r="BH14" s="400"/>
      <c r="BI14" s="401"/>
      <c r="BJ14" s="404"/>
      <c r="BK14" s="399"/>
      <c r="BL14" s="400"/>
      <c r="BM14" s="400"/>
      <c r="BN14" s="400"/>
      <c r="BO14" s="400"/>
      <c r="BP14" s="400"/>
      <c r="BQ14" s="400"/>
      <c r="BR14" s="401"/>
      <c r="BS14" s="403"/>
      <c r="BT14" s="399"/>
      <c r="BU14" s="400"/>
      <c r="BV14" s="400"/>
      <c r="BW14" s="400"/>
      <c r="BX14" s="400"/>
      <c r="BY14" s="400"/>
      <c r="BZ14" s="401"/>
      <c r="CA14" s="402"/>
      <c r="CB14" s="399"/>
      <c r="CC14" s="400"/>
      <c r="CD14" s="400"/>
      <c r="CE14" s="400"/>
      <c r="CF14" s="400"/>
      <c r="CG14" s="400"/>
      <c r="CH14" s="401"/>
      <c r="CI14" s="402"/>
      <c r="CJ14" s="399"/>
      <c r="CK14" s="400"/>
      <c r="CL14" s="400"/>
      <c r="CM14" s="400"/>
      <c r="CN14" s="400"/>
      <c r="CO14" s="400"/>
      <c r="CP14" s="401"/>
      <c r="CQ14" s="703"/>
      <c r="CR14" s="400"/>
      <c r="CS14" s="400"/>
      <c r="CT14" s="400"/>
      <c r="CU14" s="710" t="n">
        <f aca="false">+CR14-CS14</f>
        <v>0</v>
      </c>
      <c r="CV14" s="710" t="n">
        <f aca="false">+CR14-CT14</f>
        <v>0</v>
      </c>
      <c r="CW14" s="400"/>
      <c r="CX14" s="711" t="str">
        <f aca="false">IFERROR(CR14/CW14-1, "-")</f>
        <v>-</v>
      </c>
      <c r="CY14" s="105"/>
      <c r="CZ14" s="706"/>
      <c r="DA14" s="400"/>
      <c r="DB14" s="400"/>
      <c r="DC14" s="400"/>
      <c r="DD14" s="400"/>
      <c r="DE14" s="712" t="e">
        <f aca="false">(CZ14-DD14)/DD14</f>
        <v>#DIV/0!</v>
      </c>
      <c r="DF14" s="712" t="e">
        <f aca="false">(DA14-DD14)/DD14</f>
        <v>#DIV/0!</v>
      </c>
      <c r="DG14" s="712" t="e">
        <f aca="false">(DB14-DD14)/DD14</f>
        <v>#DIV/0!</v>
      </c>
      <c r="DH14" s="712" t="e">
        <f aca="false">(DC14-DD14)/DD14</f>
        <v>#DIV/0!</v>
      </c>
      <c r="DI14" s="696"/>
      <c r="DJ14" s="37"/>
      <c r="DL14" s="37"/>
      <c r="DM14" s="400" t="n">
        <f aca="false">(CS14-CZ14)*10^6</f>
        <v>0</v>
      </c>
      <c r="DN14" s="400" t="n">
        <f aca="false">(CT14-DC14)*10^6</f>
        <v>0</v>
      </c>
      <c r="DO14" s="400" t="n">
        <f aca="false">(CW14-DD14)*10^6</f>
        <v>0</v>
      </c>
    </row>
    <row r="15" customFormat="false" ht="3.75" hidden="false" customHeight="true" outlineLevel="0" collapsed="false">
      <c r="A15" s="713"/>
      <c r="B15" s="714"/>
      <c r="C15" s="679" t="s">
        <v>483</v>
      </c>
      <c r="D15" s="555"/>
      <c r="E15" s="555"/>
      <c r="F15" s="555"/>
      <c r="G15" s="555"/>
      <c r="H15" s="556"/>
      <c r="I15" s="557"/>
      <c r="J15" s="555"/>
      <c r="K15" s="555"/>
      <c r="L15" s="555"/>
      <c r="M15" s="555"/>
      <c r="N15" s="556"/>
      <c r="O15" s="558"/>
      <c r="P15" s="555"/>
      <c r="Q15" s="555"/>
      <c r="R15" s="555"/>
      <c r="S15" s="555"/>
      <c r="T15" s="556"/>
      <c r="U15" s="557"/>
      <c r="V15" s="555"/>
      <c r="W15" s="555"/>
      <c r="X15" s="555"/>
      <c r="Y15" s="555"/>
      <c r="Z15" s="554"/>
      <c r="AA15" s="555"/>
      <c r="AB15" s="556"/>
      <c r="AC15" s="557"/>
      <c r="AD15" s="555"/>
      <c r="AE15" s="555"/>
      <c r="AF15" s="555"/>
      <c r="AG15" s="555"/>
      <c r="AH15" s="554"/>
      <c r="AI15" s="555"/>
      <c r="AJ15" s="556"/>
      <c r="AK15" s="557"/>
      <c r="AL15" s="555"/>
      <c r="AM15" s="555"/>
      <c r="AN15" s="555"/>
      <c r="AO15" s="555"/>
      <c r="AP15" s="555"/>
      <c r="AQ15" s="554"/>
      <c r="AR15" s="555"/>
      <c r="AS15" s="556"/>
      <c r="AT15" s="558"/>
      <c r="AU15" s="554"/>
      <c r="AV15" s="555"/>
      <c r="AW15" s="555"/>
      <c r="AX15" s="555"/>
      <c r="AY15" s="555"/>
      <c r="AZ15" s="555"/>
      <c r="BA15" s="556"/>
      <c r="BB15" s="557"/>
      <c r="BC15" s="554"/>
      <c r="BD15" s="555"/>
      <c r="BE15" s="555"/>
      <c r="BF15" s="555"/>
      <c r="BG15" s="555"/>
      <c r="BH15" s="555"/>
      <c r="BI15" s="556"/>
      <c r="BJ15" s="558"/>
      <c r="BK15" s="554"/>
      <c r="BL15" s="555"/>
      <c r="BM15" s="555"/>
      <c r="BN15" s="555"/>
      <c r="BO15" s="555"/>
      <c r="BP15" s="555"/>
      <c r="BQ15" s="555"/>
      <c r="BR15" s="556"/>
      <c r="BS15" s="557"/>
      <c r="BT15" s="554"/>
      <c r="BU15" s="555"/>
      <c r="BV15" s="555"/>
      <c r="BW15" s="555"/>
      <c r="BX15" s="555"/>
      <c r="BY15" s="555"/>
      <c r="BZ15" s="556"/>
      <c r="CA15" s="557"/>
      <c r="CB15" s="554"/>
      <c r="CC15" s="555"/>
      <c r="CD15" s="555"/>
      <c r="CE15" s="555"/>
      <c r="CF15" s="555"/>
      <c r="CG15" s="555"/>
      <c r="CH15" s="556"/>
      <c r="CI15" s="557"/>
      <c r="CJ15" s="554"/>
      <c r="CK15" s="555"/>
      <c r="CL15" s="555"/>
      <c r="CM15" s="555"/>
      <c r="CN15" s="555"/>
      <c r="CO15" s="555"/>
      <c r="CP15" s="556"/>
      <c r="CQ15" s="422"/>
      <c r="CR15" s="698"/>
      <c r="CS15" s="698"/>
      <c r="CT15" s="698"/>
      <c r="CU15" s="698"/>
      <c r="CV15" s="698" t="n">
        <f aca="false">+CR15-CT15</f>
        <v>0</v>
      </c>
      <c r="CW15" s="698"/>
      <c r="CX15" s="715" t="str">
        <f aca="false">IFERROR(CR15/CW15-1, "-")</f>
        <v>-</v>
      </c>
      <c r="CY15" s="206"/>
      <c r="CZ15" s="716"/>
      <c r="DA15" s="555"/>
      <c r="DB15" s="555"/>
      <c r="DC15" s="555"/>
      <c r="DD15" s="555"/>
      <c r="DE15" s="245"/>
      <c r="DF15" s="245"/>
      <c r="DG15" s="245"/>
      <c r="DH15" s="245"/>
      <c r="DI15" s="696"/>
      <c r="DL15" s="37"/>
      <c r="DM15" s="400" t="n">
        <f aca="false">(CS15-CZ15)*10^6</f>
        <v>0</v>
      </c>
      <c r="DN15" s="400" t="n">
        <f aca="false">(CT15-DC15)*10^6</f>
        <v>0</v>
      </c>
      <c r="DO15" s="400" t="n">
        <f aca="false">(CW15-DD15)*10^6</f>
        <v>0</v>
      </c>
    </row>
    <row r="16" customFormat="false" ht="12.75" hidden="false" customHeight="false" outlineLevel="0" collapsed="false">
      <c r="A16" s="717" t="s">
        <v>484</v>
      </c>
      <c r="B16" s="718"/>
      <c r="C16" s="679" t="s">
        <v>485</v>
      </c>
      <c r="D16" s="719"/>
      <c r="E16" s="719"/>
      <c r="F16" s="719"/>
      <c r="G16" s="719"/>
      <c r="H16" s="720"/>
      <c r="I16" s="721"/>
      <c r="J16" s="719"/>
      <c r="K16" s="719"/>
      <c r="L16" s="719"/>
      <c r="M16" s="719"/>
      <c r="N16" s="720"/>
      <c r="O16" s="722"/>
      <c r="P16" s="719"/>
      <c r="Q16" s="719"/>
      <c r="R16" s="719"/>
      <c r="S16" s="719"/>
      <c r="T16" s="720"/>
      <c r="U16" s="721"/>
      <c r="V16" s="719"/>
      <c r="W16" s="719"/>
      <c r="X16" s="719"/>
      <c r="Y16" s="719"/>
      <c r="Z16" s="723"/>
      <c r="AA16" s="719"/>
      <c r="AB16" s="720"/>
      <c r="AC16" s="721"/>
      <c r="AD16" s="719"/>
      <c r="AE16" s="719"/>
      <c r="AF16" s="719"/>
      <c r="AG16" s="719"/>
      <c r="AH16" s="723"/>
      <c r="AI16" s="719"/>
      <c r="AJ16" s="720"/>
      <c r="AK16" s="721"/>
      <c r="AL16" s="719"/>
      <c r="AM16" s="719"/>
      <c r="AN16" s="719"/>
      <c r="AO16" s="719"/>
      <c r="AP16" s="719"/>
      <c r="AQ16" s="723"/>
      <c r="AR16" s="719"/>
      <c r="AS16" s="724"/>
      <c r="AT16" s="722"/>
      <c r="AU16" s="723"/>
      <c r="AV16" s="719"/>
      <c r="AW16" s="719"/>
      <c r="AX16" s="719"/>
      <c r="AY16" s="719"/>
      <c r="AZ16" s="719"/>
      <c r="BA16" s="720"/>
      <c r="BB16" s="721"/>
      <c r="BC16" s="723"/>
      <c r="BD16" s="719"/>
      <c r="BE16" s="719"/>
      <c r="BF16" s="719"/>
      <c r="BG16" s="719"/>
      <c r="BH16" s="719"/>
      <c r="BI16" s="720"/>
      <c r="BJ16" s="722"/>
      <c r="BK16" s="723"/>
      <c r="BL16" s="719"/>
      <c r="BM16" s="719"/>
      <c r="BN16" s="719"/>
      <c r="BO16" s="719"/>
      <c r="BP16" s="719"/>
      <c r="BQ16" s="719"/>
      <c r="BR16" s="720"/>
      <c r="BS16" s="721"/>
      <c r="BT16" s="723"/>
      <c r="BU16" s="719"/>
      <c r="BV16" s="719"/>
      <c r="BW16" s="719"/>
      <c r="BX16" s="719"/>
      <c r="BY16" s="719"/>
      <c r="BZ16" s="720"/>
      <c r="CA16" s="725"/>
      <c r="CB16" s="723"/>
      <c r="CC16" s="719"/>
      <c r="CD16" s="719"/>
      <c r="CE16" s="719"/>
      <c r="CF16" s="719"/>
      <c r="CG16" s="719"/>
      <c r="CH16" s="720"/>
      <c r="CI16" s="725"/>
      <c r="CJ16" s="723"/>
      <c r="CK16" s="719"/>
      <c r="CL16" s="719"/>
      <c r="CM16" s="719"/>
      <c r="CN16" s="719"/>
      <c r="CO16" s="719"/>
      <c r="CP16" s="720"/>
      <c r="CQ16" s="721"/>
      <c r="CR16" s="719"/>
      <c r="CS16" s="719"/>
      <c r="CT16" s="723"/>
      <c r="CU16" s="719" t="n">
        <f aca="false">+CR16-CS16</f>
        <v>0</v>
      </c>
      <c r="CV16" s="719" t="n">
        <f aca="false">+CR16-CT16</f>
        <v>0</v>
      </c>
      <c r="CW16" s="719"/>
      <c r="CX16" s="726" t="str">
        <f aca="false">IFERROR(CR16/CW16-1, "-")</f>
        <v>-</v>
      </c>
      <c r="CY16" s="727"/>
      <c r="CZ16" s="728"/>
      <c r="DA16" s="719"/>
      <c r="DB16" s="719"/>
      <c r="DC16" s="719"/>
      <c r="DD16" s="719"/>
      <c r="DE16" s="720" t="e">
        <f aca="false">(CZ16-DD16)/DD16</f>
        <v>#DIV/0!</v>
      </c>
      <c r="DF16" s="720" t="e">
        <f aca="false">(DA16-DD16)/DD16</f>
        <v>#DIV/0!</v>
      </c>
      <c r="DG16" s="720" t="e">
        <f aca="false">(DB16-DD16)/DD16</f>
        <v>#DIV/0!</v>
      </c>
      <c r="DH16" s="720" t="e">
        <f aca="false">(DC16-DD16)/DD16</f>
        <v>#DIV/0!</v>
      </c>
      <c r="DI16" s="696"/>
      <c r="DL16" s="37"/>
      <c r="DM16" s="400" t="n">
        <f aca="false">(CS16-CZ16)*10^6</f>
        <v>0</v>
      </c>
      <c r="DN16" s="400" t="n">
        <f aca="false">(CT16-DC16)*10^6</f>
        <v>0</v>
      </c>
      <c r="DO16" s="400" t="n">
        <f aca="false">(CW16-DD16)*10^6</f>
        <v>0</v>
      </c>
    </row>
    <row r="17" s="156" customFormat="true" ht="15" hidden="false" customHeight="true" outlineLevel="0" collapsed="false">
      <c r="A17" s="729"/>
      <c r="B17" s="730" t="s">
        <v>486</v>
      </c>
      <c r="C17" s="679" t="s">
        <v>487</v>
      </c>
      <c r="D17" s="130"/>
      <c r="E17" s="130"/>
      <c r="F17" s="130"/>
      <c r="G17" s="130"/>
      <c r="H17" s="731"/>
      <c r="I17" s="732"/>
      <c r="J17" s="130"/>
      <c r="K17" s="130"/>
      <c r="L17" s="130"/>
      <c r="M17" s="130"/>
      <c r="N17" s="731"/>
      <c r="O17" s="733"/>
      <c r="P17" s="130"/>
      <c r="Q17" s="130"/>
      <c r="R17" s="130"/>
      <c r="S17" s="130"/>
      <c r="T17" s="731"/>
      <c r="U17" s="732"/>
      <c r="V17" s="130"/>
      <c r="W17" s="130"/>
      <c r="X17" s="130"/>
      <c r="Y17" s="130"/>
      <c r="Z17" s="734"/>
      <c r="AA17" s="130"/>
      <c r="AB17" s="731"/>
      <c r="AC17" s="732"/>
      <c r="AD17" s="130"/>
      <c r="AE17" s="130"/>
      <c r="AF17" s="130"/>
      <c r="AG17" s="130"/>
      <c r="AH17" s="734"/>
      <c r="AI17" s="130"/>
      <c r="AJ17" s="731"/>
      <c r="AK17" s="732"/>
      <c r="AL17" s="130"/>
      <c r="AM17" s="130"/>
      <c r="AN17" s="130"/>
      <c r="AO17" s="130"/>
      <c r="AP17" s="130"/>
      <c r="AQ17" s="734"/>
      <c r="AR17" s="130"/>
      <c r="AS17" s="731"/>
      <c r="AT17" s="733"/>
      <c r="AU17" s="734"/>
      <c r="AV17" s="130"/>
      <c r="AW17" s="130"/>
      <c r="AX17" s="130"/>
      <c r="AY17" s="130"/>
      <c r="AZ17" s="130"/>
      <c r="BA17" s="731"/>
      <c r="BB17" s="732"/>
      <c r="BC17" s="734"/>
      <c r="BD17" s="130"/>
      <c r="BE17" s="130"/>
      <c r="BF17" s="130"/>
      <c r="BG17" s="130"/>
      <c r="BH17" s="130"/>
      <c r="BI17" s="731"/>
      <c r="BJ17" s="733"/>
      <c r="BK17" s="734"/>
      <c r="BL17" s="130"/>
      <c r="BM17" s="130"/>
      <c r="BN17" s="130"/>
      <c r="BO17" s="130"/>
      <c r="BP17" s="130"/>
      <c r="BQ17" s="130"/>
      <c r="BR17" s="731"/>
      <c r="BS17" s="732"/>
      <c r="BT17" s="734"/>
      <c r="BU17" s="130"/>
      <c r="BV17" s="130"/>
      <c r="BW17" s="130"/>
      <c r="BX17" s="130"/>
      <c r="BY17" s="130"/>
      <c r="BZ17" s="731"/>
      <c r="CA17" s="732"/>
      <c r="CB17" s="734"/>
      <c r="CC17" s="130"/>
      <c r="CD17" s="130"/>
      <c r="CE17" s="130"/>
      <c r="CF17" s="130"/>
      <c r="CG17" s="130"/>
      <c r="CH17" s="731"/>
      <c r="CI17" s="732"/>
      <c r="CJ17" s="734"/>
      <c r="CK17" s="130"/>
      <c r="CL17" s="130"/>
      <c r="CM17" s="130"/>
      <c r="CN17" s="130"/>
      <c r="CO17" s="130"/>
      <c r="CP17" s="731"/>
      <c r="CQ17" s="732"/>
      <c r="CR17" s="130"/>
      <c r="CS17" s="130"/>
      <c r="CT17" s="130"/>
      <c r="CU17" s="130" t="n">
        <f aca="false">+CR17-CS17</f>
        <v>0</v>
      </c>
      <c r="CV17" s="130" t="n">
        <f aca="false">+CR17-CT17</f>
        <v>0</v>
      </c>
      <c r="CW17" s="130"/>
      <c r="CX17" s="735" t="str">
        <f aca="false">IFERROR(CR17/CW17-1, "-")</f>
        <v>-</v>
      </c>
      <c r="CY17" s="105"/>
      <c r="CZ17" s="736"/>
      <c r="DA17" s="130"/>
      <c r="DB17" s="130"/>
      <c r="DC17" s="130"/>
      <c r="DD17" s="130"/>
      <c r="DE17" s="731" t="e">
        <f aca="false">(CZ17-DD17)/DD17</f>
        <v>#DIV/0!</v>
      </c>
      <c r="DF17" s="731" t="e">
        <f aca="false">(DA17-DD17)/DD17</f>
        <v>#DIV/0!</v>
      </c>
      <c r="DG17" s="731" t="e">
        <f aca="false">(DB17-DD17)/DD17</f>
        <v>#DIV/0!</v>
      </c>
      <c r="DH17" s="731" t="e">
        <f aca="false">(DC17-DD17)/DD17</f>
        <v>#DIV/0!</v>
      </c>
      <c r="DI17" s="696"/>
      <c r="DJ17" s="37"/>
      <c r="DL17" s="37"/>
      <c r="DM17" s="400" t="n">
        <f aca="false">(CS17-CZ17)*10^6</f>
        <v>0</v>
      </c>
      <c r="DN17" s="400" t="n">
        <f aca="false">(CT17-DC17)*10^6</f>
        <v>0</v>
      </c>
      <c r="DO17" s="400" t="n">
        <f aca="false">(CW17-DD17)*10^6</f>
        <v>0</v>
      </c>
    </row>
    <row r="18" s="748" customFormat="true" ht="15" hidden="false" customHeight="true" outlineLevel="1" collapsed="false">
      <c r="A18" s="737" t="s">
        <v>488</v>
      </c>
      <c r="B18" s="737"/>
      <c r="C18" s="679" t="s">
        <v>489</v>
      </c>
      <c r="D18" s="738"/>
      <c r="E18" s="738"/>
      <c r="F18" s="738"/>
      <c r="G18" s="738"/>
      <c r="H18" s="739"/>
      <c r="I18" s="740"/>
      <c r="J18" s="738"/>
      <c r="K18" s="738"/>
      <c r="L18" s="738"/>
      <c r="M18" s="738"/>
      <c r="N18" s="739"/>
      <c r="O18" s="741"/>
      <c r="P18" s="738"/>
      <c r="Q18" s="738"/>
      <c r="R18" s="738"/>
      <c r="S18" s="738"/>
      <c r="T18" s="739"/>
      <c r="U18" s="740"/>
      <c r="V18" s="738"/>
      <c r="W18" s="738"/>
      <c r="X18" s="738"/>
      <c r="Y18" s="738"/>
      <c r="Z18" s="742"/>
      <c r="AA18" s="738"/>
      <c r="AB18" s="739"/>
      <c r="AC18" s="740"/>
      <c r="AD18" s="738"/>
      <c r="AE18" s="738"/>
      <c r="AF18" s="738"/>
      <c r="AG18" s="738"/>
      <c r="AH18" s="742"/>
      <c r="AI18" s="738"/>
      <c r="AJ18" s="739"/>
      <c r="AK18" s="740"/>
      <c r="AL18" s="738"/>
      <c r="AM18" s="738"/>
      <c r="AN18" s="738"/>
      <c r="AO18" s="738"/>
      <c r="AP18" s="738"/>
      <c r="AQ18" s="742"/>
      <c r="AR18" s="738"/>
      <c r="AS18" s="739"/>
      <c r="AT18" s="741"/>
      <c r="AU18" s="742"/>
      <c r="AV18" s="738"/>
      <c r="AW18" s="738"/>
      <c r="AX18" s="738"/>
      <c r="AY18" s="738"/>
      <c r="AZ18" s="738"/>
      <c r="BA18" s="739"/>
      <c r="BB18" s="740"/>
      <c r="BC18" s="742"/>
      <c r="BD18" s="738"/>
      <c r="BE18" s="738"/>
      <c r="BF18" s="738"/>
      <c r="BG18" s="738"/>
      <c r="BH18" s="738"/>
      <c r="BI18" s="739"/>
      <c r="BJ18" s="741"/>
      <c r="BK18" s="742"/>
      <c r="BL18" s="738"/>
      <c r="BM18" s="738"/>
      <c r="BN18" s="738"/>
      <c r="BO18" s="738"/>
      <c r="BP18" s="738"/>
      <c r="BQ18" s="738"/>
      <c r="BR18" s="739"/>
      <c r="BS18" s="740"/>
      <c r="BT18" s="742"/>
      <c r="BU18" s="738"/>
      <c r="BV18" s="738"/>
      <c r="BW18" s="738"/>
      <c r="BX18" s="738"/>
      <c r="BY18" s="738"/>
      <c r="BZ18" s="739"/>
      <c r="CA18" s="743"/>
      <c r="CB18" s="742"/>
      <c r="CC18" s="738"/>
      <c r="CD18" s="738"/>
      <c r="CE18" s="738"/>
      <c r="CF18" s="738"/>
      <c r="CG18" s="738"/>
      <c r="CH18" s="739"/>
      <c r="CI18" s="743"/>
      <c r="CJ18" s="742"/>
      <c r="CK18" s="738"/>
      <c r="CL18" s="738"/>
      <c r="CM18" s="738"/>
      <c r="CN18" s="738"/>
      <c r="CO18" s="738"/>
      <c r="CP18" s="739"/>
      <c r="CQ18" s="740"/>
      <c r="CR18" s="738"/>
      <c r="CS18" s="738"/>
      <c r="CT18" s="744"/>
      <c r="CU18" s="738" t="n">
        <f aca="false">+CR18-CS18</f>
        <v>0</v>
      </c>
      <c r="CV18" s="738" t="n">
        <f aca="false">+CR18-CT18</f>
        <v>0</v>
      </c>
      <c r="CW18" s="738"/>
      <c r="CX18" s="745" t="e">
        <f aca="false">+CR18/CW18-1</f>
        <v>#DIV/0!</v>
      </c>
      <c r="CY18" s="746"/>
      <c r="CZ18" s="747"/>
      <c r="DA18" s="738"/>
      <c r="DB18" s="738"/>
      <c r="DC18" s="738"/>
      <c r="DD18" s="738"/>
      <c r="DE18" s="739" t="e">
        <f aca="false">(CZ18-DD18)/DD18</f>
        <v>#DIV/0!</v>
      </c>
      <c r="DF18" s="739" t="e">
        <f aca="false">(DA18-DD18)/DD18</f>
        <v>#DIV/0!</v>
      </c>
      <c r="DG18" s="739" t="e">
        <f aca="false">(DB18-DD18)/DD18</f>
        <v>#DIV/0!</v>
      </c>
      <c r="DH18" s="739" t="e">
        <f aca="false">(DC18-DD18)/DD18</f>
        <v>#DIV/0!</v>
      </c>
      <c r="DI18" s="696"/>
      <c r="DJ18" s="37"/>
      <c r="DL18" s="37"/>
      <c r="DM18" s="400" t="n">
        <f aca="false">(CS18-CZ18)*10^6</f>
        <v>0</v>
      </c>
      <c r="DN18" s="400" t="n">
        <f aca="false">(CT18-DC18)*10^6</f>
        <v>0</v>
      </c>
      <c r="DO18" s="400" t="n">
        <f aca="false">(CW18-DD18)*10^6</f>
        <v>0</v>
      </c>
    </row>
    <row r="19" s="763" customFormat="true" ht="15" hidden="false" customHeight="true" outlineLevel="1" collapsed="false">
      <c r="A19" s="749"/>
      <c r="B19" s="750" t="s">
        <v>490</v>
      </c>
      <c r="C19" s="679" t="s">
        <v>491</v>
      </c>
      <c r="D19" s="751"/>
      <c r="E19" s="752"/>
      <c r="F19" s="752"/>
      <c r="G19" s="752"/>
      <c r="H19" s="753"/>
      <c r="I19" s="754"/>
      <c r="J19" s="751"/>
      <c r="K19" s="752"/>
      <c r="L19" s="752"/>
      <c r="M19" s="752"/>
      <c r="N19" s="753"/>
      <c r="O19" s="755"/>
      <c r="P19" s="751"/>
      <c r="Q19" s="752"/>
      <c r="R19" s="752"/>
      <c r="S19" s="752"/>
      <c r="T19" s="753"/>
      <c r="U19" s="754"/>
      <c r="V19" s="751"/>
      <c r="W19" s="752"/>
      <c r="X19" s="752"/>
      <c r="Y19" s="752"/>
      <c r="Z19" s="751"/>
      <c r="AA19" s="752"/>
      <c r="AB19" s="753"/>
      <c r="AC19" s="754"/>
      <c r="AD19" s="751"/>
      <c r="AE19" s="752"/>
      <c r="AF19" s="752"/>
      <c r="AG19" s="752"/>
      <c r="AH19" s="751"/>
      <c r="AI19" s="752"/>
      <c r="AJ19" s="753"/>
      <c r="AK19" s="754"/>
      <c r="AL19" s="756"/>
      <c r="AM19" s="752"/>
      <c r="AN19" s="752"/>
      <c r="AO19" s="752"/>
      <c r="AP19" s="752"/>
      <c r="AQ19" s="751"/>
      <c r="AR19" s="752"/>
      <c r="AS19" s="753"/>
      <c r="AT19" s="755"/>
      <c r="AU19" s="751"/>
      <c r="AV19" s="752"/>
      <c r="AW19" s="752"/>
      <c r="AX19" s="752"/>
      <c r="AY19" s="752"/>
      <c r="AZ19" s="752"/>
      <c r="BA19" s="753"/>
      <c r="BB19" s="754"/>
      <c r="BC19" s="751"/>
      <c r="BD19" s="752"/>
      <c r="BE19" s="752"/>
      <c r="BF19" s="752"/>
      <c r="BG19" s="752"/>
      <c r="BH19" s="752"/>
      <c r="BI19" s="753"/>
      <c r="BJ19" s="755"/>
      <c r="BK19" s="751"/>
      <c r="BL19" s="752"/>
      <c r="BM19" s="752"/>
      <c r="BN19" s="752"/>
      <c r="BO19" s="752"/>
      <c r="BP19" s="752"/>
      <c r="BQ19" s="752"/>
      <c r="BR19" s="753"/>
      <c r="BS19" s="754"/>
      <c r="BT19" s="751"/>
      <c r="BU19" s="752"/>
      <c r="BV19" s="752"/>
      <c r="BW19" s="752"/>
      <c r="BX19" s="752"/>
      <c r="BY19" s="752"/>
      <c r="BZ19" s="753"/>
      <c r="CA19" s="757"/>
      <c r="CB19" s="751"/>
      <c r="CC19" s="752"/>
      <c r="CD19" s="752"/>
      <c r="CE19" s="752"/>
      <c r="CF19" s="752"/>
      <c r="CG19" s="752"/>
      <c r="CH19" s="753"/>
      <c r="CI19" s="757"/>
      <c r="CJ19" s="751"/>
      <c r="CK19" s="752"/>
      <c r="CL19" s="752"/>
      <c r="CM19" s="752"/>
      <c r="CN19" s="752"/>
      <c r="CO19" s="752"/>
      <c r="CP19" s="753"/>
      <c r="CQ19" s="754"/>
      <c r="CR19" s="752"/>
      <c r="CS19" s="752"/>
      <c r="CT19" s="758"/>
      <c r="CU19" s="752" t="n">
        <f aca="false">+CR19-CS19</f>
        <v>0</v>
      </c>
      <c r="CV19" s="752" t="n">
        <f aca="false">+CR19-CT19</f>
        <v>0</v>
      </c>
      <c r="CW19" s="752"/>
      <c r="CX19" s="759" t="e">
        <f aca="false">+CR19/CW19-1</f>
        <v>#DIV/0!</v>
      </c>
      <c r="CY19" s="760"/>
      <c r="CZ19" s="761"/>
      <c r="DA19" s="752"/>
      <c r="DB19" s="752"/>
      <c r="DC19" s="752"/>
      <c r="DD19" s="752"/>
      <c r="DE19" s="753" t="e">
        <f aca="false">(CZ19-DD19)/DD19</f>
        <v>#DIV/0!</v>
      </c>
      <c r="DF19" s="753" t="e">
        <f aca="false">(DA19-DD19)/DD19</f>
        <v>#DIV/0!</v>
      </c>
      <c r="DG19" s="753" t="e">
        <f aca="false">(DB19-DD19)/DD19</f>
        <v>#DIV/0!</v>
      </c>
      <c r="DH19" s="753" t="e">
        <f aca="false">(DC19-DD19)/DD19</f>
        <v>#DIV/0!</v>
      </c>
      <c r="DI19" s="696"/>
      <c r="DJ19" s="762"/>
      <c r="DK19" s="156"/>
      <c r="DL19" s="762"/>
      <c r="DM19" s="400" t="n">
        <f aca="false">(CS19-CZ19)*10^6</f>
        <v>0</v>
      </c>
      <c r="DN19" s="400" t="n">
        <f aca="false">(CT19-DC19)*10^6</f>
        <v>0</v>
      </c>
      <c r="DO19" s="400" t="n">
        <f aca="false">(CW19-DD19)*10^6</f>
        <v>0</v>
      </c>
      <c r="DP19" s="156"/>
      <c r="DQ19" s="156"/>
      <c r="DR19" s="156"/>
      <c r="DS19" s="156"/>
      <c r="DT19" s="156"/>
      <c r="DU19" s="156"/>
      <c r="DV19" s="156"/>
      <c r="DW19" s="156"/>
      <c r="DX19" s="156"/>
      <c r="DY19" s="156"/>
      <c r="DZ19" s="156"/>
      <c r="EA19" s="156"/>
      <c r="EB19" s="156"/>
      <c r="EC19" s="156"/>
      <c r="ED19" s="156"/>
      <c r="EE19" s="156"/>
      <c r="EF19" s="156"/>
      <c r="EG19" s="156"/>
      <c r="EH19" s="156"/>
      <c r="EI19" s="156"/>
      <c r="EJ19" s="156"/>
      <c r="EK19" s="156"/>
      <c r="EL19" s="156"/>
      <c r="EM19" s="156"/>
      <c r="EN19" s="156"/>
      <c r="EO19" s="156"/>
      <c r="EP19" s="156"/>
      <c r="EQ19" s="156"/>
      <c r="ER19" s="156"/>
      <c r="ES19" s="156"/>
      <c r="ET19" s="156"/>
      <c r="EU19" s="156"/>
      <c r="EV19" s="156"/>
      <c r="EW19" s="156"/>
      <c r="EX19" s="156"/>
      <c r="EY19" s="156"/>
      <c r="EZ19" s="156"/>
      <c r="FA19" s="156"/>
      <c r="FB19" s="156"/>
      <c r="FC19" s="156"/>
      <c r="FD19" s="156"/>
      <c r="FE19" s="156"/>
      <c r="FF19" s="156"/>
      <c r="FG19" s="156"/>
      <c r="FH19" s="156"/>
      <c r="FI19" s="156"/>
      <c r="FJ19" s="156"/>
      <c r="FK19" s="156"/>
      <c r="FL19" s="156"/>
      <c r="FM19" s="156"/>
      <c r="FN19" s="156"/>
      <c r="FO19" s="156"/>
      <c r="FP19" s="156"/>
      <c r="FQ19" s="156"/>
      <c r="FR19" s="156"/>
      <c r="FS19" s="156"/>
      <c r="FT19" s="156"/>
      <c r="FU19" s="156"/>
      <c r="FV19" s="156"/>
      <c r="FW19" s="156"/>
      <c r="FX19" s="156"/>
      <c r="FY19" s="156"/>
      <c r="FZ19" s="156"/>
      <c r="GA19" s="156"/>
      <c r="GB19" s="156"/>
      <c r="GC19" s="156"/>
      <c r="GD19" s="156"/>
      <c r="GE19" s="156"/>
      <c r="GF19" s="156"/>
      <c r="GG19" s="156"/>
      <c r="GH19" s="156"/>
      <c r="GI19" s="156"/>
      <c r="GJ19" s="156"/>
      <c r="GK19" s="156"/>
      <c r="GL19" s="156"/>
      <c r="GM19" s="156"/>
      <c r="GN19" s="156"/>
      <c r="GO19" s="156"/>
      <c r="GP19" s="156"/>
      <c r="GQ19" s="156"/>
      <c r="GR19" s="156"/>
      <c r="GS19" s="156"/>
      <c r="GT19" s="156"/>
      <c r="GU19" s="156"/>
      <c r="GV19" s="156"/>
      <c r="GW19" s="156"/>
      <c r="GX19" s="156"/>
      <c r="GY19" s="156"/>
      <c r="GZ19" s="156"/>
      <c r="HA19" s="156"/>
      <c r="HB19" s="156"/>
      <c r="HC19" s="156"/>
      <c r="HD19" s="156"/>
      <c r="HE19" s="156"/>
      <c r="HF19" s="156"/>
      <c r="HG19" s="156"/>
      <c r="HH19" s="156"/>
      <c r="HI19" s="156"/>
      <c r="HJ19" s="156"/>
      <c r="HK19" s="156"/>
      <c r="HL19" s="156"/>
    </row>
    <row r="20" s="441" customFormat="true" ht="15" hidden="false" customHeight="true" outlineLevel="1" collapsed="false">
      <c r="A20" s="764"/>
      <c r="B20" s="765" t="s">
        <v>492</v>
      </c>
      <c r="C20" s="679" t="s">
        <v>493</v>
      </c>
      <c r="D20" s="537"/>
      <c r="E20" s="537"/>
      <c r="F20" s="537"/>
      <c r="G20" s="537"/>
      <c r="H20" s="438"/>
      <c r="I20" s="766"/>
      <c r="J20" s="537"/>
      <c r="K20" s="537"/>
      <c r="L20" s="537"/>
      <c r="M20" s="537"/>
      <c r="N20" s="438"/>
      <c r="O20" s="767"/>
      <c r="P20" s="537"/>
      <c r="Q20" s="537"/>
      <c r="R20" s="537"/>
      <c r="S20" s="537"/>
      <c r="T20" s="438"/>
      <c r="U20" s="766"/>
      <c r="V20" s="537"/>
      <c r="W20" s="537"/>
      <c r="X20" s="537"/>
      <c r="Y20" s="537"/>
      <c r="Z20" s="439"/>
      <c r="AA20" s="537"/>
      <c r="AB20" s="438"/>
      <c r="AC20" s="766"/>
      <c r="AD20" s="537"/>
      <c r="AE20" s="537"/>
      <c r="AF20" s="537"/>
      <c r="AG20" s="537"/>
      <c r="AH20" s="439"/>
      <c r="AI20" s="537"/>
      <c r="AJ20" s="438"/>
      <c r="AK20" s="766"/>
      <c r="AL20" s="537"/>
      <c r="AM20" s="537"/>
      <c r="AN20" s="537"/>
      <c r="AO20" s="537"/>
      <c r="AP20" s="537"/>
      <c r="AQ20" s="439"/>
      <c r="AR20" s="537"/>
      <c r="AS20" s="438"/>
      <c r="AT20" s="767"/>
      <c r="AU20" s="439"/>
      <c r="AV20" s="537"/>
      <c r="AW20" s="537"/>
      <c r="AX20" s="537"/>
      <c r="AY20" s="537"/>
      <c r="AZ20" s="537"/>
      <c r="BA20" s="438"/>
      <c r="BB20" s="766"/>
      <c r="BC20" s="439"/>
      <c r="BD20" s="537"/>
      <c r="BE20" s="537"/>
      <c r="BF20" s="537"/>
      <c r="BG20" s="537"/>
      <c r="BH20" s="537"/>
      <c r="BI20" s="438"/>
      <c r="BJ20" s="767"/>
      <c r="BK20" s="439"/>
      <c r="BL20" s="537"/>
      <c r="BM20" s="537"/>
      <c r="BN20" s="537"/>
      <c r="BO20" s="537"/>
      <c r="BP20" s="537"/>
      <c r="BQ20" s="537"/>
      <c r="BR20" s="438"/>
      <c r="BS20" s="766"/>
      <c r="BT20" s="439"/>
      <c r="BU20" s="537"/>
      <c r="BV20" s="537"/>
      <c r="BW20" s="537"/>
      <c r="BX20" s="537"/>
      <c r="BY20" s="537"/>
      <c r="BZ20" s="438"/>
      <c r="CA20" s="768"/>
      <c r="CB20" s="439"/>
      <c r="CC20" s="537"/>
      <c r="CD20" s="537"/>
      <c r="CE20" s="537"/>
      <c r="CF20" s="537"/>
      <c r="CG20" s="537"/>
      <c r="CH20" s="438"/>
      <c r="CI20" s="768"/>
      <c r="CJ20" s="439"/>
      <c r="CK20" s="537"/>
      <c r="CL20" s="537"/>
      <c r="CM20" s="537"/>
      <c r="CN20" s="537"/>
      <c r="CO20" s="537"/>
      <c r="CP20" s="438"/>
      <c r="CQ20" s="766"/>
      <c r="CR20" s="537"/>
      <c r="CS20" s="537"/>
      <c r="CT20" s="433"/>
      <c r="CU20" s="537" t="n">
        <f aca="false">+CR20-CS20</f>
        <v>0</v>
      </c>
      <c r="CV20" s="537" t="n">
        <f aca="false">+CR20-CT20</f>
        <v>0</v>
      </c>
      <c r="CW20" s="537"/>
      <c r="CX20" s="769" t="e">
        <f aca="false">+CR20/CW20-1</f>
        <v>#DIV/0!</v>
      </c>
      <c r="CY20" s="770"/>
      <c r="CZ20" s="771"/>
      <c r="DA20" s="537"/>
      <c r="DB20" s="537"/>
      <c r="DC20" s="537"/>
      <c r="DD20" s="537"/>
      <c r="DE20" s="438" t="e">
        <f aca="false">(CZ20-DD20)/DD20</f>
        <v>#DIV/0!</v>
      </c>
      <c r="DF20" s="438" t="e">
        <f aca="false">(DA20-DD20)/DD20</f>
        <v>#DIV/0!</v>
      </c>
      <c r="DG20" s="438" t="e">
        <f aca="false">(DB20-DD20)/DD20</f>
        <v>#DIV/0!</v>
      </c>
      <c r="DH20" s="438" t="e">
        <f aca="false">(DC20-DD20)/DD20</f>
        <v>#DIV/0!</v>
      </c>
      <c r="DI20" s="696"/>
      <c r="DJ20" s="37"/>
      <c r="DL20" s="37"/>
      <c r="DM20" s="400" t="n">
        <f aca="false">(CS20-CZ20)*10^6</f>
        <v>0</v>
      </c>
      <c r="DN20" s="400" t="n">
        <f aca="false">(CT20-DC20)*10^6</f>
        <v>0</v>
      </c>
      <c r="DO20" s="400" t="n">
        <f aca="false">(CW20-DD20)*10^6</f>
        <v>0</v>
      </c>
    </row>
    <row r="21" s="441" customFormat="true" ht="15" hidden="false" customHeight="true" outlineLevel="1" collapsed="false">
      <c r="A21" s="764"/>
      <c r="B21" s="765" t="s">
        <v>494</v>
      </c>
      <c r="C21" s="679" t="s">
        <v>495</v>
      </c>
      <c r="D21" s="537"/>
      <c r="E21" s="537"/>
      <c r="F21" s="537"/>
      <c r="G21" s="537"/>
      <c r="H21" s="438"/>
      <c r="I21" s="766"/>
      <c r="J21" s="537"/>
      <c r="K21" s="537"/>
      <c r="L21" s="537"/>
      <c r="M21" s="537"/>
      <c r="N21" s="438"/>
      <c r="O21" s="767"/>
      <c r="P21" s="537"/>
      <c r="Q21" s="537"/>
      <c r="R21" s="537"/>
      <c r="S21" s="537"/>
      <c r="T21" s="438"/>
      <c r="U21" s="766"/>
      <c r="V21" s="537"/>
      <c r="W21" s="537"/>
      <c r="X21" s="537"/>
      <c r="Y21" s="537"/>
      <c r="Z21" s="439"/>
      <c r="AA21" s="537"/>
      <c r="AB21" s="438"/>
      <c r="AC21" s="766"/>
      <c r="AD21" s="537"/>
      <c r="AE21" s="537"/>
      <c r="AF21" s="537"/>
      <c r="AG21" s="537"/>
      <c r="AH21" s="439"/>
      <c r="AI21" s="537"/>
      <c r="AJ21" s="438"/>
      <c r="AK21" s="766"/>
      <c r="AL21" s="537"/>
      <c r="AM21" s="537"/>
      <c r="AN21" s="537"/>
      <c r="AO21" s="537"/>
      <c r="AP21" s="537"/>
      <c r="AQ21" s="439"/>
      <c r="AR21" s="537"/>
      <c r="AS21" s="438"/>
      <c r="AT21" s="767"/>
      <c r="AU21" s="439"/>
      <c r="AV21" s="537"/>
      <c r="AW21" s="537"/>
      <c r="AX21" s="537"/>
      <c r="AY21" s="537"/>
      <c r="AZ21" s="537"/>
      <c r="BA21" s="438"/>
      <c r="BB21" s="766"/>
      <c r="BC21" s="439"/>
      <c r="BD21" s="537"/>
      <c r="BE21" s="537"/>
      <c r="BF21" s="537"/>
      <c r="BG21" s="537"/>
      <c r="BH21" s="537"/>
      <c r="BI21" s="438"/>
      <c r="BJ21" s="767"/>
      <c r="BK21" s="439"/>
      <c r="BL21" s="537"/>
      <c r="BM21" s="537"/>
      <c r="BN21" s="537"/>
      <c r="BO21" s="537"/>
      <c r="BP21" s="537"/>
      <c r="BQ21" s="537"/>
      <c r="BR21" s="438"/>
      <c r="BS21" s="766"/>
      <c r="BT21" s="439"/>
      <c r="BU21" s="537"/>
      <c r="BV21" s="537"/>
      <c r="BW21" s="537"/>
      <c r="BX21" s="537"/>
      <c r="BY21" s="537"/>
      <c r="BZ21" s="438"/>
      <c r="CA21" s="768"/>
      <c r="CB21" s="439"/>
      <c r="CC21" s="537"/>
      <c r="CD21" s="537"/>
      <c r="CE21" s="537"/>
      <c r="CF21" s="537"/>
      <c r="CG21" s="537"/>
      <c r="CH21" s="438"/>
      <c r="CI21" s="768"/>
      <c r="CJ21" s="439"/>
      <c r="CK21" s="537"/>
      <c r="CL21" s="537"/>
      <c r="CM21" s="537"/>
      <c r="CN21" s="537"/>
      <c r="CO21" s="537"/>
      <c r="CP21" s="438"/>
      <c r="CQ21" s="766"/>
      <c r="CR21" s="537"/>
      <c r="CS21" s="537"/>
      <c r="CT21" s="433"/>
      <c r="CU21" s="537" t="n">
        <f aca="false">+CR21-CS21</f>
        <v>0</v>
      </c>
      <c r="CV21" s="537" t="n">
        <f aca="false">+CR21-CT21</f>
        <v>0</v>
      </c>
      <c r="CW21" s="537"/>
      <c r="CX21" s="769" t="e">
        <f aca="false">+CR21/CW21-1</f>
        <v>#DIV/0!</v>
      </c>
      <c r="CY21" s="770"/>
      <c r="CZ21" s="771"/>
      <c r="DA21" s="537"/>
      <c r="DB21" s="537"/>
      <c r="DC21" s="537"/>
      <c r="DD21" s="537"/>
      <c r="DE21" s="438" t="e">
        <f aca="false">(CZ21-DD21)/DD21</f>
        <v>#DIV/0!</v>
      </c>
      <c r="DF21" s="438" t="e">
        <f aca="false">(DA21-DD21)/DD21</f>
        <v>#DIV/0!</v>
      </c>
      <c r="DG21" s="438" t="e">
        <f aca="false">(DB21-DD21)/DD21</f>
        <v>#DIV/0!</v>
      </c>
      <c r="DH21" s="438" t="e">
        <f aca="false">(DC21-DD21)/DD21</f>
        <v>#DIV/0!</v>
      </c>
      <c r="DI21" s="696"/>
      <c r="DJ21" s="37"/>
      <c r="DL21" s="37"/>
      <c r="DM21" s="400" t="n">
        <f aca="false">(CS21-CZ21)*10^6</f>
        <v>0</v>
      </c>
      <c r="DN21" s="400" t="n">
        <f aca="false">(CT21-DC21)*10^6</f>
        <v>0</v>
      </c>
      <c r="DO21" s="400" t="n">
        <f aca="false">(CW21-DD21)*10^6</f>
        <v>0</v>
      </c>
    </row>
    <row r="22" s="441" customFormat="true" ht="15" hidden="false" customHeight="true" outlineLevel="1" collapsed="false">
      <c r="A22" s="764"/>
      <c r="B22" s="765" t="s">
        <v>496</v>
      </c>
      <c r="C22" s="679" t="s">
        <v>497</v>
      </c>
      <c r="D22" s="537"/>
      <c r="E22" s="537"/>
      <c r="F22" s="537"/>
      <c r="G22" s="537"/>
      <c r="H22" s="438"/>
      <c r="I22" s="766"/>
      <c r="J22" s="537"/>
      <c r="K22" s="537"/>
      <c r="L22" s="537"/>
      <c r="M22" s="537"/>
      <c r="N22" s="438"/>
      <c r="O22" s="767"/>
      <c r="P22" s="537"/>
      <c r="Q22" s="537"/>
      <c r="R22" s="537"/>
      <c r="S22" s="537"/>
      <c r="T22" s="438"/>
      <c r="U22" s="766"/>
      <c r="V22" s="537"/>
      <c r="W22" s="537"/>
      <c r="X22" s="537"/>
      <c r="Y22" s="537"/>
      <c r="Z22" s="439"/>
      <c r="AA22" s="537"/>
      <c r="AB22" s="438"/>
      <c r="AC22" s="766"/>
      <c r="AD22" s="537"/>
      <c r="AE22" s="537"/>
      <c r="AF22" s="537"/>
      <c r="AG22" s="537"/>
      <c r="AH22" s="439"/>
      <c r="AI22" s="537"/>
      <c r="AJ22" s="438"/>
      <c r="AK22" s="766"/>
      <c r="AL22" s="537"/>
      <c r="AM22" s="537"/>
      <c r="AN22" s="537"/>
      <c r="AO22" s="537"/>
      <c r="AP22" s="537"/>
      <c r="AQ22" s="439"/>
      <c r="AR22" s="537"/>
      <c r="AS22" s="438"/>
      <c r="AT22" s="767"/>
      <c r="AU22" s="439"/>
      <c r="AV22" s="537"/>
      <c r="AW22" s="537"/>
      <c r="AX22" s="537"/>
      <c r="AY22" s="537"/>
      <c r="AZ22" s="537"/>
      <c r="BA22" s="438"/>
      <c r="BB22" s="766"/>
      <c r="BC22" s="439"/>
      <c r="BD22" s="537"/>
      <c r="BE22" s="537"/>
      <c r="BF22" s="537"/>
      <c r="BG22" s="537"/>
      <c r="BH22" s="537"/>
      <c r="BI22" s="438"/>
      <c r="BJ22" s="767"/>
      <c r="BK22" s="439"/>
      <c r="BL22" s="537"/>
      <c r="BM22" s="537"/>
      <c r="BN22" s="537"/>
      <c r="BO22" s="537"/>
      <c r="BP22" s="537"/>
      <c r="BQ22" s="537"/>
      <c r="BR22" s="438"/>
      <c r="BS22" s="766"/>
      <c r="BT22" s="439"/>
      <c r="BU22" s="537"/>
      <c r="BV22" s="537"/>
      <c r="BW22" s="537"/>
      <c r="BX22" s="537"/>
      <c r="BY22" s="537"/>
      <c r="BZ22" s="438"/>
      <c r="CA22" s="768"/>
      <c r="CB22" s="439"/>
      <c r="CC22" s="537"/>
      <c r="CD22" s="537"/>
      <c r="CE22" s="537"/>
      <c r="CF22" s="537"/>
      <c r="CG22" s="537"/>
      <c r="CH22" s="438"/>
      <c r="CI22" s="768"/>
      <c r="CJ22" s="439"/>
      <c r="CK22" s="537"/>
      <c r="CL22" s="537"/>
      <c r="CM22" s="537"/>
      <c r="CN22" s="537"/>
      <c r="CO22" s="537"/>
      <c r="CP22" s="438"/>
      <c r="CQ22" s="766"/>
      <c r="CR22" s="537"/>
      <c r="CS22" s="537"/>
      <c r="CT22" s="433"/>
      <c r="CU22" s="537" t="n">
        <f aca="false">+CR22-CS22</f>
        <v>0</v>
      </c>
      <c r="CV22" s="537" t="n">
        <f aca="false">+CR22-CT22</f>
        <v>0</v>
      </c>
      <c r="CW22" s="537"/>
      <c r="CX22" s="769"/>
      <c r="CY22" s="770"/>
      <c r="CZ22" s="771"/>
      <c r="DA22" s="537"/>
      <c r="DB22" s="537"/>
      <c r="DC22" s="537"/>
      <c r="DD22" s="537"/>
      <c r="DE22" s="438"/>
      <c r="DF22" s="438"/>
      <c r="DG22" s="438"/>
      <c r="DH22" s="438"/>
      <c r="DI22" s="696"/>
      <c r="DJ22" s="37"/>
      <c r="DL22" s="37"/>
      <c r="DM22" s="400" t="n">
        <f aca="false">(CS22-CZ22)*10^6</f>
        <v>0</v>
      </c>
      <c r="DN22" s="400" t="n">
        <f aca="false">(CT22-DC22)*10^6</f>
        <v>0</v>
      </c>
      <c r="DO22" s="400" t="n">
        <f aca="false">(CW22-DD22)*10^6</f>
        <v>0</v>
      </c>
    </row>
    <row r="23" s="441" customFormat="true" ht="15" hidden="false" customHeight="true" outlineLevel="1" collapsed="false">
      <c r="A23" s="764"/>
      <c r="B23" s="765" t="s">
        <v>498</v>
      </c>
      <c r="C23" s="679" t="s">
        <v>499</v>
      </c>
      <c r="D23" s="537"/>
      <c r="E23" s="537"/>
      <c r="F23" s="537"/>
      <c r="G23" s="537"/>
      <c r="H23" s="438"/>
      <c r="I23" s="766"/>
      <c r="J23" s="537"/>
      <c r="K23" s="537"/>
      <c r="L23" s="537"/>
      <c r="M23" s="537"/>
      <c r="N23" s="438"/>
      <c r="O23" s="767"/>
      <c r="P23" s="537"/>
      <c r="Q23" s="537"/>
      <c r="R23" s="537"/>
      <c r="S23" s="537"/>
      <c r="T23" s="438"/>
      <c r="U23" s="766"/>
      <c r="V23" s="537"/>
      <c r="W23" s="537"/>
      <c r="X23" s="537"/>
      <c r="Y23" s="537"/>
      <c r="Z23" s="439"/>
      <c r="AA23" s="537"/>
      <c r="AB23" s="438"/>
      <c r="AC23" s="766"/>
      <c r="AD23" s="537"/>
      <c r="AE23" s="537"/>
      <c r="AF23" s="537"/>
      <c r="AG23" s="537"/>
      <c r="AH23" s="439"/>
      <c r="AI23" s="537"/>
      <c r="AJ23" s="438"/>
      <c r="AK23" s="766"/>
      <c r="AL23" s="537"/>
      <c r="AM23" s="537"/>
      <c r="AN23" s="537"/>
      <c r="AO23" s="537"/>
      <c r="AP23" s="537"/>
      <c r="AQ23" s="439"/>
      <c r="AR23" s="537"/>
      <c r="AS23" s="438"/>
      <c r="AT23" s="767"/>
      <c r="AU23" s="439"/>
      <c r="AV23" s="537"/>
      <c r="AW23" s="537"/>
      <c r="AX23" s="537"/>
      <c r="AY23" s="537"/>
      <c r="AZ23" s="537"/>
      <c r="BA23" s="438"/>
      <c r="BB23" s="766"/>
      <c r="BC23" s="439"/>
      <c r="BD23" s="537"/>
      <c r="BE23" s="537"/>
      <c r="BF23" s="537"/>
      <c r="BG23" s="537"/>
      <c r="BH23" s="537"/>
      <c r="BI23" s="438"/>
      <c r="BJ23" s="767"/>
      <c r="BK23" s="439"/>
      <c r="BL23" s="537"/>
      <c r="BM23" s="537"/>
      <c r="BN23" s="537"/>
      <c r="BO23" s="537"/>
      <c r="BP23" s="537"/>
      <c r="BQ23" s="537"/>
      <c r="BR23" s="438"/>
      <c r="BS23" s="766"/>
      <c r="BT23" s="439"/>
      <c r="BU23" s="537"/>
      <c r="BV23" s="537"/>
      <c r="BW23" s="537"/>
      <c r="BX23" s="537"/>
      <c r="BY23" s="537"/>
      <c r="BZ23" s="438"/>
      <c r="CA23" s="768"/>
      <c r="CB23" s="439"/>
      <c r="CC23" s="537"/>
      <c r="CD23" s="537"/>
      <c r="CE23" s="537"/>
      <c r="CF23" s="537"/>
      <c r="CG23" s="537"/>
      <c r="CH23" s="438"/>
      <c r="CI23" s="768"/>
      <c r="CJ23" s="439"/>
      <c r="CK23" s="537"/>
      <c r="CL23" s="537"/>
      <c r="CM23" s="537"/>
      <c r="CN23" s="537"/>
      <c r="CO23" s="537"/>
      <c r="CP23" s="438"/>
      <c r="CQ23" s="766"/>
      <c r="CR23" s="537"/>
      <c r="CS23" s="537"/>
      <c r="CT23" s="433"/>
      <c r="CU23" s="537" t="n">
        <f aca="false">+CR23-CS23</f>
        <v>0</v>
      </c>
      <c r="CV23" s="537" t="n">
        <f aca="false">+CR23-CT23</f>
        <v>0</v>
      </c>
      <c r="CW23" s="537"/>
      <c r="CX23" s="769"/>
      <c r="CY23" s="770"/>
      <c r="CZ23" s="771"/>
      <c r="DA23" s="537"/>
      <c r="DB23" s="537"/>
      <c r="DC23" s="537"/>
      <c r="DD23" s="537"/>
      <c r="DE23" s="438"/>
      <c r="DF23" s="438"/>
      <c r="DG23" s="438"/>
      <c r="DH23" s="438"/>
      <c r="DI23" s="696"/>
      <c r="DJ23" s="37"/>
      <c r="DL23" s="37"/>
      <c r="DM23" s="400" t="n">
        <f aca="false">(CS23-CZ23)*10^6</f>
        <v>0</v>
      </c>
      <c r="DN23" s="400" t="n">
        <f aca="false">(CT23-DC23)*10^6</f>
        <v>0</v>
      </c>
      <c r="DO23" s="400" t="n">
        <f aca="false">(CW23-DD23)*10^6</f>
        <v>0</v>
      </c>
    </row>
    <row r="24" s="441" customFormat="true" ht="15" hidden="false" customHeight="true" outlineLevel="1" collapsed="false">
      <c r="A24" s="764"/>
      <c r="B24" s="765" t="s">
        <v>500</v>
      </c>
      <c r="C24" s="679" t="s">
        <v>501</v>
      </c>
      <c r="D24" s="537"/>
      <c r="E24" s="537"/>
      <c r="F24" s="537"/>
      <c r="G24" s="537"/>
      <c r="H24" s="438"/>
      <c r="I24" s="766"/>
      <c r="J24" s="537"/>
      <c r="K24" s="537"/>
      <c r="L24" s="537"/>
      <c r="M24" s="537"/>
      <c r="N24" s="438"/>
      <c r="O24" s="767"/>
      <c r="P24" s="537"/>
      <c r="Q24" s="537"/>
      <c r="R24" s="537"/>
      <c r="S24" s="537"/>
      <c r="T24" s="438"/>
      <c r="U24" s="766"/>
      <c r="V24" s="537"/>
      <c r="W24" s="537"/>
      <c r="X24" s="537"/>
      <c r="Y24" s="537"/>
      <c r="Z24" s="439"/>
      <c r="AA24" s="537"/>
      <c r="AB24" s="438"/>
      <c r="AC24" s="766"/>
      <c r="AD24" s="537"/>
      <c r="AE24" s="537"/>
      <c r="AF24" s="537"/>
      <c r="AG24" s="537"/>
      <c r="AH24" s="439"/>
      <c r="AI24" s="537"/>
      <c r="AJ24" s="438"/>
      <c r="AK24" s="766"/>
      <c r="AL24" s="537"/>
      <c r="AM24" s="537"/>
      <c r="AN24" s="537"/>
      <c r="AO24" s="537"/>
      <c r="AP24" s="537"/>
      <c r="AQ24" s="439"/>
      <c r="AR24" s="537"/>
      <c r="AS24" s="438"/>
      <c r="AT24" s="767"/>
      <c r="AU24" s="439"/>
      <c r="AV24" s="537"/>
      <c r="AW24" s="537"/>
      <c r="AX24" s="537"/>
      <c r="AY24" s="537"/>
      <c r="AZ24" s="537"/>
      <c r="BA24" s="438"/>
      <c r="BB24" s="766"/>
      <c r="BC24" s="439"/>
      <c r="BD24" s="537"/>
      <c r="BE24" s="537"/>
      <c r="BF24" s="537"/>
      <c r="BG24" s="537"/>
      <c r="BH24" s="537"/>
      <c r="BI24" s="438"/>
      <c r="BJ24" s="767"/>
      <c r="BK24" s="439"/>
      <c r="BL24" s="537"/>
      <c r="BM24" s="537"/>
      <c r="BN24" s="537"/>
      <c r="BO24" s="537"/>
      <c r="BP24" s="537"/>
      <c r="BQ24" s="537"/>
      <c r="BR24" s="438"/>
      <c r="BS24" s="766"/>
      <c r="BT24" s="439"/>
      <c r="BU24" s="537"/>
      <c r="BV24" s="537"/>
      <c r="BW24" s="537"/>
      <c r="BX24" s="537"/>
      <c r="BY24" s="537"/>
      <c r="BZ24" s="438"/>
      <c r="CA24" s="768"/>
      <c r="CB24" s="439"/>
      <c r="CC24" s="537"/>
      <c r="CD24" s="537"/>
      <c r="CE24" s="537"/>
      <c r="CF24" s="537"/>
      <c r="CG24" s="537"/>
      <c r="CH24" s="438"/>
      <c r="CI24" s="768"/>
      <c r="CJ24" s="439"/>
      <c r="CK24" s="537"/>
      <c r="CL24" s="537"/>
      <c r="CM24" s="537"/>
      <c r="CN24" s="537"/>
      <c r="CO24" s="537"/>
      <c r="CP24" s="438"/>
      <c r="CQ24" s="766"/>
      <c r="CR24" s="537"/>
      <c r="CS24" s="537"/>
      <c r="CT24" s="433"/>
      <c r="CU24" s="537" t="n">
        <f aca="false">+CR24-CS24</f>
        <v>0</v>
      </c>
      <c r="CV24" s="537" t="n">
        <f aca="false">+CR24-CT24</f>
        <v>0</v>
      </c>
      <c r="CW24" s="537"/>
      <c r="CX24" s="769"/>
      <c r="CY24" s="770"/>
      <c r="CZ24" s="771"/>
      <c r="DA24" s="537"/>
      <c r="DB24" s="537"/>
      <c r="DC24" s="537"/>
      <c r="DD24" s="537"/>
      <c r="DE24" s="438"/>
      <c r="DF24" s="438"/>
      <c r="DG24" s="438"/>
      <c r="DH24" s="438"/>
      <c r="DI24" s="696"/>
      <c r="DJ24" s="37"/>
      <c r="DL24" s="37"/>
      <c r="DM24" s="400" t="n">
        <f aca="false">(CS24-CZ24)*10^6</f>
        <v>0</v>
      </c>
      <c r="DN24" s="400" t="n">
        <f aca="false">(CT24-DC24)*10^6</f>
        <v>0</v>
      </c>
      <c r="DO24" s="400" t="n">
        <f aca="false">(CW24-DD24)*10^6</f>
        <v>0</v>
      </c>
    </row>
    <row r="25" s="441" customFormat="true" ht="15" hidden="false" customHeight="true" outlineLevel="1" collapsed="false">
      <c r="A25" s="764"/>
      <c r="B25" s="765" t="s">
        <v>502</v>
      </c>
      <c r="C25" s="679" t="s">
        <v>503</v>
      </c>
      <c r="D25" s="772"/>
      <c r="E25" s="537"/>
      <c r="F25" s="537"/>
      <c r="G25" s="537"/>
      <c r="H25" s="438"/>
      <c r="I25" s="766"/>
      <c r="J25" s="772"/>
      <c r="K25" s="537"/>
      <c r="L25" s="537"/>
      <c r="M25" s="537"/>
      <c r="N25" s="438"/>
      <c r="O25" s="767"/>
      <c r="P25" s="772"/>
      <c r="Q25" s="537"/>
      <c r="R25" s="537"/>
      <c r="S25" s="537"/>
      <c r="T25" s="438"/>
      <c r="U25" s="766"/>
      <c r="V25" s="772"/>
      <c r="W25" s="537"/>
      <c r="X25" s="537"/>
      <c r="Y25" s="537"/>
      <c r="Z25" s="439"/>
      <c r="AA25" s="537"/>
      <c r="AB25" s="438"/>
      <c r="AC25" s="766"/>
      <c r="AD25" s="772"/>
      <c r="AE25" s="537"/>
      <c r="AF25" s="537"/>
      <c r="AG25" s="537"/>
      <c r="AH25" s="439"/>
      <c r="AI25" s="537"/>
      <c r="AJ25" s="438"/>
      <c r="AK25" s="766"/>
      <c r="AL25" s="772"/>
      <c r="AM25" s="537"/>
      <c r="AN25" s="537"/>
      <c r="AO25" s="537"/>
      <c r="AP25" s="537"/>
      <c r="AQ25" s="439"/>
      <c r="AR25" s="537"/>
      <c r="AS25" s="438"/>
      <c r="AT25" s="767"/>
      <c r="AU25" s="439"/>
      <c r="AV25" s="537"/>
      <c r="AW25" s="537"/>
      <c r="AX25" s="537"/>
      <c r="AY25" s="537"/>
      <c r="AZ25" s="537"/>
      <c r="BA25" s="438"/>
      <c r="BB25" s="766"/>
      <c r="BC25" s="439"/>
      <c r="BD25" s="537"/>
      <c r="BE25" s="537"/>
      <c r="BF25" s="537"/>
      <c r="BG25" s="537"/>
      <c r="BH25" s="537"/>
      <c r="BI25" s="438"/>
      <c r="BJ25" s="767"/>
      <c r="BK25" s="439"/>
      <c r="BL25" s="537"/>
      <c r="BM25" s="537"/>
      <c r="BN25" s="537"/>
      <c r="BO25" s="537"/>
      <c r="BP25" s="537"/>
      <c r="BQ25" s="537"/>
      <c r="BR25" s="438"/>
      <c r="BS25" s="766"/>
      <c r="BT25" s="439"/>
      <c r="BU25" s="537"/>
      <c r="BV25" s="537"/>
      <c r="BW25" s="537"/>
      <c r="BX25" s="537"/>
      <c r="BY25" s="537"/>
      <c r="BZ25" s="438"/>
      <c r="CA25" s="768"/>
      <c r="CB25" s="439"/>
      <c r="CC25" s="537"/>
      <c r="CD25" s="537"/>
      <c r="CE25" s="537"/>
      <c r="CF25" s="537"/>
      <c r="CG25" s="537"/>
      <c r="CH25" s="438"/>
      <c r="CI25" s="768"/>
      <c r="CJ25" s="439"/>
      <c r="CK25" s="537"/>
      <c r="CL25" s="537"/>
      <c r="CM25" s="537"/>
      <c r="CN25" s="537"/>
      <c r="CO25" s="537"/>
      <c r="CP25" s="438"/>
      <c r="CQ25" s="766"/>
      <c r="CR25" s="537"/>
      <c r="CS25" s="537"/>
      <c r="CT25" s="433"/>
      <c r="CU25" s="537" t="n">
        <f aca="false">+CR25-CS25</f>
        <v>0</v>
      </c>
      <c r="CV25" s="537" t="n">
        <f aca="false">+CR25-CT25</f>
        <v>0</v>
      </c>
      <c r="CW25" s="537"/>
      <c r="CX25" s="769" t="e">
        <f aca="false">+CR25/CW25-1</f>
        <v>#DIV/0!</v>
      </c>
      <c r="CY25" s="770"/>
      <c r="CZ25" s="771"/>
      <c r="DA25" s="537"/>
      <c r="DB25" s="537"/>
      <c r="DC25" s="537"/>
      <c r="DD25" s="537"/>
      <c r="DE25" s="438" t="e">
        <f aca="false">(CZ25-DD25)/DD25</f>
        <v>#DIV/0!</v>
      </c>
      <c r="DF25" s="438" t="e">
        <f aca="false">(DA25-DD25)/DD25</f>
        <v>#DIV/0!</v>
      </c>
      <c r="DG25" s="438" t="e">
        <f aca="false">(DB25-DD25)/DD25</f>
        <v>#DIV/0!</v>
      </c>
      <c r="DH25" s="438" t="e">
        <f aca="false">(DC25-DD25)/DD25</f>
        <v>#DIV/0!</v>
      </c>
      <c r="DI25" s="696"/>
      <c r="DJ25" s="37"/>
      <c r="DL25" s="37"/>
      <c r="DM25" s="400" t="n">
        <f aca="false">(CS25-CZ25)*10^6</f>
        <v>0</v>
      </c>
      <c r="DN25" s="400" t="n">
        <f aca="false">(CT25-DC25)*10^6</f>
        <v>0</v>
      </c>
      <c r="DO25" s="400" t="n">
        <f aca="false">(CW25-DD25)*10^6</f>
        <v>0</v>
      </c>
    </row>
    <row r="26" s="441" customFormat="true" ht="15" hidden="false" customHeight="true" outlineLevel="1" collapsed="false">
      <c r="A26" s="764"/>
      <c r="B26" s="765" t="s">
        <v>504</v>
      </c>
      <c r="C26" s="679" t="s">
        <v>505</v>
      </c>
      <c r="D26" s="537"/>
      <c r="E26" s="537"/>
      <c r="F26" s="537"/>
      <c r="G26" s="537"/>
      <c r="H26" s="438"/>
      <c r="I26" s="766"/>
      <c r="J26" s="537"/>
      <c r="K26" s="537"/>
      <c r="L26" s="537"/>
      <c r="M26" s="537"/>
      <c r="N26" s="438"/>
      <c r="O26" s="767"/>
      <c r="P26" s="537"/>
      <c r="Q26" s="537"/>
      <c r="R26" s="537"/>
      <c r="S26" s="537"/>
      <c r="T26" s="438"/>
      <c r="U26" s="766"/>
      <c r="V26" s="537"/>
      <c r="W26" s="537"/>
      <c r="X26" s="537"/>
      <c r="Y26" s="537"/>
      <c r="Z26" s="439"/>
      <c r="AA26" s="537"/>
      <c r="AB26" s="438"/>
      <c r="AC26" s="766"/>
      <c r="AD26" s="537"/>
      <c r="AE26" s="537"/>
      <c r="AF26" s="537"/>
      <c r="AG26" s="537"/>
      <c r="AH26" s="439"/>
      <c r="AI26" s="537"/>
      <c r="AJ26" s="438"/>
      <c r="AK26" s="766"/>
      <c r="AL26" s="537"/>
      <c r="AM26" s="537"/>
      <c r="AN26" s="537"/>
      <c r="AO26" s="537"/>
      <c r="AP26" s="537"/>
      <c r="AQ26" s="439"/>
      <c r="AR26" s="537"/>
      <c r="AS26" s="438"/>
      <c r="AT26" s="767"/>
      <c r="AU26" s="439"/>
      <c r="AV26" s="537"/>
      <c r="AW26" s="537"/>
      <c r="AX26" s="537"/>
      <c r="AY26" s="537"/>
      <c r="AZ26" s="537"/>
      <c r="BA26" s="438"/>
      <c r="BB26" s="766"/>
      <c r="BC26" s="439"/>
      <c r="BD26" s="537"/>
      <c r="BE26" s="537"/>
      <c r="BF26" s="537"/>
      <c r="BG26" s="537"/>
      <c r="BH26" s="537"/>
      <c r="BI26" s="438"/>
      <c r="BJ26" s="767"/>
      <c r="BK26" s="439"/>
      <c r="BL26" s="537"/>
      <c r="BM26" s="537"/>
      <c r="BN26" s="537"/>
      <c r="BO26" s="537"/>
      <c r="BP26" s="537"/>
      <c r="BQ26" s="537"/>
      <c r="BR26" s="438"/>
      <c r="BS26" s="766"/>
      <c r="BT26" s="439"/>
      <c r="BU26" s="537"/>
      <c r="BV26" s="537"/>
      <c r="BW26" s="537"/>
      <c r="BX26" s="537"/>
      <c r="BY26" s="537"/>
      <c r="BZ26" s="438"/>
      <c r="CA26" s="768"/>
      <c r="CB26" s="439"/>
      <c r="CC26" s="537"/>
      <c r="CD26" s="537"/>
      <c r="CE26" s="537"/>
      <c r="CF26" s="537"/>
      <c r="CG26" s="537"/>
      <c r="CH26" s="438"/>
      <c r="CI26" s="768"/>
      <c r="CJ26" s="439"/>
      <c r="CK26" s="537"/>
      <c r="CL26" s="537"/>
      <c r="CM26" s="537"/>
      <c r="CN26" s="537"/>
      <c r="CO26" s="537"/>
      <c r="CP26" s="438"/>
      <c r="CQ26" s="766"/>
      <c r="CR26" s="537"/>
      <c r="CS26" s="537"/>
      <c r="CT26" s="433"/>
      <c r="CU26" s="537" t="n">
        <f aca="false">+CR26-CS26</f>
        <v>0</v>
      </c>
      <c r="CV26" s="537" t="n">
        <f aca="false">+CR26-CT26</f>
        <v>0</v>
      </c>
      <c r="CW26" s="537"/>
      <c r="CX26" s="769" t="e">
        <f aca="false">+CR26/CW26-1</f>
        <v>#DIV/0!</v>
      </c>
      <c r="CY26" s="770"/>
      <c r="CZ26" s="771"/>
      <c r="DA26" s="537"/>
      <c r="DB26" s="537"/>
      <c r="DC26" s="537"/>
      <c r="DD26" s="537"/>
      <c r="DE26" s="438" t="e">
        <f aca="false">(CZ26-DD26)/DD26</f>
        <v>#DIV/0!</v>
      </c>
      <c r="DF26" s="438" t="e">
        <f aca="false">(DA26-DD26)/DD26</f>
        <v>#DIV/0!</v>
      </c>
      <c r="DG26" s="438" t="e">
        <f aca="false">(DB26-DD26)/DD26</f>
        <v>#DIV/0!</v>
      </c>
      <c r="DH26" s="438" t="e">
        <f aca="false">(DC26-DD26)/DD26</f>
        <v>#DIV/0!</v>
      </c>
      <c r="DI26" s="696"/>
      <c r="DJ26" s="37"/>
      <c r="DL26" s="37"/>
      <c r="DM26" s="400" t="n">
        <f aca="false">(CS26-CZ26)*10^6</f>
        <v>0</v>
      </c>
      <c r="DN26" s="400" t="n">
        <f aca="false">(CT26-DC26)*10^6</f>
        <v>0</v>
      </c>
      <c r="DO26" s="400" t="n">
        <f aca="false">(CW26-DD26)*10^6</f>
        <v>0</v>
      </c>
    </row>
    <row r="27" s="441" customFormat="true" ht="15" hidden="false" customHeight="true" outlineLevel="1" collapsed="false">
      <c r="A27" s="764"/>
      <c r="B27" s="765" t="s">
        <v>506</v>
      </c>
      <c r="C27" s="679" t="s">
        <v>507</v>
      </c>
      <c r="D27" s="537"/>
      <c r="E27" s="537"/>
      <c r="F27" s="537"/>
      <c r="G27" s="537"/>
      <c r="H27" s="438"/>
      <c r="I27" s="766"/>
      <c r="J27" s="537"/>
      <c r="K27" s="537"/>
      <c r="L27" s="537"/>
      <c r="M27" s="537"/>
      <c r="N27" s="438"/>
      <c r="O27" s="767"/>
      <c r="P27" s="537"/>
      <c r="Q27" s="537"/>
      <c r="R27" s="537"/>
      <c r="S27" s="537"/>
      <c r="T27" s="438"/>
      <c r="U27" s="766"/>
      <c r="V27" s="537"/>
      <c r="W27" s="537"/>
      <c r="X27" s="537"/>
      <c r="Y27" s="537"/>
      <c r="Z27" s="439"/>
      <c r="AA27" s="537"/>
      <c r="AB27" s="438"/>
      <c r="AC27" s="766"/>
      <c r="AD27" s="537"/>
      <c r="AE27" s="537"/>
      <c r="AF27" s="537"/>
      <c r="AG27" s="537"/>
      <c r="AH27" s="439"/>
      <c r="AI27" s="537"/>
      <c r="AJ27" s="438"/>
      <c r="AK27" s="766"/>
      <c r="AL27" s="537"/>
      <c r="AM27" s="537"/>
      <c r="AN27" s="537"/>
      <c r="AO27" s="537"/>
      <c r="AP27" s="537"/>
      <c r="AQ27" s="439"/>
      <c r="AR27" s="537"/>
      <c r="AS27" s="438"/>
      <c r="AT27" s="767"/>
      <c r="AU27" s="439"/>
      <c r="AV27" s="537"/>
      <c r="AW27" s="537"/>
      <c r="AX27" s="537"/>
      <c r="AY27" s="537"/>
      <c r="AZ27" s="537"/>
      <c r="BA27" s="438"/>
      <c r="BB27" s="766"/>
      <c r="BC27" s="439"/>
      <c r="BD27" s="537"/>
      <c r="BE27" s="537"/>
      <c r="BF27" s="537"/>
      <c r="BG27" s="537"/>
      <c r="BH27" s="537"/>
      <c r="BI27" s="438"/>
      <c r="BJ27" s="767"/>
      <c r="BK27" s="439"/>
      <c r="BL27" s="537"/>
      <c r="BM27" s="537"/>
      <c r="BN27" s="537"/>
      <c r="BO27" s="537"/>
      <c r="BP27" s="537"/>
      <c r="BQ27" s="537"/>
      <c r="BR27" s="438"/>
      <c r="BS27" s="766"/>
      <c r="BT27" s="439"/>
      <c r="BU27" s="537"/>
      <c r="BV27" s="537"/>
      <c r="BW27" s="537"/>
      <c r="BX27" s="537"/>
      <c r="BY27" s="537"/>
      <c r="BZ27" s="438"/>
      <c r="CA27" s="768"/>
      <c r="CB27" s="439"/>
      <c r="CC27" s="537"/>
      <c r="CD27" s="537"/>
      <c r="CE27" s="537"/>
      <c r="CF27" s="537"/>
      <c r="CG27" s="537"/>
      <c r="CH27" s="438"/>
      <c r="CI27" s="768"/>
      <c r="CJ27" s="439"/>
      <c r="CK27" s="537"/>
      <c r="CL27" s="537"/>
      <c r="CM27" s="537"/>
      <c r="CN27" s="537"/>
      <c r="CO27" s="537"/>
      <c r="CP27" s="438"/>
      <c r="CQ27" s="766"/>
      <c r="CR27" s="537"/>
      <c r="CS27" s="537"/>
      <c r="CT27" s="433"/>
      <c r="CU27" s="537" t="n">
        <f aca="false">+CR27-CS27</f>
        <v>0</v>
      </c>
      <c r="CV27" s="537" t="n">
        <f aca="false">+CR27-CT27</f>
        <v>0</v>
      </c>
      <c r="CW27" s="537"/>
      <c r="CX27" s="769" t="e">
        <f aca="false">+CR27/CW27-1</f>
        <v>#DIV/0!</v>
      </c>
      <c r="CY27" s="770"/>
      <c r="CZ27" s="771"/>
      <c r="DA27" s="537"/>
      <c r="DB27" s="537"/>
      <c r="DC27" s="537"/>
      <c r="DD27" s="537"/>
      <c r="DE27" s="438" t="e">
        <f aca="false">(CZ27-DD27)/DD27</f>
        <v>#DIV/0!</v>
      </c>
      <c r="DF27" s="438" t="e">
        <f aca="false">(DA27-DD27)/DD27</f>
        <v>#DIV/0!</v>
      </c>
      <c r="DG27" s="438" t="e">
        <f aca="false">(DB27-DD27)/DD27</f>
        <v>#DIV/0!</v>
      </c>
      <c r="DH27" s="438" t="e">
        <f aca="false">(DC27-DD27)/DD27</f>
        <v>#DIV/0!</v>
      </c>
      <c r="DI27" s="696"/>
      <c r="DJ27" s="37"/>
      <c r="DL27" s="37"/>
      <c r="DM27" s="400" t="n">
        <f aca="false">(CS27-CZ27)*10^6</f>
        <v>0</v>
      </c>
      <c r="DN27" s="400" t="n">
        <f aca="false">(CT27-DC27)*10^6</f>
        <v>0</v>
      </c>
      <c r="DO27" s="400" t="n">
        <f aca="false">(CW27-DD27)*10^6</f>
        <v>0</v>
      </c>
    </row>
    <row r="28" s="763" customFormat="true" ht="15" hidden="false" customHeight="true" outlineLevel="1" collapsed="false">
      <c r="A28" s="749"/>
      <c r="B28" s="750" t="s">
        <v>508</v>
      </c>
      <c r="C28" s="679" t="s">
        <v>509</v>
      </c>
      <c r="D28" s="752"/>
      <c r="E28" s="752"/>
      <c r="F28" s="752"/>
      <c r="G28" s="752"/>
      <c r="H28" s="753"/>
      <c r="I28" s="754"/>
      <c r="J28" s="752"/>
      <c r="K28" s="752"/>
      <c r="L28" s="752"/>
      <c r="M28" s="752"/>
      <c r="N28" s="753"/>
      <c r="O28" s="755"/>
      <c r="P28" s="752"/>
      <c r="Q28" s="752"/>
      <c r="R28" s="752"/>
      <c r="S28" s="752"/>
      <c r="T28" s="753"/>
      <c r="U28" s="754"/>
      <c r="V28" s="752"/>
      <c r="W28" s="752"/>
      <c r="X28" s="752"/>
      <c r="Y28" s="752"/>
      <c r="Z28" s="751"/>
      <c r="AA28" s="752"/>
      <c r="AB28" s="753"/>
      <c r="AC28" s="754"/>
      <c r="AD28" s="752"/>
      <c r="AE28" s="752"/>
      <c r="AF28" s="752"/>
      <c r="AG28" s="752"/>
      <c r="AH28" s="751"/>
      <c r="AI28" s="752"/>
      <c r="AJ28" s="753"/>
      <c r="AK28" s="754"/>
      <c r="AL28" s="752"/>
      <c r="AM28" s="752"/>
      <c r="AN28" s="752"/>
      <c r="AO28" s="752"/>
      <c r="AP28" s="752"/>
      <c r="AQ28" s="751"/>
      <c r="AR28" s="752"/>
      <c r="AS28" s="753"/>
      <c r="AT28" s="755"/>
      <c r="AU28" s="751"/>
      <c r="AV28" s="752"/>
      <c r="AW28" s="752"/>
      <c r="AX28" s="752"/>
      <c r="AY28" s="752"/>
      <c r="AZ28" s="752"/>
      <c r="BA28" s="753"/>
      <c r="BB28" s="754"/>
      <c r="BC28" s="751"/>
      <c r="BD28" s="752"/>
      <c r="BE28" s="752"/>
      <c r="BF28" s="752"/>
      <c r="BG28" s="752"/>
      <c r="BH28" s="752"/>
      <c r="BI28" s="753"/>
      <c r="BJ28" s="755"/>
      <c r="BK28" s="751"/>
      <c r="BL28" s="752"/>
      <c r="BM28" s="752"/>
      <c r="BN28" s="752"/>
      <c r="BO28" s="752"/>
      <c r="BP28" s="752"/>
      <c r="BQ28" s="752"/>
      <c r="BR28" s="753"/>
      <c r="BS28" s="754"/>
      <c r="BT28" s="751"/>
      <c r="BU28" s="752"/>
      <c r="BV28" s="752"/>
      <c r="BW28" s="752"/>
      <c r="BX28" s="752"/>
      <c r="BY28" s="752"/>
      <c r="BZ28" s="753"/>
      <c r="CA28" s="757"/>
      <c r="CB28" s="751"/>
      <c r="CC28" s="752"/>
      <c r="CD28" s="752"/>
      <c r="CE28" s="752"/>
      <c r="CF28" s="752"/>
      <c r="CG28" s="752"/>
      <c r="CH28" s="753"/>
      <c r="CI28" s="757"/>
      <c r="CJ28" s="751"/>
      <c r="CK28" s="752"/>
      <c r="CL28" s="752"/>
      <c r="CM28" s="752"/>
      <c r="CN28" s="752"/>
      <c r="CO28" s="752"/>
      <c r="CP28" s="753"/>
      <c r="CQ28" s="754"/>
      <c r="CR28" s="752"/>
      <c r="CS28" s="752"/>
      <c r="CT28" s="758"/>
      <c r="CU28" s="752" t="n">
        <f aca="false">+CR28-CS28</f>
        <v>0</v>
      </c>
      <c r="CV28" s="752" t="n">
        <f aca="false">+CR28-CT28</f>
        <v>0</v>
      </c>
      <c r="CW28" s="752"/>
      <c r="CX28" s="759" t="e">
        <f aca="false">+CR28/CW28-1</f>
        <v>#DIV/0!</v>
      </c>
      <c r="CY28" s="760"/>
      <c r="CZ28" s="761"/>
      <c r="DA28" s="752"/>
      <c r="DB28" s="752"/>
      <c r="DC28" s="752"/>
      <c r="DD28" s="752"/>
      <c r="DE28" s="753" t="e">
        <f aca="false">(CZ28-DD28)/DD28</f>
        <v>#DIV/0!</v>
      </c>
      <c r="DF28" s="753" t="e">
        <f aca="false">(DA28-DD28)/DD28</f>
        <v>#DIV/0!</v>
      </c>
      <c r="DG28" s="753" t="e">
        <f aca="false">(DB28-DD28)/DD28</f>
        <v>#DIV/0!</v>
      </c>
      <c r="DH28" s="753" t="e">
        <f aca="false">(DC28-DD28)/DD28</f>
        <v>#DIV/0!</v>
      </c>
      <c r="DI28" s="696"/>
      <c r="DJ28" s="37"/>
      <c r="DL28" s="37"/>
      <c r="DM28" s="400" t="n">
        <f aca="false">(CS28-CZ28)*10^6</f>
        <v>0</v>
      </c>
      <c r="DN28" s="400" t="n">
        <f aca="false">(CT28-DC28)*10^6</f>
        <v>0</v>
      </c>
      <c r="DO28" s="400" t="n">
        <f aca="false">(CW28-DD28)*10^6</f>
        <v>0</v>
      </c>
    </row>
    <row r="29" s="441" customFormat="true" ht="15" hidden="false" customHeight="true" outlineLevel="1" collapsed="false">
      <c r="A29" s="764"/>
      <c r="B29" s="765"/>
      <c r="C29" s="679" t="s">
        <v>510</v>
      </c>
      <c r="D29" s="537"/>
      <c r="E29" s="537"/>
      <c r="F29" s="537"/>
      <c r="G29" s="537"/>
      <c r="H29" s="753"/>
      <c r="I29" s="754"/>
      <c r="J29" s="537"/>
      <c r="K29" s="537"/>
      <c r="L29" s="537"/>
      <c r="M29" s="537"/>
      <c r="N29" s="753"/>
      <c r="O29" s="755"/>
      <c r="P29" s="537"/>
      <c r="Q29" s="537"/>
      <c r="R29" s="537"/>
      <c r="S29" s="537"/>
      <c r="T29" s="753"/>
      <c r="U29" s="754"/>
      <c r="V29" s="537"/>
      <c r="W29" s="537"/>
      <c r="X29" s="537"/>
      <c r="Y29" s="537"/>
      <c r="Z29" s="751"/>
      <c r="AA29" s="537"/>
      <c r="AB29" s="753"/>
      <c r="AC29" s="754"/>
      <c r="AD29" s="537"/>
      <c r="AE29" s="537"/>
      <c r="AF29" s="537"/>
      <c r="AG29" s="537"/>
      <c r="AH29" s="751"/>
      <c r="AI29" s="537"/>
      <c r="AJ29" s="753"/>
      <c r="AK29" s="754"/>
      <c r="AL29" s="537"/>
      <c r="AM29" s="537"/>
      <c r="AN29" s="537"/>
      <c r="AO29" s="537"/>
      <c r="AP29" s="537"/>
      <c r="AQ29" s="751"/>
      <c r="AR29" s="537"/>
      <c r="AS29" s="753"/>
      <c r="AT29" s="755"/>
      <c r="AU29" s="439"/>
      <c r="AV29" s="537"/>
      <c r="AW29" s="537"/>
      <c r="AX29" s="537"/>
      <c r="AY29" s="537"/>
      <c r="AZ29" s="537"/>
      <c r="BA29" s="753"/>
      <c r="BB29" s="754"/>
      <c r="BC29" s="439"/>
      <c r="BD29" s="537"/>
      <c r="BE29" s="537"/>
      <c r="BF29" s="537"/>
      <c r="BG29" s="537"/>
      <c r="BH29" s="537"/>
      <c r="BI29" s="753"/>
      <c r="BJ29" s="755"/>
      <c r="BK29" s="439"/>
      <c r="BL29" s="537"/>
      <c r="BM29" s="537"/>
      <c r="BN29" s="537"/>
      <c r="BO29" s="537"/>
      <c r="BP29" s="537"/>
      <c r="BQ29" s="537"/>
      <c r="BR29" s="753"/>
      <c r="BS29" s="754"/>
      <c r="BT29" s="439"/>
      <c r="BU29" s="537"/>
      <c r="BV29" s="537"/>
      <c r="BW29" s="537"/>
      <c r="BX29" s="537"/>
      <c r="BY29" s="537"/>
      <c r="BZ29" s="753"/>
      <c r="CA29" s="757"/>
      <c r="CB29" s="439"/>
      <c r="CC29" s="537"/>
      <c r="CD29" s="537"/>
      <c r="CE29" s="537"/>
      <c r="CF29" s="537"/>
      <c r="CG29" s="537"/>
      <c r="CH29" s="753"/>
      <c r="CI29" s="757"/>
      <c r="CJ29" s="439"/>
      <c r="CK29" s="537"/>
      <c r="CL29" s="537"/>
      <c r="CM29" s="537"/>
      <c r="CN29" s="537"/>
      <c r="CO29" s="537"/>
      <c r="CP29" s="753"/>
      <c r="CQ29" s="754"/>
      <c r="CR29" s="537"/>
      <c r="CS29" s="537"/>
      <c r="CT29" s="433"/>
      <c r="CU29" s="537" t="n">
        <f aca="false">+CR29-CS29</f>
        <v>0</v>
      </c>
      <c r="CV29" s="537" t="n">
        <f aca="false">+CR29-CT29</f>
        <v>0</v>
      </c>
      <c r="CW29" s="537"/>
      <c r="CX29" s="769"/>
      <c r="CY29" s="770"/>
      <c r="CZ29" s="771"/>
      <c r="DA29" s="537"/>
      <c r="DB29" s="537"/>
      <c r="DC29" s="537"/>
      <c r="DD29" s="537"/>
      <c r="DE29" s="438"/>
      <c r="DF29" s="438"/>
      <c r="DG29" s="438"/>
      <c r="DH29" s="438"/>
      <c r="DI29" s="696"/>
      <c r="DJ29" s="37"/>
      <c r="DL29" s="37"/>
      <c r="DM29" s="400" t="n">
        <f aca="false">(CS29-CZ29)*10^6</f>
        <v>0</v>
      </c>
      <c r="DN29" s="400" t="n">
        <f aca="false">(CT29-DC29)*10^6</f>
        <v>0</v>
      </c>
      <c r="DO29" s="400" t="n">
        <f aca="false">(CW29-DD29)*10^6</f>
        <v>0</v>
      </c>
    </row>
    <row r="30" s="441" customFormat="true" ht="15" hidden="false" customHeight="true" outlineLevel="1" collapsed="false">
      <c r="A30" s="764"/>
      <c r="B30" s="765" t="s">
        <v>511</v>
      </c>
      <c r="C30" s="679" t="s">
        <v>512</v>
      </c>
      <c r="D30" s="537"/>
      <c r="E30" s="537"/>
      <c r="F30" s="537"/>
      <c r="G30" s="537"/>
      <c r="H30" s="438"/>
      <c r="I30" s="766"/>
      <c r="J30" s="537"/>
      <c r="K30" s="537"/>
      <c r="L30" s="537"/>
      <c r="M30" s="537"/>
      <c r="N30" s="438"/>
      <c r="O30" s="767"/>
      <c r="P30" s="537"/>
      <c r="Q30" s="537"/>
      <c r="R30" s="537"/>
      <c r="S30" s="537"/>
      <c r="T30" s="438"/>
      <c r="U30" s="766"/>
      <c r="V30" s="773"/>
      <c r="W30" s="537"/>
      <c r="X30" s="537"/>
      <c r="Y30" s="537"/>
      <c r="Z30" s="439"/>
      <c r="AA30" s="537"/>
      <c r="AB30" s="438"/>
      <c r="AC30" s="766"/>
      <c r="AD30" s="773"/>
      <c r="AE30" s="537"/>
      <c r="AF30" s="537"/>
      <c r="AG30" s="537"/>
      <c r="AH30" s="439"/>
      <c r="AI30" s="537"/>
      <c r="AJ30" s="438"/>
      <c r="AK30" s="766"/>
      <c r="AL30" s="773"/>
      <c r="AM30" s="537"/>
      <c r="AN30" s="537"/>
      <c r="AO30" s="537"/>
      <c r="AP30" s="537"/>
      <c r="AQ30" s="439"/>
      <c r="AR30" s="537"/>
      <c r="AS30" s="438"/>
      <c r="AT30" s="767"/>
      <c r="AU30" s="469"/>
      <c r="AV30" s="537"/>
      <c r="AW30" s="537"/>
      <c r="AX30" s="537"/>
      <c r="AY30" s="537"/>
      <c r="AZ30" s="537"/>
      <c r="BA30" s="438"/>
      <c r="BB30" s="766"/>
      <c r="BC30" s="469"/>
      <c r="BD30" s="537"/>
      <c r="BE30" s="537"/>
      <c r="BF30" s="537"/>
      <c r="BG30" s="537"/>
      <c r="BH30" s="537"/>
      <c r="BI30" s="438"/>
      <c r="BJ30" s="767"/>
      <c r="BK30" s="469"/>
      <c r="BL30" s="537"/>
      <c r="BM30" s="537"/>
      <c r="BN30" s="537"/>
      <c r="BO30" s="537"/>
      <c r="BP30" s="537"/>
      <c r="BQ30" s="537"/>
      <c r="BR30" s="438"/>
      <c r="BS30" s="766"/>
      <c r="BT30" s="469"/>
      <c r="BU30" s="537"/>
      <c r="BV30" s="537"/>
      <c r="BW30" s="537"/>
      <c r="BX30" s="537"/>
      <c r="BY30" s="537"/>
      <c r="BZ30" s="438"/>
      <c r="CA30" s="768"/>
      <c r="CB30" s="469"/>
      <c r="CC30" s="537"/>
      <c r="CD30" s="537"/>
      <c r="CE30" s="537"/>
      <c r="CF30" s="537"/>
      <c r="CG30" s="537"/>
      <c r="CH30" s="438"/>
      <c r="CI30" s="768"/>
      <c r="CJ30" s="469"/>
      <c r="CK30" s="537"/>
      <c r="CL30" s="537"/>
      <c r="CM30" s="537"/>
      <c r="CN30" s="537"/>
      <c r="CO30" s="537"/>
      <c r="CP30" s="438"/>
      <c r="CQ30" s="766"/>
      <c r="CR30" s="537"/>
      <c r="CS30" s="537"/>
      <c r="CT30" s="433"/>
      <c r="CU30" s="537" t="n">
        <f aca="false">+CR30-CS30</f>
        <v>0</v>
      </c>
      <c r="CV30" s="537" t="n">
        <f aca="false">+CR30-CT30</f>
        <v>0</v>
      </c>
      <c r="CW30" s="537"/>
      <c r="CX30" s="769" t="e">
        <f aca="false">+CR30/CW30-1</f>
        <v>#DIV/0!</v>
      </c>
      <c r="CY30" s="770"/>
      <c r="CZ30" s="771"/>
      <c r="DA30" s="537"/>
      <c r="DB30" s="537"/>
      <c r="DC30" s="537"/>
      <c r="DD30" s="537"/>
      <c r="DE30" s="438" t="e">
        <f aca="false">(CZ30-DD30)/DD30</f>
        <v>#DIV/0!</v>
      </c>
      <c r="DF30" s="438" t="e">
        <f aca="false">(DA30-DD30)/DD30</f>
        <v>#DIV/0!</v>
      </c>
      <c r="DG30" s="438" t="e">
        <f aca="false">(DB30-DD30)/DD30</f>
        <v>#DIV/0!</v>
      </c>
      <c r="DH30" s="438" t="e">
        <f aca="false">(DC30-DD30)/DD30</f>
        <v>#DIV/0!</v>
      </c>
      <c r="DI30" s="696"/>
      <c r="DJ30" s="37"/>
      <c r="DL30" s="37"/>
      <c r="DM30" s="400" t="n">
        <f aca="false">(CS30-CZ30)*10^6</f>
        <v>0</v>
      </c>
      <c r="DN30" s="400" t="n">
        <f aca="false">(CT30-DC30)*10^6</f>
        <v>0</v>
      </c>
      <c r="DO30" s="400" t="n">
        <f aca="false">(CW30-DD30)*10^6</f>
        <v>0</v>
      </c>
    </row>
    <row r="31" s="441" customFormat="true" ht="15" hidden="false" customHeight="true" outlineLevel="1" collapsed="false">
      <c r="A31" s="764"/>
      <c r="B31" s="765" t="s">
        <v>513</v>
      </c>
      <c r="C31" s="679" t="s">
        <v>514</v>
      </c>
      <c r="D31" s="537"/>
      <c r="E31" s="537"/>
      <c r="F31" s="537"/>
      <c r="G31" s="537"/>
      <c r="H31" s="438"/>
      <c r="I31" s="766"/>
      <c r="J31" s="537"/>
      <c r="K31" s="537"/>
      <c r="L31" s="537"/>
      <c r="M31" s="537"/>
      <c r="N31" s="438"/>
      <c r="O31" s="767"/>
      <c r="P31" s="537"/>
      <c r="Q31" s="537"/>
      <c r="R31" s="537"/>
      <c r="S31" s="537"/>
      <c r="T31" s="438"/>
      <c r="U31" s="766"/>
      <c r="V31" s="537"/>
      <c r="W31" s="537"/>
      <c r="X31" s="537"/>
      <c r="Y31" s="537"/>
      <c r="Z31" s="439"/>
      <c r="AA31" s="537"/>
      <c r="AB31" s="438"/>
      <c r="AC31" s="766"/>
      <c r="AD31" s="537"/>
      <c r="AE31" s="537"/>
      <c r="AF31" s="537"/>
      <c r="AG31" s="537"/>
      <c r="AH31" s="439"/>
      <c r="AI31" s="537"/>
      <c r="AJ31" s="438"/>
      <c r="AK31" s="766"/>
      <c r="AL31" s="537"/>
      <c r="AM31" s="537"/>
      <c r="AN31" s="537"/>
      <c r="AO31" s="537"/>
      <c r="AP31" s="537"/>
      <c r="AQ31" s="439"/>
      <c r="AR31" s="537"/>
      <c r="AS31" s="438"/>
      <c r="AT31" s="767"/>
      <c r="AU31" s="439"/>
      <c r="AV31" s="537"/>
      <c r="AW31" s="537"/>
      <c r="AX31" s="537"/>
      <c r="AY31" s="537"/>
      <c r="AZ31" s="537"/>
      <c r="BA31" s="438"/>
      <c r="BB31" s="766"/>
      <c r="BC31" s="439"/>
      <c r="BD31" s="537"/>
      <c r="BE31" s="537"/>
      <c r="BF31" s="537"/>
      <c r="BG31" s="537"/>
      <c r="BH31" s="537"/>
      <c r="BI31" s="438"/>
      <c r="BJ31" s="767"/>
      <c r="BK31" s="439"/>
      <c r="BL31" s="537"/>
      <c r="BM31" s="537"/>
      <c r="BN31" s="537"/>
      <c r="BO31" s="537"/>
      <c r="BP31" s="537"/>
      <c r="BQ31" s="537"/>
      <c r="BR31" s="438"/>
      <c r="BS31" s="766"/>
      <c r="BT31" s="439"/>
      <c r="BU31" s="537"/>
      <c r="BV31" s="537"/>
      <c r="BW31" s="537"/>
      <c r="BX31" s="537"/>
      <c r="BY31" s="537"/>
      <c r="BZ31" s="438"/>
      <c r="CA31" s="768"/>
      <c r="CB31" s="439"/>
      <c r="CC31" s="537"/>
      <c r="CD31" s="537"/>
      <c r="CE31" s="537"/>
      <c r="CF31" s="537"/>
      <c r="CG31" s="537"/>
      <c r="CH31" s="438"/>
      <c r="CI31" s="768"/>
      <c r="CJ31" s="439"/>
      <c r="CK31" s="537"/>
      <c r="CL31" s="537"/>
      <c r="CM31" s="537"/>
      <c r="CN31" s="537"/>
      <c r="CO31" s="537"/>
      <c r="CP31" s="438"/>
      <c r="CQ31" s="766"/>
      <c r="CR31" s="537"/>
      <c r="CS31" s="537"/>
      <c r="CT31" s="433"/>
      <c r="CU31" s="537" t="n">
        <f aca="false">+CR31-CS31</f>
        <v>0</v>
      </c>
      <c r="CV31" s="537" t="n">
        <f aca="false">+CR31-CT31</f>
        <v>0</v>
      </c>
      <c r="CW31" s="537"/>
      <c r="CX31" s="769" t="e">
        <f aca="false">+CR31/CW31-1</f>
        <v>#DIV/0!</v>
      </c>
      <c r="CY31" s="770"/>
      <c r="CZ31" s="771"/>
      <c r="DA31" s="537"/>
      <c r="DB31" s="537"/>
      <c r="DC31" s="537"/>
      <c r="DD31" s="537"/>
      <c r="DE31" s="438" t="e">
        <f aca="false">(CZ31-DD31)/DD31</f>
        <v>#DIV/0!</v>
      </c>
      <c r="DF31" s="438" t="e">
        <f aca="false">(DA31-DD31)/DD31</f>
        <v>#DIV/0!</v>
      </c>
      <c r="DG31" s="438" t="e">
        <f aca="false">(DB31-DD31)/DD31</f>
        <v>#DIV/0!</v>
      </c>
      <c r="DH31" s="438" t="e">
        <f aca="false">(DC31-DD31)/DD31</f>
        <v>#DIV/0!</v>
      </c>
      <c r="DI31" s="696"/>
      <c r="DJ31" s="37"/>
      <c r="DL31" s="37"/>
      <c r="DM31" s="400" t="n">
        <f aca="false">(CS31-CZ31)*10^6</f>
        <v>0</v>
      </c>
      <c r="DN31" s="400" t="n">
        <f aca="false">(CT31-DC31)*10^6</f>
        <v>0</v>
      </c>
      <c r="DO31" s="400" t="n">
        <f aca="false">(CW31-DD31)*10^6</f>
        <v>0</v>
      </c>
    </row>
    <row r="32" s="441" customFormat="true" ht="15" hidden="false" customHeight="true" outlineLevel="1" collapsed="false">
      <c r="A32" s="764"/>
      <c r="B32" s="765" t="s">
        <v>515</v>
      </c>
      <c r="C32" s="679" t="s">
        <v>516</v>
      </c>
      <c r="D32" s="537"/>
      <c r="E32" s="537"/>
      <c r="F32" s="537"/>
      <c r="G32" s="537"/>
      <c r="H32" s="438"/>
      <c r="I32" s="766"/>
      <c r="J32" s="537"/>
      <c r="K32" s="537"/>
      <c r="L32" s="537"/>
      <c r="M32" s="537"/>
      <c r="N32" s="438"/>
      <c r="O32" s="767"/>
      <c r="P32" s="537"/>
      <c r="Q32" s="537"/>
      <c r="R32" s="537"/>
      <c r="S32" s="537"/>
      <c r="T32" s="438"/>
      <c r="U32" s="766"/>
      <c r="V32" s="537"/>
      <c r="W32" s="537"/>
      <c r="X32" s="537"/>
      <c r="Y32" s="537"/>
      <c r="Z32" s="439"/>
      <c r="AA32" s="537"/>
      <c r="AB32" s="438"/>
      <c r="AC32" s="766"/>
      <c r="AD32" s="537"/>
      <c r="AE32" s="537"/>
      <c r="AF32" s="537"/>
      <c r="AG32" s="537"/>
      <c r="AH32" s="439"/>
      <c r="AI32" s="537"/>
      <c r="AJ32" s="438"/>
      <c r="AK32" s="766"/>
      <c r="AL32" s="537"/>
      <c r="AM32" s="537"/>
      <c r="AN32" s="537"/>
      <c r="AO32" s="537"/>
      <c r="AP32" s="537"/>
      <c r="AQ32" s="439"/>
      <c r="AR32" s="537"/>
      <c r="AS32" s="438"/>
      <c r="AT32" s="767"/>
      <c r="AU32" s="439"/>
      <c r="AV32" s="537"/>
      <c r="AW32" s="537"/>
      <c r="AX32" s="537"/>
      <c r="AY32" s="537"/>
      <c r="AZ32" s="537"/>
      <c r="BA32" s="438"/>
      <c r="BB32" s="766"/>
      <c r="BC32" s="439"/>
      <c r="BD32" s="537"/>
      <c r="BE32" s="537"/>
      <c r="BF32" s="537"/>
      <c r="BG32" s="537"/>
      <c r="BH32" s="537"/>
      <c r="BI32" s="438"/>
      <c r="BJ32" s="767"/>
      <c r="BK32" s="439"/>
      <c r="BL32" s="537"/>
      <c r="BM32" s="537"/>
      <c r="BN32" s="537"/>
      <c r="BO32" s="537"/>
      <c r="BP32" s="537"/>
      <c r="BQ32" s="537"/>
      <c r="BR32" s="438"/>
      <c r="BS32" s="766"/>
      <c r="BT32" s="439"/>
      <c r="BU32" s="537"/>
      <c r="BV32" s="537"/>
      <c r="BW32" s="537"/>
      <c r="BX32" s="537"/>
      <c r="BY32" s="537"/>
      <c r="BZ32" s="438"/>
      <c r="CA32" s="768"/>
      <c r="CB32" s="439"/>
      <c r="CC32" s="537"/>
      <c r="CD32" s="537"/>
      <c r="CE32" s="537"/>
      <c r="CF32" s="537"/>
      <c r="CG32" s="537"/>
      <c r="CH32" s="438"/>
      <c r="CI32" s="768"/>
      <c r="CJ32" s="439"/>
      <c r="CK32" s="537"/>
      <c r="CL32" s="537"/>
      <c r="CM32" s="537"/>
      <c r="CN32" s="537"/>
      <c r="CO32" s="537"/>
      <c r="CP32" s="438"/>
      <c r="CQ32" s="766"/>
      <c r="CR32" s="537"/>
      <c r="CS32" s="537"/>
      <c r="CT32" s="433"/>
      <c r="CU32" s="537" t="n">
        <f aca="false">+CR32-CS32</f>
        <v>0</v>
      </c>
      <c r="CV32" s="537" t="n">
        <f aca="false">+CR32-CT32</f>
        <v>0</v>
      </c>
      <c r="CW32" s="537"/>
      <c r="CX32" s="769"/>
      <c r="CY32" s="770"/>
      <c r="CZ32" s="771"/>
      <c r="DA32" s="537"/>
      <c r="DB32" s="537"/>
      <c r="DC32" s="537"/>
      <c r="DD32" s="537"/>
      <c r="DE32" s="438"/>
      <c r="DF32" s="438"/>
      <c r="DG32" s="438"/>
      <c r="DH32" s="438"/>
      <c r="DI32" s="696"/>
      <c r="DJ32" s="37"/>
      <c r="DL32" s="37"/>
      <c r="DM32" s="400" t="n">
        <f aca="false">(CS32-CZ32)*10^6</f>
        <v>0</v>
      </c>
      <c r="DN32" s="400" t="n">
        <f aca="false">(CT32-DC32)*10^6</f>
        <v>0</v>
      </c>
      <c r="DO32" s="400" t="n">
        <f aca="false">(CW32-DD32)*10^6</f>
        <v>0</v>
      </c>
    </row>
    <row r="33" s="441" customFormat="true" ht="15" hidden="false" customHeight="true" outlineLevel="1" collapsed="false">
      <c r="A33" s="764"/>
      <c r="B33" s="765" t="s">
        <v>517</v>
      </c>
      <c r="C33" s="679" t="s">
        <v>518</v>
      </c>
      <c r="D33" s="537"/>
      <c r="E33" s="537"/>
      <c r="F33" s="537"/>
      <c r="G33" s="537"/>
      <c r="H33" s="438"/>
      <c r="I33" s="766"/>
      <c r="J33" s="537"/>
      <c r="K33" s="537"/>
      <c r="L33" s="537"/>
      <c r="M33" s="537"/>
      <c r="N33" s="438"/>
      <c r="O33" s="767"/>
      <c r="P33" s="537"/>
      <c r="Q33" s="537"/>
      <c r="R33" s="537"/>
      <c r="S33" s="537"/>
      <c r="T33" s="438"/>
      <c r="U33" s="766"/>
      <c r="V33" s="537"/>
      <c r="W33" s="537"/>
      <c r="X33" s="537"/>
      <c r="Y33" s="537"/>
      <c r="Z33" s="439"/>
      <c r="AA33" s="537"/>
      <c r="AB33" s="438"/>
      <c r="AC33" s="766"/>
      <c r="AD33" s="537"/>
      <c r="AE33" s="537"/>
      <c r="AF33" s="537"/>
      <c r="AG33" s="537"/>
      <c r="AH33" s="439"/>
      <c r="AI33" s="537"/>
      <c r="AJ33" s="438"/>
      <c r="AK33" s="766"/>
      <c r="AL33" s="537"/>
      <c r="AM33" s="537"/>
      <c r="AN33" s="537"/>
      <c r="AO33" s="537"/>
      <c r="AP33" s="537"/>
      <c r="AQ33" s="439"/>
      <c r="AR33" s="537"/>
      <c r="AS33" s="438"/>
      <c r="AT33" s="767"/>
      <c r="AU33" s="439"/>
      <c r="AV33" s="537"/>
      <c r="AW33" s="537"/>
      <c r="AX33" s="537"/>
      <c r="AY33" s="537"/>
      <c r="AZ33" s="537"/>
      <c r="BA33" s="438"/>
      <c r="BB33" s="766"/>
      <c r="BC33" s="439"/>
      <c r="BD33" s="537"/>
      <c r="BE33" s="537"/>
      <c r="BF33" s="537"/>
      <c r="BG33" s="537"/>
      <c r="BH33" s="537"/>
      <c r="BI33" s="438"/>
      <c r="BJ33" s="767"/>
      <c r="BK33" s="439"/>
      <c r="BL33" s="537"/>
      <c r="BM33" s="537"/>
      <c r="BN33" s="537"/>
      <c r="BO33" s="537"/>
      <c r="BP33" s="537"/>
      <c r="BQ33" s="537"/>
      <c r="BR33" s="438"/>
      <c r="BS33" s="766"/>
      <c r="BT33" s="439"/>
      <c r="BU33" s="537"/>
      <c r="BV33" s="537"/>
      <c r="BW33" s="537"/>
      <c r="BX33" s="537"/>
      <c r="BY33" s="537"/>
      <c r="BZ33" s="438"/>
      <c r="CA33" s="768"/>
      <c r="CB33" s="439"/>
      <c r="CC33" s="537"/>
      <c r="CD33" s="537"/>
      <c r="CE33" s="537"/>
      <c r="CF33" s="537"/>
      <c r="CG33" s="537"/>
      <c r="CH33" s="438"/>
      <c r="CI33" s="768"/>
      <c r="CJ33" s="439"/>
      <c r="CK33" s="537"/>
      <c r="CL33" s="537"/>
      <c r="CM33" s="537"/>
      <c r="CN33" s="537"/>
      <c r="CO33" s="537"/>
      <c r="CP33" s="438"/>
      <c r="CQ33" s="766"/>
      <c r="CR33" s="537"/>
      <c r="CS33" s="537"/>
      <c r="CT33" s="433"/>
      <c r="CU33" s="537" t="n">
        <f aca="false">+CR33-CS33</f>
        <v>0</v>
      </c>
      <c r="CV33" s="537" t="n">
        <f aca="false">+CR33-CT33</f>
        <v>0</v>
      </c>
      <c r="CW33" s="537"/>
      <c r="CX33" s="769" t="e">
        <f aca="false">+CR33/CW33-1</f>
        <v>#DIV/0!</v>
      </c>
      <c r="CY33" s="770"/>
      <c r="CZ33" s="771"/>
      <c r="DA33" s="537"/>
      <c r="DB33" s="537"/>
      <c r="DC33" s="537"/>
      <c r="DD33" s="537"/>
      <c r="DE33" s="438" t="e">
        <f aca="false">(CZ33-DD33)/DD33</f>
        <v>#DIV/0!</v>
      </c>
      <c r="DF33" s="438" t="e">
        <f aca="false">(DA33-DD33)/DD33</f>
        <v>#DIV/0!</v>
      </c>
      <c r="DG33" s="438" t="e">
        <f aca="false">(DB33-DD33)/DD33</f>
        <v>#DIV/0!</v>
      </c>
      <c r="DH33" s="438" t="e">
        <f aca="false">(DC33-DD33)/DD33</f>
        <v>#DIV/0!</v>
      </c>
      <c r="DI33" s="696"/>
      <c r="DJ33" s="37"/>
      <c r="DL33" s="37"/>
      <c r="DM33" s="400" t="n">
        <f aca="false">(CS33-CZ33)*10^6</f>
        <v>0</v>
      </c>
      <c r="DN33" s="400" t="n">
        <f aca="false">(CT33-DC33)*10^6</f>
        <v>0</v>
      </c>
      <c r="DO33" s="400" t="n">
        <f aca="false">(CW33-DD33)*10^6</f>
        <v>0</v>
      </c>
    </row>
    <row r="34" s="441" customFormat="true" ht="15" hidden="false" customHeight="true" outlineLevel="1" collapsed="false">
      <c r="A34" s="764"/>
      <c r="B34" s="765" t="s">
        <v>519</v>
      </c>
      <c r="C34" s="679" t="s">
        <v>520</v>
      </c>
      <c r="D34" s="537"/>
      <c r="E34" s="537"/>
      <c r="F34" s="537"/>
      <c r="G34" s="537"/>
      <c r="H34" s="438"/>
      <c r="I34" s="766"/>
      <c r="J34" s="537"/>
      <c r="K34" s="537"/>
      <c r="L34" s="537"/>
      <c r="M34" s="537"/>
      <c r="N34" s="438"/>
      <c r="O34" s="767"/>
      <c r="P34" s="537"/>
      <c r="Q34" s="537"/>
      <c r="R34" s="537"/>
      <c r="S34" s="537"/>
      <c r="T34" s="438"/>
      <c r="U34" s="766"/>
      <c r="V34" s="537"/>
      <c r="W34" s="537"/>
      <c r="X34" s="537"/>
      <c r="Y34" s="537"/>
      <c r="Z34" s="439"/>
      <c r="AA34" s="537"/>
      <c r="AB34" s="438"/>
      <c r="AC34" s="766"/>
      <c r="AD34" s="537"/>
      <c r="AE34" s="537"/>
      <c r="AF34" s="537"/>
      <c r="AG34" s="537"/>
      <c r="AH34" s="439"/>
      <c r="AI34" s="537"/>
      <c r="AJ34" s="438"/>
      <c r="AK34" s="766"/>
      <c r="AL34" s="537"/>
      <c r="AM34" s="537"/>
      <c r="AN34" s="537"/>
      <c r="AO34" s="537"/>
      <c r="AP34" s="537"/>
      <c r="AQ34" s="439"/>
      <c r="AR34" s="537"/>
      <c r="AS34" s="438"/>
      <c r="AT34" s="767"/>
      <c r="AU34" s="439"/>
      <c r="AV34" s="537"/>
      <c r="AW34" s="537"/>
      <c r="AX34" s="537"/>
      <c r="AY34" s="537"/>
      <c r="AZ34" s="537"/>
      <c r="BA34" s="438"/>
      <c r="BB34" s="766"/>
      <c r="BC34" s="439"/>
      <c r="BD34" s="537"/>
      <c r="BE34" s="537"/>
      <c r="BF34" s="537"/>
      <c r="BG34" s="537"/>
      <c r="BH34" s="537"/>
      <c r="BI34" s="438"/>
      <c r="BJ34" s="767"/>
      <c r="BK34" s="439"/>
      <c r="BL34" s="537"/>
      <c r="BM34" s="537"/>
      <c r="BN34" s="537"/>
      <c r="BO34" s="537"/>
      <c r="BP34" s="537"/>
      <c r="BQ34" s="537"/>
      <c r="BR34" s="438"/>
      <c r="BS34" s="766"/>
      <c r="BT34" s="439"/>
      <c r="BU34" s="537"/>
      <c r="BV34" s="537"/>
      <c r="BW34" s="537"/>
      <c r="BX34" s="537"/>
      <c r="BY34" s="537"/>
      <c r="BZ34" s="438"/>
      <c r="CA34" s="768"/>
      <c r="CB34" s="439"/>
      <c r="CC34" s="537"/>
      <c r="CD34" s="537"/>
      <c r="CE34" s="537"/>
      <c r="CF34" s="537"/>
      <c r="CG34" s="537"/>
      <c r="CH34" s="438"/>
      <c r="CI34" s="768"/>
      <c r="CJ34" s="439"/>
      <c r="CK34" s="537"/>
      <c r="CL34" s="537"/>
      <c r="CM34" s="537"/>
      <c r="CN34" s="537"/>
      <c r="CO34" s="537"/>
      <c r="CP34" s="438"/>
      <c r="CQ34" s="766"/>
      <c r="CR34" s="537"/>
      <c r="CS34" s="537"/>
      <c r="CT34" s="433"/>
      <c r="CU34" s="537" t="n">
        <f aca="false">+CR34-CS34</f>
        <v>0</v>
      </c>
      <c r="CV34" s="537" t="n">
        <f aca="false">+CR34-CT34</f>
        <v>0</v>
      </c>
      <c r="CW34" s="537"/>
      <c r="CX34" s="769" t="e">
        <f aca="false">+CR34/CW34-1</f>
        <v>#DIV/0!</v>
      </c>
      <c r="CY34" s="770"/>
      <c r="CZ34" s="771"/>
      <c r="DA34" s="537"/>
      <c r="DB34" s="537"/>
      <c r="DC34" s="537"/>
      <c r="DD34" s="537"/>
      <c r="DE34" s="438" t="e">
        <f aca="false">(CZ34-DD34)/DD34</f>
        <v>#DIV/0!</v>
      </c>
      <c r="DF34" s="438" t="e">
        <f aca="false">(DA34-DD34)/DD34</f>
        <v>#DIV/0!</v>
      </c>
      <c r="DG34" s="438" t="e">
        <f aca="false">(DB34-DD34)/DD34</f>
        <v>#DIV/0!</v>
      </c>
      <c r="DH34" s="438" t="e">
        <f aca="false">(DC34-DD34)/DD34</f>
        <v>#DIV/0!</v>
      </c>
      <c r="DI34" s="696"/>
      <c r="DJ34" s="37"/>
      <c r="DL34" s="37"/>
      <c r="DM34" s="400" t="n">
        <f aca="false">(CS34-CZ34)*10^6</f>
        <v>0</v>
      </c>
      <c r="DN34" s="400" t="n">
        <f aca="false">(CT34-DC34)*10^6</f>
        <v>0</v>
      </c>
      <c r="DO34" s="400" t="n">
        <f aca="false">(CW34-DD34)*10^6</f>
        <v>0</v>
      </c>
    </row>
    <row r="35" s="441" customFormat="true" ht="15" hidden="false" customHeight="true" outlineLevel="1" collapsed="false">
      <c r="A35" s="764"/>
      <c r="B35" s="765" t="s">
        <v>521</v>
      </c>
      <c r="C35" s="679" t="s">
        <v>522</v>
      </c>
      <c r="D35" s="537"/>
      <c r="E35" s="537"/>
      <c r="F35" s="537"/>
      <c r="G35" s="537"/>
      <c r="H35" s="438"/>
      <c r="I35" s="766"/>
      <c r="J35" s="537"/>
      <c r="K35" s="537"/>
      <c r="L35" s="537"/>
      <c r="M35" s="537"/>
      <c r="N35" s="438"/>
      <c r="O35" s="767"/>
      <c r="P35" s="537"/>
      <c r="Q35" s="537"/>
      <c r="R35" s="537"/>
      <c r="S35" s="537"/>
      <c r="T35" s="438"/>
      <c r="U35" s="766"/>
      <c r="V35" s="537"/>
      <c r="W35" s="537"/>
      <c r="X35" s="537"/>
      <c r="Y35" s="537"/>
      <c r="Z35" s="439"/>
      <c r="AA35" s="537"/>
      <c r="AB35" s="438"/>
      <c r="AC35" s="766"/>
      <c r="AD35" s="537"/>
      <c r="AE35" s="537"/>
      <c r="AF35" s="537"/>
      <c r="AG35" s="537"/>
      <c r="AH35" s="439"/>
      <c r="AI35" s="537"/>
      <c r="AJ35" s="438"/>
      <c r="AK35" s="766"/>
      <c r="AL35" s="537"/>
      <c r="AM35" s="537"/>
      <c r="AN35" s="537"/>
      <c r="AO35" s="537"/>
      <c r="AP35" s="537"/>
      <c r="AQ35" s="439"/>
      <c r="AR35" s="537"/>
      <c r="AS35" s="438"/>
      <c r="AT35" s="767"/>
      <c r="AU35" s="439"/>
      <c r="AV35" s="537"/>
      <c r="AW35" s="537"/>
      <c r="AX35" s="537"/>
      <c r="AY35" s="537"/>
      <c r="AZ35" s="537"/>
      <c r="BA35" s="438"/>
      <c r="BB35" s="766"/>
      <c r="BC35" s="439"/>
      <c r="BD35" s="537"/>
      <c r="BE35" s="537"/>
      <c r="BF35" s="537"/>
      <c r="BG35" s="537"/>
      <c r="BH35" s="537"/>
      <c r="BI35" s="438"/>
      <c r="BJ35" s="767"/>
      <c r="BK35" s="439"/>
      <c r="BL35" s="537"/>
      <c r="BM35" s="537"/>
      <c r="BN35" s="537"/>
      <c r="BO35" s="537"/>
      <c r="BP35" s="537"/>
      <c r="BQ35" s="537"/>
      <c r="BR35" s="438"/>
      <c r="BS35" s="766"/>
      <c r="BT35" s="439"/>
      <c r="BU35" s="537"/>
      <c r="BV35" s="537"/>
      <c r="BW35" s="537"/>
      <c r="BX35" s="537"/>
      <c r="BY35" s="537"/>
      <c r="BZ35" s="438"/>
      <c r="CA35" s="768"/>
      <c r="CB35" s="439"/>
      <c r="CC35" s="537"/>
      <c r="CD35" s="537"/>
      <c r="CE35" s="537"/>
      <c r="CF35" s="537"/>
      <c r="CG35" s="537"/>
      <c r="CH35" s="438"/>
      <c r="CI35" s="768"/>
      <c r="CJ35" s="439"/>
      <c r="CK35" s="537"/>
      <c r="CL35" s="537"/>
      <c r="CM35" s="537"/>
      <c r="CN35" s="537"/>
      <c r="CO35" s="537"/>
      <c r="CP35" s="438"/>
      <c r="CQ35" s="766"/>
      <c r="CR35" s="537"/>
      <c r="CS35" s="537"/>
      <c r="CT35" s="433"/>
      <c r="CU35" s="537" t="n">
        <f aca="false">+CR35-CS35</f>
        <v>0</v>
      </c>
      <c r="CV35" s="537" t="n">
        <f aca="false">+CR35-CT35</f>
        <v>0</v>
      </c>
      <c r="CW35" s="537"/>
      <c r="CX35" s="769" t="e">
        <f aca="false">+CR35/CW35-1</f>
        <v>#DIV/0!</v>
      </c>
      <c r="CY35" s="770"/>
      <c r="CZ35" s="771"/>
      <c r="DA35" s="537"/>
      <c r="DB35" s="537"/>
      <c r="DC35" s="537"/>
      <c r="DD35" s="537"/>
      <c r="DE35" s="438" t="e">
        <f aca="false">(CZ35-DD35)/DD35</f>
        <v>#DIV/0!</v>
      </c>
      <c r="DF35" s="438" t="e">
        <f aca="false">(DA35-DD35)/DD35</f>
        <v>#DIV/0!</v>
      </c>
      <c r="DG35" s="438" t="e">
        <f aca="false">(DB35-DD35)/DD35</f>
        <v>#DIV/0!</v>
      </c>
      <c r="DH35" s="438" t="e">
        <f aca="false">(DC35-DD35)/DD35</f>
        <v>#DIV/0!</v>
      </c>
      <c r="DI35" s="696"/>
      <c r="DJ35" s="37"/>
      <c r="DL35" s="37"/>
      <c r="DM35" s="400" t="n">
        <f aca="false">(CS35-CZ35)*10^6</f>
        <v>0</v>
      </c>
      <c r="DN35" s="400" t="n">
        <f aca="false">(CT35-DC35)*10^6</f>
        <v>0</v>
      </c>
      <c r="DO35" s="400" t="n">
        <f aca="false">(CW35-DD35)*10^6</f>
        <v>0</v>
      </c>
    </row>
    <row r="36" s="763" customFormat="true" ht="15" hidden="false" customHeight="true" outlineLevel="1" collapsed="false">
      <c r="A36" s="749"/>
      <c r="B36" s="750" t="s">
        <v>523</v>
      </c>
      <c r="C36" s="679" t="s">
        <v>524</v>
      </c>
      <c r="D36" s="752"/>
      <c r="E36" s="752"/>
      <c r="F36" s="752"/>
      <c r="G36" s="752"/>
      <c r="H36" s="753"/>
      <c r="I36" s="754"/>
      <c r="J36" s="752"/>
      <c r="K36" s="752"/>
      <c r="L36" s="752"/>
      <c r="M36" s="752"/>
      <c r="N36" s="753"/>
      <c r="O36" s="755"/>
      <c r="P36" s="752"/>
      <c r="Q36" s="752"/>
      <c r="R36" s="752"/>
      <c r="S36" s="752"/>
      <c r="T36" s="753"/>
      <c r="U36" s="754"/>
      <c r="V36" s="752"/>
      <c r="W36" s="752"/>
      <c r="X36" s="752"/>
      <c r="Y36" s="752"/>
      <c r="Z36" s="751"/>
      <c r="AA36" s="752"/>
      <c r="AB36" s="753"/>
      <c r="AC36" s="754"/>
      <c r="AD36" s="752"/>
      <c r="AE36" s="752"/>
      <c r="AF36" s="752"/>
      <c r="AG36" s="752"/>
      <c r="AH36" s="751"/>
      <c r="AI36" s="752"/>
      <c r="AJ36" s="753"/>
      <c r="AK36" s="754"/>
      <c r="AL36" s="752"/>
      <c r="AM36" s="752"/>
      <c r="AN36" s="752"/>
      <c r="AO36" s="752"/>
      <c r="AP36" s="752"/>
      <c r="AQ36" s="751"/>
      <c r="AR36" s="752"/>
      <c r="AS36" s="753"/>
      <c r="AT36" s="755"/>
      <c r="AU36" s="751"/>
      <c r="AV36" s="752"/>
      <c r="AW36" s="752"/>
      <c r="AX36" s="752"/>
      <c r="AY36" s="752"/>
      <c r="AZ36" s="752"/>
      <c r="BA36" s="753"/>
      <c r="BB36" s="754"/>
      <c r="BC36" s="751"/>
      <c r="BD36" s="752"/>
      <c r="BE36" s="752"/>
      <c r="BF36" s="752"/>
      <c r="BG36" s="752"/>
      <c r="BH36" s="752"/>
      <c r="BI36" s="753"/>
      <c r="BJ36" s="755"/>
      <c r="BK36" s="751"/>
      <c r="BL36" s="752"/>
      <c r="BM36" s="752"/>
      <c r="BN36" s="752"/>
      <c r="BO36" s="752"/>
      <c r="BP36" s="752"/>
      <c r="BQ36" s="752"/>
      <c r="BR36" s="753"/>
      <c r="BS36" s="754"/>
      <c r="BT36" s="751"/>
      <c r="BU36" s="752"/>
      <c r="BV36" s="752"/>
      <c r="BW36" s="752"/>
      <c r="BX36" s="752"/>
      <c r="BY36" s="752"/>
      <c r="BZ36" s="753"/>
      <c r="CA36" s="757"/>
      <c r="CB36" s="751"/>
      <c r="CC36" s="752"/>
      <c r="CD36" s="752"/>
      <c r="CE36" s="752"/>
      <c r="CF36" s="752"/>
      <c r="CG36" s="752"/>
      <c r="CH36" s="753"/>
      <c r="CI36" s="757"/>
      <c r="CJ36" s="751"/>
      <c r="CK36" s="752"/>
      <c r="CL36" s="752"/>
      <c r="CM36" s="752"/>
      <c r="CN36" s="752"/>
      <c r="CO36" s="752"/>
      <c r="CP36" s="753"/>
      <c r="CQ36" s="754"/>
      <c r="CR36" s="752"/>
      <c r="CS36" s="752"/>
      <c r="CT36" s="758"/>
      <c r="CU36" s="752" t="n">
        <f aca="false">+CR36-CS36</f>
        <v>0</v>
      </c>
      <c r="CV36" s="752" t="n">
        <f aca="false">+CR36-CT36</f>
        <v>0</v>
      </c>
      <c r="CW36" s="752"/>
      <c r="CX36" s="759" t="e">
        <f aca="false">+CR36/CW36-1</f>
        <v>#DIV/0!</v>
      </c>
      <c r="CY36" s="760"/>
      <c r="CZ36" s="761"/>
      <c r="DA36" s="752"/>
      <c r="DB36" s="752"/>
      <c r="DC36" s="752"/>
      <c r="DD36" s="752"/>
      <c r="DE36" s="753" t="e">
        <f aca="false">(CZ36-DD36)/DD36</f>
        <v>#DIV/0!</v>
      </c>
      <c r="DF36" s="753" t="e">
        <f aca="false">(DA36-DD36)/DD36</f>
        <v>#DIV/0!</v>
      </c>
      <c r="DG36" s="753" t="e">
        <f aca="false">(DB36-DD36)/DD36</f>
        <v>#DIV/0!</v>
      </c>
      <c r="DH36" s="753" t="e">
        <f aca="false">(DC36-DD36)/DD36</f>
        <v>#DIV/0!</v>
      </c>
      <c r="DI36" s="696"/>
      <c r="DJ36" s="37"/>
      <c r="DL36" s="37"/>
      <c r="DM36" s="400" t="n">
        <f aca="false">(CS36-CZ36)*10^6</f>
        <v>0</v>
      </c>
      <c r="DN36" s="400" t="n">
        <f aca="false">(CT36-DC36)*10^6</f>
        <v>0</v>
      </c>
      <c r="DO36" s="400" t="n">
        <f aca="false">(CW36-DD36)*10^6</f>
        <v>0</v>
      </c>
    </row>
    <row r="37" s="441" customFormat="true" ht="15" hidden="false" customHeight="true" outlineLevel="1" collapsed="false">
      <c r="A37" s="764"/>
      <c r="B37" s="765"/>
      <c r="C37" s="679" t="s">
        <v>525</v>
      </c>
      <c r="D37" s="537"/>
      <c r="E37" s="537"/>
      <c r="F37" s="537"/>
      <c r="G37" s="537"/>
      <c r="H37" s="438"/>
      <c r="I37" s="766"/>
      <c r="J37" s="537"/>
      <c r="K37" s="537"/>
      <c r="L37" s="537"/>
      <c r="M37" s="537"/>
      <c r="N37" s="438"/>
      <c r="O37" s="767"/>
      <c r="P37" s="537"/>
      <c r="Q37" s="537"/>
      <c r="R37" s="537"/>
      <c r="S37" s="537"/>
      <c r="T37" s="438"/>
      <c r="U37" s="766"/>
      <c r="V37" s="537"/>
      <c r="W37" s="537"/>
      <c r="X37" s="537"/>
      <c r="Y37" s="537"/>
      <c r="Z37" s="439"/>
      <c r="AA37" s="537"/>
      <c r="AB37" s="438"/>
      <c r="AC37" s="766"/>
      <c r="AD37" s="537"/>
      <c r="AE37" s="537"/>
      <c r="AF37" s="537"/>
      <c r="AG37" s="537"/>
      <c r="AH37" s="439"/>
      <c r="AI37" s="537"/>
      <c r="AJ37" s="438"/>
      <c r="AK37" s="766"/>
      <c r="AL37" s="537"/>
      <c r="AM37" s="537"/>
      <c r="AN37" s="537"/>
      <c r="AO37" s="537"/>
      <c r="AP37" s="537"/>
      <c r="AQ37" s="439"/>
      <c r="AR37" s="537"/>
      <c r="AS37" s="438"/>
      <c r="AT37" s="767"/>
      <c r="AU37" s="439"/>
      <c r="AV37" s="537"/>
      <c r="AW37" s="537"/>
      <c r="AX37" s="537"/>
      <c r="AY37" s="537"/>
      <c r="AZ37" s="537"/>
      <c r="BA37" s="438"/>
      <c r="BB37" s="766"/>
      <c r="BC37" s="439"/>
      <c r="BD37" s="537"/>
      <c r="BE37" s="537"/>
      <c r="BF37" s="537"/>
      <c r="BG37" s="537"/>
      <c r="BH37" s="537"/>
      <c r="BI37" s="438"/>
      <c r="BJ37" s="767"/>
      <c r="BK37" s="439"/>
      <c r="BL37" s="537"/>
      <c r="BM37" s="537"/>
      <c r="BN37" s="537"/>
      <c r="BO37" s="537"/>
      <c r="BP37" s="537"/>
      <c r="BQ37" s="537"/>
      <c r="BR37" s="438"/>
      <c r="BS37" s="766"/>
      <c r="BT37" s="439"/>
      <c r="BU37" s="537"/>
      <c r="BV37" s="537"/>
      <c r="BW37" s="537"/>
      <c r="BX37" s="537"/>
      <c r="BY37" s="537"/>
      <c r="BZ37" s="438"/>
      <c r="CA37" s="768"/>
      <c r="CB37" s="439"/>
      <c r="CC37" s="537"/>
      <c r="CD37" s="537"/>
      <c r="CE37" s="537"/>
      <c r="CF37" s="537"/>
      <c r="CG37" s="537"/>
      <c r="CH37" s="438"/>
      <c r="CI37" s="768"/>
      <c r="CJ37" s="439"/>
      <c r="CK37" s="537"/>
      <c r="CL37" s="537"/>
      <c r="CM37" s="537"/>
      <c r="CN37" s="537"/>
      <c r="CO37" s="537"/>
      <c r="CP37" s="438"/>
      <c r="CQ37" s="766"/>
      <c r="CR37" s="537"/>
      <c r="CS37" s="537"/>
      <c r="CT37" s="433"/>
      <c r="CU37" s="537" t="n">
        <f aca="false">+CR37-CS37</f>
        <v>0</v>
      </c>
      <c r="CV37" s="537" t="n">
        <f aca="false">+CR37-CT37</f>
        <v>0</v>
      </c>
      <c r="CW37" s="537"/>
      <c r="CX37" s="769"/>
      <c r="CY37" s="770"/>
      <c r="CZ37" s="771"/>
      <c r="DA37" s="537"/>
      <c r="DB37" s="537"/>
      <c r="DC37" s="537"/>
      <c r="DD37" s="537"/>
      <c r="DE37" s="438"/>
      <c r="DF37" s="438"/>
      <c r="DG37" s="438"/>
      <c r="DH37" s="438"/>
      <c r="DI37" s="696"/>
      <c r="DJ37" s="37"/>
      <c r="DL37" s="37"/>
      <c r="DM37" s="400" t="n">
        <f aca="false">(CS37-CZ37)*10^6</f>
        <v>0</v>
      </c>
      <c r="DN37" s="400" t="n">
        <f aca="false">(CT37-DC37)*10^6</f>
        <v>0</v>
      </c>
      <c r="DO37" s="400" t="n">
        <f aca="false">(CW37-DD37)*10^6</f>
        <v>0</v>
      </c>
    </row>
    <row r="38" s="784" customFormat="true" ht="14.25" hidden="false" customHeight="true" outlineLevel="1" collapsed="false">
      <c r="A38" s="774"/>
      <c r="B38" s="775" t="s">
        <v>526</v>
      </c>
      <c r="C38" s="679" t="s">
        <v>527</v>
      </c>
      <c r="D38" s="776"/>
      <c r="E38" s="776"/>
      <c r="F38" s="776"/>
      <c r="G38" s="776"/>
      <c r="H38" s="777"/>
      <c r="I38" s="778"/>
      <c r="J38" s="776"/>
      <c r="K38" s="776"/>
      <c r="L38" s="776"/>
      <c r="M38" s="776"/>
      <c r="N38" s="777"/>
      <c r="O38" s="767"/>
      <c r="P38" s="776"/>
      <c r="Q38" s="776"/>
      <c r="R38" s="776"/>
      <c r="S38" s="776"/>
      <c r="T38" s="777"/>
      <c r="U38" s="778"/>
      <c r="V38" s="776"/>
      <c r="W38" s="776"/>
      <c r="X38" s="776"/>
      <c r="Y38" s="776"/>
      <c r="Z38" s="779"/>
      <c r="AA38" s="776"/>
      <c r="AB38" s="777"/>
      <c r="AC38" s="778"/>
      <c r="AD38" s="776"/>
      <c r="AE38" s="776"/>
      <c r="AF38" s="776"/>
      <c r="AG38" s="776"/>
      <c r="AH38" s="779"/>
      <c r="AI38" s="776"/>
      <c r="AJ38" s="777"/>
      <c r="AK38" s="778"/>
      <c r="AL38" s="776"/>
      <c r="AM38" s="776"/>
      <c r="AN38" s="776"/>
      <c r="AO38" s="776"/>
      <c r="AP38" s="776"/>
      <c r="AQ38" s="779"/>
      <c r="AR38" s="776"/>
      <c r="AS38" s="777"/>
      <c r="AT38" s="767"/>
      <c r="AU38" s="779"/>
      <c r="AV38" s="776"/>
      <c r="AW38" s="776"/>
      <c r="AX38" s="776"/>
      <c r="AY38" s="776"/>
      <c r="AZ38" s="776"/>
      <c r="BA38" s="777"/>
      <c r="BB38" s="778"/>
      <c r="BC38" s="779"/>
      <c r="BD38" s="776"/>
      <c r="BE38" s="776"/>
      <c r="BF38" s="776"/>
      <c r="BG38" s="776"/>
      <c r="BH38" s="776"/>
      <c r="BI38" s="777"/>
      <c r="BJ38" s="767"/>
      <c r="BK38" s="779"/>
      <c r="BL38" s="776"/>
      <c r="BM38" s="776"/>
      <c r="BN38" s="776"/>
      <c r="BO38" s="776"/>
      <c r="BP38" s="776"/>
      <c r="BQ38" s="776"/>
      <c r="BR38" s="777"/>
      <c r="BS38" s="778"/>
      <c r="BT38" s="779"/>
      <c r="BU38" s="776"/>
      <c r="BV38" s="776"/>
      <c r="BW38" s="776"/>
      <c r="BX38" s="776"/>
      <c r="BY38" s="776"/>
      <c r="BZ38" s="777"/>
      <c r="CA38" s="768"/>
      <c r="CB38" s="779"/>
      <c r="CC38" s="776"/>
      <c r="CD38" s="776"/>
      <c r="CE38" s="776"/>
      <c r="CF38" s="776"/>
      <c r="CG38" s="776"/>
      <c r="CH38" s="777"/>
      <c r="CI38" s="768"/>
      <c r="CJ38" s="779"/>
      <c r="CK38" s="776"/>
      <c r="CL38" s="776"/>
      <c r="CM38" s="776"/>
      <c r="CN38" s="776"/>
      <c r="CO38" s="776"/>
      <c r="CP38" s="777"/>
      <c r="CQ38" s="778"/>
      <c r="CR38" s="776"/>
      <c r="CS38" s="776"/>
      <c r="CT38" s="517"/>
      <c r="CU38" s="776" t="n">
        <f aca="false">+CR38-CS38</f>
        <v>0</v>
      </c>
      <c r="CV38" s="776" t="n">
        <f aca="false">+CR38-CT38</f>
        <v>0</v>
      </c>
      <c r="CW38" s="776"/>
      <c r="CX38" s="780" t="e">
        <f aca="false">+CR38/CW38-1</f>
        <v>#DIV/0!</v>
      </c>
      <c r="CY38" s="770"/>
      <c r="CZ38" s="781"/>
      <c r="DA38" s="776"/>
      <c r="DB38" s="776"/>
      <c r="DC38" s="776"/>
      <c r="DD38" s="776"/>
      <c r="DE38" s="777" t="e">
        <f aca="false">(CZ38-DD38)/DD38</f>
        <v>#DIV/0!</v>
      </c>
      <c r="DF38" s="777" t="e">
        <f aca="false">(DA38-DD38)/DD38</f>
        <v>#DIV/0!</v>
      </c>
      <c r="DG38" s="777" t="e">
        <f aca="false">(DB38-DD38)/DD38</f>
        <v>#DIV/0!</v>
      </c>
      <c r="DH38" s="777" t="e">
        <f aca="false">(DC38-DD38)/DD38</f>
        <v>#DIV/0!</v>
      </c>
      <c r="DI38" s="696"/>
      <c r="DJ38" s="782"/>
      <c r="DK38" s="783"/>
      <c r="DL38" s="782"/>
      <c r="DM38" s="400" t="n">
        <f aca="false">(CS38-CZ38)*10^6</f>
        <v>0</v>
      </c>
      <c r="DN38" s="400" t="n">
        <f aca="false">(CT38-DC38)*10^6</f>
        <v>0</v>
      </c>
      <c r="DO38" s="400" t="n">
        <f aca="false">(CW38-DD38)*10^6</f>
        <v>0</v>
      </c>
      <c r="DP38" s="783"/>
      <c r="DQ38" s="783"/>
      <c r="DR38" s="783"/>
      <c r="DS38" s="783"/>
      <c r="DT38" s="783"/>
      <c r="DU38" s="783"/>
      <c r="DV38" s="783"/>
      <c r="DW38" s="783"/>
      <c r="DX38" s="783"/>
      <c r="DY38" s="783"/>
      <c r="DZ38" s="783"/>
      <c r="EA38" s="783"/>
      <c r="EB38" s="783"/>
      <c r="EC38" s="783"/>
      <c r="ED38" s="783"/>
      <c r="EE38" s="783"/>
      <c r="EF38" s="783"/>
      <c r="EG38" s="783"/>
      <c r="EH38" s="783"/>
      <c r="EI38" s="783"/>
      <c r="EJ38" s="783"/>
      <c r="EK38" s="783"/>
      <c r="EL38" s="783"/>
      <c r="EM38" s="783"/>
      <c r="EN38" s="783"/>
      <c r="EO38" s="783"/>
      <c r="EP38" s="783"/>
      <c r="EQ38" s="783"/>
      <c r="ER38" s="783"/>
      <c r="ES38" s="783"/>
      <c r="ET38" s="783"/>
      <c r="EU38" s="783"/>
      <c r="EV38" s="783"/>
      <c r="EW38" s="783"/>
      <c r="EX38" s="783"/>
      <c r="EY38" s="783"/>
      <c r="EZ38" s="783"/>
      <c r="FA38" s="783"/>
      <c r="FB38" s="783"/>
      <c r="FC38" s="783"/>
      <c r="FD38" s="783"/>
      <c r="FE38" s="783"/>
      <c r="FF38" s="783"/>
      <c r="FG38" s="783"/>
      <c r="FH38" s="783"/>
      <c r="FI38" s="783"/>
      <c r="FJ38" s="783"/>
      <c r="FK38" s="783"/>
      <c r="FL38" s="783"/>
      <c r="FM38" s="783"/>
      <c r="FN38" s="783"/>
      <c r="FO38" s="783"/>
      <c r="FP38" s="783"/>
      <c r="FQ38" s="783"/>
      <c r="FR38" s="783"/>
      <c r="FS38" s="783"/>
      <c r="FT38" s="783"/>
      <c r="FU38" s="783"/>
      <c r="FV38" s="783"/>
      <c r="FW38" s="783"/>
      <c r="FX38" s="783"/>
      <c r="FY38" s="783"/>
      <c r="FZ38" s="783"/>
      <c r="GA38" s="783"/>
      <c r="GB38" s="783"/>
      <c r="GC38" s="783"/>
      <c r="GD38" s="783"/>
      <c r="GE38" s="783"/>
      <c r="GF38" s="783"/>
      <c r="GG38" s="783"/>
      <c r="GH38" s="783"/>
      <c r="GI38" s="783"/>
      <c r="GJ38" s="783"/>
      <c r="GK38" s="783"/>
      <c r="GL38" s="783"/>
      <c r="GM38" s="783"/>
      <c r="GN38" s="783"/>
      <c r="GO38" s="783"/>
      <c r="GP38" s="783"/>
      <c r="GQ38" s="783"/>
      <c r="GR38" s="783"/>
      <c r="GS38" s="783"/>
      <c r="GT38" s="783"/>
      <c r="GU38" s="783"/>
      <c r="GV38" s="783"/>
      <c r="GW38" s="783"/>
      <c r="GX38" s="783"/>
      <c r="GY38" s="783"/>
      <c r="GZ38" s="783"/>
      <c r="HA38" s="783"/>
      <c r="HB38" s="783"/>
      <c r="HC38" s="783"/>
      <c r="HD38" s="783"/>
      <c r="HE38" s="783"/>
      <c r="HF38" s="783"/>
      <c r="HG38" s="783"/>
      <c r="HH38" s="783"/>
      <c r="HI38" s="783"/>
      <c r="HJ38" s="783"/>
      <c r="HK38" s="783"/>
      <c r="HL38" s="783"/>
    </row>
    <row r="39" s="441" customFormat="true" ht="15" hidden="false" customHeight="true" outlineLevel="1" collapsed="false">
      <c r="A39" s="764"/>
      <c r="B39" s="765"/>
      <c r="C39" s="679" t="s">
        <v>528</v>
      </c>
      <c r="D39" s="537"/>
      <c r="E39" s="537"/>
      <c r="F39" s="537"/>
      <c r="G39" s="537"/>
      <c r="H39" s="438"/>
      <c r="I39" s="766"/>
      <c r="J39" s="537"/>
      <c r="K39" s="537"/>
      <c r="L39" s="537"/>
      <c r="M39" s="537"/>
      <c r="N39" s="438"/>
      <c r="O39" s="767"/>
      <c r="P39" s="537"/>
      <c r="Q39" s="537"/>
      <c r="R39" s="537"/>
      <c r="S39" s="537"/>
      <c r="T39" s="438"/>
      <c r="U39" s="766"/>
      <c r="V39" s="537"/>
      <c r="W39" s="537"/>
      <c r="X39" s="537"/>
      <c r="Y39" s="537"/>
      <c r="Z39" s="439"/>
      <c r="AA39" s="537"/>
      <c r="AB39" s="438"/>
      <c r="AC39" s="766"/>
      <c r="AD39" s="537"/>
      <c r="AE39" s="537"/>
      <c r="AF39" s="537"/>
      <c r="AG39" s="537"/>
      <c r="AH39" s="439"/>
      <c r="AI39" s="537"/>
      <c r="AJ39" s="438"/>
      <c r="AK39" s="766"/>
      <c r="AL39" s="537"/>
      <c r="AM39" s="537"/>
      <c r="AN39" s="537"/>
      <c r="AO39" s="537"/>
      <c r="AP39" s="537"/>
      <c r="AQ39" s="439"/>
      <c r="AR39" s="537"/>
      <c r="AS39" s="438"/>
      <c r="AT39" s="767"/>
      <c r="AU39" s="439"/>
      <c r="AV39" s="537"/>
      <c r="AW39" s="537"/>
      <c r="AX39" s="537"/>
      <c r="AY39" s="537"/>
      <c r="AZ39" s="537"/>
      <c r="BA39" s="438"/>
      <c r="BB39" s="766"/>
      <c r="BC39" s="439"/>
      <c r="BD39" s="537"/>
      <c r="BE39" s="537"/>
      <c r="BF39" s="537"/>
      <c r="BG39" s="537"/>
      <c r="BH39" s="537"/>
      <c r="BI39" s="438"/>
      <c r="BJ39" s="767"/>
      <c r="BK39" s="439"/>
      <c r="BL39" s="537"/>
      <c r="BM39" s="537"/>
      <c r="BN39" s="537"/>
      <c r="BO39" s="537"/>
      <c r="BP39" s="537"/>
      <c r="BQ39" s="537"/>
      <c r="BR39" s="438"/>
      <c r="BS39" s="766"/>
      <c r="BT39" s="439"/>
      <c r="BU39" s="537"/>
      <c r="BV39" s="537"/>
      <c r="BW39" s="537"/>
      <c r="BX39" s="537"/>
      <c r="BY39" s="537"/>
      <c r="BZ39" s="438"/>
      <c r="CA39" s="768"/>
      <c r="CB39" s="439"/>
      <c r="CC39" s="537"/>
      <c r="CD39" s="537"/>
      <c r="CE39" s="537"/>
      <c r="CF39" s="537"/>
      <c r="CG39" s="537"/>
      <c r="CH39" s="438"/>
      <c r="CI39" s="768"/>
      <c r="CJ39" s="439"/>
      <c r="CK39" s="537"/>
      <c r="CL39" s="537"/>
      <c r="CM39" s="537"/>
      <c r="CN39" s="537"/>
      <c r="CO39" s="537"/>
      <c r="CP39" s="438"/>
      <c r="CQ39" s="766"/>
      <c r="CR39" s="537"/>
      <c r="CS39" s="537"/>
      <c r="CT39" s="433"/>
      <c r="CU39" s="537" t="n">
        <f aca="false">+CR39-CS39</f>
        <v>0</v>
      </c>
      <c r="CV39" s="537" t="n">
        <f aca="false">+CR39-CT39</f>
        <v>0</v>
      </c>
      <c r="CW39" s="537"/>
      <c r="CX39" s="769"/>
      <c r="CY39" s="770"/>
      <c r="CZ39" s="771"/>
      <c r="DA39" s="537"/>
      <c r="DB39" s="537"/>
      <c r="DC39" s="537"/>
      <c r="DD39" s="537"/>
      <c r="DE39" s="438"/>
      <c r="DF39" s="438"/>
      <c r="DG39" s="438"/>
      <c r="DH39" s="438"/>
      <c r="DI39" s="696"/>
      <c r="DJ39" s="37"/>
      <c r="DL39" s="37"/>
      <c r="DM39" s="400" t="n">
        <f aca="false">(CS39-CZ39)*10^6</f>
        <v>0</v>
      </c>
      <c r="DN39" s="400" t="n">
        <f aca="false">(CT39-DC39)*10^6</f>
        <v>0</v>
      </c>
      <c r="DO39" s="400" t="n">
        <f aca="false">(CW39-DD39)*10^6</f>
        <v>0</v>
      </c>
    </row>
    <row r="40" s="441" customFormat="true" ht="15" hidden="false" customHeight="true" outlineLevel="1" collapsed="false">
      <c r="A40" s="764"/>
      <c r="B40" s="765" t="s">
        <v>529</v>
      </c>
      <c r="C40" s="679" t="s">
        <v>530</v>
      </c>
      <c r="D40" s="537"/>
      <c r="E40" s="537"/>
      <c r="F40" s="537"/>
      <c r="G40" s="537"/>
      <c r="H40" s="438"/>
      <c r="I40" s="766"/>
      <c r="J40" s="537"/>
      <c r="K40" s="537"/>
      <c r="L40" s="537"/>
      <c r="M40" s="537"/>
      <c r="N40" s="438"/>
      <c r="O40" s="767"/>
      <c r="P40" s="537"/>
      <c r="Q40" s="537"/>
      <c r="R40" s="537"/>
      <c r="S40" s="537"/>
      <c r="T40" s="438"/>
      <c r="U40" s="766"/>
      <c r="V40" s="537"/>
      <c r="W40" s="537"/>
      <c r="X40" s="537"/>
      <c r="Y40" s="537"/>
      <c r="Z40" s="439"/>
      <c r="AA40" s="537"/>
      <c r="AB40" s="438"/>
      <c r="AC40" s="766"/>
      <c r="AD40" s="537"/>
      <c r="AE40" s="537"/>
      <c r="AF40" s="537"/>
      <c r="AG40" s="537"/>
      <c r="AH40" s="439"/>
      <c r="AI40" s="537"/>
      <c r="AJ40" s="438"/>
      <c r="AK40" s="766"/>
      <c r="AL40" s="537"/>
      <c r="AM40" s="537"/>
      <c r="AN40" s="537"/>
      <c r="AO40" s="537"/>
      <c r="AP40" s="537"/>
      <c r="AQ40" s="439"/>
      <c r="AR40" s="537"/>
      <c r="AS40" s="438"/>
      <c r="AT40" s="767"/>
      <c r="AU40" s="439"/>
      <c r="AV40" s="537"/>
      <c r="AW40" s="537"/>
      <c r="AX40" s="537"/>
      <c r="AY40" s="537"/>
      <c r="AZ40" s="537"/>
      <c r="BA40" s="438"/>
      <c r="BB40" s="766"/>
      <c r="BC40" s="469"/>
      <c r="BD40" s="537"/>
      <c r="BE40" s="537"/>
      <c r="BF40" s="537"/>
      <c r="BG40" s="537"/>
      <c r="BH40" s="537"/>
      <c r="BI40" s="438"/>
      <c r="BJ40" s="767"/>
      <c r="BK40" s="469"/>
      <c r="BL40" s="537"/>
      <c r="BM40" s="537"/>
      <c r="BN40" s="537"/>
      <c r="BO40" s="537"/>
      <c r="BP40" s="537"/>
      <c r="BQ40" s="537"/>
      <c r="BR40" s="438"/>
      <c r="BS40" s="766"/>
      <c r="BT40" s="469"/>
      <c r="BU40" s="537"/>
      <c r="BV40" s="537"/>
      <c r="BW40" s="537"/>
      <c r="BX40" s="537"/>
      <c r="BY40" s="537"/>
      <c r="BZ40" s="438"/>
      <c r="CA40" s="768"/>
      <c r="CB40" s="469"/>
      <c r="CC40" s="537"/>
      <c r="CD40" s="537"/>
      <c r="CE40" s="537"/>
      <c r="CF40" s="537"/>
      <c r="CG40" s="537"/>
      <c r="CH40" s="438"/>
      <c r="CI40" s="768"/>
      <c r="CJ40" s="469"/>
      <c r="CK40" s="537"/>
      <c r="CL40" s="537"/>
      <c r="CM40" s="537"/>
      <c r="CN40" s="537"/>
      <c r="CO40" s="537"/>
      <c r="CP40" s="438"/>
      <c r="CQ40" s="766"/>
      <c r="CR40" s="537"/>
      <c r="CS40" s="537"/>
      <c r="CT40" s="433"/>
      <c r="CU40" s="537" t="n">
        <f aca="false">+CR40-CS40</f>
        <v>0</v>
      </c>
      <c r="CV40" s="537" t="n">
        <f aca="false">+CR40-CT40</f>
        <v>0</v>
      </c>
      <c r="CW40" s="537"/>
      <c r="CX40" s="769" t="e">
        <f aca="false">+CR40/CW40-1</f>
        <v>#DIV/0!</v>
      </c>
      <c r="CY40" s="770"/>
      <c r="CZ40" s="771"/>
      <c r="DA40" s="537"/>
      <c r="DB40" s="537"/>
      <c r="DC40" s="537"/>
      <c r="DD40" s="537"/>
      <c r="DE40" s="438" t="e">
        <f aca="false">(CZ40-DD40)/DD40</f>
        <v>#DIV/0!</v>
      </c>
      <c r="DF40" s="438" t="e">
        <f aca="false">(DA40-DD40)/DD40</f>
        <v>#DIV/0!</v>
      </c>
      <c r="DG40" s="438" t="e">
        <f aca="false">(DB40-DD40)/DD40</f>
        <v>#DIV/0!</v>
      </c>
      <c r="DH40" s="438" t="e">
        <f aca="false">(DC40-DD40)/DD40</f>
        <v>#DIV/0!</v>
      </c>
      <c r="DI40" s="696"/>
      <c r="DJ40" s="37"/>
      <c r="DL40" s="37"/>
      <c r="DM40" s="400" t="n">
        <f aca="false">(CS40-CZ40)*10^6</f>
        <v>0</v>
      </c>
      <c r="DN40" s="400" t="n">
        <f aca="false">(CT40-DC40)*10^6</f>
        <v>0</v>
      </c>
      <c r="DO40" s="400" t="n">
        <f aca="false">(CW40-DD40)*10^6</f>
        <v>0</v>
      </c>
    </row>
    <row r="41" s="441" customFormat="true" ht="15" hidden="false" customHeight="true" outlineLevel="1" collapsed="false">
      <c r="A41" s="764"/>
      <c r="B41" s="765" t="s">
        <v>531</v>
      </c>
      <c r="C41" s="679" t="s">
        <v>532</v>
      </c>
      <c r="D41" s="537"/>
      <c r="E41" s="537"/>
      <c r="F41" s="537"/>
      <c r="G41" s="537"/>
      <c r="H41" s="438"/>
      <c r="I41" s="766"/>
      <c r="J41" s="537"/>
      <c r="K41" s="537"/>
      <c r="L41" s="537"/>
      <c r="M41" s="537"/>
      <c r="N41" s="438"/>
      <c r="O41" s="767"/>
      <c r="P41" s="537"/>
      <c r="Q41" s="537"/>
      <c r="R41" s="537"/>
      <c r="S41" s="537"/>
      <c r="T41" s="438"/>
      <c r="U41" s="766"/>
      <c r="V41" s="537"/>
      <c r="W41" s="537"/>
      <c r="X41" s="537"/>
      <c r="Y41" s="537"/>
      <c r="Z41" s="439"/>
      <c r="AA41" s="537"/>
      <c r="AB41" s="438"/>
      <c r="AC41" s="766"/>
      <c r="AD41" s="537"/>
      <c r="AE41" s="537"/>
      <c r="AF41" s="537"/>
      <c r="AG41" s="537"/>
      <c r="AH41" s="439"/>
      <c r="AI41" s="537"/>
      <c r="AJ41" s="438"/>
      <c r="AK41" s="766"/>
      <c r="AL41" s="537"/>
      <c r="AM41" s="537"/>
      <c r="AN41" s="537"/>
      <c r="AO41" s="537"/>
      <c r="AP41" s="537"/>
      <c r="AQ41" s="439"/>
      <c r="AR41" s="537"/>
      <c r="AS41" s="438"/>
      <c r="AT41" s="767"/>
      <c r="AU41" s="439"/>
      <c r="AV41" s="537"/>
      <c r="AW41" s="537"/>
      <c r="AX41" s="537"/>
      <c r="AY41" s="537"/>
      <c r="AZ41" s="537"/>
      <c r="BA41" s="438"/>
      <c r="BB41" s="766"/>
      <c r="BC41" s="439"/>
      <c r="BD41" s="537"/>
      <c r="BE41" s="537"/>
      <c r="BF41" s="537"/>
      <c r="BG41" s="537"/>
      <c r="BH41" s="537"/>
      <c r="BI41" s="438"/>
      <c r="BJ41" s="767"/>
      <c r="BK41" s="439"/>
      <c r="BL41" s="537"/>
      <c r="BM41" s="537"/>
      <c r="BN41" s="537"/>
      <c r="BO41" s="537"/>
      <c r="BP41" s="537"/>
      <c r="BQ41" s="537"/>
      <c r="BR41" s="438"/>
      <c r="BS41" s="766"/>
      <c r="BT41" s="439"/>
      <c r="BU41" s="537"/>
      <c r="BV41" s="537"/>
      <c r="BW41" s="537"/>
      <c r="BX41" s="537"/>
      <c r="BY41" s="537"/>
      <c r="BZ41" s="438"/>
      <c r="CA41" s="768"/>
      <c r="CB41" s="439"/>
      <c r="CC41" s="537"/>
      <c r="CD41" s="537"/>
      <c r="CE41" s="537"/>
      <c r="CF41" s="537"/>
      <c r="CG41" s="537"/>
      <c r="CH41" s="438"/>
      <c r="CI41" s="768"/>
      <c r="CJ41" s="439"/>
      <c r="CK41" s="537"/>
      <c r="CL41" s="537"/>
      <c r="CM41" s="537"/>
      <c r="CN41" s="537"/>
      <c r="CO41" s="537"/>
      <c r="CP41" s="438"/>
      <c r="CQ41" s="766"/>
      <c r="CR41" s="537"/>
      <c r="CS41" s="537"/>
      <c r="CT41" s="433"/>
      <c r="CU41" s="537" t="n">
        <f aca="false">+CR41-CS41</f>
        <v>0</v>
      </c>
      <c r="CV41" s="537" t="n">
        <f aca="false">+CR41-CT41</f>
        <v>0</v>
      </c>
      <c r="CW41" s="537"/>
      <c r="CX41" s="769" t="e">
        <f aca="false">+CR41/CW41-1</f>
        <v>#DIV/0!</v>
      </c>
      <c r="CY41" s="770"/>
      <c r="CZ41" s="771"/>
      <c r="DA41" s="537"/>
      <c r="DB41" s="537"/>
      <c r="DC41" s="537"/>
      <c r="DD41" s="537"/>
      <c r="DE41" s="438" t="e">
        <f aca="false">(CZ41-DD41)/DD41</f>
        <v>#DIV/0!</v>
      </c>
      <c r="DF41" s="438" t="e">
        <f aca="false">(DA41-DD41)/DD41</f>
        <v>#DIV/0!</v>
      </c>
      <c r="DG41" s="438" t="e">
        <f aca="false">(DB41-DD41)/DD41</f>
        <v>#DIV/0!</v>
      </c>
      <c r="DH41" s="438" t="e">
        <f aca="false">(DC41-DD41)/DD41</f>
        <v>#DIV/0!</v>
      </c>
      <c r="DI41" s="696"/>
      <c r="DJ41" s="37"/>
      <c r="DL41" s="37"/>
      <c r="DM41" s="400" t="n">
        <f aca="false">(CS41-CZ41)*10^6</f>
        <v>0</v>
      </c>
      <c r="DN41" s="400" t="n">
        <f aca="false">(CT41-DC41)*10^6</f>
        <v>0</v>
      </c>
      <c r="DO41" s="400" t="n">
        <f aca="false">(CW41-DD41)*10^6</f>
        <v>0</v>
      </c>
    </row>
    <row r="42" s="441" customFormat="true" ht="15" hidden="false" customHeight="true" outlineLevel="1" collapsed="false">
      <c r="A42" s="764"/>
      <c r="B42" s="765" t="s">
        <v>533</v>
      </c>
      <c r="C42" s="679" t="s">
        <v>534</v>
      </c>
      <c r="D42" s="537"/>
      <c r="E42" s="537"/>
      <c r="F42" s="537"/>
      <c r="G42" s="537"/>
      <c r="H42" s="438"/>
      <c r="I42" s="766"/>
      <c r="J42" s="537"/>
      <c r="K42" s="537"/>
      <c r="L42" s="537"/>
      <c r="M42" s="537"/>
      <c r="N42" s="438"/>
      <c r="O42" s="767"/>
      <c r="P42" s="537"/>
      <c r="Q42" s="537"/>
      <c r="R42" s="537"/>
      <c r="S42" s="537"/>
      <c r="T42" s="438"/>
      <c r="U42" s="766"/>
      <c r="V42" s="537"/>
      <c r="W42" s="537"/>
      <c r="X42" s="537"/>
      <c r="Y42" s="537"/>
      <c r="Z42" s="439"/>
      <c r="AA42" s="537"/>
      <c r="AB42" s="438"/>
      <c r="AC42" s="766"/>
      <c r="AD42" s="537"/>
      <c r="AE42" s="537"/>
      <c r="AF42" s="537"/>
      <c r="AG42" s="537"/>
      <c r="AH42" s="439"/>
      <c r="AI42" s="537"/>
      <c r="AJ42" s="438"/>
      <c r="AK42" s="766"/>
      <c r="AL42" s="537"/>
      <c r="AM42" s="537"/>
      <c r="AN42" s="537"/>
      <c r="AO42" s="537"/>
      <c r="AP42" s="537"/>
      <c r="AQ42" s="439"/>
      <c r="AR42" s="537"/>
      <c r="AS42" s="438"/>
      <c r="AT42" s="767"/>
      <c r="AU42" s="439"/>
      <c r="AV42" s="537"/>
      <c r="AW42" s="537"/>
      <c r="AX42" s="537"/>
      <c r="AY42" s="537"/>
      <c r="AZ42" s="537"/>
      <c r="BA42" s="438"/>
      <c r="BB42" s="766"/>
      <c r="BC42" s="439"/>
      <c r="BD42" s="537"/>
      <c r="BE42" s="537"/>
      <c r="BF42" s="537"/>
      <c r="BG42" s="537"/>
      <c r="BH42" s="537"/>
      <c r="BI42" s="438"/>
      <c r="BJ42" s="767"/>
      <c r="BK42" s="439"/>
      <c r="BL42" s="537"/>
      <c r="BM42" s="537"/>
      <c r="BN42" s="537"/>
      <c r="BO42" s="537"/>
      <c r="BP42" s="537"/>
      <c r="BQ42" s="537"/>
      <c r="BR42" s="438"/>
      <c r="BS42" s="766"/>
      <c r="BT42" s="439"/>
      <c r="BU42" s="537"/>
      <c r="BV42" s="537"/>
      <c r="BW42" s="537"/>
      <c r="BX42" s="537"/>
      <c r="BY42" s="537"/>
      <c r="BZ42" s="438"/>
      <c r="CA42" s="768"/>
      <c r="CB42" s="439"/>
      <c r="CC42" s="537"/>
      <c r="CD42" s="537"/>
      <c r="CE42" s="537"/>
      <c r="CF42" s="537"/>
      <c r="CG42" s="537"/>
      <c r="CH42" s="438"/>
      <c r="CI42" s="768"/>
      <c r="CJ42" s="439"/>
      <c r="CK42" s="537"/>
      <c r="CL42" s="537"/>
      <c r="CM42" s="537"/>
      <c r="CN42" s="537"/>
      <c r="CO42" s="537"/>
      <c r="CP42" s="438"/>
      <c r="CQ42" s="766"/>
      <c r="CR42" s="537"/>
      <c r="CS42" s="537"/>
      <c r="CT42" s="433"/>
      <c r="CU42" s="537" t="n">
        <f aca="false">+CR42-CS42</f>
        <v>0</v>
      </c>
      <c r="CV42" s="537" t="n">
        <f aca="false">+CR42-CT42</f>
        <v>0</v>
      </c>
      <c r="CW42" s="537"/>
      <c r="CX42" s="769"/>
      <c r="CY42" s="770"/>
      <c r="CZ42" s="771"/>
      <c r="DA42" s="537"/>
      <c r="DB42" s="537"/>
      <c r="DC42" s="537"/>
      <c r="DD42" s="537"/>
      <c r="DE42" s="438"/>
      <c r="DF42" s="438"/>
      <c r="DG42" s="438"/>
      <c r="DH42" s="438"/>
      <c r="DI42" s="696"/>
      <c r="DJ42" s="37"/>
      <c r="DL42" s="37"/>
      <c r="DM42" s="400" t="n">
        <f aca="false">(CS42-CZ42)*10^6</f>
        <v>0</v>
      </c>
      <c r="DN42" s="400" t="n">
        <f aca="false">(CT42-DC42)*10^6</f>
        <v>0</v>
      </c>
      <c r="DO42" s="400" t="n">
        <f aca="false">(CW42-DD42)*10^6</f>
        <v>0</v>
      </c>
    </row>
    <row r="43" s="441" customFormat="true" ht="15" hidden="false" customHeight="true" outlineLevel="1" collapsed="false">
      <c r="A43" s="764"/>
      <c r="B43" s="765" t="s">
        <v>535</v>
      </c>
      <c r="C43" s="679" t="s">
        <v>536</v>
      </c>
      <c r="D43" s="537"/>
      <c r="E43" s="537"/>
      <c r="F43" s="537"/>
      <c r="G43" s="537"/>
      <c r="H43" s="438"/>
      <c r="I43" s="766"/>
      <c r="J43" s="537"/>
      <c r="K43" s="537"/>
      <c r="L43" s="537"/>
      <c r="M43" s="537"/>
      <c r="N43" s="438"/>
      <c r="O43" s="767"/>
      <c r="P43" s="537"/>
      <c r="Q43" s="537"/>
      <c r="R43" s="537"/>
      <c r="S43" s="537"/>
      <c r="T43" s="438"/>
      <c r="U43" s="766"/>
      <c r="V43" s="537"/>
      <c r="W43" s="537"/>
      <c r="X43" s="537"/>
      <c r="Y43" s="537"/>
      <c r="Z43" s="439"/>
      <c r="AA43" s="537"/>
      <c r="AB43" s="438"/>
      <c r="AC43" s="766"/>
      <c r="AD43" s="537"/>
      <c r="AE43" s="537"/>
      <c r="AF43" s="537"/>
      <c r="AG43" s="537"/>
      <c r="AH43" s="439"/>
      <c r="AI43" s="537"/>
      <c r="AJ43" s="438"/>
      <c r="AK43" s="766"/>
      <c r="AL43" s="537"/>
      <c r="AM43" s="537"/>
      <c r="AN43" s="537"/>
      <c r="AO43" s="537"/>
      <c r="AP43" s="537"/>
      <c r="AQ43" s="439"/>
      <c r="AR43" s="537"/>
      <c r="AS43" s="438"/>
      <c r="AT43" s="767"/>
      <c r="AU43" s="439"/>
      <c r="AV43" s="537"/>
      <c r="AW43" s="537"/>
      <c r="AX43" s="537"/>
      <c r="AY43" s="537"/>
      <c r="AZ43" s="537"/>
      <c r="BA43" s="438"/>
      <c r="BB43" s="766"/>
      <c r="BC43" s="439"/>
      <c r="BD43" s="537"/>
      <c r="BE43" s="537"/>
      <c r="BF43" s="537"/>
      <c r="BG43" s="537"/>
      <c r="BH43" s="537"/>
      <c r="BI43" s="438"/>
      <c r="BJ43" s="767"/>
      <c r="BK43" s="439"/>
      <c r="BL43" s="537"/>
      <c r="BM43" s="537"/>
      <c r="BN43" s="537"/>
      <c r="BO43" s="537"/>
      <c r="BP43" s="537"/>
      <c r="BQ43" s="537"/>
      <c r="BR43" s="438"/>
      <c r="BS43" s="766"/>
      <c r="BT43" s="439"/>
      <c r="BU43" s="537"/>
      <c r="BV43" s="537"/>
      <c r="BW43" s="537"/>
      <c r="BX43" s="537"/>
      <c r="BY43" s="537"/>
      <c r="BZ43" s="438"/>
      <c r="CA43" s="768"/>
      <c r="CB43" s="439"/>
      <c r="CC43" s="537"/>
      <c r="CD43" s="537"/>
      <c r="CE43" s="537"/>
      <c r="CF43" s="537"/>
      <c r="CG43" s="537"/>
      <c r="CH43" s="438"/>
      <c r="CI43" s="768"/>
      <c r="CJ43" s="439"/>
      <c r="CK43" s="537"/>
      <c r="CL43" s="537"/>
      <c r="CM43" s="537"/>
      <c r="CN43" s="537"/>
      <c r="CO43" s="537"/>
      <c r="CP43" s="438"/>
      <c r="CQ43" s="766"/>
      <c r="CR43" s="537"/>
      <c r="CS43" s="537"/>
      <c r="CT43" s="433"/>
      <c r="CU43" s="537" t="n">
        <f aca="false">+CR43-CS43</f>
        <v>0</v>
      </c>
      <c r="CV43" s="537" t="n">
        <f aca="false">+CR43-CT43</f>
        <v>0</v>
      </c>
      <c r="CW43" s="537"/>
      <c r="CX43" s="769"/>
      <c r="CY43" s="770"/>
      <c r="CZ43" s="771"/>
      <c r="DA43" s="537"/>
      <c r="DB43" s="537"/>
      <c r="DC43" s="537"/>
      <c r="DD43" s="537"/>
      <c r="DE43" s="438"/>
      <c r="DF43" s="438"/>
      <c r="DG43" s="438"/>
      <c r="DH43" s="438"/>
      <c r="DI43" s="696"/>
      <c r="DJ43" s="37"/>
      <c r="DL43" s="37"/>
      <c r="DM43" s="400" t="n">
        <f aca="false">(CS43-CZ43)*10^6</f>
        <v>0</v>
      </c>
      <c r="DN43" s="400" t="n">
        <f aca="false">(CT43-DC43)*10^6</f>
        <v>0</v>
      </c>
      <c r="DO43" s="400" t="n">
        <f aca="false">(CW43-DD43)*10^6</f>
        <v>0</v>
      </c>
    </row>
    <row r="44" s="441" customFormat="true" ht="15" hidden="false" customHeight="true" outlineLevel="1" collapsed="false">
      <c r="A44" s="764"/>
      <c r="B44" s="765" t="s">
        <v>537</v>
      </c>
      <c r="C44" s="679" t="s">
        <v>538</v>
      </c>
      <c r="D44" s="537"/>
      <c r="E44" s="537"/>
      <c r="F44" s="537"/>
      <c r="G44" s="537"/>
      <c r="H44" s="438"/>
      <c r="I44" s="766"/>
      <c r="J44" s="537"/>
      <c r="K44" s="537"/>
      <c r="L44" s="537"/>
      <c r="M44" s="537"/>
      <c r="N44" s="438"/>
      <c r="O44" s="767"/>
      <c r="P44" s="537"/>
      <c r="Q44" s="537"/>
      <c r="R44" s="537"/>
      <c r="S44" s="537"/>
      <c r="T44" s="438"/>
      <c r="U44" s="766"/>
      <c r="V44" s="537"/>
      <c r="W44" s="537"/>
      <c r="X44" s="537"/>
      <c r="Y44" s="537"/>
      <c r="Z44" s="439"/>
      <c r="AA44" s="537"/>
      <c r="AB44" s="438"/>
      <c r="AC44" s="766"/>
      <c r="AD44" s="537"/>
      <c r="AE44" s="537"/>
      <c r="AF44" s="537"/>
      <c r="AG44" s="537"/>
      <c r="AH44" s="439"/>
      <c r="AI44" s="537"/>
      <c r="AJ44" s="438"/>
      <c r="AK44" s="766"/>
      <c r="AL44" s="537"/>
      <c r="AM44" s="537"/>
      <c r="AN44" s="537"/>
      <c r="AO44" s="537"/>
      <c r="AP44" s="537"/>
      <c r="AQ44" s="439"/>
      <c r="AR44" s="537"/>
      <c r="AS44" s="438"/>
      <c r="AT44" s="767"/>
      <c r="AU44" s="439"/>
      <c r="AV44" s="537"/>
      <c r="AW44" s="537"/>
      <c r="AX44" s="537"/>
      <c r="AY44" s="537"/>
      <c r="AZ44" s="537"/>
      <c r="BA44" s="438"/>
      <c r="BB44" s="766"/>
      <c r="BC44" s="439"/>
      <c r="BD44" s="537"/>
      <c r="BE44" s="537"/>
      <c r="BF44" s="537"/>
      <c r="BG44" s="537"/>
      <c r="BH44" s="537"/>
      <c r="BI44" s="438"/>
      <c r="BJ44" s="767"/>
      <c r="BK44" s="439"/>
      <c r="BL44" s="537"/>
      <c r="BM44" s="537"/>
      <c r="BN44" s="537"/>
      <c r="BO44" s="537"/>
      <c r="BP44" s="537"/>
      <c r="BQ44" s="537"/>
      <c r="BR44" s="438"/>
      <c r="BS44" s="766"/>
      <c r="BT44" s="439"/>
      <c r="BU44" s="537"/>
      <c r="BV44" s="537"/>
      <c r="BW44" s="537"/>
      <c r="BX44" s="537"/>
      <c r="BY44" s="537"/>
      <c r="BZ44" s="438"/>
      <c r="CA44" s="768"/>
      <c r="CB44" s="439"/>
      <c r="CC44" s="537"/>
      <c r="CD44" s="537"/>
      <c r="CE44" s="537"/>
      <c r="CF44" s="537"/>
      <c r="CG44" s="537"/>
      <c r="CH44" s="438"/>
      <c r="CI44" s="768"/>
      <c r="CJ44" s="439"/>
      <c r="CK44" s="537"/>
      <c r="CL44" s="537"/>
      <c r="CM44" s="537"/>
      <c r="CN44" s="537"/>
      <c r="CO44" s="537"/>
      <c r="CP44" s="438"/>
      <c r="CQ44" s="766"/>
      <c r="CR44" s="537"/>
      <c r="CS44" s="537"/>
      <c r="CT44" s="433"/>
      <c r="CU44" s="537" t="n">
        <f aca="false">+CR44-CS44</f>
        <v>0</v>
      </c>
      <c r="CV44" s="537" t="n">
        <f aca="false">+CR44-CT44</f>
        <v>0</v>
      </c>
      <c r="CW44" s="537"/>
      <c r="CX44" s="769"/>
      <c r="CY44" s="770"/>
      <c r="CZ44" s="771"/>
      <c r="DA44" s="537"/>
      <c r="DB44" s="537"/>
      <c r="DC44" s="537"/>
      <c r="DD44" s="537"/>
      <c r="DE44" s="438"/>
      <c r="DF44" s="438"/>
      <c r="DG44" s="438"/>
      <c r="DH44" s="438"/>
      <c r="DI44" s="696"/>
      <c r="DJ44" s="37"/>
      <c r="DL44" s="37"/>
      <c r="DM44" s="400" t="n">
        <f aca="false">(CS44-CZ44)*10^6</f>
        <v>0</v>
      </c>
      <c r="DN44" s="400" t="n">
        <f aca="false">(CT44-DC44)*10^6</f>
        <v>0</v>
      </c>
      <c r="DO44" s="400" t="n">
        <f aca="false">(CW44-DD44)*10^6</f>
        <v>0</v>
      </c>
    </row>
    <row r="45" s="441" customFormat="true" ht="15" hidden="false" customHeight="true" outlineLevel="1" collapsed="false">
      <c r="A45" s="764"/>
      <c r="B45" s="765" t="s">
        <v>539</v>
      </c>
      <c r="C45" s="679" t="s">
        <v>540</v>
      </c>
      <c r="D45" s="537"/>
      <c r="E45" s="537"/>
      <c r="F45" s="537"/>
      <c r="G45" s="537"/>
      <c r="H45" s="438"/>
      <c r="I45" s="766"/>
      <c r="J45" s="773"/>
      <c r="K45" s="537"/>
      <c r="L45" s="537"/>
      <c r="M45" s="537"/>
      <c r="N45" s="438"/>
      <c r="O45" s="767"/>
      <c r="P45" s="773"/>
      <c r="Q45" s="537"/>
      <c r="R45" s="537"/>
      <c r="S45" s="537"/>
      <c r="T45" s="438"/>
      <c r="U45" s="766"/>
      <c r="V45" s="773"/>
      <c r="W45" s="537"/>
      <c r="X45" s="537"/>
      <c r="Y45" s="537"/>
      <c r="Z45" s="439"/>
      <c r="AA45" s="537"/>
      <c r="AB45" s="438"/>
      <c r="AC45" s="766"/>
      <c r="AD45" s="773"/>
      <c r="AE45" s="537"/>
      <c r="AF45" s="537"/>
      <c r="AG45" s="537"/>
      <c r="AH45" s="439"/>
      <c r="AI45" s="537"/>
      <c r="AJ45" s="438"/>
      <c r="AK45" s="766"/>
      <c r="AL45" s="773"/>
      <c r="AM45" s="537"/>
      <c r="AN45" s="537"/>
      <c r="AO45" s="537"/>
      <c r="AP45" s="537"/>
      <c r="AQ45" s="439"/>
      <c r="AR45" s="537"/>
      <c r="AS45" s="438"/>
      <c r="AT45" s="767"/>
      <c r="AU45" s="469"/>
      <c r="AV45" s="537"/>
      <c r="AW45" s="537"/>
      <c r="AX45" s="537"/>
      <c r="AY45" s="537"/>
      <c r="AZ45" s="537"/>
      <c r="BA45" s="438"/>
      <c r="BB45" s="766"/>
      <c r="BC45" s="469"/>
      <c r="BD45" s="537"/>
      <c r="BE45" s="537"/>
      <c r="BF45" s="537"/>
      <c r="BG45" s="537"/>
      <c r="BH45" s="537"/>
      <c r="BI45" s="438"/>
      <c r="BJ45" s="767"/>
      <c r="BK45" s="469"/>
      <c r="BL45" s="537"/>
      <c r="BM45" s="537"/>
      <c r="BN45" s="537"/>
      <c r="BO45" s="537"/>
      <c r="BP45" s="537"/>
      <c r="BQ45" s="537"/>
      <c r="BR45" s="438"/>
      <c r="BS45" s="766"/>
      <c r="BT45" s="469"/>
      <c r="BU45" s="537"/>
      <c r="BV45" s="537"/>
      <c r="BW45" s="537"/>
      <c r="BX45" s="537"/>
      <c r="BY45" s="537"/>
      <c r="BZ45" s="438"/>
      <c r="CA45" s="768"/>
      <c r="CB45" s="469"/>
      <c r="CC45" s="537"/>
      <c r="CD45" s="537"/>
      <c r="CE45" s="537"/>
      <c r="CF45" s="537"/>
      <c r="CG45" s="537"/>
      <c r="CH45" s="438"/>
      <c r="CI45" s="768"/>
      <c r="CJ45" s="469"/>
      <c r="CK45" s="537"/>
      <c r="CL45" s="537"/>
      <c r="CM45" s="537"/>
      <c r="CN45" s="537"/>
      <c r="CO45" s="537"/>
      <c r="CP45" s="438"/>
      <c r="CQ45" s="766"/>
      <c r="CR45" s="537"/>
      <c r="CS45" s="537"/>
      <c r="CT45" s="433"/>
      <c r="CU45" s="537" t="n">
        <f aca="false">+CR45-CS45</f>
        <v>0</v>
      </c>
      <c r="CV45" s="537" t="n">
        <f aca="false">+CR45-CT45</f>
        <v>0</v>
      </c>
      <c r="CW45" s="537"/>
      <c r="CX45" s="769" t="e">
        <f aca="false">+CR45/CW45-1</f>
        <v>#DIV/0!</v>
      </c>
      <c r="CY45" s="770"/>
      <c r="CZ45" s="771"/>
      <c r="DA45" s="537"/>
      <c r="DB45" s="537"/>
      <c r="DC45" s="537"/>
      <c r="DD45" s="537"/>
      <c r="DE45" s="438" t="e">
        <f aca="false">(CZ45-DD45)/DD45</f>
        <v>#DIV/0!</v>
      </c>
      <c r="DF45" s="438" t="e">
        <f aca="false">(DA45-DD45)/DD45</f>
        <v>#DIV/0!</v>
      </c>
      <c r="DG45" s="438" t="e">
        <f aca="false">(DB45-DD45)/DD45</f>
        <v>#DIV/0!</v>
      </c>
      <c r="DH45" s="438" t="e">
        <f aca="false">(DC45-DD45)/DD45</f>
        <v>#DIV/0!</v>
      </c>
      <c r="DI45" s="696"/>
      <c r="DJ45" s="37"/>
      <c r="DL45" s="37"/>
      <c r="DM45" s="400" t="n">
        <f aca="false">(CS45-CZ45)*10^6</f>
        <v>0</v>
      </c>
      <c r="DN45" s="400" t="n">
        <f aca="false">(CT45-DC45)*10^6</f>
        <v>0</v>
      </c>
      <c r="DO45" s="400" t="n">
        <f aca="false">(CW45-DD45)*10^6</f>
        <v>0</v>
      </c>
    </row>
    <row r="46" s="441" customFormat="true" ht="15" hidden="false" customHeight="true" outlineLevel="1" collapsed="false">
      <c r="A46" s="764"/>
      <c r="B46" s="765" t="s">
        <v>541</v>
      </c>
      <c r="C46" s="679" t="s">
        <v>542</v>
      </c>
      <c r="D46" s="537"/>
      <c r="E46" s="537"/>
      <c r="F46" s="537"/>
      <c r="G46" s="537"/>
      <c r="H46" s="438"/>
      <c r="I46" s="766"/>
      <c r="J46" s="537"/>
      <c r="K46" s="537"/>
      <c r="L46" s="537"/>
      <c r="M46" s="537"/>
      <c r="N46" s="438"/>
      <c r="O46" s="767"/>
      <c r="P46" s="537"/>
      <c r="Q46" s="537"/>
      <c r="R46" s="537"/>
      <c r="S46" s="537"/>
      <c r="T46" s="438"/>
      <c r="U46" s="766"/>
      <c r="V46" s="537"/>
      <c r="W46" s="537"/>
      <c r="X46" s="537"/>
      <c r="Y46" s="537"/>
      <c r="Z46" s="439"/>
      <c r="AA46" s="537"/>
      <c r="AB46" s="438"/>
      <c r="AC46" s="766"/>
      <c r="AD46" s="537"/>
      <c r="AE46" s="537"/>
      <c r="AF46" s="537"/>
      <c r="AG46" s="537"/>
      <c r="AH46" s="439"/>
      <c r="AI46" s="537"/>
      <c r="AJ46" s="438"/>
      <c r="AK46" s="766"/>
      <c r="AL46" s="537"/>
      <c r="AM46" s="537"/>
      <c r="AN46" s="537"/>
      <c r="AO46" s="537"/>
      <c r="AP46" s="537"/>
      <c r="AQ46" s="439"/>
      <c r="AR46" s="537"/>
      <c r="AS46" s="438"/>
      <c r="AT46" s="767"/>
      <c r="AU46" s="439"/>
      <c r="AV46" s="537"/>
      <c r="AW46" s="537"/>
      <c r="AX46" s="537"/>
      <c r="AY46" s="537"/>
      <c r="AZ46" s="537"/>
      <c r="BA46" s="438"/>
      <c r="BB46" s="766"/>
      <c r="BC46" s="439"/>
      <c r="BD46" s="537"/>
      <c r="BE46" s="537"/>
      <c r="BF46" s="537"/>
      <c r="BG46" s="537"/>
      <c r="BH46" s="537"/>
      <c r="BI46" s="438"/>
      <c r="BJ46" s="767"/>
      <c r="BK46" s="439"/>
      <c r="BL46" s="537"/>
      <c r="BM46" s="537"/>
      <c r="BN46" s="537"/>
      <c r="BO46" s="537"/>
      <c r="BP46" s="537"/>
      <c r="BQ46" s="537"/>
      <c r="BR46" s="438"/>
      <c r="BS46" s="766"/>
      <c r="BT46" s="439"/>
      <c r="BU46" s="537"/>
      <c r="BV46" s="537"/>
      <c r="BW46" s="537"/>
      <c r="BX46" s="537"/>
      <c r="BY46" s="537"/>
      <c r="BZ46" s="438"/>
      <c r="CA46" s="768"/>
      <c r="CB46" s="439"/>
      <c r="CC46" s="537"/>
      <c r="CD46" s="537"/>
      <c r="CE46" s="537"/>
      <c r="CF46" s="537"/>
      <c r="CG46" s="537"/>
      <c r="CH46" s="438"/>
      <c r="CI46" s="768"/>
      <c r="CJ46" s="439"/>
      <c r="CK46" s="537"/>
      <c r="CL46" s="537"/>
      <c r="CM46" s="537"/>
      <c r="CN46" s="537"/>
      <c r="CO46" s="537"/>
      <c r="CP46" s="438"/>
      <c r="CQ46" s="766"/>
      <c r="CR46" s="537"/>
      <c r="CS46" s="537"/>
      <c r="CT46" s="433"/>
      <c r="CU46" s="537" t="n">
        <f aca="false">+CR46-CS46</f>
        <v>0</v>
      </c>
      <c r="CV46" s="537" t="n">
        <f aca="false">+CR46-CT46</f>
        <v>0</v>
      </c>
      <c r="CW46" s="537"/>
      <c r="CX46" s="769"/>
      <c r="CY46" s="770"/>
      <c r="CZ46" s="771"/>
      <c r="DA46" s="537"/>
      <c r="DB46" s="537"/>
      <c r="DC46" s="537"/>
      <c r="DD46" s="537"/>
      <c r="DE46" s="438"/>
      <c r="DF46" s="438"/>
      <c r="DG46" s="438" t="e">
        <f aca="false">(DB46-DD46)/DD46</f>
        <v>#DIV/0!</v>
      </c>
      <c r="DH46" s="438"/>
      <c r="DI46" s="696"/>
      <c r="DJ46" s="37"/>
      <c r="DL46" s="37"/>
      <c r="DM46" s="400" t="n">
        <f aca="false">(CS46-CZ46)*10^6</f>
        <v>0</v>
      </c>
      <c r="DN46" s="400" t="n">
        <f aca="false">(CT46-DC46)*10^6</f>
        <v>0</v>
      </c>
      <c r="DO46" s="400" t="n">
        <f aca="false">(CW46-DD46)*10^6</f>
        <v>0</v>
      </c>
    </row>
    <row r="47" s="763" customFormat="true" ht="15" hidden="false" customHeight="true" outlineLevel="1" collapsed="false">
      <c r="A47" s="749"/>
      <c r="B47" s="750" t="s">
        <v>543</v>
      </c>
      <c r="C47" s="679" t="s">
        <v>544</v>
      </c>
      <c r="D47" s="752"/>
      <c r="E47" s="752"/>
      <c r="F47" s="752"/>
      <c r="G47" s="752"/>
      <c r="H47" s="785"/>
      <c r="I47" s="754"/>
      <c r="J47" s="752"/>
      <c r="K47" s="752"/>
      <c r="L47" s="752"/>
      <c r="M47" s="752"/>
      <c r="N47" s="785"/>
      <c r="O47" s="755"/>
      <c r="P47" s="752"/>
      <c r="Q47" s="752"/>
      <c r="R47" s="752"/>
      <c r="S47" s="752"/>
      <c r="T47" s="785"/>
      <c r="U47" s="754"/>
      <c r="V47" s="752"/>
      <c r="W47" s="752"/>
      <c r="X47" s="752"/>
      <c r="Y47" s="752"/>
      <c r="Z47" s="751"/>
      <c r="AA47" s="752"/>
      <c r="AB47" s="753"/>
      <c r="AC47" s="754"/>
      <c r="AD47" s="752"/>
      <c r="AE47" s="752"/>
      <c r="AF47" s="752"/>
      <c r="AG47" s="752"/>
      <c r="AH47" s="751"/>
      <c r="AI47" s="752"/>
      <c r="AJ47" s="753"/>
      <c r="AK47" s="754"/>
      <c r="AL47" s="752"/>
      <c r="AM47" s="752"/>
      <c r="AN47" s="752"/>
      <c r="AO47" s="752"/>
      <c r="AP47" s="752"/>
      <c r="AQ47" s="751"/>
      <c r="AR47" s="752"/>
      <c r="AS47" s="785"/>
      <c r="AT47" s="755"/>
      <c r="AU47" s="751"/>
      <c r="AV47" s="752"/>
      <c r="AW47" s="752"/>
      <c r="AX47" s="752"/>
      <c r="AY47" s="752"/>
      <c r="AZ47" s="752"/>
      <c r="BA47" s="753"/>
      <c r="BB47" s="754"/>
      <c r="BC47" s="751"/>
      <c r="BD47" s="752"/>
      <c r="BE47" s="752"/>
      <c r="BF47" s="752"/>
      <c r="BG47" s="752"/>
      <c r="BH47" s="752"/>
      <c r="BI47" s="753"/>
      <c r="BJ47" s="755"/>
      <c r="BK47" s="751"/>
      <c r="BL47" s="752"/>
      <c r="BM47" s="752"/>
      <c r="BN47" s="752"/>
      <c r="BO47" s="752"/>
      <c r="BP47" s="752"/>
      <c r="BQ47" s="752"/>
      <c r="BR47" s="753"/>
      <c r="BS47" s="754"/>
      <c r="BT47" s="751"/>
      <c r="BU47" s="752"/>
      <c r="BV47" s="752"/>
      <c r="BW47" s="752"/>
      <c r="BX47" s="752"/>
      <c r="BY47" s="752"/>
      <c r="BZ47" s="753"/>
      <c r="CA47" s="757"/>
      <c r="CB47" s="751"/>
      <c r="CC47" s="752"/>
      <c r="CD47" s="752"/>
      <c r="CE47" s="752"/>
      <c r="CF47" s="752"/>
      <c r="CG47" s="752"/>
      <c r="CH47" s="753"/>
      <c r="CI47" s="757"/>
      <c r="CJ47" s="751"/>
      <c r="CK47" s="752"/>
      <c r="CL47" s="752"/>
      <c r="CM47" s="752"/>
      <c r="CN47" s="752"/>
      <c r="CO47" s="752"/>
      <c r="CP47" s="753"/>
      <c r="CQ47" s="754"/>
      <c r="CR47" s="752"/>
      <c r="CS47" s="752"/>
      <c r="CT47" s="758"/>
      <c r="CU47" s="752" t="n">
        <f aca="false">+CR47-CS47</f>
        <v>0</v>
      </c>
      <c r="CV47" s="752" t="n">
        <f aca="false">+CR47-CT47</f>
        <v>0</v>
      </c>
      <c r="CW47" s="752"/>
      <c r="CX47" s="759" t="e">
        <f aca="false">+CR47/CW47-1</f>
        <v>#DIV/0!</v>
      </c>
      <c r="CY47" s="760"/>
      <c r="CZ47" s="761"/>
      <c r="DA47" s="752"/>
      <c r="DB47" s="752"/>
      <c r="DC47" s="752"/>
      <c r="DD47" s="752"/>
      <c r="DE47" s="753" t="e">
        <f aca="false">(CZ47-DD47)/DD47</f>
        <v>#DIV/0!</v>
      </c>
      <c r="DF47" s="753" t="e">
        <f aca="false">(DA47-DD47)/DD47</f>
        <v>#DIV/0!</v>
      </c>
      <c r="DG47" s="753" t="e">
        <f aca="false">(DB47-DD47)/DD47</f>
        <v>#DIV/0!</v>
      </c>
      <c r="DH47" s="753" t="e">
        <f aca="false">(DC47-DD47)/DD47</f>
        <v>#DIV/0!</v>
      </c>
      <c r="DI47" s="696"/>
      <c r="DJ47" s="37"/>
      <c r="DL47" s="37"/>
      <c r="DM47" s="400" t="n">
        <f aca="false">(CS47-CZ47)*10^6</f>
        <v>0</v>
      </c>
      <c r="DN47" s="400" t="n">
        <f aca="false">(CT47-DC47)*10^6</f>
        <v>0</v>
      </c>
      <c r="DO47" s="400" t="n">
        <f aca="false">(CW47-DD47)*10^6</f>
        <v>0</v>
      </c>
    </row>
    <row r="48" s="793" customFormat="true" ht="9" hidden="false" customHeight="true" outlineLevel="1" collapsed="false">
      <c r="A48" s="786"/>
      <c r="B48" s="787"/>
      <c r="C48" s="679" t="s">
        <v>545</v>
      </c>
      <c r="D48" s="758"/>
      <c r="E48" s="758"/>
      <c r="F48" s="758"/>
      <c r="G48" s="758"/>
      <c r="H48" s="788"/>
      <c r="I48" s="789"/>
      <c r="J48" s="758"/>
      <c r="K48" s="758"/>
      <c r="L48" s="758"/>
      <c r="M48" s="758"/>
      <c r="N48" s="788"/>
      <c r="O48" s="733"/>
      <c r="P48" s="758"/>
      <c r="Q48" s="758"/>
      <c r="R48" s="758"/>
      <c r="S48" s="758"/>
      <c r="T48" s="788"/>
      <c r="U48" s="789"/>
      <c r="V48" s="758"/>
      <c r="W48" s="758"/>
      <c r="X48" s="758"/>
      <c r="Y48" s="758"/>
      <c r="Z48" s="790"/>
      <c r="AA48" s="758"/>
      <c r="AB48" s="788"/>
      <c r="AC48" s="789"/>
      <c r="AD48" s="758"/>
      <c r="AE48" s="758"/>
      <c r="AF48" s="758"/>
      <c r="AG48" s="758"/>
      <c r="AH48" s="790"/>
      <c r="AI48" s="758"/>
      <c r="AJ48" s="788"/>
      <c r="AK48" s="789"/>
      <c r="AL48" s="758"/>
      <c r="AM48" s="758"/>
      <c r="AN48" s="758"/>
      <c r="AO48" s="758"/>
      <c r="AP48" s="758"/>
      <c r="AQ48" s="790"/>
      <c r="AR48" s="758"/>
      <c r="AS48" s="788"/>
      <c r="AT48" s="733"/>
      <c r="AU48" s="790"/>
      <c r="AV48" s="758"/>
      <c r="AW48" s="758"/>
      <c r="AX48" s="758"/>
      <c r="AY48" s="758"/>
      <c r="AZ48" s="758"/>
      <c r="BA48" s="788"/>
      <c r="BB48" s="789"/>
      <c r="BC48" s="790"/>
      <c r="BD48" s="758"/>
      <c r="BE48" s="758"/>
      <c r="BF48" s="758"/>
      <c r="BG48" s="758"/>
      <c r="BH48" s="758"/>
      <c r="BI48" s="788"/>
      <c r="BJ48" s="733"/>
      <c r="BK48" s="790"/>
      <c r="BL48" s="758"/>
      <c r="BM48" s="758"/>
      <c r="BN48" s="758"/>
      <c r="BO48" s="758"/>
      <c r="BP48" s="758"/>
      <c r="BQ48" s="758"/>
      <c r="BR48" s="788"/>
      <c r="BS48" s="789"/>
      <c r="BT48" s="790"/>
      <c r="BU48" s="758"/>
      <c r="BV48" s="758"/>
      <c r="BW48" s="758"/>
      <c r="BX48" s="758"/>
      <c r="BY48" s="758"/>
      <c r="BZ48" s="788"/>
      <c r="CA48" s="732"/>
      <c r="CB48" s="790"/>
      <c r="CC48" s="758"/>
      <c r="CD48" s="758"/>
      <c r="CE48" s="758"/>
      <c r="CF48" s="758"/>
      <c r="CG48" s="758"/>
      <c r="CH48" s="788"/>
      <c r="CI48" s="732"/>
      <c r="CJ48" s="790"/>
      <c r="CK48" s="758"/>
      <c r="CL48" s="758"/>
      <c r="CM48" s="758"/>
      <c r="CN48" s="758"/>
      <c r="CO48" s="758"/>
      <c r="CP48" s="788"/>
      <c r="CQ48" s="789"/>
      <c r="CR48" s="433"/>
      <c r="CS48" s="433"/>
      <c r="CT48" s="433"/>
      <c r="CU48" s="433" t="n">
        <f aca="false">+CR48-CS48</f>
        <v>0</v>
      </c>
      <c r="CV48" s="433" t="n">
        <f aca="false">+CR48-CT48</f>
        <v>0</v>
      </c>
      <c r="CW48" s="433"/>
      <c r="CX48" s="791"/>
      <c r="CY48" s="105"/>
      <c r="CZ48" s="792"/>
      <c r="DA48" s="758"/>
      <c r="DB48" s="758"/>
      <c r="DC48" s="758"/>
      <c r="DD48" s="758"/>
      <c r="DE48" s="788"/>
      <c r="DF48" s="788"/>
      <c r="DG48" s="788"/>
      <c r="DH48" s="788"/>
      <c r="DI48" s="696"/>
      <c r="DJ48" s="37"/>
      <c r="DL48" s="37"/>
      <c r="DM48" s="400" t="n">
        <f aca="false">(CS48-CZ48)*10^6</f>
        <v>0</v>
      </c>
      <c r="DN48" s="400" t="n">
        <f aca="false">(CT48-DC48)*10^6</f>
        <v>0</v>
      </c>
      <c r="DO48" s="400" t="n">
        <f aca="false">(CW48-DD48)*10^6</f>
        <v>0</v>
      </c>
    </row>
    <row r="49" s="800" customFormat="true" ht="12.75" hidden="false" customHeight="true" outlineLevel="1" collapsed="false">
      <c r="A49" s="794"/>
      <c r="B49" s="795" t="s">
        <v>546</v>
      </c>
      <c r="C49" s="679" t="s">
        <v>547</v>
      </c>
      <c r="D49" s="758"/>
      <c r="E49" s="758"/>
      <c r="F49" s="460"/>
      <c r="G49" s="758"/>
      <c r="H49" s="462"/>
      <c r="I49" s="796"/>
      <c r="J49" s="758"/>
      <c r="K49" s="758"/>
      <c r="L49" s="460"/>
      <c r="M49" s="758"/>
      <c r="N49" s="462"/>
      <c r="O49" s="797"/>
      <c r="P49" s="758"/>
      <c r="Q49" s="758"/>
      <c r="R49" s="460"/>
      <c r="S49" s="758"/>
      <c r="T49" s="462"/>
      <c r="U49" s="796"/>
      <c r="V49" s="758"/>
      <c r="W49" s="758"/>
      <c r="X49" s="758"/>
      <c r="Y49" s="460"/>
      <c r="Z49" s="461"/>
      <c r="AA49" s="758"/>
      <c r="AB49" s="462"/>
      <c r="AC49" s="796"/>
      <c r="AD49" s="758"/>
      <c r="AE49" s="758"/>
      <c r="AF49" s="758"/>
      <c r="AG49" s="460"/>
      <c r="AH49" s="461"/>
      <c r="AI49" s="758"/>
      <c r="AJ49" s="462"/>
      <c r="AK49" s="796"/>
      <c r="AL49" s="758"/>
      <c r="AM49" s="758"/>
      <c r="AN49" s="758"/>
      <c r="AO49" s="758"/>
      <c r="AP49" s="460"/>
      <c r="AQ49" s="461"/>
      <c r="AR49" s="758"/>
      <c r="AS49" s="462"/>
      <c r="AT49" s="797"/>
      <c r="AU49" s="790"/>
      <c r="AV49" s="758"/>
      <c r="AW49" s="758"/>
      <c r="AX49" s="460"/>
      <c r="AY49" s="460"/>
      <c r="AZ49" s="758"/>
      <c r="BA49" s="462"/>
      <c r="BB49" s="796"/>
      <c r="BC49" s="790"/>
      <c r="BD49" s="758"/>
      <c r="BE49" s="758"/>
      <c r="BF49" s="460"/>
      <c r="BG49" s="460"/>
      <c r="BH49" s="758"/>
      <c r="BI49" s="462"/>
      <c r="BJ49" s="797"/>
      <c r="BK49" s="790"/>
      <c r="BL49" s="758"/>
      <c r="BM49" s="758"/>
      <c r="BN49" s="758"/>
      <c r="BO49" s="460"/>
      <c r="BP49" s="460"/>
      <c r="BQ49" s="758"/>
      <c r="BR49" s="462"/>
      <c r="BS49" s="796"/>
      <c r="BT49" s="790"/>
      <c r="BU49" s="758"/>
      <c r="BV49" s="758"/>
      <c r="BW49" s="460"/>
      <c r="BX49" s="460"/>
      <c r="BY49" s="758"/>
      <c r="BZ49" s="462"/>
      <c r="CA49" s="798"/>
      <c r="CB49" s="790"/>
      <c r="CC49" s="758"/>
      <c r="CD49" s="758"/>
      <c r="CE49" s="460"/>
      <c r="CF49" s="460"/>
      <c r="CG49" s="758"/>
      <c r="CH49" s="462"/>
      <c r="CI49" s="798"/>
      <c r="CJ49" s="790"/>
      <c r="CK49" s="758"/>
      <c r="CL49" s="758"/>
      <c r="CM49" s="460"/>
      <c r="CN49" s="460"/>
      <c r="CO49" s="758"/>
      <c r="CP49" s="462"/>
      <c r="CQ49" s="796"/>
      <c r="CR49" s="460"/>
      <c r="CS49" s="460"/>
      <c r="CT49" s="460"/>
      <c r="CU49" s="460" t="n">
        <f aca="false">+CR49-CS49</f>
        <v>0</v>
      </c>
      <c r="CV49" s="460" t="n">
        <f aca="false">+CR49-CT49</f>
        <v>0</v>
      </c>
      <c r="CW49" s="460"/>
      <c r="CX49" s="799"/>
      <c r="CY49" s="258"/>
      <c r="CZ49" s="792"/>
      <c r="DA49" s="758"/>
      <c r="DB49" s="758"/>
      <c r="DC49" s="758"/>
      <c r="DD49" s="758"/>
      <c r="DE49" s="462"/>
      <c r="DF49" s="462"/>
      <c r="DG49" s="462"/>
      <c r="DH49" s="462"/>
      <c r="DI49" s="696"/>
      <c r="DJ49" s="256"/>
      <c r="DK49" s="14"/>
      <c r="DL49" s="256"/>
      <c r="DM49" s="400" t="n">
        <f aca="false">(CS49-CZ49)*10^6</f>
        <v>0</v>
      </c>
      <c r="DN49" s="400" t="n">
        <f aca="false">(CT49-DC49)*10^6</f>
        <v>0</v>
      </c>
      <c r="DO49" s="400" t="n">
        <f aca="false">(CW49-DD49)*10^6</f>
        <v>0</v>
      </c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</row>
    <row r="50" s="800" customFormat="true" ht="12.75" hidden="false" customHeight="true" outlineLevel="1" collapsed="false">
      <c r="A50" s="794"/>
      <c r="B50" s="795" t="s">
        <v>548</v>
      </c>
      <c r="C50" s="679" t="s">
        <v>549</v>
      </c>
      <c r="D50" s="758"/>
      <c r="E50" s="758"/>
      <c r="F50" s="460"/>
      <c r="G50" s="758"/>
      <c r="H50" s="462"/>
      <c r="I50" s="796"/>
      <c r="J50" s="758"/>
      <c r="K50" s="758"/>
      <c r="L50" s="460"/>
      <c r="M50" s="758"/>
      <c r="N50" s="462"/>
      <c r="O50" s="797"/>
      <c r="P50" s="758"/>
      <c r="Q50" s="758"/>
      <c r="R50" s="460"/>
      <c r="S50" s="758"/>
      <c r="T50" s="462"/>
      <c r="U50" s="796"/>
      <c r="V50" s="758"/>
      <c r="W50" s="758"/>
      <c r="X50" s="758"/>
      <c r="Y50" s="460"/>
      <c r="Z50" s="461"/>
      <c r="AA50" s="758"/>
      <c r="AB50" s="462"/>
      <c r="AC50" s="796"/>
      <c r="AD50" s="758"/>
      <c r="AE50" s="758"/>
      <c r="AF50" s="758"/>
      <c r="AG50" s="460"/>
      <c r="AH50" s="461"/>
      <c r="AI50" s="758"/>
      <c r="AJ50" s="462"/>
      <c r="AK50" s="796"/>
      <c r="AL50" s="758"/>
      <c r="AM50" s="758"/>
      <c r="AN50" s="758"/>
      <c r="AO50" s="758"/>
      <c r="AP50" s="460"/>
      <c r="AQ50" s="461"/>
      <c r="AR50" s="758"/>
      <c r="AS50" s="462"/>
      <c r="AT50" s="797"/>
      <c r="AU50" s="790"/>
      <c r="AV50" s="758"/>
      <c r="AW50" s="758"/>
      <c r="AX50" s="460"/>
      <c r="AY50" s="460"/>
      <c r="AZ50" s="758"/>
      <c r="BA50" s="462"/>
      <c r="BB50" s="796"/>
      <c r="BC50" s="790"/>
      <c r="BD50" s="758"/>
      <c r="BE50" s="758"/>
      <c r="BF50" s="460"/>
      <c r="BG50" s="460"/>
      <c r="BH50" s="758"/>
      <c r="BI50" s="462"/>
      <c r="BJ50" s="797"/>
      <c r="BK50" s="790"/>
      <c r="BL50" s="758"/>
      <c r="BM50" s="758"/>
      <c r="BN50" s="758"/>
      <c r="BO50" s="460"/>
      <c r="BP50" s="460"/>
      <c r="BQ50" s="758"/>
      <c r="BR50" s="462"/>
      <c r="BS50" s="796"/>
      <c r="BT50" s="790"/>
      <c r="BU50" s="758"/>
      <c r="BV50" s="758"/>
      <c r="BW50" s="460"/>
      <c r="BX50" s="460"/>
      <c r="BY50" s="758"/>
      <c r="BZ50" s="462"/>
      <c r="CA50" s="798"/>
      <c r="CB50" s="790"/>
      <c r="CC50" s="758"/>
      <c r="CD50" s="758"/>
      <c r="CE50" s="460"/>
      <c r="CF50" s="460"/>
      <c r="CG50" s="758"/>
      <c r="CH50" s="462"/>
      <c r="CI50" s="798"/>
      <c r="CJ50" s="790"/>
      <c r="CK50" s="758"/>
      <c r="CL50" s="758"/>
      <c r="CM50" s="460"/>
      <c r="CN50" s="460"/>
      <c r="CO50" s="758"/>
      <c r="CP50" s="462"/>
      <c r="CQ50" s="796"/>
      <c r="CR50" s="460"/>
      <c r="CS50" s="460"/>
      <c r="CT50" s="460"/>
      <c r="CU50" s="460" t="n">
        <f aca="false">+CR50-CS50</f>
        <v>0</v>
      </c>
      <c r="CV50" s="460" t="n">
        <f aca="false">+CR50-CT50</f>
        <v>0</v>
      </c>
      <c r="CW50" s="460"/>
      <c r="CX50" s="799"/>
      <c r="CY50" s="258"/>
      <c r="CZ50" s="792"/>
      <c r="DA50" s="758"/>
      <c r="DB50" s="758"/>
      <c r="DC50" s="758"/>
      <c r="DD50" s="758"/>
      <c r="DE50" s="462"/>
      <c r="DF50" s="462"/>
      <c r="DG50" s="462"/>
      <c r="DH50" s="462"/>
      <c r="DI50" s="696"/>
      <c r="DJ50" s="256"/>
      <c r="DK50" s="14"/>
      <c r="DL50" s="256"/>
      <c r="DM50" s="400" t="n">
        <f aca="false">(CS50-CZ50)*10^6</f>
        <v>0</v>
      </c>
      <c r="DN50" s="400" t="n">
        <f aca="false">(CT50-DC50)*10^6</f>
        <v>0</v>
      </c>
      <c r="DO50" s="400" t="n">
        <f aca="false">(CW50-DD50)*10^6</f>
        <v>0</v>
      </c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</row>
    <row r="51" s="800" customFormat="true" ht="12.75" hidden="false" customHeight="true" outlineLevel="1" collapsed="false">
      <c r="A51" s="794"/>
      <c r="B51" s="795" t="s">
        <v>550</v>
      </c>
      <c r="C51" s="679" t="s">
        <v>551</v>
      </c>
      <c r="D51" s="460"/>
      <c r="E51" s="460"/>
      <c r="F51" s="460"/>
      <c r="G51" s="460"/>
      <c r="H51" s="462"/>
      <c r="I51" s="796"/>
      <c r="J51" s="460"/>
      <c r="K51" s="460"/>
      <c r="L51" s="460"/>
      <c r="M51" s="460"/>
      <c r="N51" s="462"/>
      <c r="O51" s="797"/>
      <c r="P51" s="460"/>
      <c r="Q51" s="460"/>
      <c r="R51" s="460"/>
      <c r="S51" s="460"/>
      <c r="T51" s="462"/>
      <c r="U51" s="796"/>
      <c r="V51" s="460"/>
      <c r="W51" s="460"/>
      <c r="X51" s="460"/>
      <c r="Y51" s="460"/>
      <c r="Z51" s="461"/>
      <c r="AA51" s="460"/>
      <c r="AB51" s="462"/>
      <c r="AC51" s="796"/>
      <c r="AD51" s="460"/>
      <c r="AE51" s="460"/>
      <c r="AF51" s="460"/>
      <c r="AG51" s="460"/>
      <c r="AH51" s="461"/>
      <c r="AI51" s="460"/>
      <c r="AJ51" s="462"/>
      <c r="AK51" s="796"/>
      <c r="AL51" s="460"/>
      <c r="AM51" s="460"/>
      <c r="AN51" s="460"/>
      <c r="AO51" s="460"/>
      <c r="AP51" s="460"/>
      <c r="AQ51" s="461"/>
      <c r="AR51" s="460"/>
      <c r="AS51" s="462"/>
      <c r="AT51" s="797"/>
      <c r="AU51" s="461"/>
      <c r="AV51" s="460"/>
      <c r="AW51" s="460"/>
      <c r="AX51" s="460"/>
      <c r="AY51" s="460"/>
      <c r="AZ51" s="460"/>
      <c r="BA51" s="462"/>
      <c r="BB51" s="796"/>
      <c r="BC51" s="461"/>
      <c r="BD51" s="460"/>
      <c r="BE51" s="460"/>
      <c r="BF51" s="460"/>
      <c r="BG51" s="460"/>
      <c r="BH51" s="460"/>
      <c r="BI51" s="462"/>
      <c r="BJ51" s="797"/>
      <c r="BK51" s="461"/>
      <c r="BL51" s="460"/>
      <c r="BM51" s="460"/>
      <c r="BN51" s="460"/>
      <c r="BO51" s="460"/>
      <c r="BP51" s="460"/>
      <c r="BQ51" s="460"/>
      <c r="BR51" s="462"/>
      <c r="BS51" s="796"/>
      <c r="BT51" s="461"/>
      <c r="BU51" s="460"/>
      <c r="BV51" s="460"/>
      <c r="BW51" s="460"/>
      <c r="BX51" s="460"/>
      <c r="BY51" s="460"/>
      <c r="BZ51" s="462"/>
      <c r="CA51" s="798"/>
      <c r="CB51" s="461"/>
      <c r="CC51" s="460"/>
      <c r="CD51" s="460"/>
      <c r="CE51" s="460"/>
      <c r="CF51" s="460"/>
      <c r="CG51" s="460"/>
      <c r="CH51" s="462"/>
      <c r="CI51" s="798"/>
      <c r="CJ51" s="461"/>
      <c r="CK51" s="460"/>
      <c r="CL51" s="460"/>
      <c r="CM51" s="460"/>
      <c r="CN51" s="460"/>
      <c r="CO51" s="460"/>
      <c r="CP51" s="462"/>
      <c r="CQ51" s="796"/>
      <c r="CR51" s="460"/>
      <c r="CS51" s="460"/>
      <c r="CT51" s="460"/>
      <c r="CU51" s="460" t="n">
        <f aca="false">+CR51-CS51</f>
        <v>0</v>
      </c>
      <c r="CV51" s="460" t="n">
        <f aca="false">+CR51-CT51</f>
        <v>0</v>
      </c>
      <c r="CW51" s="460"/>
      <c r="CX51" s="799"/>
      <c r="CY51" s="258"/>
      <c r="CZ51" s="801"/>
      <c r="DA51" s="460"/>
      <c r="DB51" s="460"/>
      <c r="DC51" s="460"/>
      <c r="DD51" s="460"/>
      <c r="DE51" s="462"/>
      <c r="DF51" s="462"/>
      <c r="DG51" s="462"/>
      <c r="DH51" s="462"/>
      <c r="DI51" s="696"/>
      <c r="DJ51" s="256"/>
      <c r="DK51" s="14"/>
      <c r="DL51" s="256"/>
      <c r="DM51" s="400" t="n">
        <f aca="false">(CS51-CZ51)*10^6</f>
        <v>0</v>
      </c>
      <c r="DN51" s="400" t="n">
        <f aca="false">(CT51-DC51)*10^6</f>
        <v>0</v>
      </c>
      <c r="DO51" s="400" t="n">
        <f aca="false">(CW51-DD51)*10^6</f>
        <v>0</v>
      </c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</row>
    <row r="52" s="800" customFormat="true" ht="12.75" hidden="false" customHeight="true" outlineLevel="1" collapsed="false">
      <c r="A52" s="794"/>
      <c r="B52" s="795" t="s">
        <v>552</v>
      </c>
      <c r="C52" s="679" t="s">
        <v>553</v>
      </c>
      <c r="D52" s="460"/>
      <c r="E52" s="460"/>
      <c r="F52" s="460"/>
      <c r="G52" s="460"/>
      <c r="H52" s="462"/>
      <c r="I52" s="796"/>
      <c r="J52" s="460"/>
      <c r="K52" s="460"/>
      <c r="L52" s="460"/>
      <c r="M52" s="460"/>
      <c r="N52" s="462"/>
      <c r="O52" s="797"/>
      <c r="P52" s="460"/>
      <c r="Q52" s="460"/>
      <c r="R52" s="460"/>
      <c r="S52" s="460"/>
      <c r="T52" s="462"/>
      <c r="U52" s="796"/>
      <c r="V52" s="460"/>
      <c r="W52" s="460"/>
      <c r="X52" s="460"/>
      <c r="Y52" s="460"/>
      <c r="Z52" s="461"/>
      <c r="AA52" s="460"/>
      <c r="AB52" s="462"/>
      <c r="AC52" s="796"/>
      <c r="AD52" s="460"/>
      <c r="AE52" s="460"/>
      <c r="AF52" s="460"/>
      <c r="AG52" s="460"/>
      <c r="AH52" s="461"/>
      <c r="AI52" s="460"/>
      <c r="AJ52" s="462"/>
      <c r="AK52" s="796"/>
      <c r="AL52" s="460"/>
      <c r="AM52" s="460"/>
      <c r="AN52" s="460"/>
      <c r="AO52" s="460"/>
      <c r="AP52" s="460"/>
      <c r="AQ52" s="461"/>
      <c r="AR52" s="460"/>
      <c r="AS52" s="462"/>
      <c r="AT52" s="797"/>
      <c r="AU52" s="461"/>
      <c r="AV52" s="460"/>
      <c r="AW52" s="460"/>
      <c r="AX52" s="460"/>
      <c r="AY52" s="460"/>
      <c r="AZ52" s="460"/>
      <c r="BA52" s="462"/>
      <c r="BB52" s="796"/>
      <c r="BC52" s="461"/>
      <c r="BD52" s="460"/>
      <c r="BE52" s="460"/>
      <c r="BF52" s="460"/>
      <c r="BG52" s="460"/>
      <c r="BH52" s="460"/>
      <c r="BI52" s="462"/>
      <c r="BJ52" s="797"/>
      <c r="BK52" s="461"/>
      <c r="BL52" s="460"/>
      <c r="BM52" s="460"/>
      <c r="BN52" s="460"/>
      <c r="BO52" s="460"/>
      <c r="BP52" s="460"/>
      <c r="BQ52" s="460"/>
      <c r="BR52" s="462"/>
      <c r="BS52" s="796"/>
      <c r="BT52" s="461"/>
      <c r="BU52" s="460"/>
      <c r="BV52" s="460"/>
      <c r="BW52" s="460"/>
      <c r="BX52" s="460"/>
      <c r="BY52" s="460"/>
      <c r="BZ52" s="462"/>
      <c r="CA52" s="798"/>
      <c r="CB52" s="461"/>
      <c r="CC52" s="460"/>
      <c r="CD52" s="460"/>
      <c r="CE52" s="460"/>
      <c r="CF52" s="460"/>
      <c r="CG52" s="460"/>
      <c r="CH52" s="462"/>
      <c r="CI52" s="798"/>
      <c r="CJ52" s="461"/>
      <c r="CK52" s="460"/>
      <c r="CL52" s="460"/>
      <c r="CM52" s="460"/>
      <c r="CN52" s="460"/>
      <c r="CO52" s="460"/>
      <c r="CP52" s="462"/>
      <c r="CQ52" s="796"/>
      <c r="CR52" s="460"/>
      <c r="CS52" s="460"/>
      <c r="CT52" s="460"/>
      <c r="CU52" s="460" t="n">
        <f aca="false">+CR52-CS52</f>
        <v>0</v>
      </c>
      <c r="CV52" s="460" t="n">
        <f aca="false">+CR52-CT52</f>
        <v>0</v>
      </c>
      <c r="CW52" s="460"/>
      <c r="CX52" s="799" t="e">
        <f aca="false">+CR52/CW52-1</f>
        <v>#DIV/0!</v>
      </c>
      <c r="CY52" s="258"/>
      <c r="CZ52" s="801"/>
      <c r="DA52" s="460"/>
      <c r="DB52" s="460"/>
      <c r="DC52" s="460"/>
      <c r="DD52" s="460"/>
      <c r="DE52" s="462" t="e">
        <f aca="false">(CZ52-DD52)/DD52</f>
        <v>#DIV/0!</v>
      </c>
      <c r="DF52" s="462" t="e">
        <f aca="false">(DA52-DD52)/DD52</f>
        <v>#DIV/0!</v>
      </c>
      <c r="DG52" s="462" t="e">
        <f aca="false">(DB52-DD52)/DD52</f>
        <v>#DIV/0!</v>
      </c>
      <c r="DH52" s="462" t="e">
        <f aca="false">(DC52-DD52)/DD52</f>
        <v>#DIV/0!</v>
      </c>
      <c r="DI52" s="696"/>
      <c r="DJ52" s="256"/>
      <c r="DK52" s="14"/>
      <c r="DL52" s="256"/>
      <c r="DM52" s="400" t="n">
        <f aca="false">(CS52-CZ52)*10^6</f>
        <v>0</v>
      </c>
      <c r="DN52" s="400" t="n">
        <f aca="false">(CT52-DC52)*10^6</f>
        <v>0</v>
      </c>
      <c r="DO52" s="400" t="n">
        <f aca="false">(CW52-DD52)*10^6</f>
        <v>0</v>
      </c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</row>
    <row r="53" s="156" customFormat="true" ht="15" hidden="false" customHeight="true" outlineLevel="0" collapsed="false">
      <c r="A53" s="729"/>
      <c r="B53" s="730" t="s">
        <v>554</v>
      </c>
      <c r="C53" s="679" t="s">
        <v>555</v>
      </c>
      <c r="D53" s="130"/>
      <c r="E53" s="130"/>
      <c r="F53" s="130"/>
      <c r="G53" s="130"/>
      <c r="H53" s="802"/>
      <c r="I53" s="732"/>
      <c r="J53" s="130"/>
      <c r="K53" s="130"/>
      <c r="L53" s="130"/>
      <c r="M53" s="130"/>
      <c r="N53" s="803"/>
      <c r="O53" s="733"/>
      <c r="P53" s="130"/>
      <c r="Q53" s="130"/>
      <c r="R53" s="130"/>
      <c r="S53" s="130"/>
      <c r="T53" s="731"/>
      <c r="U53" s="732"/>
      <c r="V53" s="130"/>
      <c r="W53" s="130"/>
      <c r="X53" s="130"/>
      <c r="Y53" s="130"/>
      <c r="Z53" s="734"/>
      <c r="AA53" s="130"/>
      <c r="AB53" s="731"/>
      <c r="AC53" s="732"/>
      <c r="AD53" s="130"/>
      <c r="AE53" s="130"/>
      <c r="AF53" s="130"/>
      <c r="AG53" s="130"/>
      <c r="AH53" s="734"/>
      <c r="AI53" s="130"/>
      <c r="AJ53" s="731"/>
      <c r="AK53" s="732"/>
      <c r="AL53" s="130"/>
      <c r="AM53" s="130"/>
      <c r="AN53" s="130"/>
      <c r="AO53" s="130"/>
      <c r="AP53" s="130"/>
      <c r="AQ53" s="734"/>
      <c r="AR53" s="130"/>
      <c r="AS53" s="731"/>
      <c r="AT53" s="733"/>
      <c r="AU53" s="734"/>
      <c r="AV53" s="130"/>
      <c r="AW53" s="130"/>
      <c r="AX53" s="130"/>
      <c r="AY53" s="130"/>
      <c r="AZ53" s="130"/>
      <c r="BA53" s="731"/>
      <c r="BB53" s="732"/>
      <c r="BC53" s="734"/>
      <c r="BD53" s="130"/>
      <c r="BE53" s="130"/>
      <c r="BF53" s="130"/>
      <c r="BG53" s="130"/>
      <c r="BH53" s="130"/>
      <c r="BI53" s="731"/>
      <c r="BJ53" s="733"/>
      <c r="BK53" s="734"/>
      <c r="BL53" s="130"/>
      <c r="BM53" s="130"/>
      <c r="BN53" s="130"/>
      <c r="BO53" s="130"/>
      <c r="BP53" s="130"/>
      <c r="BQ53" s="130"/>
      <c r="BR53" s="731"/>
      <c r="BS53" s="732"/>
      <c r="BT53" s="734"/>
      <c r="BU53" s="130"/>
      <c r="BV53" s="130"/>
      <c r="BW53" s="130"/>
      <c r="BX53" s="130"/>
      <c r="BY53" s="130"/>
      <c r="BZ53" s="731"/>
      <c r="CA53" s="732"/>
      <c r="CB53" s="734"/>
      <c r="CC53" s="130"/>
      <c r="CD53" s="130"/>
      <c r="CE53" s="130"/>
      <c r="CF53" s="130"/>
      <c r="CG53" s="130"/>
      <c r="CH53" s="731"/>
      <c r="CI53" s="732"/>
      <c r="CJ53" s="734"/>
      <c r="CK53" s="130"/>
      <c r="CL53" s="130"/>
      <c r="CM53" s="130"/>
      <c r="CN53" s="130"/>
      <c r="CO53" s="130"/>
      <c r="CP53" s="731"/>
      <c r="CQ53" s="732"/>
      <c r="CR53" s="130"/>
      <c r="CS53" s="130"/>
      <c r="CT53" s="130"/>
      <c r="CU53" s="130" t="n">
        <f aca="false">+CR53-CS53</f>
        <v>0</v>
      </c>
      <c r="CV53" s="130" t="n">
        <f aca="false">+CR53-CT53</f>
        <v>0</v>
      </c>
      <c r="CW53" s="130"/>
      <c r="CX53" s="735" t="str">
        <f aca="false">IFERROR(CR53/CW53-1, "-")</f>
        <v>-</v>
      </c>
      <c r="CY53" s="105"/>
      <c r="CZ53" s="736"/>
      <c r="DA53" s="130"/>
      <c r="DB53" s="130"/>
      <c r="DC53" s="130"/>
      <c r="DD53" s="130"/>
      <c r="DE53" s="731" t="e">
        <f aca="false">(CZ53-DD53)/DD53</f>
        <v>#DIV/0!</v>
      </c>
      <c r="DF53" s="731" t="e">
        <f aca="false">(DA53-DD53)/DD53</f>
        <v>#DIV/0!</v>
      </c>
      <c r="DG53" s="731" t="e">
        <f aca="false">(DB53-DD53)/DD53</f>
        <v>#DIV/0!</v>
      </c>
      <c r="DH53" s="731" t="e">
        <f aca="false">(DC53-DD53)/DD53</f>
        <v>#DIV/0!</v>
      </c>
      <c r="DI53" s="696"/>
      <c r="DJ53" s="37"/>
      <c r="DL53" s="37"/>
      <c r="DM53" s="400" t="n">
        <f aca="false">(CS53-CZ53)*10^6</f>
        <v>0</v>
      </c>
      <c r="DN53" s="400" t="n">
        <f aca="false">(CT53-DC53)*10^6</f>
        <v>0</v>
      </c>
      <c r="DO53" s="400" t="n">
        <f aca="false">(CW53-DD53)*10^6</f>
        <v>0</v>
      </c>
    </row>
    <row r="54" customFormat="false" ht="13.5" hidden="false" customHeight="true" outlineLevel="0" collapsed="false">
      <c r="A54" s="591"/>
      <c r="B54" s="804" t="s">
        <v>556</v>
      </c>
      <c r="C54" s="679" t="s">
        <v>557</v>
      </c>
      <c r="D54" s="144"/>
      <c r="E54" s="144"/>
      <c r="F54" s="144"/>
      <c r="G54" s="144"/>
      <c r="H54" s="245"/>
      <c r="I54" s="422"/>
      <c r="J54" s="144"/>
      <c r="K54" s="144"/>
      <c r="L54" s="144"/>
      <c r="M54" s="144"/>
      <c r="N54" s="245"/>
      <c r="O54" s="423"/>
      <c r="P54" s="144"/>
      <c r="Q54" s="144"/>
      <c r="R54" s="144"/>
      <c r="S54" s="144"/>
      <c r="T54" s="245"/>
      <c r="U54" s="422"/>
      <c r="V54" s="144"/>
      <c r="W54" s="144"/>
      <c r="X54" s="144"/>
      <c r="Y54" s="144"/>
      <c r="Z54" s="281"/>
      <c r="AA54" s="144"/>
      <c r="AB54" s="245"/>
      <c r="AC54" s="422"/>
      <c r="AD54" s="144"/>
      <c r="AE54" s="144"/>
      <c r="AF54" s="144"/>
      <c r="AG54" s="144"/>
      <c r="AH54" s="281"/>
      <c r="AI54" s="144"/>
      <c r="AJ54" s="245"/>
      <c r="AK54" s="422"/>
      <c r="AL54" s="144"/>
      <c r="AM54" s="144"/>
      <c r="AN54" s="144"/>
      <c r="AO54" s="144"/>
      <c r="AP54" s="144"/>
      <c r="AQ54" s="281"/>
      <c r="AR54" s="144"/>
      <c r="AS54" s="245"/>
      <c r="AT54" s="423"/>
      <c r="AU54" s="281"/>
      <c r="AV54" s="144"/>
      <c r="AW54" s="144"/>
      <c r="AX54" s="144"/>
      <c r="AY54" s="144"/>
      <c r="AZ54" s="144"/>
      <c r="BA54" s="245"/>
      <c r="BB54" s="422"/>
      <c r="BC54" s="281"/>
      <c r="BD54" s="144"/>
      <c r="BE54" s="144"/>
      <c r="BF54" s="144"/>
      <c r="BG54" s="144"/>
      <c r="BH54" s="144"/>
      <c r="BI54" s="245"/>
      <c r="BJ54" s="423"/>
      <c r="BK54" s="281"/>
      <c r="BL54" s="144"/>
      <c r="BM54" s="144"/>
      <c r="BN54" s="144"/>
      <c r="BO54" s="144"/>
      <c r="BP54" s="144"/>
      <c r="BQ54" s="144"/>
      <c r="BR54" s="245"/>
      <c r="BS54" s="422"/>
      <c r="BT54" s="281"/>
      <c r="BU54" s="144"/>
      <c r="BV54" s="144"/>
      <c r="BW54" s="144"/>
      <c r="BX54" s="144"/>
      <c r="BY54" s="144"/>
      <c r="BZ54" s="245"/>
      <c r="CA54" s="422"/>
      <c r="CB54" s="281"/>
      <c r="CC54" s="144"/>
      <c r="CD54" s="144"/>
      <c r="CE54" s="144"/>
      <c r="CF54" s="144"/>
      <c r="CG54" s="144"/>
      <c r="CH54" s="245"/>
      <c r="CI54" s="422"/>
      <c r="CJ54" s="281"/>
      <c r="CK54" s="144"/>
      <c r="CL54" s="144"/>
      <c r="CM54" s="144"/>
      <c r="CN54" s="144"/>
      <c r="CO54" s="144"/>
      <c r="CP54" s="245"/>
      <c r="CQ54" s="422"/>
      <c r="CR54" s="144"/>
      <c r="CS54" s="144"/>
      <c r="CT54" s="144"/>
      <c r="CU54" s="144" t="n">
        <f aca="false">+CR54-CS54</f>
        <v>0</v>
      </c>
      <c r="CV54" s="144" t="n">
        <f aca="false">+CR54-CT54</f>
        <v>0</v>
      </c>
      <c r="CW54" s="144"/>
      <c r="CX54" s="805" t="str">
        <f aca="false">IFERROR(CR54/CW54-1, "-")</f>
        <v>-</v>
      </c>
      <c r="CY54" s="206"/>
      <c r="CZ54" s="699"/>
      <c r="DA54" s="144"/>
      <c r="DB54" s="144"/>
      <c r="DC54" s="144"/>
      <c r="DD54" s="144"/>
      <c r="DE54" s="245" t="e">
        <f aca="false">(CZ54-DD54)/DD54</f>
        <v>#DIV/0!</v>
      </c>
      <c r="DF54" s="245" t="e">
        <f aca="false">(DA54-DD54)/DD54</f>
        <v>#DIV/0!</v>
      </c>
      <c r="DG54" s="245" t="e">
        <f aca="false">(DB54-DD54)/DD54</f>
        <v>#DIV/0!</v>
      </c>
      <c r="DH54" s="245" t="e">
        <f aca="false">(DC54-DD54)/DD54</f>
        <v>#DIV/0!</v>
      </c>
      <c r="DI54" s="696"/>
      <c r="DL54" s="37"/>
      <c r="DM54" s="400" t="n">
        <f aca="false">(CS54-CZ54)*10^6</f>
        <v>0</v>
      </c>
      <c r="DN54" s="400" t="n">
        <f aca="false">(CT54-DC54)*10^6</f>
        <v>0</v>
      </c>
      <c r="DO54" s="400" t="n">
        <f aca="false">(CW54-DD54)*10^6</f>
        <v>0</v>
      </c>
    </row>
    <row r="55" s="748" customFormat="true" ht="15" hidden="false" customHeight="true" outlineLevel="1" collapsed="false">
      <c r="A55" s="737" t="s">
        <v>558</v>
      </c>
      <c r="B55" s="737"/>
      <c r="C55" s="679" t="s">
        <v>559</v>
      </c>
      <c r="D55" s="738"/>
      <c r="E55" s="738"/>
      <c r="F55" s="738"/>
      <c r="G55" s="738"/>
      <c r="H55" s="739"/>
      <c r="I55" s="740"/>
      <c r="J55" s="738"/>
      <c r="K55" s="738"/>
      <c r="L55" s="738"/>
      <c r="M55" s="738"/>
      <c r="N55" s="739"/>
      <c r="O55" s="741"/>
      <c r="P55" s="738"/>
      <c r="Q55" s="738"/>
      <c r="R55" s="738"/>
      <c r="S55" s="738"/>
      <c r="T55" s="739"/>
      <c r="U55" s="740"/>
      <c r="V55" s="738"/>
      <c r="W55" s="738"/>
      <c r="X55" s="738"/>
      <c r="Y55" s="738"/>
      <c r="Z55" s="742"/>
      <c r="AA55" s="738"/>
      <c r="AB55" s="739"/>
      <c r="AC55" s="740"/>
      <c r="AD55" s="738"/>
      <c r="AE55" s="738"/>
      <c r="AF55" s="738"/>
      <c r="AG55" s="738"/>
      <c r="AH55" s="742"/>
      <c r="AI55" s="738"/>
      <c r="AJ55" s="739"/>
      <c r="AK55" s="740"/>
      <c r="AL55" s="738"/>
      <c r="AM55" s="738"/>
      <c r="AN55" s="738"/>
      <c r="AO55" s="738"/>
      <c r="AP55" s="738"/>
      <c r="AQ55" s="742"/>
      <c r="AR55" s="738"/>
      <c r="AS55" s="739"/>
      <c r="AT55" s="741"/>
      <c r="AU55" s="742"/>
      <c r="AV55" s="738"/>
      <c r="AW55" s="738"/>
      <c r="AX55" s="738"/>
      <c r="AY55" s="738"/>
      <c r="AZ55" s="738"/>
      <c r="BA55" s="739"/>
      <c r="BB55" s="740"/>
      <c r="BC55" s="742"/>
      <c r="BD55" s="738"/>
      <c r="BE55" s="738"/>
      <c r="BF55" s="738"/>
      <c r="BG55" s="738"/>
      <c r="BH55" s="738"/>
      <c r="BI55" s="739"/>
      <c r="BJ55" s="741"/>
      <c r="BK55" s="742"/>
      <c r="BL55" s="738"/>
      <c r="BM55" s="738"/>
      <c r="BN55" s="738"/>
      <c r="BO55" s="738"/>
      <c r="BP55" s="738"/>
      <c r="BQ55" s="738"/>
      <c r="BR55" s="739"/>
      <c r="BS55" s="740"/>
      <c r="BT55" s="742"/>
      <c r="BU55" s="738"/>
      <c r="BV55" s="738"/>
      <c r="BW55" s="738"/>
      <c r="BX55" s="738"/>
      <c r="BY55" s="738"/>
      <c r="BZ55" s="739"/>
      <c r="CA55" s="743"/>
      <c r="CB55" s="742"/>
      <c r="CC55" s="738"/>
      <c r="CD55" s="738"/>
      <c r="CE55" s="738"/>
      <c r="CF55" s="738"/>
      <c r="CG55" s="738"/>
      <c r="CH55" s="739"/>
      <c r="CI55" s="743"/>
      <c r="CJ55" s="742"/>
      <c r="CK55" s="738"/>
      <c r="CL55" s="738"/>
      <c r="CM55" s="738"/>
      <c r="CN55" s="738"/>
      <c r="CO55" s="738"/>
      <c r="CP55" s="739"/>
      <c r="CQ55" s="740"/>
      <c r="CR55" s="738"/>
      <c r="CS55" s="738"/>
      <c r="CT55" s="744"/>
      <c r="CU55" s="738" t="n">
        <f aca="false">+CR55-CS55</f>
        <v>0</v>
      </c>
      <c r="CV55" s="738" t="n">
        <f aca="false">+CR55-CT55</f>
        <v>0</v>
      </c>
      <c r="CW55" s="738"/>
      <c r="CX55" s="745" t="e">
        <f aca="false">+CR55/CW55-1</f>
        <v>#DIV/0!</v>
      </c>
      <c r="CY55" s="746"/>
      <c r="CZ55" s="747"/>
      <c r="DA55" s="738"/>
      <c r="DB55" s="738"/>
      <c r="DC55" s="738"/>
      <c r="DD55" s="738"/>
      <c r="DE55" s="739" t="e">
        <f aca="false">(CZ55-DD55)/DD55</f>
        <v>#DIV/0!</v>
      </c>
      <c r="DF55" s="739" t="e">
        <f aca="false">(DA55-DD55)/DD55</f>
        <v>#DIV/0!</v>
      </c>
      <c r="DG55" s="739" t="e">
        <f aca="false">(DB55-DD55)/DD55</f>
        <v>#DIV/0!</v>
      </c>
      <c r="DH55" s="739" t="e">
        <f aca="false">(DC55-DD55)/DD55</f>
        <v>#DIV/0!</v>
      </c>
      <c r="DI55" s="696"/>
      <c r="DJ55" s="37"/>
      <c r="DL55" s="37"/>
      <c r="DM55" s="400" t="n">
        <f aca="false">(CS55-CZ55)*10^6</f>
        <v>0</v>
      </c>
      <c r="DN55" s="400" t="n">
        <f aca="false">(CT55-DC55)*10^6</f>
        <v>0</v>
      </c>
      <c r="DO55" s="400" t="n">
        <f aca="false">(CW55-DD55)*10^6</f>
        <v>0</v>
      </c>
    </row>
    <row r="56" s="813" customFormat="true" ht="15" hidden="false" customHeight="true" outlineLevel="1" collapsed="false">
      <c r="A56" s="737" t="s">
        <v>560</v>
      </c>
      <c r="B56" s="737"/>
      <c r="C56" s="679" t="s">
        <v>561</v>
      </c>
      <c r="D56" s="738"/>
      <c r="E56" s="738"/>
      <c r="F56" s="744"/>
      <c r="G56" s="738"/>
      <c r="H56" s="806"/>
      <c r="I56" s="807"/>
      <c r="J56" s="738"/>
      <c r="K56" s="738"/>
      <c r="L56" s="744"/>
      <c r="M56" s="738"/>
      <c r="N56" s="806"/>
      <c r="O56" s="808"/>
      <c r="P56" s="738"/>
      <c r="Q56" s="738"/>
      <c r="R56" s="744"/>
      <c r="S56" s="738"/>
      <c r="T56" s="806"/>
      <c r="U56" s="807"/>
      <c r="V56" s="738"/>
      <c r="W56" s="738"/>
      <c r="X56" s="738"/>
      <c r="Y56" s="744"/>
      <c r="Z56" s="809"/>
      <c r="AA56" s="738"/>
      <c r="AB56" s="806"/>
      <c r="AC56" s="807"/>
      <c r="AD56" s="738"/>
      <c r="AE56" s="738"/>
      <c r="AF56" s="738"/>
      <c r="AG56" s="744"/>
      <c r="AH56" s="809"/>
      <c r="AI56" s="738"/>
      <c r="AJ56" s="806"/>
      <c r="AK56" s="807"/>
      <c r="AL56" s="738"/>
      <c r="AM56" s="738"/>
      <c r="AN56" s="738"/>
      <c r="AO56" s="738"/>
      <c r="AP56" s="744"/>
      <c r="AQ56" s="809"/>
      <c r="AR56" s="738"/>
      <c r="AS56" s="806"/>
      <c r="AT56" s="808"/>
      <c r="AU56" s="742"/>
      <c r="AV56" s="738"/>
      <c r="AW56" s="738"/>
      <c r="AX56" s="744"/>
      <c r="AY56" s="744"/>
      <c r="AZ56" s="738"/>
      <c r="BA56" s="806"/>
      <c r="BB56" s="807"/>
      <c r="BC56" s="742"/>
      <c r="BD56" s="738"/>
      <c r="BE56" s="738"/>
      <c r="BF56" s="744"/>
      <c r="BG56" s="744"/>
      <c r="BH56" s="738"/>
      <c r="BI56" s="806"/>
      <c r="BJ56" s="808"/>
      <c r="BK56" s="742"/>
      <c r="BL56" s="738"/>
      <c r="BM56" s="738"/>
      <c r="BN56" s="738"/>
      <c r="BO56" s="744"/>
      <c r="BP56" s="744"/>
      <c r="BQ56" s="738"/>
      <c r="BR56" s="806"/>
      <c r="BS56" s="807"/>
      <c r="BT56" s="742"/>
      <c r="BU56" s="738"/>
      <c r="BV56" s="738"/>
      <c r="BW56" s="744"/>
      <c r="BX56" s="744"/>
      <c r="BY56" s="738"/>
      <c r="BZ56" s="806"/>
      <c r="CA56" s="810"/>
      <c r="CB56" s="742"/>
      <c r="CC56" s="738"/>
      <c r="CD56" s="738"/>
      <c r="CE56" s="744"/>
      <c r="CF56" s="744"/>
      <c r="CG56" s="738"/>
      <c r="CH56" s="806"/>
      <c r="CI56" s="810"/>
      <c r="CJ56" s="742"/>
      <c r="CK56" s="738"/>
      <c r="CL56" s="738"/>
      <c r="CM56" s="744"/>
      <c r="CN56" s="744"/>
      <c r="CO56" s="738"/>
      <c r="CP56" s="806"/>
      <c r="CQ56" s="807"/>
      <c r="CR56" s="744"/>
      <c r="CS56" s="744"/>
      <c r="CT56" s="744"/>
      <c r="CU56" s="744" t="n">
        <f aca="false">+CR56-CS56</f>
        <v>0</v>
      </c>
      <c r="CV56" s="744" t="n">
        <f aca="false">+CR56-CT56</f>
        <v>0</v>
      </c>
      <c r="CW56" s="744"/>
      <c r="CX56" s="811" t="e">
        <f aca="false">+CR56/CW56-1</f>
        <v>#DIV/0!</v>
      </c>
      <c r="CY56" s="812"/>
      <c r="CZ56" s="747"/>
      <c r="DA56" s="738"/>
      <c r="DB56" s="738"/>
      <c r="DC56" s="738"/>
      <c r="DD56" s="738"/>
      <c r="DE56" s="806" t="e">
        <f aca="false">(CZ56-DD56)/DD56</f>
        <v>#DIV/0!</v>
      </c>
      <c r="DF56" s="806" t="e">
        <f aca="false">(DA56-DD56)/DD56</f>
        <v>#DIV/0!</v>
      </c>
      <c r="DG56" s="806" t="e">
        <f aca="false">(DB56-DD56)/DD56</f>
        <v>#DIV/0!</v>
      </c>
      <c r="DH56" s="806" t="e">
        <f aca="false">(DC56-DD56)/DD56</f>
        <v>#DIV/0!</v>
      </c>
      <c r="DI56" s="696"/>
      <c r="DJ56" s="37"/>
      <c r="DL56" s="37"/>
      <c r="DM56" s="400" t="n">
        <f aca="false">(CS56-CZ56)*10^6</f>
        <v>0</v>
      </c>
      <c r="DN56" s="400" t="n">
        <f aca="false">(CT56-DC56)*10^6</f>
        <v>0</v>
      </c>
      <c r="DO56" s="400" t="n">
        <f aca="false">(CW56-DD56)*10^6</f>
        <v>0</v>
      </c>
    </row>
    <row r="57" s="813" customFormat="true" ht="14.25" hidden="false" customHeight="true" outlineLevel="1" collapsed="false">
      <c r="A57" s="737" t="s">
        <v>562</v>
      </c>
      <c r="B57" s="737"/>
      <c r="C57" s="679" t="s">
        <v>563</v>
      </c>
      <c r="D57" s="738"/>
      <c r="E57" s="738"/>
      <c r="F57" s="744"/>
      <c r="G57" s="738"/>
      <c r="H57" s="806"/>
      <c r="I57" s="807"/>
      <c r="J57" s="738"/>
      <c r="K57" s="738"/>
      <c r="L57" s="744"/>
      <c r="M57" s="738"/>
      <c r="N57" s="806"/>
      <c r="O57" s="808"/>
      <c r="P57" s="738"/>
      <c r="Q57" s="738"/>
      <c r="R57" s="744"/>
      <c r="S57" s="738"/>
      <c r="T57" s="806"/>
      <c r="U57" s="807"/>
      <c r="V57" s="738"/>
      <c r="W57" s="738"/>
      <c r="X57" s="738"/>
      <c r="Y57" s="744"/>
      <c r="Z57" s="809"/>
      <c r="AA57" s="738"/>
      <c r="AB57" s="806"/>
      <c r="AC57" s="807"/>
      <c r="AD57" s="738"/>
      <c r="AE57" s="738"/>
      <c r="AF57" s="738"/>
      <c r="AG57" s="744"/>
      <c r="AH57" s="809"/>
      <c r="AI57" s="738"/>
      <c r="AJ57" s="806"/>
      <c r="AK57" s="807"/>
      <c r="AL57" s="738"/>
      <c r="AM57" s="738"/>
      <c r="AN57" s="738"/>
      <c r="AO57" s="738"/>
      <c r="AP57" s="744"/>
      <c r="AQ57" s="809"/>
      <c r="AR57" s="738"/>
      <c r="AS57" s="806"/>
      <c r="AT57" s="808"/>
      <c r="AU57" s="742"/>
      <c r="AV57" s="738"/>
      <c r="AW57" s="738"/>
      <c r="AX57" s="744"/>
      <c r="AY57" s="744"/>
      <c r="AZ57" s="738"/>
      <c r="BA57" s="806"/>
      <c r="BB57" s="807"/>
      <c r="BC57" s="742"/>
      <c r="BD57" s="738"/>
      <c r="BE57" s="738"/>
      <c r="BF57" s="744"/>
      <c r="BG57" s="744"/>
      <c r="BH57" s="738"/>
      <c r="BI57" s="806"/>
      <c r="BJ57" s="808"/>
      <c r="BK57" s="742"/>
      <c r="BL57" s="738"/>
      <c r="BM57" s="738"/>
      <c r="BN57" s="738"/>
      <c r="BO57" s="744"/>
      <c r="BP57" s="744"/>
      <c r="BQ57" s="738"/>
      <c r="BR57" s="806"/>
      <c r="BS57" s="807"/>
      <c r="BT57" s="742"/>
      <c r="BU57" s="738"/>
      <c r="BV57" s="738"/>
      <c r="BW57" s="744"/>
      <c r="BX57" s="744"/>
      <c r="BY57" s="738"/>
      <c r="BZ57" s="806"/>
      <c r="CA57" s="810"/>
      <c r="CB57" s="742"/>
      <c r="CC57" s="738"/>
      <c r="CD57" s="738"/>
      <c r="CE57" s="744"/>
      <c r="CF57" s="744"/>
      <c r="CG57" s="738"/>
      <c r="CH57" s="806"/>
      <c r="CI57" s="810"/>
      <c r="CJ57" s="742"/>
      <c r="CK57" s="738"/>
      <c r="CL57" s="738"/>
      <c r="CM57" s="744"/>
      <c r="CN57" s="744"/>
      <c r="CO57" s="738"/>
      <c r="CP57" s="806"/>
      <c r="CQ57" s="807"/>
      <c r="CR57" s="744"/>
      <c r="CS57" s="744"/>
      <c r="CT57" s="744"/>
      <c r="CU57" s="744" t="n">
        <f aca="false">+CR57-CS57</f>
        <v>0</v>
      </c>
      <c r="CV57" s="744" t="n">
        <f aca="false">+CR57-CT57</f>
        <v>0</v>
      </c>
      <c r="CW57" s="744"/>
      <c r="CX57" s="811" t="e">
        <f aca="false">+CR57/CW57-1</f>
        <v>#DIV/0!</v>
      </c>
      <c r="CY57" s="812"/>
      <c r="CZ57" s="747"/>
      <c r="DA57" s="738"/>
      <c r="DB57" s="738"/>
      <c r="DC57" s="738"/>
      <c r="DD57" s="738"/>
      <c r="DE57" s="806" t="e">
        <f aca="false">(CZ57-DD57)/DD57</f>
        <v>#DIV/0!</v>
      </c>
      <c r="DF57" s="806" t="e">
        <f aca="false">(DA57-DD57)/DD57</f>
        <v>#DIV/0!</v>
      </c>
      <c r="DG57" s="806" t="e">
        <f aca="false">(DB57-DD57)/DD57</f>
        <v>#DIV/0!</v>
      </c>
      <c r="DH57" s="806" t="e">
        <f aca="false">(DC57-DD57)/DD57</f>
        <v>#DIV/0!</v>
      </c>
      <c r="DI57" s="696"/>
      <c r="DJ57" s="37"/>
      <c r="DL57" s="37"/>
      <c r="DM57" s="400" t="n">
        <f aca="false">(CS57-CZ57)*10^6</f>
        <v>0</v>
      </c>
      <c r="DN57" s="400" t="n">
        <f aca="false">(CT57-DC57)*10^6</f>
        <v>0</v>
      </c>
      <c r="DO57" s="400" t="n">
        <f aca="false">(CW57-DD57)*10^6</f>
        <v>0</v>
      </c>
    </row>
    <row r="58" customFormat="false" ht="15" hidden="false" customHeight="true" outlineLevel="0" collapsed="false">
      <c r="A58" s="591"/>
      <c r="B58" s="804" t="s">
        <v>564</v>
      </c>
      <c r="C58" s="679" t="s">
        <v>565</v>
      </c>
      <c r="D58" s="144"/>
      <c r="E58" s="144"/>
      <c r="F58" s="144"/>
      <c r="G58" s="144"/>
      <c r="H58" s="245"/>
      <c r="I58" s="422"/>
      <c r="J58" s="144"/>
      <c r="K58" s="144"/>
      <c r="L58" s="144"/>
      <c r="M58" s="144"/>
      <c r="N58" s="245"/>
      <c r="O58" s="423"/>
      <c r="P58" s="144"/>
      <c r="Q58" s="144"/>
      <c r="R58" s="144"/>
      <c r="S58" s="144"/>
      <c r="T58" s="245"/>
      <c r="U58" s="422"/>
      <c r="V58" s="144"/>
      <c r="W58" s="144"/>
      <c r="X58" s="144"/>
      <c r="Y58" s="144"/>
      <c r="Z58" s="281"/>
      <c r="AA58" s="144"/>
      <c r="AB58" s="245"/>
      <c r="AC58" s="422"/>
      <c r="AD58" s="144"/>
      <c r="AE58" s="144"/>
      <c r="AF58" s="144"/>
      <c r="AG58" s="144"/>
      <c r="AH58" s="281"/>
      <c r="AI58" s="144"/>
      <c r="AJ58" s="245"/>
      <c r="AK58" s="422"/>
      <c r="AL58" s="144"/>
      <c r="AM58" s="144"/>
      <c r="AN58" s="144"/>
      <c r="AO58" s="144"/>
      <c r="AP58" s="144"/>
      <c r="AQ58" s="281"/>
      <c r="AR58" s="144"/>
      <c r="AS58" s="245"/>
      <c r="AT58" s="423"/>
      <c r="AU58" s="281"/>
      <c r="AV58" s="144"/>
      <c r="AW58" s="144"/>
      <c r="AX58" s="144"/>
      <c r="AY58" s="144"/>
      <c r="AZ58" s="144"/>
      <c r="BA58" s="245"/>
      <c r="BB58" s="422"/>
      <c r="BC58" s="281"/>
      <c r="BD58" s="144"/>
      <c r="BE58" s="144"/>
      <c r="BF58" s="144"/>
      <c r="BG58" s="144"/>
      <c r="BH58" s="144"/>
      <c r="BI58" s="245"/>
      <c r="BJ58" s="423"/>
      <c r="BK58" s="281"/>
      <c r="BL58" s="144"/>
      <c r="BM58" s="144"/>
      <c r="BN58" s="144"/>
      <c r="BO58" s="144"/>
      <c r="BP58" s="144"/>
      <c r="BQ58" s="144"/>
      <c r="BR58" s="245"/>
      <c r="BS58" s="422"/>
      <c r="BT58" s="281"/>
      <c r="BU58" s="144"/>
      <c r="BV58" s="144"/>
      <c r="BW58" s="144"/>
      <c r="BX58" s="144"/>
      <c r="BY58" s="144"/>
      <c r="BZ58" s="245"/>
      <c r="CA58" s="422"/>
      <c r="CB58" s="281"/>
      <c r="CC58" s="144"/>
      <c r="CD58" s="144"/>
      <c r="CE58" s="144"/>
      <c r="CF58" s="144"/>
      <c r="CG58" s="144"/>
      <c r="CH58" s="245"/>
      <c r="CI58" s="422"/>
      <c r="CJ58" s="281"/>
      <c r="CK58" s="144"/>
      <c r="CL58" s="144"/>
      <c r="CM58" s="144"/>
      <c r="CN58" s="144"/>
      <c r="CO58" s="144"/>
      <c r="CP58" s="245"/>
      <c r="CQ58" s="422"/>
      <c r="CR58" s="144"/>
      <c r="CS58" s="144"/>
      <c r="CT58" s="144"/>
      <c r="CU58" s="144" t="n">
        <f aca="false">+CR58-CS58</f>
        <v>0</v>
      </c>
      <c r="CV58" s="144" t="n">
        <f aca="false">+CR58-CT58</f>
        <v>0</v>
      </c>
      <c r="CW58" s="144"/>
      <c r="CX58" s="805" t="str">
        <f aca="false">IFERROR(CR58/CW58-1, "-")</f>
        <v>-</v>
      </c>
      <c r="CY58" s="206"/>
      <c r="CZ58" s="699"/>
      <c r="DA58" s="144"/>
      <c r="DB58" s="144"/>
      <c r="DC58" s="144"/>
      <c r="DD58" s="144"/>
      <c r="DE58" s="245" t="e">
        <f aca="false">(CZ58-DD58)/DD58</f>
        <v>#DIV/0!</v>
      </c>
      <c r="DF58" s="245" t="e">
        <f aca="false">(DA58-DD58)/DD58</f>
        <v>#DIV/0!</v>
      </c>
      <c r="DG58" s="245" t="e">
        <f aca="false">(DB58-DD58)/DD58</f>
        <v>#DIV/0!</v>
      </c>
      <c r="DH58" s="245" t="e">
        <f aca="false">(DC58-DD58)/DD58</f>
        <v>#DIV/0!</v>
      </c>
      <c r="DI58" s="696"/>
      <c r="DL58" s="37"/>
      <c r="DM58" s="400" t="n">
        <f aca="false">(CS58-CZ58)*10^6</f>
        <v>0</v>
      </c>
      <c r="DN58" s="400" t="n">
        <f aca="false">(CT58-DC58)*10^6</f>
        <v>0</v>
      </c>
      <c r="DO58" s="400" t="n">
        <f aca="false">(CW58-DD58)*10^6</f>
        <v>0</v>
      </c>
    </row>
    <row r="59" s="813" customFormat="true" ht="16.5" hidden="false" customHeight="true" outlineLevel="1" collapsed="false">
      <c r="A59" s="737" t="s">
        <v>558</v>
      </c>
      <c r="B59" s="737"/>
      <c r="C59" s="679" t="s">
        <v>566</v>
      </c>
      <c r="D59" s="744"/>
      <c r="E59" s="744"/>
      <c r="F59" s="744"/>
      <c r="G59" s="744"/>
      <c r="H59" s="806"/>
      <c r="I59" s="807"/>
      <c r="J59" s="744"/>
      <c r="K59" s="744"/>
      <c r="L59" s="744"/>
      <c r="M59" s="744"/>
      <c r="N59" s="806"/>
      <c r="O59" s="808"/>
      <c r="P59" s="744"/>
      <c r="Q59" s="744"/>
      <c r="R59" s="744"/>
      <c r="S59" s="744"/>
      <c r="T59" s="806"/>
      <c r="U59" s="807"/>
      <c r="V59" s="744"/>
      <c r="W59" s="744"/>
      <c r="X59" s="744"/>
      <c r="Y59" s="744"/>
      <c r="Z59" s="809"/>
      <c r="AA59" s="744"/>
      <c r="AB59" s="806"/>
      <c r="AC59" s="807"/>
      <c r="AD59" s="744"/>
      <c r="AE59" s="744"/>
      <c r="AF59" s="744"/>
      <c r="AG59" s="744"/>
      <c r="AH59" s="809"/>
      <c r="AI59" s="744"/>
      <c r="AJ59" s="806"/>
      <c r="AK59" s="807"/>
      <c r="AL59" s="744"/>
      <c r="AM59" s="744"/>
      <c r="AN59" s="744"/>
      <c r="AO59" s="744"/>
      <c r="AP59" s="744"/>
      <c r="AQ59" s="809"/>
      <c r="AR59" s="744"/>
      <c r="AS59" s="806"/>
      <c r="AT59" s="808"/>
      <c r="AU59" s="809"/>
      <c r="AV59" s="744"/>
      <c r="AW59" s="744"/>
      <c r="AX59" s="744"/>
      <c r="AY59" s="744"/>
      <c r="AZ59" s="744"/>
      <c r="BA59" s="806"/>
      <c r="BB59" s="807"/>
      <c r="BC59" s="809"/>
      <c r="BD59" s="744"/>
      <c r="BE59" s="744"/>
      <c r="BF59" s="744"/>
      <c r="BG59" s="744"/>
      <c r="BH59" s="744"/>
      <c r="BI59" s="806"/>
      <c r="BJ59" s="808"/>
      <c r="BK59" s="809"/>
      <c r="BL59" s="744"/>
      <c r="BM59" s="744"/>
      <c r="BN59" s="744"/>
      <c r="BO59" s="744"/>
      <c r="BP59" s="744"/>
      <c r="BQ59" s="744"/>
      <c r="BR59" s="806"/>
      <c r="BS59" s="807"/>
      <c r="BT59" s="809"/>
      <c r="BU59" s="744"/>
      <c r="BV59" s="744"/>
      <c r="BW59" s="744"/>
      <c r="BX59" s="744"/>
      <c r="BY59" s="744"/>
      <c r="BZ59" s="806"/>
      <c r="CA59" s="810"/>
      <c r="CB59" s="809"/>
      <c r="CC59" s="744"/>
      <c r="CD59" s="744"/>
      <c r="CE59" s="744"/>
      <c r="CF59" s="744"/>
      <c r="CG59" s="744"/>
      <c r="CH59" s="806"/>
      <c r="CI59" s="810"/>
      <c r="CJ59" s="809"/>
      <c r="CK59" s="744"/>
      <c r="CL59" s="744"/>
      <c r="CM59" s="744"/>
      <c r="CN59" s="744"/>
      <c r="CO59" s="744"/>
      <c r="CP59" s="806"/>
      <c r="CQ59" s="807"/>
      <c r="CR59" s="744"/>
      <c r="CS59" s="744"/>
      <c r="CT59" s="744"/>
      <c r="CU59" s="744" t="n">
        <f aca="false">+CR59-CS59</f>
        <v>0</v>
      </c>
      <c r="CV59" s="744" t="n">
        <f aca="false">+CR59-CT59</f>
        <v>0</v>
      </c>
      <c r="CW59" s="744"/>
      <c r="CX59" s="811" t="e">
        <f aca="false">+CR59/CW59-1</f>
        <v>#DIV/0!</v>
      </c>
      <c r="CY59" s="812"/>
      <c r="CZ59" s="814"/>
      <c r="DA59" s="744"/>
      <c r="DB59" s="744"/>
      <c r="DC59" s="744"/>
      <c r="DD59" s="744"/>
      <c r="DE59" s="806" t="e">
        <f aca="false">(CZ59-DD59)/DD59</f>
        <v>#DIV/0!</v>
      </c>
      <c r="DF59" s="806" t="e">
        <f aca="false">(DA59-DD59)/DD59</f>
        <v>#DIV/0!</v>
      </c>
      <c r="DG59" s="806" t="e">
        <f aca="false">(DB59-DD59)/DD59</f>
        <v>#DIV/0!</v>
      </c>
      <c r="DH59" s="806" t="e">
        <f aca="false">(DC59-DD59)/DD59</f>
        <v>#DIV/0!</v>
      </c>
      <c r="DI59" s="696"/>
      <c r="DJ59" s="37"/>
      <c r="DL59" s="37"/>
      <c r="DM59" s="400" t="n">
        <f aca="false">(CS59-CZ59)*10^6</f>
        <v>0</v>
      </c>
      <c r="DN59" s="400" t="n">
        <f aca="false">(CT59-DC59)*10^6</f>
        <v>0</v>
      </c>
      <c r="DO59" s="400" t="n">
        <f aca="false">(CW59-DD59)*10^6</f>
        <v>0</v>
      </c>
    </row>
    <row r="60" s="441" customFormat="true" ht="15" hidden="false" customHeight="true" outlineLevel="1" collapsed="false">
      <c r="A60" s="764"/>
      <c r="B60" s="765" t="s">
        <v>492</v>
      </c>
      <c r="C60" s="679" t="s">
        <v>567</v>
      </c>
      <c r="D60" s="537"/>
      <c r="E60" s="537"/>
      <c r="F60" s="537"/>
      <c r="G60" s="537"/>
      <c r="H60" s="438"/>
      <c r="I60" s="766"/>
      <c r="J60" s="537"/>
      <c r="K60" s="537"/>
      <c r="L60" s="537"/>
      <c r="M60" s="537"/>
      <c r="N60" s="438"/>
      <c r="O60" s="767"/>
      <c r="P60" s="537"/>
      <c r="Q60" s="537"/>
      <c r="R60" s="537"/>
      <c r="S60" s="537"/>
      <c r="T60" s="438"/>
      <c r="U60" s="766"/>
      <c r="V60" s="537"/>
      <c r="W60" s="537"/>
      <c r="X60" s="537"/>
      <c r="Y60" s="537"/>
      <c r="Z60" s="439"/>
      <c r="AA60" s="537"/>
      <c r="AB60" s="438"/>
      <c r="AC60" s="766"/>
      <c r="AD60" s="537"/>
      <c r="AE60" s="537"/>
      <c r="AF60" s="537"/>
      <c r="AG60" s="537"/>
      <c r="AH60" s="439"/>
      <c r="AI60" s="537"/>
      <c r="AJ60" s="438"/>
      <c r="AK60" s="766"/>
      <c r="AL60" s="537"/>
      <c r="AM60" s="537"/>
      <c r="AN60" s="537"/>
      <c r="AO60" s="537"/>
      <c r="AP60" s="537"/>
      <c r="AQ60" s="439"/>
      <c r="AR60" s="537"/>
      <c r="AS60" s="438"/>
      <c r="AT60" s="767"/>
      <c r="AU60" s="439"/>
      <c r="AV60" s="537"/>
      <c r="AW60" s="537"/>
      <c r="AX60" s="537"/>
      <c r="AY60" s="537"/>
      <c r="AZ60" s="537"/>
      <c r="BA60" s="438"/>
      <c r="BB60" s="766"/>
      <c r="BC60" s="439"/>
      <c r="BD60" s="537"/>
      <c r="BE60" s="537"/>
      <c r="BF60" s="537"/>
      <c r="BG60" s="537"/>
      <c r="BH60" s="537"/>
      <c r="BI60" s="438"/>
      <c r="BJ60" s="767"/>
      <c r="BK60" s="439"/>
      <c r="BL60" s="537"/>
      <c r="BM60" s="537"/>
      <c r="BN60" s="537"/>
      <c r="BO60" s="537"/>
      <c r="BP60" s="537"/>
      <c r="BQ60" s="537"/>
      <c r="BR60" s="438"/>
      <c r="BS60" s="766"/>
      <c r="BT60" s="439"/>
      <c r="BU60" s="537"/>
      <c r="BV60" s="537"/>
      <c r="BW60" s="537"/>
      <c r="BX60" s="537"/>
      <c r="BY60" s="537"/>
      <c r="BZ60" s="438"/>
      <c r="CA60" s="768"/>
      <c r="CB60" s="439"/>
      <c r="CC60" s="537"/>
      <c r="CD60" s="537"/>
      <c r="CE60" s="537"/>
      <c r="CF60" s="537"/>
      <c r="CG60" s="537"/>
      <c r="CH60" s="438"/>
      <c r="CI60" s="768"/>
      <c r="CJ60" s="439"/>
      <c r="CK60" s="537"/>
      <c r="CL60" s="537"/>
      <c r="CM60" s="537"/>
      <c r="CN60" s="537"/>
      <c r="CO60" s="537"/>
      <c r="CP60" s="438"/>
      <c r="CQ60" s="766"/>
      <c r="CR60" s="537"/>
      <c r="CS60" s="537"/>
      <c r="CT60" s="433"/>
      <c r="CU60" s="537" t="n">
        <f aca="false">+CR60-CS60</f>
        <v>0</v>
      </c>
      <c r="CV60" s="537" t="n">
        <f aca="false">+CR60-CT60</f>
        <v>0</v>
      </c>
      <c r="CW60" s="537"/>
      <c r="CX60" s="769" t="e">
        <f aca="false">+CR60/CW60-1</f>
        <v>#DIV/0!</v>
      </c>
      <c r="CY60" s="770"/>
      <c r="CZ60" s="771"/>
      <c r="DA60" s="537"/>
      <c r="DB60" s="537"/>
      <c r="DC60" s="537"/>
      <c r="DD60" s="537"/>
      <c r="DE60" s="438" t="e">
        <f aca="false">(CZ60-DD60)/DD60</f>
        <v>#DIV/0!</v>
      </c>
      <c r="DF60" s="438" t="e">
        <f aca="false">(DA60-DD60)/DD60</f>
        <v>#DIV/0!</v>
      </c>
      <c r="DG60" s="438" t="e">
        <f aca="false">(DB60-DD60)/DD60</f>
        <v>#DIV/0!</v>
      </c>
      <c r="DH60" s="438" t="e">
        <f aca="false">(DC60-DD60)/DD60</f>
        <v>#DIV/0!</v>
      </c>
      <c r="DI60" s="696"/>
      <c r="DJ60" s="37"/>
      <c r="DL60" s="37"/>
      <c r="DM60" s="400" t="n">
        <f aca="false">(CS60-CZ60)*10^6</f>
        <v>0</v>
      </c>
      <c r="DN60" s="400" t="n">
        <f aca="false">(CT60-DC60)*10^6</f>
        <v>0</v>
      </c>
      <c r="DO60" s="400" t="n">
        <f aca="false">(CW60-DD60)*10^6</f>
        <v>0</v>
      </c>
    </row>
    <row r="61" s="441" customFormat="true" ht="15" hidden="false" customHeight="true" outlineLevel="1" collapsed="false">
      <c r="A61" s="764"/>
      <c r="B61" s="765" t="s">
        <v>494</v>
      </c>
      <c r="C61" s="679" t="s">
        <v>568</v>
      </c>
      <c r="D61" s="537"/>
      <c r="E61" s="537"/>
      <c r="F61" s="537"/>
      <c r="G61" s="537"/>
      <c r="H61" s="438"/>
      <c r="I61" s="766"/>
      <c r="J61" s="537"/>
      <c r="K61" s="537"/>
      <c r="L61" s="537"/>
      <c r="M61" s="537"/>
      <c r="N61" s="438"/>
      <c r="O61" s="767"/>
      <c r="P61" s="537"/>
      <c r="Q61" s="537"/>
      <c r="R61" s="537"/>
      <c r="S61" s="537"/>
      <c r="T61" s="438"/>
      <c r="U61" s="766"/>
      <c r="V61" s="537"/>
      <c r="W61" s="537"/>
      <c r="X61" s="537"/>
      <c r="Y61" s="537"/>
      <c r="Z61" s="439"/>
      <c r="AA61" s="537"/>
      <c r="AB61" s="438"/>
      <c r="AC61" s="766"/>
      <c r="AD61" s="537"/>
      <c r="AE61" s="537"/>
      <c r="AF61" s="537"/>
      <c r="AG61" s="537"/>
      <c r="AH61" s="439"/>
      <c r="AI61" s="537"/>
      <c r="AJ61" s="438"/>
      <c r="AK61" s="766"/>
      <c r="AL61" s="537"/>
      <c r="AM61" s="537"/>
      <c r="AN61" s="537"/>
      <c r="AO61" s="537"/>
      <c r="AP61" s="537"/>
      <c r="AQ61" s="439"/>
      <c r="AR61" s="537"/>
      <c r="AS61" s="438"/>
      <c r="AT61" s="767"/>
      <c r="AU61" s="439"/>
      <c r="AV61" s="537"/>
      <c r="AW61" s="537"/>
      <c r="AX61" s="537"/>
      <c r="AY61" s="537"/>
      <c r="AZ61" s="537"/>
      <c r="BA61" s="438"/>
      <c r="BB61" s="766"/>
      <c r="BC61" s="439"/>
      <c r="BD61" s="537"/>
      <c r="BE61" s="537"/>
      <c r="BF61" s="537"/>
      <c r="BG61" s="537"/>
      <c r="BH61" s="537"/>
      <c r="BI61" s="438"/>
      <c r="BJ61" s="767"/>
      <c r="BK61" s="439"/>
      <c r="BL61" s="537"/>
      <c r="BM61" s="537"/>
      <c r="BN61" s="537"/>
      <c r="BO61" s="537"/>
      <c r="BP61" s="537"/>
      <c r="BQ61" s="537"/>
      <c r="BR61" s="438"/>
      <c r="BS61" s="766"/>
      <c r="BT61" s="439"/>
      <c r="BU61" s="537"/>
      <c r="BV61" s="537"/>
      <c r="BW61" s="537"/>
      <c r="BX61" s="537"/>
      <c r="BY61" s="537"/>
      <c r="BZ61" s="438"/>
      <c r="CA61" s="768"/>
      <c r="CB61" s="439"/>
      <c r="CC61" s="537"/>
      <c r="CD61" s="537"/>
      <c r="CE61" s="537"/>
      <c r="CF61" s="537"/>
      <c r="CG61" s="537"/>
      <c r="CH61" s="438"/>
      <c r="CI61" s="768"/>
      <c r="CJ61" s="439"/>
      <c r="CK61" s="537"/>
      <c r="CL61" s="537"/>
      <c r="CM61" s="537"/>
      <c r="CN61" s="537"/>
      <c r="CO61" s="537"/>
      <c r="CP61" s="438"/>
      <c r="CQ61" s="766"/>
      <c r="CR61" s="537"/>
      <c r="CS61" s="537"/>
      <c r="CT61" s="433"/>
      <c r="CU61" s="537" t="n">
        <f aca="false">+CR61-CS61</f>
        <v>0</v>
      </c>
      <c r="CV61" s="537" t="n">
        <f aca="false">+CR61-CT61</f>
        <v>0</v>
      </c>
      <c r="CW61" s="537"/>
      <c r="CX61" s="769" t="e">
        <f aca="false">+CR61/CW61-1</f>
        <v>#DIV/0!</v>
      </c>
      <c r="CY61" s="770"/>
      <c r="CZ61" s="771"/>
      <c r="DA61" s="537"/>
      <c r="DB61" s="537"/>
      <c r="DC61" s="537"/>
      <c r="DD61" s="537"/>
      <c r="DE61" s="438" t="e">
        <f aca="false">(CZ61-DD61)/DD61</f>
        <v>#DIV/0!</v>
      </c>
      <c r="DF61" s="438" t="e">
        <f aca="false">(DA61-DD61)/DD61</f>
        <v>#DIV/0!</v>
      </c>
      <c r="DG61" s="438" t="e">
        <f aca="false">(DB61-DD61)/DD61</f>
        <v>#DIV/0!</v>
      </c>
      <c r="DH61" s="438" t="e">
        <f aca="false">(DC61-DD61)/DD61</f>
        <v>#DIV/0!</v>
      </c>
      <c r="DI61" s="696"/>
      <c r="DJ61" s="37"/>
      <c r="DL61" s="37"/>
      <c r="DM61" s="400" t="n">
        <f aca="false">(CS61-CZ61)*10^6</f>
        <v>0</v>
      </c>
      <c r="DN61" s="400" t="n">
        <f aca="false">(CT61-DC61)*10^6</f>
        <v>0</v>
      </c>
      <c r="DO61" s="400" t="n">
        <f aca="false">(CW61-DD61)*10^6</f>
        <v>0</v>
      </c>
    </row>
    <row r="62" s="441" customFormat="true" ht="15" hidden="false" customHeight="true" outlineLevel="1" collapsed="false">
      <c r="A62" s="764"/>
      <c r="B62" s="765" t="s">
        <v>496</v>
      </c>
      <c r="C62" s="679" t="s">
        <v>569</v>
      </c>
      <c r="D62" s="537"/>
      <c r="E62" s="537"/>
      <c r="F62" s="537"/>
      <c r="G62" s="537"/>
      <c r="H62" s="438"/>
      <c r="I62" s="766"/>
      <c r="J62" s="537"/>
      <c r="K62" s="537"/>
      <c r="L62" s="537"/>
      <c r="M62" s="537"/>
      <c r="N62" s="438"/>
      <c r="O62" s="767"/>
      <c r="P62" s="537"/>
      <c r="Q62" s="537"/>
      <c r="R62" s="537"/>
      <c r="S62" s="537"/>
      <c r="T62" s="438"/>
      <c r="U62" s="766"/>
      <c r="V62" s="537"/>
      <c r="W62" s="537"/>
      <c r="X62" s="537"/>
      <c r="Y62" s="537"/>
      <c r="Z62" s="439"/>
      <c r="AA62" s="537"/>
      <c r="AB62" s="438"/>
      <c r="AC62" s="766"/>
      <c r="AD62" s="537"/>
      <c r="AE62" s="537"/>
      <c r="AF62" s="537"/>
      <c r="AG62" s="537"/>
      <c r="AH62" s="439"/>
      <c r="AI62" s="537"/>
      <c r="AJ62" s="438"/>
      <c r="AK62" s="766"/>
      <c r="AL62" s="537"/>
      <c r="AM62" s="537"/>
      <c r="AN62" s="537"/>
      <c r="AO62" s="537"/>
      <c r="AP62" s="537"/>
      <c r="AQ62" s="439"/>
      <c r="AR62" s="537"/>
      <c r="AS62" s="438"/>
      <c r="AT62" s="767"/>
      <c r="AU62" s="439"/>
      <c r="AV62" s="537"/>
      <c r="AW62" s="537"/>
      <c r="AX62" s="537"/>
      <c r="AY62" s="537"/>
      <c r="AZ62" s="537"/>
      <c r="BA62" s="438"/>
      <c r="BB62" s="766"/>
      <c r="BC62" s="439"/>
      <c r="BD62" s="537"/>
      <c r="BE62" s="537"/>
      <c r="BF62" s="537"/>
      <c r="BG62" s="537"/>
      <c r="BH62" s="537"/>
      <c r="BI62" s="438"/>
      <c r="BJ62" s="767"/>
      <c r="BK62" s="439"/>
      <c r="BL62" s="537"/>
      <c r="BM62" s="537"/>
      <c r="BN62" s="537"/>
      <c r="BO62" s="537"/>
      <c r="BP62" s="537"/>
      <c r="BQ62" s="537"/>
      <c r="BR62" s="438"/>
      <c r="BS62" s="766"/>
      <c r="BT62" s="439"/>
      <c r="BU62" s="537"/>
      <c r="BV62" s="537"/>
      <c r="BW62" s="537"/>
      <c r="BX62" s="537"/>
      <c r="BY62" s="537"/>
      <c r="BZ62" s="438"/>
      <c r="CA62" s="768"/>
      <c r="CB62" s="439"/>
      <c r="CC62" s="537"/>
      <c r="CD62" s="537"/>
      <c r="CE62" s="537"/>
      <c r="CF62" s="537"/>
      <c r="CG62" s="537"/>
      <c r="CH62" s="438"/>
      <c r="CI62" s="768"/>
      <c r="CJ62" s="439"/>
      <c r="CK62" s="537"/>
      <c r="CL62" s="537"/>
      <c r="CM62" s="537"/>
      <c r="CN62" s="537"/>
      <c r="CO62" s="537"/>
      <c r="CP62" s="438"/>
      <c r="CQ62" s="766"/>
      <c r="CR62" s="537"/>
      <c r="CS62" s="537"/>
      <c r="CT62" s="433"/>
      <c r="CU62" s="537" t="n">
        <f aca="false">+CR62-CS62</f>
        <v>0</v>
      </c>
      <c r="CV62" s="537" t="n">
        <f aca="false">+CR62-CT62</f>
        <v>0</v>
      </c>
      <c r="CW62" s="537"/>
      <c r="CX62" s="769"/>
      <c r="CY62" s="770"/>
      <c r="CZ62" s="771"/>
      <c r="DA62" s="537"/>
      <c r="DB62" s="537"/>
      <c r="DC62" s="537"/>
      <c r="DD62" s="537"/>
      <c r="DE62" s="438"/>
      <c r="DF62" s="438"/>
      <c r="DG62" s="438"/>
      <c r="DH62" s="438"/>
      <c r="DI62" s="696"/>
      <c r="DJ62" s="37"/>
      <c r="DL62" s="37"/>
      <c r="DM62" s="400" t="n">
        <f aca="false">(CS62-CZ62)*10^6</f>
        <v>0</v>
      </c>
      <c r="DN62" s="400" t="n">
        <f aca="false">(CT62-DC62)*10^6</f>
        <v>0</v>
      </c>
      <c r="DO62" s="400" t="n">
        <f aca="false">(CW62-DD62)*10^6</f>
        <v>0</v>
      </c>
    </row>
    <row r="63" s="441" customFormat="true" ht="15" hidden="false" customHeight="true" outlineLevel="1" collapsed="false">
      <c r="A63" s="764"/>
      <c r="B63" s="765" t="s">
        <v>498</v>
      </c>
      <c r="C63" s="679" t="s">
        <v>570</v>
      </c>
      <c r="D63" s="537"/>
      <c r="E63" s="537"/>
      <c r="F63" s="537"/>
      <c r="G63" s="537"/>
      <c r="H63" s="438"/>
      <c r="I63" s="766"/>
      <c r="J63" s="537"/>
      <c r="K63" s="537"/>
      <c r="L63" s="537"/>
      <c r="M63" s="537"/>
      <c r="N63" s="438"/>
      <c r="O63" s="767"/>
      <c r="P63" s="537"/>
      <c r="Q63" s="537"/>
      <c r="R63" s="537"/>
      <c r="S63" s="537"/>
      <c r="T63" s="438"/>
      <c r="U63" s="766"/>
      <c r="V63" s="537"/>
      <c r="W63" s="537"/>
      <c r="X63" s="537"/>
      <c r="Y63" s="537"/>
      <c r="Z63" s="439"/>
      <c r="AA63" s="537"/>
      <c r="AB63" s="438"/>
      <c r="AC63" s="766"/>
      <c r="AD63" s="537"/>
      <c r="AE63" s="537"/>
      <c r="AF63" s="537"/>
      <c r="AG63" s="537"/>
      <c r="AH63" s="439"/>
      <c r="AI63" s="537"/>
      <c r="AJ63" s="438"/>
      <c r="AK63" s="766"/>
      <c r="AL63" s="537"/>
      <c r="AM63" s="537"/>
      <c r="AN63" s="537"/>
      <c r="AO63" s="537"/>
      <c r="AP63" s="537"/>
      <c r="AQ63" s="439"/>
      <c r="AR63" s="537"/>
      <c r="AS63" s="438"/>
      <c r="AT63" s="767"/>
      <c r="AU63" s="439"/>
      <c r="AV63" s="537"/>
      <c r="AW63" s="537"/>
      <c r="AX63" s="537"/>
      <c r="AY63" s="537"/>
      <c r="AZ63" s="537"/>
      <c r="BA63" s="438"/>
      <c r="BB63" s="766"/>
      <c r="BC63" s="439"/>
      <c r="BD63" s="537"/>
      <c r="BE63" s="537"/>
      <c r="BF63" s="537"/>
      <c r="BG63" s="537"/>
      <c r="BH63" s="537"/>
      <c r="BI63" s="438"/>
      <c r="BJ63" s="767"/>
      <c r="BK63" s="439"/>
      <c r="BL63" s="537"/>
      <c r="BM63" s="537"/>
      <c r="BN63" s="537"/>
      <c r="BO63" s="537"/>
      <c r="BP63" s="537"/>
      <c r="BQ63" s="537"/>
      <c r="BR63" s="438"/>
      <c r="BS63" s="766"/>
      <c r="BT63" s="439"/>
      <c r="BU63" s="537"/>
      <c r="BV63" s="537"/>
      <c r="BW63" s="537"/>
      <c r="BX63" s="537"/>
      <c r="BY63" s="537"/>
      <c r="BZ63" s="438"/>
      <c r="CA63" s="768"/>
      <c r="CB63" s="439"/>
      <c r="CC63" s="537"/>
      <c r="CD63" s="537"/>
      <c r="CE63" s="537"/>
      <c r="CF63" s="537"/>
      <c r="CG63" s="537"/>
      <c r="CH63" s="438"/>
      <c r="CI63" s="768"/>
      <c r="CJ63" s="439"/>
      <c r="CK63" s="537"/>
      <c r="CL63" s="537"/>
      <c r="CM63" s="537"/>
      <c r="CN63" s="537"/>
      <c r="CO63" s="537"/>
      <c r="CP63" s="438"/>
      <c r="CQ63" s="766"/>
      <c r="CR63" s="537"/>
      <c r="CS63" s="537"/>
      <c r="CT63" s="433"/>
      <c r="CU63" s="537" t="n">
        <f aca="false">+CR63-CS63</f>
        <v>0</v>
      </c>
      <c r="CV63" s="537" t="n">
        <f aca="false">+CR63-CT63</f>
        <v>0</v>
      </c>
      <c r="CW63" s="537"/>
      <c r="CX63" s="769"/>
      <c r="CY63" s="770"/>
      <c r="CZ63" s="771"/>
      <c r="DA63" s="537"/>
      <c r="DB63" s="537"/>
      <c r="DC63" s="537"/>
      <c r="DD63" s="537"/>
      <c r="DE63" s="438"/>
      <c r="DF63" s="438"/>
      <c r="DG63" s="438"/>
      <c r="DH63" s="438"/>
      <c r="DI63" s="696"/>
      <c r="DJ63" s="37"/>
      <c r="DL63" s="37"/>
      <c r="DM63" s="400" t="n">
        <f aca="false">(CS63-CZ63)*10^6</f>
        <v>0</v>
      </c>
      <c r="DN63" s="400" t="n">
        <f aca="false">(CT63-DC63)*10^6</f>
        <v>0</v>
      </c>
      <c r="DO63" s="400" t="n">
        <f aca="false">(CW63-DD63)*10^6</f>
        <v>0</v>
      </c>
    </row>
    <row r="64" s="441" customFormat="true" ht="15" hidden="false" customHeight="true" outlineLevel="1" collapsed="false">
      <c r="A64" s="764"/>
      <c r="B64" s="765" t="s">
        <v>500</v>
      </c>
      <c r="C64" s="679" t="s">
        <v>571</v>
      </c>
      <c r="D64" s="537"/>
      <c r="E64" s="537"/>
      <c r="F64" s="537"/>
      <c r="G64" s="537"/>
      <c r="H64" s="438"/>
      <c r="I64" s="766"/>
      <c r="J64" s="537"/>
      <c r="K64" s="537"/>
      <c r="L64" s="537"/>
      <c r="M64" s="537"/>
      <c r="N64" s="438"/>
      <c r="O64" s="767"/>
      <c r="P64" s="537"/>
      <c r="Q64" s="537"/>
      <c r="R64" s="537"/>
      <c r="S64" s="537"/>
      <c r="T64" s="438"/>
      <c r="U64" s="766"/>
      <c r="V64" s="537"/>
      <c r="W64" s="537"/>
      <c r="X64" s="537"/>
      <c r="Y64" s="537"/>
      <c r="Z64" s="439"/>
      <c r="AA64" s="537"/>
      <c r="AB64" s="438"/>
      <c r="AC64" s="766"/>
      <c r="AD64" s="537"/>
      <c r="AE64" s="537"/>
      <c r="AF64" s="537"/>
      <c r="AG64" s="537"/>
      <c r="AH64" s="439"/>
      <c r="AI64" s="537"/>
      <c r="AJ64" s="438"/>
      <c r="AK64" s="766"/>
      <c r="AL64" s="537"/>
      <c r="AM64" s="537"/>
      <c r="AN64" s="537"/>
      <c r="AO64" s="537"/>
      <c r="AP64" s="537"/>
      <c r="AQ64" s="439"/>
      <c r="AR64" s="537"/>
      <c r="AS64" s="438"/>
      <c r="AT64" s="767"/>
      <c r="AU64" s="439"/>
      <c r="AV64" s="537"/>
      <c r="AW64" s="537"/>
      <c r="AX64" s="537"/>
      <c r="AY64" s="537"/>
      <c r="AZ64" s="537"/>
      <c r="BA64" s="438"/>
      <c r="BB64" s="766"/>
      <c r="BC64" s="439"/>
      <c r="BD64" s="537"/>
      <c r="BE64" s="537"/>
      <c r="BF64" s="537"/>
      <c r="BG64" s="537"/>
      <c r="BH64" s="537"/>
      <c r="BI64" s="438"/>
      <c r="BJ64" s="767"/>
      <c r="BK64" s="439"/>
      <c r="BL64" s="537"/>
      <c r="BM64" s="537"/>
      <c r="BN64" s="537"/>
      <c r="BO64" s="537"/>
      <c r="BP64" s="537"/>
      <c r="BQ64" s="537"/>
      <c r="BR64" s="438"/>
      <c r="BS64" s="766"/>
      <c r="BT64" s="439"/>
      <c r="BU64" s="537"/>
      <c r="BV64" s="537"/>
      <c r="BW64" s="537"/>
      <c r="BX64" s="537"/>
      <c r="BY64" s="537"/>
      <c r="BZ64" s="438"/>
      <c r="CA64" s="768"/>
      <c r="CB64" s="439"/>
      <c r="CC64" s="537"/>
      <c r="CD64" s="537"/>
      <c r="CE64" s="537"/>
      <c r="CF64" s="537"/>
      <c r="CG64" s="537"/>
      <c r="CH64" s="438"/>
      <c r="CI64" s="768"/>
      <c r="CJ64" s="439"/>
      <c r="CK64" s="537"/>
      <c r="CL64" s="537"/>
      <c r="CM64" s="537"/>
      <c r="CN64" s="537"/>
      <c r="CO64" s="537"/>
      <c r="CP64" s="438"/>
      <c r="CQ64" s="766"/>
      <c r="CR64" s="537"/>
      <c r="CS64" s="537"/>
      <c r="CT64" s="433"/>
      <c r="CU64" s="537" t="n">
        <f aca="false">+CR64-CS64</f>
        <v>0</v>
      </c>
      <c r="CV64" s="537" t="n">
        <f aca="false">+CR64-CT64</f>
        <v>0</v>
      </c>
      <c r="CW64" s="537"/>
      <c r="CX64" s="769"/>
      <c r="CY64" s="770"/>
      <c r="CZ64" s="771"/>
      <c r="DA64" s="537"/>
      <c r="DB64" s="537"/>
      <c r="DC64" s="537"/>
      <c r="DD64" s="537"/>
      <c r="DE64" s="438"/>
      <c r="DF64" s="438"/>
      <c r="DG64" s="438"/>
      <c r="DH64" s="438"/>
      <c r="DI64" s="696"/>
      <c r="DJ64" s="37"/>
      <c r="DL64" s="37"/>
      <c r="DM64" s="400" t="n">
        <f aca="false">(CS64-CZ64)*10^6</f>
        <v>0</v>
      </c>
      <c r="DN64" s="400" t="n">
        <f aca="false">(CT64-DC64)*10^6</f>
        <v>0</v>
      </c>
      <c r="DO64" s="400" t="n">
        <f aca="false">(CW64-DD64)*10^6</f>
        <v>0</v>
      </c>
    </row>
    <row r="65" s="441" customFormat="true" ht="15" hidden="false" customHeight="true" outlineLevel="1" collapsed="false">
      <c r="A65" s="764"/>
      <c r="B65" s="765" t="s">
        <v>502</v>
      </c>
      <c r="C65" s="679" t="s">
        <v>572</v>
      </c>
      <c r="D65" s="537"/>
      <c r="E65" s="537"/>
      <c r="F65" s="537"/>
      <c r="G65" s="537"/>
      <c r="H65" s="438"/>
      <c r="I65" s="766"/>
      <c r="J65" s="537"/>
      <c r="K65" s="537"/>
      <c r="L65" s="537"/>
      <c r="M65" s="537"/>
      <c r="N65" s="438"/>
      <c r="O65" s="767"/>
      <c r="P65" s="537"/>
      <c r="Q65" s="537"/>
      <c r="R65" s="537"/>
      <c r="S65" s="537"/>
      <c r="T65" s="438"/>
      <c r="U65" s="766"/>
      <c r="V65" s="537"/>
      <c r="W65" s="537"/>
      <c r="X65" s="537"/>
      <c r="Y65" s="537"/>
      <c r="Z65" s="439"/>
      <c r="AA65" s="537"/>
      <c r="AB65" s="438"/>
      <c r="AC65" s="766"/>
      <c r="AD65" s="537"/>
      <c r="AE65" s="537"/>
      <c r="AF65" s="537"/>
      <c r="AG65" s="537"/>
      <c r="AH65" s="439"/>
      <c r="AI65" s="537"/>
      <c r="AJ65" s="438"/>
      <c r="AK65" s="766"/>
      <c r="AL65" s="537"/>
      <c r="AM65" s="537"/>
      <c r="AN65" s="537"/>
      <c r="AO65" s="537"/>
      <c r="AP65" s="537"/>
      <c r="AQ65" s="439"/>
      <c r="AR65" s="537"/>
      <c r="AS65" s="438"/>
      <c r="AT65" s="767"/>
      <c r="AU65" s="439"/>
      <c r="AV65" s="537"/>
      <c r="AW65" s="537"/>
      <c r="AX65" s="537"/>
      <c r="AY65" s="537"/>
      <c r="AZ65" s="537"/>
      <c r="BA65" s="438"/>
      <c r="BB65" s="766"/>
      <c r="BC65" s="439"/>
      <c r="BD65" s="537"/>
      <c r="BE65" s="537"/>
      <c r="BF65" s="537"/>
      <c r="BG65" s="537"/>
      <c r="BH65" s="537"/>
      <c r="BI65" s="438"/>
      <c r="BJ65" s="767"/>
      <c r="BK65" s="439"/>
      <c r="BL65" s="537"/>
      <c r="BM65" s="537"/>
      <c r="BN65" s="537"/>
      <c r="BO65" s="537"/>
      <c r="BP65" s="537"/>
      <c r="BQ65" s="537"/>
      <c r="BR65" s="438"/>
      <c r="BS65" s="766"/>
      <c r="BT65" s="439"/>
      <c r="BU65" s="537"/>
      <c r="BV65" s="537"/>
      <c r="BW65" s="537"/>
      <c r="BX65" s="537"/>
      <c r="BY65" s="537"/>
      <c r="BZ65" s="438"/>
      <c r="CA65" s="768"/>
      <c r="CB65" s="439"/>
      <c r="CC65" s="537"/>
      <c r="CD65" s="537"/>
      <c r="CE65" s="537"/>
      <c r="CF65" s="537"/>
      <c r="CG65" s="537"/>
      <c r="CH65" s="438"/>
      <c r="CI65" s="768"/>
      <c r="CJ65" s="439"/>
      <c r="CK65" s="537"/>
      <c r="CL65" s="537"/>
      <c r="CM65" s="537"/>
      <c r="CN65" s="537"/>
      <c r="CO65" s="537"/>
      <c r="CP65" s="438"/>
      <c r="CQ65" s="766"/>
      <c r="CR65" s="537"/>
      <c r="CS65" s="537"/>
      <c r="CT65" s="433"/>
      <c r="CU65" s="537" t="n">
        <f aca="false">+CR65-CS65</f>
        <v>0</v>
      </c>
      <c r="CV65" s="537" t="n">
        <f aca="false">+CR65-CT65</f>
        <v>0</v>
      </c>
      <c r="CW65" s="537"/>
      <c r="CX65" s="769" t="e">
        <f aca="false">+CR65/CW65-1</f>
        <v>#DIV/0!</v>
      </c>
      <c r="CY65" s="770"/>
      <c r="CZ65" s="771"/>
      <c r="DA65" s="537"/>
      <c r="DB65" s="537"/>
      <c r="DC65" s="537"/>
      <c r="DD65" s="537"/>
      <c r="DE65" s="438" t="e">
        <f aca="false">(CZ65-DD65)/DD65</f>
        <v>#DIV/0!</v>
      </c>
      <c r="DF65" s="438" t="e">
        <f aca="false">(DA65-DD65)/DD65</f>
        <v>#DIV/0!</v>
      </c>
      <c r="DG65" s="438" t="e">
        <f aca="false">(DB65-DD65)/DD65</f>
        <v>#DIV/0!</v>
      </c>
      <c r="DH65" s="438" t="e">
        <f aca="false">(DC65-DD65)/DD65</f>
        <v>#DIV/0!</v>
      </c>
      <c r="DI65" s="696"/>
      <c r="DJ65" s="37"/>
      <c r="DL65" s="37"/>
      <c r="DM65" s="400" t="n">
        <f aca="false">(CS65-CZ65)*10^6</f>
        <v>0</v>
      </c>
      <c r="DN65" s="400" t="n">
        <f aca="false">(CT65-DC65)*10^6</f>
        <v>0</v>
      </c>
      <c r="DO65" s="400" t="n">
        <f aca="false">(CW65-DD65)*10^6</f>
        <v>0</v>
      </c>
    </row>
    <row r="66" s="441" customFormat="true" ht="15" hidden="false" customHeight="true" outlineLevel="1" collapsed="false">
      <c r="A66" s="764"/>
      <c r="B66" s="765" t="s">
        <v>504</v>
      </c>
      <c r="C66" s="679" t="s">
        <v>573</v>
      </c>
      <c r="D66" s="537"/>
      <c r="E66" s="537"/>
      <c r="F66" s="537"/>
      <c r="G66" s="537"/>
      <c r="H66" s="438"/>
      <c r="I66" s="766"/>
      <c r="J66" s="537"/>
      <c r="K66" s="537"/>
      <c r="L66" s="537"/>
      <c r="M66" s="537"/>
      <c r="N66" s="438"/>
      <c r="O66" s="767"/>
      <c r="P66" s="537"/>
      <c r="Q66" s="537"/>
      <c r="R66" s="537"/>
      <c r="S66" s="537"/>
      <c r="T66" s="438"/>
      <c r="U66" s="766"/>
      <c r="V66" s="537"/>
      <c r="W66" s="537"/>
      <c r="X66" s="537"/>
      <c r="Y66" s="537"/>
      <c r="Z66" s="439"/>
      <c r="AA66" s="537"/>
      <c r="AB66" s="438"/>
      <c r="AC66" s="766"/>
      <c r="AD66" s="537"/>
      <c r="AE66" s="537"/>
      <c r="AF66" s="537"/>
      <c r="AG66" s="537"/>
      <c r="AH66" s="439"/>
      <c r="AI66" s="537"/>
      <c r="AJ66" s="438"/>
      <c r="AK66" s="766"/>
      <c r="AL66" s="537"/>
      <c r="AM66" s="537"/>
      <c r="AN66" s="537"/>
      <c r="AO66" s="537"/>
      <c r="AP66" s="537"/>
      <c r="AQ66" s="439"/>
      <c r="AR66" s="537"/>
      <c r="AS66" s="438"/>
      <c r="AT66" s="767"/>
      <c r="AU66" s="439"/>
      <c r="AV66" s="537"/>
      <c r="AW66" s="537"/>
      <c r="AX66" s="537"/>
      <c r="AY66" s="537"/>
      <c r="AZ66" s="537"/>
      <c r="BA66" s="438"/>
      <c r="BB66" s="766"/>
      <c r="BC66" s="439"/>
      <c r="BD66" s="537"/>
      <c r="BE66" s="537"/>
      <c r="BF66" s="537"/>
      <c r="BG66" s="537"/>
      <c r="BH66" s="537"/>
      <c r="BI66" s="438"/>
      <c r="BJ66" s="767"/>
      <c r="BK66" s="439"/>
      <c r="BL66" s="537"/>
      <c r="BM66" s="537"/>
      <c r="BN66" s="537"/>
      <c r="BO66" s="537"/>
      <c r="BP66" s="537"/>
      <c r="BQ66" s="537"/>
      <c r="BR66" s="438"/>
      <c r="BS66" s="766"/>
      <c r="BT66" s="439"/>
      <c r="BU66" s="537"/>
      <c r="BV66" s="537"/>
      <c r="BW66" s="537"/>
      <c r="BX66" s="537"/>
      <c r="BY66" s="537"/>
      <c r="BZ66" s="438"/>
      <c r="CA66" s="768"/>
      <c r="CB66" s="439"/>
      <c r="CC66" s="537"/>
      <c r="CD66" s="537"/>
      <c r="CE66" s="537"/>
      <c r="CF66" s="537"/>
      <c r="CG66" s="537"/>
      <c r="CH66" s="438"/>
      <c r="CI66" s="768"/>
      <c r="CJ66" s="439"/>
      <c r="CK66" s="537"/>
      <c r="CL66" s="537"/>
      <c r="CM66" s="537"/>
      <c r="CN66" s="537"/>
      <c r="CO66" s="537"/>
      <c r="CP66" s="438"/>
      <c r="CQ66" s="766"/>
      <c r="CR66" s="537"/>
      <c r="CS66" s="537"/>
      <c r="CT66" s="433"/>
      <c r="CU66" s="537" t="n">
        <f aca="false">+CR66-CS66</f>
        <v>0</v>
      </c>
      <c r="CV66" s="537" t="n">
        <f aca="false">+CR66-CT66</f>
        <v>0</v>
      </c>
      <c r="CW66" s="537"/>
      <c r="CX66" s="769" t="e">
        <f aca="false">+CR66/CW66-1</f>
        <v>#DIV/0!</v>
      </c>
      <c r="CY66" s="770"/>
      <c r="CZ66" s="771"/>
      <c r="DA66" s="537"/>
      <c r="DB66" s="537"/>
      <c r="DC66" s="537"/>
      <c r="DD66" s="537"/>
      <c r="DE66" s="438" t="e">
        <f aca="false">(CZ66-DD66)/DD66</f>
        <v>#DIV/0!</v>
      </c>
      <c r="DF66" s="438" t="e">
        <f aca="false">(DA66-DD66)/DD66</f>
        <v>#DIV/0!</v>
      </c>
      <c r="DG66" s="438" t="e">
        <f aca="false">(DB66-DD66)/DD66</f>
        <v>#DIV/0!</v>
      </c>
      <c r="DH66" s="438" t="e">
        <f aca="false">(DC66-DD66)/DD66</f>
        <v>#DIV/0!</v>
      </c>
      <c r="DI66" s="696"/>
      <c r="DJ66" s="37"/>
      <c r="DL66" s="37"/>
      <c r="DM66" s="400" t="n">
        <f aca="false">(CS66-CZ66)*10^6</f>
        <v>0</v>
      </c>
      <c r="DN66" s="400" t="n">
        <f aca="false">(CT66-DC66)*10^6</f>
        <v>0</v>
      </c>
      <c r="DO66" s="400" t="n">
        <f aca="false">(CW66-DD66)*10^6</f>
        <v>0</v>
      </c>
    </row>
    <row r="67" s="441" customFormat="true" ht="15" hidden="false" customHeight="true" outlineLevel="1" collapsed="false">
      <c r="A67" s="764"/>
      <c r="B67" s="765" t="s">
        <v>506</v>
      </c>
      <c r="C67" s="679" t="s">
        <v>574</v>
      </c>
      <c r="D67" s="537"/>
      <c r="E67" s="537"/>
      <c r="F67" s="537"/>
      <c r="G67" s="537"/>
      <c r="H67" s="438"/>
      <c r="I67" s="766"/>
      <c r="J67" s="537"/>
      <c r="K67" s="537"/>
      <c r="L67" s="537"/>
      <c r="M67" s="537"/>
      <c r="N67" s="438"/>
      <c r="O67" s="767"/>
      <c r="P67" s="537"/>
      <c r="Q67" s="537"/>
      <c r="R67" s="537"/>
      <c r="S67" s="537"/>
      <c r="T67" s="438"/>
      <c r="U67" s="766"/>
      <c r="V67" s="537"/>
      <c r="W67" s="537"/>
      <c r="X67" s="537"/>
      <c r="Y67" s="537"/>
      <c r="Z67" s="439"/>
      <c r="AA67" s="537"/>
      <c r="AB67" s="438"/>
      <c r="AC67" s="766"/>
      <c r="AD67" s="537"/>
      <c r="AE67" s="537"/>
      <c r="AF67" s="537"/>
      <c r="AG67" s="537"/>
      <c r="AH67" s="439"/>
      <c r="AI67" s="537"/>
      <c r="AJ67" s="438"/>
      <c r="AK67" s="766"/>
      <c r="AL67" s="537"/>
      <c r="AM67" s="537"/>
      <c r="AN67" s="537"/>
      <c r="AO67" s="537"/>
      <c r="AP67" s="537"/>
      <c r="AQ67" s="439"/>
      <c r="AR67" s="537"/>
      <c r="AS67" s="438"/>
      <c r="AT67" s="767"/>
      <c r="AU67" s="439"/>
      <c r="AV67" s="537"/>
      <c r="AW67" s="537"/>
      <c r="AX67" s="537"/>
      <c r="AY67" s="537"/>
      <c r="AZ67" s="537"/>
      <c r="BA67" s="438"/>
      <c r="BB67" s="766"/>
      <c r="BC67" s="439"/>
      <c r="BD67" s="537"/>
      <c r="BE67" s="537"/>
      <c r="BF67" s="537"/>
      <c r="BG67" s="537"/>
      <c r="BH67" s="537"/>
      <c r="BI67" s="438"/>
      <c r="BJ67" s="767"/>
      <c r="BK67" s="439"/>
      <c r="BL67" s="537"/>
      <c r="BM67" s="537"/>
      <c r="BN67" s="537"/>
      <c r="BO67" s="537"/>
      <c r="BP67" s="537"/>
      <c r="BQ67" s="537"/>
      <c r="BR67" s="438"/>
      <c r="BS67" s="766"/>
      <c r="BT67" s="439"/>
      <c r="BU67" s="537"/>
      <c r="BV67" s="537"/>
      <c r="BW67" s="537"/>
      <c r="BX67" s="537"/>
      <c r="BY67" s="537"/>
      <c r="BZ67" s="438"/>
      <c r="CA67" s="768"/>
      <c r="CB67" s="439"/>
      <c r="CC67" s="537"/>
      <c r="CD67" s="537"/>
      <c r="CE67" s="537"/>
      <c r="CF67" s="537"/>
      <c r="CG67" s="537"/>
      <c r="CH67" s="438"/>
      <c r="CI67" s="768"/>
      <c r="CJ67" s="439"/>
      <c r="CK67" s="537"/>
      <c r="CL67" s="537"/>
      <c r="CM67" s="537"/>
      <c r="CN67" s="537"/>
      <c r="CO67" s="537"/>
      <c r="CP67" s="438"/>
      <c r="CQ67" s="766"/>
      <c r="CR67" s="537"/>
      <c r="CS67" s="537"/>
      <c r="CT67" s="433"/>
      <c r="CU67" s="537" t="n">
        <f aca="false">+CR67-CS67</f>
        <v>0</v>
      </c>
      <c r="CV67" s="537" t="n">
        <f aca="false">+CR67-CT67</f>
        <v>0</v>
      </c>
      <c r="CW67" s="537"/>
      <c r="CX67" s="769" t="e">
        <f aca="false">+CR67/CW67-1</f>
        <v>#DIV/0!</v>
      </c>
      <c r="CY67" s="770"/>
      <c r="CZ67" s="771"/>
      <c r="DA67" s="537"/>
      <c r="DB67" s="537"/>
      <c r="DC67" s="537"/>
      <c r="DD67" s="537"/>
      <c r="DE67" s="438" t="e">
        <f aca="false">(CZ67-DD67)/DD67</f>
        <v>#DIV/0!</v>
      </c>
      <c r="DF67" s="438" t="e">
        <f aca="false">(DA67-DD67)/DD67</f>
        <v>#DIV/0!</v>
      </c>
      <c r="DG67" s="438" t="e">
        <f aca="false">(DB67-DD67)/DD67</f>
        <v>#DIV/0!</v>
      </c>
      <c r="DH67" s="438" t="e">
        <f aca="false">(DC67-DD67)/DD67</f>
        <v>#DIV/0!</v>
      </c>
      <c r="DI67" s="696"/>
      <c r="DJ67" s="37"/>
      <c r="DL67" s="37"/>
      <c r="DM67" s="400" t="n">
        <f aca="false">(CS67-CZ67)*10^6</f>
        <v>0</v>
      </c>
      <c r="DN67" s="400" t="n">
        <f aca="false">(CT67-DC67)*10^6</f>
        <v>0</v>
      </c>
      <c r="DO67" s="400" t="n">
        <f aca="false">(CW67-DD67)*10^6</f>
        <v>0</v>
      </c>
    </row>
    <row r="68" s="763" customFormat="true" ht="15" hidden="false" customHeight="true" outlineLevel="1" collapsed="false">
      <c r="A68" s="749"/>
      <c r="B68" s="750" t="s">
        <v>508</v>
      </c>
      <c r="C68" s="679" t="s">
        <v>575</v>
      </c>
      <c r="D68" s="752"/>
      <c r="E68" s="752"/>
      <c r="F68" s="752"/>
      <c r="G68" s="752"/>
      <c r="H68" s="753"/>
      <c r="I68" s="754"/>
      <c r="J68" s="752"/>
      <c r="K68" s="752"/>
      <c r="L68" s="752"/>
      <c r="M68" s="752"/>
      <c r="N68" s="753"/>
      <c r="O68" s="755"/>
      <c r="P68" s="752"/>
      <c r="Q68" s="752"/>
      <c r="R68" s="752"/>
      <c r="S68" s="752"/>
      <c r="T68" s="753"/>
      <c r="U68" s="754"/>
      <c r="V68" s="752"/>
      <c r="W68" s="752"/>
      <c r="X68" s="752"/>
      <c r="Y68" s="752"/>
      <c r="Z68" s="751"/>
      <c r="AA68" s="752"/>
      <c r="AB68" s="753"/>
      <c r="AC68" s="754"/>
      <c r="AD68" s="752"/>
      <c r="AE68" s="752"/>
      <c r="AF68" s="752"/>
      <c r="AG68" s="752"/>
      <c r="AH68" s="751"/>
      <c r="AI68" s="752"/>
      <c r="AJ68" s="753"/>
      <c r="AK68" s="754"/>
      <c r="AL68" s="752"/>
      <c r="AM68" s="752"/>
      <c r="AN68" s="752"/>
      <c r="AO68" s="752"/>
      <c r="AP68" s="752"/>
      <c r="AQ68" s="751"/>
      <c r="AR68" s="752"/>
      <c r="AS68" s="753"/>
      <c r="AT68" s="755"/>
      <c r="AU68" s="751"/>
      <c r="AV68" s="752"/>
      <c r="AW68" s="752"/>
      <c r="AX68" s="752"/>
      <c r="AY68" s="752"/>
      <c r="AZ68" s="752"/>
      <c r="BA68" s="753"/>
      <c r="BB68" s="754"/>
      <c r="BC68" s="751"/>
      <c r="BD68" s="752"/>
      <c r="BE68" s="752"/>
      <c r="BF68" s="752"/>
      <c r="BG68" s="752"/>
      <c r="BH68" s="752"/>
      <c r="BI68" s="753"/>
      <c r="BJ68" s="755"/>
      <c r="BK68" s="751"/>
      <c r="BL68" s="752"/>
      <c r="BM68" s="752"/>
      <c r="BN68" s="752"/>
      <c r="BO68" s="752"/>
      <c r="BP68" s="752"/>
      <c r="BQ68" s="752"/>
      <c r="BR68" s="753"/>
      <c r="BS68" s="754"/>
      <c r="BT68" s="751"/>
      <c r="BU68" s="752"/>
      <c r="BV68" s="752"/>
      <c r="BW68" s="752"/>
      <c r="BX68" s="752"/>
      <c r="BY68" s="752"/>
      <c r="BZ68" s="753"/>
      <c r="CA68" s="757"/>
      <c r="CB68" s="751"/>
      <c r="CC68" s="752"/>
      <c r="CD68" s="752"/>
      <c r="CE68" s="752"/>
      <c r="CF68" s="752"/>
      <c r="CG68" s="752"/>
      <c r="CH68" s="753"/>
      <c r="CI68" s="757"/>
      <c r="CJ68" s="751"/>
      <c r="CK68" s="752"/>
      <c r="CL68" s="752"/>
      <c r="CM68" s="752"/>
      <c r="CN68" s="752"/>
      <c r="CO68" s="752"/>
      <c r="CP68" s="753"/>
      <c r="CQ68" s="754"/>
      <c r="CR68" s="752"/>
      <c r="CS68" s="752"/>
      <c r="CT68" s="758"/>
      <c r="CU68" s="752" t="n">
        <f aca="false">+CR68-CS68</f>
        <v>0</v>
      </c>
      <c r="CV68" s="752" t="n">
        <f aca="false">+CR68-CT68</f>
        <v>0</v>
      </c>
      <c r="CW68" s="752"/>
      <c r="CX68" s="759" t="e">
        <f aca="false">+CR68/CW68-1</f>
        <v>#DIV/0!</v>
      </c>
      <c r="CY68" s="760"/>
      <c r="CZ68" s="761"/>
      <c r="DA68" s="752"/>
      <c r="DB68" s="752"/>
      <c r="DC68" s="752"/>
      <c r="DD68" s="752"/>
      <c r="DE68" s="753" t="e">
        <f aca="false">(CZ68-DD68)/DD68</f>
        <v>#DIV/0!</v>
      </c>
      <c r="DF68" s="753" t="e">
        <f aca="false">(DA68-DD68)/DD68</f>
        <v>#DIV/0!</v>
      </c>
      <c r="DG68" s="753" t="e">
        <f aca="false">(DB68-DD68)/DD68</f>
        <v>#DIV/0!</v>
      </c>
      <c r="DH68" s="753" t="e">
        <f aca="false">(DC68-DD68)/DD68</f>
        <v>#DIV/0!</v>
      </c>
      <c r="DI68" s="696"/>
      <c r="DJ68" s="37"/>
      <c r="DL68" s="37"/>
      <c r="DM68" s="400" t="n">
        <f aca="false">(CS68-CZ68)*10^6</f>
        <v>0</v>
      </c>
      <c r="DN68" s="400" t="n">
        <f aca="false">(CT68-DC68)*10^6</f>
        <v>0</v>
      </c>
      <c r="DO68" s="400" t="n">
        <f aca="false">(CW68-DD68)*10^6</f>
        <v>0</v>
      </c>
    </row>
    <row r="69" s="818" customFormat="true" ht="15" hidden="false" customHeight="true" outlineLevel="1" collapsed="false">
      <c r="A69" s="815"/>
      <c r="B69" s="816"/>
      <c r="C69" s="679" t="s">
        <v>576</v>
      </c>
      <c r="D69" s="433"/>
      <c r="E69" s="433"/>
      <c r="F69" s="433"/>
      <c r="G69" s="433"/>
      <c r="H69" s="434"/>
      <c r="I69" s="435"/>
      <c r="J69" s="433"/>
      <c r="K69" s="433"/>
      <c r="L69" s="433"/>
      <c r="M69" s="433"/>
      <c r="N69" s="434"/>
      <c r="O69" s="423"/>
      <c r="P69" s="433"/>
      <c r="Q69" s="433"/>
      <c r="R69" s="433"/>
      <c r="S69" s="433"/>
      <c r="T69" s="434"/>
      <c r="U69" s="435"/>
      <c r="V69" s="433"/>
      <c r="W69" s="433"/>
      <c r="X69" s="433"/>
      <c r="Y69" s="433"/>
      <c r="Z69" s="432"/>
      <c r="AA69" s="433"/>
      <c r="AB69" s="434"/>
      <c r="AC69" s="435"/>
      <c r="AD69" s="433"/>
      <c r="AE69" s="433"/>
      <c r="AF69" s="433"/>
      <c r="AG69" s="433"/>
      <c r="AH69" s="432"/>
      <c r="AI69" s="433"/>
      <c r="AJ69" s="434"/>
      <c r="AK69" s="435"/>
      <c r="AL69" s="433"/>
      <c r="AM69" s="433"/>
      <c r="AN69" s="433"/>
      <c r="AO69" s="433"/>
      <c r="AP69" s="433"/>
      <c r="AQ69" s="432"/>
      <c r="AR69" s="433"/>
      <c r="AS69" s="434"/>
      <c r="AT69" s="423"/>
      <c r="AU69" s="432"/>
      <c r="AV69" s="433"/>
      <c r="AW69" s="433"/>
      <c r="AX69" s="433"/>
      <c r="AY69" s="433"/>
      <c r="AZ69" s="433"/>
      <c r="BA69" s="434"/>
      <c r="BB69" s="435"/>
      <c r="BC69" s="432"/>
      <c r="BD69" s="433"/>
      <c r="BE69" s="433"/>
      <c r="BF69" s="433"/>
      <c r="BG69" s="433"/>
      <c r="BH69" s="433"/>
      <c r="BI69" s="434"/>
      <c r="BJ69" s="423"/>
      <c r="BK69" s="432"/>
      <c r="BL69" s="433"/>
      <c r="BM69" s="433"/>
      <c r="BN69" s="433"/>
      <c r="BO69" s="433"/>
      <c r="BP69" s="433"/>
      <c r="BQ69" s="433"/>
      <c r="BR69" s="434"/>
      <c r="BS69" s="435"/>
      <c r="BT69" s="432"/>
      <c r="BU69" s="433"/>
      <c r="BV69" s="433"/>
      <c r="BW69" s="433"/>
      <c r="BX69" s="433"/>
      <c r="BY69" s="433"/>
      <c r="BZ69" s="434"/>
      <c r="CA69" s="422"/>
      <c r="CB69" s="432"/>
      <c r="CC69" s="433"/>
      <c r="CD69" s="433"/>
      <c r="CE69" s="433"/>
      <c r="CF69" s="433"/>
      <c r="CG69" s="433"/>
      <c r="CH69" s="434"/>
      <c r="CI69" s="422"/>
      <c r="CJ69" s="432"/>
      <c r="CK69" s="433"/>
      <c r="CL69" s="433"/>
      <c r="CM69" s="433"/>
      <c r="CN69" s="433"/>
      <c r="CO69" s="433"/>
      <c r="CP69" s="434"/>
      <c r="CQ69" s="435"/>
      <c r="CR69" s="433"/>
      <c r="CS69" s="433"/>
      <c r="CT69" s="433"/>
      <c r="CU69" s="433" t="n">
        <f aca="false">+CR69-CS69</f>
        <v>0</v>
      </c>
      <c r="CV69" s="433" t="n">
        <f aca="false">+CR69-CT69</f>
        <v>0</v>
      </c>
      <c r="CW69" s="433"/>
      <c r="CX69" s="791"/>
      <c r="CY69" s="206"/>
      <c r="CZ69" s="817"/>
      <c r="DA69" s="433"/>
      <c r="DB69" s="433"/>
      <c r="DC69" s="433"/>
      <c r="DD69" s="433"/>
      <c r="DE69" s="434"/>
      <c r="DF69" s="434"/>
      <c r="DG69" s="434"/>
      <c r="DH69" s="434"/>
      <c r="DI69" s="696"/>
      <c r="DJ69" s="37"/>
      <c r="DL69" s="37"/>
      <c r="DM69" s="400" t="n">
        <f aca="false">(CS69-CZ69)*10^6</f>
        <v>0</v>
      </c>
      <c r="DN69" s="400" t="n">
        <f aca="false">(CT69-DC69)*10^6</f>
        <v>0</v>
      </c>
      <c r="DO69" s="400" t="n">
        <f aca="false">(CW69-DD69)*10^6</f>
        <v>0</v>
      </c>
    </row>
    <row r="70" s="818" customFormat="true" ht="15" hidden="false" customHeight="true" outlineLevel="1" collapsed="false">
      <c r="A70" s="815"/>
      <c r="B70" s="765" t="s">
        <v>511</v>
      </c>
      <c r="C70" s="679" t="s">
        <v>577</v>
      </c>
      <c r="D70" s="537"/>
      <c r="E70" s="537"/>
      <c r="F70" s="433"/>
      <c r="G70" s="537"/>
      <c r="H70" s="434"/>
      <c r="I70" s="435"/>
      <c r="J70" s="537"/>
      <c r="K70" s="537"/>
      <c r="L70" s="433"/>
      <c r="M70" s="537"/>
      <c r="N70" s="434"/>
      <c r="O70" s="423"/>
      <c r="P70" s="537"/>
      <c r="Q70" s="537"/>
      <c r="R70" s="433"/>
      <c r="S70" s="537"/>
      <c r="T70" s="434"/>
      <c r="U70" s="435"/>
      <c r="V70" s="537"/>
      <c r="W70" s="537"/>
      <c r="X70" s="537"/>
      <c r="Y70" s="433"/>
      <c r="Z70" s="432"/>
      <c r="AA70" s="537"/>
      <c r="AB70" s="434"/>
      <c r="AC70" s="435"/>
      <c r="AD70" s="537"/>
      <c r="AE70" s="537"/>
      <c r="AF70" s="537"/>
      <c r="AG70" s="433"/>
      <c r="AH70" s="432"/>
      <c r="AI70" s="537"/>
      <c r="AJ70" s="434"/>
      <c r="AK70" s="435"/>
      <c r="AL70" s="537"/>
      <c r="AM70" s="537"/>
      <c r="AN70" s="537"/>
      <c r="AO70" s="537"/>
      <c r="AP70" s="433"/>
      <c r="AQ70" s="432"/>
      <c r="AR70" s="537"/>
      <c r="AS70" s="434"/>
      <c r="AT70" s="423"/>
      <c r="AU70" s="439"/>
      <c r="AV70" s="537"/>
      <c r="AW70" s="537"/>
      <c r="AX70" s="433"/>
      <c r="AY70" s="433"/>
      <c r="AZ70" s="537"/>
      <c r="BA70" s="434"/>
      <c r="BB70" s="435"/>
      <c r="BC70" s="439"/>
      <c r="BD70" s="537"/>
      <c r="BE70" s="537"/>
      <c r="BF70" s="433"/>
      <c r="BG70" s="433"/>
      <c r="BH70" s="537"/>
      <c r="BI70" s="434"/>
      <c r="BJ70" s="423"/>
      <c r="BK70" s="439"/>
      <c r="BL70" s="537"/>
      <c r="BM70" s="537"/>
      <c r="BN70" s="537"/>
      <c r="BO70" s="433"/>
      <c r="BP70" s="433"/>
      <c r="BQ70" s="537"/>
      <c r="BR70" s="434"/>
      <c r="BS70" s="435"/>
      <c r="BT70" s="439"/>
      <c r="BU70" s="537"/>
      <c r="BV70" s="537"/>
      <c r="BW70" s="433"/>
      <c r="BX70" s="433"/>
      <c r="BY70" s="537"/>
      <c r="BZ70" s="434"/>
      <c r="CA70" s="422"/>
      <c r="CB70" s="439"/>
      <c r="CC70" s="537"/>
      <c r="CD70" s="537"/>
      <c r="CE70" s="433"/>
      <c r="CF70" s="433"/>
      <c r="CG70" s="537"/>
      <c r="CH70" s="434"/>
      <c r="CI70" s="422"/>
      <c r="CJ70" s="439"/>
      <c r="CK70" s="537"/>
      <c r="CL70" s="537"/>
      <c r="CM70" s="433"/>
      <c r="CN70" s="433"/>
      <c r="CO70" s="537"/>
      <c r="CP70" s="434"/>
      <c r="CQ70" s="435"/>
      <c r="CR70" s="433"/>
      <c r="CS70" s="433"/>
      <c r="CT70" s="433"/>
      <c r="CU70" s="433" t="n">
        <f aca="false">+CR70-CS70</f>
        <v>0</v>
      </c>
      <c r="CV70" s="433" t="n">
        <f aca="false">+CR70-CT70</f>
        <v>0</v>
      </c>
      <c r="CW70" s="433"/>
      <c r="CX70" s="791" t="e">
        <f aca="false">+CR70/CW70-1</f>
        <v>#DIV/0!</v>
      </c>
      <c r="CY70" s="206"/>
      <c r="CZ70" s="771"/>
      <c r="DA70" s="537"/>
      <c r="DB70" s="537"/>
      <c r="DC70" s="537"/>
      <c r="DD70" s="537"/>
      <c r="DE70" s="434" t="e">
        <f aca="false">(CZ70-DD70)/DD70</f>
        <v>#DIV/0!</v>
      </c>
      <c r="DF70" s="434" t="e">
        <f aca="false">(DA70-DD70)/DD70</f>
        <v>#DIV/0!</v>
      </c>
      <c r="DG70" s="434" t="e">
        <f aca="false">(DB70-DD70)/DD70</f>
        <v>#DIV/0!</v>
      </c>
      <c r="DH70" s="434" t="e">
        <f aca="false">(DC70-DD70)/DD70</f>
        <v>#DIV/0!</v>
      </c>
      <c r="DI70" s="696"/>
      <c r="DJ70" s="37"/>
      <c r="DL70" s="37"/>
      <c r="DM70" s="400" t="n">
        <f aca="false">(CS70-CZ70)*10^6</f>
        <v>0</v>
      </c>
      <c r="DN70" s="400" t="n">
        <f aca="false">(CT70-DC70)*10^6</f>
        <v>0</v>
      </c>
      <c r="DO70" s="400" t="n">
        <f aca="false">(CW70-DD70)*10^6</f>
        <v>0</v>
      </c>
    </row>
    <row r="71" s="818" customFormat="true" ht="15" hidden="false" customHeight="true" outlineLevel="1" collapsed="false">
      <c r="A71" s="815"/>
      <c r="B71" s="765" t="s">
        <v>513</v>
      </c>
      <c r="C71" s="679" t="s">
        <v>578</v>
      </c>
      <c r="D71" s="537"/>
      <c r="E71" s="537"/>
      <c r="F71" s="433"/>
      <c r="G71" s="537"/>
      <c r="H71" s="434"/>
      <c r="I71" s="435"/>
      <c r="J71" s="537"/>
      <c r="K71" s="537"/>
      <c r="L71" s="433"/>
      <c r="M71" s="537"/>
      <c r="N71" s="434"/>
      <c r="O71" s="423"/>
      <c r="P71" s="537"/>
      <c r="Q71" s="537"/>
      <c r="R71" s="433"/>
      <c r="S71" s="537"/>
      <c r="T71" s="434"/>
      <c r="U71" s="435"/>
      <c r="V71" s="537"/>
      <c r="W71" s="537"/>
      <c r="X71" s="537"/>
      <c r="Y71" s="433"/>
      <c r="Z71" s="432"/>
      <c r="AA71" s="537"/>
      <c r="AB71" s="434"/>
      <c r="AC71" s="435"/>
      <c r="AD71" s="537"/>
      <c r="AE71" s="537"/>
      <c r="AF71" s="537"/>
      <c r="AG71" s="433"/>
      <c r="AH71" s="432"/>
      <c r="AI71" s="537"/>
      <c r="AJ71" s="434"/>
      <c r="AK71" s="435"/>
      <c r="AL71" s="537"/>
      <c r="AM71" s="537"/>
      <c r="AN71" s="537"/>
      <c r="AO71" s="537"/>
      <c r="AP71" s="433"/>
      <c r="AQ71" s="432"/>
      <c r="AR71" s="537"/>
      <c r="AS71" s="434"/>
      <c r="AT71" s="423"/>
      <c r="AU71" s="439"/>
      <c r="AV71" s="537"/>
      <c r="AW71" s="537"/>
      <c r="AX71" s="433"/>
      <c r="AY71" s="433"/>
      <c r="AZ71" s="537"/>
      <c r="BA71" s="434"/>
      <c r="BB71" s="435"/>
      <c r="BC71" s="439"/>
      <c r="BD71" s="537"/>
      <c r="BE71" s="537"/>
      <c r="BF71" s="433"/>
      <c r="BG71" s="433"/>
      <c r="BH71" s="537"/>
      <c r="BI71" s="434"/>
      <c r="BJ71" s="423"/>
      <c r="BK71" s="439"/>
      <c r="BL71" s="537"/>
      <c r="BM71" s="537"/>
      <c r="BN71" s="537"/>
      <c r="BO71" s="433"/>
      <c r="BP71" s="433"/>
      <c r="BQ71" s="537"/>
      <c r="BR71" s="434"/>
      <c r="BS71" s="435"/>
      <c r="BT71" s="439"/>
      <c r="BU71" s="537"/>
      <c r="BV71" s="537"/>
      <c r="BW71" s="433"/>
      <c r="BX71" s="433"/>
      <c r="BY71" s="537"/>
      <c r="BZ71" s="434"/>
      <c r="CA71" s="422"/>
      <c r="CB71" s="439"/>
      <c r="CC71" s="537"/>
      <c r="CD71" s="537"/>
      <c r="CE71" s="433"/>
      <c r="CF71" s="433"/>
      <c r="CG71" s="537"/>
      <c r="CH71" s="434"/>
      <c r="CI71" s="422"/>
      <c r="CJ71" s="439"/>
      <c r="CK71" s="537"/>
      <c r="CL71" s="537"/>
      <c r="CM71" s="433"/>
      <c r="CN71" s="433"/>
      <c r="CO71" s="537"/>
      <c r="CP71" s="434"/>
      <c r="CQ71" s="435"/>
      <c r="CR71" s="433"/>
      <c r="CS71" s="433"/>
      <c r="CT71" s="433"/>
      <c r="CU71" s="433" t="n">
        <f aca="false">+CR71-CS71</f>
        <v>0</v>
      </c>
      <c r="CV71" s="433" t="n">
        <f aca="false">+CR71-CT71</f>
        <v>0</v>
      </c>
      <c r="CW71" s="433"/>
      <c r="CX71" s="791" t="e">
        <f aca="false">+CR71/CW71-1</f>
        <v>#DIV/0!</v>
      </c>
      <c r="CY71" s="206"/>
      <c r="CZ71" s="771"/>
      <c r="DA71" s="537"/>
      <c r="DB71" s="537"/>
      <c r="DC71" s="537"/>
      <c r="DD71" s="537"/>
      <c r="DE71" s="434" t="e">
        <f aca="false">(CZ71-DD71)/DD71</f>
        <v>#DIV/0!</v>
      </c>
      <c r="DF71" s="434" t="e">
        <f aca="false">(DA71-DD71)/DD71</f>
        <v>#DIV/0!</v>
      </c>
      <c r="DG71" s="434" t="e">
        <f aca="false">(DB71-DD71)/DD71</f>
        <v>#DIV/0!</v>
      </c>
      <c r="DH71" s="434" t="e">
        <f aca="false">(DC71-DD71)/DD71</f>
        <v>#DIV/0!</v>
      </c>
      <c r="DI71" s="696"/>
      <c r="DJ71" s="37"/>
      <c r="DL71" s="37"/>
      <c r="DM71" s="400" t="n">
        <f aca="false">(CS71-CZ71)*10^6</f>
        <v>0</v>
      </c>
      <c r="DN71" s="400" t="n">
        <f aca="false">(CT71-DC71)*10^6</f>
        <v>0</v>
      </c>
      <c r="DO71" s="400" t="n">
        <f aca="false">(CW71-DD71)*10^6</f>
        <v>0</v>
      </c>
    </row>
    <row r="72" s="818" customFormat="true" ht="15" hidden="false" customHeight="true" outlineLevel="1" collapsed="false">
      <c r="A72" s="815"/>
      <c r="B72" s="765" t="s">
        <v>515</v>
      </c>
      <c r="C72" s="679" t="s">
        <v>579</v>
      </c>
      <c r="D72" s="537"/>
      <c r="E72" s="537"/>
      <c r="F72" s="433"/>
      <c r="G72" s="537"/>
      <c r="H72" s="434"/>
      <c r="I72" s="435"/>
      <c r="J72" s="537"/>
      <c r="K72" s="537"/>
      <c r="L72" s="433"/>
      <c r="M72" s="537"/>
      <c r="N72" s="434"/>
      <c r="O72" s="423"/>
      <c r="P72" s="537"/>
      <c r="Q72" s="537"/>
      <c r="R72" s="433"/>
      <c r="S72" s="537"/>
      <c r="T72" s="434"/>
      <c r="U72" s="435"/>
      <c r="V72" s="537"/>
      <c r="W72" s="537"/>
      <c r="X72" s="537"/>
      <c r="Y72" s="433"/>
      <c r="Z72" s="432"/>
      <c r="AA72" s="537"/>
      <c r="AB72" s="434"/>
      <c r="AC72" s="435"/>
      <c r="AD72" s="537"/>
      <c r="AE72" s="537"/>
      <c r="AF72" s="537"/>
      <c r="AG72" s="433"/>
      <c r="AH72" s="432"/>
      <c r="AI72" s="537"/>
      <c r="AJ72" s="434"/>
      <c r="AK72" s="435"/>
      <c r="AL72" s="537"/>
      <c r="AM72" s="537"/>
      <c r="AN72" s="537"/>
      <c r="AO72" s="537"/>
      <c r="AP72" s="433"/>
      <c r="AQ72" s="432"/>
      <c r="AR72" s="537"/>
      <c r="AS72" s="434"/>
      <c r="AT72" s="423"/>
      <c r="AU72" s="439"/>
      <c r="AV72" s="537"/>
      <c r="AW72" s="537"/>
      <c r="AX72" s="433"/>
      <c r="AY72" s="433"/>
      <c r="AZ72" s="537"/>
      <c r="BA72" s="434"/>
      <c r="BB72" s="435"/>
      <c r="BC72" s="439"/>
      <c r="BD72" s="537"/>
      <c r="BE72" s="537"/>
      <c r="BF72" s="433"/>
      <c r="BG72" s="433"/>
      <c r="BH72" s="537"/>
      <c r="BI72" s="434"/>
      <c r="BJ72" s="423"/>
      <c r="BK72" s="439"/>
      <c r="BL72" s="537"/>
      <c r="BM72" s="537"/>
      <c r="BN72" s="537"/>
      <c r="BO72" s="433"/>
      <c r="BP72" s="433"/>
      <c r="BQ72" s="537"/>
      <c r="BR72" s="434"/>
      <c r="BS72" s="435"/>
      <c r="BT72" s="439"/>
      <c r="BU72" s="537"/>
      <c r="BV72" s="537"/>
      <c r="BW72" s="433"/>
      <c r="BX72" s="433"/>
      <c r="BY72" s="537"/>
      <c r="BZ72" s="434"/>
      <c r="CA72" s="422"/>
      <c r="CB72" s="439"/>
      <c r="CC72" s="537"/>
      <c r="CD72" s="537"/>
      <c r="CE72" s="433"/>
      <c r="CF72" s="433"/>
      <c r="CG72" s="537"/>
      <c r="CH72" s="434"/>
      <c r="CI72" s="422"/>
      <c r="CJ72" s="439"/>
      <c r="CK72" s="537"/>
      <c r="CL72" s="537"/>
      <c r="CM72" s="433"/>
      <c r="CN72" s="433"/>
      <c r="CO72" s="537"/>
      <c r="CP72" s="434"/>
      <c r="CQ72" s="435"/>
      <c r="CR72" s="433"/>
      <c r="CS72" s="433"/>
      <c r="CT72" s="433"/>
      <c r="CU72" s="433" t="n">
        <f aca="false">+CR72-CS72</f>
        <v>0</v>
      </c>
      <c r="CV72" s="433" t="n">
        <f aca="false">+CR72-CT72</f>
        <v>0</v>
      </c>
      <c r="CW72" s="433"/>
      <c r="CX72" s="791"/>
      <c r="CY72" s="206"/>
      <c r="CZ72" s="771"/>
      <c r="DA72" s="537"/>
      <c r="DB72" s="537"/>
      <c r="DC72" s="537"/>
      <c r="DD72" s="537"/>
      <c r="DE72" s="434"/>
      <c r="DF72" s="434"/>
      <c r="DG72" s="434"/>
      <c r="DH72" s="434"/>
      <c r="DI72" s="696"/>
      <c r="DJ72" s="37"/>
      <c r="DL72" s="37"/>
      <c r="DM72" s="400" t="n">
        <f aca="false">(CS72-CZ72)*10^6</f>
        <v>0</v>
      </c>
      <c r="DN72" s="400" t="n">
        <f aca="false">(CT72-DC72)*10^6</f>
        <v>0</v>
      </c>
      <c r="DO72" s="400" t="n">
        <f aca="false">(CW72-DD72)*10^6</f>
        <v>0</v>
      </c>
    </row>
    <row r="73" s="818" customFormat="true" ht="15" hidden="false" customHeight="true" outlineLevel="1" collapsed="false">
      <c r="A73" s="815"/>
      <c r="B73" s="765" t="s">
        <v>517</v>
      </c>
      <c r="C73" s="679" t="s">
        <v>580</v>
      </c>
      <c r="D73" s="537"/>
      <c r="E73" s="537"/>
      <c r="F73" s="433"/>
      <c r="G73" s="537"/>
      <c r="H73" s="434"/>
      <c r="I73" s="435"/>
      <c r="J73" s="537"/>
      <c r="K73" s="537"/>
      <c r="L73" s="433"/>
      <c r="M73" s="537"/>
      <c r="N73" s="434"/>
      <c r="O73" s="423"/>
      <c r="P73" s="537"/>
      <c r="Q73" s="537"/>
      <c r="R73" s="433"/>
      <c r="S73" s="537"/>
      <c r="T73" s="434"/>
      <c r="U73" s="435"/>
      <c r="V73" s="537"/>
      <c r="W73" s="537"/>
      <c r="X73" s="537"/>
      <c r="Y73" s="433"/>
      <c r="Z73" s="432"/>
      <c r="AA73" s="537"/>
      <c r="AB73" s="434"/>
      <c r="AC73" s="435"/>
      <c r="AD73" s="537"/>
      <c r="AE73" s="537"/>
      <c r="AF73" s="537"/>
      <c r="AG73" s="433"/>
      <c r="AH73" s="432"/>
      <c r="AI73" s="537"/>
      <c r="AJ73" s="434"/>
      <c r="AK73" s="435"/>
      <c r="AL73" s="537"/>
      <c r="AM73" s="537"/>
      <c r="AN73" s="537"/>
      <c r="AO73" s="537"/>
      <c r="AP73" s="433"/>
      <c r="AQ73" s="432"/>
      <c r="AR73" s="537"/>
      <c r="AS73" s="434"/>
      <c r="AT73" s="423"/>
      <c r="AU73" s="439"/>
      <c r="AV73" s="537"/>
      <c r="AW73" s="537"/>
      <c r="AX73" s="433"/>
      <c r="AY73" s="433"/>
      <c r="AZ73" s="537"/>
      <c r="BA73" s="434"/>
      <c r="BB73" s="435"/>
      <c r="BC73" s="439"/>
      <c r="BD73" s="537"/>
      <c r="BE73" s="537"/>
      <c r="BF73" s="433"/>
      <c r="BG73" s="433"/>
      <c r="BH73" s="537"/>
      <c r="BI73" s="434"/>
      <c r="BJ73" s="423"/>
      <c r="BK73" s="439"/>
      <c r="BL73" s="537"/>
      <c r="BM73" s="537"/>
      <c r="BN73" s="537"/>
      <c r="BO73" s="433"/>
      <c r="BP73" s="433"/>
      <c r="BQ73" s="537"/>
      <c r="BR73" s="434"/>
      <c r="BS73" s="435"/>
      <c r="BT73" s="439"/>
      <c r="BU73" s="537"/>
      <c r="BV73" s="537"/>
      <c r="BW73" s="433"/>
      <c r="BX73" s="433"/>
      <c r="BY73" s="537"/>
      <c r="BZ73" s="434"/>
      <c r="CA73" s="422"/>
      <c r="CB73" s="439"/>
      <c r="CC73" s="537"/>
      <c r="CD73" s="537"/>
      <c r="CE73" s="433"/>
      <c r="CF73" s="433"/>
      <c r="CG73" s="537"/>
      <c r="CH73" s="434"/>
      <c r="CI73" s="422"/>
      <c r="CJ73" s="439"/>
      <c r="CK73" s="537"/>
      <c r="CL73" s="537"/>
      <c r="CM73" s="433"/>
      <c r="CN73" s="433"/>
      <c r="CO73" s="537"/>
      <c r="CP73" s="434"/>
      <c r="CQ73" s="435"/>
      <c r="CR73" s="433"/>
      <c r="CS73" s="433"/>
      <c r="CT73" s="433"/>
      <c r="CU73" s="433" t="n">
        <f aca="false">+CR73-CS73</f>
        <v>0</v>
      </c>
      <c r="CV73" s="433" t="n">
        <f aca="false">+CR73-CT73</f>
        <v>0</v>
      </c>
      <c r="CW73" s="433"/>
      <c r="CX73" s="791"/>
      <c r="CY73" s="206"/>
      <c r="CZ73" s="771"/>
      <c r="DA73" s="537"/>
      <c r="DB73" s="537"/>
      <c r="DC73" s="537"/>
      <c r="DD73" s="537"/>
      <c r="DE73" s="434"/>
      <c r="DF73" s="434"/>
      <c r="DG73" s="434"/>
      <c r="DH73" s="434"/>
      <c r="DI73" s="696"/>
      <c r="DJ73" s="37"/>
      <c r="DL73" s="37"/>
      <c r="DM73" s="400" t="n">
        <f aca="false">(CS73-CZ73)*10^6</f>
        <v>0</v>
      </c>
      <c r="DN73" s="400" t="n">
        <f aca="false">(CT73-DC73)*10^6</f>
        <v>0</v>
      </c>
      <c r="DO73" s="400" t="n">
        <f aca="false">(CW73-DD73)*10^6</f>
        <v>0</v>
      </c>
    </row>
    <row r="74" s="818" customFormat="true" ht="15" hidden="false" customHeight="true" outlineLevel="1" collapsed="false">
      <c r="A74" s="815"/>
      <c r="B74" s="765" t="s">
        <v>519</v>
      </c>
      <c r="C74" s="679" t="s">
        <v>581</v>
      </c>
      <c r="D74" s="537"/>
      <c r="E74" s="537"/>
      <c r="F74" s="433"/>
      <c r="G74" s="537"/>
      <c r="H74" s="434"/>
      <c r="I74" s="435"/>
      <c r="J74" s="537"/>
      <c r="K74" s="537"/>
      <c r="L74" s="433"/>
      <c r="M74" s="537"/>
      <c r="N74" s="434"/>
      <c r="O74" s="423"/>
      <c r="P74" s="537"/>
      <c r="Q74" s="537"/>
      <c r="R74" s="433"/>
      <c r="S74" s="537"/>
      <c r="T74" s="434"/>
      <c r="U74" s="435"/>
      <c r="V74" s="537"/>
      <c r="W74" s="537"/>
      <c r="X74" s="537"/>
      <c r="Y74" s="433"/>
      <c r="Z74" s="432"/>
      <c r="AA74" s="537"/>
      <c r="AB74" s="434"/>
      <c r="AC74" s="435"/>
      <c r="AD74" s="537"/>
      <c r="AE74" s="537"/>
      <c r="AF74" s="537"/>
      <c r="AG74" s="433"/>
      <c r="AH74" s="432"/>
      <c r="AI74" s="537"/>
      <c r="AJ74" s="434"/>
      <c r="AK74" s="435"/>
      <c r="AL74" s="537"/>
      <c r="AM74" s="537"/>
      <c r="AN74" s="537"/>
      <c r="AO74" s="537"/>
      <c r="AP74" s="433"/>
      <c r="AQ74" s="432"/>
      <c r="AR74" s="537"/>
      <c r="AS74" s="434"/>
      <c r="AT74" s="423"/>
      <c r="AU74" s="439"/>
      <c r="AV74" s="537"/>
      <c r="AW74" s="537"/>
      <c r="AX74" s="433"/>
      <c r="AY74" s="433"/>
      <c r="AZ74" s="537"/>
      <c r="BA74" s="434"/>
      <c r="BB74" s="435"/>
      <c r="BC74" s="439"/>
      <c r="BD74" s="537"/>
      <c r="BE74" s="537"/>
      <c r="BF74" s="433"/>
      <c r="BG74" s="433"/>
      <c r="BH74" s="537"/>
      <c r="BI74" s="434"/>
      <c r="BJ74" s="423"/>
      <c r="BK74" s="439"/>
      <c r="BL74" s="537"/>
      <c r="BM74" s="537"/>
      <c r="BN74" s="537"/>
      <c r="BO74" s="433"/>
      <c r="BP74" s="433"/>
      <c r="BQ74" s="537"/>
      <c r="BR74" s="434"/>
      <c r="BS74" s="435"/>
      <c r="BT74" s="439"/>
      <c r="BU74" s="537"/>
      <c r="BV74" s="537"/>
      <c r="BW74" s="433"/>
      <c r="BX74" s="433"/>
      <c r="BY74" s="537"/>
      <c r="BZ74" s="434"/>
      <c r="CA74" s="422"/>
      <c r="CB74" s="439"/>
      <c r="CC74" s="537"/>
      <c r="CD74" s="537"/>
      <c r="CE74" s="433"/>
      <c r="CF74" s="433"/>
      <c r="CG74" s="537"/>
      <c r="CH74" s="434"/>
      <c r="CI74" s="422"/>
      <c r="CJ74" s="439"/>
      <c r="CK74" s="537"/>
      <c r="CL74" s="537"/>
      <c r="CM74" s="433"/>
      <c r="CN74" s="433"/>
      <c r="CO74" s="537"/>
      <c r="CP74" s="434"/>
      <c r="CQ74" s="435"/>
      <c r="CR74" s="433"/>
      <c r="CS74" s="433"/>
      <c r="CT74" s="433"/>
      <c r="CU74" s="433" t="n">
        <f aca="false">+CR74-CS74</f>
        <v>0</v>
      </c>
      <c r="CV74" s="433" t="n">
        <f aca="false">+CR74-CT74</f>
        <v>0</v>
      </c>
      <c r="CW74" s="433"/>
      <c r="CX74" s="791"/>
      <c r="CY74" s="206"/>
      <c r="CZ74" s="771"/>
      <c r="DA74" s="537"/>
      <c r="DB74" s="537"/>
      <c r="DC74" s="537"/>
      <c r="DD74" s="537"/>
      <c r="DE74" s="434"/>
      <c r="DF74" s="434"/>
      <c r="DG74" s="434"/>
      <c r="DH74" s="434"/>
      <c r="DI74" s="696"/>
      <c r="DJ74" s="37"/>
      <c r="DL74" s="37"/>
      <c r="DM74" s="400" t="n">
        <f aca="false">(CS74-CZ74)*10^6</f>
        <v>0</v>
      </c>
      <c r="DN74" s="400" t="n">
        <f aca="false">(CT74-DC74)*10^6</f>
        <v>0</v>
      </c>
      <c r="DO74" s="400" t="n">
        <f aca="false">(CW74-DD74)*10^6</f>
        <v>0</v>
      </c>
    </row>
    <row r="75" s="818" customFormat="true" ht="15" hidden="false" customHeight="true" outlineLevel="1" collapsed="false">
      <c r="A75" s="815"/>
      <c r="B75" s="765" t="s">
        <v>521</v>
      </c>
      <c r="C75" s="679" t="s">
        <v>582</v>
      </c>
      <c r="D75" s="537"/>
      <c r="E75" s="537"/>
      <c r="F75" s="433"/>
      <c r="G75" s="537"/>
      <c r="H75" s="434"/>
      <c r="I75" s="435"/>
      <c r="J75" s="537"/>
      <c r="K75" s="537"/>
      <c r="L75" s="433"/>
      <c r="M75" s="537"/>
      <c r="N75" s="434"/>
      <c r="O75" s="423"/>
      <c r="P75" s="537"/>
      <c r="Q75" s="537"/>
      <c r="R75" s="433"/>
      <c r="S75" s="537"/>
      <c r="T75" s="434"/>
      <c r="U75" s="435"/>
      <c r="V75" s="537"/>
      <c r="W75" s="537"/>
      <c r="X75" s="537"/>
      <c r="Y75" s="433"/>
      <c r="Z75" s="432"/>
      <c r="AA75" s="537"/>
      <c r="AB75" s="434"/>
      <c r="AC75" s="435"/>
      <c r="AD75" s="537"/>
      <c r="AE75" s="537"/>
      <c r="AF75" s="537"/>
      <c r="AG75" s="433"/>
      <c r="AH75" s="432"/>
      <c r="AI75" s="537"/>
      <c r="AJ75" s="434"/>
      <c r="AK75" s="435"/>
      <c r="AL75" s="537"/>
      <c r="AM75" s="537"/>
      <c r="AN75" s="537"/>
      <c r="AO75" s="537"/>
      <c r="AP75" s="433"/>
      <c r="AQ75" s="432"/>
      <c r="AR75" s="537"/>
      <c r="AS75" s="434"/>
      <c r="AT75" s="423"/>
      <c r="AU75" s="439"/>
      <c r="AV75" s="537"/>
      <c r="AW75" s="537"/>
      <c r="AX75" s="433"/>
      <c r="AY75" s="433"/>
      <c r="AZ75" s="537"/>
      <c r="BA75" s="434"/>
      <c r="BB75" s="435"/>
      <c r="BC75" s="439"/>
      <c r="BD75" s="537"/>
      <c r="BE75" s="537"/>
      <c r="BF75" s="433"/>
      <c r="BG75" s="433"/>
      <c r="BH75" s="537"/>
      <c r="BI75" s="434"/>
      <c r="BJ75" s="423"/>
      <c r="BK75" s="439"/>
      <c r="BL75" s="537"/>
      <c r="BM75" s="537"/>
      <c r="BN75" s="537"/>
      <c r="BO75" s="433"/>
      <c r="BP75" s="433"/>
      <c r="BQ75" s="537"/>
      <c r="BR75" s="434"/>
      <c r="BS75" s="435"/>
      <c r="BT75" s="439"/>
      <c r="BU75" s="537"/>
      <c r="BV75" s="537"/>
      <c r="BW75" s="433"/>
      <c r="BX75" s="433"/>
      <c r="BY75" s="537"/>
      <c r="BZ75" s="434"/>
      <c r="CA75" s="422"/>
      <c r="CB75" s="439"/>
      <c r="CC75" s="537"/>
      <c r="CD75" s="537"/>
      <c r="CE75" s="433"/>
      <c r="CF75" s="433"/>
      <c r="CG75" s="537"/>
      <c r="CH75" s="434"/>
      <c r="CI75" s="422"/>
      <c r="CJ75" s="439"/>
      <c r="CK75" s="537"/>
      <c r="CL75" s="537"/>
      <c r="CM75" s="433"/>
      <c r="CN75" s="433"/>
      <c r="CO75" s="537"/>
      <c r="CP75" s="434"/>
      <c r="CQ75" s="435"/>
      <c r="CR75" s="433"/>
      <c r="CS75" s="433"/>
      <c r="CT75" s="433"/>
      <c r="CU75" s="433" t="n">
        <f aca="false">+CR75-CS75</f>
        <v>0</v>
      </c>
      <c r="CV75" s="433" t="n">
        <f aca="false">+CR75-CT75</f>
        <v>0</v>
      </c>
      <c r="CW75" s="433"/>
      <c r="CX75" s="791" t="e">
        <f aca="false">+CR75/CW75-1</f>
        <v>#DIV/0!</v>
      </c>
      <c r="CY75" s="206"/>
      <c r="CZ75" s="771"/>
      <c r="DA75" s="537"/>
      <c r="DB75" s="537"/>
      <c r="DC75" s="537"/>
      <c r="DD75" s="537"/>
      <c r="DE75" s="434" t="e">
        <f aca="false">(CZ75-DD75)/DD75</f>
        <v>#DIV/0!</v>
      </c>
      <c r="DF75" s="434" t="e">
        <f aca="false">(DA75-DD75)/DD75</f>
        <v>#DIV/0!</v>
      </c>
      <c r="DG75" s="434" t="e">
        <f aca="false">(DB75-DD75)/DD75</f>
        <v>#DIV/0!</v>
      </c>
      <c r="DH75" s="434" t="e">
        <f aca="false">(DC75-DD75)/DD75</f>
        <v>#DIV/0!</v>
      </c>
      <c r="DI75" s="696"/>
      <c r="DJ75" s="37"/>
      <c r="DL75" s="37"/>
      <c r="DM75" s="400" t="n">
        <f aca="false">(CS75-CZ75)*10^6</f>
        <v>0</v>
      </c>
      <c r="DN75" s="400" t="n">
        <f aca="false">(CT75-DC75)*10^6</f>
        <v>0</v>
      </c>
      <c r="DO75" s="400" t="n">
        <f aca="false">(CW75-DD75)*10^6</f>
        <v>0</v>
      </c>
    </row>
    <row r="76" s="793" customFormat="true" ht="15" hidden="false" customHeight="true" outlineLevel="1" collapsed="false">
      <c r="A76" s="786"/>
      <c r="B76" s="750" t="s">
        <v>523</v>
      </c>
      <c r="C76" s="679" t="s">
        <v>583</v>
      </c>
      <c r="D76" s="758"/>
      <c r="E76" s="758"/>
      <c r="F76" s="758"/>
      <c r="G76" s="758"/>
      <c r="H76" s="788"/>
      <c r="I76" s="789"/>
      <c r="J76" s="758"/>
      <c r="K76" s="758"/>
      <c r="L76" s="758"/>
      <c r="M76" s="758"/>
      <c r="N76" s="788"/>
      <c r="O76" s="733"/>
      <c r="P76" s="758"/>
      <c r="Q76" s="758"/>
      <c r="R76" s="758"/>
      <c r="S76" s="758"/>
      <c r="T76" s="788"/>
      <c r="U76" s="789"/>
      <c r="V76" s="758"/>
      <c r="W76" s="758"/>
      <c r="X76" s="758"/>
      <c r="Y76" s="758"/>
      <c r="Z76" s="790"/>
      <c r="AA76" s="758"/>
      <c r="AB76" s="788"/>
      <c r="AC76" s="789"/>
      <c r="AD76" s="758"/>
      <c r="AE76" s="758"/>
      <c r="AF76" s="758"/>
      <c r="AG76" s="758"/>
      <c r="AH76" s="790"/>
      <c r="AI76" s="758"/>
      <c r="AJ76" s="788"/>
      <c r="AK76" s="789"/>
      <c r="AL76" s="758"/>
      <c r="AM76" s="758"/>
      <c r="AN76" s="758"/>
      <c r="AO76" s="758"/>
      <c r="AP76" s="758"/>
      <c r="AQ76" s="790"/>
      <c r="AR76" s="758"/>
      <c r="AS76" s="788"/>
      <c r="AT76" s="733"/>
      <c r="AU76" s="790"/>
      <c r="AV76" s="758"/>
      <c r="AW76" s="758"/>
      <c r="AX76" s="758"/>
      <c r="AY76" s="758"/>
      <c r="AZ76" s="758"/>
      <c r="BA76" s="788"/>
      <c r="BB76" s="789"/>
      <c r="BC76" s="790"/>
      <c r="BD76" s="758"/>
      <c r="BE76" s="758"/>
      <c r="BF76" s="758"/>
      <c r="BG76" s="758"/>
      <c r="BH76" s="758"/>
      <c r="BI76" s="788"/>
      <c r="BJ76" s="733"/>
      <c r="BK76" s="790"/>
      <c r="BL76" s="758"/>
      <c r="BM76" s="758"/>
      <c r="BN76" s="758"/>
      <c r="BO76" s="758"/>
      <c r="BP76" s="758"/>
      <c r="BQ76" s="758"/>
      <c r="BR76" s="788"/>
      <c r="BS76" s="789"/>
      <c r="BT76" s="790"/>
      <c r="BU76" s="758"/>
      <c r="BV76" s="758"/>
      <c r="BW76" s="758"/>
      <c r="BX76" s="758"/>
      <c r="BY76" s="758"/>
      <c r="BZ76" s="788"/>
      <c r="CA76" s="732"/>
      <c r="CB76" s="790"/>
      <c r="CC76" s="758"/>
      <c r="CD76" s="758"/>
      <c r="CE76" s="758"/>
      <c r="CF76" s="758"/>
      <c r="CG76" s="758"/>
      <c r="CH76" s="788"/>
      <c r="CI76" s="732"/>
      <c r="CJ76" s="790"/>
      <c r="CK76" s="758"/>
      <c r="CL76" s="758"/>
      <c r="CM76" s="758"/>
      <c r="CN76" s="758"/>
      <c r="CO76" s="758"/>
      <c r="CP76" s="788"/>
      <c r="CQ76" s="789"/>
      <c r="CR76" s="758"/>
      <c r="CS76" s="758"/>
      <c r="CT76" s="758"/>
      <c r="CU76" s="758" t="n">
        <f aca="false">+CR76-CS76</f>
        <v>0</v>
      </c>
      <c r="CV76" s="758" t="n">
        <f aca="false">+CR76-CT76</f>
        <v>0</v>
      </c>
      <c r="CW76" s="758"/>
      <c r="CX76" s="819" t="e">
        <f aca="false">+CR76/CW76-1</f>
        <v>#DIV/0!</v>
      </c>
      <c r="CY76" s="105"/>
      <c r="CZ76" s="792"/>
      <c r="DA76" s="758"/>
      <c r="DB76" s="758"/>
      <c r="DC76" s="758"/>
      <c r="DD76" s="758"/>
      <c r="DE76" s="788" t="e">
        <f aca="false">(CZ76-DD76)/DD76</f>
        <v>#DIV/0!</v>
      </c>
      <c r="DF76" s="788" t="e">
        <f aca="false">(DA76-DD76)/DD76</f>
        <v>#DIV/0!</v>
      </c>
      <c r="DG76" s="788" t="e">
        <f aca="false">(DB76-DD76)/DD76</f>
        <v>#DIV/0!</v>
      </c>
      <c r="DH76" s="788" t="e">
        <f aca="false">(DC76-DD76)/DD76</f>
        <v>#DIV/0!</v>
      </c>
      <c r="DI76" s="696"/>
      <c r="DJ76" s="37"/>
      <c r="DL76" s="37"/>
      <c r="DM76" s="400" t="n">
        <f aca="false">(CS76-CZ76)*10^6</f>
        <v>0</v>
      </c>
      <c r="DN76" s="400" t="n">
        <f aca="false">(CT76-DC76)*10^6</f>
        <v>0</v>
      </c>
      <c r="DO76" s="400" t="n">
        <f aca="false">(CW76-DD76)*10^6</f>
        <v>0</v>
      </c>
    </row>
    <row r="77" s="818" customFormat="true" ht="15" hidden="false" customHeight="true" outlineLevel="1" collapsed="false">
      <c r="A77" s="815"/>
      <c r="B77" s="816"/>
      <c r="C77" s="679" t="s">
        <v>584</v>
      </c>
      <c r="D77" s="433"/>
      <c r="E77" s="433"/>
      <c r="F77" s="433"/>
      <c r="G77" s="433"/>
      <c r="H77" s="434"/>
      <c r="I77" s="435"/>
      <c r="J77" s="433"/>
      <c r="K77" s="433"/>
      <c r="L77" s="433"/>
      <c r="M77" s="433"/>
      <c r="N77" s="434"/>
      <c r="O77" s="423"/>
      <c r="P77" s="433"/>
      <c r="Q77" s="433"/>
      <c r="R77" s="433"/>
      <c r="S77" s="433"/>
      <c r="T77" s="434"/>
      <c r="U77" s="435"/>
      <c r="V77" s="433"/>
      <c r="W77" s="433"/>
      <c r="X77" s="433"/>
      <c r="Y77" s="433"/>
      <c r="Z77" s="432"/>
      <c r="AA77" s="433"/>
      <c r="AB77" s="434"/>
      <c r="AC77" s="435"/>
      <c r="AD77" s="433"/>
      <c r="AE77" s="433"/>
      <c r="AF77" s="433"/>
      <c r="AG77" s="433"/>
      <c r="AH77" s="432"/>
      <c r="AI77" s="433"/>
      <c r="AJ77" s="434"/>
      <c r="AK77" s="435"/>
      <c r="AL77" s="433"/>
      <c r="AM77" s="433"/>
      <c r="AN77" s="433"/>
      <c r="AO77" s="433"/>
      <c r="AP77" s="433"/>
      <c r="AQ77" s="432"/>
      <c r="AR77" s="433"/>
      <c r="AS77" s="434"/>
      <c r="AT77" s="423"/>
      <c r="AU77" s="432"/>
      <c r="AV77" s="433"/>
      <c r="AW77" s="433"/>
      <c r="AX77" s="433"/>
      <c r="AY77" s="433"/>
      <c r="AZ77" s="433"/>
      <c r="BA77" s="434"/>
      <c r="BB77" s="435"/>
      <c r="BC77" s="432"/>
      <c r="BD77" s="433"/>
      <c r="BE77" s="433"/>
      <c r="BF77" s="433"/>
      <c r="BG77" s="433"/>
      <c r="BH77" s="433"/>
      <c r="BI77" s="434"/>
      <c r="BJ77" s="423"/>
      <c r="BK77" s="432"/>
      <c r="BL77" s="433"/>
      <c r="BM77" s="433"/>
      <c r="BN77" s="433"/>
      <c r="BO77" s="433"/>
      <c r="BP77" s="433"/>
      <c r="BQ77" s="433"/>
      <c r="BR77" s="434"/>
      <c r="BS77" s="435"/>
      <c r="BT77" s="432"/>
      <c r="BU77" s="433"/>
      <c r="BV77" s="433"/>
      <c r="BW77" s="433"/>
      <c r="BX77" s="433"/>
      <c r="BY77" s="433"/>
      <c r="BZ77" s="434"/>
      <c r="CA77" s="422"/>
      <c r="CB77" s="432"/>
      <c r="CC77" s="433"/>
      <c r="CD77" s="433"/>
      <c r="CE77" s="433"/>
      <c r="CF77" s="433"/>
      <c r="CG77" s="433"/>
      <c r="CH77" s="434"/>
      <c r="CI77" s="422"/>
      <c r="CJ77" s="432"/>
      <c r="CK77" s="433"/>
      <c r="CL77" s="433"/>
      <c r="CM77" s="433"/>
      <c r="CN77" s="433"/>
      <c r="CO77" s="433"/>
      <c r="CP77" s="434"/>
      <c r="CQ77" s="435"/>
      <c r="CR77" s="433"/>
      <c r="CS77" s="433"/>
      <c r="CT77" s="433"/>
      <c r="CU77" s="433" t="n">
        <f aca="false">+CR77-CS77</f>
        <v>0</v>
      </c>
      <c r="CV77" s="433" t="n">
        <f aca="false">+CR77-CT77</f>
        <v>0</v>
      </c>
      <c r="CW77" s="433"/>
      <c r="CX77" s="791"/>
      <c r="CY77" s="206"/>
      <c r="CZ77" s="817"/>
      <c r="DA77" s="433"/>
      <c r="DB77" s="433"/>
      <c r="DC77" s="433"/>
      <c r="DD77" s="433"/>
      <c r="DE77" s="434"/>
      <c r="DF77" s="434"/>
      <c r="DG77" s="434"/>
      <c r="DH77" s="434"/>
      <c r="DI77" s="696"/>
      <c r="DJ77" s="37"/>
      <c r="DL77" s="37"/>
      <c r="DM77" s="400" t="n">
        <f aca="false">(CS77-CZ77)*10^6</f>
        <v>0</v>
      </c>
      <c r="DN77" s="400" t="n">
        <f aca="false">(CT77-DC77)*10^6</f>
        <v>0</v>
      </c>
      <c r="DO77" s="400" t="n">
        <f aca="false">(CW77-DD77)*10^6</f>
        <v>0</v>
      </c>
    </row>
    <row r="78" s="783" customFormat="true" ht="15" hidden="false" customHeight="true" outlineLevel="1" collapsed="false">
      <c r="A78" s="820"/>
      <c r="B78" s="775" t="s">
        <v>526</v>
      </c>
      <c r="C78" s="679" t="s">
        <v>585</v>
      </c>
      <c r="D78" s="517"/>
      <c r="E78" s="517"/>
      <c r="F78" s="517"/>
      <c r="G78" s="517"/>
      <c r="H78" s="821"/>
      <c r="I78" s="822"/>
      <c r="J78" s="517"/>
      <c r="K78" s="517"/>
      <c r="L78" s="517"/>
      <c r="M78" s="517"/>
      <c r="N78" s="821"/>
      <c r="O78" s="423"/>
      <c r="P78" s="517"/>
      <c r="Q78" s="517"/>
      <c r="R78" s="517"/>
      <c r="S78" s="517"/>
      <c r="T78" s="821"/>
      <c r="U78" s="822"/>
      <c r="V78" s="517"/>
      <c r="W78" s="517"/>
      <c r="X78" s="517"/>
      <c r="Y78" s="517"/>
      <c r="Z78" s="442"/>
      <c r="AA78" s="517"/>
      <c r="AB78" s="821"/>
      <c r="AC78" s="822"/>
      <c r="AD78" s="517"/>
      <c r="AE78" s="517"/>
      <c r="AF78" s="517"/>
      <c r="AG78" s="517"/>
      <c r="AH78" s="442"/>
      <c r="AI78" s="517"/>
      <c r="AJ78" s="821"/>
      <c r="AK78" s="822"/>
      <c r="AL78" s="517"/>
      <c r="AM78" s="517"/>
      <c r="AN78" s="517"/>
      <c r="AO78" s="517"/>
      <c r="AP78" s="517"/>
      <c r="AQ78" s="442"/>
      <c r="AR78" s="517"/>
      <c r="AS78" s="821"/>
      <c r="AT78" s="423"/>
      <c r="AU78" s="442"/>
      <c r="AV78" s="517"/>
      <c r="AW78" s="517"/>
      <c r="AX78" s="517"/>
      <c r="AY78" s="517"/>
      <c r="AZ78" s="517"/>
      <c r="BA78" s="821"/>
      <c r="BB78" s="822"/>
      <c r="BC78" s="442"/>
      <c r="BD78" s="517"/>
      <c r="BE78" s="517"/>
      <c r="BF78" s="517"/>
      <c r="BG78" s="517"/>
      <c r="BH78" s="517"/>
      <c r="BI78" s="821"/>
      <c r="BJ78" s="423"/>
      <c r="BK78" s="442"/>
      <c r="BL78" s="517"/>
      <c r="BM78" s="517"/>
      <c r="BN78" s="517"/>
      <c r="BO78" s="517"/>
      <c r="BP78" s="517"/>
      <c r="BQ78" s="517"/>
      <c r="BR78" s="821"/>
      <c r="BS78" s="822"/>
      <c r="BT78" s="442"/>
      <c r="BU78" s="517"/>
      <c r="BV78" s="517"/>
      <c r="BW78" s="517"/>
      <c r="BX78" s="517"/>
      <c r="BY78" s="517"/>
      <c r="BZ78" s="821"/>
      <c r="CA78" s="422"/>
      <c r="CB78" s="442"/>
      <c r="CC78" s="517"/>
      <c r="CD78" s="517"/>
      <c r="CE78" s="517"/>
      <c r="CF78" s="517"/>
      <c r="CG78" s="517"/>
      <c r="CH78" s="821"/>
      <c r="CI78" s="422"/>
      <c r="CJ78" s="442"/>
      <c r="CK78" s="517"/>
      <c r="CL78" s="517"/>
      <c r="CM78" s="517"/>
      <c r="CN78" s="517"/>
      <c r="CO78" s="517"/>
      <c r="CP78" s="821"/>
      <c r="CQ78" s="822"/>
      <c r="CR78" s="517"/>
      <c r="CS78" s="517"/>
      <c r="CT78" s="517"/>
      <c r="CU78" s="517" t="n">
        <f aca="false">+CR78-CS78</f>
        <v>0</v>
      </c>
      <c r="CV78" s="517" t="n">
        <f aca="false">+CR78-CT78</f>
        <v>0</v>
      </c>
      <c r="CW78" s="517"/>
      <c r="CX78" s="823" t="e">
        <f aca="false">+CR78/CW78-1</f>
        <v>#DIV/0!</v>
      </c>
      <c r="CY78" s="206"/>
      <c r="CZ78" s="824"/>
      <c r="DA78" s="517"/>
      <c r="DB78" s="517"/>
      <c r="DC78" s="517"/>
      <c r="DD78" s="517"/>
      <c r="DE78" s="821" t="e">
        <f aca="false">(CZ78-DD78)/DD78</f>
        <v>#DIV/0!</v>
      </c>
      <c r="DF78" s="821" t="e">
        <f aca="false">(DA78-DD78)/DD78</f>
        <v>#DIV/0!</v>
      </c>
      <c r="DG78" s="821" t="e">
        <f aca="false">(DB78-DD78)/DD78</f>
        <v>#DIV/0!</v>
      </c>
      <c r="DH78" s="821" t="e">
        <f aca="false">(DC78-DD78)/DD78</f>
        <v>#DIV/0!</v>
      </c>
      <c r="DI78" s="696"/>
      <c r="DJ78" s="782"/>
      <c r="DL78" s="782"/>
      <c r="DM78" s="400" t="n">
        <f aca="false">(CS78-CZ78)*10^6</f>
        <v>0</v>
      </c>
      <c r="DN78" s="400" t="n">
        <f aca="false">(CT78-DC78)*10^6</f>
        <v>0</v>
      </c>
      <c r="DO78" s="400" t="n">
        <f aca="false">(CW78-DD78)*10^6</f>
        <v>0</v>
      </c>
    </row>
    <row r="79" s="818" customFormat="true" ht="15" hidden="false" customHeight="true" outlineLevel="1" collapsed="false">
      <c r="A79" s="815"/>
      <c r="B79" s="765" t="s">
        <v>586</v>
      </c>
      <c r="C79" s="679" t="s">
        <v>587</v>
      </c>
      <c r="D79" s="433"/>
      <c r="E79" s="537"/>
      <c r="F79" s="433"/>
      <c r="G79" s="537"/>
      <c r="H79" s="434"/>
      <c r="I79" s="435"/>
      <c r="J79" s="433"/>
      <c r="K79" s="537"/>
      <c r="L79" s="433"/>
      <c r="M79" s="537"/>
      <c r="N79" s="434"/>
      <c r="O79" s="423"/>
      <c r="P79" s="433"/>
      <c r="Q79" s="537"/>
      <c r="R79" s="433"/>
      <c r="S79" s="537"/>
      <c r="T79" s="434"/>
      <c r="U79" s="435"/>
      <c r="V79" s="433"/>
      <c r="W79" s="537"/>
      <c r="X79" s="537"/>
      <c r="Y79" s="433"/>
      <c r="Z79" s="432"/>
      <c r="AA79" s="537"/>
      <c r="AB79" s="434"/>
      <c r="AC79" s="435"/>
      <c r="AD79" s="433"/>
      <c r="AE79" s="537"/>
      <c r="AF79" s="537"/>
      <c r="AG79" s="433"/>
      <c r="AH79" s="432"/>
      <c r="AI79" s="537"/>
      <c r="AJ79" s="434"/>
      <c r="AK79" s="435"/>
      <c r="AL79" s="433"/>
      <c r="AM79" s="537"/>
      <c r="AN79" s="537"/>
      <c r="AO79" s="537"/>
      <c r="AP79" s="433"/>
      <c r="AQ79" s="432"/>
      <c r="AR79" s="537"/>
      <c r="AS79" s="434"/>
      <c r="AT79" s="423"/>
      <c r="AU79" s="432"/>
      <c r="AV79" s="537"/>
      <c r="AW79" s="537"/>
      <c r="AX79" s="433"/>
      <c r="AY79" s="433"/>
      <c r="AZ79" s="537"/>
      <c r="BA79" s="434"/>
      <c r="BB79" s="435"/>
      <c r="BC79" s="432"/>
      <c r="BD79" s="537"/>
      <c r="BE79" s="537"/>
      <c r="BF79" s="433"/>
      <c r="BG79" s="433"/>
      <c r="BH79" s="537"/>
      <c r="BI79" s="434"/>
      <c r="BJ79" s="423"/>
      <c r="BK79" s="432"/>
      <c r="BL79" s="537"/>
      <c r="BM79" s="537"/>
      <c r="BN79" s="537"/>
      <c r="BO79" s="433"/>
      <c r="BP79" s="433"/>
      <c r="BQ79" s="537"/>
      <c r="BR79" s="434"/>
      <c r="BS79" s="435"/>
      <c r="BT79" s="432"/>
      <c r="BU79" s="537"/>
      <c r="BV79" s="537"/>
      <c r="BW79" s="433"/>
      <c r="BX79" s="433"/>
      <c r="BY79" s="537"/>
      <c r="BZ79" s="434"/>
      <c r="CA79" s="422"/>
      <c r="CB79" s="432"/>
      <c r="CC79" s="537"/>
      <c r="CD79" s="537"/>
      <c r="CE79" s="433"/>
      <c r="CF79" s="433"/>
      <c r="CG79" s="537"/>
      <c r="CH79" s="434"/>
      <c r="CI79" s="422"/>
      <c r="CJ79" s="432"/>
      <c r="CK79" s="537"/>
      <c r="CL79" s="537"/>
      <c r="CM79" s="433"/>
      <c r="CN79" s="433"/>
      <c r="CO79" s="537"/>
      <c r="CP79" s="434"/>
      <c r="CQ79" s="435"/>
      <c r="CR79" s="433"/>
      <c r="CS79" s="433"/>
      <c r="CT79" s="433"/>
      <c r="CU79" s="433" t="n">
        <f aca="false">+CR79-CS79</f>
        <v>0</v>
      </c>
      <c r="CV79" s="433" t="n">
        <f aca="false">+CR79-CT79</f>
        <v>0</v>
      </c>
      <c r="CW79" s="433"/>
      <c r="CX79" s="791"/>
      <c r="CY79" s="206"/>
      <c r="CZ79" s="771"/>
      <c r="DA79" s="537"/>
      <c r="DB79" s="537"/>
      <c r="DC79" s="537"/>
      <c r="DD79" s="537"/>
      <c r="DE79" s="434"/>
      <c r="DF79" s="434"/>
      <c r="DG79" s="434"/>
      <c r="DH79" s="434"/>
      <c r="DI79" s="696"/>
      <c r="DJ79" s="37"/>
      <c r="DL79" s="37"/>
      <c r="DM79" s="400" t="n">
        <f aca="false">(CS79-CZ79)*10^6</f>
        <v>0</v>
      </c>
      <c r="DN79" s="400" t="n">
        <f aca="false">(CT79-DC79)*10^6</f>
        <v>0</v>
      </c>
      <c r="DO79" s="400" t="n">
        <f aca="false">(CW79-DD79)*10^6</f>
        <v>0</v>
      </c>
    </row>
    <row r="80" s="818" customFormat="true" ht="15" hidden="false" customHeight="true" outlineLevel="1" collapsed="false">
      <c r="A80" s="815"/>
      <c r="B80" s="765" t="s">
        <v>588</v>
      </c>
      <c r="C80" s="679" t="s">
        <v>589</v>
      </c>
      <c r="D80" s="433"/>
      <c r="E80" s="537"/>
      <c r="F80" s="433"/>
      <c r="G80" s="537"/>
      <c r="H80" s="434"/>
      <c r="I80" s="435"/>
      <c r="J80" s="433"/>
      <c r="K80" s="537"/>
      <c r="L80" s="433"/>
      <c r="M80" s="537"/>
      <c r="N80" s="434"/>
      <c r="O80" s="423"/>
      <c r="P80" s="433"/>
      <c r="Q80" s="537"/>
      <c r="R80" s="433"/>
      <c r="S80" s="537"/>
      <c r="T80" s="434"/>
      <c r="U80" s="435"/>
      <c r="V80" s="433"/>
      <c r="W80" s="537"/>
      <c r="X80" s="537"/>
      <c r="Y80" s="433"/>
      <c r="Z80" s="432"/>
      <c r="AA80" s="537"/>
      <c r="AB80" s="434"/>
      <c r="AC80" s="435"/>
      <c r="AD80" s="433"/>
      <c r="AE80" s="537"/>
      <c r="AF80" s="537"/>
      <c r="AG80" s="433"/>
      <c r="AH80" s="432"/>
      <c r="AI80" s="537"/>
      <c r="AJ80" s="434"/>
      <c r="AK80" s="435"/>
      <c r="AL80" s="433"/>
      <c r="AM80" s="537"/>
      <c r="AN80" s="537"/>
      <c r="AO80" s="537"/>
      <c r="AP80" s="433"/>
      <c r="AQ80" s="432"/>
      <c r="AR80" s="537"/>
      <c r="AS80" s="434"/>
      <c r="AT80" s="423"/>
      <c r="AU80" s="432"/>
      <c r="AV80" s="537"/>
      <c r="AW80" s="537"/>
      <c r="AX80" s="433"/>
      <c r="AY80" s="433"/>
      <c r="AZ80" s="537"/>
      <c r="BA80" s="434"/>
      <c r="BB80" s="435"/>
      <c r="BC80" s="432"/>
      <c r="BD80" s="537"/>
      <c r="BE80" s="537"/>
      <c r="BF80" s="433"/>
      <c r="BG80" s="433"/>
      <c r="BH80" s="537"/>
      <c r="BI80" s="434"/>
      <c r="BJ80" s="423"/>
      <c r="BK80" s="432"/>
      <c r="BL80" s="537"/>
      <c r="BM80" s="537"/>
      <c r="BN80" s="537"/>
      <c r="BO80" s="433"/>
      <c r="BP80" s="433"/>
      <c r="BQ80" s="537"/>
      <c r="BR80" s="434"/>
      <c r="BS80" s="435"/>
      <c r="BT80" s="432"/>
      <c r="BU80" s="537"/>
      <c r="BV80" s="537"/>
      <c r="BW80" s="433"/>
      <c r="BX80" s="433"/>
      <c r="BY80" s="537"/>
      <c r="BZ80" s="434"/>
      <c r="CA80" s="422"/>
      <c r="CB80" s="432"/>
      <c r="CC80" s="537"/>
      <c r="CD80" s="537"/>
      <c r="CE80" s="433"/>
      <c r="CF80" s="433"/>
      <c r="CG80" s="537"/>
      <c r="CH80" s="434"/>
      <c r="CI80" s="422"/>
      <c r="CJ80" s="432"/>
      <c r="CK80" s="537"/>
      <c r="CL80" s="537"/>
      <c r="CM80" s="433"/>
      <c r="CN80" s="433"/>
      <c r="CO80" s="537"/>
      <c r="CP80" s="434"/>
      <c r="CQ80" s="435"/>
      <c r="CR80" s="433"/>
      <c r="CS80" s="433"/>
      <c r="CT80" s="433"/>
      <c r="CU80" s="433" t="n">
        <f aca="false">+CR80-CS80</f>
        <v>0</v>
      </c>
      <c r="CV80" s="433" t="n">
        <f aca="false">+CR80-CT80</f>
        <v>0</v>
      </c>
      <c r="CW80" s="433"/>
      <c r="CX80" s="791"/>
      <c r="CY80" s="206"/>
      <c r="CZ80" s="771"/>
      <c r="DA80" s="537"/>
      <c r="DB80" s="537"/>
      <c r="DC80" s="537"/>
      <c r="DD80" s="537"/>
      <c r="DE80" s="434"/>
      <c r="DF80" s="434"/>
      <c r="DG80" s="434"/>
      <c r="DH80" s="434"/>
      <c r="DI80" s="696"/>
      <c r="DJ80" s="37"/>
      <c r="DL80" s="37"/>
      <c r="DM80" s="400" t="n">
        <f aca="false">(CS80-CZ80)*10^6</f>
        <v>0</v>
      </c>
      <c r="DN80" s="400" t="n">
        <f aca="false">(CT80-DC80)*10^6</f>
        <v>0</v>
      </c>
      <c r="DO80" s="400" t="n">
        <f aca="false">(CW80-DD80)*10^6</f>
        <v>0</v>
      </c>
    </row>
    <row r="81" s="818" customFormat="true" ht="15" hidden="false" customHeight="true" outlineLevel="1" collapsed="false">
      <c r="A81" s="815"/>
      <c r="B81" s="765" t="s">
        <v>590</v>
      </c>
      <c r="C81" s="679" t="s">
        <v>591</v>
      </c>
      <c r="D81" s="433"/>
      <c r="E81" s="537"/>
      <c r="F81" s="433"/>
      <c r="G81" s="537"/>
      <c r="H81" s="434"/>
      <c r="I81" s="435"/>
      <c r="J81" s="433"/>
      <c r="K81" s="537"/>
      <c r="L81" s="433"/>
      <c r="M81" s="537"/>
      <c r="N81" s="434"/>
      <c r="O81" s="423"/>
      <c r="P81" s="433"/>
      <c r="Q81" s="537"/>
      <c r="R81" s="433"/>
      <c r="S81" s="537"/>
      <c r="T81" s="434"/>
      <c r="U81" s="435"/>
      <c r="V81" s="433"/>
      <c r="W81" s="537"/>
      <c r="X81" s="537"/>
      <c r="Y81" s="433"/>
      <c r="Z81" s="432"/>
      <c r="AA81" s="537"/>
      <c r="AB81" s="434"/>
      <c r="AC81" s="435"/>
      <c r="AD81" s="433"/>
      <c r="AE81" s="537"/>
      <c r="AF81" s="537"/>
      <c r="AG81" s="433"/>
      <c r="AH81" s="432"/>
      <c r="AI81" s="537"/>
      <c r="AJ81" s="434"/>
      <c r="AK81" s="435"/>
      <c r="AL81" s="433"/>
      <c r="AM81" s="537"/>
      <c r="AN81" s="537"/>
      <c r="AO81" s="537"/>
      <c r="AP81" s="433"/>
      <c r="AQ81" s="432"/>
      <c r="AR81" s="537"/>
      <c r="AS81" s="434"/>
      <c r="AT81" s="423"/>
      <c r="AU81" s="432"/>
      <c r="AV81" s="537"/>
      <c r="AW81" s="537"/>
      <c r="AX81" s="433"/>
      <c r="AY81" s="433"/>
      <c r="AZ81" s="537"/>
      <c r="BA81" s="434"/>
      <c r="BB81" s="435"/>
      <c r="BC81" s="432"/>
      <c r="BD81" s="537"/>
      <c r="BE81" s="537"/>
      <c r="BF81" s="433"/>
      <c r="BG81" s="433"/>
      <c r="BH81" s="537"/>
      <c r="BI81" s="434"/>
      <c r="BJ81" s="423"/>
      <c r="BK81" s="432"/>
      <c r="BL81" s="537"/>
      <c r="BM81" s="537"/>
      <c r="BN81" s="537"/>
      <c r="BO81" s="433"/>
      <c r="BP81" s="433"/>
      <c r="BQ81" s="537"/>
      <c r="BR81" s="434"/>
      <c r="BS81" s="435"/>
      <c r="BT81" s="432"/>
      <c r="BU81" s="537"/>
      <c r="BV81" s="537"/>
      <c r="BW81" s="433"/>
      <c r="BX81" s="433"/>
      <c r="BY81" s="537"/>
      <c r="BZ81" s="434"/>
      <c r="CA81" s="422"/>
      <c r="CB81" s="432"/>
      <c r="CC81" s="537"/>
      <c r="CD81" s="537"/>
      <c r="CE81" s="433"/>
      <c r="CF81" s="433"/>
      <c r="CG81" s="537"/>
      <c r="CH81" s="434"/>
      <c r="CI81" s="422"/>
      <c r="CJ81" s="432"/>
      <c r="CK81" s="537"/>
      <c r="CL81" s="537"/>
      <c r="CM81" s="433"/>
      <c r="CN81" s="433"/>
      <c r="CO81" s="537"/>
      <c r="CP81" s="434"/>
      <c r="CQ81" s="435"/>
      <c r="CR81" s="433"/>
      <c r="CS81" s="433"/>
      <c r="CT81" s="433"/>
      <c r="CU81" s="433" t="n">
        <f aca="false">+CR81-CS81</f>
        <v>0</v>
      </c>
      <c r="CV81" s="433" t="n">
        <f aca="false">+CR81-CT81</f>
        <v>0</v>
      </c>
      <c r="CW81" s="433"/>
      <c r="CX81" s="791"/>
      <c r="CY81" s="206"/>
      <c r="CZ81" s="771"/>
      <c r="DA81" s="537"/>
      <c r="DB81" s="537"/>
      <c r="DC81" s="537"/>
      <c r="DD81" s="537"/>
      <c r="DE81" s="434"/>
      <c r="DF81" s="434"/>
      <c r="DG81" s="434"/>
      <c r="DH81" s="434"/>
      <c r="DI81" s="696"/>
      <c r="DJ81" s="37"/>
      <c r="DL81" s="37"/>
      <c r="DM81" s="400" t="n">
        <f aca="false">(CS81-CZ81)*10^6</f>
        <v>0</v>
      </c>
      <c r="DN81" s="400" t="n">
        <f aca="false">(CT81-DC81)*10^6</f>
        <v>0</v>
      </c>
      <c r="DO81" s="400" t="n">
        <f aca="false">(CW81-DD81)*10^6</f>
        <v>0</v>
      </c>
    </row>
    <row r="82" s="793" customFormat="true" ht="15" hidden="false" customHeight="true" outlineLevel="1" collapsed="false">
      <c r="A82" s="786"/>
      <c r="B82" s="750" t="s">
        <v>543</v>
      </c>
      <c r="C82" s="679" t="s">
        <v>592</v>
      </c>
      <c r="D82" s="758"/>
      <c r="E82" s="758"/>
      <c r="F82" s="758"/>
      <c r="G82" s="758"/>
      <c r="H82" s="788"/>
      <c r="I82" s="789"/>
      <c r="J82" s="758"/>
      <c r="K82" s="758"/>
      <c r="L82" s="758"/>
      <c r="M82" s="758"/>
      <c r="N82" s="788"/>
      <c r="O82" s="733"/>
      <c r="P82" s="758"/>
      <c r="Q82" s="758"/>
      <c r="R82" s="758"/>
      <c r="S82" s="758"/>
      <c r="T82" s="788"/>
      <c r="U82" s="789"/>
      <c r="V82" s="758"/>
      <c r="W82" s="758"/>
      <c r="X82" s="758"/>
      <c r="Y82" s="758"/>
      <c r="Z82" s="790"/>
      <c r="AA82" s="758"/>
      <c r="AB82" s="788"/>
      <c r="AC82" s="789"/>
      <c r="AD82" s="758"/>
      <c r="AE82" s="758"/>
      <c r="AF82" s="758"/>
      <c r="AG82" s="758"/>
      <c r="AH82" s="790"/>
      <c r="AI82" s="758"/>
      <c r="AJ82" s="788"/>
      <c r="AK82" s="789"/>
      <c r="AL82" s="758"/>
      <c r="AM82" s="758"/>
      <c r="AN82" s="758"/>
      <c r="AO82" s="758"/>
      <c r="AP82" s="758"/>
      <c r="AQ82" s="790"/>
      <c r="AR82" s="758"/>
      <c r="AS82" s="788"/>
      <c r="AT82" s="733"/>
      <c r="AU82" s="790"/>
      <c r="AV82" s="758"/>
      <c r="AW82" s="758"/>
      <c r="AX82" s="758"/>
      <c r="AY82" s="758"/>
      <c r="AZ82" s="758"/>
      <c r="BA82" s="788"/>
      <c r="BB82" s="789"/>
      <c r="BC82" s="790"/>
      <c r="BD82" s="758"/>
      <c r="BE82" s="758"/>
      <c r="BF82" s="758"/>
      <c r="BG82" s="758"/>
      <c r="BH82" s="758"/>
      <c r="BI82" s="788"/>
      <c r="BJ82" s="733"/>
      <c r="BK82" s="790"/>
      <c r="BL82" s="758"/>
      <c r="BM82" s="758"/>
      <c r="BN82" s="758"/>
      <c r="BO82" s="758"/>
      <c r="BP82" s="758"/>
      <c r="BQ82" s="758"/>
      <c r="BR82" s="788"/>
      <c r="BS82" s="789"/>
      <c r="BT82" s="790"/>
      <c r="BU82" s="758"/>
      <c r="BV82" s="758"/>
      <c r="BW82" s="758"/>
      <c r="BX82" s="758"/>
      <c r="BY82" s="758"/>
      <c r="BZ82" s="788"/>
      <c r="CA82" s="732"/>
      <c r="CB82" s="790"/>
      <c r="CC82" s="758"/>
      <c r="CD82" s="758"/>
      <c r="CE82" s="758"/>
      <c r="CF82" s="758"/>
      <c r="CG82" s="758"/>
      <c r="CH82" s="788"/>
      <c r="CI82" s="732"/>
      <c r="CJ82" s="790"/>
      <c r="CK82" s="758"/>
      <c r="CL82" s="758"/>
      <c r="CM82" s="758"/>
      <c r="CN82" s="758"/>
      <c r="CO82" s="758"/>
      <c r="CP82" s="788"/>
      <c r="CQ82" s="789"/>
      <c r="CR82" s="758"/>
      <c r="CS82" s="758"/>
      <c r="CT82" s="758"/>
      <c r="CU82" s="758" t="n">
        <f aca="false">+CR82-CS82</f>
        <v>0</v>
      </c>
      <c r="CV82" s="758" t="n">
        <f aca="false">+CR82-CT82</f>
        <v>0</v>
      </c>
      <c r="CW82" s="758"/>
      <c r="CX82" s="819"/>
      <c r="CY82" s="105"/>
      <c r="CZ82" s="792"/>
      <c r="DA82" s="758"/>
      <c r="DB82" s="758"/>
      <c r="DC82" s="758"/>
      <c r="DD82" s="758"/>
      <c r="DE82" s="788"/>
      <c r="DF82" s="788"/>
      <c r="DG82" s="788"/>
      <c r="DH82" s="788"/>
      <c r="DI82" s="696"/>
      <c r="DJ82" s="37"/>
      <c r="DL82" s="37"/>
      <c r="DM82" s="400" t="n">
        <f aca="false">(CS82-CZ82)*10^6</f>
        <v>0</v>
      </c>
      <c r="DN82" s="400" t="n">
        <f aca="false">(CT82-DC82)*10^6</f>
        <v>0</v>
      </c>
      <c r="DO82" s="400" t="n">
        <f aca="false">(CW82-DD82)*10^6</f>
        <v>0</v>
      </c>
    </row>
    <row r="83" s="833" customFormat="true" ht="15" hidden="false" customHeight="true" outlineLevel="1" collapsed="false">
      <c r="A83" s="825"/>
      <c r="B83" s="826"/>
      <c r="C83" s="679" t="s">
        <v>593</v>
      </c>
      <c r="D83" s="827"/>
      <c r="E83" s="827"/>
      <c r="F83" s="827"/>
      <c r="G83" s="827"/>
      <c r="H83" s="434"/>
      <c r="I83" s="435"/>
      <c r="J83" s="827"/>
      <c r="K83" s="827"/>
      <c r="L83" s="827"/>
      <c r="M83" s="827"/>
      <c r="N83" s="434"/>
      <c r="O83" s="423"/>
      <c r="P83" s="827"/>
      <c r="Q83" s="827"/>
      <c r="R83" s="827"/>
      <c r="S83" s="827"/>
      <c r="T83" s="434"/>
      <c r="U83" s="435"/>
      <c r="V83" s="827"/>
      <c r="W83" s="827"/>
      <c r="X83" s="827"/>
      <c r="Y83" s="827"/>
      <c r="Z83" s="432"/>
      <c r="AA83" s="827"/>
      <c r="AB83" s="434"/>
      <c r="AC83" s="435"/>
      <c r="AD83" s="827"/>
      <c r="AE83" s="827"/>
      <c r="AF83" s="827"/>
      <c r="AG83" s="827"/>
      <c r="AH83" s="432"/>
      <c r="AI83" s="827"/>
      <c r="AJ83" s="434"/>
      <c r="AK83" s="435"/>
      <c r="AL83" s="827"/>
      <c r="AM83" s="827"/>
      <c r="AN83" s="827"/>
      <c r="AO83" s="827"/>
      <c r="AP83" s="827"/>
      <c r="AQ83" s="432"/>
      <c r="AR83" s="827"/>
      <c r="AS83" s="434"/>
      <c r="AT83" s="423"/>
      <c r="AU83" s="828"/>
      <c r="AV83" s="827"/>
      <c r="AW83" s="827"/>
      <c r="AX83" s="827"/>
      <c r="AY83" s="827"/>
      <c r="AZ83" s="827"/>
      <c r="BA83" s="434"/>
      <c r="BB83" s="435"/>
      <c r="BC83" s="828"/>
      <c r="BD83" s="827"/>
      <c r="BE83" s="827"/>
      <c r="BF83" s="827"/>
      <c r="BG83" s="827"/>
      <c r="BH83" s="827"/>
      <c r="BI83" s="434"/>
      <c r="BJ83" s="423"/>
      <c r="BK83" s="828"/>
      <c r="BL83" s="827"/>
      <c r="BM83" s="827"/>
      <c r="BN83" s="827"/>
      <c r="BO83" s="827"/>
      <c r="BP83" s="827"/>
      <c r="BQ83" s="827"/>
      <c r="BR83" s="434"/>
      <c r="BS83" s="435"/>
      <c r="BT83" s="828"/>
      <c r="BU83" s="827"/>
      <c r="BV83" s="827"/>
      <c r="BW83" s="827"/>
      <c r="BX83" s="827"/>
      <c r="BY83" s="827"/>
      <c r="BZ83" s="434"/>
      <c r="CA83" s="422"/>
      <c r="CB83" s="828"/>
      <c r="CC83" s="827"/>
      <c r="CD83" s="827"/>
      <c r="CE83" s="827"/>
      <c r="CF83" s="827"/>
      <c r="CG83" s="827"/>
      <c r="CH83" s="434"/>
      <c r="CI83" s="422"/>
      <c r="CJ83" s="828"/>
      <c r="CK83" s="827"/>
      <c r="CL83" s="827"/>
      <c r="CM83" s="827"/>
      <c r="CN83" s="827"/>
      <c r="CO83" s="827"/>
      <c r="CP83" s="434"/>
      <c r="CQ83" s="435"/>
      <c r="CR83" s="827"/>
      <c r="CS83" s="827"/>
      <c r="CT83" s="827"/>
      <c r="CU83" s="827" t="n">
        <f aca="false">+CR83-CS83</f>
        <v>0</v>
      </c>
      <c r="CV83" s="827" t="n">
        <f aca="false">+CR83-CT83</f>
        <v>0</v>
      </c>
      <c r="CW83" s="827"/>
      <c r="CX83" s="829"/>
      <c r="CY83" s="830"/>
      <c r="CZ83" s="831"/>
      <c r="DA83" s="827"/>
      <c r="DB83" s="827"/>
      <c r="DC83" s="827"/>
      <c r="DD83" s="827"/>
      <c r="DE83" s="832"/>
      <c r="DF83" s="832"/>
      <c r="DG83" s="832"/>
      <c r="DH83" s="832" t="e">
        <f aca="false">(DC83-DD83)/DD83</f>
        <v>#DIV/0!</v>
      </c>
      <c r="DI83" s="696"/>
      <c r="DJ83" s="37"/>
      <c r="DL83" s="37"/>
      <c r="DM83" s="400" t="n">
        <f aca="false">(CS83-CZ83)*10^6</f>
        <v>0</v>
      </c>
      <c r="DN83" s="400" t="n">
        <f aca="false">(CT83-DC83)*10^6</f>
        <v>0</v>
      </c>
      <c r="DO83" s="400" t="n">
        <f aca="false">(CW83-DD83)*10^6</f>
        <v>0</v>
      </c>
    </row>
    <row r="84" s="813" customFormat="true" ht="15" hidden="false" customHeight="true" outlineLevel="1" collapsed="false">
      <c r="A84" s="737" t="s">
        <v>560</v>
      </c>
      <c r="B84" s="737"/>
      <c r="C84" s="679" t="s">
        <v>594</v>
      </c>
      <c r="D84" s="744"/>
      <c r="E84" s="744"/>
      <c r="F84" s="744"/>
      <c r="G84" s="744"/>
      <c r="H84" s="806"/>
      <c r="I84" s="807"/>
      <c r="J84" s="744"/>
      <c r="K84" s="744"/>
      <c r="L84" s="744"/>
      <c r="M84" s="744"/>
      <c r="N84" s="806"/>
      <c r="O84" s="808"/>
      <c r="P84" s="744"/>
      <c r="Q84" s="744"/>
      <c r="R84" s="744"/>
      <c r="S84" s="744"/>
      <c r="T84" s="806"/>
      <c r="U84" s="807"/>
      <c r="V84" s="744"/>
      <c r="W84" s="744"/>
      <c r="X84" s="744"/>
      <c r="Y84" s="744"/>
      <c r="Z84" s="809"/>
      <c r="AA84" s="744"/>
      <c r="AB84" s="806"/>
      <c r="AC84" s="807"/>
      <c r="AD84" s="744"/>
      <c r="AE84" s="744"/>
      <c r="AF84" s="744"/>
      <c r="AG84" s="744"/>
      <c r="AH84" s="809"/>
      <c r="AI84" s="744"/>
      <c r="AJ84" s="806"/>
      <c r="AK84" s="807"/>
      <c r="AL84" s="744"/>
      <c r="AM84" s="744"/>
      <c r="AN84" s="744"/>
      <c r="AO84" s="744"/>
      <c r="AP84" s="744"/>
      <c r="AQ84" s="809"/>
      <c r="AR84" s="744"/>
      <c r="AS84" s="806"/>
      <c r="AT84" s="808"/>
      <c r="AU84" s="809"/>
      <c r="AV84" s="744"/>
      <c r="AW84" s="744"/>
      <c r="AX84" s="744"/>
      <c r="AY84" s="744"/>
      <c r="AZ84" s="744"/>
      <c r="BA84" s="806"/>
      <c r="BB84" s="807"/>
      <c r="BC84" s="809"/>
      <c r="BD84" s="744"/>
      <c r="BE84" s="744"/>
      <c r="BF84" s="744"/>
      <c r="BG84" s="744"/>
      <c r="BH84" s="744"/>
      <c r="BI84" s="806"/>
      <c r="BJ84" s="808"/>
      <c r="BK84" s="809"/>
      <c r="BL84" s="744"/>
      <c r="BM84" s="744"/>
      <c r="BN84" s="744"/>
      <c r="BO84" s="744"/>
      <c r="BP84" s="744"/>
      <c r="BQ84" s="744"/>
      <c r="BR84" s="806"/>
      <c r="BS84" s="807"/>
      <c r="BT84" s="809"/>
      <c r="BU84" s="744"/>
      <c r="BV84" s="744"/>
      <c r="BW84" s="744"/>
      <c r="BX84" s="744"/>
      <c r="BY84" s="744"/>
      <c r="BZ84" s="806"/>
      <c r="CA84" s="810"/>
      <c r="CB84" s="809"/>
      <c r="CC84" s="744"/>
      <c r="CD84" s="744"/>
      <c r="CE84" s="744"/>
      <c r="CF84" s="744"/>
      <c r="CG84" s="744"/>
      <c r="CH84" s="806"/>
      <c r="CI84" s="810"/>
      <c r="CJ84" s="809"/>
      <c r="CK84" s="744"/>
      <c r="CL84" s="744"/>
      <c r="CM84" s="744"/>
      <c r="CN84" s="744"/>
      <c r="CO84" s="744"/>
      <c r="CP84" s="806"/>
      <c r="CQ84" s="807"/>
      <c r="CR84" s="744"/>
      <c r="CS84" s="744"/>
      <c r="CT84" s="744"/>
      <c r="CU84" s="744" t="n">
        <f aca="false">+CR84-CS84</f>
        <v>0</v>
      </c>
      <c r="CV84" s="744" t="n">
        <f aca="false">+CR84-CT84</f>
        <v>0</v>
      </c>
      <c r="CW84" s="744"/>
      <c r="CX84" s="811" t="e">
        <f aca="false">+CR84/CW84-1</f>
        <v>#DIV/0!</v>
      </c>
      <c r="CY84" s="812"/>
      <c r="CZ84" s="814"/>
      <c r="DA84" s="744"/>
      <c r="DB84" s="744"/>
      <c r="DC84" s="744"/>
      <c r="DD84" s="744"/>
      <c r="DE84" s="806" t="e">
        <f aca="false">(CZ84-DD84)/DD84</f>
        <v>#DIV/0!</v>
      </c>
      <c r="DF84" s="806" t="e">
        <f aca="false">(DA84-DD84)/DD84</f>
        <v>#DIV/0!</v>
      </c>
      <c r="DG84" s="806" t="e">
        <f aca="false">(DB84-DD84)/DD84</f>
        <v>#DIV/0!</v>
      </c>
      <c r="DH84" s="806" t="e">
        <f aca="false">(DC84-DD84)/DD84</f>
        <v>#DIV/0!</v>
      </c>
      <c r="DI84" s="696"/>
      <c r="DJ84" s="37"/>
      <c r="DL84" s="37"/>
      <c r="DM84" s="400" t="n">
        <f aca="false">(CS84-CZ84)*10^6</f>
        <v>0</v>
      </c>
      <c r="DN84" s="400" t="n">
        <f aca="false">(CT84-DC84)*10^6</f>
        <v>0</v>
      </c>
      <c r="DO84" s="400" t="n">
        <f aca="false">(CW84-DD84)*10^6</f>
        <v>0</v>
      </c>
    </row>
    <row r="85" s="441" customFormat="true" ht="15" hidden="false" customHeight="true" outlineLevel="1" collapsed="false">
      <c r="A85" s="764"/>
      <c r="B85" s="765" t="s">
        <v>492</v>
      </c>
      <c r="C85" s="679" t="s">
        <v>595</v>
      </c>
      <c r="D85" s="537"/>
      <c r="E85" s="537"/>
      <c r="F85" s="537"/>
      <c r="G85" s="537"/>
      <c r="H85" s="438"/>
      <c r="I85" s="766"/>
      <c r="J85" s="537"/>
      <c r="K85" s="537"/>
      <c r="L85" s="537"/>
      <c r="M85" s="537"/>
      <c r="N85" s="438"/>
      <c r="O85" s="767"/>
      <c r="P85" s="537"/>
      <c r="Q85" s="537"/>
      <c r="R85" s="537"/>
      <c r="S85" s="537"/>
      <c r="T85" s="438"/>
      <c r="U85" s="766"/>
      <c r="V85" s="537"/>
      <c r="W85" s="537"/>
      <c r="X85" s="834"/>
      <c r="Y85" s="537"/>
      <c r="Z85" s="439"/>
      <c r="AA85" s="537"/>
      <c r="AB85" s="438"/>
      <c r="AC85" s="766"/>
      <c r="AD85" s="537"/>
      <c r="AE85" s="537"/>
      <c r="AF85" s="537"/>
      <c r="AG85" s="537"/>
      <c r="AH85" s="439"/>
      <c r="AI85" s="537"/>
      <c r="AJ85" s="438"/>
      <c r="AK85" s="766"/>
      <c r="AL85" s="537"/>
      <c r="AM85" s="537"/>
      <c r="AN85" s="537"/>
      <c r="AO85" s="537"/>
      <c r="AP85" s="537"/>
      <c r="AQ85" s="439"/>
      <c r="AR85" s="537"/>
      <c r="AS85" s="438"/>
      <c r="AT85" s="767"/>
      <c r="AU85" s="439"/>
      <c r="AV85" s="537"/>
      <c r="AW85" s="537"/>
      <c r="AX85" s="537"/>
      <c r="AY85" s="537"/>
      <c r="AZ85" s="537"/>
      <c r="BA85" s="438"/>
      <c r="BB85" s="766"/>
      <c r="BC85" s="439"/>
      <c r="BD85" s="537"/>
      <c r="BE85" s="537"/>
      <c r="BF85" s="537"/>
      <c r="BG85" s="537"/>
      <c r="BH85" s="537"/>
      <c r="BI85" s="438"/>
      <c r="BJ85" s="767"/>
      <c r="BK85" s="439"/>
      <c r="BL85" s="537"/>
      <c r="BM85" s="537"/>
      <c r="BN85" s="537"/>
      <c r="BO85" s="537"/>
      <c r="BP85" s="537"/>
      <c r="BQ85" s="537"/>
      <c r="BR85" s="438"/>
      <c r="BS85" s="766"/>
      <c r="BT85" s="439"/>
      <c r="BU85" s="537"/>
      <c r="BV85" s="537"/>
      <c r="BW85" s="537"/>
      <c r="BX85" s="537"/>
      <c r="BY85" s="537"/>
      <c r="BZ85" s="438"/>
      <c r="CA85" s="768"/>
      <c r="CB85" s="439"/>
      <c r="CC85" s="537"/>
      <c r="CD85" s="537"/>
      <c r="CE85" s="537"/>
      <c r="CF85" s="537"/>
      <c r="CG85" s="537"/>
      <c r="CH85" s="438"/>
      <c r="CI85" s="768"/>
      <c r="CJ85" s="439"/>
      <c r="CK85" s="537"/>
      <c r="CL85" s="537"/>
      <c r="CM85" s="537"/>
      <c r="CN85" s="537"/>
      <c r="CO85" s="537"/>
      <c r="CP85" s="438"/>
      <c r="CQ85" s="766"/>
      <c r="CR85" s="537"/>
      <c r="CS85" s="537"/>
      <c r="CT85" s="433"/>
      <c r="CU85" s="537" t="n">
        <f aca="false">+CR85-CS85</f>
        <v>0</v>
      </c>
      <c r="CV85" s="537" t="n">
        <f aca="false">+CR85-CT85</f>
        <v>0</v>
      </c>
      <c r="CW85" s="537"/>
      <c r="CX85" s="769" t="e">
        <f aca="false">+CR85/CW85-1</f>
        <v>#DIV/0!</v>
      </c>
      <c r="CY85" s="770"/>
      <c r="CZ85" s="771"/>
      <c r="DA85" s="537"/>
      <c r="DB85" s="537"/>
      <c r="DC85" s="537"/>
      <c r="DD85" s="537"/>
      <c r="DE85" s="438" t="e">
        <f aca="false">(CZ85-DD85)/DD85</f>
        <v>#DIV/0!</v>
      </c>
      <c r="DF85" s="438" t="e">
        <f aca="false">(DA85-DD85)/DD85</f>
        <v>#DIV/0!</v>
      </c>
      <c r="DG85" s="438" t="e">
        <f aca="false">(DB85-DD85)/DD85</f>
        <v>#DIV/0!</v>
      </c>
      <c r="DH85" s="438" t="e">
        <f aca="false">(DC85-DD85)/DD85</f>
        <v>#DIV/0!</v>
      </c>
      <c r="DI85" s="696"/>
      <c r="DJ85" s="37"/>
      <c r="DL85" s="37"/>
      <c r="DM85" s="400" t="n">
        <f aca="false">(CS85-CZ85)*10^6</f>
        <v>0</v>
      </c>
      <c r="DN85" s="400" t="n">
        <f aca="false">(CT85-DC85)*10^6</f>
        <v>0</v>
      </c>
      <c r="DO85" s="400" t="n">
        <f aca="false">(CW85-DD85)*10^6</f>
        <v>0</v>
      </c>
    </row>
    <row r="86" s="441" customFormat="true" ht="15" hidden="false" customHeight="true" outlineLevel="1" collapsed="false">
      <c r="A86" s="764"/>
      <c r="B86" s="765" t="s">
        <v>494</v>
      </c>
      <c r="C86" s="679" t="s">
        <v>596</v>
      </c>
      <c r="D86" s="537"/>
      <c r="E86" s="537"/>
      <c r="F86" s="537"/>
      <c r="G86" s="537"/>
      <c r="H86" s="438"/>
      <c r="I86" s="766"/>
      <c r="J86" s="537"/>
      <c r="K86" s="537"/>
      <c r="L86" s="537"/>
      <c r="M86" s="537"/>
      <c r="N86" s="438"/>
      <c r="O86" s="767"/>
      <c r="P86" s="537"/>
      <c r="Q86" s="537"/>
      <c r="R86" s="537"/>
      <c r="S86" s="537"/>
      <c r="T86" s="438"/>
      <c r="U86" s="766"/>
      <c r="V86" s="537"/>
      <c r="W86" s="537"/>
      <c r="X86" s="834"/>
      <c r="Y86" s="537"/>
      <c r="Z86" s="439"/>
      <c r="AA86" s="537"/>
      <c r="AB86" s="438"/>
      <c r="AC86" s="766"/>
      <c r="AD86" s="537"/>
      <c r="AE86" s="537"/>
      <c r="AF86" s="537"/>
      <c r="AG86" s="537"/>
      <c r="AH86" s="439"/>
      <c r="AI86" s="537"/>
      <c r="AJ86" s="438"/>
      <c r="AK86" s="766"/>
      <c r="AL86" s="537"/>
      <c r="AM86" s="537"/>
      <c r="AN86" s="537"/>
      <c r="AO86" s="537"/>
      <c r="AP86" s="537"/>
      <c r="AQ86" s="439"/>
      <c r="AR86" s="537"/>
      <c r="AS86" s="438"/>
      <c r="AT86" s="767"/>
      <c r="AU86" s="439"/>
      <c r="AV86" s="537"/>
      <c r="AW86" s="537"/>
      <c r="AX86" s="537"/>
      <c r="AY86" s="537"/>
      <c r="AZ86" s="537"/>
      <c r="BA86" s="438"/>
      <c r="BB86" s="766"/>
      <c r="BC86" s="439"/>
      <c r="BD86" s="537"/>
      <c r="BE86" s="537"/>
      <c r="BF86" s="537"/>
      <c r="BG86" s="537"/>
      <c r="BH86" s="537"/>
      <c r="BI86" s="438"/>
      <c r="BJ86" s="767"/>
      <c r="BK86" s="439"/>
      <c r="BL86" s="537"/>
      <c r="BM86" s="537"/>
      <c r="BN86" s="537"/>
      <c r="BO86" s="537"/>
      <c r="BP86" s="537"/>
      <c r="BQ86" s="537"/>
      <c r="BR86" s="438"/>
      <c r="BS86" s="766"/>
      <c r="BT86" s="439"/>
      <c r="BU86" s="537"/>
      <c r="BV86" s="537"/>
      <c r="BW86" s="537"/>
      <c r="BX86" s="537"/>
      <c r="BY86" s="537"/>
      <c r="BZ86" s="438"/>
      <c r="CA86" s="768"/>
      <c r="CB86" s="439"/>
      <c r="CC86" s="537"/>
      <c r="CD86" s="537"/>
      <c r="CE86" s="537"/>
      <c r="CF86" s="537"/>
      <c r="CG86" s="537"/>
      <c r="CH86" s="438"/>
      <c r="CI86" s="768"/>
      <c r="CJ86" s="439"/>
      <c r="CK86" s="537"/>
      <c r="CL86" s="537"/>
      <c r="CM86" s="537"/>
      <c r="CN86" s="537"/>
      <c r="CO86" s="537"/>
      <c r="CP86" s="438"/>
      <c r="CQ86" s="766"/>
      <c r="CR86" s="537"/>
      <c r="CS86" s="537"/>
      <c r="CT86" s="433"/>
      <c r="CU86" s="537" t="n">
        <f aca="false">+CR86-CS86</f>
        <v>0</v>
      </c>
      <c r="CV86" s="537" t="n">
        <f aca="false">+CR86-CT86</f>
        <v>0</v>
      </c>
      <c r="CW86" s="537"/>
      <c r="CX86" s="769" t="e">
        <f aca="false">+CR86/CW86-1</f>
        <v>#DIV/0!</v>
      </c>
      <c r="CY86" s="770"/>
      <c r="CZ86" s="771"/>
      <c r="DA86" s="537"/>
      <c r="DB86" s="537"/>
      <c r="DC86" s="537"/>
      <c r="DD86" s="537"/>
      <c r="DE86" s="438" t="e">
        <f aca="false">(CZ86-DD86)/DD86</f>
        <v>#DIV/0!</v>
      </c>
      <c r="DF86" s="438" t="e">
        <f aca="false">(DA86-DD86)/DD86</f>
        <v>#DIV/0!</v>
      </c>
      <c r="DG86" s="438" t="e">
        <f aca="false">(DB86-DD86)/DD86</f>
        <v>#DIV/0!</v>
      </c>
      <c r="DH86" s="438" t="e">
        <f aca="false">(DC86-DD86)/DD86</f>
        <v>#DIV/0!</v>
      </c>
      <c r="DI86" s="696"/>
      <c r="DJ86" s="37"/>
      <c r="DL86" s="37"/>
      <c r="DM86" s="400" t="n">
        <f aca="false">(CS86-CZ86)*10^6</f>
        <v>0</v>
      </c>
      <c r="DN86" s="400" t="n">
        <f aca="false">(CT86-DC86)*10^6</f>
        <v>0</v>
      </c>
      <c r="DO86" s="400" t="n">
        <f aca="false">(CW86-DD86)*10^6</f>
        <v>0</v>
      </c>
    </row>
    <row r="87" s="441" customFormat="true" ht="15" hidden="false" customHeight="true" outlineLevel="1" collapsed="false">
      <c r="A87" s="764"/>
      <c r="B87" s="765" t="s">
        <v>496</v>
      </c>
      <c r="C87" s="679" t="s">
        <v>597</v>
      </c>
      <c r="D87" s="537"/>
      <c r="E87" s="537"/>
      <c r="F87" s="537"/>
      <c r="G87" s="537"/>
      <c r="H87" s="438"/>
      <c r="I87" s="766"/>
      <c r="J87" s="537"/>
      <c r="K87" s="537"/>
      <c r="L87" s="537"/>
      <c r="M87" s="537"/>
      <c r="N87" s="438"/>
      <c r="O87" s="767"/>
      <c r="P87" s="537"/>
      <c r="Q87" s="537"/>
      <c r="R87" s="537"/>
      <c r="S87" s="537"/>
      <c r="T87" s="438"/>
      <c r="U87" s="766"/>
      <c r="V87" s="537"/>
      <c r="W87" s="537"/>
      <c r="X87" s="537"/>
      <c r="Y87" s="537"/>
      <c r="Z87" s="439"/>
      <c r="AA87" s="537"/>
      <c r="AB87" s="438"/>
      <c r="AC87" s="766"/>
      <c r="AD87" s="537"/>
      <c r="AE87" s="537"/>
      <c r="AF87" s="537"/>
      <c r="AG87" s="537"/>
      <c r="AH87" s="439"/>
      <c r="AI87" s="537"/>
      <c r="AJ87" s="438"/>
      <c r="AK87" s="766"/>
      <c r="AL87" s="537"/>
      <c r="AM87" s="537"/>
      <c r="AN87" s="537"/>
      <c r="AO87" s="537"/>
      <c r="AP87" s="537"/>
      <c r="AQ87" s="439"/>
      <c r="AR87" s="537"/>
      <c r="AS87" s="438"/>
      <c r="AT87" s="767"/>
      <c r="AU87" s="439"/>
      <c r="AV87" s="537"/>
      <c r="AW87" s="537"/>
      <c r="AX87" s="537"/>
      <c r="AY87" s="537"/>
      <c r="AZ87" s="537"/>
      <c r="BA87" s="438"/>
      <c r="BB87" s="766"/>
      <c r="BC87" s="439"/>
      <c r="BD87" s="537"/>
      <c r="BE87" s="537"/>
      <c r="BF87" s="537"/>
      <c r="BG87" s="537"/>
      <c r="BH87" s="537"/>
      <c r="BI87" s="438"/>
      <c r="BJ87" s="767"/>
      <c r="BK87" s="439"/>
      <c r="BL87" s="537"/>
      <c r="BM87" s="537"/>
      <c r="BN87" s="537"/>
      <c r="BO87" s="537"/>
      <c r="BP87" s="537"/>
      <c r="BQ87" s="537"/>
      <c r="BR87" s="438"/>
      <c r="BS87" s="766"/>
      <c r="BT87" s="439"/>
      <c r="BU87" s="537"/>
      <c r="BV87" s="537"/>
      <c r="BW87" s="537"/>
      <c r="BX87" s="537"/>
      <c r="BY87" s="537"/>
      <c r="BZ87" s="438"/>
      <c r="CA87" s="768"/>
      <c r="CB87" s="439"/>
      <c r="CC87" s="537"/>
      <c r="CD87" s="537"/>
      <c r="CE87" s="537"/>
      <c r="CF87" s="537"/>
      <c r="CG87" s="537"/>
      <c r="CH87" s="438"/>
      <c r="CI87" s="768"/>
      <c r="CJ87" s="439"/>
      <c r="CK87" s="537"/>
      <c r="CL87" s="537"/>
      <c r="CM87" s="537"/>
      <c r="CN87" s="537"/>
      <c r="CO87" s="537"/>
      <c r="CP87" s="438"/>
      <c r="CQ87" s="766"/>
      <c r="CR87" s="537"/>
      <c r="CS87" s="537"/>
      <c r="CT87" s="433"/>
      <c r="CU87" s="537" t="n">
        <f aca="false">+CR87-CS87</f>
        <v>0</v>
      </c>
      <c r="CV87" s="537" t="n">
        <f aca="false">+CR87-CT87</f>
        <v>0</v>
      </c>
      <c r="CW87" s="537"/>
      <c r="CX87" s="769"/>
      <c r="CY87" s="770"/>
      <c r="CZ87" s="771"/>
      <c r="DA87" s="537"/>
      <c r="DB87" s="537"/>
      <c r="DC87" s="537"/>
      <c r="DD87" s="537"/>
      <c r="DE87" s="438"/>
      <c r="DF87" s="438"/>
      <c r="DG87" s="438"/>
      <c r="DH87" s="438"/>
      <c r="DI87" s="696"/>
      <c r="DJ87" s="37"/>
      <c r="DL87" s="37"/>
      <c r="DM87" s="400" t="n">
        <f aca="false">(CS87-CZ87)*10^6</f>
        <v>0</v>
      </c>
      <c r="DN87" s="400" t="n">
        <f aca="false">(CT87-DC87)*10^6</f>
        <v>0</v>
      </c>
      <c r="DO87" s="400" t="n">
        <f aca="false">(CW87-DD87)*10^6</f>
        <v>0</v>
      </c>
    </row>
    <row r="88" s="441" customFormat="true" ht="15" hidden="false" customHeight="true" outlineLevel="1" collapsed="false">
      <c r="A88" s="764"/>
      <c r="B88" s="765" t="s">
        <v>498</v>
      </c>
      <c r="C88" s="679" t="s">
        <v>598</v>
      </c>
      <c r="D88" s="537"/>
      <c r="E88" s="537"/>
      <c r="F88" s="537"/>
      <c r="G88" s="537"/>
      <c r="H88" s="438"/>
      <c r="I88" s="766"/>
      <c r="J88" s="537"/>
      <c r="K88" s="537"/>
      <c r="L88" s="537"/>
      <c r="M88" s="537"/>
      <c r="N88" s="438"/>
      <c r="O88" s="767"/>
      <c r="P88" s="537"/>
      <c r="Q88" s="537"/>
      <c r="R88" s="537"/>
      <c r="S88" s="537"/>
      <c r="T88" s="438"/>
      <c r="U88" s="766"/>
      <c r="V88" s="537"/>
      <c r="W88" s="537"/>
      <c r="X88" s="537"/>
      <c r="Y88" s="537"/>
      <c r="Z88" s="439"/>
      <c r="AA88" s="537"/>
      <c r="AB88" s="438"/>
      <c r="AC88" s="766"/>
      <c r="AD88" s="537"/>
      <c r="AE88" s="537"/>
      <c r="AF88" s="537"/>
      <c r="AG88" s="537"/>
      <c r="AH88" s="439"/>
      <c r="AI88" s="537"/>
      <c r="AJ88" s="438"/>
      <c r="AK88" s="766"/>
      <c r="AL88" s="537"/>
      <c r="AM88" s="537"/>
      <c r="AN88" s="537"/>
      <c r="AO88" s="537"/>
      <c r="AP88" s="537"/>
      <c r="AQ88" s="439"/>
      <c r="AR88" s="537"/>
      <c r="AS88" s="438"/>
      <c r="AT88" s="767"/>
      <c r="AU88" s="439"/>
      <c r="AV88" s="537"/>
      <c r="AW88" s="537"/>
      <c r="AX88" s="537"/>
      <c r="AY88" s="537"/>
      <c r="AZ88" s="537"/>
      <c r="BA88" s="438"/>
      <c r="BB88" s="766"/>
      <c r="BC88" s="439"/>
      <c r="BD88" s="537"/>
      <c r="BE88" s="537"/>
      <c r="BF88" s="537"/>
      <c r="BG88" s="537"/>
      <c r="BH88" s="537"/>
      <c r="BI88" s="438"/>
      <c r="BJ88" s="767"/>
      <c r="BK88" s="439"/>
      <c r="BL88" s="537"/>
      <c r="BM88" s="537"/>
      <c r="BN88" s="537"/>
      <c r="BO88" s="537"/>
      <c r="BP88" s="537"/>
      <c r="BQ88" s="537"/>
      <c r="BR88" s="438"/>
      <c r="BS88" s="766"/>
      <c r="BT88" s="439"/>
      <c r="BU88" s="537"/>
      <c r="BV88" s="537"/>
      <c r="BW88" s="537"/>
      <c r="BX88" s="537"/>
      <c r="BY88" s="537"/>
      <c r="BZ88" s="438"/>
      <c r="CA88" s="768"/>
      <c r="CB88" s="439"/>
      <c r="CC88" s="537"/>
      <c r="CD88" s="537"/>
      <c r="CE88" s="537"/>
      <c r="CF88" s="537"/>
      <c r="CG88" s="537"/>
      <c r="CH88" s="438"/>
      <c r="CI88" s="768"/>
      <c r="CJ88" s="439"/>
      <c r="CK88" s="537"/>
      <c r="CL88" s="537"/>
      <c r="CM88" s="537"/>
      <c r="CN88" s="537"/>
      <c r="CO88" s="537"/>
      <c r="CP88" s="438"/>
      <c r="CQ88" s="766"/>
      <c r="CR88" s="537"/>
      <c r="CS88" s="537"/>
      <c r="CT88" s="433"/>
      <c r="CU88" s="537" t="n">
        <f aca="false">+CR88-CS88</f>
        <v>0</v>
      </c>
      <c r="CV88" s="537" t="n">
        <f aca="false">+CR88-CT88</f>
        <v>0</v>
      </c>
      <c r="CW88" s="537"/>
      <c r="CX88" s="769"/>
      <c r="CY88" s="770"/>
      <c r="CZ88" s="771"/>
      <c r="DA88" s="537"/>
      <c r="DB88" s="537"/>
      <c r="DC88" s="537"/>
      <c r="DD88" s="537"/>
      <c r="DE88" s="438"/>
      <c r="DF88" s="438"/>
      <c r="DG88" s="438"/>
      <c r="DH88" s="438"/>
      <c r="DI88" s="696"/>
      <c r="DJ88" s="37"/>
      <c r="DL88" s="37"/>
      <c r="DM88" s="400" t="n">
        <f aca="false">(CS88-CZ88)*10^6</f>
        <v>0</v>
      </c>
      <c r="DN88" s="400" t="n">
        <f aca="false">(CT88-DC88)*10^6</f>
        <v>0</v>
      </c>
      <c r="DO88" s="400" t="n">
        <f aca="false">(CW88-DD88)*10^6</f>
        <v>0</v>
      </c>
    </row>
    <row r="89" s="441" customFormat="true" ht="15" hidden="false" customHeight="true" outlineLevel="1" collapsed="false">
      <c r="A89" s="764"/>
      <c r="B89" s="765" t="s">
        <v>500</v>
      </c>
      <c r="C89" s="679" t="s">
        <v>599</v>
      </c>
      <c r="D89" s="537"/>
      <c r="E89" s="537"/>
      <c r="F89" s="537"/>
      <c r="G89" s="537"/>
      <c r="H89" s="438"/>
      <c r="I89" s="766"/>
      <c r="J89" s="537"/>
      <c r="K89" s="537"/>
      <c r="L89" s="537"/>
      <c r="M89" s="537"/>
      <c r="N89" s="438"/>
      <c r="O89" s="767"/>
      <c r="P89" s="537"/>
      <c r="Q89" s="537"/>
      <c r="R89" s="537"/>
      <c r="S89" s="537"/>
      <c r="T89" s="438"/>
      <c r="U89" s="766"/>
      <c r="V89" s="537"/>
      <c r="W89" s="537"/>
      <c r="X89" s="537"/>
      <c r="Y89" s="537"/>
      <c r="Z89" s="439"/>
      <c r="AA89" s="537"/>
      <c r="AB89" s="438"/>
      <c r="AC89" s="766"/>
      <c r="AD89" s="537"/>
      <c r="AE89" s="537"/>
      <c r="AF89" s="537"/>
      <c r="AG89" s="537"/>
      <c r="AH89" s="439"/>
      <c r="AI89" s="537"/>
      <c r="AJ89" s="438"/>
      <c r="AK89" s="766"/>
      <c r="AL89" s="537"/>
      <c r="AM89" s="537"/>
      <c r="AN89" s="537"/>
      <c r="AO89" s="537"/>
      <c r="AP89" s="537"/>
      <c r="AQ89" s="439"/>
      <c r="AR89" s="537"/>
      <c r="AS89" s="438"/>
      <c r="AT89" s="767"/>
      <c r="AU89" s="439"/>
      <c r="AV89" s="537"/>
      <c r="AW89" s="537"/>
      <c r="AX89" s="537"/>
      <c r="AY89" s="537"/>
      <c r="AZ89" s="537"/>
      <c r="BA89" s="438"/>
      <c r="BB89" s="766"/>
      <c r="BC89" s="439"/>
      <c r="BD89" s="537"/>
      <c r="BE89" s="537"/>
      <c r="BF89" s="537"/>
      <c r="BG89" s="537"/>
      <c r="BH89" s="537"/>
      <c r="BI89" s="438"/>
      <c r="BJ89" s="767"/>
      <c r="BK89" s="439"/>
      <c r="BL89" s="537"/>
      <c r="BM89" s="537"/>
      <c r="BN89" s="537"/>
      <c r="BO89" s="537"/>
      <c r="BP89" s="537"/>
      <c r="BQ89" s="537"/>
      <c r="BR89" s="438"/>
      <c r="BS89" s="766"/>
      <c r="BT89" s="439"/>
      <c r="BU89" s="537"/>
      <c r="BV89" s="537"/>
      <c r="BW89" s="537"/>
      <c r="BX89" s="537"/>
      <c r="BY89" s="537"/>
      <c r="BZ89" s="438"/>
      <c r="CA89" s="768"/>
      <c r="CB89" s="439"/>
      <c r="CC89" s="537"/>
      <c r="CD89" s="537"/>
      <c r="CE89" s="537"/>
      <c r="CF89" s="537"/>
      <c r="CG89" s="537"/>
      <c r="CH89" s="438"/>
      <c r="CI89" s="768"/>
      <c r="CJ89" s="439"/>
      <c r="CK89" s="537"/>
      <c r="CL89" s="537"/>
      <c r="CM89" s="537"/>
      <c r="CN89" s="537"/>
      <c r="CO89" s="537"/>
      <c r="CP89" s="438"/>
      <c r="CQ89" s="766"/>
      <c r="CR89" s="537"/>
      <c r="CS89" s="537"/>
      <c r="CT89" s="433"/>
      <c r="CU89" s="537" t="n">
        <f aca="false">+CR89-CS89</f>
        <v>0</v>
      </c>
      <c r="CV89" s="537" t="n">
        <f aca="false">+CR89-CT89</f>
        <v>0</v>
      </c>
      <c r="CW89" s="537"/>
      <c r="CX89" s="769"/>
      <c r="CY89" s="770"/>
      <c r="CZ89" s="771"/>
      <c r="DA89" s="537"/>
      <c r="DB89" s="537"/>
      <c r="DC89" s="537"/>
      <c r="DD89" s="537"/>
      <c r="DE89" s="438"/>
      <c r="DF89" s="438"/>
      <c r="DG89" s="438"/>
      <c r="DH89" s="438"/>
      <c r="DI89" s="696"/>
      <c r="DJ89" s="37"/>
      <c r="DL89" s="37"/>
      <c r="DM89" s="400" t="n">
        <f aca="false">(CS89-CZ89)*10^6</f>
        <v>0</v>
      </c>
      <c r="DN89" s="400" t="n">
        <f aca="false">(CT89-DC89)*10^6</f>
        <v>0</v>
      </c>
      <c r="DO89" s="400" t="n">
        <f aca="false">(CW89-DD89)*10^6</f>
        <v>0</v>
      </c>
    </row>
    <row r="90" s="441" customFormat="true" ht="15" hidden="false" customHeight="true" outlineLevel="1" collapsed="false">
      <c r="A90" s="764"/>
      <c r="B90" s="765" t="s">
        <v>502</v>
      </c>
      <c r="C90" s="679" t="s">
        <v>600</v>
      </c>
      <c r="D90" s="537"/>
      <c r="E90" s="537"/>
      <c r="F90" s="537"/>
      <c r="G90" s="537"/>
      <c r="H90" s="438"/>
      <c r="I90" s="766"/>
      <c r="J90" s="537"/>
      <c r="K90" s="537"/>
      <c r="L90" s="537"/>
      <c r="M90" s="537"/>
      <c r="N90" s="438"/>
      <c r="O90" s="767"/>
      <c r="P90" s="537"/>
      <c r="Q90" s="537"/>
      <c r="R90" s="537"/>
      <c r="S90" s="537"/>
      <c r="T90" s="438"/>
      <c r="U90" s="766"/>
      <c r="V90" s="537"/>
      <c r="W90" s="537"/>
      <c r="X90" s="537"/>
      <c r="Y90" s="537"/>
      <c r="Z90" s="439"/>
      <c r="AA90" s="537"/>
      <c r="AB90" s="438"/>
      <c r="AC90" s="766"/>
      <c r="AD90" s="537"/>
      <c r="AE90" s="537"/>
      <c r="AF90" s="537"/>
      <c r="AG90" s="537"/>
      <c r="AH90" s="439"/>
      <c r="AI90" s="537"/>
      <c r="AJ90" s="438"/>
      <c r="AK90" s="766"/>
      <c r="AL90" s="537"/>
      <c r="AM90" s="537"/>
      <c r="AN90" s="537"/>
      <c r="AO90" s="537"/>
      <c r="AP90" s="537"/>
      <c r="AQ90" s="439"/>
      <c r="AR90" s="537"/>
      <c r="AS90" s="438"/>
      <c r="AT90" s="767"/>
      <c r="AU90" s="439"/>
      <c r="AV90" s="537"/>
      <c r="AW90" s="537"/>
      <c r="AX90" s="537"/>
      <c r="AY90" s="537"/>
      <c r="AZ90" s="537"/>
      <c r="BA90" s="438"/>
      <c r="BB90" s="766"/>
      <c r="BC90" s="439"/>
      <c r="BD90" s="537"/>
      <c r="BE90" s="537"/>
      <c r="BF90" s="537"/>
      <c r="BG90" s="537"/>
      <c r="BH90" s="537"/>
      <c r="BI90" s="438"/>
      <c r="BJ90" s="767"/>
      <c r="BK90" s="439"/>
      <c r="BL90" s="537"/>
      <c r="BM90" s="537"/>
      <c r="BN90" s="537"/>
      <c r="BO90" s="537"/>
      <c r="BP90" s="537"/>
      <c r="BQ90" s="537"/>
      <c r="BR90" s="438"/>
      <c r="BS90" s="766"/>
      <c r="BT90" s="439"/>
      <c r="BU90" s="537"/>
      <c r="BV90" s="537"/>
      <c r="BW90" s="537"/>
      <c r="BX90" s="537"/>
      <c r="BY90" s="537"/>
      <c r="BZ90" s="438"/>
      <c r="CA90" s="768"/>
      <c r="CB90" s="439"/>
      <c r="CC90" s="537"/>
      <c r="CD90" s="537"/>
      <c r="CE90" s="537"/>
      <c r="CF90" s="537"/>
      <c r="CG90" s="537"/>
      <c r="CH90" s="438"/>
      <c r="CI90" s="768"/>
      <c r="CJ90" s="439"/>
      <c r="CK90" s="537"/>
      <c r="CL90" s="537"/>
      <c r="CM90" s="537"/>
      <c r="CN90" s="537"/>
      <c r="CO90" s="537"/>
      <c r="CP90" s="438"/>
      <c r="CQ90" s="766"/>
      <c r="CR90" s="537"/>
      <c r="CS90" s="537"/>
      <c r="CT90" s="433"/>
      <c r="CU90" s="537" t="n">
        <f aca="false">+CR90-CS90</f>
        <v>0</v>
      </c>
      <c r="CV90" s="537" t="n">
        <f aca="false">+CR90-CT90</f>
        <v>0</v>
      </c>
      <c r="CW90" s="537"/>
      <c r="CX90" s="769" t="e">
        <f aca="false">+CR90/CW90-1</f>
        <v>#DIV/0!</v>
      </c>
      <c r="CY90" s="770"/>
      <c r="CZ90" s="771"/>
      <c r="DA90" s="537"/>
      <c r="DB90" s="537"/>
      <c r="DC90" s="537"/>
      <c r="DD90" s="537"/>
      <c r="DE90" s="438" t="e">
        <f aca="false">(CZ90-DD90)/DD90</f>
        <v>#DIV/0!</v>
      </c>
      <c r="DF90" s="438" t="e">
        <f aca="false">(DA90-DD90)/DD90</f>
        <v>#DIV/0!</v>
      </c>
      <c r="DG90" s="438" t="e">
        <f aca="false">(DB90-DD90)/DD90</f>
        <v>#DIV/0!</v>
      </c>
      <c r="DH90" s="438" t="e">
        <f aca="false">(DC90-DD90)/DD90</f>
        <v>#DIV/0!</v>
      </c>
      <c r="DI90" s="696"/>
      <c r="DJ90" s="37"/>
      <c r="DL90" s="37"/>
      <c r="DM90" s="400" t="n">
        <f aca="false">(CS90-CZ90)*10^6</f>
        <v>0</v>
      </c>
      <c r="DN90" s="400" t="n">
        <f aca="false">(CT90-DC90)*10^6</f>
        <v>0</v>
      </c>
      <c r="DO90" s="400" t="n">
        <f aca="false">(CW90-DD90)*10^6</f>
        <v>0</v>
      </c>
    </row>
    <row r="91" s="441" customFormat="true" ht="15" hidden="false" customHeight="true" outlineLevel="1" collapsed="false">
      <c r="A91" s="764"/>
      <c r="B91" s="765" t="s">
        <v>504</v>
      </c>
      <c r="C91" s="679" t="s">
        <v>601</v>
      </c>
      <c r="D91" s="537"/>
      <c r="E91" s="537"/>
      <c r="F91" s="537"/>
      <c r="G91" s="537"/>
      <c r="H91" s="438"/>
      <c r="I91" s="766"/>
      <c r="J91" s="537"/>
      <c r="K91" s="537"/>
      <c r="L91" s="537"/>
      <c r="M91" s="537"/>
      <c r="N91" s="438"/>
      <c r="O91" s="767"/>
      <c r="P91" s="537"/>
      <c r="Q91" s="537"/>
      <c r="R91" s="537"/>
      <c r="S91" s="537"/>
      <c r="T91" s="438"/>
      <c r="U91" s="766"/>
      <c r="V91" s="537"/>
      <c r="W91" s="537"/>
      <c r="X91" s="537"/>
      <c r="Y91" s="537"/>
      <c r="Z91" s="439"/>
      <c r="AA91" s="537"/>
      <c r="AB91" s="438"/>
      <c r="AC91" s="766"/>
      <c r="AD91" s="537"/>
      <c r="AE91" s="537"/>
      <c r="AF91" s="537"/>
      <c r="AG91" s="537"/>
      <c r="AH91" s="439"/>
      <c r="AI91" s="537"/>
      <c r="AJ91" s="438"/>
      <c r="AK91" s="766"/>
      <c r="AL91" s="537"/>
      <c r="AM91" s="537"/>
      <c r="AN91" s="537"/>
      <c r="AO91" s="537"/>
      <c r="AP91" s="537"/>
      <c r="AQ91" s="439"/>
      <c r="AR91" s="537"/>
      <c r="AS91" s="438"/>
      <c r="AT91" s="767"/>
      <c r="AU91" s="439"/>
      <c r="AV91" s="537"/>
      <c r="AW91" s="537"/>
      <c r="AX91" s="537"/>
      <c r="AY91" s="537"/>
      <c r="AZ91" s="537"/>
      <c r="BA91" s="438"/>
      <c r="BB91" s="766"/>
      <c r="BC91" s="439"/>
      <c r="BD91" s="537"/>
      <c r="BE91" s="537"/>
      <c r="BF91" s="537"/>
      <c r="BG91" s="537"/>
      <c r="BH91" s="537"/>
      <c r="BI91" s="438"/>
      <c r="BJ91" s="767"/>
      <c r="BK91" s="439"/>
      <c r="BL91" s="537"/>
      <c r="BM91" s="537"/>
      <c r="BN91" s="537"/>
      <c r="BO91" s="537"/>
      <c r="BP91" s="537"/>
      <c r="BQ91" s="537"/>
      <c r="BR91" s="438"/>
      <c r="BS91" s="766"/>
      <c r="BT91" s="439"/>
      <c r="BU91" s="537"/>
      <c r="BV91" s="537"/>
      <c r="BW91" s="537"/>
      <c r="BX91" s="537"/>
      <c r="BY91" s="537"/>
      <c r="BZ91" s="438"/>
      <c r="CA91" s="768"/>
      <c r="CB91" s="439"/>
      <c r="CC91" s="537"/>
      <c r="CD91" s="537"/>
      <c r="CE91" s="537"/>
      <c r="CF91" s="537"/>
      <c r="CG91" s="537"/>
      <c r="CH91" s="438"/>
      <c r="CI91" s="768"/>
      <c r="CJ91" s="439"/>
      <c r="CK91" s="537"/>
      <c r="CL91" s="537"/>
      <c r="CM91" s="537"/>
      <c r="CN91" s="537"/>
      <c r="CO91" s="537"/>
      <c r="CP91" s="438"/>
      <c r="CQ91" s="766"/>
      <c r="CR91" s="537"/>
      <c r="CS91" s="537"/>
      <c r="CT91" s="433"/>
      <c r="CU91" s="537" t="n">
        <f aca="false">+CR91-CS91</f>
        <v>0</v>
      </c>
      <c r="CV91" s="537" t="n">
        <f aca="false">+CR91-CT91</f>
        <v>0</v>
      </c>
      <c r="CW91" s="537"/>
      <c r="CX91" s="769" t="e">
        <f aca="false">+CR91/CW91-1</f>
        <v>#DIV/0!</v>
      </c>
      <c r="CY91" s="770"/>
      <c r="CZ91" s="771"/>
      <c r="DA91" s="537"/>
      <c r="DB91" s="537"/>
      <c r="DC91" s="537"/>
      <c r="DD91" s="537"/>
      <c r="DE91" s="438" t="e">
        <f aca="false">(CZ91-DD91)/DD91</f>
        <v>#DIV/0!</v>
      </c>
      <c r="DF91" s="438" t="e">
        <f aca="false">(DA91-DD91)/DD91</f>
        <v>#DIV/0!</v>
      </c>
      <c r="DG91" s="438" t="e">
        <f aca="false">(DB91-DD91)/DD91</f>
        <v>#DIV/0!</v>
      </c>
      <c r="DH91" s="438" t="e">
        <f aca="false">(DC91-DD91)/DD91</f>
        <v>#DIV/0!</v>
      </c>
      <c r="DI91" s="696"/>
      <c r="DJ91" s="37"/>
      <c r="DL91" s="37"/>
      <c r="DM91" s="400" t="n">
        <f aca="false">(CS91-CZ91)*10^6</f>
        <v>0</v>
      </c>
      <c r="DN91" s="400" t="n">
        <f aca="false">(CT91-DC91)*10^6</f>
        <v>0</v>
      </c>
      <c r="DO91" s="400" t="n">
        <f aca="false">(CW91-DD91)*10^6</f>
        <v>0</v>
      </c>
    </row>
    <row r="92" s="441" customFormat="true" ht="15" hidden="false" customHeight="true" outlineLevel="1" collapsed="false">
      <c r="A92" s="764"/>
      <c r="B92" s="765" t="s">
        <v>506</v>
      </c>
      <c r="C92" s="679" t="s">
        <v>602</v>
      </c>
      <c r="D92" s="537"/>
      <c r="E92" s="537"/>
      <c r="F92" s="537"/>
      <c r="G92" s="537"/>
      <c r="H92" s="438"/>
      <c r="I92" s="766"/>
      <c r="J92" s="537"/>
      <c r="K92" s="537"/>
      <c r="L92" s="537"/>
      <c r="M92" s="537"/>
      <c r="N92" s="438"/>
      <c r="O92" s="767"/>
      <c r="P92" s="835"/>
      <c r="Q92" s="537"/>
      <c r="R92" s="537"/>
      <c r="S92" s="537"/>
      <c r="T92" s="438"/>
      <c r="U92" s="766"/>
      <c r="V92" s="835"/>
      <c r="W92" s="537"/>
      <c r="X92" s="773"/>
      <c r="Y92" s="537"/>
      <c r="Z92" s="439"/>
      <c r="AA92" s="537"/>
      <c r="AB92" s="438"/>
      <c r="AC92" s="766"/>
      <c r="AD92" s="835"/>
      <c r="AE92" s="537"/>
      <c r="AF92" s="537"/>
      <c r="AG92" s="537"/>
      <c r="AH92" s="439"/>
      <c r="AI92" s="537"/>
      <c r="AJ92" s="438"/>
      <c r="AK92" s="766"/>
      <c r="AL92" s="835"/>
      <c r="AM92" s="537"/>
      <c r="AN92" s="537"/>
      <c r="AO92" s="537"/>
      <c r="AP92" s="537"/>
      <c r="AQ92" s="439"/>
      <c r="AR92" s="537"/>
      <c r="AS92" s="438"/>
      <c r="AT92" s="767"/>
      <c r="AU92" s="474"/>
      <c r="AV92" s="537"/>
      <c r="AW92" s="537"/>
      <c r="AX92" s="537"/>
      <c r="AY92" s="537"/>
      <c r="AZ92" s="537"/>
      <c r="BA92" s="438"/>
      <c r="BB92" s="766"/>
      <c r="BC92" s="474"/>
      <c r="BD92" s="537"/>
      <c r="BE92" s="537"/>
      <c r="BF92" s="537"/>
      <c r="BG92" s="537"/>
      <c r="BH92" s="537"/>
      <c r="BI92" s="438"/>
      <c r="BJ92" s="767"/>
      <c r="BK92" s="474"/>
      <c r="BL92" s="537"/>
      <c r="BM92" s="537"/>
      <c r="BN92" s="537"/>
      <c r="BO92" s="537"/>
      <c r="BP92" s="537"/>
      <c r="BQ92" s="537"/>
      <c r="BR92" s="438"/>
      <c r="BS92" s="766"/>
      <c r="BT92" s="474"/>
      <c r="BU92" s="537"/>
      <c r="BV92" s="537"/>
      <c r="BW92" s="537"/>
      <c r="BX92" s="537"/>
      <c r="BY92" s="537"/>
      <c r="BZ92" s="438"/>
      <c r="CA92" s="768"/>
      <c r="CB92" s="474"/>
      <c r="CC92" s="537"/>
      <c r="CD92" s="537"/>
      <c r="CE92" s="537"/>
      <c r="CF92" s="537"/>
      <c r="CG92" s="537"/>
      <c r="CH92" s="438"/>
      <c r="CI92" s="768"/>
      <c r="CJ92" s="474"/>
      <c r="CK92" s="537"/>
      <c r="CL92" s="537"/>
      <c r="CM92" s="537"/>
      <c r="CN92" s="537"/>
      <c r="CO92" s="537"/>
      <c r="CP92" s="438"/>
      <c r="CQ92" s="766"/>
      <c r="CR92" s="537"/>
      <c r="CS92" s="537"/>
      <c r="CT92" s="433"/>
      <c r="CU92" s="537" t="n">
        <f aca="false">+CR92-CS92</f>
        <v>0</v>
      </c>
      <c r="CV92" s="537" t="n">
        <f aca="false">+CR92-CT92</f>
        <v>0</v>
      </c>
      <c r="CW92" s="537"/>
      <c r="CX92" s="769" t="e">
        <f aca="false">+CR92/CW92-1</f>
        <v>#DIV/0!</v>
      </c>
      <c r="CY92" s="770"/>
      <c r="CZ92" s="771"/>
      <c r="DA92" s="537"/>
      <c r="DB92" s="537"/>
      <c r="DC92" s="537"/>
      <c r="DD92" s="537"/>
      <c r="DE92" s="438" t="e">
        <f aca="false">(CZ92-DD92)/DD92</f>
        <v>#DIV/0!</v>
      </c>
      <c r="DF92" s="438" t="e">
        <f aca="false">(DA92-DD92)/DD92</f>
        <v>#DIV/0!</v>
      </c>
      <c r="DG92" s="438" t="e">
        <f aca="false">(DB92-DD92)/DD92</f>
        <v>#DIV/0!</v>
      </c>
      <c r="DH92" s="438" t="e">
        <f aca="false">(DC92-DD92)/DD92</f>
        <v>#DIV/0!</v>
      </c>
      <c r="DI92" s="696"/>
      <c r="DJ92" s="37"/>
      <c r="DL92" s="37"/>
      <c r="DM92" s="400" t="n">
        <f aca="false">(CS92-CZ92)*10^6</f>
        <v>0</v>
      </c>
      <c r="DN92" s="400" t="n">
        <f aca="false">(CT92-DC92)*10^6</f>
        <v>0</v>
      </c>
      <c r="DO92" s="400" t="n">
        <f aca="false">(CW92-DD92)*10^6</f>
        <v>0</v>
      </c>
    </row>
    <row r="93" s="763" customFormat="true" ht="15" hidden="false" customHeight="true" outlineLevel="1" collapsed="false">
      <c r="A93" s="749"/>
      <c r="B93" s="750" t="s">
        <v>508</v>
      </c>
      <c r="C93" s="679" t="s">
        <v>603</v>
      </c>
      <c r="D93" s="752"/>
      <c r="E93" s="752"/>
      <c r="F93" s="752"/>
      <c r="G93" s="752"/>
      <c r="H93" s="753"/>
      <c r="I93" s="754"/>
      <c r="J93" s="752"/>
      <c r="K93" s="752"/>
      <c r="L93" s="752"/>
      <c r="M93" s="752"/>
      <c r="N93" s="753"/>
      <c r="O93" s="755"/>
      <c r="P93" s="752"/>
      <c r="Q93" s="752"/>
      <c r="R93" s="752"/>
      <c r="S93" s="752"/>
      <c r="T93" s="753"/>
      <c r="U93" s="754"/>
      <c r="V93" s="752"/>
      <c r="W93" s="752"/>
      <c r="X93" s="752"/>
      <c r="Y93" s="752"/>
      <c r="Z93" s="751"/>
      <c r="AA93" s="752"/>
      <c r="AB93" s="753"/>
      <c r="AC93" s="754"/>
      <c r="AD93" s="752"/>
      <c r="AE93" s="752"/>
      <c r="AF93" s="752"/>
      <c r="AG93" s="752"/>
      <c r="AH93" s="751"/>
      <c r="AI93" s="752"/>
      <c r="AJ93" s="753"/>
      <c r="AK93" s="754"/>
      <c r="AL93" s="752"/>
      <c r="AM93" s="752"/>
      <c r="AN93" s="752"/>
      <c r="AO93" s="752"/>
      <c r="AP93" s="752"/>
      <c r="AQ93" s="751"/>
      <c r="AR93" s="752"/>
      <c r="AS93" s="753"/>
      <c r="AT93" s="755"/>
      <c r="AU93" s="751"/>
      <c r="AV93" s="752"/>
      <c r="AW93" s="752"/>
      <c r="AX93" s="752"/>
      <c r="AY93" s="752"/>
      <c r="AZ93" s="752"/>
      <c r="BA93" s="753"/>
      <c r="BB93" s="754"/>
      <c r="BC93" s="751"/>
      <c r="BD93" s="752"/>
      <c r="BE93" s="752"/>
      <c r="BF93" s="752"/>
      <c r="BG93" s="752"/>
      <c r="BH93" s="752"/>
      <c r="BI93" s="753"/>
      <c r="BJ93" s="755"/>
      <c r="BK93" s="751"/>
      <c r="BL93" s="752"/>
      <c r="BM93" s="752"/>
      <c r="BN93" s="752"/>
      <c r="BO93" s="752"/>
      <c r="BP93" s="752"/>
      <c r="BQ93" s="752"/>
      <c r="BR93" s="753"/>
      <c r="BS93" s="754"/>
      <c r="BT93" s="751"/>
      <c r="BU93" s="752"/>
      <c r="BV93" s="752"/>
      <c r="BW93" s="752"/>
      <c r="BX93" s="752"/>
      <c r="BY93" s="752"/>
      <c r="BZ93" s="753"/>
      <c r="CA93" s="757"/>
      <c r="CB93" s="751"/>
      <c r="CC93" s="752"/>
      <c r="CD93" s="752"/>
      <c r="CE93" s="752"/>
      <c r="CF93" s="752"/>
      <c r="CG93" s="752"/>
      <c r="CH93" s="753"/>
      <c r="CI93" s="757"/>
      <c r="CJ93" s="751"/>
      <c r="CK93" s="752"/>
      <c r="CL93" s="752"/>
      <c r="CM93" s="752"/>
      <c r="CN93" s="752"/>
      <c r="CO93" s="752"/>
      <c r="CP93" s="753"/>
      <c r="CQ93" s="754"/>
      <c r="CR93" s="752"/>
      <c r="CS93" s="752"/>
      <c r="CT93" s="758"/>
      <c r="CU93" s="752" t="n">
        <f aca="false">+CR93-CS93</f>
        <v>0</v>
      </c>
      <c r="CV93" s="752" t="n">
        <f aca="false">+CR93-CT93</f>
        <v>0</v>
      </c>
      <c r="CW93" s="752"/>
      <c r="CX93" s="759" t="e">
        <f aca="false">+CR93/CW93-1</f>
        <v>#DIV/0!</v>
      </c>
      <c r="CY93" s="760"/>
      <c r="CZ93" s="761"/>
      <c r="DA93" s="752"/>
      <c r="DB93" s="752"/>
      <c r="DC93" s="752"/>
      <c r="DD93" s="752"/>
      <c r="DE93" s="753" t="e">
        <f aca="false">(CZ93-DD93)/DD93</f>
        <v>#DIV/0!</v>
      </c>
      <c r="DF93" s="753" t="e">
        <f aca="false">(DA93-DD93)/DD93</f>
        <v>#DIV/0!</v>
      </c>
      <c r="DG93" s="753" t="e">
        <f aca="false">(DB93-DD93)/DD93</f>
        <v>#DIV/0!</v>
      </c>
      <c r="DH93" s="753" t="e">
        <f aca="false">(DC93-DD93)/DD93</f>
        <v>#DIV/0!</v>
      </c>
      <c r="DI93" s="696"/>
      <c r="DJ93" s="37"/>
      <c r="DL93" s="37"/>
      <c r="DM93" s="400" t="n">
        <f aca="false">(CS93-CZ93)*10^6</f>
        <v>0</v>
      </c>
      <c r="DN93" s="400" t="n">
        <f aca="false">(CT93-DC93)*10^6</f>
        <v>0</v>
      </c>
      <c r="DO93" s="400" t="n">
        <f aca="false">(CW93-DD93)*10^6</f>
        <v>0</v>
      </c>
    </row>
    <row r="94" s="818" customFormat="true" ht="15" hidden="false" customHeight="true" outlineLevel="1" collapsed="false">
      <c r="A94" s="815"/>
      <c r="B94" s="816"/>
      <c r="C94" s="679" t="s">
        <v>604</v>
      </c>
      <c r="D94" s="433"/>
      <c r="E94" s="433"/>
      <c r="F94" s="433"/>
      <c r="G94" s="433"/>
      <c r="H94" s="434"/>
      <c r="I94" s="435"/>
      <c r="J94" s="433"/>
      <c r="K94" s="433"/>
      <c r="L94" s="433"/>
      <c r="M94" s="433"/>
      <c r="N94" s="434"/>
      <c r="O94" s="423"/>
      <c r="P94" s="433"/>
      <c r="Q94" s="433"/>
      <c r="R94" s="433"/>
      <c r="S94" s="433"/>
      <c r="T94" s="434"/>
      <c r="U94" s="435"/>
      <c r="V94" s="433"/>
      <c r="W94" s="433"/>
      <c r="X94" s="433"/>
      <c r="Y94" s="433"/>
      <c r="Z94" s="432"/>
      <c r="AA94" s="433"/>
      <c r="AB94" s="434"/>
      <c r="AC94" s="435"/>
      <c r="AD94" s="433"/>
      <c r="AE94" s="433"/>
      <c r="AF94" s="433"/>
      <c r="AG94" s="433"/>
      <c r="AH94" s="432"/>
      <c r="AI94" s="433"/>
      <c r="AJ94" s="434"/>
      <c r="AK94" s="435"/>
      <c r="AL94" s="433"/>
      <c r="AM94" s="433"/>
      <c r="AN94" s="433"/>
      <c r="AO94" s="433"/>
      <c r="AP94" s="433"/>
      <c r="AQ94" s="432"/>
      <c r="AR94" s="433"/>
      <c r="AS94" s="434"/>
      <c r="AT94" s="423"/>
      <c r="AU94" s="432"/>
      <c r="AV94" s="433"/>
      <c r="AW94" s="433"/>
      <c r="AX94" s="433"/>
      <c r="AY94" s="433"/>
      <c r="AZ94" s="433"/>
      <c r="BA94" s="434"/>
      <c r="BB94" s="435"/>
      <c r="BC94" s="432"/>
      <c r="BD94" s="433"/>
      <c r="BE94" s="433"/>
      <c r="BF94" s="433"/>
      <c r="BG94" s="433"/>
      <c r="BH94" s="433"/>
      <c r="BI94" s="434"/>
      <c r="BJ94" s="423"/>
      <c r="BK94" s="432"/>
      <c r="BL94" s="433"/>
      <c r="BM94" s="433"/>
      <c r="BN94" s="433"/>
      <c r="BO94" s="433"/>
      <c r="BP94" s="433"/>
      <c r="BQ94" s="433"/>
      <c r="BR94" s="434"/>
      <c r="BS94" s="435"/>
      <c r="BT94" s="432"/>
      <c r="BU94" s="433"/>
      <c r="BV94" s="433"/>
      <c r="BW94" s="433"/>
      <c r="BX94" s="433"/>
      <c r="BY94" s="433"/>
      <c r="BZ94" s="434"/>
      <c r="CA94" s="422"/>
      <c r="CB94" s="432"/>
      <c r="CC94" s="433"/>
      <c r="CD94" s="433"/>
      <c r="CE94" s="433"/>
      <c r="CF94" s="433"/>
      <c r="CG94" s="433"/>
      <c r="CH94" s="434"/>
      <c r="CI94" s="422"/>
      <c r="CJ94" s="432"/>
      <c r="CK94" s="433"/>
      <c r="CL94" s="433"/>
      <c r="CM94" s="433"/>
      <c r="CN94" s="433"/>
      <c r="CO94" s="433"/>
      <c r="CP94" s="434"/>
      <c r="CQ94" s="435"/>
      <c r="CR94" s="433"/>
      <c r="CS94" s="433"/>
      <c r="CT94" s="433"/>
      <c r="CU94" s="433" t="n">
        <f aca="false">+CR94-CS94</f>
        <v>0</v>
      </c>
      <c r="CV94" s="433" t="n">
        <f aca="false">+CR94-CT94</f>
        <v>0</v>
      </c>
      <c r="CW94" s="433"/>
      <c r="CX94" s="791"/>
      <c r="CY94" s="206"/>
      <c r="CZ94" s="817"/>
      <c r="DA94" s="433"/>
      <c r="DB94" s="433"/>
      <c r="DC94" s="433"/>
      <c r="DD94" s="433"/>
      <c r="DE94" s="434"/>
      <c r="DF94" s="434"/>
      <c r="DG94" s="434"/>
      <c r="DH94" s="434"/>
      <c r="DI94" s="696"/>
      <c r="DJ94" s="37"/>
      <c r="DL94" s="37"/>
      <c r="DM94" s="400" t="n">
        <f aca="false">(CS94-CZ94)*10^6</f>
        <v>0</v>
      </c>
      <c r="DN94" s="400" t="n">
        <f aca="false">(CT94-DC94)*10^6</f>
        <v>0</v>
      </c>
      <c r="DO94" s="400" t="n">
        <f aca="false">(CW94-DD94)*10^6</f>
        <v>0</v>
      </c>
    </row>
    <row r="95" s="818" customFormat="true" ht="15" hidden="false" customHeight="true" outlineLevel="1" collapsed="false">
      <c r="A95" s="815"/>
      <c r="B95" s="765" t="s">
        <v>511</v>
      </c>
      <c r="C95" s="679" t="s">
        <v>605</v>
      </c>
      <c r="D95" s="433"/>
      <c r="E95" s="537"/>
      <c r="F95" s="433"/>
      <c r="G95" s="537"/>
      <c r="H95" s="434"/>
      <c r="I95" s="435"/>
      <c r="J95" s="433"/>
      <c r="K95" s="537"/>
      <c r="L95" s="433"/>
      <c r="M95" s="537"/>
      <c r="N95" s="434"/>
      <c r="O95" s="423"/>
      <c r="P95" s="433"/>
      <c r="Q95" s="537"/>
      <c r="R95" s="433"/>
      <c r="S95" s="537"/>
      <c r="T95" s="434"/>
      <c r="U95" s="435"/>
      <c r="V95" s="471"/>
      <c r="W95" s="537"/>
      <c r="X95" s="537"/>
      <c r="Y95" s="433"/>
      <c r="Z95" s="432"/>
      <c r="AA95" s="537"/>
      <c r="AB95" s="434"/>
      <c r="AC95" s="435"/>
      <c r="AD95" s="471"/>
      <c r="AE95" s="537"/>
      <c r="AF95" s="537"/>
      <c r="AG95" s="433"/>
      <c r="AH95" s="432"/>
      <c r="AI95" s="537"/>
      <c r="AJ95" s="434"/>
      <c r="AK95" s="435"/>
      <c r="AL95" s="471"/>
      <c r="AM95" s="537"/>
      <c r="AN95" s="537"/>
      <c r="AO95" s="537"/>
      <c r="AP95" s="433"/>
      <c r="AQ95" s="432"/>
      <c r="AR95" s="537"/>
      <c r="AS95" s="434"/>
      <c r="AT95" s="423"/>
      <c r="AU95" s="455"/>
      <c r="AV95" s="537"/>
      <c r="AW95" s="537"/>
      <c r="AX95" s="433"/>
      <c r="AY95" s="433"/>
      <c r="AZ95" s="537"/>
      <c r="BA95" s="434"/>
      <c r="BB95" s="435"/>
      <c r="BC95" s="455"/>
      <c r="BD95" s="537"/>
      <c r="BE95" s="537"/>
      <c r="BF95" s="433"/>
      <c r="BG95" s="433"/>
      <c r="BH95" s="537"/>
      <c r="BI95" s="434"/>
      <c r="BJ95" s="423"/>
      <c r="BK95" s="455"/>
      <c r="BL95" s="537"/>
      <c r="BM95" s="537"/>
      <c r="BN95" s="537"/>
      <c r="BO95" s="433"/>
      <c r="BP95" s="433"/>
      <c r="BQ95" s="537"/>
      <c r="BR95" s="434"/>
      <c r="BS95" s="435"/>
      <c r="BT95" s="455"/>
      <c r="BU95" s="537"/>
      <c r="BV95" s="537"/>
      <c r="BW95" s="433"/>
      <c r="BX95" s="433"/>
      <c r="BY95" s="537"/>
      <c r="BZ95" s="434"/>
      <c r="CA95" s="422"/>
      <c r="CB95" s="455"/>
      <c r="CC95" s="537"/>
      <c r="CD95" s="537"/>
      <c r="CE95" s="433"/>
      <c r="CF95" s="433"/>
      <c r="CG95" s="537"/>
      <c r="CH95" s="434"/>
      <c r="CI95" s="422"/>
      <c r="CJ95" s="455"/>
      <c r="CK95" s="537"/>
      <c r="CL95" s="537"/>
      <c r="CM95" s="433"/>
      <c r="CN95" s="433"/>
      <c r="CO95" s="537"/>
      <c r="CP95" s="434"/>
      <c r="CQ95" s="435"/>
      <c r="CR95" s="443"/>
      <c r="CS95" s="433"/>
      <c r="CT95" s="433"/>
      <c r="CU95" s="433" t="n">
        <f aca="false">+CR95-CS95</f>
        <v>0</v>
      </c>
      <c r="CV95" s="433" t="n">
        <f aca="false">+CR95-CT95</f>
        <v>0</v>
      </c>
      <c r="CW95" s="433"/>
      <c r="CX95" s="791" t="e">
        <f aca="false">+CR95/CW95-1</f>
        <v>#DIV/0!</v>
      </c>
      <c r="CY95" s="206"/>
      <c r="CZ95" s="771"/>
      <c r="DA95" s="537"/>
      <c r="DB95" s="537"/>
      <c r="DC95" s="537"/>
      <c r="DD95" s="537"/>
      <c r="DE95" s="434" t="e">
        <f aca="false">(CZ95-DD95)/DD95</f>
        <v>#DIV/0!</v>
      </c>
      <c r="DF95" s="434" t="e">
        <f aca="false">(DA95-DD95)/DD95</f>
        <v>#DIV/0!</v>
      </c>
      <c r="DG95" s="434" t="e">
        <f aca="false">(DB95-DD95)/DD95</f>
        <v>#DIV/0!</v>
      </c>
      <c r="DH95" s="434" t="e">
        <f aca="false">(DC95-DD95)/DD95</f>
        <v>#DIV/0!</v>
      </c>
      <c r="DI95" s="696"/>
      <c r="DJ95" s="37"/>
      <c r="DL95" s="37"/>
      <c r="DM95" s="400" t="n">
        <f aca="false">(CS95-CZ95)*10^6</f>
        <v>0</v>
      </c>
      <c r="DN95" s="400" t="n">
        <f aca="false">(CT95-DC95)*10^6</f>
        <v>0</v>
      </c>
      <c r="DO95" s="400" t="n">
        <f aca="false">(CW95-DD95)*10^6</f>
        <v>0</v>
      </c>
    </row>
    <row r="96" s="818" customFormat="true" ht="15" hidden="false" customHeight="true" outlineLevel="1" collapsed="false">
      <c r="A96" s="815"/>
      <c r="B96" s="765" t="s">
        <v>513</v>
      </c>
      <c r="C96" s="679" t="s">
        <v>606</v>
      </c>
      <c r="D96" s="433"/>
      <c r="E96" s="537"/>
      <c r="F96" s="433"/>
      <c r="G96" s="537"/>
      <c r="H96" s="434"/>
      <c r="I96" s="435"/>
      <c r="J96" s="433"/>
      <c r="K96" s="537"/>
      <c r="L96" s="433"/>
      <c r="M96" s="537"/>
      <c r="N96" s="434"/>
      <c r="O96" s="423"/>
      <c r="P96" s="433"/>
      <c r="Q96" s="537"/>
      <c r="R96" s="433"/>
      <c r="S96" s="537"/>
      <c r="T96" s="434"/>
      <c r="U96" s="435"/>
      <c r="V96" s="433"/>
      <c r="W96" s="537"/>
      <c r="X96" s="537"/>
      <c r="Y96" s="433"/>
      <c r="Z96" s="432"/>
      <c r="AA96" s="537"/>
      <c r="AB96" s="434"/>
      <c r="AC96" s="435"/>
      <c r="AD96" s="433"/>
      <c r="AE96" s="537"/>
      <c r="AF96" s="537"/>
      <c r="AG96" s="433"/>
      <c r="AH96" s="432"/>
      <c r="AI96" s="537"/>
      <c r="AJ96" s="434"/>
      <c r="AK96" s="435"/>
      <c r="AL96" s="433"/>
      <c r="AM96" s="537"/>
      <c r="AN96" s="537"/>
      <c r="AO96" s="537"/>
      <c r="AP96" s="433"/>
      <c r="AQ96" s="432"/>
      <c r="AR96" s="537"/>
      <c r="AS96" s="434"/>
      <c r="AT96" s="423"/>
      <c r="AU96" s="432"/>
      <c r="AV96" s="537"/>
      <c r="AW96" s="537"/>
      <c r="AX96" s="433"/>
      <c r="AY96" s="433"/>
      <c r="AZ96" s="537"/>
      <c r="BA96" s="434"/>
      <c r="BB96" s="435"/>
      <c r="BC96" s="432"/>
      <c r="BD96" s="537"/>
      <c r="BE96" s="537"/>
      <c r="BF96" s="433"/>
      <c r="BG96" s="433"/>
      <c r="BH96" s="537"/>
      <c r="BI96" s="434"/>
      <c r="BJ96" s="423"/>
      <c r="BK96" s="432"/>
      <c r="BL96" s="537"/>
      <c r="BM96" s="537"/>
      <c r="BN96" s="537"/>
      <c r="BO96" s="433"/>
      <c r="BP96" s="433"/>
      <c r="BQ96" s="537"/>
      <c r="BR96" s="434"/>
      <c r="BS96" s="435"/>
      <c r="BT96" s="432"/>
      <c r="BU96" s="537"/>
      <c r="BV96" s="537"/>
      <c r="BW96" s="433"/>
      <c r="BX96" s="433"/>
      <c r="BY96" s="537"/>
      <c r="BZ96" s="434"/>
      <c r="CA96" s="422"/>
      <c r="CB96" s="432"/>
      <c r="CC96" s="537"/>
      <c r="CD96" s="537"/>
      <c r="CE96" s="433"/>
      <c r="CF96" s="433"/>
      <c r="CG96" s="537"/>
      <c r="CH96" s="434"/>
      <c r="CI96" s="422"/>
      <c r="CJ96" s="432"/>
      <c r="CK96" s="537"/>
      <c r="CL96" s="537"/>
      <c r="CM96" s="433"/>
      <c r="CN96" s="433"/>
      <c r="CO96" s="537"/>
      <c r="CP96" s="434"/>
      <c r="CQ96" s="435"/>
      <c r="CR96" s="433"/>
      <c r="CS96" s="433"/>
      <c r="CT96" s="433"/>
      <c r="CU96" s="433" t="n">
        <f aca="false">+CR96-CS96</f>
        <v>0</v>
      </c>
      <c r="CV96" s="433" t="n">
        <f aca="false">+CR96-CT96</f>
        <v>0</v>
      </c>
      <c r="CW96" s="433"/>
      <c r="CX96" s="791" t="e">
        <f aca="false">+CR96/CW96-1</f>
        <v>#DIV/0!</v>
      </c>
      <c r="CY96" s="206"/>
      <c r="CZ96" s="771"/>
      <c r="DA96" s="537"/>
      <c r="DB96" s="537"/>
      <c r="DC96" s="537"/>
      <c r="DD96" s="537"/>
      <c r="DE96" s="434" t="e">
        <f aca="false">(CZ96-DD96)/DD96</f>
        <v>#DIV/0!</v>
      </c>
      <c r="DF96" s="434" t="e">
        <f aca="false">(DA96-DD96)/DD96</f>
        <v>#DIV/0!</v>
      </c>
      <c r="DG96" s="434" t="e">
        <f aca="false">(DB96-DD96)/DD96</f>
        <v>#DIV/0!</v>
      </c>
      <c r="DH96" s="434" t="e">
        <f aca="false">(DC96-DD96)/DD96</f>
        <v>#DIV/0!</v>
      </c>
      <c r="DI96" s="696"/>
      <c r="DJ96" s="37"/>
      <c r="DL96" s="37"/>
      <c r="DM96" s="400" t="n">
        <f aca="false">(CS96-CZ96)*10^6</f>
        <v>0</v>
      </c>
      <c r="DN96" s="400" t="n">
        <f aca="false">(CT96-DC96)*10^6</f>
        <v>0</v>
      </c>
      <c r="DO96" s="400" t="n">
        <f aca="false">(CW96-DD96)*10^6</f>
        <v>0</v>
      </c>
    </row>
    <row r="97" s="818" customFormat="true" ht="15" hidden="false" customHeight="true" outlineLevel="1" collapsed="false">
      <c r="A97" s="815"/>
      <c r="B97" s="765" t="s">
        <v>515</v>
      </c>
      <c r="C97" s="679" t="s">
        <v>607</v>
      </c>
      <c r="D97" s="433"/>
      <c r="E97" s="537"/>
      <c r="F97" s="433"/>
      <c r="G97" s="537"/>
      <c r="H97" s="434"/>
      <c r="I97" s="435"/>
      <c r="J97" s="433"/>
      <c r="K97" s="537"/>
      <c r="L97" s="433"/>
      <c r="M97" s="537"/>
      <c r="N97" s="434"/>
      <c r="O97" s="423"/>
      <c r="P97" s="433"/>
      <c r="Q97" s="537"/>
      <c r="R97" s="433"/>
      <c r="S97" s="537"/>
      <c r="T97" s="434"/>
      <c r="U97" s="435"/>
      <c r="V97" s="433"/>
      <c r="W97" s="537"/>
      <c r="X97" s="537"/>
      <c r="Y97" s="433"/>
      <c r="Z97" s="432"/>
      <c r="AA97" s="537"/>
      <c r="AB97" s="434"/>
      <c r="AC97" s="435"/>
      <c r="AD97" s="433"/>
      <c r="AE97" s="537"/>
      <c r="AF97" s="537"/>
      <c r="AG97" s="433"/>
      <c r="AH97" s="432"/>
      <c r="AI97" s="537"/>
      <c r="AJ97" s="434"/>
      <c r="AK97" s="435"/>
      <c r="AL97" s="433"/>
      <c r="AM97" s="537"/>
      <c r="AN97" s="537"/>
      <c r="AO97" s="537"/>
      <c r="AP97" s="433"/>
      <c r="AQ97" s="432"/>
      <c r="AR97" s="537"/>
      <c r="AS97" s="434"/>
      <c r="AT97" s="423"/>
      <c r="AU97" s="432"/>
      <c r="AV97" s="537"/>
      <c r="AW97" s="537"/>
      <c r="AX97" s="433"/>
      <c r="AY97" s="433"/>
      <c r="AZ97" s="537"/>
      <c r="BA97" s="434"/>
      <c r="BB97" s="435"/>
      <c r="BC97" s="432"/>
      <c r="BD97" s="537"/>
      <c r="BE97" s="537"/>
      <c r="BF97" s="433"/>
      <c r="BG97" s="433"/>
      <c r="BH97" s="537"/>
      <c r="BI97" s="434"/>
      <c r="BJ97" s="423"/>
      <c r="BK97" s="432"/>
      <c r="BL97" s="537"/>
      <c r="BM97" s="537"/>
      <c r="BN97" s="537"/>
      <c r="BO97" s="433"/>
      <c r="BP97" s="433"/>
      <c r="BQ97" s="537"/>
      <c r="BR97" s="434"/>
      <c r="BS97" s="435"/>
      <c r="BT97" s="432"/>
      <c r="BU97" s="537"/>
      <c r="BV97" s="537"/>
      <c r="BW97" s="433"/>
      <c r="BX97" s="433"/>
      <c r="BY97" s="537"/>
      <c r="BZ97" s="434"/>
      <c r="CA97" s="422"/>
      <c r="CB97" s="432"/>
      <c r="CC97" s="537"/>
      <c r="CD97" s="537"/>
      <c r="CE97" s="433"/>
      <c r="CF97" s="433"/>
      <c r="CG97" s="537"/>
      <c r="CH97" s="434"/>
      <c r="CI97" s="422"/>
      <c r="CJ97" s="432"/>
      <c r="CK97" s="537"/>
      <c r="CL97" s="537"/>
      <c r="CM97" s="433"/>
      <c r="CN97" s="433"/>
      <c r="CO97" s="537"/>
      <c r="CP97" s="434"/>
      <c r="CQ97" s="435"/>
      <c r="CR97" s="433"/>
      <c r="CS97" s="433"/>
      <c r="CT97" s="433"/>
      <c r="CU97" s="433" t="n">
        <f aca="false">+CR97-CS97</f>
        <v>0</v>
      </c>
      <c r="CV97" s="433" t="n">
        <f aca="false">+CR97-CT97</f>
        <v>0</v>
      </c>
      <c r="CW97" s="433"/>
      <c r="CX97" s="791"/>
      <c r="CY97" s="206"/>
      <c r="CZ97" s="771"/>
      <c r="DA97" s="537"/>
      <c r="DB97" s="537"/>
      <c r="DC97" s="537"/>
      <c r="DD97" s="537"/>
      <c r="DE97" s="434"/>
      <c r="DF97" s="434"/>
      <c r="DG97" s="434"/>
      <c r="DH97" s="434"/>
      <c r="DI97" s="696"/>
      <c r="DJ97" s="37"/>
      <c r="DL97" s="37"/>
      <c r="DM97" s="400" t="n">
        <f aca="false">(CS97-CZ97)*10^6</f>
        <v>0</v>
      </c>
      <c r="DN97" s="400" t="n">
        <f aca="false">(CT97-DC97)*10^6</f>
        <v>0</v>
      </c>
      <c r="DO97" s="400" t="n">
        <f aca="false">(CW97-DD97)*10^6</f>
        <v>0</v>
      </c>
    </row>
    <row r="98" s="818" customFormat="true" ht="15" hidden="false" customHeight="true" outlineLevel="1" collapsed="false">
      <c r="A98" s="815"/>
      <c r="B98" s="765" t="s">
        <v>517</v>
      </c>
      <c r="C98" s="679" t="s">
        <v>608</v>
      </c>
      <c r="D98" s="433"/>
      <c r="E98" s="537"/>
      <c r="F98" s="433"/>
      <c r="G98" s="537"/>
      <c r="H98" s="434"/>
      <c r="I98" s="435"/>
      <c r="J98" s="433"/>
      <c r="K98" s="537"/>
      <c r="L98" s="433"/>
      <c r="M98" s="537"/>
      <c r="N98" s="434"/>
      <c r="O98" s="423"/>
      <c r="P98" s="433"/>
      <c r="Q98" s="537"/>
      <c r="R98" s="433"/>
      <c r="S98" s="537"/>
      <c r="T98" s="434"/>
      <c r="U98" s="435"/>
      <c r="V98" s="433"/>
      <c r="W98" s="537"/>
      <c r="X98" s="537"/>
      <c r="Y98" s="433"/>
      <c r="Z98" s="432"/>
      <c r="AA98" s="537"/>
      <c r="AB98" s="434"/>
      <c r="AC98" s="435"/>
      <c r="AD98" s="433"/>
      <c r="AE98" s="537"/>
      <c r="AF98" s="537"/>
      <c r="AG98" s="433"/>
      <c r="AH98" s="432"/>
      <c r="AI98" s="537"/>
      <c r="AJ98" s="434"/>
      <c r="AK98" s="435"/>
      <c r="AL98" s="433"/>
      <c r="AM98" s="537"/>
      <c r="AN98" s="537"/>
      <c r="AO98" s="537"/>
      <c r="AP98" s="433"/>
      <c r="AQ98" s="432"/>
      <c r="AR98" s="537"/>
      <c r="AS98" s="434"/>
      <c r="AT98" s="423"/>
      <c r="AU98" s="432"/>
      <c r="AV98" s="537"/>
      <c r="AW98" s="537"/>
      <c r="AX98" s="433"/>
      <c r="AY98" s="433"/>
      <c r="AZ98" s="537"/>
      <c r="BA98" s="434"/>
      <c r="BB98" s="435"/>
      <c r="BC98" s="432"/>
      <c r="BD98" s="537"/>
      <c r="BE98" s="537"/>
      <c r="BF98" s="433"/>
      <c r="BG98" s="433"/>
      <c r="BH98" s="537"/>
      <c r="BI98" s="434"/>
      <c r="BJ98" s="423"/>
      <c r="BK98" s="432"/>
      <c r="BL98" s="537"/>
      <c r="BM98" s="537"/>
      <c r="BN98" s="537"/>
      <c r="BO98" s="433"/>
      <c r="BP98" s="433"/>
      <c r="BQ98" s="537"/>
      <c r="BR98" s="434"/>
      <c r="BS98" s="435"/>
      <c r="BT98" s="432"/>
      <c r="BU98" s="537"/>
      <c r="BV98" s="537"/>
      <c r="BW98" s="433"/>
      <c r="BX98" s="433"/>
      <c r="BY98" s="537"/>
      <c r="BZ98" s="434"/>
      <c r="CA98" s="422"/>
      <c r="CB98" s="432"/>
      <c r="CC98" s="537"/>
      <c r="CD98" s="537"/>
      <c r="CE98" s="433"/>
      <c r="CF98" s="433"/>
      <c r="CG98" s="537"/>
      <c r="CH98" s="434"/>
      <c r="CI98" s="422"/>
      <c r="CJ98" s="432"/>
      <c r="CK98" s="537"/>
      <c r="CL98" s="537"/>
      <c r="CM98" s="433"/>
      <c r="CN98" s="433"/>
      <c r="CO98" s="537"/>
      <c r="CP98" s="434"/>
      <c r="CQ98" s="435"/>
      <c r="CR98" s="433"/>
      <c r="CS98" s="433"/>
      <c r="CT98" s="433"/>
      <c r="CU98" s="433" t="n">
        <f aca="false">+CR98-CS98</f>
        <v>0</v>
      </c>
      <c r="CV98" s="433" t="n">
        <f aca="false">+CR98-CT98</f>
        <v>0</v>
      </c>
      <c r="CW98" s="433"/>
      <c r="CX98" s="791" t="e">
        <f aca="false">+CR98/CW98-1</f>
        <v>#DIV/0!</v>
      </c>
      <c r="CY98" s="206"/>
      <c r="CZ98" s="771"/>
      <c r="DA98" s="537"/>
      <c r="DB98" s="537"/>
      <c r="DC98" s="537"/>
      <c r="DD98" s="537"/>
      <c r="DE98" s="434" t="e">
        <f aca="false">(CZ98-DD98)/DD98</f>
        <v>#DIV/0!</v>
      </c>
      <c r="DF98" s="434" t="e">
        <f aca="false">(DA98-DD98)/DD98</f>
        <v>#DIV/0!</v>
      </c>
      <c r="DG98" s="434" t="e">
        <f aca="false">(DB98-DD98)/DD98</f>
        <v>#DIV/0!</v>
      </c>
      <c r="DH98" s="434" t="e">
        <f aca="false">(DC98-DD98)/DD98</f>
        <v>#DIV/0!</v>
      </c>
      <c r="DI98" s="696"/>
      <c r="DJ98" s="37"/>
      <c r="DL98" s="37"/>
      <c r="DM98" s="400" t="n">
        <f aca="false">(CS98-CZ98)*10^6</f>
        <v>0</v>
      </c>
      <c r="DN98" s="400" t="n">
        <f aca="false">(CT98-DC98)*10^6</f>
        <v>0</v>
      </c>
      <c r="DO98" s="400" t="n">
        <f aca="false">(CW98-DD98)*10^6</f>
        <v>0</v>
      </c>
    </row>
    <row r="99" s="818" customFormat="true" ht="15" hidden="false" customHeight="true" outlineLevel="1" collapsed="false">
      <c r="A99" s="815"/>
      <c r="B99" s="765" t="s">
        <v>519</v>
      </c>
      <c r="C99" s="679" t="s">
        <v>609</v>
      </c>
      <c r="D99" s="433"/>
      <c r="E99" s="537"/>
      <c r="F99" s="433"/>
      <c r="G99" s="537"/>
      <c r="H99" s="434"/>
      <c r="I99" s="435"/>
      <c r="J99" s="433"/>
      <c r="K99" s="537"/>
      <c r="L99" s="433"/>
      <c r="M99" s="537"/>
      <c r="N99" s="434"/>
      <c r="O99" s="423"/>
      <c r="P99" s="433"/>
      <c r="Q99" s="537"/>
      <c r="R99" s="433"/>
      <c r="S99" s="537"/>
      <c r="T99" s="434"/>
      <c r="U99" s="435"/>
      <c r="V99" s="433"/>
      <c r="W99" s="537"/>
      <c r="X99" s="537"/>
      <c r="Y99" s="433"/>
      <c r="Z99" s="432"/>
      <c r="AA99" s="537"/>
      <c r="AB99" s="434"/>
      <c r="AC99" s="435"/>
      <c r="AD99" s="433"/>
      <c r="AE99" s="537"/>
      <c r="AF99" s="537"/>
      <c r="AG99" s="433"/>
      <c r="AH99" s="432"/>
      <c r="AI99" s="537"/>
      <c r="AJ99" s="434"/>
      <c r="AK99" s="435"/>
      <c r="AL99" s="433"/>
      <c r="AM99" s="537"/>
      <c r="AN99" s="537"/>
      <c r="AO99" s="537"/>
      <c r="AP99" s="433"/>
      <c r="AQ99" s="432"/>
      <c r="AR99" s="537"/>
      <c r="AS99" s="434"/>
      <c r="AT99" s="423"/>
      <c r="AU99" s="432"/>
      <c r="AV99" s="537"/>
      <c r="AW99" s="537"/>
      <c r="AX99" s="433"/>
      <c r="AY99" s="433"/>
      <c r="AZ99" s="537"/>
      <c r="BA99" s="434"/>
      <c r="BB99" s="435"/>
      <c r="BC99" s="432"/>
      <c r="BD99" s="537"/>
      <c r="BE99" s="537"/>
      <c r="BF99" s="433"/>
      <c r="BG99" s="433"/>
      <c r="BH99" s="537"/>
      <c r="BI99" s="434"/>
      <c r="BJ99" s="423"/>
      <c r="BK99" s="432"/>
      <c r="BL99" s="537"/>
      <c r="BM99" s="537"/>
      <c r="BN99" s="537"/>
      <c r="BO99" s="433"/>
      <c r="BP99" s="433"/>
      <c r="BQ99" s="537"/>
      <c r="BR99" s="434"/>
      <c r="BS99" s="435"/>
      <c r="BT99" s="432"/>
      <c r="BU99" s="537"/>
      <c r="BV99" s="537"/>
      <c r="BW99" s="433"/>
      <c r="BX99" s="433"/>
      <c r="BY99" s="537"/>
      <c r="BZ99" s="434"/>
      <c r="CA99" s="422"/>
      <c r="CB99" s="432"/>
      <c r="CC99" s="537"/>
      <c r="CD99" s="537"/>
      <c r="CE99" s="433"/>
      <c r="CF99" s="433"/>
      <c r="CG99" s="537"/>
      <c r="CH99" s="434"/>
      <c r="CI99" s="422"/>
      <c r="CJ99" s="432"/>
      <c r="CK99" s="537"/>
      <c r="CL99" s="537"/>
      <c r="CM99" s="433"/>
      <c r="CN99" s="433"/>
      <c r="CO99" s="537"/>
      <c r="CP99" s="434"/>
      <c r="CQ99" s="435"/>
      <c r="CR99" s="433"/>
      <c r="CS99" s="433"/>
      <c r="CT99" s="433"/>
      <c r="CU99" s="433" t="n">
        <f aca="false">+CR99-CS99</f>
        <v>0</v>
      </c>
      <c r="CV99" s="433" t="n">
        <f aca="false">+CR99-CT99</f>
        <v>0</v>
      </c>
      <c r="CW99" s="433"/>
      <c r="CX99" s="791"/>
      <c r="CY99" s="206"/>
      <c r="CZ99" s="771"/>
      <c r="DA99" s="537"/>
      <c r="DB99" s="537"/>
      <c r="DC99" s="537"/>
      <c r="DD99" s="537"/>
      <c r="DE99" s="434"/>
      <c r="DF99" s="434"/>
      <c r="DG99" s="434"/>
      <c r="DH99" s="434"/>
      <c r="DI99" s="696"/>
      <c r="DJ99" s="37"/>
      <c r="DL99" s="37"/>
      <c r="DM99" s="400" t="n">
        <f aca="false">(CS99-CZ99)*10^6</f>
        <v>0</v>
      </c>
      <c r="DN99" s="400" t="n">
        <f aca="false">(CT99-DC99)*10^6</f>
        <v>0</v>
      </c>
      <c r="DO99" s="400" t="n">
        <f aca="false">(CW99-DD99)*10^6</f>
        <v>0</v>
      </c>
    </row>
    <row r="100" s="818" customFormat="true" ht="15" hidden="false" customHeight="true" outlineLevel="1" collapsed="false">
      <c r="A100" s="815"/>
      <c r="B100" s="765" t="s">
        <v>521</v>
      </c>
      <c r="C100" s="679" t="s">
        <v>610</v>
      </c>
      <c r="D100" s="433"/>
      <c r="E100" s="537"/>
      <c r="F100" s="433"/>
      <c r="G100" s="537"/>
      <c r="H100" s="434"/>
      <c r="I100" s="435"/>
      <c r="J100" s="433"/>
      <c r="K100" s="537"/>
      <c r="L100" s="433"/>
      <c r="M100" s="537"/>
      <c r="N100" s="434"/>
      <c r="O100" s="423"/>
      <c r="P100" s="433"/>
      <c r="Q100" s="537"/>
      <c r="R100" s="433"/>
      <c r="S100" s="537"/>
      <c r="T100" s="434"/>
      <c r="U100" s="435"/>
      <c r="V100" s="433"/>
      <c r="W100" s="537"/>
      <c r="X100" s="537"/>
      <c r="Y100" s="433"/>
      <c r="Z100" s="432"/>
      <c r="AA100" s="537"/>
      <c r="AB100" s="434"/>
      <c r="AC100" s="435"/>
      <c r="AD100" s="433"/>
      <c r="AE100" s="537"/>
      <c r="AF100" s="537"/>
      <c r="AG100" s="433"/>
      <c r="AH100" s="432"/>
      <c r="AI100" s="537"/>
      <c r="AJ100" s="434"/>
      <c r="AK100" s="435"/>
      <c r="AL100" s="433"/>
      <c r="AM100" s="537"/>
      <c r="AN100" s="537"/>
      <c r="AO100" s="537"/>
      <c r="AP100" s="433"/>
      <c r="AQ100" s="432"/>
      <c r="AR100" s="537"/>
      <c r="AS100" s="434"/>
      <c r="AT100" s="423"/>
      <c r="AU100" s="432"/>
      <c r="AV100" s="537"/>
      <c r="AW100" s="537"/>
      <c r="AX100" s="433"/>
      <c r="AY100" s="433"/>
      <c r="AZ100" s="537"/>
      <c r="BA100" s="434"/>
      <c r="BB100" s="435"/>
      <c r="BC100" s="432"/>
      <c r="BD100" s="537"/>
      <c r="BE100" s="537"/>
      <c r="BF100" s="433"/>
      <c r="BG100" s="433"/>
      <c r="BH100" s="537"/>
      <c r="BI100" s="434"/>
      <c r="BJ100" s="423"/>
      <c r="BK100" s="432"/>
      <c r="BL100" s="537"/>
      <c r="BM100" s="537"/>
      <c r="BN100" s="537"/>
      <c r="BO100" s="433"/>
      <c r="BP100" s="433"/>
      <c r="BQ100" s="537"/>
      <c r="BR100" s="434"/>
      <c r="BS100" s="435"/>
      <c r="BT100" s="432"/>
      <c r="BU100" s="537"/>
      <c r="BV100" s="537"/>
      <c r="BW100" s="433"/>
      <c r="BX100" s="433"/>
      <c r="BY100" s="537"/>
      <c r="BZ100" s="434"/>
      <c r="CA100" s="422"/>
      <c r="CB100" s="432"/>
      <c r="CC100" s="537"/>
      <c r="CD100" s="537"/>
      <c r="CE100" s="433"/>
      <c r="CF100" s="433"/>
      <c r="CG100" s="537"/>
      <c r="CH100" s="434"/>
      <c r="CI100" s="422"/>
      <c r="CJ100" s="432"/>
      <c r="CK100" s="537"/>
      <c r="CL100" s="537"/>
      <c r="CM100" s="433"/>
      <c r="CN100" s="433"/>
      <c r="CO100" s="537"/>
      <c r="CP100" s="434"/>
      <c r="CQ100" s="435"/>
      <c r="CR100" s="433"/>
      <c r="CS100" s="433"/>
      <c r="CT100" s="433"/>
      <c r="CU100" s="433" t="n">
        <f aca="false">+CR100-CS100</f>
        <v>0</v>
      </c>
      <c r="CV100" s="433" t="n">
        <f aca="false">+CR100-CT100</f>
        <v>0</v>
      </c>
      <c r="CW100" s="433"/>
      <c r="CX100" s="791" t="e">
        <f aca="false">+CR100/CW100-1</f>
        <v>#DIV/0!</v>
      </c>
      <c r="CY100" s="206"/>
      <c r="CZ100" s="771"/>
      <c r="DA100" s="537"/>
      <c r="DB100" s="537"/>
      <c r="DC100" s="537"/>
      <c r="DD100" s="537"/>
      <c r="DE100" s="434" t="e">
        <f aca="false">(CZ100-DD100)/DD100</f>
        <v>#DIV/0!</v>
      </c>
      <c r="DF100" s="434" t="e">
        <f aca="false">(DA100-DD100)/DD100</f>
        <v>#DIV/0!</v>
      </c>
      <c r="DG100" s="434" t="e">
        <f aca="false">(DB100-DD100)/DD100</f>
        <v>#DIV/0!</v>
      </c>
      <c r="DH100" s="434" t="e">
        <f aca="false">(DC100-DD100)/DD100</f>
        <v>#DIV/0!</v>
      </c>
      <c r="DI100" s="696"/>
      <c r="DJ100" s="37"/>
      <c r="DL100" s="37"/>
      <c r="DM100" s="400" t="n">
        <f aca="false">(CS100-CZ100)*10^6</f>
        <v>0</v>
      </c>
      <c r="DN100" s="400" t="n">
        <f aca="false">(CT100-DC100)*10^6</f>
        <v>0</v>
      </c>
      <c r="DO100" s="400" t="n">
        <f aca="false">(CW100-DD100)*10^6</f>
        <v>0</v>
      </c>
    </row>
    <row r="101" s="793" customFormat="true" ht="15" hidden="false" customHeight="true" outlineLevel="1" collapsed="false">
      <c r="A101" s="786"/>
      <c r="B101" s="750" t="s">
        <v>523</v>
      </c>
      <c r="C101" s="679" t="s">
        <v>611</v>
      </c>
      <c r="D101" s="758"/>
      <c r="E101" s="758"/>
      <c r="F101" s="758"/>
      <c r="G101" s="758"/>
      <c r="H101" s="788"/>
      <c r="I101" s="789"/>
      <c r="J101" s="758"/>
      <c r="K101" s="758"/>
      <c r="L101" s="758"/>
      <c r="M101" s="758"/>
      <c r="N101" s="788"/>
      <c r="O101" s="733"/>
      <c r="P101" s="758"/>
      <c r="Q101" s="758"/>
      <c r="R101" s="758"/>
      <c r="S101" s="758"/>
      <c r="T101" s="788"/>
      <c r="U101" s="789"/>
      <c r="V101" s="758"/>
      <c r="W101" s="758"/>
      <c r="X101" s="758"/>
      <c r="Y101" s="758"/>
      <c r="Z101" s="790"/>
      <c r="AA101" s="758"/>
      <c r="AB101" s="788"/>
      <c r="AC101" s="789"/>
      <c r="AD101" s="758"/>
      <c r="AE101" s="758"/>
      <c r="AF101" s="758"/>
      <c r="AG101" s="758"/>
      <c r="AH101" s="790"/>
      <c r="AI101" s="758"/>
      <c r="AJ101" s="788"/>
      <c r="AK101" s="789"/>
      <c r="AL101" s="758"/>
      <c r="AM101" s="758"/>
      <c r="AN101" s="758"/>
      <c r="AO101" s="758"/>
      <c r="AP101" s="758"/>
      <c r="AQ101" s="790"/>
      <c r="AR101" s="758"/>
      <c r="AS101" s="788"/>
      <c r="AT101" s="733"/>
      <c r="AU101" s="790"/>
      <c r="AV101" s="758"/>
      <c r="AW101" s="758"/>
      <c r="AX101" s="758"/>
      <c r="AY101" s="758"/>
      <c r="AZ101" s="758"/>
      <c r="BA101" s="788"/>
      <c r="BB101" s="789"/>
      <c r="BC101" s="790"/>
      <c r="BD101" s="758"/>
      <c r="BE101" s="758"/>
      <c r="BF101" s="758"/>
      <c r="BG101" s="758"/>
      <c r="BH101" s="758"/>
      <c r="BI101" s="788"/>
      <c r="BJ101" s="733"/>
      <c r="BK101" s="790"/>
      <c r="BL101" s="758"/>
      <c r="BM101" s="758"/>
      <c r="BN101" s="758"/>
      <c r="BO101" s="758"/>
      <c r="BP101" s="758"/>
      <c r="BQ101" s="758"/>
      <c r="BR101" s="788"/>
      <c r="BS101" s="789"/>
      <c r="BT101" s="790"/>
      <c r="BU101" s="758"/>
      <c r="BV101" s="758"/>
      <c r="BW101" s="758"/>
      <c r="BX101" s="758"/>
      <c r="BY101" s="758"/>
      <c r="BZ101" s="788"/>
      <c r="CA101" s="732"/>
      <c r="CB101" s="790"/>
      <c r="CC101" s="758"/>
      <c r="CD101" s="758"/>
      <c r="CE101" s="758"/>
      <c r="CF101" s="758"/>
      <c r="CG101" s="758"/>
      <c r="CH101" s="788"/>
      <c r="CI101" s="732"/>
      <c r="CJ101" s="790"/>
      <c r="CK101" s="758"/>
      <c r="CL101" s="758"/>
      <c r="CM101" s="758"/>
      <c r="CN101" s="758"/>
      <c r="CO101" s="758"/>
      <c r="CP101" s="788"/>
      <c r="CQ101" s="789"/>
      <c r="CR101" s="758"/>
      <c r="CS101" s="758"/>
      <c r="CT101" s="758"/>
      <c r="CU101" s="758" t="n">
        <f aca="false">+CR101-CS101</f>
        <v>0</v>
      </c>
      <c r="CV101" s="758" t="n">
        <f aca="false">+CR101-CT101</f>
        <v>0</v>
      </c>
      <c r="CW101" s="758"/>
      <c r="CX101" s="819" t="e">
        <f aca="false">+CR101/CW101-1</f>
        <v>#DIV/0!</v>
      </c>
      <c r="CY101" s="105"/>
      <c r="CZ101" s="792"/>
      <c r="DA101" s="758"/>
      <c r="DB101" s="758"/>
      <c r="DC101" s="758"/>
      <c r="DD101" s="758"/>
      <c r="DE101" s="788" t="e">
        <f aca="false">(CZ101-DD101)/DD101</f>
        <v>#DIV/0!</v>
      </c>
      <c r="DF101" s="788" t="e">
        <f aca="false">(DA101-DD101)/DD101</f>
        <v>#DIV/0!</v>
      </c>
      <c r="DG101" s="788" t="e">
        <f aca="false">(DB101-DD101)/DD101</f>
        <v>#DIV/0!</v>
      </c>
      <c r="DH101" s="788" t="e">
        <f aca="false">(DC101-DD101)/DD101</f>
        <v>#DIV/0!</v>
      </c>
      <c r="DI101" s="696"/>
      <c r="DJ101" s="37"/>
      <c r="DL101" s="37"/>
      <c r="DM101" s="400" t="n">
        <f aca="false">(CS101-CZ101)*10^6</f>
        <v>0</v>
      </c>
      <c r="DN101" s="400" t="n">
        <f aca="false">(CT101-DC101)*10^6</f>
        <v>0</v>
      </c>
      <c r="DO101" s="400" t="n">
        <f aca="false">(CW101-DD101)*10^6</f>
        <v>0</v>
      </c>
    </row>
    <row r="102" s="818" customFormat="true" ht="15" hidden="false" customHeight="true" outlineLevel="1" collapsed="false">
      <c r="A102" s="815"/>
      <c r="B102" s="816"/>
      <c r="C102" s="679" t="s">
        <v>612</v>
      </c>
      <c r="D102" s="433"/>
      <c r="E102" s="433"/>
      <c r="F102" s="433"/>
      <c r="G102" s="433"/>
      <c r="H102" s="434"/>
      <c r="I102" s="435"/>
      <c r="J102" s="433"/>
      <c r="K102" s="433"/>
      <c r="L102" s="433"/>
      <c r="M102" s="433"/>
      <c r="N102" s="434"/>
      <c r="O102" s="423"/>
      <c r="P102" s="433"/>
      <c r="Q102" s="433"/>
      <c r="R102" s="433"/>
      <c r="S102" s="433"/>
      <c r="T102" s="434"/>
      <c r="U102" s="435"/>
      <c r="V102" s="433"/>
      <c r="W102" s="433"/>
      <c r="X102" s="433"/>
      <c r="Y102" s="433"/>
      <c r="Z102" s="432"/>
      <c r="AA102" s="433"/>
      <c r="AB102" s="434"/>
      <c r="AC102" s="435"/>
      <c r="AD102" s="433"/>
      <c r="AE102" s="433"/>
      <c r="AF102" s="433"/>
      <c r="AG102" s="433"/>
      <c r="AH102" s="432"/>
      <c r="AI102" s="433"/>
      <c r="AJ102" s="434"/>
      <c r="AK102" s="435"/>
      <c r="AL102" s="433"/>
      <c r="AM102" s="433"/>
      <c r="AN102" s="433"/>
      <c r="AO102" s="433"/>
      <c r="AP102" s="433"/>
      <c r="AQ102" s="432"/>
      <c r="AR102" s="433"/>
      <c r="AS102" s="434"/>
      <c r="AT102" s="423"/>
      <c r="AU102" s="432"/>
      <c r="AV102" s="433"/>
      <c r="AW102" s="433"/>
      <c r="AX102" s="433"/>
      <c r="AY102" s="433"/>
      <c r="AZ102" s="433"/>
      <c r="BA102" s="434"/>
      <c r="BB102" s="435"/>
      <c r="BC102" s="432"/>
      <c r="BD102" s="433"/>
      <c r="BE102" s="433"/>
      <c r="BF102" s="433"/>
      <c r="BG102" s="433"/>
      <c r="BH102" s="433"/>
      <c r="BI102" s="434"/>
      <c r="BJ102" s="423"/>
      <c r="BK102" s="432"/>
      <c r="BL102" s="433"/>
      <c r="BM102" s="433"/>
      <c r="BN102" s="433"/>
      <c r="BO102" s="433"/>
      <c r="BP102" s="433"/>
      <c r="BQ102" s="433"/>
      <c r="BR102" s="434"/>
      <c r="BS102" s="435"/>
      <c r="BT102" s="432"/>
      <c r="BU102" s="433"/>
      <c r="BV102" s="433"/>
      <c r="BW102" s="433"/>
      <c r="BX102" s="433"/>
      <c r="BY102" s="433"/>
      <c r="BZ102" s="434"/>
      <c r="CA102" s="422"/>
      <c r="CB102" s="432"/>
      <c r="CC102" s="433"/>
      <c r="CD102" s="433"/>
      <c r="CE102" s="433"/>
      <c r="CF102" s="433"/>
      <c r="CG102" s="433"/>
      <c r="CH102" s="434"/>
      <c r="CI102" s="422"/>
      <c r="CJ102" s="432"/>
      <c r="CK102" s="433"/>
      <c r="CL102" s="433"/>
      <c r="CM102" s="433"/>
      <c r="CN102" s="433"/>
      <c r="CO102" s="433"/>
      <c r="CP102" s="434"/>
      <c r="CQ102" s="435"/>
      <c r="CR102" s="433"/>
      <c r="CS102" s="433"/>
      <c r="CT102" s="433"/>
      <c r="CU102" s="433" t="n">
        <f aca="false">+CR102-CS102</f>
        <v>0</v>
      </c>
      <c r="CV102" s="433" t="n">
        <f aca="false">+CR102-CT102</f>
        <v>0</v>
      </c>
      <c r="CW102" s="433"/>
      <c r="CX102" s="791"/>
      <c r="CY102" s="206"/>
      <c r="CZ102" s="817"/>
      <c r="DA102" s="433"/>
      <c r="DB102" s="433"/>
      <c r="DC102" s="433"/>
      <c r="DD102" s="433"/>
      <c r="DE102" s="434"/>
      <c r="DF102" s="434"/>
      <c r="DG102" s="434"/>
      <c r="DH102" s="434"/>
      <c r="DI102" s="696"/>
      <c r="DJ102" s="37"/>
      <c r="DL102" s="37"/>
      <c r="DM102" s="400" t="n">
        <f aca="false">(CS102-CZ102)*10^6</f>
        <v>0</v>
      </c>
      <c r="DN102" s="400" t="n">
        <f aca="false">(CT102-DC102)*10^6</f>
        <v>0</v>
      </c>
      <c r="DO102" s="400" t="n">
        <f aca="false">(CW102-DD102)*10^6</f>
        <v>0</v>
      </c>
    </row>
    <row r="103" s="783" customFormat="true" ht="15" hidden="false" customHeight="true" outlineLevel="1" collapsed="false">
      <c r="A103" s="820"/>
      <c r="B103" s="775" t="s">
        <v>526</v>
      </c>
      <c r="C103" s="679" t="s">
        <v>613</v>
      </c>
      <c r="D103" s="517"/>
      <c r="E103" s="517"/>
      <c r="F103" s="517"/>
      <c r="G103" s="836"/>
      <c r="H103" s="821"/>
      <c r="I103" s="822"/>
      <c r="J103" s="517"/>
      <c r="K103" s="517"/>
      <c r="L103" s="517"/>
      <c r="M103" s="836"/>
      <c r="N103" s="821"/>
      <c r="O103" s="423"/>
      <c r="P103" s="517"/>
      <c r="Q103" s="517"/>
      <c r="R103" s="517"/>
      <c r="S103" s="836"/>
      <c r="T103" s="821"/>
      <c r="U103" s="822"/>
      <c r="V103" s="471"/>
      <c r="W103" s="517"/>
      <c r="X103" s="471"/>
      <c r="Y103" s="517"/>
      <c r="Z103" s="442"/>
      <c r="AA103" s="836"/>
      <c r="AB103" s="821"/>
      <c r="AC103" s="822"/>
      <c r="AD103" s="471"/>
      <c r="AE103" s="517"/>
      <c r="AF103" s="517"/>
      <c r="AG103" s="517"/>
      <c r="AH103" s="442"/>
      <c r="AI103" s="836"/>
      <c r="AJ103" s="821"/>
      <c r="AK103" s="822"/>
      <c r="AL103" s="471"/>
      <c r="AM103" s="517"/>
      <c r="AN103" s="517"/>
      <c r="AO103" s="517"/>
      <c r="AP103" s="517"/>
      <c r="AQ103" s="442"/>
      <c r="AR103" s="836"/>
      <c r="AS103" s="821"/>
      <c r="AT103" s="423"/>
      <c r="AU103" s="455"/>
      <c r="AV103" s="517"/>
      <c r="AW103" s="517"/>
      <c r="AX103" s="517"/>
      <c r="AY103" s="517"/>
      <c r="AZ103" s="836"/>
      <c r="BA103" s="821"/>
      <c r="BB103" s="822"/>
      <c r="BC103" s="470"/>
      <c r="BD103" s="517"/>
      <c r="BE103" s="517"/>
      <c r="BF103" s="517"/>
      <c r="BG103" s="517"/>
      <c r="BH103" s="836"/>
      <c r="BI103" s="821"/>
      <c r="BJ103" s="423"/>
      <c r="BK103" s="470"/>
      <c r="BL103" s="517"/>
      <c r="BM103" s="517"/>
      <c r="BN103" s="517"/>
      <c r="BO103" s="517"/>
      <c r="BP103" s="517"/>
      <c r="BQ103" s="836"/>
      <c r="BR103" s="821"/>
      <c r="BS103" s="822"/>
      <c r="BT103" s="470"/>
      <c r="BU103" s="517"/>
      <c r="BV103" s="517"/>
      <c r="BW103" s="517"/>
      <c r="BX103" s="517"/>
      <c r="BY103" s="836"/>
      <c r="BZ103" s="821"/>
      <c r="CA103" s="422"/>
      <c r="CB103" s="470"/>
      <c r="CC103" s="517"/>
      <c r="CD103" s="517"/>
      <c r="CE103" s="517"/>
      <c r="CF103" s="517"/>
      <c r="CG103" s="836"/>
      <c r="CH103" s="821"/>
      <c r="CI103" s="422"/>
      <c r="CJ103" s="470"/>
      <c r="CK103" s="517"/>
      <c r="CL103" s="517"/>
      <c r="CM103" s="517"/>
      <c r="CN103" s="517"/>
      <c r="CO103" s="836"/>
      <c r="CP103" s="821"/>
      <c r="CQ103" s="822"/>
      <c r="CR103" s="837"/>
      <c r="CS103" s="517"/>
      <c r="CT103" s="517"/>
      <c r="CU103" s="517" t="n">
        <f aca="false">+CR103-CS103</f>
        <v>0</v>
      </c>
      <c r="CV103" s="517" t="n">
        <f aca="false">+CR103-CT103</f>
        <v>0</v>
      </c>
      <c r="CW103" s="517"/>
      <c r="CX103" s="823" t="e">
        <f aca="false">+CR103/CW103-1</f>
        <v>#DIV/0!</v>
      </c>
      <c r="CY103" s="206"/>
      <c r="CZ103" s="824"/>
      <c r="DA103" s="517"/>
      <c r="DB103" s="517"/>
      <c r="DC103" s="517"/>
      <c r="DD103" s="836"/>
      <c r="DE103" s="821" t="e">
        <f aca="false">(CZ103-DD103)/DD103</f>
        <v>#DIV/0!</v>
      </c>
      <c r="DF103" s="821" t="e">
        <f aca="false">(DA103-DD103)/DD103</f>
        <v>#DIV/0!</v>
      </c>
      <c r="DG103" s="821" t="e">
        <f aca="false">(DB103-DD103)/DD103</f>
        <v>#DIV/0!</v>
      </c>
      <c r="DH103" s="821" t="e">
        <f aca="false">(DC103-DD103)/DD103</f>
        <v>#DIV/0!</v>
      </c>
      <c r="DI103" s="696"/>
      <c r="DJ103" s="782"/>
      <c r="DL103" s="782"/>
      <c r="DM103" s="400" t="n">
        <f aca="false">(CS103-CZ103)*10^6</f>
        <v>0</v>
      </c>
      <c r="DN103" s="400" t="n">
        <f aca="false">(CT103-DC103)*10^6</f>
        <v>0</v>
      </c>
      <c r="DO103" s="400" t="n">
        <f aca="false">(CW103-DD103)*10^6</f>
        <v>0</v>
      </c>
    </row>
    <row r="104" s="818" customFormat="true" ht="15" hidden="false" customHeight="true" outlineLevel="1" collapsed="false">
      <c r="A104" s="815"/>
      <c r="B104" s="765" t="s">
        <v>586</v>
      </c>
      <c r="C104" s="679" t="s">
        <v>614</v>
      </c>
      <c r="D104" s="433"/>
      <c r="E104" s="537"/>
      <c r="F104" s="433"/>
      <c r="G104" s="537"/>
      <c r="H104" s="434"/>
      <c r="I104" s="435"/>
      <c r="J104" s="433"/>
      <c r="K104" s="537"/>
      <c r="L104" s="433"/>
      <c r="M104" s="537"/>
      <c r="N104" s="434"/>
      <c r="O104" s="423"/>
      <c r="P104" s="433"/>
      <c r="Q104" s="537"/>
      <c r="R104" s="433"/>
      <c r="S104" s="537"/>
      <c r="T104" s="434"/>
      <c r="U104" s="435"/>
      <c r="V104" s="433"/>
      <c r="W104" s="537"/>
      <c r="X104" s="537"/>
      <c r="Y104" s="433"/>
      <c r="Z104" s="432"/>
      <c r="AA104" s="537"/>
      <c r="AB104" s="434"/>
      <c r="AC104" s="435"/>
      <c r="AD104" s="433"/>
      <c r="AE104" s="537"/>
      <c r="AF104" s="537"/>
      <c r="AG104" s="433"/>
      <c r="AH104" s="432"/>
      <c r="AI104" s="537"/>
      <c r="AJ104" s="434"/>
      <c r="AK104" s="435"/>
      <c r="AL104" s="433"/>
      <c r="AM104" s="537"/>
      <c r="AN104" s="537"/>
      <c r="AO104" s="537"/>
      <c r="AP104" s="433"/>
      <c r="AQ104" s="432"/>
      <c r="AR104" s="537"/>
      <c r="AS104" s="434"/>
      <c r="AT104" s="423"/>
      <c r="AU104" s="432"/>
      <c r="AV104" s="537"/>
      <c r="AW104" s="537"/>
      <c r="AX104" s="433"/>
      <c r="AY104" s="433"/>
      <c r="AZ104" s="537"/>
      <c r="BA104" s="434"/>
      <c r="BB104" s="435"/>
      <c r="BC104" s="432"/>
      <c r="BD104" s="537"/>
      <c r="BE104" s="537"/>
      <c r="BF104" s="433"/>
      <c r="BG104" s="433"/>
      <c r="BH104" s="537"/>
      <c r="BI104" s="434"/>
      <c r="BJ104" s="423"/>
      <c r="BK104" s="432"/>
      <c r="BL104" s="537"/>
      <c r="BM104" s="537"/>
      <c r="BN104" s="537"/>
      <c r="BO104" s="433"/>
      <c r="BP104" s="433"/>
      <c r="BQ104" s="537"/>
      <c r="BR104" s="434"/>
      <c r="BS104" s="435"/>
      <c r="BT104" s="432"/>
      <c r="BU104" s="537"/>
      <c r="BV104" s="537"/>
      <c r="BW104" s="433"/>
      <c r="BX104" s="433"/>
      <c r="BY104" s="537"/>
      <c r="BZ104" s="434"/>
      <c r="CA104" s="422"/>
      <c r="CB104" s="432"/>
      <c r="CC104" s="537"/>
      <c r="CD104" s="537"/>
      <c r="CE104" s="433"/>
      <c r="CF104" s="433"/>
      <c r="CG104" s="537"/>
      <c r="CH104" s="434"/>
      <c r="CI104" s="422"/>
      <c r="CJ104" s="432"/>
      <c r="CK104" s="537"/>
      <c r="CL104" s="537"/>
      <c r="CM104" s="433"/>
      <c r="CN104" s="433"/>
      <c r="CO104" s="537"/>
      <c r="CP104" s="434"/>
      <c r="CQ104" s="435"/>
      <c r="CR104" s="433"/>
      <c r="CS104" s="433"/>
      <c r="CT104" s="433"/>
      <c r="CU104" s="433" t="n">
        <f aca="false">+CR104-CS104</f>
        <v>0</v>
      </c>
      <c r="CV104" s="433" t="n">
        <f aca="false">+CR104-CT104</f>
        <v>0</v>
      </c>
      <c r="CW104" s="433"/>
      <c r="CX104" s="791"/>
      <c r="CY104" s="206"/>
      <c r="CZ104" s="771"/>
      <c r="DA104" s="537"/>
      <c r="DB104" s="537"/>
      <c r="DC104" s="537"/>
      <c r="DD104" s="537"/>
      <c r="DE104" s="434"/>
      <c r="DF104" s="434"/>
      <c r="DG104" s="434"/>
      <c r="DH104" s="434"/>
      <c r="DI104" s="696"/>
      <c r="DJ104" s="37"/>
      <c r="DL104" s="37"/>
      <c r="DM104" s="400" t="n">
        <f aca="false">(CS104-CZ104)*10^6</f>
        <v>0</v>
      </c>
      <c r="DN104" s="400" t="n">
        <f aca="false">(CT104-DC104)*10^6</f>
        <v>0</v>
      </c>
      <c r="DO104" s="400" t="n">
        <f aca="false">(CW104-DD104)*10^6</f>
        <v>0</v>
      </c>
    </row>
    <row r="105" s="818" customFormat="true" ht="15" hidden="false" customHeight="true" outlineLevel="1" collapsed="false">
      <c r="A105" s="815"/>
      <c r="B105" s="765" t="s">
        <v>588</v>
      </c>
      <c r="C105" s="679" t="s">
        <v>615</v>
      </c>
      <c r="D105" s="433"/>
      <c r="E105" s="537"/>
      <c r="F105" s="433"/>
      <c r="G105" s="537"/>
      <c r="H105" s="434"/>
      <c r="I105" s="435"/>
      <c r="J105" s="433"/>
      <c r="K105" s="537"/>
      <c r="L105" s="433"/>
      <c r="M105" s="537"/>
      <c r="N105" s="434"/>
      <c r="O105" s="423"/>
      <c r="P105" s="433"/>
      <c r="Q105" s="537"/>
      <c r="R105" s="433"/>
      <c r="S105" s="537"/>
      <c r="T105" s="434"/>
      <c r="U105" s="435"/>
      <c r="V105" s="433"/>
      <c r="W105" s="537"/>
      <c r="X105" s="537"/>
      <c r="Y105" s="433"/>
      <c r="Z105" s="432"/>
      <c r="AA105" s="537"/>
      <c r="AB105" s="434"/>
      <c r="AC105" s="435"/>
      <c r="AD105" s="433"/>
      <c r="AE105" s="537"/>
      <c r="AF105" s="537"/>
      <c r="AG105" s="433"/>
      <c r="AH105" s="432"/>
      <c r="AI105" s="537"/>
      <c r="AJ105" s="434"/>
      <c r="AK105" s="435"/>
      <c r="AL105" s="433"/>
      <c r="AM105" s="537"/>
      <c r="AN105" s="537"/>
      <c r="AO105" s="537"/>
      <c r="AP105" s="433"/>
      <c r="AQ105" s="432"/>
      <c r="AR105" s="537"/>
      <c r="AS105" s="434"/>
      <c r="AT105" s="423"/>
      <c r="AU105" s="432"/>
      <c r="AV105" s="537"/>
      <c r="AW105" s="537"/>
      <c r="AX105" s="433"/>
      <c r="AY105" s="433"/>
      <c r="AZ105" s="537"/>
      <c r="BA105" s="434"/>
      <c r="BB105" s="435"/>
      <c r="BC105" s="432"/>
      <c r="BD105" s="537"/>
      <c r="BE105" s="537"/>
      <c r="BF105" s="433"/>
      <c r="BG105" s="433"/>
      <c r="BH105" s="537"/>
      <c r="BI105" s="434"/>
      <c r="BJ105" s="423"/>
      <c r="BK105" s="432"/>
      <c r="BL105" s="537"/>
      <c r="BM105" s="537"/>
      <c r="BN105" s="537"/>
      <c r="BO105" s="433"/>
      <c r="BP105" s="433"/>
      <c r="BQ105" s="537"/>
      <c r="BR105" s="434"/>
      <c r="BS105" s="435"/>
      <c r="BT105" s="432"/>
      <c r="BU105" s="537"/>
      <c r="BV105" s="537"/>
      <c r="BW105" s="433"/>
      <c r="BX105" s="433"/>
      <c r="BY105" s="537"/>
      <c r="BZ105" s="434"/>
      <c r="CA105" s="422"/>
      <c r="CB105" s="432"/>
      <c r="CC105" s="537"/>
      <c r="CD105" s="537"/>
      <c r="CE105" s="433"/>
      <c r="CF105" s="433"/>
      <c r="CG105" s="537"/>
      <c r="CH105" s="434"/>
      <c r="CI105" s="422"/>
      <c r="CJ105" s="432"/>
      <c r="CK105" s="537"/>
      <c r="CL105" s="537"/>
      <c r="CM105" s="433"/>
      <c r="CN105" s="433"/>
      <c r="CO105" s="537"/>
      <c r="CP105" s="434"/>
      <c r="CQ105" s="435"/>
      <c r="CR105" s="433"/>
      <c r="CS105" s="433"/>
      <c r="CT105" s="433"/>
      <c r="CU105" s="433" t="n">
        <f aca="false">+CR105-CS105</f>
        <v>0</v>
      </c>
      <c r="CV105" s="433" t="n">
        <f aca="false">+CR105-CT105</f>
        <v>0</v>
      </c>
      <c r="CW105" s="433"/>
      <c r="CX105" s="791"/>
      <c r="CY105" s="206"/>
      <c r="CZ105" s="771"/>
      <c r="DA105" s="537"/>
      <c r="DB105" s="537"/>
      <c r="DC105" s="537"/>
      <c r="DD105" s="537"/>
      <c r="DE105" s="434"/>
      <c r="DF105" s="434"/>
      <c r="DG105" s="434"/>
      <c r="DH105" s="434" t="e">
        <f aca="false">(DC105-DD105)/DD105</f>
        <v>#DIV/0!</v>
      </c>
      <c r="DI105" s="696"/>
      <c r="DJ105" s="37"/>
      <c r="DL105" s="37"/>
      <c r="DM105" s="400" t="n">
        <f aca="false">(CS105-CZ105)*10^6</f>
        <v>0</v>
      </c>
      <c r="DN105" s="400" t="n">
        <f aca="false">(CT105-DC105)*10^6</f>
        <v>0</v>
      </c>
      <c r="DO105" s="400" t="n">
        <f aca="false">(CW105-DD105)*10^6</f>
        <v>0</v>
      </c>
    </row>
    <row r="106" s="818" customFormat="true" ht="15" hidden="false" customHeight="true" outlineLevel="1" collapsed="false">
      <c r="A106" s="815"/>
      <c r="B106" s="765" t="s">
        <v>590</v>
      </c>
      <c r="C106" s="679" t="s">
        <v>616</v>
      </c>
      <c r="D106" s="433"/>
      <c r="E106" s="537"/>
      <c r="F106" s="433"/>
      <c r="G106" s="537"/>
      <c r="H106" s="434"/>
      <c r="I106" s="435"/>
      <c r="J106" s="433"/>
      <c r="K106" s="537"/>
      <c r="L106" s="433"/>
      <c r="M106" s="537"/>
      <c r="N106" s="434"/>
      <c r="O106" s="423"/>
      <c r="P106" s="433"/>
      <c r="Q106" s="537"/>
      <c r="R106" s="433"/>
      <c r="S106" s="537"/>
      <c r="T106" s="434"/>
      <c r="U106" s="435"/>
      <c r="V106" s="433"/>
      <c r="W106" s="537"/>
      <c r="X106" s="537"/>
      <c r="Y106" s="433"/>
      <c r="Z106" s="432"/>
      <c r="AA106" s="537"/>
      <c r="AB106" s="434"/>
      <c r="AC106" s="435"/>
      <c r="AD106" s="433"/>
      <c r="AE106" s="537"/>
      <c r="AF106" s="537"/>
      <c r="AG106" s="433"/>
      <c r="AH106" s="432"/>
      <c r="AI106" s="537"/>
      <c r="AJ106" s="434"/>
      <c r="AK106" s="435"/>
      <c r="AL106" s="433"/>
      <c r="AM106" s="537"/>
      <c r="AN106" s="537"/>
      <c r="AO106" s="537"/>
      <c r="AP106" s="433"/>
      <c r="AQ106" s="432"/>
      <c r="AR106" s="537"/>
      <c r="AS106" s="434"/>
      <c r="AT106" s="423"/>
      <c r="AU106" s="432"/>
      <c r="AV106" s="537"/>
      <c r="AW106" s="537"/>
      <c r="AX106" s="433"/>
      <c r="AY106" s="433"/>
      <c r="AZ106" s="537"/>
      <c r="BA106" s="434"/>
      <c r="BB106" s="435"/>
      <c r="BC106" s="432"/>
      <c r="BD106" s="537"/>
      <c r="BE106" s="537"/>
      <c r="BF106" s="433"/>
      <c r="BG106" s="433"/>
      <c r="BH106" s="537"/>
      <c r="BI106" s="434"/>
      <c r="BJ106" s="423"/>
      <c r="BK106" s="432"/>
      <c r="BL106" s="537"/>
      <c r="BM106" s="537"/>
      <c r="BN106" s="537"/>
      <c r="BO106" s="433"/>
      <c r="BP106" s="433"/>
      <c r="BQ106" s="537"/>
      <c r="BR106" s="434"/>
      <c r="BS106" s="435"/>
      <c r="BT106" s="432"/>
      <c r="BU106" s="537"/>
      <c r="BV106" s="537"/>
      <c r="BW106" s="433"/>
      <c r="BX106" s="433"/>
      <c r="BY106" s="537"/>
      <c r="BZ106" s="434"/>
      <c r="CA106" s="422"/>
      <c r="CB106" s="432"/>
      <c r="CC106" s="537"/>
      <c r="CD106" s="537"/>
      <c r="CE106" s="433"/>
      <c r="CF106" s="433"/>
      <c r="CG106" s="537"/>
      <c r="CH106" s="434"/>
      <c r="CI106" s="422"/>
      <c r="CJ106" s="432"/>
      <c r="CK106" s="537"/>
      <c r="CL106" s="537"/>
      <c r="CM106" s="433"/>
      <c r="CN106" s="433"/>
      <c r="CO106" s="537"/>
      <c r="CP106" s="434"/>
      <c r="CQ106" s="435"/>
      <c r="CR106" s="433"/>
      <c r="CS106" s="433"/>
      <c r="CT106" s="433"/>
      <c r="CU106" s="433" t="n">
        <f aca="false">+CR106-CS106</f>
        <v>0</v>
      </c>
      <c r="CV106" s="433" t="n">
        <f aca="false">+CR106-CT106</f>
        <v>0</v>
      </c>
      <c r="CW106" s="433"/>
      <c r="CX106" s="791"/>
      <c r="CY106" s="206"/>
      <c r="CZ106" s="771"/>
      <c r="DA106" s="537"/>
      <c r="DB106" s="537"/>
      <c r="DC106" s="537"/>
      <c r="DD106" s="537"/>
      <c r="DE106" s="434"/>
      <c r="DF106" s="434"/>
      <c r="DG106" s="434"/>
      <c r="DH106" s="434"/>
      <c r="DI106" s="696"/>
      <c r="DJ106" s="37"/>
      <c r="DL106" s="37"/>
      <c r="DM106" s="400" t="n">
        <f aca="false">(CS106-CZ106)*10^6</f>
        <v>0</v>
      </c>
      <c r="DN106" s="400" t="n">
        <f aca="false">(CT106-DC106)*10^6</f>
        <v>0</v>
      </c>
      <c r="DO106" s="400" t="n">
        <f aca="false">(CW106-DD106)*10^6</f>
        <v>0</v>
      </c>
    </row>
    <row r="107" s="793" customFormat="true" ht="15" hidden="false" customHeight="true" outlineLevel="1" collapsed="false">
      <c r="A107" s="786"/>
      <c r="B107" s="750" t="s">
        <v>543</v>
      </c>
      <c r="C107" s="679" t="s">
        <v>617</v>
      </c>
      <c r="D107" s="758"/>
      <c r="E107" s="758"/>
      <c r="F107" s="758"/>
      <c r="G107" s="758"/>
      <c r="H107" s="788"/>
      <c r="I107" s="789"/>
      <c r="J107" s="758"/>
      <c r="K107" s="758"/>
      <c r="L107" s="758"/>
      <c r="M107" s="758"/>
      <c r="N107" s="788"/>
      <c r="O107" s="733"/>
      <c r="P107" s="758"/>
      <c r="Q107" s="758"/>
      <c r="R107" s="758"/>
      <c r="S107" s="758"/>
      <c r="T107" s="788"/>
      <c r="U107" s="789"/>
      <c r="V107" s="758"/>
      <c r="W107" s="758"/>
      <c r="X107" s="758"/>
      <c r="Y107" s="758"/>
      <c r="Z107" s="790"/>
      <c r="AA107" s="758"/>
      <c r="AB107" s="788"/>
      <c r="AC107" s="789"/>
      <c r="AD107" s="758"/>
      <c r="AE107" s="758"/>
      <c r="AF107" s="758"/>
      <c r="AG107" s="758"/>
      <c r="AH107" s="790"/>
      <c r="AI107" s="758"/>
      <c r="AJ107" s="788"/>
      <c r="AK107" s="789"/>
      <c r="AL107" s="758"/>
      <c r="AM107" s="758"/>
      <c r="AN107" s="758"/>
      <c r="AO107" s="758"/>
      <c r="AP107" s="758"/>
      <c r="AQ107" s="790"/>
      <c r="AR107" s="758"/>
      <c r="AS107" s="788"/>
      <c r="AT107" s="733"/>
      <c r="AU107" s="790"/>
      <c r="AV107" s="758"/>
      <c r="AW107" s="758"/>
      <c r="AX107" s="758"/>
      <c r="AY107" s="758"/>
      <c r="AZ107" s="758"/>
      <c r="BA107" s="788"/>
      <c r="BB107" s="789"/>
      <c r="BC107" s="790"/>
      <c r="BD107" s="758"/>
      <c r="BE107" s="758"/>
      <c r="BF107" s="758"/>
      <c r="BG107" s="758"/>
      <c r="BH107" s="758"/>
      <c r="BI107" s="788"/>
      <c r="BJ107" s="733"/>
      <c r="BK107" s="790"/>
      <c r="BL107" s="758"/>
      <c r="BM107" s="758"/>
      <c r="BN107" s="758"/>
      <c r="BO107" s="758"/>
      <c r="BP107" s="758"/>
      <c r="BQ107" s="758"/>
      <c r="BR107" s="788"/>
      <c r="BS107" s="789"/>
      <c r="BT107" s="790"/>
      <c r="BU107" s="758"/>
      <c r="BV107" s="758"/>
      <c r="BW107" s="758"/>
      <c r="BX107" s="758"/>
      <c r="BY107" s="758"/>
      <c r="BZ107" s="788"/>
      <c r="CA107" s="732"/>
      <c r="CB107" s="790"/>
      <c r="CC107" s="758"/>
      <c r="CD107" s="758"/>
      <c r="CE107" s="758"/>
      <c r="CF107" s="758"/>
      <c r="CG107" s="758"/>
      <c r="CH107" s="788"/>
      <c r="CI107" s="732"/>
      <c r="CJ107" s="790"/>
      <c r="CK107" s="758"/>
      <c r="CL107" s="758"/>
      <c r="CM107" s="758"/>
      <c r="CN107" s="758"/>
      <c r="CO107" s="758"/>
      <c r="CP107" s="788"/>
      <c r="CQ107" s="789"/>
      <c r="CR107" s="758"/>
      <c r="CS107" s="758"/>
      <c r="CT107" s="758"/>
      <c r="CU107" s="758" t="n">
        <f aca="false">+CR107-CS107</f>
        <v>0</v>
      </c>
      <c r="CV107" s="758" t="n">
        <f aca="false">+CR107-CT107</f>
        <v>0</v>
      </c>
      <c r="CW107" s="758"/>
      <c r="CX107" s="819"/>
      <c r="CY107" s="105"/>
      <c r="CZ107" s="792"/>
      <c r="DA107" s="758"/>
      <c r="DB107" s="758"/>
      <c r="DC107" s="758"/>
      <c r="DD107" s="758"/>
      <c r="DE107" s="788"/>
      <c r="DF107" s="788"/>
      <c r="DG107" s="788"/>
      <c r="DH107" s="788" t="e">
        <f aca="false">(DC107-DD107)/DD107</f>
        <v>#DIV/0!</v>
      </c>
      <c r="DI107" s="696"/>
      <c r="DJ107" s="37"/>
      <c r="DL107" s="37"/>
      <c r="DM107" s="400" t="n">
        <f aca="false">(CS107-CZ107)*10^6</f>
        <v>0</v>
      </c>
      <c r="DN107" s="400" t="n">
        <f aca="false">(CT107-DC107)*10^6</f>
        <v>0</v>
      </c>
      <c r="DO107" s="400" t="n">
        <f aca="false">(CW107-DD107)*10^6</f>
        <v>0</v>
      </c>
    </row>
    <row r="108" s="833" customFormat="true" ht="15" hidden="false" customHeight="true" outlineLevel="1" collapsed="false">
      <c r="A108" s="825"/>
      <c r="B108" s="838"/>
      <c r="C108" s="679" t="s">
        <v>618</v>
      </c>
      <c r="D108" s="827"/>
      <c r="E108" s="827"/>
      <c r="F108" s="827"/>
      <c r="G108" s="827"/>
      <c r="H108" s="434"/>
      <c r="I108" s="435"/>
      <c r="J108" s="827"/>
      <c r="K108" s="827"/>
      <c r="L108" s="827"/>
      <c r="M108" s="827"/>
      <c r="N108" s="434"/>
      <c r="O108" s="423"/>
      <c r="P108" s="827"/>
      <c r="Q108" s="827"/>
      <c r="R108" s="827"/>
      <c r="S108" s="827"/>
      <c r="T108" s="434"/>
      <c r="U108" s="435"/>
      <c r="V108" s="827"/>
      <c r="W108" s="827"/>
      <c r="X108" s="827"/>
      <c r="Y108" s="827"/>
      <c r="Z108" s="432"/>
      <c r="AA108" s="827"/>
      <c r="AB108" s="434"/>
      <c r="AC108" s="435"/>
      <c r="AD108" s="827"/>
      <c r="AE108" s="827"/>
      <c r="AF108" s="827"/>
      <c r="AG108" s="827"/>
      <c r="AH108" s="432"/>
      <c r="AI108" s="827"/>
      <c r="AJ108" s="434"/>
      <c r="AK108" s="435"/>
      <c r="AL108" s="827"/>
      <c r="AM108" s="827"/>
      <c r="AN108" s="827"/>
      <c r="AO108" s="827"/>
      <c r="AP108" s="827"/>
      <c r="AQ108" s="432"/>
      <c r="AR108" s="827"/>
      <c r="AS108" s="434"/>
      <c r="AT108" s="423"/>
      <c r="AU108" s="828"/>
      <c r="AV108" s="827"/>
      <c r="AW108" s="827"/>
      <c r="AX108" s="827"/>
      <c r="AY108" s="827"/>
      <c r="AZ108" s="827"/>
      <c r="BA108" s="434"/>
      <c r="BB108" s="435"/>
      <c r="BC108" s="828"/>
      <c r="BD108" s="827"/>
      <c r="BE108" s="827"/>
      <c r="BF108" s="827"/>
      <c r="BG108" s="827"/>
      <c r="BH108" s="827"/>
      <c r="BI108" s="434"/>
      <c r="BJ108" s="423"/>
      <c r="BK108" s="828"/>
      <c r="BL108" s="827"/>
      <c r="BM108" s="827"/>
      <c r="BN108" s="827"/>
      <c r="BO108" s="827"/>
      <c r="BP108" s="827"/>
      <c r="BQ108" s="827"/>
      <c r="BR108" s="434"/>
      <c r="BS108" s="435"/>
      <c r="BT108" s="828"/>
      <c r="BU108" s="827"/>
      <c r="BV108" s="827"/>
      <c r="BW108" s="827"/>
      <c r="BX108" s="827"/>
      <c r="BY108" s="827"/>
      <c r="BZ108" s="434"/>
      <c r="CA108" s="422"/>
      <c r="CB108" s="828"/>
      <c r="CC108" s="827"/>
      <c r="CD108" s="827"/>
      <c r="CE108" s="827"/>
      <c r="CF108" s="827"/>
      <c r="CG108" s="827"/>
      <c r="CH108" s="434"/>
      <c r="CI108" s="422"/>
      <c r="CJ108" s="828"/>
      <c r="CK108" s="827"/>
      <c r="CL108" s="827"/>
      <c r="CM108" s="827"/>
      <c r="CN108" s="827"/>
      <c r="CO108" s="827"/>
      <c r="CP108" s="434"/>
      <c r="CQ108" s="435"/>
      <c r="CR108" s="827"/>
      <c r="CS108" s="827"/>
      <c r="CT108" s="827"/>
      <c r="CU108" s="827" t="n">
        <f aca="false">+CR108-CS108</f>
        <v>0</v>
      </c>
      <c r="CV108" s="827" t="n">
        <f aca="false">+CR108-CT108</f>
        <v>0</v>
      </c>
      <c r="CW108" s="827"/>
      <c r="CX108" s="829"/>
      <c r="CY108" s="830"/>
      <c r="CZ108" s="831"/>
      <c r="DA108" s="827"/>
      <c r="DB108" s="827"/>
      <c r="DC108" s="827"/>
      <c r="DD108" s="827"/>
      <c r="DE108" s="832"/>
      <c r="DF108" s="832"/>
      <c r="DG108" s="832"/>
      <c r="DH108" s="832"/>
      <c r="DI108" s="696"/>
      <c r="DJ108" s="37"/>
      <c r="DL108" s="37"/>
      <c r="DM108" s="400" t="n">
        <f aca="false">(CS108-CZ108)*10^6</f>
        <v>0</v>
      </c>
      <c r="DN108" s="400" t="n">
        <f aca="false">(CT108-DC108)*10^6</f>
        <v>0</v>
      </c>
      <c r="DO108" s="400" t="n">
        <f aca="false">(CW108-DD108)*10^6</f>
        <v>0</v>
      </c>
    </row>
    <row r="109" s="813" customFormat="true" ht="15" hidden="false" customHeight="true" outlineLevel="1" collapsed="false">
      <c r="A109" s="737" t="s">
        <v>562</v>
      </c>
      <c r="B109" s="737"/>
      <c r="C109" s="679" t="s">
        <v>619</v>
      </c>
      <c r="D109" s="744"/>
      <c r="E109" s="744"/>
      <c r="F109" s="744"/>
      <c r="G109" s="744"/>
      <c r="H109" s="806"/>
      <c r="I109" s="807"/>
      <c r="J109" s="744"/>
      <c r="K109" s="744"/>
      <c r="L109" s="744"/>
      <c r="M109" s="744"/>
      <c r="N109" s="806"/>
      <c r="O109" s="808"/>
      <c r="P109" s="744"/>
      <c r="Q109" s="744"/>
      <c r="R109" s="744"/>
      <c r="S109" s="744"/>
      <c r="T109" s="806"/>
      <c r="U109" s="807"/>
      <c r="V109" s="744"/>
      <c r="W109" s="744"/>
      <c r="X109" s="744"/>
      <c r="Y109" s="744"/>
      <c r="Z109" s="809"/>
      <c r="AA109" s="744"/>
      <c r="AB109" s="806"/>
      <c r="AC109" s="807"/>
      <c r="AD109" s="744"/>
      <c r="AE109" s="744"/>
      <c r="AF109" s="744"/>
      <c r="AG109" s="744"/>
      <c r="AH109" s="809"/>
      <c r="AI109" s="744"/>
      <c r="AJ109" s="806"/>
      <c r="AK109" s="807"/>
      <c r="AL109" s="744"/>
      <c r="AM109" s="744"/>
      <c r="AN109" s="744"/>
      <c r="AO109" s="744"/>
      <c r="AP109" s="744"/>
      <c r="AQ109" s="809"/>
      <c r="AR109" s="744"/>
      <c r="AS109" s="806"/>
      <c r="AT109" s="808"/>
      <c r="AU109" s="809"/>
      <c r="AV109" s="744"/>
      <c r="AW109" s="744"/>
      <c r="AX109" s="744"/>
      <c r="AY109" s="744"/>
      <c r="AZ109" s="744"/>
      <c r="BA109" s="806"/>
      <c r="BB109" s="807"/>
      <c r="BC109" s="809"/>
      <c r="BD109" s="744"/>
      <c r="BE109" s="744"/>
      <c r="BF109" s="744"/>
      <c r="BG109" s="744"/>
      <c r="BH109" s="744"/>
      <c r="BI109" s="806"/>
      <c r="BJ109" s="808"/>
      <c r="BK109" s="809"/>
      <c r="BL109" s="744"/>
      <c r="BM109" s="744"/>
      <c r="BN109" s="744"/>
      <c r="BO109" s="744"/>
      <c r="BP109" s="744"/>
      <c r="BQ109" s="744"/>
      <c r="BR109" s="806"/>
      <c r="BS109" s="807"/>
      <c r="BT109" s="809"/>
      <c r="BU109" s="744"/>
      <c r="BV109" s="744"/>
      <c r="BW109" s="744"/>
      <c r="BX109" s="744"/>
      <c r="BY109" s="744"/>
      <c r="BZ109" s="806"/>
      <c r="CA109" s="810"/>
      <c r="CB109" s="809"/>
      <c r="CC109" s="744"/>
      <c r="CD109" s="744"/>
      <c r="CE109" s="744"/>
      <c r="CF109" s="744"/>
      <c r="CG109" s="744"/>
      <c r="CH109" s="806"/>
      <c r="CI109" s="810"/>
      <c r="CJ109" s="809"/>
      <c r="CK109" s="744"/>
      <c r="CL109" s="744"/>
      <c r="CM109" s="744"/>
      <c r="CN109" s="744"/>
      <c r="CO109" s="744"/>
      <c r="CP109" s="806"/>
      <c r="CQ109" s="807"/>
      <c r="CR109" s="744"/>
      <c r="CS109" s="744"/>
      <c r="CT109" s="744"/>
      <c r="CU109" s="744" t="n">
        <f aca="false">+CR109-CS109</f>
        <v>0</v>
      </c>
      <c r="CV109" s="744" t="n">
        <f aca="false">+CR109-CT109</f>
        <v>0</v>
      </c>
      <c r="CW109" s="744"/>
      <c r="CX109" s="811" t="e">
        <f aca="false">+CR109/CW109-1</f>
        <v>#DIV/0!</v>
      </c>
      <c r="CY109" s="812"/>
      <c r="CZ109" s="814"/>
      <c r="DA109" s="744"/>
      <c r="DB109" s="744"/>
      <c r="DC109" s="744"/>
      <c r="DD109" s="744"/>
      <c r="DE109" s="806" t="e">
        <f aca="false">(CZ109-DD109)/DD109</f>
        <v>#DIV/0!</v>
      </c>
      <c r="DF109" s="806" t="e">
        <f aca="false">(DA109-DD109)/DD109</f>
        <v>#DIV/0!</v>
      </c>
      <c r="DG109" s="806" t="e">
        <f aca="false">(DB109-DD109)/DD109</f>
        <v>#DIV/0!</v>
      </c>
      <c r="DH109" s="806" t="e">
        <f aca="false">(DC109-DD109)/DD109</f>
        <v>#DIV/0!</v>
      </c>
      <c r="DI109" s="696"/>
      <c r="DJ109" s="37"/>
      <c r="DL109" s="37"/>
      <c r="DM109" s="400" t="n">
        <f aca="false">(CS109-CZ109)*10^6</f>
        <v>0</v>
      </c>
      <c r="DN109" s="400" t="n">
        <f aca="false">(CT109-DC109)*10^6</f>
        <v>0</v>
      </c>
      <c r="DO109" s="400" t="n">
        <f aca="false">(CW109-DD109)*10^6</f>
        <v>0</v>
      </c>
    </row>
    <row r="110" s="441" customFormat="true" ht="15" hidden="false" customHeight="true" outlineLevel="1" collapsed="false">
      <c r="A110" s="764"/>
      <c r="B110" s="765" t="s">
        <v>492</v>
      </c>
      <c r="C110" s="679" t="s">
        <v>620</v>
      </c>
      <c r="D110" s="537"/>
      <c r="E110" s="537"/>
      <c r="F110" s="537"/>
      <c r="G110" s="537"/>
      <c r="H110" s="438"/>
      <c r="I110" s="766"/>
      <c r="J110" s="537"/>
      <c r="K110" s="537"/>
      <c r="L110" s="537"/>
      <c r="M110" s="537"/>
      <c r="N110" s="438"/>
      <c r="O110" s="767"/>
      <c r="P110" s="537"/>
      <c r="Q110" s="537"/>
      <c r="R110" s="537"/>
      <c r="S110" s="537"/>
      <c r="T110" s="438"/>
      <c r="U110" s="766"/>
      <c r="V110" s="537"/>
      <c r="W110" s="537"/>
      <c r="X110" s="537"/>
      <c r="Y110" s="537"/>
      <c r="Z110" s="439"/>
      <c r="AA110" s="537"/>
      <c r="AB110" s="438"/>
      <c r="AC110" s="766"/>
      <c r="AD110" s="537"/>
      <c r="AE110" s="537"/>
      <c r="AF110" s="537"/>
      <c r="AG110" s="537"/>
      <c r="AH110" s="439"/>
      <c r="AI110" s="537"/>
      <c r="AJ110" s="438"/>
      <c r="AK110" s="766"/>
      <c r="AL110" s="537"/>
      <c r="AM110" s="537"/>
      <c r="AN110" s="537"/>
      <c r="AO110" s="537"/>
      <c r="AP110" s="537"/>
      <c r="AQ110" s="439"/>
      <c r="AR110" s="537"/>
      <c r="AS110" s="438"/>
      <c r="AT110" s="767"/>
      <c r="AU110" s="439"/>
      <c r="AV110" s="537"/>
      <c r="AW110" s="537"/>
      <c r="AX110" s="537"/>
      <c r="AY110" s="537"/>
      <c r="AZ110" s="537"/>
      <c r="BA110" s="438"/>
      <c r="BB110" s="766"/>
      <c r="BC110" s="439"/>
      <c r="BD110" s="537"/>
      <c r="BE110" s="537"/>
      <c r="BF110" s="537"/>
      <c r="BG110" s="537"/>
      <c r="BH110" s="537"/>
      <c r="BI110" s="438"/>
      <c r="BJ110" s="767"/>
      <c r="BK110" s="439"/>
      <c r="BL110" s="537"/>
      <c r="BM110" s="537"/>
      <c r="BN110" s="537"/>
      <c r="BO110" s="537"/>
      <c r="BP110" s="537"/>
      <c r="BQ110" s="537"/>
      <c r="BR110" s="438"/>
      <c r="BS110" s="766"/>
      <c r="BT110" s="439"/>
      <c r="BU110" s="537"/>
      <c r="BV110" s="537"/>
      <c r="BW110" s="537"/>
      <c r="BX110" s="537"/>
      <c r="BY110" s="537"/>
      <c r="BZ110" s="438"/>
      <c r="CA110" s="768"/>
      <c r="CB110" s="439"/>
      <c r="CC110" s="537"/>
      <c r="CD110" s="537"/>
      <c r="CE110" s="537"/>
      <c r="CF110" s="537"/>
      <c r="CG110" s="537"/>
      <c r="CH110" s="438"/>
      <c r="CI110" s="768"/>
      <c r="CJ110" s="439"/>
      <c r="CK110" s="537"/>
      <c r="CL110" s="537"/>
      <c r="CM110" s="537"/>
      <c r="CN110" s="537"/>
      <c r="CO110" s="537"/>
      <c r="CP110" s="438"/>
      <c r="CQ110" s="766"/>
      <c r="CR110" s="537"/>
      <c r="CS110" s="537"/>
      <c r="CT110" s="433"/>
      <c r="CU110" s="537" t="n">
        <f aca="false">+CR110-CS110</f>
        <v>0</v>
      </c>
      <c r="CV110" s="537" t="n">
        <f aca="false">+CR110-CT110</f>
        <v>0</v>
      </c>
      <c r="CW110" s="537"/>
      <c r="CX110" s="769" t="e">
        <f aca="false">+CR110/CW110-1</f>
        <v>#DIV/0!</v>
      </c>
      <c r="CY110" s="770"/>
      <c r="CZ110" s="771"/>
      <c r="DA110" s="537"/>
      <c r="DB110" s="537"/>
      <c r="DC110" s="537"/>
      <c r="DD110" s="537"/>
      <c r="DE110" s="438" t="e">
        <f aca="false">(CZ110-DD110)/DD110</f>
        <v>#DIV/0!</v>
      </c>
      <c r="DF110" s="438" t="e">
        <f aca="false">(DA110-DD110)/DD110</f>
        <v>#DIV/0!</v>
      </c>
      <c r="DG110" s="438" t="e">
        <f aca="false">(DB110-DD110)/DD110</f>
        <v>#DIV/0!</v>
      </c>
      <c r="DH110" s="438" t="e">
        <f aca="false">(DC110-DD110)/DD110</f>
        <v>#DIV/0!</v>
      </c>
      <c r="DI110" s="696"/>
      <c r="DJ110" s="37"/>
      <c r="DL110" s="37"/>
      <c r="DM110" s="400" t="n">
        <f aca="false">(CS110-CZ110)*10^6</f>
        <v>0</v>
      </c>
      <c r="DN110" s="400" t="n">
        <f aca="false">(CT110-DC110)*10^6</f>
        <v>0</v>
      </c>
      <c r="DO110" s="400" t="n">
        <f aca="false">(CW110-DD110)*10^6</f>
        <v>0</v>
      </c>
    </row>
    <row r="111" s="441" customFormat="true" ht="15" hidden="false" customHeight="true" outlineLevel="1" collapsed="false">
      <c r="A111" s="764"/>
      <c r="B111" s="765" t="s">
        <v>494</v>
      </c>
      <c r="C111" s="679" t="s">
        <v>621</v>
      </c>
      <c r="D111" s="537"/>
      <c r="E111" s="537"/>
      <c r="F111" s="537"/>
      <c r="G111" s="537"/>
      <c r="H111" s="438"/>
      <c r="I111" s="766"/>
      <c r="J111" s="537"/>
      <c r="K111" s="537"/>
      <c r="L111" s="537"/>
      <c r="M111" s="537"/>
      <c r="N111" s="438"/>
      <c r="O111" s="767"/>
      <c r="P111" s="537"/>
      <c r="Q111" s="537"/>
      <c r="R111" s="537"/>
      <c r="S111" s="537"/>
      <c r="T111" s="438"/>
      <c r="U111" s="766"/>
      <c r="V111" s="537"/>
      <c r="W111" s="537"/>
      <c r="X111" s="537"/>
      <c r="Y111" s="537"/>
      <c r="Z111" s="439"/>
      <c r="AA111" s="537"/>
      <c r="AB111" s="438"/>
      <c r="AC111" s="766"/>
      <c r="AD111" s="537"/>
      <c r="AE111" s="537"/>
      <c r="AF111" s="537"/>
      <c r="AG111" s="537"/>
      <c r="AH111" s="439"/>
      <c r="AI111" s="537"/>
      <c r="AJ111" s="438"/>
      <c r="AK111" s="766"/>
      <c r="AL111" s="839"/>
      <c r="AM111" s="537"/>
      <c r="AN111" s="537"/>
      <c r="AO111" s="537"/>
      <c r="AP111" s="537"/>
      <c r="AQ111" s="439"/>
      <c r="AR111" s="537"/>
      <c r="AS111" s="438"/>
      <c r="AT111" s="767"/>
      <c r="AU111" s="439"/>
      <c r="AV111" s="537"/>
      <c r="AW111" s="537"/>
      <c r="AX111" s="537"/>
      <c r="AY111" s="537"/>
      <c r="AZ111" s="537"/>
      <c r="BA111" s="438"/>
      <c r="BB111" s="766"/>
      <c r="BC111" s="439"/>
      <c r="BD111" s="537"/>
      <c r="BE111" s="537"/>
      <c r="BF111" s="537"/>
      <c r="BG111" s="537"/>
      <c r="BH111" s="537"/>
      <c r="BI111" s="438"/>
      <c r="BJ111" s="767"/>
      <c r="BK111" s="439"/>
      <c r="BL111" s="537"/>
      <c r="BM111" s="537"/>
      <c r="BN111" s="537"/>
      <c r="BO111" s="537"/>
      <c r="BP111" s="537"/>
      <c r="BQ111" s="537"/>
      <c r="BR111" s="438"/>
      <c r="BS111" s="766"/>
      <c r="BT111" s="439"/>
      <c r="BU111" s="537"/>
      <c r="BV111" s="537"/>
      <c r="BW111" s="537"/>
      <c r="BX111" s="537"/>
      <c r="BY111" s="537"/>
      <c r="BZ111" s="438"/>
      <c r="CA111" s="768"/>
      <c r="CB111" s="439"/>
      <c r="CC111" s="537"/>
      <c r="CD111" s="537"/>
      <c r="CE111" s="537"/>
      <c r="CF111" s="537"/>
      <c r="CG111" s="537"/>
      <c r="CH111" s="438"/>
      <c r="CI111" s="768"/>
      <c r="CJ111" s="439"/>
      <c r="CK111" s="537"/>
      <c r="CL111" s="537"/>
      <c r="CM111" s="537"/>
      <c r="CN111" s="537"/>
      <c r="CO111" s="537"/>
      <c r="CP111" s="438"/>
      <c r="CQ111" s="766"/>
      <c r="CR111" s="537"/>
      <c r="CS111" s="537"/>
      <c r="CT111" s="433"/>
      <c r="CU111" s="537" t="n">
        <f aca="false">+CR111-CS111</f>
        <v>0</v>
      </c>
      <c r="CV111" s="537" t="n">
        <f aca="false">+CR111-CT111</f>
        <v>0</v>
      </c>
      <c r="CW111" s="537"/>
      <c r="CX111" s="769" t="e">
        <f aca="false">+CR111/CW111-1</f>
        <v>#DIV/0!</v>
      </c>
      <c r="CY111" s="770"/>
      <c r="CZ111" s="771"/>
      <c r="DA111" s="537"/>
      <c r="DB111" s="537"/>
      <c r="DC111" s="537"/>
      <c r="DD111" s="537"/>
      <c r="DE111" s="438" t="e">
        <f aca="false">(CZ111-DD111)/DD111</f>
        <v>#DIV/0!</v>
      </c>
      <c r="DF111" s="438" t="e">
        <f aca="false">(DA111-DD111)/DD111</f>
        <v>#DIV/0!</v>
      </c>
      <c r="DG111" s="438" t="e">
        <f aca="false">(DB111-DD111)/DD111</f>
        <v>#DIV/0!</v>
      </c>
      <c r="DH111" s="438" t="e">
        <f aca="false">(DC111-DD111)/DD111</f>
        <v>#DIV/0!</v>
      </c>
      <c r="DI111" s="696"/>
      <c r="DJ111" s="37"/>
      <c r="DL111" s="37"/>
      <c r="DM111" s="400" t="n">
        <f aca="false">(CS111-CZ111)*10^6</f>
        <v>0</v>
      </c>
      <c r="DN111" s="400" t="n">
        <f aca="false">(CT111-DC111)*10^6</f>
        <v>0</v>
      </c>
      <c r="DO111" s="400" t="n">
        <f aca="false">(CW111-DD111)*10^6</f>
        <v>0</v>
      </c>
    </row>
    <row r="112" s="441" customFormat="true" ht="15" hidden="false" customHeight="true" outlineLevel="1" collapsed="false">
      <c r="A112" s="764"/>
      <c r="B112" s="765" t="s">
        <v>496</v>
      </c>
      <c r="C112" s="679" t="s">
        <v>622</v>
      </c>
      <c r="D112" s="537"/>
      <c r="E112" s="537"/>
      <c r="F112" s="537"/>
      <c r="G112" s="537"/>
      <c r="H112" s="438"/>
      <c r="I112" s="766"/>
      <c r="J112" s="537"/>
      <c r="K112" s="537"/>
      <c r="L112" s="537"/>
      <c r="M112" s="537"/>
      <c r="N112" s="438"/>
      <c r="O112" s="767"/>
      <c r="P112" s="537"/>
      <c r="Q112" s="537"/>
      <c r="R112" s="537"/>
      <c r="S112" s="537"/>
      <c r="T112" s="438"/>
      <c r="U112" s="766"/>
      <c r="V112" s="537"/>
      <c r="W112" s="537"/>
      <c r="X112" s="537"/>
      <c r="Y112" s="537"/>
      <c r="Z112" s="439"/>
      <c r="AA112" s="537"/>
      <c r="AB112" s="438"/>
      <c r="AC112" s="766"/>
      <c r="AD112" s="537"/>
      <c r="AE112" s="537"/>
      <c r="AF112" s="537"/>
      <c r="AG112" s="537"/>
      <c r="AH112" s="439"/>
      <c r="AI112" s="537"/>
      <c r="AJ112" s="438"/>
      <c r="AK112" s="766"/>
      <c r="AL112" s="537"/>
      <c r="AM112" s="537"/>
      <c r="AN112" s="537"/>
      <c r="AO112" s="537"/>
      <c r="AP112" s="537"/>
      <c r="AQ112" s="439"/>
      <c r="AR112" s="537"/>
      <c r="AS112" s="438"/>
      <c r="AT112" s="767"/>
      <c r="AU112" s="439"/>
      <c r="AV112" s="537"/>
      <c r="AW112" s="537"/>
      <c r="AX112" s="537"/>
      <c r="AY112" s="537"/>
      <c r="AZ112" s="537"/>
      <c r="BA112" s="438"/>
      <c r="BB112" s="766"/>
      <c r="BC112" s="439"/>
      <c r="BD112" s="537"/>
      <c r="BE112" s="537"/>
      <c r="BF112" s="537"/>
      <c r="BG112" s="537"/>
      <c r="BH112" s="537"/>
      <c r="BI112" s="438"/>
      <c r="BJ112" s="767"/>
      <c r="BK112" s="439"/>
      <c r="BL112" s="537"/>
      <c r="BM112" s="537"/>
      <c r="BN112" s="537"/>
      <c r="BO112" s="537"/>
      <c r="BP112" s="537"/>
      <c r="BQ112" s="537"/>
      <c r="BR112" s="438"/>
      <c r="BS112" s="766"/>
      <c r="BT112" s="439"/>
      <c r="BU112" s="537"/>
      <c r="BV112" s="537"/>
      <c r="BW112" s="537"/>
      <c r="BX112" s="537"/>
      <c r="BY112" s="537"/>
      <c r="BZ112" s="438"/>
      <c r="CA112" s="768"/>
      <c r="CB112" s="439"/>
      <c r="CC112" s="537"/>
      <c r="CD112" s="537"/>
      <c r="CE112" s="537"/>
      <c r="CF112" s="537"/>
      <c r="CG112" s="537"/>
      <c r="CH112" s="438"/>
      <c r="CI112" s="768"/>
      <c r="CJ112" s="439"/>
      <c r="CK112" s="537"/>
      <c r="CL112" s="537"/>
      <c r="CM112" s="537"/>
      <c r="CN112" s="537"/>
      <c r="CO112" s="537"/>
      <c r="CP112" s="438"/>
      <c r="CQ112" s="766"/>
      <c r="CR112" s="537"/>
      <c r="CS112" s="537"/>
      <c r="CT112" s="433"/>
      <c r="CU112" s="537" t="n">
        <f aca="false">+CR112-CS112</f>
        <v>0</v>
      </c>
      <c r="CV112" s="537" t="n">
        <f aca="false">+CR112-CT112</f>
        <v>0</v>
      </c>
      <c r="CW112" s="537"/>
      <c r="CX112" s="769"/>
      <c r="CY112" s="770"/>
      <c r="CZ112" s="771"/>
      <c r="DA112" s="537"/>
      <c r="DB112" s="537"/>
      <c r="DC112" s="537"/>
      <c r="DD112" s="537"/>
      <c r="DE112" s="438"/>
      <c r="DF112" s="438"/>
      <c r="DG112" s="438"/>
      <c r="DH112" s="438"/>
      <c r="DI112" s="696"/>
      <c r="DJ112" s="37"/>
      <c r="DL112" s="37"/>
      <c r="DM112" s="400" t="n">
        <f aca="false">(CS112-CZ112)*10^6</f>
        <v>0</v>
      </c>
      <c r="DN112" s="400" t="n">
        <f aca="false">(CT112-DC112)*10^6</f>
        <v>0</v>
      </c>
      <c r="DO112" s="400" t="n">
        <f aca="false">(CW112-DD112)*10^6</f>
        <v>0</v>
      </c>
    </row>
    <row r="113" s="441" customFormat="true" ht="15" hidden="false" customHeight="true" outlineLevel="1" collapsed="false">
      <c r="A113" s="764"/>
      <c r="B113" s="765" t="s">
        <v>498</v>
      </c>
      <c r="C113" s="679" t="s">
        <v>623</v>
      </c>
      <c r="D113" s="537"/>
      <c r="E113" s="537"/>
      <c r="F113" s="537"/>
      <c r="G113" s="537"/>
      <c r="H113" s="438"/>
      <c r="I113" s="766"/>
      <c r="J113" s="537"/>
      <c r="K113" s="537"/>
      <c r="L113" s="537"/>
      <c r="M113" s="537"/>
      <c r="N113" s="438"/>
      <c r="O113" s="767"/>
      <c r="P113" s="537"/>
      <c r="Q113" s="537"/>
      <c r="R113" s="537"/>
      <c r="S113" s="537"/>
      <c r="T113" s="438"/>
      <c r="U113" s="766"/>
      <c r="V113" s="537"/>
      <c r="W113" s="537"/>
      <c r="X113" s="537"/>
      <c r="Y113" s="537"/>
      <c r="Z113" s="439"/>
      <c r="AA113" s="537"/>
      <c r="AB113" s="438"/>
      <c r="AC113" s="766"/>
      <c r="AD113" s="537"/>
      <c r="AE113" s="537"/>
      <c r="AF113" s="537"/>
      <c r="AG113" s="537"/>
      <c r="AH113" s="439"/>
      <c r="AI113" s="537"/>
      <c r="AJ113" s="438"/>
      <c r="AK113" s="766"/>
      <c r="AL113" s="537"/>
      <c r="AM113" s="537"/>
      <c r="AN113" s="537"/>
      <c r="AO113" s="537"/>
      <c r="AP113" s="537"/>
      <c r="AQ113" s="439"/>
      <c r="AR113" s="537"/>
      <c r="AS113" s="438"/>
      <c r="AT113" s="767"/>
      <c r="AU113" s="439"/>
      <c r="AV113" s="537"/>
      <c r="AW113" s="537"/>
      <c r="AX113" s="537"/>
      <c r="AY113" s="537"/>
      <c r="AZ113" s="537"/>
      <c r="BA113" s="438"/>
      <c r="BB113" s="766"/>
      <c r="BC113" s="439"/>
      <c r="BD113" s="537"/>
      <c r="BE113" s="537"/>
      <c r="BF113" s="537"/>
      <c r="BG113" s="537"/>
      <c r="BH113" s="537"/>
      <c r="BI113" s="438"/>
      <c r="BJ113" s="767"/>
      <c r="BK113" s="439"/>
      <c r="BL113" s="537"/>
      <c r="BM113" s="537"/>
      <c r="BN113" s="537"/>
      <c r="BO113" s="537"/>
      <c r="BP113" s="537"/>
      <c r="BQ113" s="537"/>
      <c r="BR113" s="438"/>
      <c r="BS113" s="766"/>
      <c r="BT113" s="439"/>
      <c r="BU113" s="537"/>
      <c r="BV113" s="537"/>
      <c r="BW113" s="537"/>
      <c r="BX113" s="537"/>
      <c r="BY113" s="537"/>
      <c r="BZ113" s="438"/>
      <c r="CA113" s="768"/>
      <c r="CB113" s="439"/>
      <c r="CC113" s="537"/>
      <c r="CD113" s="537"/>
      <c r="CE113" s="537"/>
      <c r="CF113" s="537"/>
      <c r="CG113" s="537"/>
      <c r="CH113" s="438"/>
      <c r="CI113" s="768"/>
      <c r="CJ113" s="439"/>
      <c r="CK113" s="537"/>
      <c r="CL113" s="537"/>
      <c r="CM113" s="537"/>
      <c r="CN113" s="537"/>
      <c r="CO113" s="537"/>
      <c r="CP113" s="438"/>
      <c r="CQ113" s="766"/>
      <c r="CR113" s="537"/>
      <c r="CS113" s="537"/>
      <c r="CT113" s="433"/>
      <c r="CU113" s="537" t="n">
        <f aca="false">+CR113-CS113</f>
        <v>0</v>
      </c>
      <c r="CV113" s="537" t="n">
        <f aca="false">+CR113-CT113</f>
        <v>0</v>
      </c>
      <c r="CW113" s="537"/>
      <c r="CX113" s="769"/>
      <c r="CY113" s="770"/>
      <c r="CZ113" s="771"/>
      <c r="DA113" s="537"/>
      <c r="DB113" s="537"/>
      <c r="DC113" s="537"/>
      <c r="DD113" s="537"/>
      <c r="DE113" s="438"/>
      <c r="DF113" s="438"/>
      <c r="DG113" s="438"/>
      <c r="DH113" s="438"/>
      <c r="DI113" s="696"/>
      <c r="DJ113" s="37"/>
      <c r="DL113" s="37"/>
      <c r="DM113" s="400" t="n">
        <f aca="false">(CS113-CZ113)*10^6</f>
        <v>0</v>
      </c>
      <c r="DN113" s="400" t="n">
        <f aca="false">(CT113-DC113)*10^6</f>
        <v>0</v>
      </c>
      <c r="DO113" s="400" t="n">
        <f aca="false">(CW113-DD113)*10^6</f>
        <v>0</v>
      </c>
    </row>
    <row r="114" s="441" customFormat="true" ht="15" hidden="false" customHeight="true" outlineLevel="1" collapsed="false">
      <c r="A114" s="764"/>
      <c r="B114" s="765" t="s">
        <v>500</v>
      </c>
      <c r="C114" s="679" t="s">
        <v>624</v>
      </c>
      <c r="D114" s="537"/>
      <c r="E114" s="537"/>
      <c r="F114" s="537"/>
      <c r="G114" s="537"/>
      <c r="H114" s="438"/>
      <c r="I114" s="766"/>
      <c r="J114" s="537"/>
      <c r="K114" s="537"/>
      <c r="L114" s="537"/>
      <c r="M114" s="537"/>
      <c r="N114" s="438"/>
      <c r="O114" s="767"/>
      <c r="P114" s="537"/>
      <c r="Q114" s="537"/>
      <c r="R114" s="537"/>
      <c r="S114" s="537"/>
      <c r="T114" s="438"/>
      <c r="U114" s="766"/>
      <c r="V114" s="537"/>
      <c r="W114" s="537"/>
      <c r="X114" s="537"/>
      <c r="Y114" s="537"/>
      <c r="Z114" s="439"/>
      <c r="AA114" s="537"/>
      <c r="AB114" s="438"/>
      <c r="AC114" s="766"/>
      <c r="AD114" s="537"/>
      <c r="AE114" s="537"/>
      <c r="AF114" s="537"/>
      <c r="AG114" s="537"/>
      <c r="AH114" s="439"/>
      <c r="AI114" s="537"/>
      <c r="AJ114" s="438"/>
      <c r="AK114" s="766"/>
      <c r="AL114" s="537"/>
      <c r="AM114" s="537"/>
      <c r="AN114" s="537"/>
      <c r="AO114" s="537"/>
      <c r="AP114" s="537"/>
      <c r="AQ114" s="439"/>
      <c r="AR114" s="537"/>
      <c r="AS114" s="438"/>
      <c r="AT114" s="767"/>
      <c r="AU114" s="439"/>
      <c r="AV114" s="537"/>
      <c r="AW114" s="537"/>
      <c r="AX114" s="537"/>
      <c r="AY114" s="537"/>
      <c r="AZ114" s="537"/>
      <c r="BA114" s="438"/>
      <c r="BB114" s="766"/>
      <c r="BC114" s="439"/>
      <c r="BD114" s="537"/>
      <c r="BE114" s="537"/>
      <c r="BF114" s="537"/>
      <c r="BG114" s="537"/>
      <c r="BH114" s="537"/>
      <c r="BI114" s="438"/>
      <c r="BJ114" s="767"/>
      <c r="BK114" s="439"/>
      <c r="BL114" s="537"/>
      <c r="BM114" s="537"/>
      <c r="BN114" s="537"/>
      <c r="BO114" s="537"/>
      <c r="BP114" s="537"/>
      <c r="BQ114" s="537"/>
      <c r="BR114" s="438"/>
      <c r="BS114" s="766"/>
      <c r="BT114" s="439"/>
      <c r="BU114" s="537"/>
      <c r="BV114" s="537"/>
      <c r="BW114" s="537"/>
      <c r="BX114" s="537"/>
      <c r="BY114" s="537"/>
      <c r="BZ114" s="438"/>
      <c r="CA114" s="768"/>
      <c r="CB114" s="439"/>
      <c r="CC114" s="537"/>
      <c r="CD114" s="537"/>
      <c r="CE114" s="537"/>
      <c r="CF114" s="537"/>
      <c r="CG114" s="537"/>
      <c r="CH114" s="438"/>
      <c r="CI114" s="768"/>
      <c r="CJ114" s="439"/>
      <c r="CK114" s="537"/>
      <c r="CL114" s="537"/>
      <c r="CM114" s="537"/>
      <c r="CN114" s="537"/>
      <c r="CO114" s="537"/>
      <c r="CP114" s="438"/>
      <c r="CQ114" s="766"/>
      <c r="CR114" s="537"/>
      <c r="CS114" s="537"/>
      <c r="CT114" s="433"/>
      <c r="CU114" s="537" t="n">
        <f aca="false">+CR114-CS114</f>
        <v>0</v>
      </c>
      <c r="CV114" s="537" t="n">
        <f aca="false">+CR114-CT114</f>
        <v>0</v>
      </c>
      <c r="CW114" s="537"/>
      <c r="CX114" s="769"/>
      <c r="CY114" s="770"/>
      <c r="CZ114" s="771"/>
      <c r="DA114" s="537"/>
      <c r="DB114" s="537"/>
      <c r="DC114" s="537"/>
      <c r="DD114" s="537"/>
      <c r="DE114" s="438"/>
      <c r="DF114" s="438"/>
      <c r="DG114" s="438"/>
      <c r="DH114" s="438"/>
      <c r="DI114" s="696"/>
      <c r="DJ114" s="37"/>
      <c r="DL114" s="37"/>
      <c r="DM114" s="400" t="n">
        <f aca="false">(CS114-CZ114)*10^6</f>
        <v>0</v>
      </c>
      <c r="DN114" s="400" t="n">
        <f aca="false">(CT114-DC114)*10^6</f>
        <v>0</v>
      </c>
      <c r="DO114" s="400" t="n">
        <f aca="false">(CW114-DD114)*10^6</f>
        <v>0</v>
      </c>
    </row>
    <row r="115" s="441" customFormat="true" ht="15" hidden="false" customHeight="true" outlineLevel="1" collapsed="false">
      <c r="A115" s="764"/>
      <c r="B115" s="765" t="s">
        <v>502</v>
      </c>
      <c r="C115" s="679" t="s">
        <v>625</v>
      </c>
      <c r="D115" s="537"/>
      <c r="E115" s="537"/>
      <c r="F115" s="537"/>
      <c r="G115" s="537"/>
      <c r="H115" s="438"/>
      <c r="I115" s="766"/>
      <c r="J115" s="537"/>
      <c r="K115" s="537"/>
      <c r="L115" s="537"/>
      <c r="M115" s="537"/>
      <c r="N115" s="438"/>
      <c r="O115" s="767"/>
      <c r="P115" s="537"/>
      <c r="Q115" s="537"/>
      <c r="R115" s="537"/>
      <c r="S115" s="537"/>
      <c r="T115" s="438"/>
      <c r="U115" s="766"/>
      <c r="V115" s="537"/>
      <c r="W115" s="537"/>
      <c r="X115" s="537"/>
      <c r="Y115" s="537"/>
      <c r="Z115" s="439"/>
      <c r="AA115" s="537"/>
      <c r="AB115" s="438"/>
      <c r="AC115" s="766"/>
      <c r="AD115" s="537"/>
      <c r="AE115" s="537"/>
      <c r="AF115" s="537"/>
      <c r="AG115" s="537"/>
      <c r="AH115" s="439"/>
      <c r="AI115" s="537"/>
      <c r="AJ115" s="438"/>
      <c r="AK115" s="766"/>
      <c r="AL115" s="537"/>
      <c r="AM115" s="537"/>
      <c r="AN115" s="537"/>
      <c r="AO115" s="537"/>
      <c r="AP115" s="537"/>
      <c r="AQ115" s="439"/>
      <c r="AR115" s="537"/>
      <c r="AS115" s="438"/>
      <c r="AT115" s="767"/>
      <c r="AU115" s="439"/>
      <c r="AV115" s="537"/>
      <c r="AW115" s="537"/>
      <c r="AX115" s="537"/>
      <c r="AY115" s="537"/>
      <c r="AZ115" s="537"/>
      <c r="BA115" s="438"/>
      <c r="BB115" s="766"/>
      <c r="BC115" s="439"/>
      <c r="BD115" s="537"/>
      <c r="BE115" s="537"/>
      <c r="BF115" s="537"/>
      <c r="BG115" s="537"/>
      <c r="BH115" s="537"/>
      <c r="BI115" s="438"/>
      <c r="BJ115" s="767"/>
      <c r="BK115" s="439"/>
      <c r="BL115" s="537"/>
      <c r="BM115" s="537"/>
      <c r="BN115" s="537"/>
      <c r="BO115" s="537"/>
      <c r="BP115" s="537"/>
      <c r="BQ115" s="537"/>
      <c r="BR115" s="438"/>
      <c r="BS115" s="766"/>
      <c r="BT115" s="439"/>
      <c r="BU115" s="537"/>
      <c r="BV115" s="537"/>
      <c r="BW115" s="537"/>
      <c r="BX115" s="537"/>
      <c r="BY115" s="537"/>
      <c r="BZ115" s="438"/>
      <c r="CA115" s="768"/>
      <c r="CB115" s="439"/>
      <c r="CC115" s="537"/>
      <c r="CD115" s="537"/>
      <c r="CE115" s="537"/>
      <c r="CF115" s="537"/>
      <c r="CG115" s="537"/>
      <c r="CH115" s="438"/>
      <c r="CI115" s="768"/>
      <c r="CJ115" s="439"/>
      <c r="CK115" s="537"/>
      <c r="CL115" s="537"/>
      <c r="CM115" s="537"/>
      <c r="CN115" s="537"/>
      <c r="CO115" s="537"/>
      <c r="CP115" s="438"/>
      <c r="CQ115" s="766"/>
      <c r="CR115" s="537"/>
      <c r="CS115" s="537"/>
      <c r="CT115" s="433"/>
      <c r="CU115" s="537" t="n">
        <f aca="false">+CR115-CS115</f>
        <v>0</v>
      </c>
      <c r="CV115" s="537" t="n">
        <f aca="false">+CR115-CT115</f>
        <v>0</v>
      </c>
      <c r="CW115" s="537"/>
      <c r="CX115" s="769" t="e">
        <f aca="false">+CR115/CW115-1</f>
        <v>#DIV/0!</v>
      </c>
      <c r="CY115" s="770"/>
      <c r="CZ115" s="771"/>
      <c r="DA115" s="537"/>
      <c r="DB115" s="537"/>
      <c r="DC115" s="537"/>
      <c r="DD115" s="537"/>
      <c r="DE115" s="438" t="e">
        <f aca="false">(CZ115-DD115)/DD115</f>
        <v>#DIV/0!</v>
      </c>
      <c r="DF115" s="438" t="e">
        <f aca="false">(DA115-DD115)/DD115</f>
        <v>#DIV/0!</v>
      </c>
      <c r="DG115" s="438" t="e">
        <f aca="false">(DB115-DD115)/DD115</f>
        <v>#DIV/0!</v>
      </c>
      <c r="DH115" s="438" t="e">
        <f aca="false">(DC115-DD115)/DD115</f>
        <v>#DIV/0!</v>
      </c>
      <c r="DI115" s="696"/>
      <c r="DJ115" s="37"/>
      <c r="DL115" s="37"/>
      <c r="DM115" s="400" t="n">
        <f aca="false">(CS115-CZ115)*10^6</f>
        <v>0</v>
      </c>
      <c r="DN115" s="400" t="n">
        <f aca="false">(CT115-DC115)*10^6</f>
        <v>0</v>
      </c>
      <c r="DO115" s="400" t="n">
        <f aca="false">(CW115-DD115)*10^6</f>
        <v>0</v>
      </c>
    </row>
    <row r="116" s="441" customFormat="true" ht="15" hidden="false" customHeight="true" outlineLevel="1" collapsed="false">
      <c r="A116" s="764"/>
      <c r="B116" s="765" t="s">
        <v>504</v>
      </c>
      <c r="C116" s="679" t="s">
        <v>626</v>
      </c>
      <c r="D116" s="537"/>
      <c r="E116" s="537"/>
      <c r="F116" s="537"/>
      <c r="G116" s="537"/>
      <c r="H116" s="438"/>
      <c r="I116" s="766"/>
      <c r="J116" s="537"/>
      <c r="K116" s="537"/>
      <c r="L116" s="537"/>
      <c r="M116" s="537"/>
      <c r="N116" s="438"/>
      <c r="O116" s="767"/>
      <c r="P116" s="537"/>
      <c r="Q116" s="537"/>
      <c r="R116" s="537"/>
      <c r="S116" s="537"/>
      <c r="T116" s="438"/>
      <c r="U116" s="766"/>
      <c r="V116" s="537"/>
      <c r="W116" s="537"/>
      <c r="X116" s="537"/>
      <c r="Y116" s="537"/>
      <c r="Z116" s="439"/>
      <c r="AA116" s="537"/>
      <c r="AB116" s="438"/>
      <c r="AC116" s="766"/>
      <c r="AD116" s="537"/>
      <c r="AE116" s="537"/>
      <c r="AF116" s="537"/>
      <c r="AG116" s="537"/>
      <c r="AH116" s="439"/>
      <c r="AI116" s="537"/>
      <c r="AJ116" s="438"/>
      <c r="AK116" s="766"/>
      <c r="AL116" s="537"/>
      <c r="AM116" s="537"/>
      <c r="AN116" s="537"/>
      <c r="AO116" s="537"/>
      <c r="AP116" s="537"/>
      <c r="AQ116" s="439"/>
      <c r="AR116" s="537"/>
      <c r="AS116" s="438"/>
      <c r="AT116" s="767"/>
      <c r="AU116" s="439"/>
      <c r="AV116" s="537"/>
      <c r="AW116" s="537"/>
      <c r="AX116" s="537"/>
      <c r="AY116" s="537"/>
      <c r="AZ116" s="537"/>
      <c r="BA116" s="438"/>
      <c r="BB116" s="766"/>
      <c r="BC116" s="439"/>
      <c r="BD116" s="537"/>
      <c r="BE116" s="537"/>
      <c r="BF116" s="537"/>
      <c r="BG116" s="537"/>
      <c r="BH116" s="537"/>
      <c r="BI116" s="438"/>
      <c r="BJ116" s="767"/>
      <c r="BK116" s="439"/>
      <c r="BL116" s="537"/>
      <c r="BM116" s="537"/>
      <c r="BN116" s="537"/>
      <c r="BO116" s="537"/>
      <c r="BP116" s="537"/>
      <c r="BQ116" s="537"/>
      <c r="BR116" s="438"/>
      <c r="BS116" s="766"/>
      <c r="BT116" s="439"/>
      <c r="BU116" s="537"/>
      <c r="BV116" s="537"/>
      <c r="BW116" s="537"/>
      <c r="BX116" s="537"/>
      <c r="BY116" s="537"/>
      <c r="BZ116" s="438"/>
      <c r="CA116" s="768"/>
      <c r="CB116" s="439"/>
      <c r="CC116" s="537"/>
      <c r="CD116" s="537"/>
      <c r="CE116" s="537"/>
      <c r="CF116" s="537"/>
      <c r="CG116" s="537"/>
      <c r="CH116" s="438"/>
      <c r="CI116" s="768"/>
      <c r="CJ116" s="439"/>
      <c r="CK116" s="537"/>
      <c r="CL116" s="537"/>
      <c r="CM116" s="537"/>
      <c r="CN116" s="537"/>
      <c r="CO116" s="537"/>
      <c r="CP116" s="438"/>
      <c r="CQ116" s="766"/>
      <c r="CR116" s="537"/>
      <c r="CS116" s="537"/>
      <c r="CT116" s="433"/>
      <c r="CU116" s="537" t="n">
        <f aca="false">+CR116-CS116</f>
        <v>0</v>
      </c>
      <c r="CV116" s="537" t="n">
        <f aca="false">+CR116-CT116</f>
        <v>0</v>
      </c>
      <c r="CW116" s="537"/>
      <c r="CX116" s="769" t="e">
        <f aca="false">+CR116/CW116-1</f>
        <v>#DIV/0!</v>
      </c>
      <c r="CY116" s="770"/>
      <c r="CZ116" s="771"/>
      <c r="DA116" s="537"/>
      <c r="DB116" s="537"/>
      <c r="DC116" s="537"/>
      <c r="DD116" s="537"/>
      <c r="DE116" s="438" t="e">
        <f aca="false">(CZ116-DD116)/DD116</f>
        <v>#DIV/0!</v>
      </c>
      <c r="DF116" s="438" t="e">
        <f aca="false">(DA116-DD116)/DD116</f>
        <v>#DIV/0!</v>
      </c>
      <c r="DG116" s="438" t="e">
        <f aca="false">(DB116-DD116)/DD116</f>
        <v>#DIV/0!</v>
      </c>
      <c r="DH116" s="438" t="e">
        <f aca="false">(DC116-DD116)/DD116</f>
        <v>#DIV/0!</v>
      </c>
      <c r="DI116" s="696"/>
      <c r="DJ116" s="37"/>
      <c r="DL116" s="37"/>
      <c r="DM116" s="400" t="n">
        <f aca="false">(CS116-CZ116)*10^6</f>
        <v>0</v>
      </c>
      <c r="DN116" s="400" t="n">
        <f aca="false">(CT116-DC116)*10^6</f>
        <v>0</v>
      </c>
      <c r="DO116" s="400" t="n">
        <f aca="false">(CW116-DD116)*10^6</f>
        <v>0</v>
      </c>
    </row>
    <row r="117" s="441" customFormat="true" ht="15" hidden="false" customHeight="true" outlineLevel="1" collapsed="false">
      <c r="A117" s="764"/>
      <c r="B117" s="765" t="s">
        <v>506</v>
      </c>
      <c r="C117" s="679" t="s">
        <v>627</v>
      </c>
      <c r="D117" s="537"/>
      <c r="E117" s="537"/>
      <c r="F117" s="537"/>
      <c r="G117" s="537"/>
      <c r="H117" s="438"/>
      <c r="I117" s="766"/>
      <c r="J117" s="537"/>
      <c r="K117" s="537"/>
      <c r="L117" s="537"/>
      <c r="M117" s="537"/>
      <c r="N117" s="438"/>
      <c r="O117" s="767"/>
      <c r="P117" s="537"/>
      <c r="Q117" s="537"/>
      <c r="R117" s="537"/>
      <c r="S117" s="537"/>
      <c r="T117" s="438"/>
      <c r="U117" s="766"/>
      <c r="V117" s="773"/>
      <c r="W117" s="537"/>
      <c r="X117" s="537"/>
      <c r="Y117" s="537"/>
      <c r="Z117" s="439"/>
      <c r="AA117" s="537"/>
      <c r="AB117" s="438"/>
      <c r="AC117" s="766"/>
      <c r="AD117" s="773"/>
      <c r="AE117" s="537"/>
      <c r="AF117" s="537"/>
      <c r="AG117" s="537"/>
      <c r="AH117" s="439"/>
      <c r="AI117" s="537"/>
      <c r="AJ117" s="438"/>
      <c r="AK117" s="766"/>
      <c r="AL117" s="773"/>
      <c r="AM117" s="537"/>
      <c r="AN117" s="537"/>
      <c r="AO117" s="537"/>
      <c r="AP117" s="537"/>
      <c r="AQ117" s="439"/>
      <c r="AR117" s="537"/>
      <c r="AS117" s="438"/>
      <c r="AT117" s="767"/>
      <c r="AU117" s="469"/>
      <c r="AV117" s="537"/>
      <c r="AW117" s="537"/>
      <c r="AX117" s="537"/>
      <c r="AY117" s="537"/>
      <c r="AZ117" s="537"/>
      <c r="BA117" s="438"/>
      <c r="BB117" s="766"/>
      <c r="BC117" s="469"/>
      <c r="BD117" s="537"/>
      <c r="BE117" s="537"/>
      <c r="BF117" s="537"/>
      <c r="BG117" s="537"/>
      <c r="BH117" s="537"/>
      <c r="BI117" s="438"/>
      <c r="BJ117" s="767"/>
      <c r="BK117" s="469"/>
      <c r="BL117" s="537"/>
      <c r="BM117" s="537"/>
      <c r="BN117" s="537"/>
      <c r="BO117" s="537"/>
      <c r="BP117" s="537"/>
      <c r="BQ117" s="537"/>
      <c r="BR117" s="438"/>
      <c r="BS117" s="766"/>
      <c r="BT117" s="469"/>
      <c r="BU117" s="537"/>
      <c r="BV117" s="537"/>
      <c r="BW117" s="537"/>
      <c r="BX117" s="537"/>
      <c r="BY117" s="537"/>
      <c r="BZ117" s="438"/>
      <c r="CA117" s="768"/>
      <c r="CB117" s="469"/>
      <c r="CC117" s="537"/>
      <c r="CD117" s="537"/>
      <c r="CE117" s="537"/>
      <c r="CF117" s="537"/>
      <c r="CG117" s="537"/>
      <c r="CH117" s="438"/>
      <c r="CI117" s="768"/>
      <c r="CJ117" s="469"/>
      <c r="CK117" s="537"/>
      <c r="CL117" s="537"/>
      <c r="CM117" s="537"/>
      <c r="CN117" s="537"/>
      <c r="CO117" s="537"/>
      <c r="CP117" s="438"/>
      <c r="CQ117" s="766"/>
      <c r="CR117" s="537"/>
      <c r="CS117" s="537"/>
      <c r="CT117" s="433"/>
      <c r="CU117" s="537" t="n">
        <f aca="false">+CR117-CS117</f>
        <v>0</v>
      </c>
      <c r="CV117" s="537" t="n">
        <f aca="false">+CR117-CT117</f>
        <v>0</v>
      </c>
      <c r="CW117" s="537"/>
      <c r="CX117" s="769" t="e">
        <f aca="false">+CR117/CW117-1</f>
        <v>#DIV/0!</v>
      </c>
      <c r="CY117" s="770"/>
      <c r="CZ117" s="771"/>
      <c r="DA117" s="537"/>
      <c r="DB117" s="537"/>
      <c r="DC117" s="537"/>
      <c r="DD117" s="537"/>
      <c r="DE117" s="438" t="e">
        <f aca="false">(CZ117-DD117)/DD117</f>
        <v>#DIV/0!</v>
      </c>
      <c r="DF117" s="438" t="e">
        <f aca="false">(DA117-DD117)/DD117</f>
        <v>#DIV/0!</v>
      </c>
      <c r="DG117" s="438" t="e">
        <f aca="false">(DB117-DD117)/DD117</f>
        <v>#DIV/0!</v>
      </c>
      <c r="DH117" s="438" t="e">
        <f aca="false">(DC117-DD117)/DD117</f>
        <v>#DIV/0!</v>
      </c>
      <c r="DI117" s="696"/>
      <c r="DJ117" s="37"/>
      <c r="DL117" s="37"/>
      <c r="DM117" s="400" t="n">
        <f aca="false">(CS117-CZ117)*10^6</f>
        <v>0</v>
      </c>
      <c r="DN117" s="400" t="n">
        <f aca="false">(CT117-DC117)*10^6</f>
        <v>0</v>
      </c>
      <c r="DO117" s="400" t="n">
        <f aca="false">(CW117-DD117)*10^6</f>
        <v>0</v>
      </c>
    </row>
    <row r="118" s="763" customFormat="true" ht="15" hidden="false" customHeight="true" outlineLevel="1" collapsed="false">
      <c r="A118" s="749"/>
      <c r="B118" s="750" t="s">
        <v>508</v>
      </c>
      <c r="C118" s="679" t="s">
        <v>628</v>
      </c>
      <c r="D118" s="752"/>
      <c r="E118" s="752"/>
      <c r="F118" s="752"/>
      <c r="G118" s="752"/>
      <c r="H118" s="753"/>
      <c r="I118" s="754"/>
      <c r="J118" s="752"/>
      <c r="K118" s="752"/>
      <c r="L118" s="752"/>
      <c r="M118" s="752"/>
      <c r="N118" s="753"/>
      <c r="O118" s="755"/>
      <c r="P118" s="752"/>
      <c r="Q118" s="752"/>
      <c r="R118" s="752"/>
      <c r="S118" s="752"/>
      <c r="T118" s="753"/>
      <c r="U118" s="754"/>
      <c r="V118" s="752"/>
      <c r="W118" s="752"/>
      <c r="X118" s="752"/>
      <c r="Y118" s="752"/>
      <c r="Z118" s="751"/>
      <c r="AA118" s="752"/>
      <c r="AB118" s="753"/>
      <c r="AC118" s="754"/>
      <c r="AD118" s="752"/>
      <c r="AE118" s="752"/>
      <c r="AF118" s="752"/>
      <c r="AG118" s="752"/>
      <c r="AH118" s="751"/>
      <c r="AI118" s="752"/>
      <c r="AJ118" s="753"/>
      <c r="AK118" s="754"/>
      <c r="AL118" s="752"/>
      <c r="AM118" s="752"/>
      <c r="AN118" s="752"/>
      <c r="AO118" s="752"/>
      <c r="AP118" s="752"/>
      <c r="AQ118" s="751"/>
      <c r="AR118" s="752"/>
      <c r="AS118" s="753"/>
      <c r="AT118" s="755"/>
      <c r="AU118" s="751"/>
      <c r="AV118" s="752"/>
      <c r="AW118" s="752"/>
      <c r="AX118" s="752"/>
      <c r="AY118" s="752"/>
      <c r="AZ118" s="752"/>
      <c r="BA118" s="753"/>
      <c r="BB118" s="754"/>
      <c r="BC118" s="751"/>
      <c r="BD118" s="752"/>
      <c r="BE118" s="752"/>
      <c r="BF118" s="752"/>
      <c r="BG118" s="752"/>
      <c r="BH118" s="752"/>
      <c r="BI118" s="753"/>
      <c r="BJ118" s="755"/>
      <c r="BK118" s="751"/>
      <c r="BL118" s="752"/>
      <c r="BM118" s="752"/>
      <c r="BN118" s="752"/>
      <c r="BO118" s="752"/>
      <c r="BP118" s="752"/>
      <c r="BQ118" s="752"/>
      <c r="BR118" s="753"/>
      <c r="BS118" s="754"/>
      <c r="BT118" s="751"/>
      <c r="BU118" s="752"/>
      <c r="BV118" s="752"/>
      <c r="BW118" s="752"/>
      <c r="BX118" s="752"/>
      <c r="BY118" s="752"/>
      <c r="BZ118" s="753"/>
      <c r="CA118" s="757"/>
      <c r="CB118" s="751"/>
      <c r="CC118" s="752"/>
      <c r="CD118" s="752"/>
      <c r="CE118" s="752"/>
      <c r="CF118" s="752"/>
      <c r="CG118" s="752"/>
      <c r="CH118" s="753"/>
      <c r="CI118" s="757"/>
      <c r="CJ118" s="751"/>
      <c r="CK118" s="752"/>
      <c r="CL118" s="752"/>
      <c r="CM118" s="752"/>
      <c r="CN118" s="752"/>
      <c r="CO118" s="752"/>
      <c r="CP118" s="753"/>
      <c r="CQ118" s="754"/>
      <c r="CR118" s="752"/>
      <c r="CS118" s="752"/>
      <c r="CT118" s="758"/>
      <c r="CU118" s="752" t="n">
        <f aca="false">+CR118-CS118</f>
        <v>0</v>
      </c>
      <c r="CV118" s="752" t="n">
        <f aca="false">+CR118-CT118</f>
        <v>0</v>
      </c>
      <c r="CW118" s="752"/>
      <c r="CX118" s="759" t="e">
        <f aca="false">+CR118/CW118-1</f>
        <v>#DIV/0!</v>
      </c>
      <c r="CY118" s="760"/>
      <c r="CZ118" s="761"/>
      <c r="DA118" s="752"/>
      <c r="DB118" s="752"/>
      <c r="DC118" s="752"/>
      <c r="DD118" s="752"/>
      <c r="DE118" s="753" t="e">
        <f aca="false">(CZ118-DD118)/DD118</f>
        <v>#DIV/0!</v>
      </c>
      <c r="DF118" s="753" t="e">
        <f aca="false">(DA118-DD118)/DD118</f>
        <v>#DIV/0!</v>
      </c>
      <c r="DG118" s="753" t="e">
        <f aca="false">(DB118-DD118)/DD118</f>
        <v>#DIV/0!</v>
      </c>
      <c r="DH118" s="753" t="e">
        <f aca="false">(DC118-DD118)/DD118</f>
        <v>#DIV/0!</v>
      </c>
      <c r="DI118" s="696"/>
      <c r="DJ118" s="37"/>
      <c r="DL118" s="37"/>
      <c r="DM118" s="400" t="n">
        <f aca="false">(CS118-CZ118)*10^6</f>
        <v>0</v>
      </c>
      <c r="DN118" s="400" t="n">
        <f aca="false">(CT118-DC118)*10^6</f>
        <v>0</v>
      </c>
      <c r="DO118" s="400" t="n">
        <f aca="false">(CW118-DD118)*10^6</f>
        <v>0</v>
      </c>
    </row>
    <row r="119" s="818" customFormat="true" ht="15" hidden="false" customHeight="true" outlineLevel="1" collapsed="false">
      <c r="A119" s="815"/>
      <c r="B119" s="816"/>
      <c r="C119" s="679" t="s">
        <v>629</v>
      </c>
      <c r="D119" s="433"/>
      <c r="E119" s="433"/>
      <c r="F119" s="433"/>
      <c r="G119" s="433"/>
      <c r="H119" s="434"/>
      <c r="I119" s="435"/>
      <c r="J119" s="433"/>
      <c r="K119" s="433"/>
      <c r="L119" s="433"/>
      <c r="M119" s="433"/>
      <c r="N119" s="434"/>
      <c r="O119" s="423"/>
      <c r="P119" s="433"/>
      <c r="Q119" s="433"/>
      <c r="R119" s="433"/>
      <c r="S119" s="433"/>
      <c r="T119" s="434"/>
      <c r="U119" s="435"/>
      <c r="V119" s="433"/>
      <c r="W119" s="433"/>
      <c r="X119" s="433"/>
      <c r="Y119" s="433"/>
      <c r="Z119" s="432"/>
      <c r="AA119" s="433"/>
      <c r="AB119" s="434"/>
      <c r="AC119" s="435"/>
      <c r="AD119" s="433"/>
      <c r="AE119" s="433"/>
      <c r="AF119" s="433"/>
      <c r="AG119" s="433"/>
      <c r="AH119" s="432"/>
      <c r="AI119" s="433"/>
      <c r="AJ119" s="434"/>
      <c r="AK119" s="435"/>
      <c r="AL119" s="433"/>
      <c r="AM119" s="433"/>
      <c r="AN119" s="433"/>
      <c r="AO119" s="433"/>
      <c r="AP119" s="433"/>
      <c r="AQ119" s="432"/>
      <c r="AR119" s="433"/>
      <c r="AS119" s="434"/>
      <c r="AT119" s="423"/>
      <c r="AU119" s="432"/>
      <c r="AV119" s="433"/>
      <c r="AW119" s="433"/>
      <c r="AX119" s="433"/>
      <c r="AY119" s="433"/>
      <c r="AZ119" s="433"/>
      <c r="BA119" s="434"/>
      <c r="BB119" s="435"/>
      <c r="BC119" s="432"/>
      <c r="BD119" s="433"/>
      <c r="BE119" s="433"/>
      <c r="BF119" s="433"/>
      <c r="BG119" s="433"/>
      <c r="BH119" s="433"/>
      <c r="BI119" s="434"/>
      <c r="BJ119" s="423"/>
      <c r="BK119" s="432"/>
      <c r="BL119" s="433"/>
      <c r="BM119" s="433"/>
      <c r="BN119" s="433"/>
      <c r="BO119" s="433"/>
      <c r="BP119" s="433"/>
      <c r="BQ119" s="433"/>
      <c r="BR119" s="434"/>
      <c r="BS119" s="435"/>
      <c r="BT119" s="432"/>
      <c r="BU119" s="433"/>
      <c r="BV119" s="433"/>
      <c r="BW119" s="433"/>
      <c r="BX119" s="433"/>
      <c r="BY119" s="433"/>
      <c r="BZ119" s="434"/>
      <c r="CA119" s="422"/>
      <c r="CB119" s="432"/>
      <c r="CC119" s="433"/>
      <c r="CD119" s="433"/>
      <c r="CE119" s="433"/>
      <c r="CF119" s="433"/>
      <c r="CG119" s="433"/>
      <c r="CH119" s="434"/>
      <c r="CI119" s="422"/>
      <c r="CJ119" s="432"/>
      <c r="CK119" s="433"/>
      <c r="CL119" s="433"/>
      <c r="CM119" s="433"/>
      <c r="CN119" s="433"/>
      <c r="CO119" s="433"/>
      <c r="CP119" s="434"/>
      <c r="CQ119" s="435"/>
      <c r="CR119" s="433"/>
      <c r="CS119" s="433"/>
      <c r="CT119" s="433"/>
      <c r="CU119" s="433" t="n">
        <f aca="false">+CR119-CS119</f>
        <v>0</v>
      </c>
      <c r="CV119" s="433" t="n">
        <f aca="false">+CR119-CT119</f>
        <v>0</v>
      </c>
      <c r="CW119" s="433"/>
      <c r="CX119" s="791"/>
      <c r="CY119" s="206"/>
      <c r="CZ119" s="817"/>
      <c r="DA119" s="433"/>
      <c r="DB119" s="433"/>
      <c r="DC119" s="433"/>
      <c r="DD119" s="433"/>
      <c r="DE119" s="434"/>
      <c r="DF119" s="434"/>
      <c r="DG119" s="434"/>
      <c r="DH119" s="434"/>
      <c r="DI119" s="696"/>
      <c r="DJ119" s="37"/>
      <c r="DL119" s="37"/>
      <c r="DM119" s="400" t="n">
        <f aca="false">(CS119-CZ119)*10^6</f>
        <v>0</v>
      </c>
      <c r="DN119" s="400" t="n">
        <f aca="false">(CT119-DC119)*10^6</f>
        <v>0</v>
      </c>
      <c r="DO119" s="400" t="n">
        <f aca="false">(CW119-DD119)*10^6</f>
        <v>0</v>
      </c>
    </row>
    <row r="120" s="818" customFormat="true" ht="15" hidden="false" customHeight="true" outlineLevel="1" collapsed="false">
      <c r="A120" s="815"/>
      <c r="B120" s="765" t="s">
        <v>511</v>
      </c>
      <c r="C120" s="679" t="s">
        <v>630</v>
      </c>
      <c r="D120" s="432"/>
      <c r="E120" s="537"/>
      <c r="F120" s="433"/>
      <c r="G120" s="537"/>
      <c r="H120" s="434"/>
      <c r="I120" s="435"/>
      <c r="J120" s="432"/>
      <c r="K120" s="537"/>
      <c r="L120" s="433"/>
      <c r="M120" s="537"/>
      <c r="N120" s="434"/>
      <c r="O120" s="423"/>
      <c r="P120" s="432"/>
      <c r="Q120" s="537"/>
      <c r="R120" s="433"/>
      <c r="S120" s="537"/>
      <c r="T120" s="434"/>
      <c r="U120" s="435"/>
      <c r="V120" s="432"/>
      <c r="W120" s="537"/>
      <c r="X120" s="537"/>
      <c r="Y120" s="433"/>
      <c r="Z120" s="432"/>
      <c r="AA120" s="537"/>
      <c r="AB120" s="434"/>
      <c r="AC120" s="435"/>
      <c r="AD120" s="432"/>
      <c r="AE120" s="537"/>
      <c r="AF120" s="537"/>
      <c r="AG120" s="433"/>
      <c r="AH120" s="432"/>
      <c r="AI120" s="537"/>
      <c r="AJ120" s="434"/>
      <c r="AK120" s="435"/>
      <c r="AL120" s="432"/>
      <c r="AM120" s="537"/>
      <c r="AN120" s="537"/>
      <c r="AO120" s="537"/>
      <c r="AP120" s="433"/>
      <c r="AQ120" s="432"/>
      <c r="AR120" s="537"/>
      <c r="AS120" s="434"/>
      <c r="AT120" s="423"/>
      <c r="AU120" s="432"/>
      <c r="AV120" s="537"/>
      <c r="AW120" s="537"/>
      <c r="AX120" s="433"/>
      <c r="AY120" s="433"/>
      <c r="AZ120" s="537"/>
      <c r="BA120" s="434"/>
      <c r="BB120" s="435"/>
      <c r="BC120" s="432"/>
      <c r="BD120" s="537"/>
      <c r="BE120" s="537"/>
      <c r="BF120" s="433"/>
      <c r="BG120" s="433"/>
      <c r="BH120" s="537"/>
      <c r="BI120" s="434"/>
      <c r="BJ120" s="423"/>
      <c r="BK120" s="432"/>
      <c r="BL120" s="537"/>
      <c r="BM120" s="537"/>
      <c r="BN120" s="537"/>
      <c r="BO120" s="433"/>
      <c r="BP120" s="433"/>
      <c r="BQ120" s="537"/>
      <c r="BR120" s="434"/>
      <c r="BS120" s="435"/>
      <c r="BT120" s="432"/>
      <c r="BU120" s="537"/>
      <c r="BV120" s="537"/>
      <c r="BW120" s="433"/>
      <c r="BX120" s="433"/>
      <c r="BY120" s="537"/>
      <c r="BZ120" s="434"/>
      <c r="CA120" s="422"/>
      <c r="CB120" s="432"/>
      <c r="CC120" s="537"/>
      <c r="CD120" s="537"/>
      <c r="CE120" s="433"/>
      <c r="CF120" s="433"/>
      <c r="CG120" s="537"/>
      <c r="CH120" s="434"/>
      <c r="CI120" s="422"/>
      <c r="CJ120" s="432"/>
      <c r="CK120" s="537"/>
      <c r="CL120" s="537"/>
      <c r="CM120" s="433"/>
      <c r="CN120" s="433"/>
      <c r="CO120" s="537"/>
      <c r="CP120" s="434"/>
      <c r="CQ120" s="435"/>
      <c r="CR120" s="433"/>
      <c r="CS120" s="433"/>
      <c r="CT120" s="433"/>
      <c r="CU120" s="433" t="n">
        <f aca="false">+CR120-CS120</f>
        <v>0</v>
      </c>
      <c r="CV120" s="433" t="n">
        <f aca="false">+CR120-CT120</f>
        <v>0</v>
      </c>
      <c r="CW120" s="433"/>
      <c r="CX120" s="791" t="e">
        <f aca="false">+CR120/CW120-1</f>
        <v>#DIV/0!</v>
      </c>
      <c r="CY120" s="206"/>
      <c r="CZ120" s="771"/>
      <c r="DA120" s="537"/>
      <c r="DB120" s="537"/>
      <c r="DC120" s="537"/>
      <c r="DD120" s="537"/>
      <c r="DE120" s="434" t="e">
        <f aca="false">(CZ120-DD120)/DD120</f>
        <v>#DIV/0!</v>
      </c>
      <c r="DF120" s="434" t="e">
        <f aca="false">(DA120-DD120)/DD120</f>
        <v>#DIV/0!</v>
      </c>
      <c r="DG120" s="434" t="e">
        <f aca="false">(DB120-DD120)/DD120</f>
        <v>#DIV/0!</v>
      </c>
      <c r="DH120" s="434" t="e">
        <f aca="false">(DC120-DD120)/DD120</f>
        <v>#DIV/0!</v>
      </c>
      <c r="DI120" s="696"/>
      <c r="DJ120" s="37"/>
      <c r="DL120" s="37"/>
      <c r="DM120" s="400" t="n">
        <f aca="false">(CS120-CZ120)*10^6</f>
        <v>0</v>
      </c>
      <c r="DN120" s="400" t="n">
        <f aca="false">(CT120-DC120)*10^6</f>
        <v>0</v>
      </c>
      <c r="DO120" s="400" t="n">
        <f aca="false">(CW120-DD120)*10^6</f>
        <v>0</v>
      </c>
    </row>
    <row r="121" s="818" customFormat="true" ht="15" hidden="false" customHeight="true" outlineLevel="1" collapsed="false">
      <c r="A121" s="815"/>
      <c r="B121" s="765" t="s">
        <v>513</v>
      </c>
      <c r="C121" s="679" t="s">
        <v>631</v>
      </c>
      <c r="D121" s="433"/>
      <c r="E121" s="537"/>
      <c r="F121" s="433"/>
      <c r="G121" s="537"/>
      <c r="H121" s="434"/>
      <c r="I121" s="435"/>
      <c r="J121" s="433"/>
      <c r="K121" s="537"/>
      <c r="L121" s="433"/>
      <c r="M121" s="537"/>
      <c r="N121" s="434"/>
      <c r="O121" s="423"/>
      <c r="P121" s="433"/>
      <c r="Q121" s="537"/>
      <c r="R121" s="433"/>
      <c r="S121" s="537"/>
      <c r="T121" s="434"/>
      <c r="U121" s="435"/>
      <c r="V121" s="433"/>
      <c r="W121" s="537"/>
      <c r="X121" s="537"/>
      <c r="Y121" s="433"/>
      <c r="Z121" s="432"/>
      <c r="AA121" s="537"/>
      <c r="AB121" s="434"/>
      <c r="AC121" s="435"/>
      <c r="AD121" s="433"/>
      <c r="AE121" s="537"/>
      <c r="AF121" s="537"/>
      <c r="AG121" s="433"/>
      <c r="AH121" s="432"/>
      <c r="AI121" s="537"/>
      <c r="AJ121" s="434"/>
      <c r="AK121" s="435"/>
      <c r="AL121" s="433"/>
      <c r="AM121" s="537"/>
      <c r="AN121" s="537"/>
      <c r="AO121" s="537"/>
      <c r="AP121" s="433"/>
      <c r="AQ121" s="432"/>
      <c r="AR121" s="537"/>
      <c r="AS121" s="434"/>
      <c r="AT121" s="423"/>
      <c r="AU121" s="432"/>
      <c r="AV121" s="537"/>
      <c r="AW121" s="537"/>
      <c r="AX121" s="433"/>
      <c r="AY121" s="433"/>
      <c r="AZ121" s="537"/>
      <c r="BA121" s="434"/>
      <c r="BB121" s="435"/>
      <c r="BC121" s="432"/>
      <c r="BD121" s="537"/>
      <c r="BE121" s="537"/>
      <c r="BF121" s="433"/>
      <c r="BG121" s="433"/>
      <c r="BH121" s="537"/>
      <c r="BI121" s="434"/>
      <c r="BJ121" s="423"/>
      <c r="BK121" s="432"/>
      <c r="BL121" s="537"/>
      <c r="BM121" s="537"/>
      <c r="BN121" s="537"/>
      <c r="BO121" s="433"/>
      <c r="BP121" s="433"/>
      <c r="BQ121" s="537"/>
      <c r="BR121" s="434"/>
      <c r="BS121" s="435"/>
      <c r="BT121" s="432"/>
      <c r="BU121" s="537"/>
      <c r="BV121" s="537"/>
      <c r="BW121" s="433"/>
      <c r="BX121" s="433"/>
      <c r="BY121" s="537"/>
      <c r="BZ121" s="434"/>
      <c r="CA121" s="422"/>
      <c r="CB121" s="432"/>
      <c r="CC121" s="537"/>
      <c r="CD121" s="537"/>
      <c r="CE121" s="433"/>
      <c r="CF121" s="433"/>
      <c r="CG121" s="537"/>
      <c r="CH121" s="434"/>
      <c r="CI121" s="422"/>
      <c r="CJ121" s="432"/>
      <c r="CK121" s="537"/>
      <c r="CL121" s="537"/>
      <c r="CM121" s="433"/>
      <c r="CN121" s="433"/>
      <c r="CO121" s="537"/>
      <c r="CP121" s="434"/>
      <c r="CQ121" s="435"/>
      <c r="CR121" s="433"/>
      <c r="CS121" s="433"/>
      <c r="CT121" s="433"/>
      <c r="CU121" s="433" t="n">
        <f aca="false">+CR121-CS121</f>
        <v>0</v>
      </c>
      <c r="CV121" s="433" t="n">
        <f aca="false">+CR121-CT121</f>
        <v>0</v>
      </c>
      <c r="CW121" s="433"/>
      <c r="CX121" s="791" t="e">
        <f aca="false">+CR121/CW121-1</f>
        <v>#DIV/0!</v>
      </c>
      <c r="CY121" s="206"/>
      <c r="CZ121" s="771"/>
      <c r="DA121" s="537"/>
      <c r="DB121" s="537"/>
      <c r="DC121" s="537"/>
      <c r="DD121" s="537"/>
      <c r="DE121" s="434" t="e">
        <f aca="false">(CZ121-DD121)/DD121</f>
        <v>#DIV/0!</v>
      </c>
      <c r="DF121" s="434" t="e">
        <f aca="false">(DA121-DD121)/DD121</f>
        <v>#DIV/0!</v>
      </c>
      <c r="DG121" s="434" t="e">
        <f aca="false">(DB121-DD121)/DD121</f>
        <v>#DIV/0!</v>
      </c>
      <c r="DH121" s="434" t="e">
        <f aca="false">(DC121-DD121)/DD121</f>
        <v>#DIV/0!</v>
      </c>
      <c r="DI121" s="696"/>
      <c r="DJ121" s="37"/>
      <c r="DL121" s="37"/>
      <c r="DM121" s="400" t="n">
        <f aca="false">(CS121-CZ121)*10^6</f>
        <v>0</v>
      </c>
      <c r="DN121" s="400" t="n">
        <f aca="false">(CT121-DC121)*10^6</f>
        <v>0</v>
      </c>
      <c r="DO121" s="400" t="n">
        <f aca="false">(CW121-DD121)*10^6</f>
        <v>0</v>
      </c>
    </row>
    <row r="122" s="818" customFormat="true" ht="15" hidden="false" customHeight="true" outlineLevel="1" collapsed="false">
      <c r="A122" s="815"/>
      <c r="B122" s="765" t="s">
        <v>515</v>
      </c>
      <c r="C122" s="679" t="s">
        <v>632</v>
      </c>
      <c r="D122" s="433"/>
      <c r="E122" s="537"/>
      <c r="F122" s="433"/>
      <c r="G122" s="537"/>
      <c r="H122" s="434"/>
      <c r="I122" s="435"/>
      <c r="J122" s="433"/>
      <c r="K122" s="537"/>
      <c r="L122" s="433"/>
      <c r="M122" s="537"/>
      <c r="N122" s="434"/>
      <c r="O122" s="423"/>
      <c r="P122" s="433"/>
      <c r="Q122" s="537"/>
      <c r="R122" s="433"/>
      <c r="S122" s="537"/>
      <c r="T122" s="434"/>
      <c r="U122" s="435"/>
      <c r="V122" s="433"/>
      <c r="W122" s="537"/>
      <c r="X122" s="537"/>
      <c r="Y122" s="433"/>
      <c r="Z122" s="432"/>
      <c r="AA122" s="537"/>
      <c r="AB122" s="434"/>
      <c r="AC122" s="435"/>
      <c r="AD122" s="433"/>
      <c r="AE122" s="537"/>
      <c r="AF122" s="537"/>
      <c r="AG122" s="433"/>
      <c r="AH122" s="432"/>
      <c r="AI122" s="537"/>
      <c r="AJ122" s="434"/>
      <c r="AK122" s="435"/>
      <c r="AL122" s="433"/>
      <c r="AM122" s="537"/>
      <c r="AN122" s="537"/>
      <c r="AO122" s="537"/>
      <c r="AP122" s="433"/>
      <c r="AQ122" s="432"/>
      <c r="AR122" s="537"/>
      <c r="AS122" s="434"/>
      <c r="AT122" s="423"/>
      <c r="AU122" s="432"/>
      <c r="AV122" s="537"/>
      <c r="AW122" s="537"/>
      <c r="AX122" s="433"/>
      <c r="AY122" s="433"/>
      <c r="AZ122" s="537"/>
      <c r="BA122" s="434"/>
      <c r="BB122" s="435"/>
      <c r="BC122" s="432"/>
      <c r="BD122" s="537"/>
      <c r="BE122" s="537"/>
      <c r="BF122" s="433"/>
      <c r="BG122" s="433"/>
      <c r="BH122" s="537"/>
      <c r="BI122" s="434"/>
      <c r="BJ122" s="423"/>
      <c r="BK122" s="432"/>
      <c r="BL122" s="537"/>
      <c r="BM122" s="537"/>
      <c r="BN122" s="537"/>
      <c r="BO122" s="433"/>
      <c r="BP122" s="433"/>
      <c r="BQ122" s="537"/>
      <c r="BR122" s="434"/>
      <c r="BS122" s="435"/>
      <c r="BT122" s="432"/>
      <c r="BU122" s="537"/>
      <c r="BV122" s="537"/>
      <c r="BW122" s="433"/>
      <c r="BX122" s="433"/>
      <c r="BY122" s="537"/>
      <c r="BZ122" s="434"/>
      <c r="CA122" s="422"/>
      <c r="CB122" s="432"/>
      <c r="CC122" s="537"/>
      <c r="CD122" s="537"/>
      <c r="CE122" s="433"/>
      <c r="CF122" s="433"/>
      <c r="CG122" s="537"/>
      <c r="CH122" s="434"/>
      <c r="CI122" s="422"/>
      <c r="CJ122" s="432"/>
      <c r="CK122" s="537"/>
      <c r="CL122" s="537"/>
      <c r="CM122" s="433"/>
      <c r="CN122" s="433"/>
      <c r="CO122" s="537"/>
      <c r="CP122" s="434"/>
      <c r="CQ122" s="435"/>
      <c r="CR122" s="433"/>
      <c r="CS122" s="433"/>
      <c r="CT122" s="433"/>
      <c r="CU122" s="433" t="n">
        <f aca="false">+CR122-CS122</f>
        <v>0</v>
      </c>
      <c r="CV122" s="433" t="n">
        <f aca="false">+CR122-CT122</f>
        <v>0</v>
      </c>
      <c r="CW122" s="433"/>
      <c r="CX122" s="791"/>
      <c r="CY122" s="206"/>
      <c r="CZ122" s="771"/>
      <c r="DA122" s="537"/>
      <c r="DB122" s="537"/>
      <c r="DC122" s="537"/>
      <c r="DD122" s="537"/>
      <c r="DE122" s="434"/>
      <c r="DF122" s="434"/>
      <c r="DG122" s="434"/>
      <c r="DH122" s="434"/>
      <c r="DI122" s="696"/>
      <c r="DJ122" s="37"/>
      <c r="DL122" s="37"/>
      <c r="DM122" s="400" t="n">
        <f aca="false">(CS122-CZ122)*10^6</f>
        <v>0</v>
      </c>
      <c r="DN122" s="400" t="n">
        <f aca="false">(CT122-DC122)*10^6</f>
        <v>0</v>
      </c>
      <c r="DO122" s="400" t="n">
        <f aca="false">(CW122-DD122)*10^6</f>
        <v>0</v>
      </c>
    </row>
    <row r="123" s="818" customFormat="true" ht="15" hidden="false" customHeight="true" outlineLevel="1" collapsed="false">
      <c r="A123" s="815"/>
      <c r="B123" s="765" t="s">
        <v>517</v>
      </c>
      <c r="C123" s="679" t="s">
        <v>633</v>
      </c>
      <c r="D123" s="433"/>
      <c r="E123" s="537"/>
      <c r="F123" s="433"/>
      <c r="G123" s="537"/>
      <c r="H123" s="434"/>
      <c r="I123" s="435"/>
      <c r="J123" s="433"/>
      <c r="K123" s="537"/>
      <c r="L123" s="433"/>
      <c r="M123" s="537"/>
      <c r="N123" s="434"/>
      <c r="O123" s="423"/>
      <c r="P123" s="433"/>
      <c r="Q123" s="537"/>
      <c r="R123" s="433"/>
      <c r="S123" s="537"/>
      <c r="T123" s="434"/>
      <c r="U123" s="435"/>
      <c r="V123" s="433"/>
      <c r="W123" s="537"/>
      <c r="X123" s="537"/>
      <c r="Y123" s="433"/>
      <c r="Z123" s="432"/>
      <c r="AA123" s="537"/>
      <c r="AB123" s="434"/>
      <c r="AC123" s="435"/>
      <c r="AD123" s="433"/>
      <c r="AE123" s="537"/>
      <c r="AF123" s="537"/>
      <c r="AG123" s="433"/>
      <c r="AH123" s="432"/>
      <c r="AI123" s="537"/>
      <c r="AJ123" s="434"/>
      <c r="AK123" s="435"/>
      <c r="AL123" s="433"/>
      <c r="AM123" s="537"/>
      <c r="AN123" s="537"/>
      <c r="AO123" s="537"/>
      <c r="AP123" s="433"/>
      <c r="AQ123" s="432"/>
      <c r="AR123" s="537"/>
      <c r="AS123" s="434"/>
      <c r="AT123" s="423"/>
      <c r="AU123" s="432"/>
      <c r="AV123" s="537"/>
      <c r="AW123" s="537"/>
      <c r="AX123" s="433"/>
      <c r="AY123" s="433"/>
      <c r="AZ123" s="537"/>
      <c r="BA123" s="434"/>
      <c r="BB123" s="435"/>
      <c r="BC123" s="432"/>
      <c r="BD123" s="537"/>
      <c r="BE123" s="537"/>
      <c r="BF123" s="433"/>
      <c r="BG123" s="433"/>
      <c r="BH123" s="537"/>
      <c r="BI123" s="434"/>
      <c r="BJ123" s="423"/>
      <c r="BK123" s="432"/>
      <c r="BL123" s="537"/>
      <c r="BM123" s="537"/>
      <c r="BN123" s="537"/>
      <c r="BO123" s="433"/>
      <c r="BP123" s="433"/>
      <c r="BQ123" s="537"/>
      <c r="BR123" s="434"/>
      <c r="BS123" s="435"/>
      <c r="BT123" s="432"/>
      <c r="BU123" s="537"/>
      <c r="BV123" s="537"/>
      <c r="BW123" s="433"/>
      <c r="BX123" s="433"/>
      <c r="BY123" s="537"/>
      <c r="BZ123" s="434"/>
      <c r="CA123" s="422"/>
      <c r="CB123" s="432"/>
      <c r="CC123" s="537"/>
      <c r="CD123" s="537"/>
      <c r="CE123" s="433"/>
      <c r="CF123" s="433"/>
      <c r="CG123" s="537"/>
      <c r="CH123" s="434"/>
      <c r="CI123" s="422"/>
      <c r="CJ123" s="432"/>
      <c r="CK123" s="537"/>
      <c r="CL123" s="537"/>
      <c r="CM123" s="433"/>
      <c r="CN123" s="433"/>
      <c r="CO123" s="537"/>
      <c r="CP123" s="434"/>
      <c r="CQ123" s="435"/>
      <c r="CR123" s="433"/>
      <c r="CS123" s="433"/>
      <c r="CT123" s="433"/>
      <c r="CU123" s="433" t="n">
        <f aca="false">+CR123-CS123</f>
        <v>0</v>
      </c>
      <c r="CV123" s="433" t="n">
        <f aca="false">+CR123-CT123</f>
        <v>0</v>
      </c>
      <c r="CW123" s="433"/>
      <c r="CX123" s="791" t="e">
        <f aca="false">+CR123/CW123-1</f>
        <v>#DIV/0!</v>
      </c>
      <c r="CY123" s="206"/>
      <c r="CZ123" s="771"/>
      <c r="DA123" s="537"/>
      <c r="DB123" s="537"/>
      <c r="DC123" s="537"/>
      <c r="DD123" s="537"/>
      <c r="DE123" s="434" t="e">
        <f aca="false">(CZ123-DD123)/DD123</f>
        <v>#DIV/0!</v>
      </c>
      <c r="DF123" s="434" t="e">
        <f aca="false">(DA123-DD123)/DD123</f>
        <v>#DIV/0!</v>
      </c>
      <c r="DG123" s="434" t="e">
        <f aca="false">(DB123-DD123)/DD123</f>
        <v>#DIV/0!</v>
      </c>
      <c r="DH123" s="434" t="e">
        <f aca="false">(DC123-DD123)/DD123</f>
        <v>#DIV/0!</v>
      </c>
      <c r="DI123" s="696"/>
      <c r="DJ123" s="37"/>
      <c r="DL123" s="37"/>
      <c r="DM123" s="400" t="n">
        <f aca="false">(CS123-CZ123)*10^6</f>
        <v>0</v>
      </c>
      <c r="DN123" s="400" t="n">
        <f aca="false">(CT123-DC123)*10^6</f>
        <v>0</v>
      </c>
      <c r="DO123" s="400" t="n">
        <f aca="false">(CW123-DD123)*10^6</f>
        <v>0</v>
      </c>
    </row>
    <row r="124" s="818" customFormat="true" ht="15" hidden="false" customHeight="true" outlineLevel="1" collapsed="false">
      <c r="A124" s="815"/>
      <c r="B124" s="765" t="s">
        <v>519</v>
      </c>
      <c r="C124" s="679" t="s">
        <v>634</v>
      </c>
      <c r="D124" s="433"/>
      <c r="E124" s="537"/>
      <c r="F124" s="433"/>
      <c r="G124" s="537"/>
      <c r="H124" s="434"/>
      <c r="I124" s="435"/>
      <c r="J124" s="433"/>
      <c r="K124" s="537"/>
      <c r="L124" s="433"/>
      <c r="M124" s="537"/>
      <c r="N124" s="434"/>
      <c r="O124" s="423"/>
      <c r="P124" s="433"/>
      <c r="Q124" s="537"/>
      <c r="R124" s="433"/>
      <c r="S124" s="537"/>
      <c r="T124" s="434"/>
      <c r="U124" s="435"/>
      <c r="V124" s="433"/>
      <c r="W124" s="537"/>
      <c r="X124" s="537"/>
      <c r="Y124" s="433"/>
      <c r="Z124" s="432"/>
      <c r="AA124" s="537"/>
      <c r="AB124" s="434"/>
      <c r="AC124" s="435"/>
      <c r="AD124" s="433"/>
      <c r="AE124" s="537"/>
      <c r="AF124" s="537"/>
      <c r="AG124" s="433"/>
      <c r="AH124" s="432"/>
      <c r="AI124" s="537"/>
      <c r="AJ124" s="434"/>
      <c r="AK124" s="435"/>
      <c r="AL124" s="433"/>
      <c r="AM124" s="537"/>
      <c r="AN124" s="537"/>
      <c r="AO124" s="537"/>
      <c r="AP124" s="433"/>
      <c r="AQ124" s="432"/>
      <c r="AR124" s="537"/>
      <c r="AS124" s="434"/>
      <c r="AT124" s="423"/>
      <c r="AU124" s="432"/>
      <c r="AV124" s="537"/>
      <c r="AW124" s="537"/>
      <c r="AX124" s="433"/>
      <c r="AY124" s="433"/>
      <c r="AZ124" s="537"/>
      <c r="BA124" s="434"/>
      <c r="BB124" s="435"/>
      <c r="BC124" s="432"/>
      <c r="BD124" s="537"/>
      <c r="BE124" s="537"/>
      <c r="BF124" s="433"/>
      <c r="BG124" s="433"/>
      <c r="BH124" s="537"/>
      <c r="BI124" s="434"/>
      <c r="BJ124" s="423"/>
      <c r="BK124" s="432"/>
      <c r="BL124" s="537"/>
      <c r="BM124" s="537"/>
      <c r="BN124" s="537"/>
      <c r="BO124" s="433"/>
      <c r="BP124" s="433"/>
      <c r="BQ124" s="537"/>
      <c r="BR124" s="434"/>
      <c r="BS124" s="435"/>
      <c r="BT124" s="432"/>
      <c r="BU124" s="537"/>
      <c r="BV124" s="537"/>
      <c r="BW124" s="433"/>
      <c r="BX124" s="433"/>
      <c r="BY124" s="537"/>
      <c r="BZ124" s="434"/>
      <c r="CA124" s="422"/>
      <c r="CB124" s="432"/>
      <c r="CC124" s="537"/>
      <c r="CD124" s="537"/>
      <c r="CE124" s="433"/>
      <c r="CF124" s="433"/>
      <c r="CG124" s="537"/>
      <c r="CH124" s="434"/>
      <c r="CI124" s="422"/>
      <c r="CJ124" s="432"/>
      <c r="CK124" s="537"/>
      <c r="CL124" s="537"/>
      <c r="CM124" s="433"/>
      <c r="CN124" s="433"/>
      <c r="CO124" s="537"/>
      <c r="CP124" s="434"/>
      <c r="CQ124" s="435"/>
      <c r="CR124" s="433"/>
      <c r="CS124" s="433"/>
      <c r="CT124" s="433"/>
      <c r="CU124" s="433" t="n">
        <f aca="false">+CR124-CS124</f>
        <v>0</v>
      </c>
      <c r="CV124" s="433" t="n">
        <f aca="false">+CR124-CT124</f>
        <v>0</v>
      </c>
      <c r="CW124" s="433"/>
      <c r="CX124" s="791" t="e">
        <f aca="false">+CR124/CW124-1</f>
        <v>#DIV/0!</v>
      </c>
      <c r="CY124" s="206"/>
      <c r="CZ124" s="771"/>
      <c r="DA124" s="537"/>
      <c r="DB124" s="537"/>
      <c r="DC124" s="537"/>
      <c r="DD124" s="537"/>
      <c r="DE124" s="434" t="e">
        <f aca="false">(CZ124-DD124)/DD124</f>
        <v>#DIV/0!</v>
      </c>
      <c r="DF124" s="434" t="e">
        <f aca="false">(DA124-DD124)/DD124</f>
        <v>#DIV/0!</v>
      </c>
      <c r="DG124" s="434" t="e">
        <f aca="false">(DB124-DD124)/DD124</f>
        <v>#DIV/0!</v>
      </c>
      <c r="DH124" s="434" t="e">
        <f aca="false">(DC124-DD124)/DD124</f>
        <v>#DIV/0!</v>
      </c>
      <c r="DI124" s="696"/>
      <c r="DJ124" s="37"/>
      <c r="DL124" s="37"/>
      <c r="DM124" s="400" t="n">
        <f aca="false">(CS124-CZ124)*10^6</f>
        <v>0</v>
      </c>
      <c r="DN124" s="400" t="n">
        <f aca="false">(CT124-DC124)*10^6</f>
        <v>0</v>
      </c>
      <c r="DO124" s="400" t="n">
        <f aca="false">(CW124-DD124)*10^6</f>
        <v>0</v>
      </c>
    </row>
    <row r="125" s="818" customFormat="true" ht="15" hidden="false" customHeight="true" outlineLevel="1" collapsed="false">
      <c r="A125" s="815"/>
      <c r="B125" s="765" t="s">
        <v>521</v>
      </c>
      <c r="C125" s="679" t="s">
        <v>635</v>
      </c>
      <c r="D125" s="433"/>
      <c r="E125" s="537"/>
      <c r="F125" s="433"/>
      <c r="G125" s="537"/>
      <c r="H125" s="434"/>
      <c r="I125" s="435"/>
      <c r="J125" s="433"/>
      <c r="K125" s="537"/>
      <c r="L125" s="433"/>
      <c r="M125" s="537"/>
      <c r="N125" s="434"/>
      <c r="O125" s="423"/>
      <c r="P125" s="433"/>
      <c r="Q125" s="537"/>
      <c r="R125" s="433"/>
      <c r="S125" s="537"/>
      <c r="T125" s="434"/>
      <c r="U125" s="435"/>
      <c r="V125" s="433"/>
      <c r="W125" s="537"/>
      <c r="X125" s="537"/>
      <c r="Y125" s="433"/>
      <c r="Z125" s="432"/>
      <c r="AA125" s="537"/>
      <c r="AB125" s="434"/>
      <c r="AC125" s="435"/>
      <c r="AD125" s="433"/>
      <c r="AE125" s="537"/>
      <c r="AF125" s="537"/>
      <c r="AG125" s="433"/>
      <c r="AH125" s="432"/>
      <c r="AI125" s="537"/>
      <c r="AJ125" s="434"/>
      <c r="AK125" s="435"/>
      <c r="AL125" s="433"/>
      <c r="AM125" s="537"/>
      <c r="AN125" s="537"/>
      <c r="AO125" s="537"/>
      <c r="AP125" s="433"/>
      <c r="AQ125" s="432"/>
      <c r="AR125" s="537"/>
      <c r="AS125" s="434"/>
      <c r="AT125" s="423"/>
      <c r="AU125" s="432"/>
      <c r="AV125" s="537"/>
      <c r="AW125" s="537"/>
      <c r="AX125" s="433"/>
      <c r="AY125" s="433"/>
      <c r="AZ125" s="537"/>
      <c r="BA125" s="434"/>
      <c r="BB125" s="435"/>
      <c r="BC125" s="432"/>
      <c r="BD125" s="537"/>
      <c r="BE125" s="537"/>
      <c r="BF125" s="433"/>
      <c r="BG125" s="433"/>
      <c r="BH125" s="537"/>
      <c r="BI125" s="434"/>
      <c r="BJ125" s="423"/>
      <c r="BK125" s="432"/>
      <c r="BL125" s="537"/>
      <c r="BM125" s="537"/>
      <c r="BN125" s="537"/>
      <c r="BO125" s="433"/>
      <c r="BP125" s="433"/>
      <c r="BQ125" s="537"/>
      <c r="BR125" s="434"/>
      <c r="BS125" s="435"/>
      <c r="BT125" s="432"/>
      <c r="BU125" s="537"/>
      <c r="BV125" s="537"/>
      <c r="BW125" s="433"/>
      <c r="BX125" s="433"/>
      <c r="BY125" s="537"/>
      <c r="BZ125" s="434"/>
      <c r="CA125" s="422"/>
      <c r="CB125" s="432"/>
      <c r="CC125" s="537"/>
      <c r="CD125" s="537"/>
      <c r="CE125" s="433"/>
      <c r="CF125" s="433"/>
      <c r="CG125" s="537"/>
      <c r="CH125" s="434"/>
      <c r="CI125" s="422"/>
      <c r="CJ125" s="432"/>
      <c r="CK125" s="537"/>
      <c r="CL125" s="537"/>
      <c r="CM125" s="433"/>
      <c r="CN125" s="433"/>
      <c r="CO125" s="537"/>
      <c r="CP125" s="434"/>
      <c r="CQ125" s="435"/>
      <c r="CR125" s="433"/>
      <c r="CS125" s="433"/>
      <c r="CT125" s="433"/>
      <c r="CU125" s="433" t="n">
        <f aca="false">+CR125-CS125</f>
        <v>0</v>
      </c>
      <c r="CV125" s="433" t="n">
        <f aca="false">+CR125-CT125</f>
        <v>0</v>
      </c>
      <c r="CW125" s="433"/>
      <c r="CX125" s="791" t="e">
        <f aca="false">+CR125/CW125-1</f>
        <v>#DIV/0!</v>
      </c>
      <c r="CY125" s="206"/>
      <c r="CZ125" s="771"/>
      <c r="DA125" s="537"/>
      <c r="DB125" s="537"/>
      <c r="DC125" s="537"/>
      <c r="DD125" s="537"/>
      <c r="DE125" s="434" t="e">
        <f aca="false">(CZ125-DD125)/DD125</f>
        <v>#DIV/0!</v>
      </c>
      <c r="DF125" s="434" t="e">
        <f aca="false">(DA125-DD125)/DD125</f>
        <v>#DIV/0!</v>
      </c>
      <c r="DG125" s="434" t="e">
        <f aca="false">(DB125-DD125)/DD125</f>
        <v>#DIV/0!</v>
      </c>
      <c r="DH125" s="434" t="e">
        <f aca="false">(DC125-DD125)/DD125</f>
        <v>#DIV/0!</v>
      </c>
      <c r="DI125" s="696"/>
      <c r="DJ125" s="37"/>
      <c r="DL125" s="37"/>
      <c r="DM125" s="400" t="n">
        <f aca="false">(CS125-CZ125)*10^6</f>
        <v>0</v>
      </c>
      <c r="DN125" s="400" t="n">
        <f aca="false">(CT125-DC125)*10^6</f>
        <v>0</v>
      </c>
      <c r="DO125" s="400" t="n">
        <f aca="false">(CW125-DD125)*10^6</f>
        <v>0</v>
      </c>
    </row>
    <row r="126" s="793" customFormat="true" ht="15" hidden="false" customHeight="true" outlineLevel="1" collapsed="false">
      <c r="A126" s="786"/>
      <c r="B126" s="750" t="s">
        <v>523</v>
      </c>
      <c r="C126" s="679" t="s">
        <v>636</v>
      </c>
      <c r="D126" s="758"/>
      <c r="E126" s="758"/>
      <c r="F126" s="758"/>
      <c r="G126" s="758"/>
      <c r="H126" s="788"/>
      <c r="I126" s="789"/>
      <c r="J126" s="758"/>
      <c r="K126" s="758"/>
      <c r="L126" s="758"/>
      <c r="M126" s="758"/>
      <c r="N126" s="788"/>
      <c r="O126" s="733"/>
      <c r="P126" s="758"/>
      <c r="Q126" s="758"/>
      <c r="R126" s="758"/>
      <c r="S126" s="758"/>
      <c r="T126" s="788"/>
      <c r="U126" s="789"/>
      <c r="V126" s="758"/>
      <c r="W126" s="758"/>
      <c r="X126" s="758"/>
      <c r="Y126" s="758"/>
      <c r="Z126" s="790"/>
      <c r="AA126" s="758"/>
      <c r="AB126" s="788"/>
      <c r="AC126" s="789"/>
      <c r="AD126" s="758"/>
      <c r="AE126" s="758"/>
      <c r="AF126" s="758"/>
      <c r="AG126" s="758"/>
      <c r="AH126" s="790"/>
      <c r="AI126" s="758"/>
      <c r="AJ126" s="788"/>
      <c r="AK126" s="789"/>
      <c r="AL126" s="758"/>
      <c r="AM126" s="758"/>
      <c r="AN126" s="758"/>
      <c r="AO126" s="758"/>
      <c r="AP126" s="758"/>
      <c r="AQ126" s="790"/>
      <c r="AR126" s="758"/>
      <c r="AS126" s="788"/>
      <c r="AT126" s="733"/>
      <c r="AU126" s="790"/>
      <c r="AV126" s="758"/>
      <c r="AW126" s="758"/>
      <c r="AX126" s="758"/>
      <c r="AY126" s="758"/>
      <c r="AZ126" s="758"/>
      <c r="BA126" s="788"/>
      <c r="BB126" s="789"/>
      <c r="BC126" s="790"/>
      <c r="BD126" s="758"/>
      <c r="BE126" s="758"/>
      <c r="BF126" s="758"/>
      <c r="BG126" s="758"/>
      <c r="BH126" s="758"/>
      <c r="BI126" s="788"/>
      <c r="BJ126" s="733"/>
      <c r="BK126" s="790"/>
      <c r="BL126" s="758"/>
      <c r="BM126" s="758"/>
      <c r="BN126" s="758"/>
      <c r="BO126" s="758"/>
      <c r="BP126" s="758"/>
      <c r="BQ126" s="758"/>
      <c r="BR126" s="788"/>
      <c r="BS126" s="789"/>
      <c r="BT126" s="790"/>
      <c r="BU126" s="758"/>
      <c r="BV126" s="758"/>
      <c r="BW126" s="758"/>
      <c r="BX126" s="758"/>
      <c r="BY126" s="758"/>
      <c r="BZ126" s="788"/>
      <c r="CA126" s="732"/>
      <c r="CB126" s="790"/>
      <c r="CC126" s="758"/>
      <c r="CD126" s="758"/>
      <c r="CE126" s="758"/>
      <c r="CF126" s="758"/>
      <c r="CG126" s="758"/>
      <c r="CH126" s="788"/>
      <c r="CI126" s="732"/>
      <c r="CJ126" s="790"/>
      <c r="CK126" s="758"/>
      <c r="CL126" s="758"/>
      <c r="CM126" s="758"/>
      <c r="CN126" s="758"/>
      <c r="CO126" s="758"/>
      <c r="CP126" s="788"/>
      <c r="CQ126" s="789"/>
      <c r="CR126" s="758"/>
      <c r="CS126" s="758"/>
      <c r="CT126" s="758"/>
      <c r="CU126" s="758" t="n">
        <f aca="false">+CR126-CS126</f>
        <v>0</v>
      </c>
      <c r="CV126" s="758" t="n">
        <f aca="false">+CR126-CT126</f>
        <v>0</v>
      </c>
      <c r="CW126" s="758"/>
      <c r="CX126" s="819" t="e">
        <f aca="false">+CR126/CW126-1</f>
        <v>#DIV/0!</v>
      </c>
      <c r="CY126" s="105"/>
      <c r="CZ126" s="792"/>
      <c r="DA126" s="758"/>
      <c r="DB126" s="758"/>
      <c r="DC126" s="758"/>
      <c r="DD126" s="758"/>
      <c r="DE126" s="788" t="e">
        <f aca="false">(CZ126-DD126)/DD126</f>
        <v>#DIV/0!</v>
      </c>
      <c r="DF126" s="788" t="e">
        <f aca="false">(DA126-DD126)/DD126</f>
        <v>#DIV/0!</v>
      </c>
      <c r="DG126" s="788" t="e">
        <f aca="false">(DB126-DD126)/DD126</f>
        <v>#DIV/0!</v>
      </c>
      <c r="DH126" s="788" t="e">
        <f aca="false">(DC126-DD126)/DD126</f>
        <v>#DIV/0!</v>
      </c>
      <c r="DI126" s="696"/>
      <c r="DJ126" s="37"/>
      <c r="DL126" s="37"/>
      <c r="DM126" s="400" t="n">
        <f aca="false">(CS126-CZ126)*10^6</f>
        <v>0</v>
      </c>
      <c r="DN126" s="400" t="n">
        <f aca="false">(CT126-DC126)*10^6</f>
        <v>0</v>
      </c>
      <c r="DO126" s="400" t="n">
        <f aca="false">(CW126-DD126)*10^6</f>
        <v>0</v>
      </c>
    </row>
    <row r="127" s="818" customFormat="true" ht="15" hidden="false" customHeight="true" outlineLevel="1" collapsed="false">
      <c r="A127" s="815"/>
      <c r="B127" s="816"/>
      <c r="C127" s="679" t="s">
        <v>637</v>
      </c>
      <c r="D127" s="433"/>
      <c r="E127" s="433"/>
      <c r="F127" s="433"/>
      <c r="G127" s="433"/>
      <c r="H127" s="434"/>
      <c r="I127" s="435"/>
      <c r="J127" s="433"/>
      <c r="K127" s="433"/>
      <c r="L127" s="433"/>
      <c r="M127" s="433"/>
      <c r="N127" s="434"/>
      <c r="O127" s="423"/>
      <c r="P127" s="433"/>
      <c r="Q127" s="433"/>
      <c r="R127" s="433"/>
      <c r="S127" s="433"/>
      <c r="T127" s="434"/>
      <c r="U127" s="435"/>
      <c r="V127" s="433"/>
      <c r="W127" s="433"/>
      <c r="X127" s="433"/>
      <c r="Y127" s="433"/>
      <c r="Z127" s="432"/>
      <c r="AA127" s="433"/>
      <c r="AB127" s="434"/>
      <c r="AC127" s="435"/>
      <c r="AD127" s="433"/>
      <c r="AE127" s="433"/>
      <c r="AF127" s="433"/>
      <c r="AG127" s="433"/>
      <c r="AH127" s="432"/>
      <c r="AI127" s="433"/>
      <c r="AJ127" s="434"/>
      <c r="AK127" s="435"/>
      <c r="AL127" s="433"/>
      <c r="AM127" s="433"/>
      <c r="AN127" s="433"/>
      <c r="AO127" s="433"/>
      <c r="AP127" s="433"/>
      <c r="AQ127" s="432"/>
      <c r="AR127" s="433"/>
      <c r="AS127" s="434"/>
      <c r="AT127" s="423"/>
      <c r="AU127" s="432"/>
      <c r="AV127" s="433"/>
      <c r="AW127" s="433"/>
      <c r="AX127" s="433"/>
      <c r="AY127" s="433"/>
      <c r="AZ127" s="433"/>
      <c r="BA127" s="434"/>
      <c r="BB127" s="435"/>
      <c r="BC127" s="432"/>
      <c r="BD127" s="433"/>
      <c r="BE127" s="433"/>
      <c r="BF127" s="433"/>
      <c r="BG127" s="433"/>
      <c r="BH127" s="433"/>
      <c r="BI127" s="434"/>
      <c r="BJ127" s="423"/>
      <c r="BK127" s="432"/>
      <c r="BL127" s="433"/>
      <c r="BM127" s="433"/>
      <c r="BN127" s="433"/>
      <c r="BO127" s="433"/>
      <c r="BP127" s="433"/>
      <c r="BQ127" s="433"/>
      <c r="BR127" s="434"/>
      <c r="BS127" s="435"/>
      <c r="BT127" s="432"/>
      <c r="BU127" s="433"/>
      <c r="BV127" s="433"/>
      <c r="BW127" s="433"/>
      <c r="BX127" s="433"/>
      <c r="BY127" s="433"/>
      <c r="BZ127" s="434"/>
      <c r="CA127" s="422"/>
      <c r="CB127" s="432"/>
      <c r="CC127" s="433"/>
      <c r="CD127" s="433"/>
      <c r="CE127" s="433"/>
      <c r="CF127" s="433"/>
      <c r="CG127" s="433"/>
      <c r="CH127" s="434"/>
      <c r="CI127" s="422"/>
      <c r="CJ127" s="432"/>
      <c r="CK127" s="433"/>
      <c r="CL127" s="433"/>
      <c r="CM127" s="433"/>
      <c r="CN127" s="433"/>
      <c r="CO127" s="433"/>
      <c r="CP127" s="434"/>
      <c r="CQ127" s="435"/>
      <c r="CR127" s="433"/>
      <c r="CS127" s="433"/>
      <c r="CT127" s="433"/>
      <c r="CU127" s="433" t="n">
        <f aca="false">+CR127-CS127</f>
        <v>0</v>
      </c>
      <c r="CV127" s="433" t="n">
        <f aca="false">+CR127-CT127</f>
        <v>0</v>
      </c>
      <c r="CW127" s="433"/>
      <c r="CX127" s="791"/>
      <c r="CY127" s="206"/>
      <c r="CZ127" s="817"/>
      <c r="DA127" s="433"/>
      <c r="DB127" s="433"/>
      <c r="DC127" s="433"/>
      <c r="DD127" s="433"/>
      <c r="DE127" s="434"/>
      <c r="DF127" s="434"/>
      <c r="DG127" s="434"/>
      <c r="DH127" s="434"/>
      <c r="DI127" s="696"/>
      <c r="DJ127" s="37"/>
      <c r="DL127" s="37"/>
      <c r="DM127" s="400" t="n">
        <f aca="false">(CS127-CZ127)*10^6</f>
        <v>0</v>
      </c>
      <c r="DN127" s="400" t="n">
        <f aca="false">(CT127-DC127)*10^6</f>
        <v>0</v>
      </c>
      <c r="DO127" s="400" t="n">
        <f aca="false">(CW127-DD127)*10^6</f>
        <v>0</v>
      </c>
    </row>
    <row r="128" s="783" customFormat="true" ht="15" hidden="false" customHeight="true" outlineLevel="1" collapsed="false">
      <c r="A128" s="820"/>
      <c r="B128" s="775" t="s">
        <v>526</v>
      </c>
      <c r="C128" s="679" t="s">
        <v>638</v>
      </c>
      <c r="D128" s="517"/>
      <c r="E128" s="517"/>
      <c r="F128" s="517"/>
      <c r="G128" s="517"/>
      <c r="H128" s="821"/>
      <c r="I128" s="822"/>
      <c r="J128" s="517"/>
      <c r="K128" s="517"/>
      <c r="L128" s="517"/>
      <c r="M128" s="517"/>
      <c r="N128" s="821"/>
      <c r="O128" s="423"/>
      <c r="P128" s="517"/>
      <c r="Q128" s="517"/>
      <c r="R128" s="517"/>
      <c r="S128" s="517"/>
      <c r="T128" s="821"/>
      <c r="U128" s="822"/>
      <c r="V128" s="517"/>
      <c r="W128" s="517"/>
      <c r="X128" s="517"/>
      <c r="Y128" s="517"/>
      <c r="Z128" s="442"/>
      <c r="AA128" s="517"/>
      <c r="AB128" s="821"/>
      <c r="AC128" s="822"/>
      <c r="AD128" s="517"/>
      <c r="AE128" s="517"/>
      <c r="AF128" s="517"/>
      <c r="AG128" s="517"/>
      <c r="AH128" s="442"/>
      <c r="AI128" s="517"/>
      <c r="AJ128" s="821"/>
      <c r="AK128" s="822"/>
      <c r="AL128" s="517"/>
      <c r="AM128" s="517"/>
      <c r="AN128" s="517"/>
      <c r="AO128" s="517"/>
      <c r="AP128" s="517"/>
      <c r="AQ128" s="442"/>
      <c r="AR128" s="517"/>
      <c r="AS128" s="821"/>
      <c r="AT128" s="423"/>
      <c r="AU128" s="442"/>
      <c r="AV128" s="517"/>
      <c r="AW128" s="517"/>
      <c r="AX128" s="517"/>
      <c r="AY128" s="517"/>
      <c r="AZ128" s="517"/>
      <c r="BA128" s="821"/>
      <c r="BB128" s="822"/>
      <c r="BC128" s="442"/>
      <c r="BD128" s="517"/>
      <c r="BE128" s="517"/>
      <c r="BF128" s="517"/>
      <c r="BG128" s="517"/>
      <c r="BH128" s="517"/>
      <c r="BI128" s="821"/>
      <c r="BJ128" s="423"/>
      <c r="BK128" s="442"/>
      <c r="BL128" s="517"/>
      <c r="BM128" s="517"/>
      <c r="BN128" s="517"/>
      <c r="BO128" s="517"/>
      <c r="BP128" s="517"/>
      <c r="BQ128" s="517"/>
      <c r="BR128" s="821"/>
      <c r="BS128" s="822"/>
      <c r="BT128" s="442"/>
      <c r="BU128" s="517"/>
      <c r="BV128" s="517"/>
      <c r="BW128" s="517"/>
      <c r="BX128" s="517"/>
      <c r="BY128" s="517"/>
      <c r="BZ128" s="821"/>
      <c r="CA128" s="422"/>
      <c r="CB128" s="442"/>
      <c r="CC128" s="517"/>
      <c r="CD128" s="517"/>
      <c r="CE128" s="517"/>
      <c r="CF128" s="517"/>
      <c r="CG128" s="517"/>
      <c r="CH128" s="821"/>
      <c r="CI128" s="422"/>
      <c r="CJ128" s="442"/>
      <c r="CK128" s="517"/>
      <c r="CL128" s="517"/>
      <c r="CM128" s="517"/>
      <c r="CN128" s="517"/>
      <c r="CO128" s="517"/>
      <c r="CP128" s="821"/>
      <c r="CQ128" s="822"/>
      <c r="CR128" s="517"/>
      <c r="CS128" s="517"/>
      <c r="CT128" s="517"/>
      <c r="CU128" s="517" t="n">
        <f aca="false">+CR128-CS128</f>
        <v>0</v>
      </c>
      <c r="CV128" s="517" t="n">
        <f aca="false">+CR128-CT128</f>
        <v>0</v>
      </c>
      <c r="CW128" s="517"/>
      <c r="CX128" s="823" t="e">
        <f aca="false">+CR128/CW128-1</f>
        <v>#DIV/0!</v>
      </c>
      <c r="CY128" s="206"/>
      <c r="CZ128" s="824"/>
      <c r="DA128" s="517"/>
      <c r="DB128" s="517"/>
      <c r="DC128" s="517"/>
      <c r="DD128" s="517"/>
      <c r="DE128" s="821" t="e">
        <f aca="false">(CZ128-DD128)/DD128</f>
        <v>#DIV/0!</v>
      </c>
      <c r="DF128" s="821" t="e">
        <f aca="false">(DA128-DD128)/DD128</f>
        <v>#DIV/0!</v>
      </c>
      <c r="DG128" s="821" t="e">
        <f aca="false">(DB128-DD128)/DD128</f>
        <v>#DIV/0!</v>
      </c>
      <c r="DH128" s="821" t="e">
        <f aca="false">(DC128-DD128)/DD128</f>
        <v>#DIV/0!</v>
      </c>
      <c r="DI128" s="696"/>
      <c r="DJ128" s="782"/>
      <c r="DL128" s="782"/>
      <c r="DM128" s="400" t="n">
        <f aca="false">(CS128-CZ128)*10^6</f>
        <v>0</v>
      </c>
      <c r="DN128" s="400" t="n">
        <f aca="false">(CT128-DC128)*10^6</f>
        <v>0</v>
      </c>
      <c r="DO128" s="400" t="n">
        <f aca="false">(CW128-DD128)*10^6</f>
        <v>0</v>
      </c>
    </row>
    <row r="129" s="818" customFormat="true" ht="15" hidden="false" customHeight="true" outlineLevel="1" collapsed="false">
      <c r="A129" s="815"/>
      <c r="B129" s="765" t="s">
        <v>586</v>
      </c>
      <c r="C129" s="679" t="s">
        <v>639</v>
      </c>
      <c r="D129" s="433"/>
      <c r="E129" s="433"/>
      <c r="F129" s="433"/>
      <c r="G129" s="537"/>
      <c r="H129" s="434"/>
      <c r="I129" s="435"/>
      <c r="J129" s="433"/>
      <c r="K129" s="433"/>
      <c r="L129" s="433"/>
      <c r="M129" s="537"/>
      <c r="N129" s="434"/>
      <c r="O129" s="423"/>
      <c r="P129" s="433"/>
      <c r="Q129" s="433"/>
      <c r="R129" s="433"/>
      <c r="S129" s="537"/>
      <c r="T129" s="434"/>
      <c r="U129" s="435"/>
      <c r="V129" s="433"/>
      <c r="W129" s="433"/>
      <c r="X129" s="433"/>
      <c r="Y129" s="433"/>
      <c r="Z129" s="432"/>
      <c r="AA129" s="537"/>
      <c r="AB129" s="434"/>
      <c r="AC129" s="435"/>
      <c r="AD129" s="433"/>
      <c r="AE129" s="433"/>
      <c r="AF129" s="433"/>
      <c r="AG129" s="433"/>
      <c r="AH129" s="432"/>
      <c r="AI129" s="537"/>
      <c r="AJ129" s="434"/>
      <c r="AK129" s="435"/>
      <c r="AL129" s="433"/>
      <c r="AM129" s="433"/>
      <c r="AN129" s="433"/>
      <c r="AO129" s="433"/>
      <c r="AP129" s="433"/>
      <c r="AQ129" s="432"/>
      <c r="AR129" s="537"/>
      <c r="AS129" s="434"/>
      <c r="AT129" s="423"/>
      <c r="AU129" s="432"/>
      <c r="AV129" s="433"/>
      <c r="AW129" s="433"/>
      <c r="AX129" s="433"/>
      <c r="AY129" s="433"/>
      <c r="AZ129" s="537"/>
      <c r="BA129" s="434"/>
      <c r="BB129" s="435"/>
      <c r="BC129" s="432"/>
      <c r="BD129" s="433"/>
      <c r="BE129" s="433"/>
      <c r="BF129" s="433"/>
      <c r="BG129" s="433"/>
      <c r="BH129" s="537"/>
      <c r="BI129" s="434"/>
      <c r="BJ129" s="423"/>
      <c r="BK129" s="432"/>
      <c r="BL129" s="433"/>
      <c r="BM129" s="433"/>
      <c r="BN129" s="433"/>
      <c r="BO129" s="433"/>
      <c r="BP129" s="433"/>
      <c r="BQ129" s="537"/>
      <c r="BR129" s="434"/>
      <c r="BS129" s="435"/>
      <c r="BT129" s="432"/>
      <c r="BU129" s="433"/>
      <c r="BV129" s="433"/>
      <c r="BW129" s="433"/>
      <c r="BX129" s="433"/>
      <c r="BY129" s="537"/>
      <c r="BZ129" s="434"/>
      <c r="CA129" s="422"/>
      <c r="CB129" s="432"/>
      <c r="CC129" s="433"/>
      <c r="CD129" s="433"/>
      <c r="CE129" s="433"/>
      <c r="CF129" s="433"/>
      <c r="CG129" s="537"/>
      <c r="CH129" s="434"/>
      <c r="CI129" s="422"/>
      <c r="CJ129" s="432"/>
      <c r="CK129" s="433"/>
      <c r="CL129" s="433"/>
      <c r="CM129" s="433"/>
      <c r="CN129" s="433"/>
      <c r="CO129" s="537"/>
      <c r="CP129" s="434"/>
      <c r="CQ129" s="435"/>
      <c r="CR129" s="433"/>
      <c r="CS129" s="433"/>
      <c r="CT129" s="433"/>
      <c r="CU129" s="433" t="n">
        <f aca="false">+CR129-CS129</f>
        <v>0</v>
      </c>
      <c r="CV129" s="433" t="n">
        <f aca="false">+CR129-CT129</f>
        <v>0</v>
      </c>
      <c r="CW129" s="433"/>
      <c r="CX129" s="791"/>
      <c r="CY129" s="206"/>
      <c r="CZ129" s="817"/>
      <c r="DA129" s="433"/>
      <c r="DB129" s="433"/>
      <c r="DC129" s="433"/>
      <c r="DD129" s="537"/>
      <c r="DE129" s="434"/>
      <c r="DF129" s="434"/>
      <c r="DG129" s="434"/>
      <c r="DH129" s="434" t="e">
        <f aca="false">(DC129-DD129)/DD129</f>
        <v>#DIV/0!</v>
      </c>
      <c r="DI129" s="696"/>
      <c r="DJ129" s="37"/>
      <c r="DL129" s="37"/>
      <c r="DM129" s="400" t="n">
        <f aca="false">(CS129-CZ129)*10^6</f>
        <v>0</v>
      </c>
      <c r="DN129" s="400" t="n">
        <f aca="false">(CT129-DC129)*10^6</f>
        <v>0</v>
      </c>
      <c r="DO129" s="400" t="n">
        <f aca="false">(CW129-DD129)*10^6</f>
        <v>0</v>
      </c>
    </row>
    <row r="130" s="818" customFormat="true" ht="15" hidden="false" customHeight="true" outlineLevel="1" collapsed="false">
      <c r="A130" s="815"/>
      <c r="B130" s="765" t="s">
        <v>588</v>
      </c>
      <c r="C130" s="679" t="s">
        <v>640</v>
      </c>
      <c r="D130" s="433"/>
      <c r="E130" s="433"/>
      <c r="F130" s="433"/>
      <c r="G130" s="537"/>
      <c r="H130" s="434"/>
      <c r="I130" s="435"/>
      <c r="J130" s="433"/>
      <c r="K130" s="433"/>
      <c r="L130" s="433"/>
      <c r="M130" s="537"/>
      <c r="N130" s="434"/>
      <c r="O130" s="423"/>
      <c r="P130" s="433"/>
      <c r="Q130" s="433"/>
      <c r="R130" s="433"/>
      <c r="S130" s="537"/>
      <c r="T130" s="434"/>
      <c r="U130" s="435"/>
      <c r="V130" s="433"/>
      <c r="W130" s="433"/>
      <c r="X130" s="433"/>
      <c r="Y130" s="433"/>
      <c r="Z130" s="432"/>
      <c r="AA130" s="537"/>
      <c r="AB130" s="434"/>
      <c r="AC130" s="435"/>
      <c r="AD130" s="433"/>
      <c r="AE130" s="433"/>
      <c r="AF130" s="433"/>
      <c r="AG130" s="433"/>
      <c r="AH130" s="432"/>
      <c r="AI130" s="537"/>
      <c r="AJ130" s="434"/>
      <c r="AK130" s="435"/>
      <c r="AL130" s="433"/>
      <c r="AM130" s="433"/>
      <c r="AN130" s="433"/>
      <c r="AO130" s="433"/>
      <c r="AP130" s="433"/>
      <c r="AQ130" s="432"/>
      <c r="AR130" s="537"/>
      <c r="AS130" s="434"/>
      <c r="AT130" s="423"/>
      <c r="AU130" s="432"/>
      <c r="AV130" s="433"/>
      <c r="AW130" s="433"/>
      <c r="AX130" s="433"/>
      <c r="AY130" s="433"/>
      <c r="AZ130" s="537"/>
      <c r="BA130" s="434"/>
      <c r="BB130" s="435"/>
      <c r="BC130" s="432"/>
      <c r="BD130" s="433"/>
      <c r="BE130" s="433"/>
      <c r="BF130" s="433"/>
      <c r="BG130" s="433"/>
      <c r="BH130" s="537"/>
      <c r="BI130" s="434"/>
      <c r="BJ130" s="423"/>
      <c r="BK130" s="432"/>
      <c r="BL130" s="433"/>
      <c r="BM130" s="433"/>
      <c r="BN130" s="433"/>
      <c r="BO130" s="433"/>
      <c r="BP130" s="433"/>
      <c r="BQ130" s="537"/>
      <c r="BR130" s="434"/>
      <c r="BS130" s="435"/>
      <c r="BT130" s="432"/>
      <c r="BU130" s="433"/>
      <c r="BV130" s="433"/>
      <c r="BW130" s="433"/>
      <c r="BX130" s="433"/>
      <c r="BY130" s="537"/>
      <c r="BZ130" s="434"/>
      <c r="CA130" s="422"/>
      <c r="CB130" s="432"/>
      <c r="CC130" s="433"/>
      <c r="CD130" s="433"/>
      <c r="CE130" s="433"/>
      <c r="CF130" s="433"/>
      <c r="CG130" s="537"/>
      <c r="CH130" s="434"/>
      <c r="CI130" s="422"/>
      <c r="CJ130" s="432"/>
      <c r="CK130" s="433"/>
      <c r="CL130" s="433"/>
      <c r="CM130" s="433"/>
      <c r="CN130" s="433"/>
      <c r="CO130" s="537"/>
      <c r="CP130" s="434"/>
      <c r="CQ130" s="435"/>
      <c r="CR130" s="433"/>
      <c r="CS130" s="433"/>
      <c r="CT130" s="433"/>
      <c r="CU130" s="433" t="n">
        <f aca="false">+CR130-CS130</f>
        <v>0</v>
      </c>
      <c r="CV130" s="433" t="n">
        <f aca="false">+CR130-CT130</f>
        <v>0</v>
      </c>
      <c r="CW130" s="433"/>
      <c r="CX130" s="791"/>
      <c r="CY130" s="206"/>
      <c r="CZ130" s="817"/>
      <c r="DA130" s="433"/>
      <c r="DB130" s="433"/>
      <c r="DC130" s="433"/>
      <c r="DD130" s="537"/>
      <c r="DE130" s="434"/>
      <c r="DF130" s="434"/>
      <c r="DG130" s="434"/>
      <c r="DH130" s="434" t="e">
        <f aca="false">(DC130-DD130)/DD130</f>
        <v>#DIV/0!</v>
      </c>
      <c r="DI130" s="696"/>
      <c r="DJ130" s="37"/>
      <c r="DL130" s="37"/>
      <c r="DM130" s="400" t="n">
        <f aca="false">(CS130-CZ130)*10^6</f>
        <v>0</v>
      </c>
      <c r="DN130" s="400" t="n">
        <f aca="false">(CT130-DC130)*10^6</f>
        <v>0</v>
      </c>
      <c r="DO130" s="400" t="n">
        <f aca="false">(CW130-DD130)*10^6</f>
        <v>0</v>
      </c>
    </row>
    <row r="131" s="818" customFormat="true" ht="25.5" hidden="false" customHeight="true" outlineLevel="1" collapsed="false">
      <c r="A131" s="815"/>
      <c r="B131" s="840" t="s">
        <v>641</v>
      </c>
      <c r="C131" s="679" t="s">
        <v>642</v>
      </c>
      <c r="D131" s="433"/>
      <c r="E131" s="433"/>
      <c r="F131" s="433"/>
      <c r="G131" s="537"/>
      <c r="H131" s="434"/>
      <c r="I131" s="435"/>
      <c r="J131" s="433"/>
      <c r="K131" s="433"/>
      <c r="L131" s="433"/>
      <c r="M131" s="537"/>
      <c r="N131" s="434"/>
      <c r="O131" s="423"/>
      <c r="P131" s="433"/>
      <c r="Q131" s="433"/>
      <c r="R131" s="433"/>
      <c r="S131" s="537"/>
      <c r="T131" s="434"/>
      <c r="U131" s="435"/>
      <c r="V131" s="433"/>
      <c r="W131" s="433"/>
      <c r="X131" s="433"/>
      <c r="Y131" s="433"/>
      <c r="Z131" s="432"/>
      <c r="AA131" s="537"/>
      <c r="AB131" s="434"/>
      <c r="AC131" s="435"/>
      <c r="AD131" s="433"/>
      <c r="AE131" s="433"/>
      <c r="AF131" s="433"/>
      <c r="AG131" s="433"/>
      <c r="AH131" s="432"/>
      <c r="AI131" s="537"/>
      <c r="AJ131" s="434"/>
      <c r="AK131" s="435"/>
      <c r="AL131" s="433"/>
      <c r="AM131" s="433"/>
      <c r="AN131" s="433"/>
      <c r="AO131" s="433"/>
      <c r="AP131" s="433"/>
      <c r="AQ131" s="432"/>
      <c r="AR131" s="537"/>
      <c r="AS131" s="434"/>
      <c r="AT131" s="423"/>
      <c r="AU131" s="432"/>
      <c r="AV131" s="433"/>
      <c r="AW131" s="433"/>
      <c r="AX131" s="433"/>
      <c r="AY131" s="433"/>
      <c r="AZ131" s="537"/>
      <c r="BA131" s="434"/>
      <c r="BB131" s="435"/>
      <c r="BC131" s="432"/>
      <c r="BD131" s="433"/>
      <c r="BE131" s="433"/>
      <c r="BF131" s="433"/>
      <c r="BG131" s="433"/>
      <c r="BH131" s="537"/>
      <c r="BI131" s="434"/>
      <c r="BJ131" s="423"/>
      <c r="BK131" s="432"/>
      <c r="BL131" s="433"/>
      <c r="BM131" s="433"/>
      <c r="BN131" s="433"/>
      <c r="BO131" s="433"/>
      <c r="BP131" s="433"/>
      <c r="BQ131" s="537"/>
      <c r="BR131" s="434"/>
      <c r="BS131" s="435"/>
      <c r="BT131" s="432"/>
      <c r="BU131" s="433"/>
      <c r="BV131" s="433"/>
      <c r="BW131" s="433"/>
      <c r="BX131" s="433"/>
      <c r="BY131" s="537"/>
      <c r="BZ131" s="434"/>
      <c r="CA131" s="422"/>
      <c r="CB131" s="432"/>
      <c r="CC131" s="433"/>
      <c r="CD131" s="433"/>
      <c r="CE131" s="433"/>
      <c r="CF131" s="433"/>
      <c r="CG131" s="537"/>
      <c r="CH131" s="434"/>
      <c r="CI131" s="422"/>
      <c r="CJ131" s="432"/>
      <c r="CK131" s="433"/>
      <c r="CL131" s="433"/>
      <c r="CM131" s="433"/>
      <c r="CN131" s="433"/>
      <c r="CO131" s="537"/>
      <c r="CP131" s="434"/>
      <c r="CQ131" s="435"/>
      <c r="CR131" s="433"/>
      <c r="CS131" s="433"/>
      <c r="CT131" s="433"/>
      <c r="CU131" s="433" t="n">
        <f aca="false">+CR131-CS131</f>
        <v>0</v>
      </c>
      <c r="CV131" s="433" t="n">
        <f aca="false">+CR131-CT131</f>
        <v>0</v>
      </c>
      <c r="CW131" s="433"/>
      <c r="CX131" s="791"/>
      <c r="CY131" s="206"/>
      <c r="CZ131" s="817"/>
      <c r="DA131" s="433"/>
      <c r="DB131" s="433"/>
      <c r="DC131" s="433"/>
      <c r="DD131" s="537"/>
      <c r="DE131" s="434"/>
      <c r="DF131" s="434"/>
      <c r="DG131" s="434"/>
      <c r="DH131" s="434" t="e">
        <f aca="false">(DC131-DD131)/DD131</f>
        <v>#DIV/0!</v>
      </c>
      <c r="DI131" s="696"/>
      <c r="DJ131" s="37"/>
      <c r="DL131" s="37"/>
      <c r="DM131" s="400" t="n">
        <f aca="false">(CS131-CZ131)*10^6</f>
        <v>0</v>
      </c>
      <c r="DN131" s="400" t="n">
        <f aca="false">(CT131-DC131)*10^6</f>
        <v>0</v>
      </c>
      <c r="DO131" s="400" t="n">
        <f aca="false">(CW131-DD131)*10^6</f>
        <v>0</v>
      </c>
    </row>
    <row r="132" s="818" customFormat="true" ht="24.75" hidden="false" customHeight="true" outlineLevel="1" collapsed="false">
      <c r="A132" s="815"/>
      <c r="B132" s="840" t="s">
        <v>643</v>
      </c>
      <c r="C132" s="679" t="s">
        <v>644</v>
      </c>
      <c r="D132" s="433"/>
      <c r="E132" s="433"/>
      <c r="F132" s="433"/>
      <c r="G132" s="537"/>
      <c r="H132" s="434"/>
      <c r="I132" s="435"/>
      <c r="J132" s="433"/>
      <c r="K132" s="433"/>
      <c r="L132" s="433"/>
      <c r="M132" s="537"/>
      <c r="N132" s="434"/>
      <c r="O132" s="423"/>
      <c r="P132" s="433"/>
      <c r="Q132" s="433"/>
      <c r="R132" s="433"/>
      <c r="S132" s="537"/>
      <c r="T132" s="434"/>
      <c r="U132" s="435"/>
      <c r="V132" s="433"/>
      <c r="W132" s="433"/>
      <c r="X132" s="433"/>
      <c r="Y132" s="433"/>
      <c r="Z132" s="432"/>
      <c r="AA132" s="537"/>
      <c r="AB132" s="434"/>
      <c r="AC132" s="435"/>
      <c r="AD132" s="433"/>
      <c r="AE132" s="433"/>
      <c r="AF132" s="433"/>
      <c r="AG132" s="433"/>
      <c r="AH132" s="432"/>
      <c r="AI132" s="537"/>
      <c r="AJ132" s="434"/>
      <c r="AK132" s="435"/>
      <c r="AL132" s="433"/>
      <c r="AM132" s="433"/>
      <c r="AN132" s="433"/>
      <c r="AO132" s="433"/>
      <c r="AP132" s="433"/>
      <c r="AQ132" s="432"/>
      <c r="AR132" s="537"/>
      <c r="AS132" s="434"/>
      <c r="AT132" s="423"/>
      <c r="AU132" s="432"/>
      <c r="AV132" s="433"/>
      <c r="AW132" s="433"/>
      <c r="AX132" s="433"/>
      <c r="AY132" s="433"/>
      <c r="AZ132" s="537"/>
      <c r="BA132" s="434"/>
      <c r="BB132" s="435"/>
      <c r="BC132" s="432"/>
      <c r="BD132" s="433"/>
      <c r="BE132" s="433"/>
      <c r="BF132" s="433"/>
      <c r="BG132" s="433"/>
      <c r="BH132" s="537"/>
      <c r="BI132" s="434"/>
      <c r="BJ132" s="423"/>
      <c r="BK132" s="432"/>
      <c r="BL132" s="433"/>
      <c r="BM132" s="433"/>
      <c r="BN132" s="433"/>
      <c r="BO132" s="433"/>
      <c r="BP132" s="433"/>
      <c r="BQ132" s="537"/>
      <c r="BR132" s="434"/>
      <c r="BS132" s="435"/>
      <c r="BT132" s="432"/>
      <c r="BU132" s="433"/>
      <c r="BV132" s="433"/>
      <c r="BW132" s="433"/>
      <c r="BX132" s="433"/>
      <c r="BY132" s="537"/>
      <c r="BZ132" s="434"/>
      <c r="CA132" s="422"/>
      <c r="CB132" s="432"/>
      <c r="CC132" s="433"/>
      <c r="CD132" s="433"/>
      <c r="CE132" s="433"/>
      <c r="CF132" s="433"/>
      <c r="CG132" s="537"/>
      <c r="CH132" s="434"/>
      <c r="CI132" s="422"/>
      <c r="CJ132" s="432"/>
      <c r="CK132" s="433"/>
      <c r="CL132" s="433"/>
      <c r="CM132" s="433"/>
      <c r="CN132" s="433"/>
      <c r="CO132" s="537"/>
      <c r="CP132" s="434"/>
      <c r="CQ132" s="435"/>
      <c r="CR132" s="433"/>
      <c r="CS132" s="433"/>
      <c r="CT132" s="433"/>
      <c r="CU132" s="433" t="n">
        <f aca="false">+CR132-CS132</f>
        <v>0</v>
      </c>
      <c r="CV132" s="433" t="n">
        <f aca="false">+CR132-CT132</f>
        <v>0</v>
      </c>
      <c r="CW132" s="433"/>
      <c r="CX132" s="791" t="e">
        <f aca="false">+CR132/CW132-1</f>
        <v>#DIV/0!</v>
      </c>
      <c r="CY132" s="206"/>
      <c r="CZ132" s="817"/>
      <c r="DA132" s="433"/>
      <c r="DB132" s="433"/>
      <c r="DC132" s="433"/>
      <c r="DD132" s="537"/>
      <c r="DE132" s="434" t="e">
        <f aca="false">(CZ132-DD132)/DD132</f>
        <v>#DIV/0!</v>
      </c>
      <c r="DF132" s="434" t="e">
        <f aca="false">(DA132-DD132)/DD132</f>
        <v>#DIV/0!</v>
      </c>
      <c r="DG132" s="434" t="e">
        <f aca="false">(DB132-DD132)/DD132</f>
        <v>#DIV/0!</v>
      </c>
      <c r="DH132" s="434" t="e">
        <f aca="false">(DC132-DD132)/DD132</f>
        <v>#DIV/0!</v>
      </c>
      <c r="DI132" s="696"/>
      <c r="DJ132" s="37"/>
      <c r="DL132" s="37"/>
      <c r="DM132" s="400" t="n">
        <f aca="false">(CS132-CZ132)*10^6</f>
        <v>0</v>
      </c>
      <c r="DN132" s="400" t="n">
        <f aca="false">(CT132-DC132)*10^6</f>
        <v>0</v>
      </c>
      <c r="DO132" s="400" t="n">
        <f aca="false">(CW132-DD132)*10^6</f>
        <v>0</v>
      </c>
    </row>
    <row r="133" s="818" customFormat="true" ht="15" hidden="false" customHeight="true" outlineLevel="1" collapsed="false">
      <c r="A133" s="815"/>
      <c r="B133" s="765" t="s">
        <v>529</v>
      </c>
      <c r="C133" s="679" t="s">
        <v>645</v>
      </c>
      <c r="D133" s="433"/>
      <c r="E133" s="433"/>
      <c r="F133" s="433"/>
      <c r="G133" s="537"/>
      <c r="H133" s="434"/>
      <c r="I133" s="435"/>
      <c r="J133" s="433"/>
      <c r="K133" s="433"/>
      <c r="L133" s="433"/>
      <c r="M133" s="537"/>
      <c r="N133" s="434"/>
      <c r="O133" s="423"/>
      <c r="P133" s="433"/>
      <c r="Q133" s="433"/>
      <c r="R133" s="433"/>
      <c r="S133" s="537"/>
      <c r="T133" s="434"/>
      <c r="U133" s="435"/>
      <c r="V133" s="433"/>
      <c r="W133" s="433"/>
      <c r="X133" s="433"/>
      <c r="Y133" s="433"/>
      <c r="Z133" s="432"/>
      <c r="AA133" s="537"/>
      <c r="AB133" s="434"/>
      <c r="AC133" s="435"/>
      <c r="AD133" s="433"/>
      <c r="AE133" s="433"/>
      <c r="AF133" s="433"/>
      <c r="AG133" s="433"/>
      <c r="AH133" s="432"/>
      <c r="AI133" s="537"/>
      <c r="AJ133" s="434"/>
      <c r="AK133" s="435"/>
      <c r="AL133" s="433"/>
      <c r="AM133" s="433"/>
      <c r="AN133" s="433"/>
      <c r="AO133" s="433"/>
      <c r="AP133" s="433"/>
      <c r="AQ133" s="432"/>
      <c r="AR133" s="537"/>
      <c r="AS133" s="434"/>
      <c r="AT133" s="423"/>
      <c r="AU133" s="432"/>
      <c r="AV133" s="433"/>
      <c r="AW133" s="433"/>
      <c r="AX133" s="433"/>
      <c r="AY133" s="433"/>
      <c r="AZ133" s="537"/>
      <c r="BA133" s="434"/>
      <c r="BB133" s="435"/>
      <c r="BC133" s="432"/>
      <c r="BD133" s="433"/>
      <c r="BE133" s="433"/>
      <c r="BF133" s="433"/>
      <c r="BG133" s="433"/>
      <c r="BH133" s="537"/>
      <c r="BI133" s="434"/>
      <c r="BJ133" s="423"/>
      <c r="BK133" s="432"/>
      <c r="BL133" s="433"/>
      <c r="BM133" s="433"/>
      <c r="BN133" s="433"/>
      <c r="BO133" s="433"/>
      <c r="BP133" s="433"/>
      <c r="BQ133" s="537"/>
      <c r="BR133" s="434"/>
      <c r="BS133" s="435"/>
      <c r="BT133" s="432"/>
      <c r="BU133" s="433"/>
      <c r="BV133" s="433"/>
      <c r="BW133" s="433"/>
      <c r="BX133" s="433"/>
      <c r="BY133" s="537"/>
      <c r="BZ133" s="434"/>
      <c r="CA133" s="422"/>
      <c r="CB133" s="432"/>
      <c r="CC133" s="433"/>
      <c r="CD133" s="433"/>
      <c r="CE133" s="433"/>
      <c r="CF133" s="433"/>
      <c r="CG133" s="537"/>
      <c r="CH133" s="434"/>
      <c r="CI133" s="422"/>
      <c r="CJ133" s="432"/>
      <c r="CK133" s="433"/>
      <c r="CL133" s="433"/>
      <c r="CM133" s="433"/>
      <c r="CN133" s="433"/>
      <c r="CO133" s="537"/>
      <c r="CP133" s="434"/>
      <c r="CQ133" s="435"/>
      <c r="CR133" s="433"/>
      <c r="CS133" s="433"/>
      <c r="CT133" s="433"/>
      <c r="CU133" s="433" t="n">
        <f aca="false">+CR133-CS133</f>
        <v>0</v>
      </c>
      <c r="CV133" s="433" t="n">
        <f aca="false">+CR133-CT133</f>
        <v>0</v>
      </c>
      <c r="CW133" s="433"/>
      <c r="CX133" s="791" t="e">
        <f aca="false">+CR133/CW133-1</f>
        <v>#DIV/0!</v>
      </c>
      <c r="CY133" s="206"/>
      <c r="CZ133" s="817"/>
      <c r="DA133" s="433"/>
      <c r="DB133" s="433"/>
      <c r="DC133" s="433"/>
      <c r="DD133" s="537"/>
      <c r="DE133" s="434" t="e">
        <f aca="false">(CZ133-DD133)/DD133</f>
        <v>#DIV/0!</v>
      </c>
      <c r="DF133" s="434" t="e">
        <f aca="false">(DA133-DD133)/DD133</f>
        <v>#DIV/0!</v>
      </c>
      <c r="DG133" s="434" t="e">
        <f aca="false">(DB133-DD133)/DD133</f>
        <v>#DIV/0!</v>
      </c>
      <c r="DH133" s="434" t="e">
        <f aca="false">(DC133-DD133)/DD133</f>
        <v>#DIV/0!</v>
      </c>
      <c r="DI133" s="696"/>
      <c r="DJ133" s="37"/>
      <c r="DL133" s="37"/>
      <c r="DM133" s="400" t="n">
        <f aca="false">(CS133-CZ133)*10^6</f>
        <v>0</v>
      </c>
      <c r="DN133" s="400" t="n">
        <f aca="false">(CT133-DC133)*10^6</f>
        <v>0</v>
      </c>
      <c r="DO133" s="400" t="n">
        <f aca="false">(CW133-DD133)*10^6</f>
        <v>0</v>
      </c>
    </row>
    <row r="134" s="818" customFormat="true" ht="15" hidden="false" customHeight="true" outlineLevel="1" collapsed="false">
      <c r="A134" s="815"/>
      <c r="B134" s="765" t="s">
        <v>533</v>
      </c>
      <c r="C134" s="679" t="s">
        <v>646</v>
      </c>
      <c r="D134" s="433"/>
      <c r="E134" s="433"/>
      <c r="F134" s="433"/>
      <c r="G134" s="537"/>
      <c r="H134" s="434"/>
      <c r="I134" s="435"/>
      <c r="J134" s="433"/>
      <c r="K134" s="433"/>
      <c r="L134" s="433"/>
      <c r="M134" s="537"/>
      <c r="N134" s="434"/>
      <c r="O134" s="423"/>
      <c r="P134" s="433"/>
      <c r="Q134" s="433"/>
      <c r="R134" s="433"/>
      <c r="S134" s="537"/>
      <c r="T134" s="434"/>
      <c r="U134" s="435"/>
      <c r="V134" s="433"/>
      <c r="W134" s="433"/>
      <c r="X134" s="433"/>
      <c r="Y134" s="433"/>
      <c r="Z134" s="432"/>
      <c r="AA134" s="537"/>
      <c r="AB134" s="434"/>
      <c r="AC134" s="435"/>
      <c r="AD134" s="433"/>
      <c r="AE134" s="433"/>
      <c r="AF134" s="433"/>
      <c r="AG134" s="433"/>
      <c r="AH134" s="432"/>
      <c r="AI134" s="537"/>
      <c r="AJ134" s="434"/>
      <c r="AK134" s="435"/>
      <c r="AL134" s="433"/>
      <c r="AM134" s="433"/>
      <c r="AN134" s="433"/>
      <c r="AO134" s="433"/>
      <c r="AP134" s="433"/>
      <c r="AQ134" s="432"/>
      <c r="AR134" s="537"/>
      <c r="AS134" s="434"/>
      <c r="AT134" s="423"/>
      <c r="AU134" s="432"/>
      <c r="AV134" s="433"/>
      <c r="AW134" s="433"/>
      <c r="AX134" s="433"/>
      <c r="AY134" s="433"/>
      <c r="AZ134" s="537"/>
      <c r="BA134" s="434"/>
      <c r="BB134" s="435"/>
      <c r="BC134" s="432"/>
      <c r="BD134" s="433"/>
      <c r="BE134" s="433"/>
      <c r="BF134" s="433"/>
      <c r="BG134" s="433"/>
      <c r="BH134" s="537"/>
      <c r="BI134" s="434"/>
      <c r="BJ134" s="423"/>
      <c r="BK134" s="432"/>
      <c r="BL134" s="433"/>
      <c r="BM134" s="433"/>
      <c r="BN134" s="433"/>
      <c r="BO134" s="433"/>
      <c r="BP134" s="433"/>
      <c r="BQ134" s="537"/>
      <c r="BR134" s="434"/>
      <c r="BS134" s="435"/>
      <c r="BT134" s="432"/>
      <c r="BU134" s="433"/>
      <c r="BV134" s="433"/>
      <c r="BW134" s="433"/>
      <c r="BX134" s="433"/>
      <c r="BY134" s="537"/>
      <c r="BZ134" s="434"/>
      <c r="CA134" s="422"/>
      <c r="CB134" s="432"/>
      <c r="CC134" s="433"/>
      <c r="CD134" s="433"/>
      <c r="CE134" s="433"/>
      <c r="CF134" s="433"/>
      <c r="CG134" s="537"/>
      <c r="CH134" s="434"/>
      <c r="CI134" s="422"/>
      <c r="CJ134" s="432"/>
      <c r="CK134" s="433"/>
      <c r="CL134" s="433"/>
      <c r="CM134" s="433"/>
      <c r="CN134" s="433"/>
      <c r="CO134" s="537"/>
      <c r="CP134" s="434"/>
      <c r="CQ134" s="435"/>
      <c r="CR134" s="433"/>
      <c r="CS134" s="433"/>
      <c r="CT134" s="433"/>
      <c r="CU134" s="433" t="n">
        <f aca="false">+CR134-CS134</f>
        <v>0</v>
      </c>
      <c r="CV134" s="433" t="n">
        <f aca="false">+CR134-CT134</f>
        <v>0</v>
      </c>
      <c r="CW134" s="433"/>
      <c r="CX134" s="791"/>
      <c r="CY134" s="206"/>
      <c r="CZ134" s="817"/>
      <c r="DA134" s="433"/>
      <c r="DB134" s="433"/>
      <c r="DC134" s="433"/>
      <c r="DD134" s="537"/>
      <c r="DE134" s="434"/>
      <c r="DF134" s="434"/>
      <c r="DG134" s="434"/>
      <c r="DH134" s="434"/>
      <c r="DI134" s="696"/>
      <c r="DJ134" s="37"/>
      <c r="DL134" s="37"/>
      <c r="DM134" s="400" t="n">
        <f aca="false">(CS134-CZ134)*10^6</f>
        <v>0</v>
      </c>
      <c r="DN134" s="400" t="n">
        <f aca="false">(CT134-DC134)*10^6</f>
        <v>0</v>
      </c>
      <c r="DO134" s="400" t="n">
        <f aca="false">(CW134-DD134)*10^6</f>
        <v>0</v>
      </c>
    </row>
    <row r="135" s="818" customFormat="true" ht="15" hidden="false" customHeight="true" outlineLevel="1" collapsed="false">
      <c r="A135" s="815"/>
      <c r="B135" s="765" t="s">
        <v>535</v>
      </c>
      <c r="C135" s="679" t="s">
        <v>647</v>
      </c>
      <c r="D135" s="433"/>
      <c r="E135" s="433"/>
      <c r="F135" s="433"/>
      <c r="G135" s="537"/>
      <c r="H135" s="434"/>
      <c r="I135" s="435"/>
      <c r="J135" s="433"/>
      <c r="K135" s="433"/>
      <c r="L135" s="433"/>
      <c r="M135" s="537"/>
      <c r="N135" s="434"/>
      <c r="O135" s="423"/>
      <c r="P135" s="433"/>
      <c r="Q135" s="433"/>
      <c r="R135" s="433"/>
      <c r="S135" s="537"/>
      <c r="T135" s="434"/>
      <c r="U135" s="435"/>
      <c r="V135" s="433"/>
      <c r="W135" s="433"/>
      <c r="X135" s="433"/>
      <c r="Y135" s="433"/>
      <c r="Z135" s="432"/>
      <c r="AA135" s="537"/>
      <c r="AB135" s="434"/>
      <c r="AC135" s="435"/>
      <c r="AD135" s="433"/>
      <c r="AE135" s="433"/>
      <c r="AF135" s="433"/>
      <c r="AG135" s="433"/>
      <c r="AH135" s="432"/>
      <c r="AI135" s="537"/>
      <c r="AJ135" s="434"/>
      <c r="AK135" s="435"/>
      <c r="AL135" s="433"/>
      <c r="AM135" s="433"/>
      <c r="AN135" s="433"/>
      <c r="AO135" s="433"/>
      <c r="AP135" s="433"/>
      <c r="AQ135" s="432"/>
      <c r="AR135" s="537"/>
      <c r="AS135" s="434"/>
      <c r="AT135" s="423"/>
      <c r="AU135" s="432"/>
      <c r="AV135" s="433"/>
      <c r="AW135" s="433"/>
      <c r="AX135" s="433"/>
      <c r="AY135" s="433"/>
      <c r="AZ135" s="537"/>
      <c r="BA135" s="434"/>
      <c r="BB135" s="435"/>
      <c r="BC135" s="432"/>
      <c r="BD135" s="433"/>
      <c r="BE135" s="433"/>
      <c r="BF135" s="433"/>
      <c r="BG135" s="433"/>
      <c r="BH135" s="537"/>
      <c r="BI135" s="434"/>
      <c r="BJ135" s="423"/>
      <c r="BK135" s="432"/>
      <c r="BL135" s="433"/>
      <c r="BM135" s="433"/>
      <c r="BN135" s="433"/>
      <c r="BO135" s="433"/>
      <c r="BP135" s="433"/>
      <c r="BQ135" s="537"/>
      <c r="BR135" s="434"/>
      <c r="BS135" s="435"/>
      <c r="BT135" s="432"/>
      <c r="BU135" s="433"/>
      <c r="BV135" s="433"/>
      <c r="BW135" s="433"/>
      <c r="BX135" s="433"/>
      <c r="BY135" s="537"/>
      <c r="BZ135" s="434"/>
      <c r="CA135" s="422"/>
      <c r="CB135" s="432"/>
      <c r="CC135" s="433"/>
      <c r="CD135" s="433"/>
      <c r="CE135" s="433"/>
      <c r="CF135" s="433"/>
      <c r="CG135" s="537"/>
      <c r="CH135" s="434"/>
      <c r="CI135" s="422"/>
      <c r="CJ135" s="432"/>
      <c r="CK135" s="433"/>
      <c r="CL135" s="433"/>
      <c r="CM135" s="433"/>
      <c r="CN135" s="433"/>
      <c r="CO135" s="537"/>
      <c r="CP135" s="434"/>
      <c r="CQ135" s="435"/>
      <c r="CR135" s="433"/>
      <c r="CS135" s="433"/>
      <c r="CT135" s="433"/>
      <c r="CU135" s="433" t="n">
        <f aca="false">+CR135-CS135</f>
        <v>0</v>
      </c>
      <c r="CV135" s="433" t="n">
        <f aca="false">+CR135-CT135</f>
        <v>0</v>
      </c>
      <c r="CW135" s="433"/>
      <c r="CX135" s="791"/>
      <c r="CY135" s="206"/>
      <c r="CZ135" s="817"/>
      <c r="DA135" s="433"/>
      <c r="DB135" s="433"/>
      <c r="DC135" s="433"/>
      <c r="DD135" s="537"/>
      <c r="DE135" s="434"/>
      <c r="DF135" s="434"/>
      <c r="DG135" s="434"/>
      <c r="DH135" s="434"/>
      <c r="DI135" s="696"/>
      <c r="DJ135" s="37"/>
      <c r="DL135" s="37"/>
      <c r="DM135" s="400" t="n">
        <f aca="false">(CS135-CZ135)*10^6</f>
        <v>0</v>
      </c>
      <c r="DN135" s="400" t="n">
        <f aca="false">(CT135-DC135)*10^6</f>
        <v>0</v>
      </c>
      <c r="DO135" s="400" t="n">
        <f aca="false">(CW135-DD135)*10^6</f>
        <v>0</v>
      </c>
    </row>
    <row r="136" s="818" customFormat="true" ht="15" hidden="false" customHeight="true" outlineLevel="1" collapsed="false">
      <c r="A136" s="815"/>
      <c r="B136" s="765" t="s">
        <v>537</v>
      </c>
      <c r="C136" s="679" t="s">
        <v>648</v>
      </c>
      <c r="D136" s="433"/>
      <c r="E136" s="433"/>
      <c r="F136" s="433"/>
      <c r="G136" s="537"/>
      <c r="H136" s="434"/>
      <c r="I136" s="435"/>
      <c r="J136" s="433"/>
      <c r="K136" s="433"/>
      <c r="L136" s="433"/>
      <c r="M136" s="537"/>
      <c r="N136" s="434"/>
      <c r="O136" s="423"/>
      <c r="P136" s="433"/>
      <c r="Q136" s="433"/>
      <c r="R136" s="433"/>
      <c r="S136" s="537"/>
      <c r="T136" s="434"/>
      <c r="U136" s="435"/>
      <c r="V136" s="433"/>
      <c r="W136" s="433"/>
      <c r="X136" s="433"/>
      <c r="Y136" s="433"/>
      <c r="Z136" s="432"/>
      <c r="AA136" s="537"/>
      <c r="AB136" s="434"/>
      <c r="AC136" s="435"/>
      <c r="AD136" s="433"/>
      <c r="AE136" s="433"/>
      <c r="AF136" s="433"/>
      <c r="AG136" s="433"/>
      <c r="AH136" s="432"/>
      <c r="AI136" s="537"/>
      <c r="AJ136" s="434"/>
      <c r="AK136" s="435"/>
      <c r="AL136" s="433"/>
      <c r="AM136" s="433"/>
      <c r="AN136" s="433"/>
      <c r="AO136" s="433"/>
      <c r="AP136" s="433"/>
      <c r="AQ136" s="432"/>
      <c r="AR136" s="537"/>
      <c r="AS136" s="434"/>
      <c r="AT136" s="423"/>
      <c r="AU136" s="432"/>
      <c r="AV136" s="433"/>
      <c r="AW136" s="433"/>
      <c r="AX136" s="433"/>
      <c r="AY136" s="433"/>
      <c r="AZ136" s="537"/>
      <c r="BA136" s="434"/>
      <c r="BB136" s="435"/>
      <c r="BC136" s="432"/>
      <c r="BD136" s="433"/>
      <c r="BE136" s="433"/>
      <c r="BF136" s="433"/>
      <c r="BG136" s="433"/>
      <c r="BH136" s="537"/>
      <c r="BI136" s="434"/>
      <c r="BJ136" s="423"/>
      <c r="BK136" s="432"/>
      <c r="BL136" s="433"/>
      <c r="BM136" s="433"/>
      <c r="BN136" s="433"/>
      <c r="BO136" s="433"/>
      <c r="BP136" s="433"/>
      <c r="BQ136" s="537"/>
      <c r="BR136" s="434"/>
      <c r="BS136" s="435"/>
      <c r="BT136" s="432"/>
      <c r="BU136" s="433"/>
      <c r="BV136" s="433"/>
      <c r="BW136" s="433"/>
      <c r="BX136" s="433"/>
      <c r="BY136" s="537"/>
      <c r="BZ136" s="434"/>
      <c r="CA136" s="422"/>
      <c r="CB136" s="432"/>
      <c r="CC136" s="433"/>
      <c r="CD136" s="433"/>
      <c r="CE136" s="433"/>
      <c r="CF136" s="433"/>
      <c r="CG136" s="537"/>
      <c r="CH136" s="434"/>
      <c r="CI136" s="422"/>
      <c r="CJ136" s="432"/>
      <c r="CK136" s="433"/>
      <c r="CL136" s="433"/>
      <c r="CM136" s="433"/>
      <c r="CN136" s="433"/>
      <c r="CO136" s="537"/>
      <c r="CP136" s="434"/>
      <c r="CQ136" s="435"/>
      <c r="CR136" s="433"/>
      <c r="CS136" s="433"/>
      <c r="CT136" s="433"/>
      <c r="CU136" s="433" t="n">
        <f aca="false">+CR136-CS136</f>
        <v>0</v>
      </c>
      <c r="CV136" s="433" t="n">
        <f aca="false">+CR136-CT136</f>
        <v>0</v>
      </c>
      <c r="CW136" s="433"/>
      <c r="CX136" s="791"/>
      <c r="CY136" s="206"/>
      <c r="CZ136" s="817"/>
      <c r="DA136" s="433"/>
      <c r="DB136" s="433"/>
      <c r="DC136" s="433"/>
      <c r="DD136" s="537"/>
      <c r="DE136" s="434"/>
      <c r="DF136" s="434"/>
      <c r="DG136" s="434"/>
      <c r="DH136" s="434"/>
      <c r="DI136" s="696"/>
      <c r="DJ136" s="37"/>
      <c r="DL136" s="37"/>
      <c r="DM136" s="400" t="n">
        <f aca="false">(CS136-CZ136)*10^6</f>
        <v>0</v>
      </c>
      <c r="DN136" s="400" t="n">
        <f aca="false">(CT136-DC136)*10^6</f>
        <v>0</v>
      </c>
      <c r="DO136" s="400" t="n">
        <f aca="false">(CW136-DD136)*10^6</f>
        <v>0</v>
      </c>
    </row>
    <row r="137" s="793" customFormat="true" ht="15" hidden="false" customHeight="true" outlineLevel="1" collapsed="false">
      <c r="A137" s="786"/>
      <c r="B137" s="750" t="s">
        <v>543</v>
      </c>
      <c r="C137" s="679" t="s">
        <v>649</v>
      </c>
      <c r="D137" s="758"/>
      <c r="E137" s="758"/>
      <c r="F137" s="758"/>
      <c r="G137" s="758"/>
      <c r="H137" s="788"/>
      <c r="I137" s="789"/>
      <c r="J137" s="758"/>
      <c r="K137" s="758"/>
      <c r="L137" s="758"/>
      <c r="M137" s="758"/>
      <c r="N137" s="788"/>
      <c r="O137" s="733"/>
      <c r="P137" s="758"/>
      <c r="Q137" s="758"/>
      <c r="R137" s="758"/>
      <c r="S137" s="758"/>
      <c r="T137" s="788"/>
      <c r="U137" s="789"/>
      <c r="V137" s="758"/>
      <c r="W137" s="758"/>
      <c r="X137" s="758"/>
      <c r="Y137" s="758"/>
      <c r="Z137" s="790"/>
      <c r="AA137" s="758"/>
      <c r="AB137" s="788"/>
      <c r="AC137" s="789"/>
      <c r="AD137" s="758"/>
      <c r="AE137" s="758"/>
      <c r="AF137" s="758"/>
      <c r="AG137" s="758"/>
      <c r="AH137" s="790"/>
      <c r="AI137" s="758"/>
      <c r="AJ137" s="788"/>
      <c r="AK137" s="789"/>
      <c r="AL137" s="758"/>
      <c r="AM137" s="758"/>
      <c r="AN137" s="758"/>
      <c r="AO137" s="758"/>
      <c r="AP137" s="758"/>
      <c r="AQ137" s="790"/>
      <c r="AR137" s="758"/>
      <c r="AS137" s="788"/>
      <c r="AT137" s="733"/>
      <c r="AU137" s="790"/>
      <c r="AV137" s="758"/>
      <c r="AW137" s="758"/>
      <c r="AX137" s="758"/>
      <c r="AY137" s="758"/>
      <c r="AZ137" s="758"/>
      <c r="BA137" s="788"/>
      <c r="BB137" s="789"/>
      <c r="BC137" s="790"/>
      <c r="BD137" s="758"/>
      <c r="BE137" s="758"/>
      <c r="BF137" s="758"/>
      <c r="BG137" s="758"/>
      <c r="BH137" s="758"/>
      <c r="BI137" s="788"/>
      <c r="BJ137" s="733"/>
      <c r="BK137" s="790"/>
      <c r="BL137" s="758"/>
      <c r="BM137" s="758"/>
      <c r="BN137" s="758"/>
      <c r="BO137" s="758"/>
      <c r="BP137" s="758"/>
      <c r="BQ137" s="758"/>
      <c r="BR137" s="788"/>
      <c r="BS137" s="789"/>
      <c r="BT137" s="790"/>
      <c r="BU137" s="758"/>
      <c r="BV137" s="758"/>
      <c r="BW137" s="758"/>
      <c r="BX137" s="758"/>
      <c r="BY137" s="758"/>
      <c r="BZ137" s="788"/>
      <c r="CA137" s="732"/>
      <c r="CB137" s="790"/>
      <c r="CC137" s="758"/>
      <c r="CD137" s="758"/>
      <c r="CE137" s="758"/>
      <c r="CF137" s="758"/>
      <c r="CG137" s="758"/>
      <c r="CH137" s="788"/>
      <c r="CI137" s="732"/>
      <c r="CJ137" s="790"/>
      <c r="CK137" s="758"/>
      <c r="CL137" s="758"/>
      <c r="CM137" s="758"/>
      <c r="CN137" s="758"/>
      <c r="CO137" s="758"/>
      <c r="CP137" s="788"/>
      <c r="CQ137" s="789"/>
      <c r="CR137" s="758"/>
      <c r="CS137" s="758"/>
      <c r="CT137" s="758"/>
      <c r="CU137" s="758" t="n">
        <f aca="false">+CR137-CS137</f>
        <v>0</v>
      </c>
      <c r="CV137" s="758" t="n">
        <f aca="false">+CR137-CT137</f>
        <v>0</v>
      </c>
      <c r="CW137" s="758"/>
      <c r="CX137" s="819" t="e">
        <f aca="false">+CR137/CW137-1</f>
        <v>#DIV/0!</v>
      </c>
      <c r="CY137" s="105"/>
      <c r="CZ137" s="792"/>
      <c r="DA137" s="758"/>
      <c r="DB137" s="758"/>
      <c r="DC137" s="758"/>
      <c r="DD137" s="758"/>
      <c r="DE137" s="788" t="e">
        <f aca="false">(CZ137-DD137)/DD137</f>
        <v>#DIV/0!</v>
      </c>
      <c r="DF137" s="788" t="e">
        <f aca="false">(DA137-DD137)/DD137</f>
        <v>#DIV/0!</v>
      </c>
      <c r="DG137" s="788" t="e">
        <f aca="false">(DB137-DD137)/DD137</f>
        <v>#DIV/0!</v>
      </c>
      <c r="DH137" s="788" t="e">
        <f aca="false">(DC137-DD137)/DD137</f>
        <v>#DIV/0!</v>
      </c>
      <c r="DI137" s="696"/>
      <c r="DJ137" s="37"/>
      <c r="DL137" s="37"/>
      <c r="DM137" s="400" t="n">
        <f aca="false">(CS137-CZ137)*10^6</f>
        <v>0</v>
      </c>
      <c r="DN137" s="400" t="n">
        <f aca="false">(CT137-DC137)*10^6</f>
        <v>0</v>
      </c>
      <c r="DO137" s="400" t="n">
        <f aca="false">(CW137-DD137)*10^6</f>
        <v>0</v>
      </c>
    </row>
    <row r="138" s="800" customFormat="true" ht="12.75" hidden="false" customHeight="true" outlineLevel="1" collapsed="false">
      <c r="A138" s="794"/>
      <c r="B138" s="795"/>
      <c r="C138" s="679" t="s">
        <v>650</v>
      </c>
      <c r="D138" s="460"/>
      <c r="E138" s="460"/>
      <c r="F138" s="460"/>
      <c r="G138" s="460"/>
      <c r="H138" s="462"/>
      <c r="I138" s="796"/>
      <c r="J138" s="460"/>
      <c r="K138" s="460"/>
      <c r="L138" s="460"/>
      <c r="M138" s="460"/>
      <c r="N138" s="462"/>
      <c r="O138" s="797"/>
      <c r="P138" s="460"/>
      <c r="Q138" s="460"/>
      <c r="R138" s="460"/>
      <c r="S138" s="460"/>
      <c r="T138" s="462"/>
      <c r="U138" s="796"/>
      <c r="V138" s="460"/>
      <c r="W138" s="460"/>
      <c r="X138" s="460"/>
      <c r="Y138" s="460"/>
      <c r="Z138" s="461"/>
      <c r="AA138" s="460"/>
      <c r="AB138" s="462"/>
      <c r="AC138" s="796"/>
      <c r="AD138" s="460"/>
      <c r="AE138" s="460"/>
      <c r="AF138" s="460"/>
      <c r="AG138" s="460"/>
      <c r="AH138" s="461"/>
      <c r="AI138" s="460"/>
      <c r="AJ138" s="462"/>
      <c r="AK138" s="796"/>
      <c r="AL138" s="460"/>
      <c r="AM138" s="460"/>
      <c r="AN138" s="460"/>
      <c r="AO138" s="460"/>
      <c r="AP138" s="460"/>
      <c r="AQ138" s="461"/>
      <c r="AR138" s="460"/>
      <c r="AS138" s="462"/>
      <c r="AT138" s="797"/>
      <c r="AU138" s="461"/>
      <c r="AV138" s="460"/>
      <c r="AW138" s="460"/>
      <c r="AX138" s="460"/>
      <c r="AY138" s="460"/>
      <c r="AZ138" s="460"/>
      <c r="BA138" s="462"/>
      <c r="BB138" s="796"/>
      <c r="BC138" s="461"/>
      <c r="BD138" s="460"/>
      <c r="BE138" s="460"/>
      <c r="BF138" s="460"/>
      <c r="BG138" s="460"/>
      <c r="BH138" s="460"/>
      <c r="BI138" s="462"/>
      <c r="BJ138" s="797"/>
      <c r="BK138" s="461"/>
      <c r="BL138" s="460"/>
      <c r="BM138" s="460"/>
      <c r="BN138" s="460"/>
      <c r="BO138" s="460"/>
      <c r="BP138" s="460"/>
      <c r="BQ138" s="460"/>
      <c r="BR138" s="462"/>
      <c r="BS138" s="796"/>
      <c r="BT138" s="461"/>
      <c r="BU138" s="460"/>
      <c r="BV138" s="460"/>
      <c r="BW138" s="460"/>
      <c r="BX138" s="460"/>
      <c r="BY138" s="460"/>
      <c r="BZ138" s="462"/>
      <c r="CA138" s="798"/>
      <c r="CB138" s="461"/>
      <c r="CC138" s="460"/>
      <c r="CD138" s="460"/>
      <c r="CE138" s="460"/>
      <c r="CF138" s="460"/>
      <c r="CG138" s="460"/>
      <c r="CH138" s="462"/>
      <c r="CI138" s="798"/>
      <c r="CJ138" s="461"/>
      <c r="CK138" s="460"/>
      <c r="CL138" s="460"/>
      <c r="CM138" s="460"/>
      <c r="CN138" s="460"/>
      <c r="CO138" s="460"/>
      <c r="CP138" s="462"/>
      <c r="CQ138" s="796"/>
      <c r="CR138" s="460"/>
      <c r="CS138" s="460"/>
      <c r="CT138" s="460"/>
      <c r="CU138" s="460" t="n">
        <f aca="false">+CR138-CS138</f>
        <v>0</v>
      </c>
      <c r="CV138" s="460" t="n">
        <f aca="false">+CR138-CT138</f>
        <v>0</v>
      </c>
      <c r="CW138" s="460"/>
      <c r="CX138" s="799"/>
      <c r="CY138" s="258"/>
      <c r="CZ138" s="801"/>
      <c r="DA138" s="460"/>
      <c r="DB138" s="460"/>
      <c r="DC138" s="460"/>
      <c r="DD138" s="460"/>
      <c r="DE138" s="462"/>
      <c r="DF138" s="462"/>
      <c r="DG138" s="462"/>
      <c r="DH138" s="462"/>
      <c r="DI138" s="696"/>
      <c r="DJ138" s="256"/>
      <c r="DK138" s="14"/>
      <c r="DL138" s="256"/>
      <c r="DM138" s="400" t="n">
        <f aca="false">(CS138-CZ138)*10^6</f>
        <v>0</v>
      </c>
      <c r="DN138" s="400" t="n">
        <f aca="false">(CT138-DC138)*10^6</f>
        <v>0</v>
      </c>
      <c r="DO138" s="400" t="n">
        <f aca="false">(CW138-DD138)*10^6</f>
        <v>0</v>
      </c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</row>
    <row r="139" s="800" customFormat="true" ht="12.75" hidden="false" customHeight="true" outlineLevel="1" collapsed="false">
      <c r="A139" s="794"/>
      <c r="B139" s="795" t="s">
        <v>546</v>
      </c>
      <c r="C139" s="679" t="s">
        <v>651</v>
      </c>
      <c r="D139" s="460"/>
      <c r="E139" s="460"/>
      <c r="F139" s="460"/>
      <c r="G139" s="460"/>
      <c r="H139" s="462"/>
      <c r="I139" s="796"/>
      <c r="J139" s="460"/>
      <c r="K139" s="460"/>
      <c r="L139" s="460"/>
      <c r="M139" s="460"/>
      <c r="N139" s="462"/>
      <c r="O139" s="797"/>
      <c r="P139" s="460"/>
      <c r="Q139" s="460"/>
      <c r="R139" s="460"/>
      <c r="S139" s="460"/>
      <c r="T139" s="462"/>
      <c r="U139" s="796"/>
      <c r="V139" s="460"/>
      <c r="W139" s="460"/>
      <c r="X139" s="460"/>
      <c r="Y139" s="460"/>
      <c r="Z139" s="461"/>
      <c r="AA139" s="460"/>
      <c r="AB139" s="462"/>
      <c r="AC139" s="796"/>
      <c r="AD139" s="460"/>
      <c r="AE139" s="460"/>
      <c r="AF139" s="460"/>
      <c r="AG139" s="460"/>
      <c r="AH139" s="461"/>
      <c r="AI139" s="460"/>
      <c r="AJ139" s="462"/>
      <c r="AK139" s="796"/>
      <c r="AL139" s="460"/>
      <c r="AM139" s="460"/>
      <c r="AN139" s="460"/>
      <c r="AO139" s="460"/>
      <c r="AP139" s="460"/>
      <c r="AQ139" s="461"/>
      <c r="AR139" s="460"/>
      <c r="AS139" s="462"/>
      <c r="AT139" s="797"/>
      <c r="AU139" s="461"/>
      <c r="AV139" s="460"/>
      <c r="AW139" s="460"/>
      <c r="AX139" s="460"/>
      <c r="AY139" s="460"/>
      <c r="AZ139" s="460"/>
      <c r="BA139" s="462"/>
      <c r="BB139" s="796"/>
      <c r="BC139" s="461"/>
      <c r="BD139" s="460"/>
      <c r="BE139" s="460"/>
      <c r="BF139" s="460"/>
      <c r="BG139" s="460"/>
      <c r="BH139" s="460"/>
      <c r="BI139" s="462"/>
      <c r="BJ139" s="797"/>
      <c r="BK139" s="461"/>
      <c r="BL139" s="460"/>
      <c r="BM139" s="460"/>
      <c r="BN139" s="460"/>
      <c r="BO139" s="460"/>
      <c r="BP139" s="460"/>
      <c r="BQ139" s="460"/>
      <c r="BR139" s="462"/>
      <c r="BS139" s="796"/>
      <c r="BT139" s="461"/>
      <c r="BU139" s="460"/>
      <c r="BV139" s="460"/>
      <c r="BW139" s="460"/>
      <c r="BX139" s="460"/>
      <c r="BY139" s="460"/>
      <c r="BZ139" s="462"/>
      <c r="CA139" s="798"/>
      <c r="CB139" s="461"/>
      <c r="CC139" s="460"/>
      <c r="CD139" s="460"/>
      <c r="CE139" s="460"/>
      <c r="CF139" s="460"/>
      <c r="CG139" s="460"/>
      <c r="CH139" s="462"/>
      <c r="CI139" s="798"/>
      <c r="CJ139" s="461"/>
      <c r="CK139" s="460"/>
      <c r="CL139" s="460"/>
      <c r="CM139" s="460"/>
      <c r="CN139" s="460"/>
      <c r="CO139" s="460"/>
      <c r="CP139" s="462"/>
      <c r="CQ139" s="796"/>
      <c r="CR139" s="460"/>
      <c r="CS139" s="460"/>
      <c r="CT139" s="460"/>
      <c r="CU139" s="460" t="n">
        <f aca="false">+CR139-CS139</f>
        <v>0</v>
      </c>
      <c r="CV139" s="460" t="n">
        <f aca="false">+CR139-CT139</f>
        <v>0</v>
      </c>
      <c r="CW139" s="460"/>
      <c r="CX139" s="799"/>
      <c r="CY139" s="258"/>
      <c r="CZ139" s="801"/>
      <c r="DA139" s="460"/>
      <c r="DB139" s="460"/>
      <c r="DC139" s="460"/>
      <c r="DD139" s="460"/>
      <c r="DE139" s="462"/>
      <c r="DF139" s="462"/>
      <c r="DG139" s="462"/>
      <c r="DH139" s="462"/>
      <c r="DI139" s="696"/>
      <c r="DJ139" s="256"/>
      <c r="DK139" s="14"/>
      <c r="DL139" s="256"/>
      <c r="DM139" s="400" t="n">
        <f aca="false">(CS139-CZ139)*10^6</f>
        <v>0</v>
      </c>
      <c r="DN139" s="400" t="n">
        <f aca="false">(CT139-DC139)*10^6</f>
        <v>0</v>
      </c>
      <c r="DO139" s="400" t="n">
        <f aca="false">(CW139-DD139)*10^6</f>
        <v>0</v>
      </c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</row>
    <row r="140" s="800" customFormat="true" ht="12.75" hidden="false" customHeight="true" outlineLevel="1" collapsed="false">
      <c r="A140" s="794"/>
      <c r="B140" s="795" t="s">
        <v>548</v>
      </c>
      <c r="C140" s="679" t="s">
        <v>652</v>
      </c>
      <c r="D140" s="460"/>
      <c r="E140" s="460"/>
      <c r="F140" s="460"/>
      <c r="G140" s="460"/>
      <c r="H140" s="462"/>
      <c r="I140" s="796"/>
      <c r="J140" s="460"/>
      <c r="K140" s="460"/>
      <c r="L140" s="460"/>
      <c r="M140" s="460"/>
      <c r="N140" s="462"/>
      <c r="O140" s="797"/>
      <c r="P140" s="460"/>
      <c r="Q140" s="460"/>
      <c r="R140" s="460"/>
      <c r="S140" s="460"/>
      <c r="T140" s="462"/>
      <c r="U140" s="796"/>
      <c r="V140" s="460"/>
      <c r="W140" s="460"/>
      <c r="X140" s="460"/>
      <c r="Y140" s="460"/>
      <c r="Z140" s="461"/>
      <c r="AA140" s="460"/>
      <c r="AB140" s="462"/>
      <c r="AC140" s="796"/>
      <c r="AD140" s="460"/>
      <c r="AE140" s="460"/>
      <c r="AF140" s="460"/>
      <c r="AG140" s="460"/>
      <c r="AH140" s="461"/>
      <c r="AI140" s="460"/>
      <c r="AJ140" s="462"/>
      <c r="AK140" s="796"/>
      <c r="AL140" s="460"/>
      <c r="AM140" s="460"/>
      <c r="AN140" s="460"/>
      <c r="AO140" s="460"/>
      <c r="AP140" s="460"/>
      <c r="AQ140" s="461"/>
      <c r="AR140" s="460"/>
      <c r="AS140" s="462"/>
      <c r="AT140" s="797"/>
      <c r="AU140" s="461"/>
      <c r="AV140" s="460"/>
      <c r="AW140" s="460"/>
      <c r="AX140" s="460"/>
      <c r="AY140" s="460"/>
      <c r="AZ140" s="460"/>
      <c r="BA140" s="462"/>
      <c r="BB140" s="796"/>
      <c r="BC140" s="461"/>
      <c r="BD140" s="460"/>
      <c r="BE140" s="460"/>
      <c r="BF140" s="460"/>
      <c r="BG140" s="460"/>
      <c r="BH140" s="460"/>
      <c r="BI140" s="462"/>
      <c r="BJ140" s="797"/>
      <c r="BK140" s="461"/>
      <c r="BL140" s="460"/>
      <c r="BM140" s="460"/>
      <c r="BN140" s="460"/>
      <c r="BO140" s="460"/>
      <c r="BP140" s="460"/>
      <c r="BQ140" s="460"/>
      <c r="BR140" s="462"/>
      <c r="BS140" s="796"/>
      <c r="BT140" s="461"/>
      <c r="BU140" s="460"/>
      <c r="BV140" s="460"/>
      <c r="BW140" s="460"/>
      <c r="BX140" s="460"/>
      <c r="BY140" s="460"/>
      <c r="BZ140" s="462"/>
      <c r="CA140" s="798"/>
      <c r="CB140" s="461"/>
      <c r="CC140" s="460"/>
      <c r="CD140" s="460"/>
      <c r="CE140" s="460"/>
      <c r="CF140" s="460"/>
      <c r="CG140" s="460"/>
      <c r="CH140" s="462"/>
      <c r="CI140" s="798"/>
      <c r="CJ140" s="461"/>
      <c r="CK140" s="460"/>
      <c r="CL140" s="460"/>
      <c r="CM140" s="460"/>
      <c r="CN140" s="460"/>
      <c r="CO140" s="460"/>
      <c r="CP140" s="462"/>
      <c r="CQ140" s="796"/>
      <c r="CR140" s="460"/>
      <c r="CS140" s="460"/>
      <c r="CT140" s="460"/>
      <c r="CU140" s="460" t="n">
        <f aca="false">+CR140-CS140</f>
        <v>0</v>
      </c>
      <c r="CV140" s="460" t="n">
        <f aca="false">+CR140-CT140</f>
        <v>0</v>
      </c>
      <c r="CW140" s="460"/>
      <c r="CX140" s="799"/>
      <c r="CY140" s="258"/>
      <c r="CZ140" s="801"/>
      <c r="DA140" s="460"/>
      <c r="DB140" s="460"/>
      <c r="DC140" s="460"/>
      <c r="DD140" s="460"/>
      <c r="DE140" s="462"/>
      <c r="DF140" s="462"/>
      <c r="DG140" s="462"/>
      <c r="DH140" s="462"/>
      <c r="DI140" s="696"/>
      <c r="DJ140" s="256"/>
      <c r="DK140" s="14"/>
      <c r="DL140" s="256"/>
      <c r="DM140" s="400" t="n">
        <f aca="false">(CS140-CZ140)*10^6</f>
        <v>0</v>
      </c>
      <c r="DN140" s="400" t="n">
        <f aca="false">(CT140-DC140)*10^6</f>
        <v>0</v>
      </c>
      <c r="DO140" s="400" t="n">
        <f aca="false">(CW140-DD140)*10^6</f>
        <v>0</v>
      </c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</row>
    <row r="141" s="800" customFormat="true" ht="12.75" hidden="false" customHeight="true" outlineLevel="1" collapsed="false">
      <c r="A141" s="794"/>
      <c r="B141" s="795" t="s">
        <v>550</v>
      </c>
      <c r="C141" s="679" t="s">
        <v>653</v>
      </c>
      <c r="D141" s="460"/>
      <c r="E141" s="460"/>
      <c r="F141" s="460"/>
      <c r="G141" s="460"/>
      <c r="H141" s="462"/>
      <c r="I141" s="796"/>
      <c r="J141" s="460"/>
      <c r="K141" s="460"/>
      <c r="L141" s="460"/>
      <c r="M141" s="460"/>
      <c r="N141" s="462"/>
      <c r="O141" s="797"/>
      <c r="P141" s="460"/>
      <c r="Q141" s="460"/>
      <c r="R141" s="460"/>
      <c r="S141" s="460"/>
      <c r="T141" s="462"/>
      <c r="U141" s="796"/>
      <c r="V141" s="460"/>
      <c r="W141" s="460"/>
      <c r="X141" s="460"/>
      <c r="Y141" s="460"/>
      <c r="Z141" s="461"/>
      <c r="AA141" s="460"/>
      <c r="AB141" s="462"/>
      <c r="AC141" s="796"/>
      <c r="AD141" s="460"/>
      <c r="AE141" s="460"/>
      <c r="AF141" s="460"/>
      <c r="AG141" s="460"/>
      <c r="AH141" s="461"/>
      <c r="AI141" s="460"/>
      <c r="AJ141" s="462"/>
      <c r="AK141" s="796"/>
      <c r="AL141" s="460"/>
      <c r="AM141" s="460"/>
      <c r="AN141" s="460"/>
      <c r="AO141" s="460"/>
      <c r="AP141" s="460"/>
      <c r="AQ141" s="461"/>
      <c r="AR141" s="460"/>
      <c r="AS141" s="462"/>
      <c r="AT141" s="797"/>
      <c r="AU141" s="461"/>
      <c r="AV141" s="460"/>
      <c r="AW141" s="460"/>
      <c r="AX141" s="460"/>
      <c r="AY141" s="460"/>
      <c r="AZ141" s="460"/>
      <c r="BA141" s="462"/>
      <c r="BB141" s="796"/>
      <c r="BC141" s="461"/>
      <c r="BD141" s="460"/>
      <c r="BE141" s="460"/>
      <c r="BF141" s="460"/>
      <c r="BG141" s="460"/>
      <c r="BH141" s="460"/>
      <c r="BI141" s="462"/>
      <c r="BJ141" s="797"/>
      <c r="BK141" s="461"/>
      <c r="BL141" s="460"/>
      <c r="BM141" s="460"/>
      <c r="BN141" s="460"/>
      <c r="BO141" s="460"/>
      <c r="BP141" s="460"/>
      <c r="BQ141" s="460"/>
      <c r="BR141" s="462"/>
      <c r="BS141" s="796"/>
      <c r="BT141" s="461"/>
      <c r="BU141" s="460"/>
      <c r="BV141" s="460"/>
      <c r="BW141" s="460"/>
      <c r="BX141" s="460"/>
      <c r="BY141" s="460"/>
      <c r="BZ141" s="462"/>
      <c r="CA141" s="798"/>
      <c r="CB141" s="461"/>
      <c r="CC141" s="460"/>
      <c r="CD141" s="460"/>
      <c r="CE141" s="460"/>
      <c r="CF141" s="460"/>
      <c r="CG141" s="460"/>
      <c r="CH141" s="462"/>
      <c r="CI141" s="798"/>
      <c r="CJ141" s="461"/>
      <c r="CK141" s="460"/>
      <c r="CL141" s="460"/>
      <c r="CM141" s="460"/>
      <c r="CN141" s="460"/>
      <c r="CO141" s="460"/>
      <c r="CP141" s="462"/>
      <c r="CQ141" s="796"/>
      <c r="CR141" s="460"/>
      <c r="CS141" s="460"/>
      <c r="CT141" s="460"/>
      <c r="CU141" s="460" t="n">
        <f aca="false">+CR141-CS141</f>
        <v>0</v>
      </c>
      <c r="CV141" s="460" t="n">
        <f aca="false">+CR141-CT141</f>
        <v>0</v>
      </c>
      <c r="CW141" s="460"/>
      <c r="CX141" s="799"/>
      <c r="CY141" s="258"/>
      <c r="CZ141" s="801"/>
      <c r="DA141" s="460"/>
      <c r="DB141" s="460"/>
      <c r="DC141" s="460"/>
      <c r="DD141" s="460"/>
      <c r="DE141" s="462"/>
      <c r="DF141" s="462"/>
      <c r="DG141" s="462"/>
      <c r="DH141" s="462"/>
      <c r="DI141" s="696"/>
      <c r="DJ141" s="256"/>
      <c r="DK141" s="14"/>
      <c r="DL141" s="256"/>
      <c r="DM141" s="400" t="n">
        <f aca="false">(CS141-CZ141)*10^6</f>
        <v>0</v>
      </c>
      <c r="DN141" s="400" t="n">
        <f aca="false">(CT141-DC141)*10^6</f>
        <v>0</v>
      </c>
      <c r="DO141" s="400" t="n">
        <f aca="false">(CW141-DD141)*10^6</f>
        <v>0</v>
      </c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</row>
    <row r="142" s="800" customFormat="true" ht="12.75" hidden="false" customHeight="true" outlineLevel="1" collapsed="false">
      <c r="A142" s="794"/>
      <c r="B142" s="795" t="s">
        <v>552</v>
      </c>
      <c r="C142" s="679" t="s">
        <v>654</v>
      </c>
      <c r="D142" s="460"/>
      <c r="E142" s="460"/>
      <c r="F142" s="460"/>
      <c r="G142" s="460"/>
      <c r="H142" s="462"/>
      <c r="I142" s="796"/>
      <c r="J142" s="460"/>
      <c r="K142" s="460"/>
      <c r="L142" s="460"/>
      <c r="M142" s="460"/>
      <c r="N142" s="462"/>
      <c r="O142" s="797"/>
      <c r="P142" s="460"/>
      <c r="Q142" s="460"/>
      <c r="R142" s="460"/>
      <c r="S142" s="460"/>
      <c r="T142" s="462"/>
      <c r="U142" s="796"/>
      <c r="V142" s="460"/>
      <c r="W142" s="460"/>
      <c r="X142" s="841"/>
      <c r="Y142" s="460"/>
      <c r="Z142" s="461"/>
      <c r="AA142" s="460"/>
      <c r="AB142" s="462"/>
      <c r="AC142" s="796"/>
      <c r="AD142" s="460"/>
      <c r="AE142" s="460"/>
      <c r="AF142" s="460"/>
      <c r="AG142" s="460"/>
      <c r="AH142" s="461"/>
      <c r="AI142" s="460"/>
      <c r="AJ142" s="462"/>
      <c r="AK142" s="796"/>
      <c r="AL142" s="460"/>
      <c r="AM142" s="460"/>
      <c r="AN142" s="460"/>
      <c r="AO142" s="460"/>
      <c r="AP142" s="460"/>
      <c r="AQ142" s="461"/>
      <c r="AR142" s="460"/>
      <c r="AS142" s="462"/>
      <c r="AT142" s="797"/>
      <c r="AU142" s="461"/>
      <c r="AV142" s="460"/>
      <c r="AW142" s="460"/>
      <c r="AX142" s="460"/>
      <c r="AY142" s="460"/>
      <c r="AZ142" s="460"/>
      <c r="BA142" s="462"/>
      <c r="BB142" s="796"/>
      <c r="BC142" s="461"/>
      <c r="BD142" s="460"/>
      <c r="BE142" s="460"/>
      <c r="BF142" s="460"/>
      <c r="BG142" s="460"/>
      <c r="BH142" s="460"/>
      <c r="BI142" s="462"/>
      <c r="BJ142" s="797"/>
      <c r="BK142" s="461"/>
      <c r="BL142" s="460"/>
      <c r="BM142" s="460"/>
      <c r="BN142" s="460"/>
      <c r="BO142" s="460"/>
      <c r="BP142" s="460"/>
      <c r="BQ142" s="460"/>
      <c r="BR142" s="462"/>
      <c r="BS142" s="796"/>
      <c r="BT142" s="461"/>
      <c r="BU142" s="460"/>
      <c r="BV142" s="460"/>
      <c r="BW142" s="460"/>
      <c r="BX142" s="460"/>
      <c r="BY142" s="460"/>
      <c r="BZ142" s="462"/>
      <c r="CA142" s="798"/>
      <c r="CB142" s="461"/>
      <c r="CC142" s="460"/>
      <c r="CD142" s="460"/>
      <c r="CE142" s="460"/>
      <c r="CF142" s="460"/>
      <c r="CG142" s="460"/>
      <c r="CH142" s="462"/>
      <c r="CI142" s="798"/>
      <c r="CJ142" s="461"/>
      <c r="CK142" s="460"/>
      <c r="CL142" s="460"/>
      <c r="CM142" s="460"/>
      <c r="CN142" s="460"/>
      <c r="CO142" s="460"/>
      <c r="CP142" s="462"/>
      <c r="CQ142" s="796"/>
      <c r="CR142" s="460"/>
      <c r="CS142" s="460"/>
      <c r="CT142" s="460"/>
      <c r="CU142" s="460" t="n">
        <f aca="false">+CR142-CS142</f>
        <v>0</v>
      </c>
      <c r="CV142" s="460" t="n">
        <f aca="false">+CR142-CT142</f>
        <v>0</v>
      </c>
      <c r="CW142" s="460"/>
      <c r="CX142" s="799" t="e">
        <f aca="false">+CR142/CW142-1</f>
        <v>#DIV/0!</v>
      </c>
      <c r="CY142" s="258"/>
      <c r="CZ142" s="801"/>
      <c r="DA142" s="460"/>
      <c r="DB142" s="460"/>
      <c r="DC142" s="460"/>
      <c r="DD142" s="460"/>
      <c r="DE142" s="462" t="e">
        <f aca="false">(CZ142-DD142)/DD142</f>
        <v>#DIV/0!</v>
      </c>
      <c r="DF142" s="462" t="e">
        <f aca="false">(DA142-DD142)/DD142</f>
        <v>#DIV/0!</v>
      </c>
      <c r="DG142" s="462" t="e">
        <f aca="false">(DB142-DD142)/DD142</f>
        <v>#DIV/0!</v>
      </c>
      <c r="DH142" s="462" t="e">
        <f aca="false">(DC142-DD142)/DD142</f>
        <v>#DIV/0!</v>
      </c>
      <c r="DI142" s="696"/>
      <c r="DJ142" s="256"/>
      <c r="DK142" s="14"/>
      <c r="DL142" s="256"/>
      <c r="DM142" s="400" t="n">
        <f aca="false">(CS142-CZ142)*10^6</f>
        <v>0</v>
      </c>
      <c r="DN142" s="400" t="n">
        <f aca="false">(CT142-DC142)*10^6</f>
        <v>0</v>
      </c>
      <c r="DO142" s="400" t="n">
        <f aca="false">(CW142-DD142)*10^6</f>
        <v>0</v>
      </c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</row>
    <row r="143" s="853" customFormat="true" ht="13.5" hidden="false" customHeight="true" outlineLevel="0" collapsed="false">
      <c r="A143" s="842"/>
      <c r="B143" s="843" t="s">
        <v>655</v>
      </c>
      <c r="C143" s="679" t="s">
        <v>656</v>
      </c>
      <c r="D143" s="184"/>
      <c r="E143" s="184"/>
      <c r="F143" s="184"/>
      <c r="G143" s="184"/>
      <c r="H143" s="844"/>
      <c r="I143" s="845"/>
      <c r="J143" s="130"/>
      <c r="K143" s="184"/>
      <c r="L143" s="184"/>
      <c r="M143" s="184"/>
      <c r="N143" s="844"/>
      <c r="O143" s="846"/>
      <c r="P143" s="130"/>
      <c r="Q143" s="184"/>
      <c r="R143" s="184"/>
      <c r="S143" s="184"/>
      <c r="T143" s="844"/>
      <c r="U143" s="845"/>
      <c r="V143" s="130"/>
      <c r="W143" s="184"/>
      <c r="X143" s="184"/>
      <c r="Y143" s="184"/>
      <c r="Z143" s="847"/>
      <c r="AA143" s="184"/>
      <c r="AB143" s="844"/>
      <c r="AC143" s="845"/>
      <c r="AD143" s="130"/>
      <c r="AE143" s="184"/>
      <c r="AF143" s="184"/>
      <c r="AG143" s="184"/>
      <c r="AH143" s="847"/>
      <c r="AI143" s="184"/>
      <c r="AJ143" s="844"/>
      <c r="AK143" s="845"/>
      <c r="AL143" s="130"/>
      <c r="AM143" s="184"/>
      <c r="AN143" s="130"/>
      <c r="AO143" s="184"/>
      <c r="AP143" s="184"/>
      <c r="AQ143" s="847"/>
      <c r="AR143" s="184"/>
      <c r="AS143" s="844"/>
      <c r="AT143" s="846"/>
      <c r="AU143" s="734"/>
      <c r="AV143" s="184"/>
      <c r="AW143" s="184"/>
      <c r="AX143" s="184"/>
      <c r="AY143" s="184"/>
      <c r="AZ143" s="184"/>
      <c r="BA143" s="844"/>
      <c r="BB143" s="845"/>
      <c r="BC143" s="734"/>
      <c r="BD143" s="184"/>
      <c r="BE143" s="184"/>
      <c r="BF143" s="184"/>
      <c r="BG143" s="184"/>
      <c r="BH143" s="184"/>
      <c r="BI143" s="844"/>
      <c r="BJ143" s="846"/>
      <c r="BK143" s="734"/>
      <c r="BL143" s="184"/>
      <c r="BM143" s="184"/>
      <c r="BN143" s="184"/>
      <c r="BO143" s="184"/>
      <c r="BP143" s="184"/>
      <c r="BQ143" s="184"/>
      <c r="BR143" s="844"/>
      <c r="BS143" s="845"/>
      <c r="BT143" s="734"/>
      <c r="BU143" s="184"/>
      <c r="BV143" s="184"/>
      <c r="BW143" s="184"/>
      <c r="BX143" s="184"/>
      <c r="BY143" s="848"/>
      <c r="BZ143" s="844"/>
      <c r="CA143" s="845"/>
      <c r="CB143" s="734"/>
      <c r="CC143" s="184"/>
      <c r="CD143" s="184"/>
      <c r="CE143" s="184"/>
      <c r="CF143" s="184"/>
      <c r="CG143" s="848"/>
      <c r="CH143" s="844"/>
      <c r="CI143" s="845"/>
      <c r="CJ143" s="734"/>
      <c r="CK143" s="184"/>
      <c r="CL143" s="184"/>
      <c r="CM143" s="184"/>
      <c r="CN143" s="184"/>
      <c r="CO143" s="848"/>
      <c r="CP143" s="844"/>
      <c r="CQ143" s="845"/>
      <c r="CR143" s="184"/>
      <c r="CS143" s="184"/>
      <c r="CT143" s="130"/>
      <c r="CU143" s="184" t="n">
        <f aca="false">+CR143-CS143</f>
        <v>0</v>
      </c>
      <c r="CV143" s="184" t="n">
        <f aca="false">+CR143-CT143</f>
        <v>0</v>
      </c>
      <c r="CW143" s="184"/>
      <c r="CX143" s="849" t="str">
        <f aca="false">IFERROR(CR143/CW143-1, "-")</f>
        <v>-</v>
      </c>
      <c r="CY143" s="105"/>
      <c r="CZ143" s="850"/>
      <c r="DA143" s="184"/>
      <c r="DB143" s="184"/>
      <c r="DC143" s="184"/>
      <c r="DD143" s="184"/>
      <c r="DE143" s="844" t="e">
        <f aca="false">(CZ143-DD143)/DD143</f>
        <v>#DIV/0!</v>
      </c>
      <c r="DF143" s="844" t="e">
        <f aca="false">(DA143-DD143)/DD143</f>
        <v>#DIV/0!</v>
      </c>
      <c r="DG143" s="844" t="e">
        <f aca="false">(DB143-DD143)/DD143</f>
        <v>#DIV/0!</v>
      </c>
      <c r="DH143" s="844" t="e">
        <f aca="false">(DC143-DD143)/DD143</f>
        <v>#DIV/0!</v>
      </c>
      <c r="DI143" s="696"/>
      <c r="DJ143" s="851"/>
      <c r="DK143" s="852"/>
      <c r="DL143" s="851"/>
      <c r="DM143" s="400" t="n">
        <f aca="false">(CS143-CZ143)*10^6</f>
        <v>0</v>
      </c>
      <c r="DN143" s="400" t="n">
        <f aca="false">(CT143-DC143)*10^6</f>
        <v>0</v>
      </c>
      <c r="DO143" s="400" t="n">
        <f aca="false">(CW143-DD143)*10^6</f>
        <v>0</v>
      </c>
      <c r="DP143" s="852"/>
      <c r="DQ143" s="852"/>
      <c r="DR143" s="852"/>
      <c r="DS143" s="852"/>
      <c r="DT143" s="852"/>
      <c r="DU143" s="852"/>
      <c r="DV143" s="852"/>
      <c r="DW143" s="852"/>
      <c r="DX143" s="852"/>
      <c r="DY143" s="852"/>
      <c r="DZ143" s="852"/>
      <c r="EA143" s="852"/>
      <c r="EB143" s="852"/>
      <c r="EC143" s="852"/>
      <c r="ED143" s="852"/>
      <c r="EE143" s="852"/>
      <c r="EF143" s="852"/>
      <c r="EG143" s="852"/>
      <c r="EH143" s="852"/>
      <c r="EI143" s="852"/>
      <c r="EJ143" s="852"/>
      <c r="EK143" s="852"/>
      <c r="EL143" s="852"/>
      <c r="EM143" s="852"/>
      <c r="EN143" s="852"/>
      <c r="EO143" s="852"/>
      <c r="EP143" s="852"/>
      <c r="EQ143" s="852"/>
      <c r="ER143" s="852"/>
      <c r="ES143" s="852"/>
      <c r="ET143" s="852"/>
      <c r="EU143" s="852"/>
      <c r="EV143" s="852"/>
      <c r="EW143" s="852"/>
      <c r="EX143" s="852"/>
      <c r="EY143" s="852"/>
      <c r="EZ143" s="852"/>
      <c r="FA143" s="852"/>
      <c r="FB143" s="852"/>
      <c r="FC143" s="852"/>
      <c r="FD143" s="852"/>
      <c r="FE143" s="852"/>
      <c r="FF143" s="852"/>
      <c r="FG143" s="852"/>
      <c r="FH143" s="852"/>
      <c r="FI143" s="852"/>
      <c r="FJ143" s="852"/>
      <c r="FK143" s="852"/>
      <c r="FL143" s="852"/>
      <c r="FM143" s="852"/>
      <c r="FN143" s="852"/>
      <c r="FO143" s="852"/>
      <c r="FP143" s="852"/>
      <c r="FQ143" s="852"/>
      <c r="FR143" s="852"/>
      <c r="FS143" s="852"/>
      <c r="FT143" s="852"/>
      <c r="FU143" s="852"/>
      <c r="FV143" s="852"/>
      <c r="FW143" s="852"/>
      <c r="FX143" s="852"/>
      <c r="FY143" s="852"/>
      <c r="FZ143" s="852"/>
      <c r="GA143" s="852"/>
      <c r="GB143" s="852"/>
      <c r="GC143" s="852"/>
      <c r="GD143" s="852"/>
      <c r="GE143" s="852"/>
      <c r="GF143" s="852"/>
      <c r="GG143" s="852"/>
      <c r="GH143" s="852"/>
      <c r="GI143" s="852"/>
      <c r="GJ143" s="852"/>
      <c r="GK143" s="852"/>
      <c r="GL143" s="852"/>
      <c r="GM143" s="852"/>
      <c r="GN143" s="852"/>
      <c r="GO143" s="852"/>
      <c r="GP143" s="852"/>
      <c r="GQ143" s="852"/>
      <c r="GR143" s="852"/>
      <c r="GS143" s="852"/>
      <c r="GT143" s="852"/>
      <c r="GU143" s="852"/>
      <c r="GV143" s="852"/>
      <c r="GW143" s="852"/>
      <c r="GX143" s="852"/>
      <c r="GY143" s="852"/>
      <c r="GZ143" s="852"/>
      <c r="HA143" s="852"/>
      <c r="HB143" s="852"/>
      <c r="HC143" s="852"/>
      <c r="HD143" s="852"/>
      <c r="HE143" s="852"/>
      <c r="HF143" s="852"/>
      <c r="HG143" s="852"/>
      <c r="HH143" s="852"/>
      <c r="HI143" s="852"/>
      <c r="HJ143" s="852"/>
      <c r="HK143" s="852"/>
      <c r="HL143" s="852"/>
    </row>
    <row r="144" s="156" customFormat="true" ht="14.25" hidden="false" customHeight="true" outlineLevel="0" collapsed="false">
      <c r="A144" s="729"/>
      <c r="B144" s="730" t="s">
        <v>657</v>
      </c>
      <c r="C144" s="679" t="s">
        <v>658</v>
      </c>
      <c r="D144" s="130"/>
      <c r="E144" s="184"/>
      <c r="F144" s="130"/>
      <c r="G144" s="184"/>
      <c r="H144" s="731"/>
      <c r="I144" s="732"/>
      <c r="J144" s="130"/>
      <c r="K144" s="184"/>
      <c r="L144" s="130"/>
      <c r="M144" s="184"/>
      <c r="N144" s="731"/>
      <c r="O144" s="733"/>
      <c r="P144" s="130"/>
      <c r="Q144" s="184"/>
      <c r="R144" s="130"/>
      <c r="S144" s="184"/>
      <c r="T144" s="731"/>
      <c r="U144" s="732"/>
      <c r="V144" s="130"/>
      <c r="W144" s="184"/>
      <c r="X144" s="184"/>
      <c r="Y144" s="130"/>
      <c r="Z144" s="734"/>
      <c r="AA144" s="184"/>
      <c r="AB144" s="731"/>
      <c r="AC144" s="732"/>
      <c r="AD144" s="130"/>
      <c r="AE144" s="184"/>
      <c r="AF144" s="184"/>
      <c r="AG144" s="130"/>
      <c r="AH144" s="734"/>
      <c r="AI144" s="184"/>
      <c r="AJ144" s="731"/>
      <c r="AK144" s="732"/>
      <c r="AL144" s="130"/>
      <c r="AM144" s="184"/>
      <c r="AN144" s="184"/>
      <c r="AO144" s="184"/>
      <c r="AP144" s="130"/>
      <c r="AQ144" s="734"/>
      <c r="AR144" s="184"/>
      <c r="AS144" s="731"/>
      <c r="AT144" s="733"/>
      <c r="AU144" s="734"/>
      <c r="AV144" s="184"/>
      <c r="AW144" s="184"/>
      <c r="AX144" s="130"/>
      <c r="AY144" s="130"/>
      <c r="AZ144" s="184"/>
      <c r="BA144" s="731"/>
      <c r="BB144" s="732"/>
      <c r="BC144" s="734"/>
      <c r="BD144" s="184"/>
      <c r="BE144" s="184"/>
      <c r="BF144" s="130"/>
      <c r="BG144" s="130"/>
      <c r="BH144" s="184"/>
      <c r="BI144" s="731"/>
      <c r="BJ144" s="733"/>
      <c r="BK144" s="734"/>
      <c r="BL144" s="184"/>
      <c r="BM144" s="184"/>
      <c r="BN144" s="184"/>
      <c r="BO144" s="130"/>
      <c r="BP144" s="130"/>
      <c r="BQ144" s="184"/>
      <c r="BR144" s="731"/>
      <c r="BS144" s="732"/>
      <c r="BT144" s="734"/>
      <c r="BU144" s="184"/>
      <c r="BV144" s="184"/>
      <c r="BW144" s="130"/>
      <c r="BX144" s="130"/>
      <c r="BY144" s="184"/>
      <c r="BZ144" s="731"/>
      <c r="CA144" s="732"/>
      <c r="CB144" s="734"/>
      <c r="CC144" s="184"/>
      <c r="CD144" s="184"/>
      <c r="CE144" s="130"/>
      <c r="CF144" s="130"/>
      <c r="CG144" s="184"/>
      <c r="CH144" s="731"/>
      <c r="CI144" s="732"/>
      <c r="CJ144" s="734"/>
      <c r="CK144" s="184"/>
      <c r="CL144" s="184"/>
      <c r="CM144" s="130"/>
      <c r="CN144" s="130"/>
      <c r="CO144" s="184"/>
      <c r="CP144" s="731"/>
      <c r="CQ144" s="732"/>
      <c r="CR144" s="130"/>
      <c r="CS144" s="130"/>
      <c r="CT144" s="130"/>
      <c r="CU144" s="130" t="n">
        <f aca="false">+CR144-CS144</f>
        <v>0</v>
      </c>
      <c r="CV144" s="130" t="n">
        <f aca="false">+CR144-CT144</f>
        <v>0</v>
      </c>
      <c r="CW144" s="130"/>
      <c r="CX144" s="735" t="str">
        <f aca="false">IFERROR(CR144/CW144-1, "-")</f>
        <v>-</v>
      </c>
      <c r="CY144" s="105"/>
      <c r="CZ144" s="850"/>
      <c r="DA144" s="184"/>
      <c r="DB144" s="184"/>
      <c r="DC144" s="184"/>
      <c r="DD144" s="184"/>
      <c r="DE144" s="731" t="e">
        <f aca="false">(CZ144-DD144)/DD144</f>
        <v>#DIV/0!</v>
      </c>
      <c r="DF144" s="731" t="e">
        <f aca="false">(DA144-DD144)/DD144</f>
        <v>#DIV/0!</v>
      </c>
      <c r="DG144" s="731" t="e">
        <f aca="false">(DB144-DD144)/DD144</f>
        <v>#DIV/0!</v>
      </c>
      <c r="DH144" s="731" t="e">
        <f aca="false">(DC144-DD144)/DD144</f>
        <v>#DIV/0!</v>
      </c>
      <c r="DI144" s="696"/>
      <c r="DJ144" s="37"/>
      <c r="DL144" s="37"/>
      <c r="DM144" s="400" t="n">
        <f aca="false">(CS144-CZ144)*10^6</f>
        <v>0</v>
      </c>
      <c r="DN144" s="400" t="n">
        <f aca="false">(CT144-DC144)*10^6</f>
        <v>0</v>
      </c>
      <c r="DO144" s="400" t="n">
        <f aca="false">(CW144-DD144)*10^6</f>
        <v>0</v>
      </c>
    </row>
    <row r="145" s="156" customFormat="true" ht="14.25" hidden="false" customHeight="true" outlineLevel="0" collapsed="false">
      <c r="A145" s="729"/>
      <c r="B145" s="730" t="s">
        <v>659</v>
      </c>
      <c r="C145" s="679" t="s">
        <v>660</v>
      </c>
      <c r="D145" s="734"/>
      <c r="E145" s="734"/>
      <c r="F145" s="130"/>
      <c r="G145" s="734"/>
      <c r="H145" s="731"/>
      <c r="I145" s="732"/>
      <c r="J145" s="734"/>
      <c r="K145" s="734"/>
      <c r="L145" s="130"/>
      <c r="M145" s="734"/>
      <c r="N145" s="731"/>
      <c r="O145" s="733"/>
      <c r="P145" s="734"/>
      <c r="Q145" s="734"/>
      <c r="R145" s="130"/>
      <c r="S145" s="734"/>
      <c r="T145" s="731"/>
      <c r="U145" s="732"/>
      <c r="V145" s="734"/>
      <c r="W145" s="734"/>
      <c r="X145" s="734"/>
      <c r="Y145" s="130"/>
      <c r="Z145" s="734"/>
      <c r="AA145" s="734"/>
      <c r="AB145" s="731"/>
      <c r="AC145" s="732"/>
      <c r="AD145" s="734"/>
      <c r="AE145" s="734"/>
      <c r="AF145" s="734"/>
      <c r="AG145" s="130"/>
      <c r="AH145" s="734"/>
      <c r="AI145" s="734"/>
      <c r="AJ145" s="731"/>
      <c r="AK145" s="732"/>
      <c r="AL145" s="734"/>
      <c r="AM145" s="734"/>
      <c r="AN145" s="734"/>
      <c r="AO145" s="734"/>
      <c r="AP145" s="130"/>
      <c r="AQ145" s="734"/>
      <c r="AR145" s="734"/>
      <c r="AS145" s="731"/>
      <c r="AT145" s="733"/>
      <c r="AU145" s="734"/>
      <c r="AV145" s="734"/>
      <c r="AW145" s="734"/>
      <c r="AX145" s="130"/>
      <c r="AY145" s="130"/>
      <c r="AZ145" s="734"/>
      <c r="BA145" s="731"/>
      <c r="BB145" s="732"/>
      <c r="BC145" s="734"/>
      <c r="BD145" s="734"/>
      <c r="BE145" s="734"/>
      <c r="BF145" s="130"/>
      <c r="BG145" s="130"/>
      <c r="BH145" s="734"/>
      <c r="BI145" s="731"/>
      <c r="BJ145" s="733"/>
      <c r="BK145" s="734"/>
      <c r="BL145" s="734"/>
      <c r="BM145" s="734"/>
      <c r="BN145" s="734"/>
      <c r="BO145" s="130"/>
      <c r="BP145" s="130"/>
      <c r="BQ145" s="734"/>
      <c r="BR145" s="731"/>
      <c r="BS145" s="732"/>
      <c r="BT145" s="734"/>
      <c r="BU145" s="734"/>
      <c r="BV145" s="734"/>
      <c r="BW145" s="130"/>
      <c r="BX145" s="130"/>
      <c r="BY145" s="734"/>
      <c r="BZ145" s="731"/>
      <c r="CA145" s="732"/>
      <c r="CB145" s="734"/>
      <c r="CC145" s="734"/>
      <c r="CD145" s="734"/>
      <c r="CE145" s="130"/>
      <c r="CF145" s="130"/>
      <c r="CG145" s="734"/>
      <c r="CH145" s="731"/>
      <c r="CI145" s="732"/>
      <c r="CJ145" s="734"/>
      <c r="CK145" s="734"/>
      <c r="CL145" s="734"/>
      <c r="CM145" s="130"/>
      <c r="CN145" s="130"/>
      <c r="CO145" s="734"/>
      <c r="CP145" s="731"/>
      <c r="CQ145" s="732"/>
      <c r="CR145" s="130"/>
      <c r="CS145" s="130"/>
      <c r="CT145" s="130"/>
      <c r="CU145" s="130" t="n">
        <f aca="false">+CR145-CS145</f>
        <v>0</v>
      </c>
      <c r="CV145" s="130" t="n">
        <f aca="false">+CR145-CT145</f>
        <v>0</v>
      </c>
      <c r="CW145" s="130"/>
      <c r="CX145" s="854" t="str">
        <f aca="false">IFERROR(CR145/CW145-1, "-")</f>
        <v>-</v>
      </c>
      <c r="CY145" s="105"/>
      <c r="CZ145" s="855"/>
      <c r="DA145" s="734"/>
      <c r="DB145" s="734"/>
      <c r="DC145" s="734"/>
      <c r="DD145" s="734"/>
      <c r="DE145" s="731" t="e">
        <f aca="false">(CZ145-DD145)/DD145</f>
        <v>#DIV/0!</v>
      </c>
      <c r="DF145" s="731" t="e">
        <f aca="false">(DA145-DD145)/DD145</f>
        <v>#DIV/0!</v>
      </c>
      <c r="DG145" s="731" t="e">
        <f aca="false">(DB145-DD145)/DD145</f>
        <v>#DIV/0!</v>
      </c>
      <c r="DH145" s="731" t="e">
        <f aca="false">(DC145-DD145)/DD145</f>
        <v>#DIV/0!</v>
      </c>
      <c r="DI145" s="696"/>
      <c r="DJ145" s="37"/>
      <c r="DL145" s="37"/>
      <c r="DM145" s="400" t="n">
        <f aca="false">(CS145-CZ145)*10^6</f>
        <v>0</v>
      </c>
      <c r="DN145" s="400" t="n">
        <f aca="false">(CT145-DC145)*10^6</f>
        <v>0</v>
      </c>
      <c r="DO145" s="400" t="n">
        <f aca="false">(CW145-DD145)*10^6</f>
        <v>0</v>
      </c>
    </row>
    <row r="146" s="800" customFormat="true" ht="12.75" hidden="false" customHeight="true" outlineLevel="1" collapsed="false">
      <c r="A146" s="794"/>
      <c r="B146" s="795" t="s">
        <v>661</v>
      </c>
      <c r="C146" s="679" t="s">
        <v>662</v>
      </c>
      <c r="D146" s="460"/>
      <c r="E146" s="460"/>
      <c r="F146" s="460"/>
      <c r="G146" s="460"/>
      <c r="H146" s="462"/>
      <c r="I146" s="796"/>
      <c r="J146" s="460"/>
      <c r="K146" s="460"/>
      <c r="L146" s="460"/>
      <c r="M146" s="460"/>
      <c r="N146" s="462"/>
      <c r="O146" s="797"/>
      <c r="P146" s="460"/>
      <c r="Q146" s="460"/>
      <c r="R146" s="460"/>
      <c r="S146" s="460"/>
      <c r="T146" s="462"/>
      <c r="U146" s="796"/>
      <c r="V146" s="460"/>
      <c r="W146" s="460"/>
      <c r="X146" s="460"/>
      <c r="Y146" s="460"/>
      <c r="Z146" s="461"/>
      <c r="AA146" s="460"/>
      <c r="AB146" s="462"/>
      <c r="AC146" s="796"/>
      <c r="AD146" s="460"/>
      <c r="AE146" s="460"/>
      <c r="AF146" s="460"/>
      <c r="AG146" s="460"/>
      <c r="AH146" s="461"/>
      <c r="AI146" s="460"/>
      <c r="AJ146" s="462"/>
      <c r="AK146" s="796"/>
      <c r="AL146" s="460"/>
      <c r="AM146" s="460"/>
      <c r="AN146" s="460"/>
      <c r="AO146" s="460"/>
      <c r="AP146" s="460"/>
      <c r="AQ146" s="461"/>
      <c r="AR146" s="460"/>
      <c r="AS146" s="462"/>
      <c r="AT146" s="797"/>
      <c r="AU146" s="461"/>
      <c r="AV146" s="460"/>
      <c r="AW146" s="460"/>
      <c r="AX146" s="460"/>
      <c r="AY146" s="460"/>
      <c r="AZ146" s="460"/>
      <c r="BA146" s="462"/>
      <c r="BB146" s="796"/>
      <c r="BC146" s="461"/>
      <c r="BD146" s="460"/>
      <c r="BE146" s="460"/>
      <c r="BF146" s="460"/>
      <c r="BG146" s="460"/>
      <c r="BH146" s="460"/>
      <c r="BI146" s="462"/>
      <c r="BJ146" s="797"/>
      <c r="BK146" s="461"/>
      <c r="BL146" s="460"/>
      <c r="BM146" s="460"/>
      <c r="BN146" s="460"/>
      <c r="BO146" s="460"/>
      <c r="BP146" s="460"/>
      <c r="BQ146" s="460"/>
      <c r="BR146" s="462"/>
      <c r="BS146" s="796"/>
      <c r="BT146" s="461"/>
      <c r="BU146" s="460"/>
      <c r="BV146" s="460"/>
      <c r="BW146" s="460"/>
      <c r="BX146" s="460"/>
      <c r="BY146" s="460"/>
      <c r="BZ146" s="462"/>
      <c r="CA146" s="798"/>
      <c r="CB146" s="461"/>
      <c r="CC146" s="460"/>
      <c r="CD146" s="460"/>
      <c r="CE146" s="460"/>
      <c r="CF146" s="460"/>
      <c r="CG146" s="460"/>
      <c r="CH146" s="462"/>
      <c r="CI146" s="798"/>
      <c r="CJ146" s="461"/>
      <c r="CK146" s="460"/>
      <c r="CL146" s="460"/>
      <c r="CM146" s="460"/>
      <c r="CN146" s="460"/>
      <c r="CO146" s="460"/>
      <c r="CP146" s="462"/>
      <c r="CQ146" s="796"/>
      <c r="CR146" s="460"/>
      <c r="CS146" s="460"/>
      <c r="CT146" s="460"/>
      <c r="CU146" s="460"/>
      <c r="CV146" s="460" t="n">
        <f aca="false">+CR146-CT146</f>
        <v>0</v>
      </c>
      <c r="CW146" s="460"/>
      <c r="CX146" s="799"/>
      <c r="CY146" s="258"/>
      <c r="CZ146" s="801"/>
      <c r="DA146" s="460"/>
      <c r="DB146" s="460"/>
      <c r="DC146" s="460"/>
      <c r="DD146" s="460"/>
      <c r="DE146" s="462"/>
      <c r="DF146" s="462"/>
      <c r="DG146" s="462"/>
      <c r="DH146" s="462"/>
      <c r="DI146" s="696"/>
      <c r="DJ146" s="256"/>
      <c r="DK146" s="14"/>
      <c r="DL146" s="256"/>
      <c r="DM146" s="400" t="n">
        <f aca="false">(CS146-CZ146)*10^6</f>
        <v>0</v>
      </c>
      <c r="DN146" s="400" t="n">
        <f aca="false">(CT146-DC146)*10^6</f>
        <v>0</v>
      </c>
      <c r="DO146" s="400" t="n">
        <f aca="false">(CW146-DD146)*10^6</f>
        <v>0</v>
      </c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</row>
    <row r="147" s="800" customFormat="true" ht="12.75" hidden="false" customHeight="true" outlineLevel="1" collapsed="false">
      <c r="A147" s="794"/>
      <c r="B147" s="795" t="s">
        <v>663</v>
      </c>
      <c r="C147" s="679" t="s">
        <v>664</v>
      </c>
      <c r="D147" s="460"/>
      <c r="E147" s="460"/>
      <c r="F147" s="460"/>
      <c r="G147" s="460"/>
      <c r="H147" s="462"/>
      <c r="I147" s="796"/>
      <c r="J147" s="460"/>
      <c r="K147" s="460"/>
      <c r="L147" s="460"/>
      <c r="M147" s="460"/>
      <c r="N147" s="462"/>
      <c r="O147" s="797"/>
      <c r="P147" s="460"/>
      <c r="Q147" s="460"/>
      <c r="R147" s="460"/>
      <c r="S147" s="460"/>
      <c r="T147" s="462"/>
      <c r="U147" s="796"/>
      <c r="V147" s="460"/>
      <c r="W147" s="460"/>
      <c r="X147" s="460"/>
      <c r="Y147" s="460"/>
      <c r="Z147" s="461"/>
      <c r="AA147" s="460"/>
      <c r="AB147" s="462"/>
      <c r="AC147" s="796"/>
      <c r="AD147" s="460"/>
      <c r="AE147" s="460"/>
      <c r="AF147" s="460"/>
      <c r="AG147" s="460"/>
      <c r="AH147" s="461"/>
      <c r="AI147" s="460"/>
      <c r="AJ147" s="462"/>
      <c r="AK147" s="796"/>
      <c r="AL147" s="460"/>
      <c r="AM147" s="460"/>
      <c r="AN147" s="460"/>
      <c r="AO147" s="460"/>
      <c r="AP147" s="460"/>
      <c r="AQ147" s="461"/>
      <c r="AR147" s="460"/>
      <c r="AS147" s="462"/>
      <c r="AT147" s="797"/>
      <c r="AU147" s="461"/>
      <c r="AV147" s="460"/>
      <c r="AW147" s="460"/>
      <c r="AX147" s="460"/>
      <c r="AY147" s="460"/>
      <c r="AZ147" s="460"/>
      <c r="BA147" s="462"/>
      <c r="BB147" s="796"/>
      <c r="BC147" s="461"/>
      <c r="BD147" s="460"/>
      <c r="BE147" s="460"/>
      <c r="BF147" s="460"/>
      <c r="BG147" s="460"/>
      <c r="BH147" s="460"/>
      <c r="BI147" s="462"/>
      <c r="BJ147" s="797"/>
      <c r="BK147" s="461"/>
      <c r="BL147" s="460"/>
      <c r="BM147" s="460"/>
      <c r="BN147" s="460"/>
      <c r="BO147" s="460"/>
      <c r="BP147" s="460"/>
      <c r="BQ147" s="460"/>
      <c r="BR147" s="462"/>
      <c r="BS147" s="796"/>
      <c r="BT147" s="461"/>
      <c r="BU147" s="460"/>
      <c r="BV147" s="460"/>
      <c r="BW147" s="460"/>
      <c r="BX147" s="460"/>
      <c r="BY147" s="460"/>
      <c r="BZ147" s="462"/>
      <c r="CA147" s="798"/>
      <c r="CB147" s="461"/>
      <c r="CC147" s="460"/>
      <c r="CD147" s="460"/>
      <c r="CE147" s="460"/>
      <c r="CF147" s="460"/>
      <c r="CG147" s="460"/>
      <c r="CH147" s="462"/>
      <c r="CI147" s="798"/>
      <c r="CJ147" s="461"/>
      <c r="CK147" s="460"/>
      <c r="CL147" s="460"/>
      <c r="CM147" s="460"/>
      <c r="CN147" s="460"/>
      <c r="CO147" s="460"/>
      <c r="CP147" s="462"/>
      <c r="CQ147" s="796"/>
      <c r="CR147" s="460"/>
      <c r="CS147" s="460"/>
      <c r="CT147" s="460"/>
      <c r="CU147" s="460"/>
      <c r="CV147" s="460" t="n">
        <f aca="false">+CR147-CT147</f>
        <v>0</v>
      </c>
      <c r="CW147" s="460"/>
      <c r="CX147" s="799"/>
      <c r="CY147" s="258"/>
      <c r="CZ147" s="801"/>
      <c r="DA147" s="460"/>
      <c r="DB147" s="460"/>
      <c r="DC147" s="460"/>
      <c r="DD147" s="460"/>
      <c r="DE147" s="462"/>
      <c r="DF147" s="462"/>
      <c r="DG147" s="462"/>
      <c r="DH147" s="462"/>
      <c r="DI147" s="696"/>
      <c r="DJ147" s="256"/>
      <c r="DK147" s="14"/>
      <c r="DL147" s="256"/>
      <c r="DM147" s="400" t="n">
        <f aca="false">(CS147-CZ147)*10^6</f>
        <v>0</v>
      </c>
      <c r="DN147" s="400" t="n">
        <f aca="false">(CT147-DC147)*10^6</f>
        <v>0</v>
      </c>
      <c r="DO147" s="400" t="n">
        <f aca="false">(CW147-DD147)*10^6</f>
        <v>0</v>
      </c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</row>
    <row r="148" customFormat="false" ht="12.75" hidden="false" customHeight="false" outlineLevel="0" collapsed="false">
      <c r="A148" s="591"/>
      <c r="B148" s="856"/>
      <c r="C148" s="679" t="s">
        <v>665</v>
      </c>
      <c r="D148" s="144"/>
      <c r="E148" s="144"/>
      <c r="F148" s="144"/>
      <c r="G148" s="144"/>
      <c r="H148" s="245"/>
      <c r="I148" s="422"/>
      <c r="J148" s="144"/>
      <c r="K148" s="144"/>
      <c r="L148" s="144"/>
      <c r="M148" s="144"/>
      <c r="N148" s="245"/>
      <c r="O148" s="423"/>
      <c r="P148" s="144"/>
      <c r="Q148" s="144"/>
      <c r="R148" s="144"/>
      <c r="S148" s="144"/>
      <c r="T148" s="245"/>
      <c r="U148" s="422"/>
      <c r="V148" s="144"/>
      <c r="W148" s="144"/>
      <c r="X148" s="144"/>
      <c r="Y148" s="144"/>
      <c r="Z148" s="281"/>
      <c r="AA148" s="144"/>
      <c r="AB148" s="245"/>
      <c r="AC148" s="422"/>
      <c r="AD148" s="144"/>
      <c r="AE148" s="144"/>
      <c r="AF148" s="144"/>
      <c r="AG148" s="144"/>
      <c r="AH148" s="281"/>
      <c r="AI148" s="144"/>
      <c r="AJ148" s="245"/>
      <c r="AK148" s="422"/>
      <c r="AL148" s="144"/>
      <c r="AM148" s="144"/>
      <c r="AN148" s="144"/>
      <c r="AO148" s="144"/>
      <c r="AP148" s="144"/>
      <c r="AQ148" s="281"/>
      <c r="AR148" s="144"/>
      <c r="AS148" s="245"/>
      <c r="AT148" s="423"/>
      <c r="AU148" s="281"/>
      <c r="AV148" s="144"/>
      <c r="AW148" s="144"/>
      <c r="AX148" s="144"/>
      <c r="AY148" s="144"/>
      <c r="AZ148" s="144"/>
      <c r="BA148" s="245"/>
      <c r="BB148" s="422"/>
      <c r="BC148" s="281"/>
      <c r="BD148" s="144"/>
      <c r="BE148" s="144"/>
      <c r="BF148" s="144"/>
      <c r="BG148" s="144"/>
      <c r="BH148" s="144"/>
      <c r="BI148" s="245"/>
      <c r="BJ148" s="423"/>
      <c r="BK148" s="281"/>
      <c r="BL148" s="144"/>
      <c r="BM148" s="144"/>
      <c r="BN148" s="144"/>
      <c r="BO148" s="144"/>
      <c r="BP148" s="144"/>
      <c r="BQ148" s="144"/>
      <c r="BR148" s="245"/>
      <c r="BS148" s="422"/>
      <c r="BT148" s="281"/>
      <c r="BU148" s="144"/>
      <c r="BV148" s="144"/>
      <c r="BW148" s="144"/>
      <c r="BX148" s="144"/>
      <c r="BY148" s="144"/>
      <c r="BZ148" s="245"/>
      <c r="CA148" s="422"/>
      <c r="CB148" s="281"/>
      <c r="CC148" s="144"/>
      <c r="CD148" s="144"/>
      <c r="CE148" s="144"/>
      <c r="CF148" s="144"/>
      <c r="CG148" s="144"/>
      <c r="CH148" s="245"/>
      <c r="CI148" s="422"/>
      <c r="CJ148" s="281"/>
      <c r="CK148" s="144"/>
      <c r="CL148" s="144"/>
      <c r="CM148" s="144"/>
      <c r="CN148" s="144"/>
      <c r="CO148" s="144"/>
      <c r="CP148" s="245"/>
      <c r="CQ148" s="422"/>
      <c r="CR148" s="144"/>
      <c r="CS148" s="144"/>
      <c r="CT148" s="144"/>
      <c r="CU148" s="144" t="n">
        <f aca="false">+CR148-CS148</f>
        <v>0</v>
      </c>
      <c r="CV148" s="144" t="n">
        <f aca="false">+CR148-CT148</f>
        <v>0</v>
      </c>
      <c r="CW148" s="144"/>
      <c r="CX148" s="805" t="str">
        <f aca="false">IFERROR(CR148/CW148-1, "-")</f>
        <v>-</v>
      </c>
      <c r="CY148" s="206"/>
      <c r="CZ148" s="699"/>
      <c r="DA148" s="144"/>
      <c r="DB148" s="144"/>
      <c r="DC148" s="144"/>
      <c r="DD148" s="144"/>
      <c r="DE148" s="245"/>
      <c r="DF148" s="245"/>
      <c r="DG148" s="245"/>
      <c r="DH148" s="245"/>
      <c r="DI148" s="696"/>
      <c r="DL148" s="37"/>
      <c r="DM148" s="400" t="n">
        <f aca="false">(CS148-CZ148)*10^6</f>
        <v>0</v>
      </c>
      <c r="DN148" s="400" t="n">
        <f aca="false">(CT148-DC148)*10^6</f>
        <v>0</v>
      </c>
      <c r="DO148" s="400" t="n">
        <f aca="false">(CW148-DD148)*10^6</f>
        <v>0</v>
      </c>
    </row>
    <row r="149" customFormat="false" ht="15" hidden="false" customHeight="true" outlineLevel="0" collapsed="false">
      <c r="A149" s="717" t="s">
        <v>666</v>
      </c>
      <c r="B149" s="718"/>
      <c r="C149" s="679" t="s">
        <v>667</v>
      </c>
      <c r="D149" s="719"/>
      <c r="E149" s="719"/>
      <c r="F149" s="719"/>
      <c r="G149" s="719"/>
      <c r="H149" s="720"/>
      <c r="I149" s="721"/>
      <c r="J149" s="719"/>
      <c r="K149" s="719"/>
      <c r="L149" s="719"/>
      <c r="M149" s="719"/>
      <c r="N149" s="720"/>
      <c r="O149" s="722"/>
      <c r="P149" s="719"/>
      <c r="Q149" s="719"/>
      <c r="R149" s="719"/>
      <c r="S149" s="719"/>
      <c r="T149" s="720"/>
      <c r="U149" s="721"/>
      <c r="V149" s="719"/>
      <c r="W149" s="719"/>
      <c r="X149" s="719"/>
      <c r="Y149" s="719"/>
      <c r="Z149" s="723"/>
      <c r="AA149" s="719"/>
      <c r="AB149" s="720"/>
      <c r="AC149" s="721"/>
      <c r="AD149" s="719"/>
      <c r="AE149" s="719"/>
      <c r="AF149" s="719"/>
      <c r="AG149" s="719"/>
      <c r="AH149" s="723"/>
      <c r="AI149" s="719"/>
      <c r="AJ149" s="720"/>
      <c r="AK149" s="721"/>
      <c r="AL149" s="719"/>
      <c r="AM149" s="719"/>
      <c r="AN149" s="719"/>
      <c r="AO149" s="719"/>
      <c r="AP149" s="719"/>
      <c r="AQ149" s="723"/>
      <c r="AR149" s="719"/>
      <c r="AS149" s="720"/>
      <c r="AT149" s="722"/>
      <c r="AU149" s="723"/>
      <c r="AV149" s="719"/>
      <c r="AW149" s="719"/>
      <c r="AX149" s="719"/>
      <c r="AY149" s="719"/>
      <c r="AZ149" s="719"/>
      <c r="BA149" s="720"/>
      <c r="BB149" s="721"/>
      <c r="BC149" s="723"/>
      <c r="BD149" s="719"/>
      <c r="BE149" s="719"/>
      <c r="BF149" s="719"/>
      <c r="BG149" s="719"/>
      <c r="BH149" s="719"/>
      <c r="BI149" s="720"/>
      <c r="BJ149" s="722"/>
      <c r="BK149" s="723"/>
      <c r="BL149" s="719"/>
      <c r="BM149" s="719"/>
      <c r="BN149" s="719"/>
      <c r="BO149" s="719"/>
      <c r="BP149" s="719"/>
      <c r="BQ149" s="719"/>
      <c r="BR149" s="720"/>
      <c r="BS149" s="721"/>
      <c r="BT149" s="723"/>
      <c r="BU149" s="719"/>
      <c r="BV149" s="719"/>
      <c r="BW149" s="719"/>
      <c r="BX149" s="719"/>
      <c r="BY149" s="719"/>
      <c r="BZ149" s="720"/>
      <c r="CA149" s="725"/>
      <c r="CB149" s="723"/>
      <c r="CC149" s="719"/>
      <c r="CD149" s="719"/>
      <c r="CE149" s="719"/>
      <c r="CF149" s="719"/>
      <c r="CG149" s="719"/>
      <c r="CH149" s="720"/>
      <c r="CI149" s="725"/>
      <c r="CJ149" s="723"/>
      <c r="CK149" s="719"/>
      <c r="CL149" s="719"/>
      <c r="CM149" s="719"/>
      <c r="CN149" s="719"/>
      <c r="CO149" s="719"/>
      <c r="CP149" s="720"/>
      <c r="CQ149" s="721"/>
      <c r="CR149" s="719"/>
      <c r="CS149" s="719"/>
      <c r="CT149" s="719"/>
      <c r="CU149" s="719" t="n">
        <f aca="false">+CR149-CS149</f>
        <v>0</v>
      </c>
      <c r="CV149" s="719" t="n">
        <f aca="false">+CR149-CT149</f>
        <v>0</v>
      </c>
      <c r="CW149" s="719"/>
      <c r="CX149" s="726" t="str">
        <f aca="false">IFERROR(CR149/CW149-1, "-")</f>
        <v>-</v>
      </c>
      <c r="CY149" s="727"/>
      <c r="CZ149" s="728"/>
      <c r="DA149" s="719"/>
      <c r="DB149" s="719"/>
      <c r="DC149" s="719"/>
      <c r="DD149" s="719"/>
      <c r="DE149" s="720" t="e">
        <f aca="false">(CZ149-DD149)/DD149</f>
        <v>#DIV/0!</v>
      </c>
      <c r="DF149" s="720" t="e">
        <f aca="false">(DA149-DD149)/DD149</f>
        <v>#DIV/0!</v>
      </c>
      <c r="DG149" s="720" t="e">
        <f aca="false">(DB149-DD149)/DD149</f>
        <v>#DIV/0!</v>
      </c>
      <c r="DH149" s="720" t="e">
        <f aca="false">(DC149-DD149)/DD149</f>
        <v>#DIV/0!</v>
      </c>
      <c r="DI149" s="696"/>
      <c r="DL149" s="37"/>
      <c r="DM149" s="400" t="n">
        <f aca="false">(CS149-CZ149)*10^6</f>
        <v>0</v>
      </c>
      <c r="DN149" s="400" t="n">
        <f aca="false">(CT149-DC149)*10^6</f>
        <v>0</v>
      </c>
      <c r="DO149" s="400" t="n">
        <f aca="false">(CW149-DD149)*10^6</f>
        <v>0</v>
      </c>
    </row>
    <row r="150" customFormat="false" ht="15" hidden="true" customHeight="true" outlineLevel="0" collapsed="false">
      <c r="A150" s="591"/>
      <c r="B150" s="857" t="s">
        <v>668</v>
      </c>
      <c r="C150" s="679" t="s">
        <v>669</v>
      </c>
      <c r="D150" s="144"/>
      <c r="E150" s="144"/>
      <c r="F150" s="144"/>
      <c r="G150" s="144"/>
      <c r="H150" s="245"/>
      <c r="I150" s="422"/>
      <c r="J150" s="144"/>
      <c r="K150" s="144"/>
      <c r="L150" s="144"/>
      <c r="M150" s="144"/>
      <c r="N150" s="245"/>
      <c r="O150" s="423"/>
      <c r="P150" s="144"/>
      <c r="Q150" s="144"/>
      <c r="R150" s="144"/>
      <c r="S150" s="144"/>
      <c r="T150" s="245"/>
      <c r="U150" s="422"/>
      <c r="V150" s="144"/>
      <c r="W150" s="144"/>
      <c r="X150" s="144"/>
      <c r="Y150" s="144"/>
      <c r="Z150" s="281"/>
      <c r="AA150" s="144"/>
      <c r="AB150" s="245"/>
      <c r="AC150" s="422"/>
      <c r="AD150" s="144"/>
      <c r="AE150" s="144"/>
      <c r="AF150" s="144"/>
      <c r="AG150" s="144"/>
      <c r="AH150" s="281"/>
      <c r="AI150" s="144"/>
      <c r="AJ150" s="245"/>
      <c r="AK150" s="422"/>
      <c r="AL150" s="144"/>
      <c r="AM150" s="144"/>
      <c r="AN150" s="144"/>
      <c r="AO150" s="144"/>
      <c r="AP150" s="144"/>
      <c r="AQ150" s="281"/>
      <c r="AR150" s="144"/>
      <c r="AS150" s="245"/>
      <c r="AT150" s="423"/>
      <c r="AU150" s="281"/>
      <c r="AV150" s="144"/>
      <c r="AW150" s="144"/>
      <c r="AX150" s="144"/>
      <c r="AY150" s="144"/>
      <c r="AZ150" s="144"/>
      <c r="BA150" s="245"/>
      <c r="BB150" s="422"/>
      <c r="BC150" s="281"/>
      <c r="BD150" s="144"/>
      <c r="BE150" s="144"/>
      <c r="BF150" s="144"/>
      <c r="BG150" s="144"/>
      <c r="BH150" s="144"/>
      <c r="BI150" s="245"/>
      <c r="BJ150" s="423"/>
      <c r="BK150" s="281"/>
      <c r="BL150" s="144"/>
      <c r="BM150" s="144"/>
      <c r="BN150" s="144"/>
      <c r="BO150" s="144"/>
      <c r="BP150" s="144"/>
      <c r="BQ150" s="144"/>
      <c r="BR150" s="245"/>
      <c r="BS150" s="422"/>
      <c r="BT150" s="281"/>
      <c r="BU150" s="144"/>
      <c r="BV150" s="144"/>
      <c r="BW150" s="144"/>
      <c r="BX150" s="144"/>
      <c r="BY150" s="144"/>
      <c r="BZ150" s="245"/>
      <c r="CA150" s="422"/>
      <c r="CB150" s="281"/>
      <c r="CC150" s="144"/>
      <c r="CD150" s="144"/>
      <c r="CE150" s="144"/>
      <c r="CF150" s="144"/>
      <c r="CG150" s="144"/>
      <c r="CH150" s="245"/>
      <c r="CI150" s="422"/>
      <c r="CJ150" s="281"/>
      <c r="CK150" s="144"/>
      <c r="CL150" s="144"/>
      <c r="CM150" s="144"/>
      <c r="CN150" s="144"/>
      <c r="CO150" s="144"/>
      <c r="CP150" s="245"/>
      <c r="CQ150" s="422"/>
      <c r="CR150" s="144"/>
      <c r="CS150" s="144"/>
      <c r="CT150" s="144"/>
      <c r="CU150" s="144" t="n">
        <f aca="false">+CR150-CS150</f>
        <v>0</v>
      </c>
      <c r="CV150" s="144" t="n">
        <f aca="false">+CR150-CT150</f>
        <v>0</v>
      </c>
      <c r="CW150" s="144"/>
      <c r="CX150" s="805" t="str">
        <f aca="false">IFERROR(CR150/CW150-1, "-")</f>
        <v>-</v>
      </c>
      <c r="CY150" s="206"/>
      <c r="CZ150" s="699"/>
      <c r="DA150" s="144"/>
      <c r="DB150" s="144"/>
      <c r="DC150" s="144"/>
      <c r="DD150" s="144"/>
      <c r="DE150" s="245" t="e">
        <f aca="false">(CZ150-DD150)/DD150</f>
        <v>#DIV/0!</v>
      </c>
      <c r="DF150" s="245" t="e">
        <f aca="false">(DA150-DD150)/DD150</f>
        <v>#DIV/0!</v>
      </c>
      <c r="DG150" s="245" t="e">
        <f aca="false">(DB150-DD150)/DD150</f>
        <v>#DIV/0!</v>
      </c>
      <c r="DH150" s="245" t="e">
        <f aca="false">(DC150-DD150)/DD150</f>
        <v>#DIV/0!</v>
      </c>
      <c r="DI150" s="696"/>
      <c r="DL150" s="37"/>
      <c r="DM150" s="400" t="n">
        <f aca="false">(CS150-CZ150)*10^6</f>
        <v>0</v>
      </c>
      <c r="DN150" s="400" t="n">
        <f aca="false">(CT150-DC150)*10^6</f>
        <v>0</v>
      </c>
      <c r="DO150" s="400" t="n">
        <f aca="false">(CW150-DD150)*10^6</f>
        <v>0</v>
      </c>
    </row>
    <row r="151" s="818" customFormat="true" ht="15" hidden="false" customHeight="true" outlineLevel="1" collapsed="false">
      <c r="A151" s="815"/>
      <c r="B151" s="765" t="s">
        <v>488</v>
      </c>
      <c r="C151" s="679" t="s">
        <v>670</v>
      </c>
      <c r="D151" s="433"/>
      <c r="E151" s="433"/>
      <c r="F151" s="433"/>
      <c r="G151" s="433"/>
      <c r="H151" s="434"/>
      <c r="I151" s="435"/>
      <c r="J151" s="433"/>
      <c r="K151" s="433"/>
      <c r="L151" s="433"/>
      <c r="M151" s="433"/>
      <c r="N151" s="434"/>
      <c r="O151" s="423"/>
      <c r="P151" s="433"/>
      <c r="Q151" s="433"/>
      <c r="R151" s="433"/>
      <c r="S151" s="433"/>
      <c r="T151" s="434"/>
      <c r="U151" s="435"/>
      <c r="V151" s="433"/>
      <c r="W151" s="433"/>
      <c r="X151" s="433"/>
      <c r="Y151" s="433"/>
      <c r="Z151" s="432"/>
      <c r="AA151" s="433"/>
      <c r="AB151" s="434"/>
      <c r="AC151" s="435"/>
      <c r="AD151" s="433"/>
      <c r="AE151" s="433"/>
      <c r="AF151" s="433"/>
      <c r="AG151" s="433"/>
      <c r="AH151" s="432"/>
      <c r="AI151" s="433"/>
      <c r="AJ151" s="434"/>
      <c r="AK151" s="435"/>
      <c r="AL151" s="433"/>
      <c r="AM151" s="433"/>
      <c r="AN151" s="433"/>
      <c r="AO151" s="433"/>
      <c r="AP151" s="433"/>
      <c r="AQ151" s="432"/>
      <c r="AR151" s="433"/>
      <c r="AS151" s="434"/>
      <c r="AT151" s="423"/>
      <c r="AU151" s="432"/>
      <c r="AV151" s="433"/>
      <c r="AW151" s="433"/>
      <c r="AX151" s="433"/>
      <c r="AY151" s="433"/>
      <c r="AZ151" s="433"/>
      <c r="BA151" s="434"/>
      <c r="BB151" s="435"/>
      <c r="BC151" s="432"/>
      <c r="BD151" s="433"/>
      <c r="BE151" s="433"/>
      <c r="BF151" s="433"/>
      <c r="BG151" s="433"/>
      <c r="BH151" s="433"/>
      <c r="BI151" s="434"/>
      <c r="BJ151" s="423"/>
      <c r="BK151" s="432"/>
      <c r="BL151" s="433"/>
      <c r="BM151" s="433"/>
      <c r="BN151" s="433"/>
      <c r="BO151" s="433"/>
      <c r="BP151" s="433"/>
      <c r="BQ151" s="433"/>
      <c r="BR151" s="434"/>
      <c r="BS151" s="435"/>
      <c r="BT151" s="432"/>
      <c r="BU151" s="433"/>
      <c r="BV151" s="433"/>
      <c r="BW151" s="433"/>
      <c r="BX151" s="433"/>
      <c r="BY151" s="433"/>
      <c r="BZ151" s="434"/>
      <c r="CA151" s="422"/>
      <c r="CB151" s="432"/>
      <c r="CC151" s="433"/>
      <c r="CD151" s="433"/>
      <c r="CE151" s="433"/>
      <c r="CF151" s="433"/>
      <c r="CG151" s="433"/>
      <c r="CH151" s="434"/>
      <c r="CI151" s="422"/>
      <c r="CJ151" s="432"/>
      <c r="CK151" s="433"/>
      <c r="CL151" s="433"/>
      <c r="CM151" s="433"/>
      <c r="CN151" s="433"/>
      <c r="CO151" s="433"/>
      <c r="CP151" s="434"/>
      <c r="CQ151" s="435"/>
      <c r="CR151" s="433"/>
      <c r="CS151" s="433"/>
      <c r="CT151" s="433"/>
      <c r="CU151" s="433" t="n">
        <f aca="false">+CR151-CS151</f>
        <v>0</v>
      </c>
      <c r="CV151" s="433" t="n">
        <f aca="false">+CR151-CT151</f>
        <v>0</v>
      </c>
      <c r="CW151" s="433"/>
      <c r="CX151" s="791" t="e">
        <f aca="false">+CR151/CW151-1</f>
        <v>#DIV/0!</v>
      </c>
      <c r="CY151" s="206"/>
      <c r="CZ151" s="817"/>
      <c r="DA151" s="433"/>
      <c r="DB151" s="433"/>
      <c r="DC151" s="433"/>
      <c r="DD151" s="433"/>
      <c r="DE151" s="434" t="e">
        <f aca="false">(CZ151-DD151)/DD151</f>
        <v>#DIV/0!</v>
      </c>
      <c r="DF151" s="434" t="e">
        <f aca="false">(DA151-DD151)/DD151</f>
        <v>#DIV/0!</v>
      </c>
      <c r="DG151" s="434" t="e">
        <f aca="false">(DB151-DD151)/DD151</f>
        <v>#DIV/0!</v>
      </c>
      <c r="DH151" s="434" t="e">
        <f aca="false">(DC151-DD151)/DD151</f>
        <v>#DIV/0!</v>
      </c>
      <c r="DI151" s="696"/>
      <c r="DJ151" s="37"/>
      <c r="DL151" s="37"/>
      <c r="DM151" s="400" t="n">
        <f aca="false">(CS151-CZ151)*10^6</f>
        <v>0</v>
      </c>
      <c r="DN151" s="400" t="n">
        <f aca="false">(CT151-DC151)*10^6</f>
        <v>0</v>
      </c>
      <c r="DO151" s="400" t="n">
        <f aca="false">(CW151-DD151)*10^6</f>
        <v>0</v>
      </c>
    </row>
    <row r="152" s="818" customFormat="true" ht="15" hidden="false" customHeight="true" outlineLevel="1" collapsed="false">
      <c r="A152" s="815"/>
      <c r="B152" s="765" t="s">
        <v>558</v>
      </c>
      <c r="C152" s="679" t="s">
        <v>671</v>
      </c>
      <c r="D152" s="433"/>
      <c r="E152" s="433"/>
      <c r="F152" s="433"/>
      <c r="G152" s="433"/>
      <c r="H152" s="434"/>
      <c r="I152" s="435"/>
      <c r="J152" s="433"/>
      <c r="K152" s="433"/>
      <c r="L152" s="433"/>
      <c r="M152" s="433"/>
      <c r="N152" s="434"/>
      <c r="O152" s="423"/>
      <c r="P152" s="433"/>
      <c r="Q152" s="433"/>
      <c r="R152" s="433"/>
      <c r="S152" s="433"/>
      <c r="T152" s="434"/>
      <c r="U152" s="435"/>
      <c r="V152" s="433"/>
      <c r="W152" s="433"/>
      <c r="X152" s="433"/>
      <c r="Y152" s="433"/>
      <c r="Z152" s="432"/>
      <c r="AA152" s="433"/>
      <c r="AB152" s="434"/>
      <c r="AC152" s="435"/>
      <c r="AD152" s="433"/>
      <c r="AE152" s="433"/>
      <c r="AF152" s="433"/>
      <c r="AG152" s="433"/>
      <c r="AH152" s="432"/>
      <c r="AI152" s="433"/>
      <c r="AJ152" s="434"/>
      <c r="AK152" s="435"/>
      <c r="AL152" s="433"/>
      <c r="AM152" s="433"/>
      <c r="AN152" s="433"/>
      <c r="AO152" s="433"/>
      <c r="AP152" s="433"/>
      <c r="AQ152" s="432"/>
      <c r="AR152" s="433"/>
      <c r="AS152" s="434"/>
      <c r="AT152" s="423"/>
      <c r="AU152" s="432"/>
      <c r="AV152" s="433"/>
      <c r="AW152" s="433"/>
      <c r="AX152" s="433"/>
      <c r="AY152" s="433"/>
      <c r="AZ152" s="433"/>
      <c r="BA152" s="434"/>
      <c r="BB152" s="435"/>
      <c r="BC152" s="432"/>
      <c r="BD152" s="433"/>
      <c r="BE152" s="433"/>
      <c r="BF152" s="433"/>
      <c r="BG152" s="433"/>
      <c r="BH152" s="433"/>
      <c r="BI152" s="434"/>
      <c r="BJ152" s="423"/>
      <c r="BK152" s="432"/>
      <c r="BL152" s="433"/>
      <c r="BM152" s="433"/>
      <c r="BN152" s="433"/>
      <c r="BO152" s="433"/>
      <c r="BP152" s="433"/>
      <c r="BQ152" s="433"/>
      <c r="BR152" s="434"/>
      <c r="BS152" s="435"/>
      <c r="BT152" s="432"/>
      <c r="BU152" s="433"/>
      <c r="BV152" s="433"/>
      <c r="BW152" s="433"/>
      <c r="BX152" s="433"/>
      <c r="BY152" s="433"/>
      <c r="BZ152" s="434"/>
      <c r="CA152" s="422"/>
      <c r="CB152" s="432"/>
      <c r="CC152" s="433"/>
      <c r="CD152" s="433"/>
      <c r="CE152" s="433"/>
      <c r="CF152" s="433"/>
      <c r="CG152" s="433"/>
      <c r="CH152" s="434"/>
      <c r="CI152" s="422"/>
      <c r="CJ152" s="432"/>
      <c r="CK152" s="433"/>
      <c r="CL152" s="433"/>
      <c r="CM152" s="433"/>
      <c r="CN152" s="433"/>
      <c r="CO152" s="433"/>
      <c r="CP152" s="434"/>
      <c r="CQ152" s="435"/>
      <c r="CR152" s="433"/>
      <c r="CS152" s="433"/>
      <c r="CT152" s="433"/>
      <c r="CU152" s="433" t="n">
        <f aca="false">+CR152-CS152</f>
        <v>0</v>
      </c>
      <c r="CV152" s="433" t="n">
        <f aca="false">+CR152-CT152</f>
        <v>0</v>
      </c>
      <c r="CW152" s="433"/>
      <c r="CX152" s="791" t="e">
        <f aca="false">+CR152/CW152-1</f>
        <v>#DIV/0!</v>
      </c>
      <c r="CY152" s="206"/>
      <c r="CZ152" s="817"/>
      <c r="DA152" s="433"/>
      <c r="DB152" s="433"/>
      <c r="DC152" s="433"/>
      <c r="DD152" s="433"/>
      <c r="DE152" s="434" t="e">
        <f aca="false">(CZ152-DD152)/DD152</f>
        <v>#DIV/0!</v>
      </c>
      <c r="DF152" s="434" t="e">
        <f aca="false">(DA152-DD152)/DD152</f>
        <v>#DIV/0!</v>
      </c>
      <c r="DG152" s="434" t="e">
        <f aca="false">(DB152-DD152)/DD152</f>
        <v>#DIV/0!</v>
      </c>
      <c r="DH152" s="434" t="e">
        <f aca="false">(DC152-DD152)/DD152</f>
        <v>#DIV/0!</v>
      </c>
      <c r="DI152" s="696"/>
      <c r="DJ152" s="37"/>
      <c r="DL152" s="37"/>
      <c r="DM152" s="400" t="n">
        <f aca="false">(CS152-CZ152)*10^6</f>
        <v>0</v>
      </c>
      <c r="DN152" s="400" t="n">
        <f aca="false">(CT152-DC152)*10^6</f>
        <v>0</v>
      </c>
      <c r="DO152" s="400" t="n">
        <f aca="false">(CW152-DD152)*10^6</f>
        <v>0</v>
      </c>
    </row>
    <row r="153" s="818" customFormat="true" ht="15" hidden="false" customHeight="true" outlineLevel="1" collapsed="false">
      <c r="A153" s="815"/>
      <c r="B153" s="765" t="s">
        <v>560</v>
      </c>
      <c r="C153" s="679" t="s">
        <v>672</v>
      </c>
      <c r="D153" s="433"/>
      <c r="E153" s="433"/>
      <c r="F153" s="433"/>
      <c r="G153" s="433"/>
      <c r="H153" s="434"/>
      <c r="I153" s="435"/>
      <c r="J153" s="433"/>
      <c r="K153" s="433"/>
      <c r="L153" s="433"/>
      <c r="M153" s="433"/>
      <c r="N153" s="434"/>
      <c r="O153" s="423"/>
      <c r="P153" s="433"/>
      <c r="Q153" s="433"/>
      <c r="R153" s="433"/>
      <c r="S153" s="433"/>
      <c r="T153" s="434"/>
      <c r="U153" s="435"/>
      <c r="V153" s="433"/>
      <c r="W153" s="433"/>
      <c r="X153" s="433"/>
      <c r="Y153" s="433"/>
      <c r="Z153" s="432"/>
      <c r="AA153" s="433"/>
      <c r="AB153" s="434"/>
      <c r="AC153" s="435"/>
      <c r="AD153" s="433"/>
      <c r="AE153" s="433"/>
      <c r="AF153" s="433"/>
      <c r="AG153" s="433"/>
      <c r="AH153" s="432"/>
      <c r="AI153" s="433"/>
      <c r="AJ153" s="434"/>
      <c r="AK153" s="435"/>
      <c r="AL153" s="433"/>
      <c r="AM153" s="433"/>
      <c r="AN153" s="433"/>
      <c r="AO153" s="433"/>
      <c r="AP153" s="433"/>
      <c r="AQ153" s="432"/>
      <c r="AR153" s="433"/>
      <c r="AS153" s="434"/>
      <c r="AT153" s="423"/>
      <c r="AU153" s="432"/>
      <c r="AV153" s="433"/>
      <c r="AW153" s="433"/>
      <c r="AX153" s="433"/>
      <c r="AY153" s="433"/>
      <c r="AZ153" s="433"/>
      <c r="BA153" s="434"/>
      <c r="BB153" s="435"/>
      <c r="BC153" s="432"/>
      <c r="BD153" s="433"/>
      <c r="BE153" s="433"/>
      <c r="BF153" s="433"/>
      <c r="BG153" s="433"/>
      <c r="BH153" s="433"/>
      <c r="BI153" s="434"/>
      <c r="BJ153" s="423"/>
      <c r="BK153" s="432"/>
      <c r="BL153" s="433"/>
      <c r="BM153" s="433"/>
      <c r="BN153" s="433"/>
      <c r="BO153" s="433"/>
      <c r="BP153" s="433"/>
      <c r="BQ153" s="433"/>
      <c r="BR153" s="434"/>
      <c r="BS153" s="435"/>
      <c r="BT153" s="432"/>
      <c r="BU153" s="433"/>
      <c r="BV153" s="433"/>
      <c r="BW153" s="433"/>
      <c r="BX153" s="433"/>
      <c r="BY153" s="433"/>
      <c r="BZ153" s="434"/>
      <c r="CA153" s="422"/>
      <c r="CB153" s="432"/>
      <c r="CC153" s="433"/>
      <c r="CD153" s="433"/>
      <c r="CE153" s="433"/>
      <c r="CF153" s="433"/>
      <c r="CG153" s="433"/>
      <c r="CH153" s="434"/>
      <c r="CI153" s="422"/>
      <c r="CJ153" s="432"/>
      <c r="CK153" s="433"/>
      <c r="CL153" s="433"/>
      <c r="CM153" s="433"/>
      <c r="CN153" s="433"/>
      <c r="CO153" s="433"/>
      <c r="CP153" s="434"/>
      <c r="CQ153" s="435"/>
      <c r="CR153" s="433"/>
      <c r="CS153" s="433"/>
      <c r="CT153" s="433"/>
      <c r="CU153" s="433" t="n">
        <f aca="false">+CR153-CS153</f>
        <v>0</v>
      </c>
      <c r="CV153" s="433" t="n">
        <f aca="false">+CR153-CT153</f>
        <v>0</v>
      </c>
      <c r="CW153" s="433"/>
      <c r="CX153" s="791" t="e">
        <f aca="false">+CR153/CW153-1</f>
        <v>#DIV/0!</v>
      </c>
      <c r="CY153" s="206"/>
      <c r="CZ153" s="817"/>
      <c r="DA153" s="433"/>
      <c r="DB153" s="433"/>
      <c r="DC153" s="433"/>
      <c r="DD153" s="433"/>
      <c r="DE153" s="434" t="e">
        <f aca="false">(CZ153-DD153)/DD153</f>
        <v>#DIV/0!</v>
      </c>
      <c r="DF153" s="434" t="e">
        <f aca="false">(DA153-DD153)/DD153</f>
        <v>#DIV/0!</v>
      </c>
      <c r="DG153" s="434" t="e">
        <f aca="false">(DB153-DD153)/DD153</f>
        <v>#DIV/0!</v>
      </c>
      <c r="DH153" s="434" t="e">
        <f aca="false">(DC153-DD153)/DD153</f>
        <v>#DIV/0!</v>
      </c>
      <c r="DI153" s="696"/>
      <c r="DJ153" s="37"/>
      <c r="DL153" s="37"/>
      <c r="DM153" s="400" t="n">
        <f aca="false">(CS153-CZ153)*10^6</f>
        <v>0</v>
      </c>
      <c r="DN153" s="400" t="n">
        <f aca="false">(CT153-DC153)*10^6</f>
        <v>0</v>
      </c>
      <c r="DO153" s="400" t="n">
        <f aca="false">(CW153-DD153)*10^6</f>
        <v>0</v>
      </c>
    </row>
    <row r="154" s="818" customFormat="true" ht="15" hidden="false" customHeight="true" outlineLevel="1" collapsed="false">
      <c r="A154" s="815"/>
      <c r="B154" s="765" t="s">
        <v>562</v>
      </c>
      <c r="C154" s="679" t="s">
        <v>673</v>
      </c>
      <c r="D154" s="433"/>
      <c r="E154" s="433"/>
      <c r="F154" s="433"/>
      <c r="G154" s="433"/>
      <c r="H154" s="434"/>
      <c r="I154" s="435"/>
      <c r="J154" s="433"/>
      <c r="K154" s="433"/>
      <c r="L154" s="433"/>
      <c r="M154" s="433"/>
      <c r="N154" s="434"/>
      <c r="O154" s="423"/>
      <c r="P154" s="433"/>
      <c r="Q154" s="433"/>
      <c r="R154" s="433"/>
      <c r="S154" s="433"/>
      <c r="T154" s="434"/>
      <c r="U154" s="435"/>
      <c r="V154" s="433"/>
      <c r="W154" s="433"/>
      <c r="X154" s="433"/>
      <c r="Y154" s="433"/>
      <c r="Z154" s="432"/>
      <c r="AA154" s="433"/>
      <c r="AB154" s="434"/>
      <c r="AC154" s="435"/>
      <c r="AD154" s="433"/>
      <c r="AE154" s="433"/>
      <c r="AF154" s="433"/>
      <c r="AG154" s="433"/>
      <c r="AH154" s="432"/>
      <c r="AI154" s="433"/>
      <c r="AJ154" s="434"/>
      <c r="AK154" s="435"/>
      <c r="AL154" s="433"/>
      <c r="AM154" s="433"/>
      <c r="AN154" s="433"/>
      <c r="AO154" s="433"/>
      <c r="AP154" s="433"/>
      <c r="AQ154" s="432"/>
      <c r="AR154" s="433"/>
      <c r="AS154" s="434"/>
      <c r="AT154" s="423"/>
      <c r="AU154" s="432"/>
      <c r="AV154" s="433"/>
      <c r="AW154" s="433"/>
      <c r="AX154" s="433"/>
      <c r="AY154" s="433"/>
      <c r="AZ154" s="433"/>
      <c r="BA154" s="434"/>
      <c r="BB154" s="435"/>
      <c r="BC154" s="432"/>
      <c r="BD154" s="433"/>
      <c r="BE154" s="433"/>
      <c r="BF154" s="433"/>
      <c r="BG154" s="433"/>
      <c r="BH154" s="433"/>
      <c r="BI154" s="434"/>
      <c r="BJ154" s="423"/>
      <c r="BK154" s="432"/>
      <c r="BL154" s="433"/>
      <c r="BM154" s="433"/>
      <c r="BN154" s="433"/>
      <c r="BO154" s="433"/>
      <c r="BP154" s="433"/>
      <c r="BQ154" s="433"/>
      <c r="BR154" s="434"/>
      <c r="BS154" s="435"/>
      <c r="BT154" s="432"/>
      <c r="BU154" s="433"/>
      <c r="BV154" s="433"/>
      <c r="BW154" s="433"/>
      <c r="BX154" s="433"/>
      <c r="BY154" s="433"/>
      <c r="BZ154" s="434"/>
      <c r="CA154" s="422"/>
      <c r="CB154" s="432"/>
      <c r="CC154" s="433"/>
      <c r="CD154" s="433"/>
      <c r="CE154" s="433"/>
      <c r="CF154" s="433"/>
      <c r="CG154" s="433"/>
      <c r="CH154" s="434"/>
      <c r="CI154" s="422"/>
      <c r="CJ154" s="432"/>
      <c r="CK154" s="433"/>
      <c r="CL154" s="433"/>
      <c r="CM154" s="433"/>
      <c r="CN154" s="433"/>
      <c r="CO154" s="433"/>
      <c r="CP154" s="434"/>
      <c r="CQ154" s="435"/>
      <c r="CR154" s="433"/>
      <c r="CS154" s="433"/>
      <c r="CT154" s="433"/>
      <c r="CU154" s="433" t="n">
        <f aca="false">+CR154-CS154</f>
        <v>0</v>
      </c>
      <c r="CV154" s="433" t="n">
        <f aca="false">+CR154-CT154</f>
        <v>0</v>
      </c>
      <c r="CW154" s="433"/>
      <c r="CX154" s="791" t="e">
        <f aca="false">+CR154/CW154-1</f>
        <v>#DIV/0!</v>
      </c>
      <c r="CY154" s="206"/>
      <c r="CZ154" s="817"/>
      <c r="DA154" s="433"/>
      <c r="DB154" s="433"/>
      <c r="DC154" s="433"/>
      <c r="DD154" s="433"/>
      <c r="DE154" s="434" t="e">
        <f aca="false">(CZ154-DD154)/DD154</f>
        <v>#DIV/0!</v>
      </c>
      <c r="DF154" s="434" t="e">
        <f aca="false">(DA154-DD154)/DD154</f>
        <v>#DIV/0!</v>
      </c>
      <c r="DG154" s="434" t="e">
        <f aca="false">(DB154-DD154)/DD154</f>
        <v>#DIV/0!</v>
      </c>
      <c r="DH154" s="434" t="e">
        <f aca="false">(DC154-DD154)/DD154</f>
        <v>#DIV/0!</v>
      </c>
      <c r="DI154" s="696"/>
      <c r="DJ154" s="37"/>
      <c r="DL154" s="37"/>
      <c r="DM154" s="400" t="n">
        <f aca="false">(CS154-CZ154)*10^6</f>
        <v>0</v>
      </c>
      <c r="DN154" s="400" t="n">
        <f aca="false">(CT154-DC154)*10^6</f>
        <v>0</v>
      </c>
      <c r="DO154" s="400" t="n">
        <f aca="false">(CW154-DD154)*10^6</f>
        <v>0</v>
      </c>
    </row>
    <row r="155" customFormat="false" ht="15" hidden="true" customHeight="true" outlineLevel="0" collapsed="false">
      <c r="A155" s="591"/>
      <c r="B155" s="857" t="s">
        <v>674</v>
      </c>
      <c r="C155" s="679" t="s">
        <v>675</v>
      </c>
      <c r="D155" s="144"/>
      <c r="E155" s="144"/>
      <c r="F155" s="144"/>
      <c r="G155" s="144"/>
      <c r="H155" s="245"/>
      <c r="I155" s="422"/>
      <c r="J155" s="144"/>
      <c r="K155" s="144"/>
      <c r="L155" s="144"/>
      <c r="M155" s="144"/>
      <c r="N155" s="245"/>
      <c r="O155" s="423"/>
      <c r="P155" s="144"/>
      <c r="Q155" s="144"/>
      <c r="R155" s="144"/>
      <c r="S155" s="144"/>
      <c r="T155" s="245"/>
      <c r="U155" s="422"/>
      <c r="V155" s="144"/>
      <c r="W155" s="144"/>
      <c r="X155" s="144"/>
      <c r="Y155" s="144"/>
      <c r="Z155" s="281"/>
      <c r="AA155" s="144"/>
      <c r="AB155" s="245"/>
      <c r="AC155" s="422"/>
      <c r="AD155" s="144"/>
      <c r="AE155" s="144"/>
      <c r="AF155" s="144"/>
      <c r="AG155" s="144"/>
      <c r="AH155" s="281"/>
      <c r="AI155" s="144"/>
      <c r="AJ155" s="245"/>
      <c r="AK155" s="422"/>
      <c r="AL155" s="144"/>
      <c r="AM155" s="144"/>
      <c r="AN155" s="144"/>
      <c r="AO155" s="144"/>
      <c r="AP155" s="144"/>
      <c r="AQ155" s="281"/>
      <c r="AR155" s="144"/>
      <c r="AS155" s="245"/>
      <c r="AT155" s="423"/>
      <c r="AU155" s="281"/>
      <c r="AV155" s="144"/>
      <c r="AW155" s="144"/>
      <c r="AX155" s="144"/>
      <c r="AY155" s="144"/>
      <c r="AZ155" s="144"/>
      <c r="BA155" s="245"/>
      <c r="BB155" s="422"/>
      <c r="BC155" s="281"/>
      <c r="BD155" s="144"/>
      <c r="BE155" s="144"/>
      <c r="BF155" s="144"/>
      <c r="BG155" s="144"/>
      <c r="BH155" s="144"/>
      <c r="BI155" s="245"/>
      <c r="BJ155" s="423"/>
      <c r="BK155" s="281"/>
      <c r="BL155" s="144"/>
      <c r="BM155" s="144"/>
      <c r="BN155" s="144"/>
      <c r="BO155" s="144"/>
      <c r="BP155" s="144"/>
      <c r="BQ155" s="144"/>
      <c r="BR155" s="245"/>
      <c r="BS155" s="422"/>
      <c r="BT155" s="281"/>
      <c r="BU155" s="144"/>
      <c r="BV155" s="144"/>
      <c r="BW155" s="144"/>
      <c r="BX155" s="144"/>
      <c r="BY155" s="144"/>
      <c r="BZ155" s="245"/>
      <c r="CA155" s="422"/>
      <c r="CB155" s="281"/>
      <c r="CC155" s="144"/>
      <c r="CD155" s="144"/>
      <c r="CE155" s="144"/>
      <c r="CF155" s="144"/>
      <c r="CG155" s="144"/>
      <c r="CH155" s="245"/>
      <c r="CI155" s="422"/>
      <c r="CJ155" s="281"/>
      <c r="CK155" s="144"/>
      <c r="CL155" s="144"/>
      <c r="CM155" s="144"/>
      <c r="CN155" s="144"/>
      <c r="CO155" s="144"/>
      <c r="CP155" s="245"/>
      <c r="CQ155" s="422"/>
      <c r="CR155" s="144"/>
      <c r="CS155" s="144"/>
      <c r="CT155" s="144"/>
      <c r="CU155" s="144"/>
      <c r="CV155" s="144" t="n">
        <f aca="false">+CR155-CT155</f>
        <v>0</v>
      </c>
      <c r="CW155" s="144"/>
      <c r="CX155" s="805"/>
      <c r="CY155" s="206"/>
      <c r="CZ155" s="699"/>
      <c r="DA155" s="144"/>
      <c r="DB155" s="144"/>
      <c r="DC155" s="144"/>
      <c r="DD155" s="144"/>
      <c r="DE155" s="245"/>
      <c r="DF155" s="245"/>
      <c r="DG155" s="245"/>
      <c r="DH155" s="245" t="e">
        <f aca="false">(DC155-DD155)/DD155</f>
        <v>#DIV/0!</v>
      </c>
      <c r="DI155" s="696"/>
      <c r="DL155" s="37"/>
      <c r="DM155" s="400" t="n">
        <f aca="false">(CS155-CZ155)*10^6</f>
        <v>0</v>
      </c>
      <c r="DN155" s="400" t="n">
        <f aca="false">(CT155-DC155)*10^6</f>
        <v>0</v>
      </c>
      <c r="DO155" s="400" t="n">
        <f aca="false">(CW155-DD155)*10^6</f>
        <v>0</v>
      </c>
    </row>
    <row r="156" s="818" customFormat="true" ht="15" hidden="false" customHeight="true" outlineLevel="1" collapsed="false">
      <c r="A156" s="815"/>
      <c r="B156" s="765" t="s">
        <v>488</v>
      </c>
      <c r="C156" s="679" t="s">
        <v>676</v>
      </c>
      <c r="D156" s="433"/>
      <c r="E156" s="433"/>
      <c r="F156" s="433"/>
      <c r="G156" s="433"/>
      <c r="H156" s="434"/>
      <c r="I156" s="435"/>
      <c r="J156" s="433"/>
      <c r="K156" s="433"/>
      <c r="L156" s="433"/>
      <c r="M156" s="433"/>
      <c r="N156" s="434"/>
      <c r="O156" s="423"/>
      <c r="P156" s="433"/>
      <c r="Q156" s="433"/>
      <c r="R156" s="433"/>
      <c r="S156" s="433"/>
      <c r="T156" s="434"/>
      <c r="U156" s="435"/>
      <c r="V156" s="433"/>
      <c r="W156" s="433"/>
      <c r="X156" s="433"/>
      <c r="Y156" s="433"/>
      <c r="Z156" s="432"/>
      <c r="AA156" s="433"/>
      <c r="AB156" s="434"/>
      <c r="AC156" s="435"/>
      <c r="AD156" s="433"/>
      <c r="AE156" s="433"/>
      <c r="AF156" s="433"/>
      <c r="AG156" s="433"/>
      <c r="AH156" s="432"/>
      <c r="AI156" s="433"/>
      <c r="AJ156" s="434"/>
      <c r="AK156" s="435"/>
      <c r="AL156" s="433"/>
      <c r="AM156" s="433"/>
      <c r="AN156" s="433"/>
      <c r="AO156" s="433"/>
      <c r="AP156" s="433"/>
      <c r="AQ156" s="432"/>
      <c r="AR156" s="433"/>
      <c r="AS156" s="434"/>
      <c r="AT156" s="423"/>
      <c r="AU156" s="432"/>
      <c r="AV156" s="433"/>
      <c r="AW156" s="433"/>
      <c r="AX156" s="433"/>
      <c r="AY156" s="433"/>
      <c r="AZ156" s="433"/>
      <c r="BA156" s="434"/>
      <c r="BB156" s="435"/>
      <c r="BC156" s="432"/>
      <c r="BD156" s="433"/>
      <c r="BE156" s="433"/>
      <c r="BF156" s="433"/>
      <c r="BG156" s="433"/>
      <c r="BH156" s="433"/>
      <c r="BI156" s="434"/>
      <c r="BJ156" s="423"/>
      <c r="BK156" s="432"/>
      <c r="BL156" s="433"/>
      <c r="BM156" s="433"/>
      <c r="BN156" s="433"/>
      <c r="BO156" s="433"/>
      <c r="BP156" s="433"/>
      <c r="BQ156" s="433"/>
      <c r="BR156" s="434"/>
      <c r="BS156" s="435"/>
      <c r="BT156" s="432"/>
      <c r="BU156" s="433"/>
      <c r="BV156" s="433"/>
      <c r="BW156" s="433"/>
      <c r="BX156" s="433"/>
      <c r="BY156" s="433"/>
      <c r="BZ156" s="434"/>
      <c r="CA156" s="422"/>
      <c r="CB156" s="432"/>
      <c r="CC156" s="433"/>
      <c r="CD156" s="433"/>
      <c r="CE156" s="433"/>
      <c r="CF156" s="433"/>
      <c r="CG156" s="433"/>
      <c r="CH156" s="434"/>
      <c r="CI156" s="422"/>
      <c r="CJ156" s="432"/>
      <c r="CK156" s="433"/>
      <c r="CL156" s="433"/>
      <c r="CM156" s="433"/>
      <c r="CN156" s="433"/>
      <c r="CO156" s="433"/>
      <c r="CP156" s="434"/>
      <c r="CQ156" s="435"/>
      <c r="CR156" s="433"/>
      <c r="CS156" s="433"/>
      <c r="CT156" s="433"/>
      <c r="CU156" s="433"/>
      <c r="CV156" s="433" t="n">
        <f aca="false">+CR156-CT156</f>
        <v>0</v>
      </c>
      <c r="CW156" s="433"/>
      <c r="CX156" s="791"/>
      <c r="CY156" s="206"/>
      <c r="CZ156" s="817"/>
      <c r="DA156" s="433"/>
      <c r="DB156" s="433"/>
      <c r="DC156" s="433"/>
      <c r="DD156" s="433"/>
      <c r="DE156" s="434"/>
      <c r="DF156" s="434"/>
      <c r="DG156" s="434"/>
      <c r="DH156" s="434"/>
      <c r="DI156" s="696"/>
      <c r="DJ156" s="37"/>
      <c r="DL156" s="37"/>
      <c r="DM156" s="400" t="n">
        <f aca="false">(CS156-CZ156)*10^6</f>
        <v>0</v>
      </c>
      <c r="DN156" s="400" t="n">
        <f aca="false">(CT156-DC156)*10^6</f>
        <v>0</v>
      </c>
      <c r="DO156" s="400" t="n">
        <f aca="false">(CW156-DD156)*10^6</f>
        <v>0</v>
      </c>
    </row>
    <row r="157" s="818" customFormat="true" ht="15" hidden="false" customHeight="true" outlineLevel="1" collapsed="false">
      <c r="A157" s="815"/>
      <c r="B157" s="765" t="s">
        <v>558</v>
      </c>
      <c r="C157" s="679" t="s">
        <v>677</v>
      </c>
      <c r="D157" s="433"/>
      <c r="E157" s="433"/>
      <c r="F157" s="433"/>
      <c r="G157" s="433"/>
      <c r="H157" s="434"/>
      <c r="I157" s="435"/>
      <c r="J157" s="433"/>
      <c r="K157" s="433"/>
      <c r="L157" s="433"/>
      <c r="M157" s="433"/>
      <c r="N157" s="434"/>
      <c r="O157" s="423"/>
      <c r="P157" s="433"/>
      <c r="Q157" s="433"/>
      <c r="R157" s="433"/>
      <c r="S157" s="433"/>
      <c r="T157" s="434"/>
      <c r="U157" s="435"/>
      <c r="V157" s="433"/>
      <c r="W157" s="433"/>
      <c r="X157" s="433"/>
      <c r="Y157" s="433"/>
      <c r="Z157" s="432"/>
      <c r="AA157" s="433"/>
      <c r="AB157" s="434"/>
      <c r="AC157" s="435"/>
      <c r="AD157" s="433"/>
      <c r="AE157" s="433"/>
      <c r="AF157" s="433"/>
      <c r="AG157" s="433"/>
      <c r="AH157" s="432"/>
      <c r="AI157" s="433"/>
      <c r="AJ157" s="434"/>
      <c r="AK157" s="435"/>
      <c r="AL157" s="433"/>
      <c r="AM157" s="433"/>
      <c r="AN157" s="433"/>
      <c r="AO157" s="433"/>
      <c r="AP157" s="433"/>
      <c r="AQ157" s="432"/>
      <c r="AR157" s="433"/>
      <c r="AS157" s="434"/>
      <c r="AT157" s="423"/>
      <c r="AU157" s="432"/>
      <c r="AV157" s="433"/>
      <c r="AW157" s="433"/>
      <c r="AX157" s="433"/>
      <c r="AY157" s="433"/>
      <c r="AZ157" s="433"/>
      <c r="BA157" s="434"/>
      <c r="BB157" s="435"/>
      <c r="BC157" s="432"/>
      <c r="BD157" s="433"/>
      <c r="BE157" s="433"/>
      <c r="BF157" s="433"/>
      <c r="BG157" s="433"/>
      <c r="BH157" s="433"/>
      <c r="BI157" s="434"/>
      <c r="BJ157" s="423"/>
      <c r="BK157" s="432"/>
      <c r="BL157" s="433"/>
      <c r="BM157" s="433"/>
      <c r="BN157" s="433"/>
      <c r="BO157" s="433"/>
      <c r="BP157" s="433"/>
      <c r="BQ157" s="433"/>
      <c r="BR157" s="434"/>
      <c r="BS157" s="435"/>
      <c r="BT157" s="432"/>
      <c r="BU157" s="433"/>
      <c r="BV157" s="433"/>
      <c r="BW157" s="433"/>
      <c r="BX157" s="433"/>
      <c r="BY157" s="433"/>
      <c r="BZ157" s="434"/>
      <c r="CA157" s="422"/>
      <c r="CB157" s="432"/>
      <c r="CC157" s="433"/>
      <c r="CD157" s="433"/>
      <c r="CE157" s="433"/>
      <c r="CF157" s="433"/>
      <c r="CG157" s="433"/>
      <c r="CH157" s="434"/>
      <c r="CI157" s="422"/>
      <c r="CJ157" s="432"/>
      <c r="CK157" s="433"/>
      <c r="CL157" s="433"/>
      <c r="CM157" s="433"/>
      <c r="CN157" s="433"/>
      <c r="CO157" s="433"/>
      <c r="CP157" s="434"/>
      <c r="CQ157" s="435"/>
      <c r="CR157" s="433"/>
      <c r="CS157" s="433"/>
      <c r="CT157" s="433"/>
      <c r="CU157" s="433"/>
      <c r="CV157" s="433" t="n">
        <f aca="false">+CR157-CT157</f>
        <v>0</v>
      </c>
      <c r="CW157" s="433"/>
      <c r="CX157" s="791"/>
      <c r="CY157" s="206"/>
      <c r="CZ157" s="817"/>
      <c r="DA157" s="433"/>
      <c r="DB157" s="433"/>
      <c r="DC157" s="433"/>
      <c r="DD157" s="433"/>
      <c r="DE157" s="434"/>
      <c r="DF157" s="434"/>
      <c r="DG157" s="434"/>
      <c r="DH157" s="434"/>
      <c r="DI157" s="696"/>
      <c r="DJ157" s="37"/>
      <c r="DL157" s="37"/>
      <c r="DM157" s="400" t="n">
        <f aca="false">(CS157-CZ157)*10^6</f>
        <v>0</v>
      </c>
      <c r="DN157" s="400" t="n">
        <f aca="false">(CT157-DC157)*10^6</f>
        <v>0</v>
      </c>
      <c r="DO157" s="400" t="n">
        <f aca="false">(CW157-DD157)*10^6</f>
        <v>0</v>
      </c>
    </row>
    <row r="158" s="818" customFormat="true" ht="15" hidden="false" customHeight="true" outlineLevel="1" collapsed="false">
      <c r="A158" s="815"/>
      <c r="B158" s="765" t="s">
        <v>560</v>
      </c>
      <c r="C158" s="679" t="s">
        <v>678</v>
      </c>
      <c r="D158" s="433"/>
      <c r="E158" s="433"/>
      <c r="F158" s="433"/>
      <c r="G158" s="433"/>
      <c r="H158" s="434"/>
      <c r="I158" s="435"/>
      <c r="J158" s="433"/>
      <c r="K158" s="433"/>
      <c r="L158" s="433"/>
      <c r="M158" s="433"/>
      <c r="N158" s="434"/>
      <c r="O158" s="423"/>
      <c r="P158" s="433"/>
      <c r="Q158" s="433"/>
      <c r="R158" s="433"/>
      <c r="S158" s="433"/>
      <c r="T158" s="434"/>
      <c r="U158" s="435"/>
      <c r="V158" s="433"/>
      <c r="W158" s="433"/>
      <c r="X158" s="433"/>
      <c r="Y158" s="433"/>
      <c r="Z158" s="432"/>
      <c r="AA158" s="433"/>
      <c r="AB158" s="434"/>
      <c r="AC158" s="435"/>
      <c r="AD158" s="433"/>
      <c r="AE158" s="433"/>
      <c r="AF158" s="433"/>
      <c r="AG158" s="433"/>
      <c r="AH158" s="432"/>
      <c r="AI158" s="433"/>
      <c r="AJ158" s="434"/>
      <c r="AK158" s="435"/>
      <c r="AL158" s="433"/>
      <c r="AM158" s="433"/>
      <c r="AN158" s="433"/>
      <c r="AO158" s="433"/>
      <c r="AP158" s="433"/>
      <c r="AQ158" s="432"/>
      <c r="AR158" s="433"/>
      <c r="AS158" s="434"/>
      <c r="AT158" s="423"/>
      <c r="AU158" s="432"/>
      <c r="AV158" s="433"/>
      <c r="AW158" s="433"/>
      <c r="AX158" s="433"/>
      <c r="AY158" s="433"/>
      <c r="AZ158" s="433"/>
      <c r="BA158" s="434"/>
      <c r="BB158" s="435"/>
      <c r="BC158" s="432"/>
      <c r="BD158" s="433"/>
      <c r="BE158" s="433"/>
      <c r="BF158" s="433"/>
      <c r="BG158" s="433"/>
      <c r="BH158" s="433"/>
      <c r="BI158" s="434"/>
      <c r="BJ158" s="423"/>
      <c r="BK158" s="432"/>
      <c r="BL158" s="433"/>
      <c r="BM158" s="433"/>
      <c r="BN158" s="433"/>
      <c r="BO158" s="433"/>
      <c r="BP158" s="433"/>
      <c r="BQ158" s="433"/>
      <c r="BR158" s="434"/>
      <c r="BS158" s="435"/>
      <c r="BT158" s="432"/>
      <c r="BU158" s="433"/>
      <c r="BV158" s="433"/>
      <c r="BW158" s="433"/>
      <c r="BX158" s="433"/>
      <c r="BY158" s="433"/>
      <c r="BZ158" s="434"/>
      <c r="CA158" s="422"/>
      <c r="CB158" s="432"/>
      <c r="CC158" s="433"/>
      <c r="CD158" s="433"/>
      <c r="CE158" s="433"/>
      <c r="CF158" s="433"/>
      <c r="CG158" s="433"/>
      <c r="CH158" s="434"/>
      <c r="CI158" s="422"/>
      <c r="CJ158" s="432"/>
      <c r="CK158" s="433"/>
      <c r="CL158" s="433"/>
      <c r="CM158" s="433"/>
      <c r="CN158" s="433"/>
      <c r="CO158" s="433"/>
      <c r="CP158" s="434"/>
      <c r="CQ158" s="435"/>
      <c r="CR158" s="433"/>
      <c r="CS158" s="433"/>
      <c r="CT158" s="433"/>
      <c r="CU158" s="433"/>
      <c r="CV158" s="433" t="n">
        <f aca="false">+CR158-CT158</f>
        <v>0</v>
      </c>
      <c r="CW158" s="433"/>
      <c r="CX158" s="791"/>
      <c r="CY158" s="206"/>
      <c r="CZ158" s="817"/>
      <c r="DA158" s="433"/>
      <c r="DB158" s="433"/>
      <c r="DC158" s="433"/>
      <c r="DD158" s="433"/>
      <c r="DE158" s="434"/>
      <c r="DF158" s="434"/>
      <c r="DG158" s="434"/>
      <c r="DH158" s="434"/>
      <c r="DI158" s="696"/>
      <c r="DJ158" s="37"/>
      <c r="DL158" s="37"/>
      <c r="DM158" s="400" t="n">
        <f aca="false">(CS158-CZ158)*10^6</f>
        <v>0</v>
      </c>
      <c r="DN158" s="400" t="n">
        <f aca="false">(CT158-DC158)*10^6</f>
        <v>0</v>
      </c>
      <c r="DO158" s="400" t="n">
        <f aca="false">(CW158-DD158)*10^6</f>
        <v>0</v>
      </c>
    </row>
    <row r="159" s="818" customFormat="true" ht="15" hidden="false" customHeight="true" outlineLevel="1" collapsed="false">
      <c r="A159" s="815"/>
      <c r="B159" s="765" t="s">
        <v>562</v>
      </c>
      <c r="C159" s="679" t="s">
        <v>679</v>
      </c>
      <c r="D159" s="433"/>
      <c r="E159" s="433"/>
      <c r="F159" s="433"/>
      <c r="G159" s="433"/>
      <c r="H159" s="434"/>
      <c r="I159" s="435"/>
      <c r="J159" s="433"/>
      <c r="K159" s="433"/>
      <c r="L159" s="433"/>
      <c r="M159" s="433"/>
      <c r="N159" s="434"/>
      <c r="O159" s="423"/>
      <c r="P159" s="433"/>
      <c r="Q159" s="433"/>
      <c r="R159" s="433"/>
      <c r="S159" s="433"/>
      <c r="T159" s="434"/>
      <c r="U159" s="435"/>
      <c r="V159" s="433"/>
      <c r="W159" s="433"/>
      <c r="X159" s="433"/>
      <c r="Y159" s="433"/>
      <c r="Z159" s="432"/>
      <c r="AA159" s="433"/>
      <c r="AB159" s="434"/>
      <c r="AC159" s="435"/>
      <c r="AD159" s="433"/>
      <c r="AE159" s="433"/>
      <c r="AF159" s="433"/>
      <c r="AG159" s="433"/>
      <c r="AH159" s="432"/>
      <c r="AI159" s="433"/>
      <c r="AJ159" s="434"/>
      <c r="AK159" s="435"/>
      <c r="AL159" s="433"/>
      <c r="AM159" s="433"/>
      <c r="AN159" s="433"/>
      <c r="AO159" s="433"/>
      <c r="AP159" s="433"/>
      <c r="AQ159" s="432"/>
      <c r="AR159" s="433"/>
      <c r="AS159" s="434"/>
      <c r="AT159" s="423"/>
      <c r="AU159" s="432"/>
      <c r="AV159" s="433"/>
      <c r="AW159" s="433"/>
      <c r="AX159" s="433"/>
      <c r="AY159" s="433"/>
      <c r="AZ159" s="433"/>
      <c r="BA159" s="434"/>
      <c r="BB159" s="435"/>
      <c r="BC159" s="432"/>
      <c r="BD159" s="433"/>
      <c r="BE159" s="433"/>
      <c r="BF159" s="433"/>
      <c r="BG159" s="433"/>
      <c r="BH159" s="433"/>
      <c r="BI159" s="434"/>
      <c r="BJ159" s="423"/>
      <c r="BK159" s="432"/>
      <c r="BL159" s="433"/>
      <c r="BM159" s="433"/>
      <c r="BN159" s="433"/>
      <c r="BO159" s="433"/>
      <c r="BP159" s="433"/>
      <c r="BQ159" s="433"/>
      <c r="BR159" s="434"/>
      <c r="BS159" s="435"/>
      <c r="BT159" s="432"/>
      <c r="BU159" s="433"/>
      <c r="BV159" s="433"/>
      <c r="BW159" s="433"/>
      <c r="BX159" s="433"/>
      <c r="BY159" s="433"/>
      <c r="BZ159" s="434"/>
      <c r="CA159" s="422"/>
      <c r="CB159" s="432"/>
      <c r="CC159" s="433"/>
      <c r="CD159" s="433"/>
      <c r="CE159" s="433"/>
      <c r="CF159" s="433"/>
      <c r="CG159" s="433"/>
      <c r="CH159" s="434"/>
      <c r="CI159" s="422"/>
      <c r="CJ159" s="432"/>
      <c r="CK159" s="433"/>
      <c r="CL159" s="433"/>
      <c r="CM159" s="433"/>
      <c r="CN159" s="433"/>
      <c r="CO159" s="433"/>
      <c r="CP159" s="434"/>
      <c r="CQ159" s="435"/>
      <c r="CR159" s="433"/>
      <c r="CS159" s="433"/>
      <c r="CT159" s="433"/>
      <c r="CU159" s="433"/>
      <c r="CV159" s="433" t="n">
        <f aca="false">+CR159-CT159</f>
        <v>0</v>
      </c>
      <c r="CW159" s="433"/>
      <c r="CX159" s="791"/>
      <c r="CY159" s="206"/>
      <c r="CZ159" s="817"/>
      <c r="DA159" s="433"/>
      <c r="DB159" s="433"/>
      <c r="DC159" s="433"/>
      <c r="DD159" s="433"/>
      <c r="DE159" s="434"/>
      <c r="DF159" s="434"/>
      <c r="DG159" s="434"/>
      <c r="DH159" s="434"/>
      <c r="DI159" s="696"/>
      <c r="DJ159" s="37"/>
      <c r="DL159" s="37"/>
      <c r="DM159" s="400" t="n">
        <f aca="false">(CS159-CZ159)*10^6</f>
        <v>0</v>
      </c>
      <c r="DN159" s="400" t="n">
        <f aca="false">(CT159-DC159)*10^6</f>
        <v>0</v>
      </c>
      <c r="DO159" s="400" t="n">
        <f aca="false">(CW159-DD159)*10^6</f>
        <v>0</v>
      </c>
    </row>
    <row r="160" customFormat="false" ht="15" hidden="true" customHeight="true" outlineLevel="0" collapsed="false">
      <c r="A160" s="591"/>
      <c r="B160" s="857" t="s">
        <v>680</v>
      </c>
      <c r="C160" s="679" t="s">
        <v>681</v>
      </c>
      <c r="D160" s="144"/>
      <c r="E160" s="144"/>
      <c r="F160" s="144"/>
      <c r="G160" s="144"/>
      <c r="H160" s="245"/>
      <c r="I160" s="422"/>
      <c r="J160" s="144"/>
      <c r="K160" s="144"/>
      <c r="L160" s="144"/>
      <c r="M160" s="144"/>
      <c r="N160" s="245"/>
      <c r="O160" s="423"/>
      <c r="P160" s="144"/>
      <c r="Q160" s="144"/>
      <c r="R160" s="144"/>
      <c r="S160" s="144"/>
      <c r="T160" s="245"/>
      <c r="U160" s="422"/>
      <c r="V160" s="144"/>
      <c r="W160" s="144"/>
      <c r="X160" s="144"/>
      <c r="Y160" s="144"/>
      <c r="Z160" s="281"/>
      <c r="AA160" s="144"/>
      <c r="AB160" s="245"/>
      <c r="AC160" s="422"/>
      <c r="AD160" s="144"/>
      <c r="AE160" s="144"/>
      <c r="AF160" s="144"/>
      <c r="AG160" s="144"/>
      <c r="AH160" s="281"/>
      <c r="AI160" s="144"/>
      <c r="AJ160" s="245"/>
      <c r="AK160" s="422"/>
      <c r="AL160" s="144"/>
      <c r="AM160" s="144"/>
      <c r="AN160" s="144"/>
      <c r="AO160" s="144"/>
      <c r="AP160" s="144"/>
      <c r="AQ160" s="281"/>
      <c r="AR160" s="144"/>
      <c r="AS160" s="245"/>
      <c r="AT160" s="423"/>
      <c r="AU160" s="281"/>
      <c r="AV160" s="144"/>
      <c r="AW160" s="144"/>
      <c r="AX160" s="144"/>
      <c r="AY160" s="144"/>
      <c r="AZ160" s="144"/>
      <c r="BA160" s="245"/>
      <c r="BB160" s="422"/>
      <c r="BC160" s="281"/>
      <c r="BD160" s="144"/>
      <c r="BE160" s="144"/>
      <c r="BF160" s="144"/>
      <c r="BG160" s="144"/>
      <c r="BH160" s="144"/>
      <c r="BI160" s="245"/>
      <c r="BJ160" s="423"/>
      <c r="BK160" s="281"/>
      <c r="BL160" s="144"/>
      <c r="BM160" s="144"/>
      <c r="BN160" s="144"/>
      <c r="BO160" s="144"/>
      <c r="BP160" s="144"/>
      <c r="BQ160" s="144"/>
      <c r="BR160" s="245"/>
      <c r="BS160" s="422"/>
      <c r="BT160" s="281"/>
      <c r="BU160" s="144"/>
      <c r="BV160" s="144"/>
      <c r="BW160" s="144"/>
      <c r="BX160" s="144"/>
      <c r="BY160" s="144"/>
      <c r="BZ160" s="245"/>
      <c r="CA160" s="422"/>
      <c r="CB160" s="281"/>
      <c r="CC160" s="144"/>
      <c r="CD160" s="144"/>
      <c r="CE160" s="144"/>
      <c r="CF160" s="144"/>
      <c r="CG160" s="144"/>
      <c r="CH160" s="245"/>
      <c r="CI160" s="422"/>
      <c r="CJ160" s="281"/>
      <c r="CK160" s="144"/>
      <c r="CL160" s="144"/>
      <c r="CM160" s="144"/>
      <c r="CN160" s="144"/>
      <c r="CO160" s="144"/>
      <c r="CP160" s="245"/>
      <c r="CQ160" s="422"/>
      <c r="CR160" s="144"/>
      <c r="CS160" s="144"/>
      <c r="CT160" s="144"/>
      <c r="CU160" s="144" t="n">
        <f aca="false">+CR160-CS160</f>
        <v>0</v>
      </c>
      <c r="CV160" s="144" t="n">
        <f aca="false">+CR160-CT160</f>
        <v>0</v>
      </c>
      <c r="CW160" s="144"/>
      <c r="CX160" s="805" t="e">
        <f aca="false">+CR160/CW160-1</f>
        <v>#DIV/0!</v>
      </c>
      <c r="CY160" s="206"/>
      <c r="CZ160" s="699"/>
      <c r="DA160" s="144"/>
      <c r="DB160" s="144"/>
      <c r="DC160" s="144"/>
      <c r="DD160" s="144"/>
      <c r="DE160" s="245" t="e">
        <f aca="false">(CZ160-DD160)/DD160</f>
        <v>#DIV/0!</v>
      </c>
      <c r="DF160" s="245" t="e">
        <f aca="false">(DA160-DD160)/DD160</f>
        <v>#DIV/0!</v>
      </c>
      <c r="DG160" s="245" t="e">
        <f aca="false">(DB160-DD160)/DD160</f>
        <v>#DIV/0!</v>
      </c>
      <c r="DH160" s="245" t="e">
        <f aca="false">(DC160-DD160)/DD160</f>
        <v>#DIV/0!</v>
      </c>
      <c r="DI160" s="696"/>
      <c r="DL160" s="37"/>
      <c r="DM160" s="400" t="n">
        <f aca="false">(CS160-CZ160)*10^6</f>
        <v>0</v>
      </c>
      <c r="DN160" s="400" t="n">
        <f aca="false">(CT160-DC160)*10^6</f>
        <v>0</v>
      </c>
      <c r="DO160" s="400" t="n">
        <f aca="false">(CW160-DD160)*10^6</f>
        <v>0</v>
      </c>
    </row>
    <row r="161" s="818" customFormat="true" ht="15" hidden="false" customHeight="true" outlineLevel="1" collapsed="false">
      <c r="A161" s="815"/>
      <c r="B161" s="765" t="s">
        <v>488</v>
      </c>
      <c r="C161" s="679" t="s">
        <v>682</v>
      </c>
      <c r="D161" s="433"/>
      <c r="E161" s="433"/>
      <c r="F161" s="433"/>
      <c r="G161" s="433"/>
      <c r="H161" s="434"/>
      <c r="I161" s="435"/>
      <c r="J161" s="433"/>
      <c r="K161" s="433"/>
      <c r="L161" s="433"/>
      <c r="M161" s="433"/>
      <c r="N161" s="434"/>
      <c r="O161" s="423"/>
      <c r="P161" s="433"/>
      <c r="Q161" s="433"/>
      <c r="R161" s="433"/>
      <c r="S161" s="433"/>
      <c r="T161" s="434"/>
      <c r="U161" s="435"/>
      <c r="V161" s="433"/>
      <c r="W161" s="433"/>
      <c r="X161" s="433"/>
      <c r="Y161" s="433"/>
      <c r="Z161" s="432"/>
      <c r="AA161" s="433"/>
      <c r="AB161" s="434"/>
      <c r="AC161" s="435"/>
      <c r="AD161" s="433"/>
      <c r="AE161" s="433"/>
      <c r="AF161" s="433"/>
      <c r="AG161" s="433"/>
      <c r="AH161" s="432"/>
      <c r="AI161" s="433"/>
      <c r="AJ161" s="434"/>
      <c r="AK161" s="435"/>
      <c r="AL161" s="433"/>
      <c r="AM161" s="433"/>
      <c r="AN161" s="433"/>
      <c r="AO161" s="433"/>
      <c r="AP161" s="433"/>
      <c r="AQ161" s="432"/>
      <c r="AR161" s="433"/>
      <c r="AS161" s="434"/>
      <c r="AT161" s="423"/>
      <c r="AU161" s="432"/>
      <c r="AV161" s="433"/>
      <c r="AW161" s="433"/>
      <c r="AX161" s="433"/>
      <c r="AY161" s="433"/>
      <c r="AZ161" s="433"/>
      <c r="BA161" s="434"/>
      <c r="BB161" s="435"/>
      <c r="BC161" s="432"/>
      <c r="BD161" s="433"/>
      <c r="BE161" s="433"/>
      <c r="BF161" s="433"/>
      <c r="BG161" s="433"/>
      <c r="BH161" s="433"/>
      <c r="BI161" s="434"/>
      <c r="BJ161" s="423"/>
      <c r="BK161" s="432"/>
      <c r="BL161" s="433"/>
      <c r="BM161" s="433"/>
      <c r="BN161" s="433"/>
      <c r="BO161" s="433"/>
      <c r="BP161" s="433"/>
      <c r="BQ161" s="433"/>
      <c r="BR161" s="434"/>
      <c r="BS161" s="435"/>
      <c r="BT161" s="432"/>
      <c r="BU161" s="433"/>
      <c r="BV161" s="433"/>
      <c r="BW161" s="433"/>
      <c r="BX161" s="433"/>
      <c r="BY161" s="433"/>
      <c r="BZ161" s="434"/>
      <c r="CA161" s="422"/>
      <c r="CB161" s="432"/>
      <c r="CC161" s="433"/>
      <c r="CD161" s="433"/>
      <c r="CE161" s="433"/>
      <c r="CF161" s="433"/>
      <c r="CG161" s="433"/>
      <c r="CH161" s="434"/>
      <c r="CI161" s="422"/>
      <c r="CJ161" s="432"/>
      <c r="CK161" s="433"/>
      <c r="CL161" s="433"/>
      <c r="CM161" s="433"/>
      <c r="CN161" s="433"/>
      <c r="CO161" s="433"/>
      <c r="CP161" s="434"/>
      <c r="CQ161" s="435"/>
      <c r="CR161" s="433"/>
      <c r="CS161" s="433"/>
      <c r="CT161" s="433"/>
      <c r="CU161" s="433" t="n">
        <f aca="false">+CR161-CS161</f>
        <v>0</v>
      </c>
      <c r="CV161" s="433" t="n">
        <f aca="false">+CR161-CT161</f>
        <v>0</v>
      </c>
      <c r="CW161" s="433"/>
      <c r="CX161" s="791" t="e">
        <f aca="false">+CR161/CW161-1</f>
        <v>#DIV/0!</v>
      </c>
      <c r="CY161" s="206"/>
      <c r="CZ161" s="817"/>
      <c r="DA161" s="433"/>
      <c r="DB161" s="433"/>
      <c r="DC161" s="433"/>
      <c r="DD161" s="433"/>
      <c r="DE161" s="434" t="e">
        <f aca="false">(CZ161-DD161)/DD161</f>
        <v>#DIV/0!</v>
      </c>
      <c r="DF161" s="434" t="e">
        <f aca="false">(DA161-DD161)/DD161</f>
        <v>#DIV/0!</v>
      </c>
      <c r="DG161" s="434" t="e">
        <f aca="false">(DB161-DD161)/DD161</f>
        <v>#DIV/0!</v>
      </c>
      <c r="DH161" s="434" t="e">
        <f aca="false">(DC161-DD161)/DD161</f>
        <v>#DIV/0!</v>
      </c>
      <c r="DI161" s="696"/>
      <c r="DJ161" s="37"/>
      <c r="DL161" s="37"/>
      <c r="DM161" s="400" t="n">
        <f aca="false">(CS161-CZ161)*10^6</f>
        <v>0</v>
      </c>
      <c r="DN161" s="400" t="n">
        <f aca="false">(CT161-DC161)*10^6</f>
        <v>0</v>
      </c>
      <c r="DO161" s="400" t="n">
        <f aca="false">(CW161-DD161)*10^6</f>
        <v>0</v>
      </c>
    </row>
    <row r="162" s="818" customFormat="true" ht="15" hidden="false" customHeight="true" outlineLevel="1" collapsed="false">
      <c r="A162" s="815"/>
      <c r="B162" s="765" t="s">
        <v>558</v>
      </c>
      <c r="C162" s="679" t="s">
        <v>683</v>
      </c>
      <c r="D162" s="433"/>
      <c r="E162" s="433"/>
      <c r="F162" s="433"/>
      <c r="G162" s="433"/>
      <c r="H162" s="434"/>
      <c r="I162" s="435"/>
      <c r="J162" s="433"/>
      <c r="K162" s="433"/>
      <c r="L162" s="433"/>
      <c r="M162" s="433"/>
      <c r="N162" s="434"/>
      <c r="O162" s="423"/>
      <c r="P162" s="433"/>
      <c r="Q162" s="433"/>
      <c r="R162" s="433"/>
      <c r="S162" s="433"/>
      <c r="T162" s="434"/>
      <c r="U162" s="435"/>
      <c r="V162" s="433"/>
      <c r="W162" s="433"/>
      <c r="X162" s="433"/>
      <c r="Y162" s="433"/>
      <c r="Z162" s="432"/>
      <c r="AA162" s="433"/>
      <c r="AB162" s="434"/>
      <c r="AC162" s="435"/>
      <c r="AD162" s="433"/>
      <c r="AE162" s="433"/>
      <c r="AF162" s="433"/>
      <c r="AG162" s="433"/>
      <c r="AH162" s="432"/>
      <c r="AI162" s="433"/>
      <c r="AJ162" s="434"/>
      <c r="AK162" s="435"/>
      <c r="AL162" s="433"/>
      <c r="AM162" s="433"/>
      <c r="AN162" s="433"/>
      <c r="AO162" s="433"/>
      <c r="AP162" s="433"/>
      <c r="AQ162" s="432"/>
      <c r="AR162" s="433"/>
      <c r="AS162" s="434"/>
      <c r="AT162" s="423"/>
      <c r="AU162" s="432"/>
      <c r="AV162" s="433"/>
      <c r="AW162" s="433"/>
      <c r="AX162" s="433"/>
      <c r="AY162" s="433"/>
      <c r="AZ162" s="433"/>
      <c r="BA162" s="434"/>
      <c r="BB162" s="435"/>
      <c r="BC162" s="432"/>
      <c r="BD162" s="433"/>
      <c r="BE162" s="433"/>
      <c r="BF162" s="433"/>
      <c r="BG162" s="433"/>
      <c r="BH162" s="433"/>
      <c r="BI162" s="434"/>
      <c r="BJ162" s="423"/>
      <c r="BK162" s="432"/>
      <c r="BL162" s="433"/>
      <c r="BM162" s="433"/>
      <c r="BN162" s="433"/>
      <c r="BO162" s="433"/>
      <c r="BP162" s="433"/>
      <c r="BQ162" s="433"/>
      <c r="BR162" s="434"/>
      <c r="BS162" s="435"/>
      <c r="BT162" s="432"/>
      <c r="BU162" s="433"/>
      <c r="BV162" s="433"/>
      <c r="BW162" s="433"/>
      <c r="BX162" s="433"/>
      <c r="BY162" s="433"/>
      <c r="BZ162" s="434"/>
      <c r="CA162" s="422"/>
      <c r="CB162" s="432"/>
      <c r="CC162" s="433"/>
      <c r="CD162" s="433"/>
      <c r="CE162" s="433"/>
      <c r="CF162" s="433"/>
      <c r="CG162" s="433"/>
      <c r="CH162" s="434"/>
      <c r="CI162" s="422"/>
      <c r="CJ162" s="432"/>
      <c r="CK162" s="433"/>
      <c r="CL162" s="433"/>
      <c r="CM162" s="433"/>
      <c r="CN162" s="433"/>
      <c r="CO162" s="433"/>
      <c r="CP162" s="434"/>
      <c r="CQ162" s="435"/>
      <c r="CR162" s="433"/>
      <c r="CS162" s="433"/>
      <c r="CT162" s="433"/>
      <c r="CU162" s="433" t="n">
        <f aca="false">+CR162-CS162</f>
        <v>0</v>
      </c>
      <c r="CV162" s="433" t="n">
        <f aca="false">+CR162-CT162</f>
        <v>0</v>
      </c>
      <c r="CW162" s="433"/>
      <c r="CX162" s="791" t="e">
        <f aca="false">+CR162/CW162-1</f>
        <v>#DIV/0!</v>
      </c>
      <c r="CY162" s="206"/>
      <c r="CZ162" s="817"/>
      <c r="DA162" s="433"/>
      <c r="DB162" s="433"/>
      <c r="DC162" s="433"/>
      <c r="DD162" s="433"/>
      <c r="DE162" s="434" t="e">
        <f aca="false">(CZ162-DD162)/DD162</f>
        <v>#DIV/0!</v>
      </c>
      <c r="DF162" s="434" t="e">
        <f aca="false">(DA162-DD162)/DD162</f>
        <v>#DIV/0!</v>
      </c>
      <c r="DG162" s="434" t="e">
        <f aca="false">(DB162-DD162)/DD162</f>
        <v>#DIV/0!</v>
      </c>
      <c r="DH162" s="434" t="e">
        <f aca="false">(DC162-DD162)/DD162</f>
        <v>#DIV/0!</v>
      </c>
      <c r="DI162" s="696"/>
      <c r="DJ162" s="37"/>
      <c r="DL162" s="37"/>
      <c r="DM162" s="400" t="n">
        <f aca="false">(CS162-CZ162)*10^6</f>
        <v>0</v>
      </c>
      <c r="DN162" s="400" t="n">
        <f aca="false">(CT162-DC162)*10^6</f>
        <v>0</v>
      </c>
      <c r="DO162" s="400" t="n">
        <f aca="false">(CW162-DD162)*10^6</f>
        <v>0</v>
      </c>
    </row>
    <row r="163" s="818" customFormat="true" ht="15" hidden="false" customHeight="true" outlineLevel="1" collapsed="false">
      <c r="A163" s="815"/>
      <c r="B163" s="765" t="s">
        <v>560</v>
      </c>
      <c r="C163" s="679" t="s">
        <v>684</v>
      </c>
      <c r="D163" s="433"/>
      <c r="E163" s="433"/>
      <c r="F163" s="433"/>
      <c r="G163" s="433"/>
      <c r="H163" s="434"/>
      <c r="I163" s="435"/>
      <c r="J163" s="433"/>
      <c r="K163" s="433"/>
      <c r="L163" s="433"/>
      <c r="M163" s="433"/>
      <c r="N163" s="434"/>
      <c r="O163" s="423"/>
      <c r="P163" s="433"/>
      <c r="Q163" s="433"/>
      <c r="R163" s="433"/>
      <c r="S163" s="433"/>
      <c r="T163" s="434"/>
      <c r="U163" s="435"/>
      <c r="V163" s="433"/>
      <c r="W163" s="433"/>
      <c r="X163" s="433"/>
      <c r="Y163" s="433"/>
      <c r="Z163" s="432"/>
      <c r="AA163" s="433"/>
      <c r="AB163" s="434"/>
      <c r="AC163" s="435"/>
      <c r="AD163" s="433"/>
      <c r="AE163" s="433"/>
      <c r="AF163" s="433"/>
      <c r="AG163" s="433"/>
      <c r="AH163" s="432"/>
      <c r="AI163" s="433"/>
      <c r="AJ163" s="434"/>
      <c r="AK163" s="435"/>
      <c r="AL163" s="433"/>
      <c r="AM163" s="433"/>
      <c r="AN163" s="433"/>
      <c r="AO163" s="433"/>
      <c r="AP163" s="433"/>
      <c r="AQ163" s="432"/>
      <c r="AR163" s="433"/>
      <c r="AS163" s="434"/>
      <c r="AT163" s="423"/>
      <c r="AU163" s="432"/>
      <c r="AV163" s="433"/>
      <c r="AW163" s="433"/>
      <c r="AX163" s="433"/>
      <c r="AY163" s="433"/>
      <c r="AZ163" s="433"/>
      <c r="BA163" s="434"/>
      <c r="BB163" s="435"/>
      <c r="BC163" s="432"/>
      <c r="BD163" s="433"/>
      <c r="BE163" s="433"/>
      <c r="BF163" s="433"/>
      <c r="BG163" s="433"/>
      <c r="BH163" s="433"/>
      <c r="BI163" s="434"/>
      <c r="BJ163" s="423"/>
      <c r="BK163" s="432"/>
      <c r="BL163" s="433"/>
      <c r="BM163" s="433"/>
      <c r="BN163" s="433"/>
      <c r="BO163" s="433"/>
      <c r="BP163" s="433"/>
      <c r="BQ163" s="433"/>
      <c r="BR163" s="434"/>
      <c r="BS163" s="435"/>
      <c r="BT163" s="432"/>
      <c r="BU163" s="433"/>
      <c r="BV163" s="433"/>
      <c r="BW163" s="433"/>
      <c r="BX163" s="433"/>
      <c r="BY163" s="433"/>
      <c r="BZ163" s="434"/>
      <c r="CA163" s="422"/>
      <c r="CB163" s="432"/>
      <c r="CC163" s="433"/>
      <c r="CD163" s="433"/>
      <c r="CE163" s="433"/>
      <c r="CF163" s="433"/>
      <c r="CG163" s="433"/>
      <c r="CH163" s="434"/>
      <c r="CI163" s="422"/>
      <c r="CJ163" s="432"/>
      <c r="CK163" s="433"/>
      <c r="CL163" s="433"/>
      <c r="CM163" s="433"/>
      <c r="CN163" s="433"/>
      <c r="CO163" s="433"/>
      <c r="CP163" s="434"/>
      <c r="CQ163" s="435"/>
      <c r="CR163" s="433"/>
      <c r="CS163" s="433"/>
      <c r="CT163" s="433"/>
      <c r="CU163" s="433" t="n">
        <f aca="false">+CR163-CS163</f>
        <v>0</v>
      </c>
      <c r="CV163" s="433" t="n">
        <f aca="false">+CR163-CT163</f>
        <v>0</v>
      </c>
      <c r="CW163" s="433"/>
      <c r="CX163" s="791" t="e">
        <f aca="false">+CR163/CW163-1</f>
        <v>#DIV/0!</v>
      </c>
      <c r="CY163" s="206"/>
      <c r="CZ163" s="817"/>
      <c r="DA163" s="433"/>
      <c r="DB163" s="433"/>
      <c r="DC163" s="433"/>
      <c r="DD163" s="433"/>
      <c r="DE163" s="434" t="e">
        <f aca="false">(CZ163-DD163)/DD163</f>
        <v>#DIV/0!</v>
      </c>
      <c r="DF163" s="434" t="e">
        <f aca="false">(DA163-DD163)/DD163</f>
        <v>#DIV/0!</v>
      </c>
      <c r="DG163" s="434" t="e">
        <f aca="false">(DB163-DD163)/DD163</f>
        <v>#DIV/0!</v>
      </c>
      <c r="DH163" s="434" t="e">
        <f aca="false">(DC163-DD163)/DD163</f>
        <v>#DIV/0!</v>
      </c>
      <c r="DI163" s="696"/>
      <c r="DJ163" s="37"/>
      <c r="DL163" s="37"/>
      <c r="DM163" s="400" t="n">
        <f aca="false">(CS163-CZ163)*10^6</f>
        <v>0</v>
      </c>
      <c r="DN163" s="400" t="n">
        <f aca="false">(CT163-DC163)*10^6</f>
        <v>0</v>
      </c>
      <c r="DO163" s="400" t="n">
        <f aca="false">(CW163-DD163)*10^6</f>
        <v>0</v>
      </c>
    </row>
    <row r="164" s="818" customFormat="true" ht="15" hidden="false" customHeight="true" outlineLevel="1" collapsed="false">
      <c r="A164" s="815"/>
      <c r="B164" s="765" t="s">
        <v>562</v>
      </c>
      <c r="C164" s="679" t="s">
        <v>685</v>
      </c>
      <c r="D164" s="433"/>
      <c r="E164" s="433"/>
      <c r="F164" s="433"/>
      <c r="G164" s="433"/>
      <c r="H164" s="434"/>
      <c r="I164" s="435"/>
      <c r="J164" s="433"/>
      <c r="K164" s="433"/>
      <c r="L164" s="433"/>
      <c r="M164" s="433"/>
      <c r="N164" s="434"/>
      <c r="O164" s="423"/>
      <c r="P164" s="433"/>
      <c r="Q164" s="433"/>
      <c r="R164" s="433"/>
      <c r="S164" s="433"/>
      <c r="T164" s="434"/>
      <c r="U164" s="435"/>
      <c r="V164" s="433"/>
      <c r="W164" s="433"/>
      <c r="X164" s="433"/>
      <c r="Y164" s="433"/>
      <c r="Z164" s="432"/>
      <c r="AA164" s="433"/>
      <c r="AB164" s="434"/>
      <c r="AC164" s="435"/>
      <c r="AD164" s="433"/>
      <c r="AE164" s="433"/>
      <c r="AF164" s="433"/>
      <c r="AG164" s="433"/>
      <c r="AH164" s="432"/>
      <c r="AI164" s="433"/>
      <c r="AJ164" s="434"/>
      <c r="AK164" s="435"/>
      <c r="AL164" s="433"/>
      <c r="AM164" s="433"/>
      <c r="AN164" s="433"/>
      <c r="AO164" s="433"/>
      <c r="AP164" s="433"/>
      <c r="AQ164" s="432"/>
      <c r="AR164" s="433"/>
      <c r="AS164" s="434"/>
      <c r="AT164" s="423"/>
      <c r="AU164" s="432"/>
      <c r="AV164" s="433"/>
      <c r="AW164" s="433"/>
      <c r="AX164" s="433"/>
      <c r="AY164" s="433"/>
      <c r="AZ164" s="433"/>
      <c r="BA164" s="434"/>
      <c r="BB164" s="435"/>
      <c r="BC164" s="432"/>
      <c r="BD164" s="433"/>
      <c r="BE164" s="433"/>
      <c r="BF164" s="433"/>
      <c r="BG164" s="433"/>
      <c r="BH164" s="433"/>
      <c r="BI164" s="434"/>
      <c r="BJ164" s="423"/>
      <c r="BK164" s="432"/>
      <c r="BL164" s="433"/>
      <c r="BM164" s="433"/>
      <c r="BN164" s="433"/>
      <c r="BO164" s="433"/>
      <c r="BP164" s="433"/>
      <c r="BQ164" s="433"/>
      <c r="BR164" s="434"/>
      <c r="BS164" s="435"/>
      <c r="BT164" s="432"/>
      <c r="BU164" s="433"/>
      <c r="BV164" s="433"/>
      <c r="BW164" s="433"/>
      <c r="BX164" s="433"/>
      <c r="BY164" s="433"/>
      <c r="BZ164" s="434"/>
      <c r="CA164" s="422"/>
      <c r="CB164" s="432"/>
      <c r="CC164" s="433"/>
      <c r="CD164" s="433"/>
      <c r="CE164" s="433"/>
      <c r="CF164" s="433"/>
      <c r="CG164" s="433"/>
      <c r="CH164" s="434"/>
      <c r="CI164" s="422"/>
      <c r="CJ164" s="432"/>
      <c r="CK164" s="433"/>
      <c r="CL164" s="433"/>
      <c r="CM164" s="433"/>
      <c r="CN164" s="433"/>
      <c r="CO164" s="433"/>
      <c r="CP164" s="434"/>
      <c r="CQ164" s="435"/>
      <c r="CR164" s="433"/>
      <c r="CS164" s="433"/>
      <c r="CT164" s="433"/>
      <c r="CU164" s="433" t="n">
        <f aca="false">+CR164-CS164</f>
        <v>0</v>
      </c>
      <c r="CV164" s="433" t="n">
        <f aca="false">+CR164-CT164</f>
        <v>0</v>
      </c>
      <c r="CW164" s="433"/>
      <c r="CX164" s="791" t="e">
        <f aca="false">+CR164/CW164-1</f>
        <v>#DIV/0!</v>
      </c>
      <c r="CY164" s="206"/>
      <c r="CZ164" s="817"/>
      <c r="DA164" s="433"/>
      <c r="DB164" s="433"/>
      <c r="DC164" s="433"/>
      <c r="DD164" s="433"/>
      <c r="DE164" s="434" t="e">
        <f aca="false">(CZ164-DD164)/DD164</f>
        <v>#DIV/0!</v>
      </c>
      <c r="DF164" s="434" t="e">
        <f aca="false">(DA164-DD164)/DD164</f>
        <v>#DIV/0!</v>
      </c>
      <c r="DG164" s="434" t="e">
        <f aca="false">(DB164-DD164)/DD164</f>
        <v>#DIV/0!</v>
      </c>
      <c r="DH164" s="434" t="e">
        <f aca="false">(DC164-DD164)/DD164</f>
        <v>#DIV/0!</v>
      </c>
      <c r="DI164" s="696"/>
      <c r="DJ164" s="37"/>
      <c r="DL164" s="37"/>
      <c r="DM164" s="400" t="n">
        <f aca="false">(CS164-CZ164)*10^6</f>
        <v>0</v>
      </c>
      <c r="DN164" s="400" t="n">
        <f aca="false">(CT164-DC164)*10^6</f>
        <v>0</v>
      </c>
      <c r="DO164" s="400" t="n">
        <f aca="false">(CW164-DD164)*10^6</f>
        <v>0</v>
      </c>
    </row>
    <row r="165" customFormat="false" ht="18.75" hidden="false" customHeight="true" outlineLevel="0" collapsed="false">
      <c r="A165" s="591"/>
      <c r="B165" s="857" t="s">
        <v>686</v>
      </c>
      <c r="C165" s="679" t="s">
        <v>687</v>
      </c>
      <c r="D165" s="144"/>
      <c r="E165" s="144"/>
      <c r="F165" s="144"/>
      <c r="G165" s="144"/>
      <c r="H165" s="245"/>
      <c r="I165" s="422"/>
      <c r="J165" s="144"/>
      <c r="K165" s="144"/>
      <c r="L165" s="144"/>
      <c r="M165" s="144"/>
      <c r="N165" s="245"/>
      <c r="O165" s="423"/>
      <c r="P165" s="144"/>
      <c r="Q165" s="144"/>
      <c r="R165" s="144"/>
      <c r="S165" s="144"/>
      <c r="T165" s="245"/>
      <c r="U165" s="422"/>
      <c r="V165" s="144"/>
      <c r="W165" s="144"/>
      <c r="X165" s="144"/>
      <c r="Y165" s="144"/>
      <c r="Z165" s="281"/>
      <c r="AA165" s="144"/>
      <c r="AB165" s="245"/>
      <c r="AC165" s="422"/>
      <c r="AD165" s="144"/>
      <c r="AE165" s="144"/>
      <c r="AF165" s="144"/>
      <c r="AG165" s="144"/>
      <c r="AH165" s="281"/>
      <c r="AI165" s="144"/>
      <c r="AJ165" s="245"/>
      <c r="AK165" s="422"/>
      <c r="AL165" s="144"/>
      <c r="AM165" s="144"/>
      <c r="AN165" s="144"/>
      <c r="AO165" s="144"/>
      <c r="AP165" s="144"/>
      <c r="AQ165" s="281"/>
      <c r="AR165" s="144"/>
      <c r="AS165" s="245"/>
      <c r="AT165" s="423"/>
      <c r="AU165" s="281"/>
      <c r="AV165" s="144"/>
      <c r="AW165" s="144"/>
      <c r="AX165" s="144"/>
      <c r="AY165" s="144"/>
      <c r="AZ165" s="144"/>
      <c r="BA165" s="245"/>
      <c r="BB165" s="422"/>
      <c r="BC165" s="281"/>
      <c r="BD165" s="144"/>
      <c r="BE165" s="144"/>
      <c r="BF165" s="144"/>
      <c r="BG165" s="144"/>
      <c r="BH165" s="144"/>
      <c r="BI165" s="245"/>
      <c r="BJ165" s="423"/>
      <c r="BK165" s="281"/>
      <c r="BL165" s="144"/>
      <c r="BM165" s="144"/>
      <c r="BN165" s="144"/>
      <c r="BO165" s="144"/>
      <c r="BP165" s="144"/>
      <c r="BQ165" s="144"/>
      <c r="BR165" s="245"/>
      <c r="BS165" s="422"/>
      <c r="BT165" s="281"/>
      <c r="BU165" s="144"/>
      <c r="BV165" s="144"/>
      <c r="BW165" s="144"/>
      <c r="BX165" s="144"/>
      <c r="BY165" s="144"/>
      <c r="BZ165" s="245"/>
      <c r="CA165" s="422"/>
      <c r="CB165" s="281"/>
      <c r="CC165" s="144"/>
      <c r="CD165" s="144"/>
      <c r="CE165" s="144"/>
      <c r="CF165" s="144"/>
      <c r="CG165" s="144"/>
      <c r="CH165" s="245"/>
      <c r="CI165" s="422"/>
      <c r="CJ165" s="281"/>
      <c r="CK165" s="144"/>
      <c r="CL165" s="144"/>
      <c r="CM165" s="144"/>
      <c r="CN165" s="144"/>
      <c r="CO165" s="144"/>
      <c r="CP165" s="245"/>
      <c r="CQ165" s="422"/>
      <c r="CR165" s="144"/>
      <c r="CS165" s="144"/>
      <c r="CT165" s="144"/>
      <c r="CU165" s="144" t="n">
        <f aca="false">+CR165-CS165</f>
        <v>0</v>
      </c>
      <c r="CV165" s="144" t="n">
        <f aca="false">+CR165-CT165</f>
        <v>0</v>
      </c>
      <c r="CW165" s="144"/>
      <c r="CX165" s="805" t="str">
        <f aca="false">IFERROR(CR165/CW165-1, "-")</f>
        <v>-</v>
      </c>
      <c r="CY165" s="206"/>
      <c r="CZ165" s="699"/>
      <c r="DA165" s="144"/>
      <c r="DB165" s="144"/>
      <c r="DC165" s="144"/>
      <c r="DD165" s="144"/>
      <c r="DE165" s="245" t="e">
        <f aca="false">(CZ165-DD165)/DD165</f>
        <v>#DIV/0!</v>
      </c>
      <c r="DF165" s="245" t="e">
        <f aca="false">(DA165-DD165)/DD165</f>
        <v>#DIV/0!</v>
      </c>
      <c r="DG165" s="245" t="e">
        <f aca="false">(DB165-DD165)/DD165</f>
        <v>#DIV/0!</v>
      </c>
      <c r="DH165" s="245" t="e">
        <f aca="false">(DC165-DD165)/DD165</f>
        <v>#DIV/0!</v>
      </c>
      <c r="DI165" s="696"/>
      <c r="DL165" s="37"/>
      <c r="DM165" s="400" t="n">
        <f aca="false">(CS165-CZ165)*10^6</f>
        <v>0</v>
      </c>
      <c r="DN165" s="400" t="n">
        <f aca="false">(CT165-DC165)*10^6</f>
        <v>0</v>
      </c>
      <c r="DO165" s="400" t="n">
        <f aca="false">(CW165-DD165)*10^6</f>
        <v>0</v>
      </c>
    </row>
    <row r="166" s="818" customFormat="true" ht="15" hidden="false" customHeight="true" outlineLevel="1" collapsed="false">
      <c r="A166" s="815"/>
      <c r="B166" s="765" t="s">
        <v>488</v>
      </c>
      <c r="C166" s="679" t="s">
        <v>688</v>
      </c>
      <c r="D166" s="433"/>
      <c r="E166" s="433"/>
      <c r="F166" s="433"/>
      <c r="G166" s="433"/>
      <c r="H166" s="434"/>
      <c r="I166" s="435"/>
      <c r="J166" s="433"/>
      <c r="K166" s="433"/>
      <c r="L166" s="433"/>
      <c r="M166" s="433"/>
      <c r="N166" s="434"/>
      <c r="O166" s="423"/>
      <c r="P166" s="433"/>
      <c r="Q166" s="433"/>
      <c r="R166" s="433"/>
      <c r="S166" s="433"/>
      <c r="T166" s="434"/>
      <c r="U166" s="435"/>
      <c r="V166" s="433"/>
      <c r="W166" s="433"/>
      <c r="X166" s="433"/>
      <c r="Y166" s="433"/>
      <c r="Z166" s="432"/>
      <c r="AA166" s="433"/>
      <c r="AB166" s="434"/>
      <c r="AC166" s="435"/>
      <c r="AD166" s="433"/>
      <c r="AE166" s="433"/>
      <c r="AF166" s="433"/>
      <c r="AG166" s="433"/>
      <c r="AH166" s="432"/>
      <c r="AI166" s="433"/>
      <c r="AJ166" s="434"/>
      <c r="AK166" s="435"/>
      <c r="AL166" s="433"/>
      <c r="AM166" s="433"/>
      <c r="AN166" s="433"/>
      <c r="AO166" s="433"/>
      <c r="AP166" s="433"/>
      <c r="AQ166" s="432"/>
      <c r="AR166" s="433"/>
      <c r="AS166" s="434"/>
      <c r="AT166" s="423"/>
      <c r="AU166" s="432"/>
      <c r="AV166" s="433"/>
      <c r="AW166" s="433"/>
      <c r="AX166" s="433"/>
      <c r="AY166" s="433"/>
      <c r="AZ166" s="433"/>
      <c r="BA166" s="434"/>
      <c r="BB166" s="435"/>
      <c r="BC166" s="432"/>
      <c r="BD166" s="433"/>
      <c r="BE166" s="433"/>
      <c r="BF166" s="433"/>
      <c r="BG166" s="433"/>
      <c r="BH166" s="433"/>
      <c r="BI166" s="434"/>
      <c r="BJ166" s="423"/>
      <c r="BK166" s="432"/>
      <c r="BL166" s="433"/>
      <c r="BM166" s="433"/>
      <c r="BN166" s="433"/>
      <c r="BO166" s="433"/>
      <c r="BP166" s="433"/>
      <c r="BQ166" s="433"/>
      <c r="BR166" s="434"/>
      <c r="BS166" s="435"/>
      <c r="BT166" s="432"/>
      <c r="BU166" s="433"/>
      <c r="BV166" s="433"/>
      <c r="BW166" s="433"/>
      <c r="BX166" s="433"/>
      <c r="BY166" s="433"/>
      <c r="BZ166" s="434"/>
      <c r="CA166" s="422"/>
      <c r="CB166" s="432"/>
      <c r="CC166" s="433"/>
      <c r="CD166" s="433"/>
      <c r="CE166" s="433"/>
      <c r="CF166" s="433"/>
      <c r="CG166" s="433"/>
      <c r="CH166" s="434"/>
      <c r="CI166" s="422"/>
      <c r="CJ166" s="432"/>
      <c r="CK166" s="433"/>
      <c r="CL166" s="433"/>
      <c r="CM166" s="433"/>
      <c r="CN166" s="433"/>
      <c r="CO166" s="433"/>
      <c r="CP166" s="434"/>
      <c r="CQ166" s="435"/>
      <c r="CR166" s="433"/>
      <c r="CS166" s="433"/>
      <c r="CT166" s="433"/>
      <c r="CU166" s="433" t="n">
        <f aca="false">+CR166-CS166</f>
        <v>0</v>
      </c>
      <c r="CV166" s="433" t="n">
        <f aca="false">+CR166-CT166</f>
        <v>0</v>
      </c>
      <c r="CW166" s="433"/>
      <c r="CX166" s="791" t="e">
        <f aca="false">+CR166/CW166-1</f>
        <v>#DIV/0!</v>
      </c>
      <c r="CY166" s="206"/>
      <c r="CZ166" s="817"/>
      <c r="DA166" s="433"/>
      <c r="DB166" s="433"/>
      <c r="DC166" s="433"/>
      <c r="DD166" s="433"/>
      <c r="DE166" s="434" t="e">
        <f aca="false">(CZ166-DD166)/DD166</f>
        <v>#DIV/0!</v>
      </c>
      <c r="DF166" s="434" t="e">
        <f aca="false">(DA166-DD166)/DD166</f>
        <v>#DIV/0!</v>
      </c>
      <c r="DG166" s="434" t="e">
        <f aca="false">(DB166-DD166)/DD166</f>
        <v>#DIV/0!</v>
      </c>
      <c r="DH166" s="434" t="e">
        <f aca="false">(DC166-DD166)/DD166</f>
        <v>#DIV/0!</v>
      </c>
      <c r="DI166" s="696"/>
      <c r="DJ166" s="37"/>
      <c r="DL166" s="37"/>
      <c r="DM166" s="400" t="n">
        <f aca="false">(CS166-CZ166)*10^6</f>
        <v>0</v>
      </c>
      <c r="DN166" s="400" t="n">
        <f aca="false">(CT166-DC166)*10^6</f>
        <v>0</v>
      </c>
      <c r="DO166" s="400" t="n">
        <f aca="false">(CW166-DD166)*10^6</f>
        <v>0</v>
      </c>
    </row>
    <row r="167" s="818" customFormat="true" ht="15" hidden="false" customHeight="true" outlineLevel="1" collapsed="false">
      <c r="A167" s="815"/>
      <c r="B167" s="765" t="s">
        <v>558</v>
      </c>
      <c r="C167" s="679" t="s">
        <v>689</v>
      </c>
      <c r="D167" s="433"/>
      <c r="E167" s="433"/>
      <c r="F167" s="433"/>
      <c r="G167" s="433"/>
      <c r="H167" s="434"/>
      <c r="I167" s="435"/>
      <c r="J167" s="433"/>
      <c r="K167" s="433"/>
      <c r="L167" s="433"/>
      <c r="M167" s="433"/>
      <c r="N167" s="434"/>
      <c r="O167" s="423"/>
      <c r="P167" s="433"/>
      <c r="Q167" s="433"/>
      <c r="R167" s="433"/>
      <c r="S167" s="433"/>
      <c r="T167" s="434"/>
      <c r="U167" s="435"/>
      <c r="V167" s="433"/>
      <c r="W167" s="433"/>
      <c r="X167" s="433"/>
      <c r="Y167" s="433"/>
      <c r="Z167" s="432"/>
      <c r="AA167" s="433"/>
      <c r="AB167" s="434"/>
      <c r="AC167" s="435"/>
      <c r="AD167" s="433"/>
      <c r="AE167" s="433"/>
      <c r="AF167" s="433"/>
      <c r="AG167" s="433"/>
      <c r="AH167" s="432"/>
      <c r="AI167" s="433"/>
      <c r="AJ167" s="434"/>
      <c r="AK167" s="435"/>
      <c r="AL167" s="433"/>
      <c r="AM167" s="433"/>
      <c r="AN167" s="433"/>
      <c r="AO167" s="433"/>
      <c r="AP167" s="433"/>
      <c r="AQ167" s="432"/>
      <c r="AR167" s="433"/>
      <c r="AS167" s="434"/>
      <c r="AT167" s="423"/>
      <c r="AU167" s="432"/>
      <c r="AV167" s="433"/>
      <c r="AW167" s="433"/>
      <c r="AX167" s="433"/>
      <c r="AY167" s="433"/>
      <c r="AZ167" s="433"/>
      <c r="BA167" s="434"/>
      <c r="BB167" s="435"/>
      <c r="BC167" s="432"/>
      <c r="BD167" s="433"/>
      <c r="BE167" s="433"/>
      <c r="BF167" s="433"/>
      <c r="BG167" s="433"/>
      <c r="BH167" s="433"/>
      <c r="BI167" s="434"/>
      <c r="BJ167" s="423"/>
      <c r="BK167" s="432"/>
      <c r="BL167" s="433"/>
      <c r="BM167" s="433"/>
      <c r="BN167" s="433"/>
      <c r="BO167" s="433"/>
      <c r="BP167" s="433"/>
      <c r="BQ167" s="433"/>
      <c r="BR167" s="434"/>
      <c r="BS167" s="435"/>
      <c r="BT167" s="432"/>
      <c r="BU167" s="433"/>
      <c r="BV167" s="433"/>
      <c r="BW167" s="433"/>
      <c r="BX167" s="433"/>
      <c r="BY167" s="433"/>
      <c r="BZ167" s="434"/>
      <c r="CA167" s="422"/>
      <c r="CB167" s="432"/>
      <c r="CC167" s="433"/>
      <c r="CD167" s="433"/>
      <c r="CE167" s="433"/>
      <c r="CF167" s="433"/>
      <c r="CG167" s="433"/>
      <c r="CH167" s="434"/>
      <c r="CI167" s="422"/>
      <c r="CJ167" s="432"/>
      <c r="CK167" s="433"/>
      <c r="CL167" s="433"/>
      <c r="CM167" s="433"/>
      <c r="CN167" s="433"/>
      <c r="CO167" s="433"/>
      <c r="CP167" s="434"/>
      <c r="CQ167" s="435"/>
      <c r="CR167" s="433"/>
      <c r="CS167" s="433"/>
      <c r="CT167" s="433"/>
      <c r="CU167" s="433" t="n">
        <f aca="false">+CR167-CS167</f>
        <v>0</v>
      </c>
      <c r="CV167" s="433" t="n">
        <f aca="false">+CR167-CT167</f>
        <v>0</v>
      </c>
      <c r="CW167" s="433"/>
      <c r="CX167" s="791" t="e">
        <f aca="false">+CR167/CW167-1</f>
        <v>#DIV/0!</v>
      </c>
      <c r="CY167" s="206"/>
      <c r="CZ167" s="817"/>
      <c r="DA167" s="433"/>
      <c r="DB167" s="433"/>
      <c r="DC167" s="433"/>
      <c r="DD167" s="433"/>
      <c r="DE167" s="434" t="e">
        <f aca="false">(CZ167-DD167)/DD167</f>
        <v>#DIV/0!</v>
      </c>
      <c r="DF167" s="434" t="e">
        <f aca="false">(DA167-DD167)/DD167</f>
        <v>#DIV/0!</v>
      </c>
      <c r="DG167" s="434" t="e">
        <f aca="false">(DB167-DD167)/DD167</f>
        <v>#DIV/0!</v>
      </c>
      <c r="DH167" s="434" t="e">
        <f aca="false">(DC167-DD167)/DD167</f>
        <v>#DIV/0!</v>
      </c>
      <c r="DI167" s="696"/>
      <c r="DJ167" s="37"/>
      <c r="DL167" s="37"/>
      <c r="DM167" s="400" t="n">
        <f aca="false">(CS167-CZ167)*10^6</f>
        <v>0</v>
      </c>
      <c r="DN167" s="400" t="n">
        <f aca="false">(CT167-DC167)*10^6</f>
        <v>0</v>
      </c>
      <c r="DO167" s="400" t="n">
        <f aca="false">(CW167-DD167)*10^6</f>
        <v>0</v>
      </c>
    </row>
    <row r="168" s="818" customFormat="true" ht="15" hidden="false" customHeight="true" outlineLevel="1" collapsed="false">
      <c r="A168" s="815"/>
      <c r="B168" s="765" t="s">
        <v>560</v>
      </c>
      <c r="C168" s="679" t="s">
        <v>690</v>
      </c>
      <c r="D168" s="433"/>
      <c r="E168" s="433"/>
      <c r="F168" s="433"/>
      <c r="G168" s="433"/>
      <c r="H168" s="434"/>
      <c r="I168" s="435"/>
      <c r="J168" s="433"/>
      <c r="K168" s="433"/>
      <c r="L168" s="433"/>
      <c r="M168" s="433"/>
      <c r="N168" s="434"/>
      <c r="O168" s="423"/>
      <c r="P168" s="433"/>
      <c r="Q168" s="433"/>
      <c r="R168" s="433"/>
      <c r="S168" s="433"/>
      <c r="T168" s="434"/>
      <c r="U168" s="435"/>
      <c r="V168" s="433"/>
      <c r="W168" s="433"/>
      <c r="X168" s="433"/>
      <c r="Y168" s="433"/>
      <c r="Z168" s="432"/>
      <c r="AA168" s="433"/>
      <c r="AB168" s="434"/>
      <c r="AC168" s="435"/>
      <c r="AD168" s="433"/>
      <c r="AE168" s="433"/>
      <c r="AF168" s="433"/>
      <c r="AG168" s="433"/>
      <c r="AH168" s="432"/>
      <c r="AI168" s="433"/>
      <c r="AJ168" s="434"/>
      <c r="AK168" s="435"/>
      <c r="AL168" s="433"/>
      <c r="AM168" s="433"/>
      <c r="AN168" s="433"/>
      <c r="AO168" s="433"/>
      <c r="AP168" s="433"/>
      <c r="AQ168" s="432"/>
      <c r="AR168" s="433"/>
      <c r="AS168" s="434"/>
      <c r="AT168" s="423"/>
      <c r="AU168" s="432"/>
      <c r="AV168" s="433"/>
      <c r="AW168" s="433"/>
      <c r="AX168" s="433"/>
      <c r="AY168" s="433"/>
      <c r="AZ168" s="433"/>
      <c r="BA168" s="434"/>
      <c r="BB168" s="435"/>
      <c r="BC168" s="432"/>
      <c r="BD168" s="433"/>
      <c r="BE168" s="433"/>
      <c r="BF168" s="433"/>
      <c r="BG168" s="433"/>
      <c r="BH168" s="433"/>
      <c r="BI168" s="434"/>
      <c r="BJ168" s="423"/>
      <c r="BK168" s="432"/>
      <c r="BL168" s="433"/>
      <c r="BM168" s="433"/>
      <c r="BN168" s="433"/>
      <c r="BO168" s="433"/>
      <c r="BP168" s="433"/>
      <c r="BQ168" s="433"/>
      <c r="BR168" s="434"/>
      <c r="BS168" s="435"/>
      <c r="BT168" s="432"/>
      <c r="BU168" s="433"/>
      <c r="BV168" s="433"/>
      <c r="BW168" s="433"/>
      <c r="BX168" s="433"/>
      <c r="BY168" s="433"/>
      <c r="BZ168" s="434"/>
      <c r="CA168" s="422"/>
      <c r="CB168" s="432"/>
      <c r="CC168" s="433"/>
      <c r="CD168" s="433"/>
      <c r="CE168" s="433"/>
      <c r="CF168" s="433"/>
      <c r="CG168" s="433"/>
      <c r="CH168" s="434"/>
      <c r="CI168" s="422"/>
      <c r="CJ168" s="432"/>
      <c r="CK168" s="433"/>
      <c r="CL168" s="433"/>
      <c r="CM168" s="433"/>
      <c r="CN168" s="433"/>
      <c r="CO168" s="433"/>
      <c r="CP168" s="434"/>
      <c r="CQ168" s="435"/>
      <c r="CR168" s="433"/>
      <c r="CS168" s="433"/>
      <c r="CT168" s="433"/>
      <c r="CU168" s="433" t="n">
        <f aca="false">+CR168-CS168</f>
        <v>0</v>
      </c>
      <c r="CV168" s="433" t="n">
        <f aca="false">+CR168-CT168</f>
        <v>0</v>
      </c>
      <c r="CW168" s="433"/>
      <c r="CX168" s="791" t="e">
        <f aca="false">+CR168/CW168-1</f>
        <v>#DIV/0!</v>
      </c>
      <c r="CY168" s="206"/>
      <c r="CZ168" s="817"/>
      <c r="DA168" s="433"/>
      <c r="DB168" s="433"/>
      <c r="DC168" s="433"/>
      <c r="DD168" s="433"/>
      <c r="DE168" s="434" t="e">
        <f aca="false">(CZ168-DD168)/DD168</f>
        <v>#DIV/0!</v>
      </c>
      <c r="DF168" s="434" t="e">
        <f aca="false">(DA168-DD168)/DD168</f>
        <v>#DIV/0!</v>
      </c>
      <c r="DG168" s="434" t="e">
        <f aca="false">(DB168-DD168)/DD168</f>
        <v>#DIV/0!</v>
      </c>
      <c r="DH168" s="434" t="e">
        <f aca="false">(DC168-DD168)/DD168</f>
        <v>#DIV/0!</v>
      </c>
      <c r="DI168" s="696"/>
      <c r="DJ168" s="37"/>
      <c r="DL168" s="37"/>
      <c r="DM168" s="400" t="n">
        <f aca="false">(CS168-CZ168)*10^6</f>
        <v>0</v>
      </c>
      <c r="DN168" s="400" t="n">
        <f aca="false">(CT168-DC168)*10^6</f>
        <v>0</v>
      </c>
      <c r="DO168" s="400" t="n">
        <f aca="false">(CW168-DD168)*10^6</f>
        <v>0</v>
      </c>
    </row>
    <row r="169" s="818" customFormat="true" ht="15" hidden="false" customHeight="true" outlineLevel="1" collapsed="false">
      <c r="A169" s="815"/>
      <c r="B169" s="765" t="s">
        <v>562</v>
      </c>
      <c r="C169" s="679" t="s">
        <v>691</v>
      </c>
      <c r="D169" s="433"/>
      <c r="E169" s="433"/>
      <c r="F169" s="433"/>
      <c r="G169" s="433"/>
      <c r="H169" s="434"/>
      <c r="I169" s="435"/>
      <c r="J169" s="433"/>
      <c r="K169" s="433"/>
      <c r="L169" s="433"/>
      <c r="M169" s="433"/>
      <c r="N169" s="434"/>
      <c r="O169" s="423"/>
      <c r="P169" s="433"/>
      <c r="Q169" s="433"/>
      <c r="R169" s="433"/>
      <c r="S169" s="433"/>
      <c r="T169" s="434"/>
      <c r="U169" s="435"/>
      <c r="V169" s="433"/>
      <c r="W169" s="433"/>
      <c r="X169" s="433"/>
      <c r="Y169" s="433"/>
      <c r="Z169" s="432"/>
      <c r="AA169" s="433"/>
      <c r="AB169" s="434"/>
      <c r="AC169" s="435"/>
      <c r="AD169" s="433"/>
      <c r="AE169" s="433"/>
      <c r="AF169" s="433"/>
      <c r="AG169" s="433"/>
      <c r="AH169" s="432"/>
      <c r="AI169" s="433"/>
      <c r="AJ169" s="434"/>
      <c r="AK169" s="435"/>
      <c r="AL169" s="433"/>
      <c r="AM169" s="433"/>
      <c r="AN169" s="433"/>
      <c r="AO169" s="433"/>
      <c r="AP169" s="433"/>
      <c r="AQ169" s="432"/>
      <c r="AR169" s="433"/>
      <c r="AS169" s="434"/>
      <c r="AT169" s="423"/>
      <c r="AU169" s="432"/>
      <c r="AV169" s="433"/>
      <c r="AW169" s="433"/>
      <c r="AX169" s="433"/>
      <c r="AY169" s="433"/>
      <c r="AZ169" s="433"/>
      <c r="BA169" s="434"/>
      <c r="BB169" s="435"/>
      <c r="BC169" s="432"/>
      <c r="BD169" s="433"/>
      <c r="BE169" s="433"/>
      <c r="BF169" s="433"/>
      <c r="BG169" s="433"/>
      <c r="BH169" s="433"/>
      <c r="BI169" s="434"/>
      <c r="BJ169" s="423"/>
      <c r="BK169" s="432"/>
      <c r="BL169" s="433"/>
      <c r="BM169" s="433"/>
      <c r="BN169" s="433"/>
      <c r="BO169" s="433"/>
      <c r="BP169" s="433"/>
      <c r="BQ169" s="433"/>
      <c r="BR169" s="434"/>
      <c r="BS169" s="435"/>
      <c r="BT169" s="432"/>
      <c r="BU169" s="433"/>
      <c r="BV169" s="433"/>
      <c r="BW169" s="433"/>
      <c r="BX169" s="433"/>
      <c r="BY169" s="433"/>
      <c r="BZ169" s="434"/>
      <c r="CA169" s="422"/>
      <c r="CB169" s="432"/>
      <c r="CC169" s="433"/>
      <c r="CD169" s="433"/>
      <c r="CE169" s="433"/>
      <c r="CF169" s="433"/>
      <c r="CG169" s="433"/>
      <c r="CH169" s="434"/>
      <c r="CI169" s="422"/>
      <c r="CJ169" s="432"/>
      <c r="CK169" s="433"/>
      <c r="CL169" s="433"/>
      <c r="CM169" s="433"/>
      <c r="CN169" s="433"/>
      <c r="CO169" s="433"/>
      <c r="CP169" s="434"/>
      <c r="CQ169" s="435"/>
      <c r="CR169" s="433"/>
      <c r="CS169" s="433"/>
      <c r="CT169" s="433"/>
      <c r="CU169" s="433" t="n">
        <f aca="false">+CR169-CS169</f>
        <v>0</v>
      </c>
      <c r="CV169" s="433" t="n">
        <f aca="false">+CR169-CT169</f>
        <v>0</v>
      </c>
      <c r="CW169" s="433"/>
      <c r="CX169" s="791" t="e">
        <f aca="false">+CR169/CW169-1</f>
        <v>#DIV/0!</v>
      </c>
      <c r="CY169" s="206"/>
      <c r="CZ169" s="817"/>
      <c r="DA169" s="433"/>
      <c r="DB169" s="433"/>
      <c r="DC169" s="433"/>
      <c r="DD169" s="433"/>
      <c r="DE169" s="434" t="e">
        <f aca="false">(CZ169-DD169)/DD169</f>
        <v>#DIV/0!</v>
      </c>
      <c r="DF169" s="434" t="e">
        <f aca="false">(DA169-DD169)/DD169</f>
        <v>#DIV/0!</v>
      </c>
      <c r="DG169" s="434" t="e">
        <f aca="false">(DB169-DD169)/DD169</f>
        <v>#DIV/0!</v>
      </c>
      <c r="DH169" s="434" t="e">
        <f aca="false">(DC169-DD169)/DD169</f>
        <v>#DIV/0!</v>
      </c>
      <c r="DI169" s="696"/>
      <c r="DJ169" s="37"/>
      <c r="DL169" s="37"/>
      <c r="DM169" s="400" t="n">
        <f aca="false">(CS169-CZ169)*10^6</f>
        <v>0</v>
      </c>
      <c r="DN169" s="400" t="n">
        <f aca="false">(CT169-DC169)*10^6</f>
        <v>0</v>
      </c>
      <c r="DO169" s="400" t="n">
        <f aca="false">(CW169-DD169)*10^6</f>
        <v>0</v>
      </c>
    </row>
    <row r="170" customFormat="false" ht="4.5" hidden="false" customHeight="true" outlineLevel="0" collapsed="false">
      <c r="A170" s="591"/>
      <c r="B170" s="857"/>
      <c r="C170" s="679" t="s">
        <v>692</v>
      </c>
      <c r="D170" s="144"/>
      <c r="E170" s="144"/>
      <c r="F170" s="144"/>
      <c r="G170" s="144"/>
      <c r="H170" s="245"/>
      <c r="I170" s="422"/>
      <c r="J170" s="144"/>
      <c r="K170" s="144"/>
      <c r="L170" s="144"/>
      <c r="M170" s="144"/>
      <c r="N170" s="245"/>
      <c r="O170" s="423"/>
      <c r="P170" s="144"/>
      <c r="Q170" s="144"/>
      <c r="R170" s="144"/>
      <c r="S170" s="144"/>
      <c r="T170" s="245"/>
      <c r="U170" s="422"/>
      <c r="V170" s="144"/>
      <c r="W170" s="144"/>
      <c r="X170" s="144"/>
      <c r="Y170" s="144"/>
      <c r="Z170" s="281"/>
      <c r="AA170" s="144"/>
      <c r="AB170" s="245"/>
      <c r="AC170" s="422"/>
      <c r="AD170" s="144"/>
      <c r="AE170" s="144"/>
      <c r="AF170" s="144"/>
      <c r="AG170" s="144"/>
      <c r="AH170" s="281"/>
      <c r="AI170" s="144"/>
      <c r="AJ170" s="245"/>
      <c r="AK170" s="422"/>
      <c r="AL170" s="144"/>
      <c r="AM170" s="144"/>
      <c r="AN170" s="144"/>
      <c r="AO170" s="144"/>
      <c r="AP170" s="144"/>
      <c r="AQ170" s="281"/>
      <c r="AR170" s="144"/>
      <c r="AS170" s="245"/>
      <c r="AT170" s="423"/>
      <c r="AU170" s="281"/>
      <c r="AV170" s="144"/>
      <c r="AW170" s="144"/>
      <c r="AX170" s="144"/>
      <c r="AY170" s="144"/>
      <c r="AZ170" s="144"/>
      <c r="BA170" s="245"/>
      <c r="BB170" s="422"/>
      <c r="BC170" s="281"/>
      <c r="BD170" s="144"/>
      <c r="BE170" s="144"/>
      <c r="BF170" s="144"/>
      <c r="BG170" s="144"/>
      <c r="BH170" s="144"/>
      <c r="BI170" s="245"/>
      <c r="BJ170" s="423"/>
      <c r="BK170" s="281"/>
      <c r="BL170" s="144"/>
      <c r="BM170" s="144"/>
      <c r="BN170" s="144"/>
      <c r="BO170" s="144"/>
      <c r="BP170" s="144"/>
      <c r="BQ170" s="144"/>
      <c r="BR170" s="245"/>
      <c r="BS170" s="422"/>
      <c r="BT170" s="281"/>
      <c r="BU170" s="144"/>
      <c r="BV170" s="144"/>
      <c r="BW170" s="144"/>
      <c r="BX170" s="144"/>
      <c r="BY170" s="144"/>
      <c r="BZ170" s="245"/>
      <c r="CA170" s="422"/>
      <c r="CB170" s="281"/>
      <c r="CC170" s="144"/>
      <c r="CD170" s="144"/>
      <c r="CE170" s="144"/>
      <c r="CF170" s="144"/>
      <c r="CG170" s="144"/>
      <c r="CH170" s="245"/>
      <c r="CI170" s="422"/>
      <c r="CJ170" s="281"/>
      <c r="CK170" s="144"/>
      <c r="CL170" s="144"/>
      <c r="CM170" s="144"/>
      <c r="CN170" s="144"/>
      <c r="CO170" s="144"/>
      <c r="CP170" s="245"/>
      <c r="CQ170" s="422"/>
      <c r="CR170" s="144"/>
      <c r="CS170" s="144"/>
      <c r="CT170" s="144"/>
      <c r="CU170" s="144"/>
      <c r="CV170" s="144" t="n">
        <f aca="false">+CR170-CT170</f>
        <v>0</v>
      </c>
      <c r="CW170" s="144"/>
      <c r="CX170" s="805" t="str">
        <f aca="false">IFERROR(CR170/CW170-1, "-")</f>
        <v>-</v>
      </c>
      <c r="CY170" s="206"/>
      <c r="CZ170" s="699"/>
      <c r="DA170" s="144"/>
      <c r="DB170" s="144"/>
      <c r="DC170" s="144"/>
      <c r="DD170" s="144"/>
      <c r="DE170" s="245"/>
      <c r="DF170" s="245"/>
      <c r="DG170" s="245"/>
      <c r="DH170" s="245"/>
      <c r="DI170" s="696"/>
      <c r="DL170" s="37"/>
      <c r="DM170" s="400" t="n">
        <f aca="false">(CS170-CZ170)*10^6</f>
        <v>0</v>
      </c>
      <c r="DN170" s="400" t="n">
        <f aca="false">(CT170-DC170)*10^6</f>
        <v>0</v>
      </c>
      <c r="DO170" s="400" t="n">
        <f aca="false">(CW170-DD170)*10^6</f>
        <v>0</v>
      </c>
    </row>
    <row r="171" s="156" customFormat="true" ht="14.25" hidden="false" customHeight="true" outlineLevel="0" collapsed="false">
      <c r="A171" s="717" t="s">
        <v>693</v>
      </c>
      <c r="B171" s="718"/>
      <c r="C171" s="679" t="s">
        <v>694</v>
      </c>
      <c r="D171" s="719"/>
      <c r="E171" s="719"/>
      <c r="F171" s="719"/>
      <c r="G171" s="719"/>
      <c r="H171" s="720"/>
      <c r="I171" s="721"/>
      <c r="J171" s="719"/>
      <c r="K171" s="719"/>
      <c r="L171" s="719"/>
      <c r="M171" s="719"/>
      <c r="N171" s="720"/>
      <c r="O171" s="722"/>
      <c r="P171" s="719"/>
      <c r="Q171" s="719"/>
      <c r="R171" s="719"/>
      <c r="S171" s="719"/>
      <c r="T171" s="720"/>
      <c r="U171" s="721"/>
      <c r="V171" s="719"/>
      <c r="W171" s="719"/>
      <c r="X171" s="719"/>
      <c r="Y171" s="719"/>
      <c r="Z171" s="723"/>
      <c r="AA171" s="719"/>
      <c r="AB171" s="720"/>
      <c r="AC171" s="721"/>
      <c r="AD171" s="719"/>
      <c r="AE171" s="719"/>
      <c r="AF171" s="719"/>
      <c r="AG171" s="719"/>
      <c r="AH171" s="723"/>
      <c r="AI171" s="719"/>
      <c r="AJ171" s="720"/>
      <c r="AK171" s="721"/>
      <c r="AL171" s="719"/>
      <c r="AM171" s="719"/>
      <c r="AN171" s="719"/>
      <c r="AO171" s="719"/>
      <c r="AP171" s="719"/>
      <c r="AQ171" s="723"/>
      <c r="AR171" s="719"/>
      <c r="AS171" s="720"/>
      <c r="AT171" s="722"/>
      <c r="AU171" s="723"/>
      <c r="AV171" s="719"/>
      <c r="AW171" s="719"/>
      <c r="AX171" s="719"/>
      <c r="AY171" s="719"/>
      <c r="AZ171" s="719"/>
      <c r="BA171" s="720"/>
      <c r="BB171" s="721"/>
      <c r="BC171" s="723"/>
      <c r="BD171" s="719"/>
      <c r="BE171" s="719"/>
      <c r="BF171" s="719"/>
      <c r="BG171" s="719"/>
      <c r="BH171" s="719"/>
      <c r="BI171" s="720"/>
      <c r="BJ171" s="722"/>
      <c r="BK171" s="723"/>
      <c r="BL171" s="719"/>
      <c r="BM171" s="719"/>
      <c r="BN171" s="719"/>
      <c r="BO171" s="719"/>
      <c r="BP171" s="719"/>
      <c r="BQ171" s="719"/>
      <c r="BR171" s="720"/>
      <c r="BS171" s="721"/>
      <c r="BT171" s="723"/>
      <c r="BU171" s="719"/>
      <c r="BV171" s="719"/>
      <c r="BW171" s="719"/>
      <c r="BX171" s="719"/>
      <c r="BY171" s="719"/>
      <c r="BZ171" s="720"/>
      <c r="CA171" s="725"/>
      <c r="CB171" s="723"/>
      <c r="CC171" s="719"/>
      <c r="CD171" s="719"/>
      <c r="CE171" s="719"/>
      <c r="CF171" s="719"/>
      <c r="CG171" s="719"/>
      <c r="CH171" s="720"/>
      <c r="CI171" s="725"/>
      <c r="CJ171" s="723"/>
      <c r="CK171" s="719"/>
      <c r="CL171" s="719"/>
      <c r="CM171" s="719"/>
      <c r="CN171" s="719"/>
      <c r="CO171" s="719"/>
      <c r="CP171" s="720"/>
      <c r="CQ171" s="721"/>
      <c r="CR171" s="719"/>
      <c r="CS171" s="719"/>
      <c r="CT171" s="719"/>
      <c r="CU171" s="719"/>
      <c r="CV171" s="719" t="n">
        <f aca="false">+CR171-CT171</f>
        <v>0</v>
      </c>
      <c r="CW171" s="719"/>
      <c r="CX171" s="726" t="str">
        <f aca="false">IFERROR(CR171/CW171-1, "-")</f>
        <v>-</v>
      </c>
      <c r="CY171" s="727"/>
      <c r="CZ171" s="728"/>
      <c r="DA171" s="719"/>
      <c r="DB171" s="719"/>
      <c r="DC171" s="719"/>
      <c r="DD171" s="719"/>
      <c r="DE171" s="719"/>
      <c r="DF171" s="719"/>
      <c r="DG171" s="719"/>
      <c r="DH171" s="719"/>
      <c r="DI171" s="696"/>
      <c r="DJ171" s="37"/>
      <c r="DL171" s="37"/>
      <c r="DM171" s="400" t="n">
        <f aca="false">(CS171-CZ171)*10^6</f>
        <v>0</v>
      </c>
      <c r="DN171" s="400" t="n">
        <f aca="false">(CT171-DC171)*10^6</f>
        <v>0</v>
      </c>
      <c r="DO171" s="400" t="n">
        <f aca="false">(CW171-DD171)*10^6</f>
        <v>0</v>
      </c>
    </row>
    <row r="172" customFormat="false" ht="31.5" hidden="true" customHeight="true" outlineLevel="0" collapsed="false">
      <c r="A172" s="591"/>
      <c r="B172" s="857" t="s">
        <v>695</v>
      </c>
      <c r="C172" s="679" t="s">
        <v>696</v>
      </c>
      <c r="D172" s="858"/>
      <c r="E172" s="858"/>
      <c r="F172" s="858"/>
      <c r="G172" s="858"/>
      <c r="H172" s="245"/>
      <c r="I172" s="422"/>
      <c r="J172" s="858"/>
      <c r="K172" s="858"/>
      <c r="L172" s="858"/>
      <c r="M172" s="858"/>
      <c r="N172" s="245"/>
      <c r="O172" s="423"/>
      <c r="P172" s="858"/>
      <c r="Q172" s="858"/>
      <c r="R172" s="858"/>
      <c r="S172" s="858"/>
      <c r="T172" s="245"/>
      <c r="U172" s="422"/>
      <c r="V172" s="858"/>
      <c r="W172" s="858"/>
      <c r="X172" s="858"/>
      <c r="Y172" s="858"/>
      <c r="Z172" s="281"/>
      <c r="AA172" s="858"/>
      <c r="AB172" s="245"/>
      <c r="AC172" s="422"/>
      <c r="AD172" s="858"/>
      <c r="AE172" s="858"/>
      <c r="AF172" s="858"/>
      <c r="AG172" s="858"/>
      <c r="AH172" s="281"/>
      <c r="AI172" s="858"/>
      <c r="AJ172" s="245"/>
      <c r="AK172" s="422"/>
      <c r="AL172" s="858"/>
      <c r="AM172" s="858"/>
      <c r="AN172" s="858"/>
      <c r="AO172" s="858"/>
      <c r="AP172" s="858"/>
      <c r="AQ172" s="281"/>
      <c r="AR172" s="858"/>
      <c r="AS172" s="245"/>
      <c r="AT172" s="423"/>
      <c r="AU172" s="281"/>
      <c r="AV172" s="858"/>
      <c r="AW172" s="858"/>
      <c r="AX172" s="858"/>
      <c r="AY172" s="858"/>
      <c r="AZ172" s="858"/>
      <c r="BA172" s="245"/>
      <c r="BB172" s="422"/>
      <c r="BC172" s="281"/>
      <c r="BD172" s="858"/>
      <c r="BE172" s="858"/>
      <c r="BF172" s="858"/>
      <c r="BG172" s="858"/>
      <c r="BH172" s="858"/>
      <c r="BI172" s="245"/>
      <c r="BJ172" s="423"/>
      <c r="BK172" s="281"/>
      <c r="BL172" s="858"/>
      <c r="BM172" s="858"/>
      <c r="BN172" s="858"/>
      <c r="BO172" s="858"/>
      <c r="BP172" s="858"/>
      <c r="BQ172" s="858"/>
      <c r="BR172" s="245"/>
      <c r="BS172" s="422"/>
      <c r="BT172" s="281"/>
      <c r="BU172" s="858"/>
      <c r="BV172" s="858"/>
      <c r="BW172" s="858"/>
      <c r="BX172" s="858"/>
      <c r="BY172" s="858"/>
      <c r="BZ172" s="245"/>
      <c r="CA172" s="422"/>
      <c r="CB172" s="281"/>
      <c r="CC172" s="858"/>
      <c r="CD172" s="858"/>
      <c r="CE172" s="858"/>
      <c r="CF172" s="858"/>
      <c r="CG172" s="858"/>
      <c r="CH172" s="245"/>
      <c r="CI172" s="422"/>
      <c r="CJ172" s="281"/>
      <c r="CK172" s="858"/>
      <c r="CL172" s="858"/>
      <c r="CM172" s="858"/>
      <c r="CN172" s="858"/>
      <c r="CO172" s="858"/>
      <c r="CP172" s="245"/>
      <c r="CQ172" s="422"/>
      <c r="CR172" s="858"/>
      <c r="CS172" s="858"/>
      <c r="CT172" s="858"/>
      <c r="CU172" s="858"/>
      <c r="CV172" s="858"/>
      <c r="CW172" s="858"/>
      <c r="CX172" s="805" t="str">
        <f aca="false">IFERROR(CR172/CW172-1, "-")</f>
        <v>-</v>
      </c>
      <c r="CY172" s="858"/>
      <c r="CZ172" s="859"/>
      <c r="DA172" s="858"/>
      <c r="DB172" s="858"/>
      <c r="DC172" s="858"/>
      <c r="DD172" s="858"/>
      <c r="DE172" s="858"/>
      <c r="DF172" s="858"/>
      <c r="DG172" s="858"/>
      <c r="DH172" s="858"/>
      <c r="DI172" s="696"/>
      <c r="DL172" s="37"/>
      <c r="DM172" s="400" t="n">
        <f aca="false">(CS172-CZ172)*10^6</f>
        <v>0</v>
      </c>
      <c r="DN172" s="400" t="n">
        <f aca="false">(CT172-DC172)*10^6</f>
        <v>0</v>
      </c>
      <c r="DO172" s="400" t="n">
        <f aca="false">(CW172-DD172)*10^6</f>
        <v>0</v>
      </c>
    </row>
    <row r="173" customFormat="false" ht="31.5" hidden="true" customHeight="true" outlineLevel="0" collapsed="false">
      <c r="A173" s="815"/>
      <c r="B173" s="765" t="s">
        <v>697</v>
      </c>
      <c r="C173" s="679" t="s">
        <v>698</v>
      </c>
      <c r="D173" s="433"/>
      <c r="E173" s="433"/>
      <c r="F173" s="433"/>
      <c r="G173" s="433"/>
      <c r="H173" s="434"/>
      <c r="I173" s="435"/>
      <c r="J173" s="433"/>
      <c r="K173" s="433"/>
      <c r="L173" s="433"/>
      <c r="M173" s="433"/>
      <c r="N173" s="434"/>
      <c r="O173" s="423"/>
      <c r="P173" s="433"/>
      <c r="Q173" s="433"/>
      <c r="R173" s="433"/>
      <c r="S173" s="433"/>
      <c r="T173" s="434"/>
      <c r="U173" s="435"/>
      <c r="V173" s="433"/>
      <c r="W173" s="433"/>
      <c r="X173" s="433"/>
      <c r="Y173" s="433"/>
      <c r="Z173" s="432"/>
      <c r="AA173" s="433"/>
      <c r="AB173" s="434"/>
      <c r="AC173" s="435"/>
      <c r="AD173" s="433"/>
      <c r="AE173" s="433"/>
      <c r="AF173" s="433"/>
      <c r="AG173" s="433"/>
      <c r="AH173" s="432"/>
      <c r="AI173" s="433"/>
      <c r="AJ173" s="434"/>
      <c r="AK173" s="435"/>
      <c r="AL173" s="433"/>
      <c r="AM173" s="433"/>
      <c r="AN173" s="433"/>
      <c r="AO173" s="433"/>
      <c r="AP173" s="433"/>
      <c r="AQ173" s="432"/>
      <c r="AR173" s="433"/>
      <c r="AS173" s="434"/>
      <c r="AT173" s="423"/>
      <c r="AU173" s="432"/>
      <c r="AV173" s="433"/>
      <c r="AW173" s="433"/>
      <c r="AX173" s="433"/>
      <c r="AY173" s="433"/>
      <c r="AZ173" s="433"/>
      <c r="BA173" s="434"/>
      <c r="BB173" s="435"/>
      <c r="BC173" s="432"/>
      <c r="BD173" s="433"/>
      <c r="BE173" s="433"/>
      <c r="BF173" s="433"/>
      <c r="BG173" s="433"/>
      <c r="BH173" s="433"/>
      <c r="BI173" s="434"/>
      <c r="BJ173" s="423"/>
      <c r="BK173" s="432"/>
      <c r="BL173" s="433"/>
      <c r="BM173" s="433"/>
      <c r="BN173" s="433"/>
      <c r="BO173" s="433"/>
      <c r="BP173" s="433"/>
      <c r="BQ173" s="433"/>
      <c r="BR173" s="434"/>
      <c r="BS173" s="435"/>
      <c r="BT173" s="432"/>
      <c r="BU173" s="433"/>
      <c r="BV173" s="433"/>
      <c r="BW173" s="433"/>
      <c r="BX173" s="433"/>
      <c r="BY173" s="433"/>
      <c r="BZ173" s="434"/>
      <c r="CA173" s="422"/>
      <c r="CB173" s="432"/>
      <c r="CC173" s="433"/>
      <c r="CD173" s="433"/>
      <c r="CE173" s="433"/>
      <c r="CF173" s="433"/>
      <c r="CG173" s="433"/>
      <c r="CH173" s="434"/>
      <c r="CI173" s="422"/>
      <c r="CJ173" s="432"/>
      <c r="CK173" s="433"/>
      <c r="CL173" s="433"/>
      <c r="CM173" s="433"/>
      <c r="CN173" s="433"/>
      <c r="CO173" s="433"/>
      <c r="CP173" s="434"/>
      <c r="CQ173" s="435"/>
      <c r="CR173" s="433"/>
      <c r="CS173" s="433"/>
      <c r="CT173" s="858"/>
      <c r="CU173" s="433"/>
      <c r="CV173" s="433"/>
      <c r="CW173" s="433"/>
      <c r="CX173" s="791" t="str">
        <f aca="false">IFERROR(CR173/CW173-1, "-")</f>
        <v>-</v>
      </c>
      <c r="CY173" s="206"/>
      <c r="CZ173" s="817"/>
      <c r="DA173" s="433"/>
      <c r="DB173" s="433"/>
      <c r="DC173" s="433"/>
      <c r="DD173" s="433"/>
      <c r="DE173" s="434"/>
      <c r="DF173" s="434"/>
      <c r="DG173" s="858"/>
      <c r="DH173" s="858"/>
      <c r="DI173" s="696"/>
      <c r="DL173" s="37"/>
      <c r="DM173" s="400" t="n">
        <f aca="false">(CS173-CZ173)*10^6</f>
        <v>0</v>
      </c>
      <c r="DN173" s="400" t="n">
        <f aca="false">(CT173-DC173)*10^6</f>
        <v>0</v>
      </c>
      <c r="DO173" s="400" t="n">
        <f aca="false">(CW173-DD173)*10^6</f>
        <v>0</v>
      </c>
    </row>
    <row r="174" customFormat="false" ht="31.5" hidden="true" customHeight="true" outlineLevel="0" collapsed="false">
      <c r="A174" s="815"/>
      <c r="B174" s="765" t="s">
        <v>699</v>
      </c>
      <c r="C174" s="679" t="s">
        <v>700</v>
      </c>
      <c r="D174" s="433"/>
      <c r="E174" s="433"/>
      <c r="F174" s="433"/>
      <c r="G174" s="433"/>
      <c r="H174" s="434"/>
      <c r="I174" s="435"/>
      <c r="J174" s="433"/>
      <c r="K174" s="433"/>
      <c r="L174" s="433"/>
      <c r="M174" s="433"/>
      <c r="N174" s="434"/>
      <c r="O174" s="423"/>
      <c r="P174" s="433"/>
      <c r="Q174" s="433"/>
      <c r="R174" s="433"/>
      <c r="S174" s="433"/>
      <c r="T174" s="434"/>
      <c r="U174" s="435"/>
      <c r="V174" s="433"/>
      <c r="W174" s="433"/>
      <c r="X174" s="433"/>
      <c r="Y174" s="433"/>
      <c r="Z174" s="432"/>
      <c r="AA174" s="433"/>
      <c r="AB174" s="434"/>
      <c r="AC174" s="435"/>
      <c r="AD174" s="433"/>
      <c r="AE174" s="433"/>
      <c r="AF174" s="433"/>
      <c r="AG174" s="433"/>
      <c r="AH174" s="432"/>
      <c r="AI174" s="433"/>
      <c r="AJ174" s="434"/>
      <c r="AK174" s="435"/>
      <c r="AL174" s="433"/>
      <c r="AM174" s="433"/>
      <c r="AN174" s="433"/>
      <c r="AO174" s="433"/>
      <c r="AP174" s="433"/>
      <c r="AQ174" s="432"/>
      <c r="AR174" s="433"/>
      <c r="AS174" s="434"/>
      <c r="AT174" s="423"/>
      <c r="AU174" s="432"/>
      <c r="AV174" s="433"/>
      <c r="AW174" s="433"/>
      <c r="AX174" s="433"/>
      <c r="AY174" s="433"/>
      <c r="AZ174" s="433"/>
      <c r="BA174" s="434"/>
      <c r="BB174" s="435"/>
      <c r="BC174" s="432"/>
      <c r="BD174" s="433"/>
      <c r="BE174" s="433"/>
      <c r="BF174" s="433"/>
      <c r="BG174" s="433"/>
      <c r="BH174" s="433"/>
      <c r="BI174" s="434"/>
      <c r="BJ174" s="423"/>
      <c r="BK174" s="432"/>
      <c r="BL174" s="433"/>
      <c r="BM174" s="433"/>
      <c r="BN174" s="433"/>
      <c r="BO174" s="433"/>
      <c r="BP174" s="433"/>
      <c r="BQ174" s="433"/>
      <c r="BR174" s="434"/>
      <c r="BS174" s="435"/>
      <c r="BT174" s="432"/>
      <c r="BU174" s="433"/>
      <c r="BV174" s="433"/>
      <c r="BW174" s="433"/>
      <c r="BX174" s="433"/>
      <c r="BY174" s="433"/>
      <c r="BZ174" s="434"/>
      <c r="CA174" s="422"/>
      <c r="CB174" s="432"/>
      <c r="CC174" s="433"/>
      <c r="CD174" s="433"/>
      <c r="CE174" s="433"/>
      <c r="CF174" s="433"/>
      <c r="CG174" s="433"/>
      <c r="CH174" s="434"/>
      <c r="CI174" s="422"/>
      <c r="CJ174" s="432"/>
      <c r="CK174" s="433"/>
      <c r="CL174" s="433"/>
      <c r="CM174" s="433"/>
      <c r="CN174" s="433"/>
      <c r="CO174" s="433"/>
      <c r="CP174" s="434"/>
      <c r="CQ174" s="435"/>
      <c r="CR174" s="433"/>
      <c r="CS174" s="433"/>
      <c r="CT174" s="858"/>
      <c r="CU174" s="433"/>
      <c r="CV174" s="433"/>
      <c r="CW174" s="433"/>
      <c r="CX174" s="791" t="str">
        <f aca="false">IFERROR(CR174/CW174-1, "-")</f>
        <v>-</v>
      </c>
      <c r="CY174" s="206"/>
      <c r="CZ174" s="817"/>
      <c r="DA174" s="433"/>
      <c r="DB174" s="433"/>
      <c r="DC174" s="433"/>
      <c r="DD174" s="433"/>
      <c r="DE174" s="434"/>
      <c r="DF174" s="434"/>
      <c r="DG174" s="860"/>
      <c r="DH174" s="860"/>
      <c r="DI174" s="696"/>
      <c r="DL174" s="37"/>
      <c r="DM174" s="400" t="n">
        <f aca="false">(CS174-CZ174)*10^6</f>
        <v>0</v>
      </c>
      <c r="DN174" s="400" t="n">
        <f aca="false">(CT174-DC174)*10^6</f>
        <v>0</v>
      </c>
      <c r="DO174" s="400" t="n">
        <f aca="false">(CW174-DD174)*10^6</f>
        <v>0</v>
      </c>
    </row>
    <row r="175" customFormat="false" ht="31.5" hidden="true" customHeight="true" outlineLevel="0" collapsed="false">
      <c r="A175" s="815"/>
      <c r="B175" s="815"/>
      <c r="C175" s="679" t="s">
        <v>701</v>
      </c>
      <c r="D175" s="433"/>
      <c r="E175" s="433"/>
      <c r="F175" s="433"/>
      <c r="G175" s="433"/>
      <c r="H175" s="434"/>
      <c r="I175" s="435"/>
      <c r="J175" s="433"/>
      <c r="K175" s="433"/>
      <c r="L175" s="433"/>
      <c r="M175" s="433"/>
      <c r="N175" s="434"/>
      <c r="O175" s="423"/>
      <c r="P175" s="433"/>
      <c r="Q175" s="433"/>
      <c r="R175" s="433"/>
      <c r="S175" s="433"/>
      <c r="T175" s="434"/>
      <c r="U175" s="435"/>
      <c r="V175" s="433"/>
      <c r="W175" s="433"/>
      <c r="X175" s="433"/>
      <c r="Y175" s="433"/>
      <c r="Z175" s="432"/>
      <c r="AA175" s="433"/>
      <c r="AB175" s="434"/>
      <c r="AC175" s="435"/>
      <c r="AD175" s="433"/>
      <c r="AE175" s="433"/>
      <c r="AF175" s="433"/>
      <c r="AG175" s="433"/>
      <c r="AH175" s="432"/>
      <c r="AI175" s="433"/>
      <c r="AJ175" s="434"/>
      <c r="AK175" s="435"/>
      <c r="AL175" s="433"/>
      <c r="AM175" s="433"/>
      <c r="AN175" s="433"/>
      <c r="AO175" s="433"/>
      <c r="AP175" s="433"/>
      <c r="AQ175" s="432"/>
      <c r="AR175" s="433"/>
      <c r="AS175" s="434"/>
      <c r="AT175" s="423"/>
      <c r="AU175" s="432"/>
      <c r="AV175" s="433"/>
      <c r="AW175" s="433"/>
      <c r="AX175" s="433"/>
      <c r="AY175" s="433"/>
      <c r="AZ175" s="433"/>
      <c r="BA175" s="434"/>
      <c r="BB175" s="435"/>
      <c r="BC175" s="432"/>
      <c r="BD175" s="433"/>
      <c r="BE175" s="433"/>
      <c r="BF175" s="433"/>
      <c r="BG175" s="433"/>
      <c r="BH175" s="433"/>
      <c r="BI175" s="434"/>
      <c r="BJ175" s="423"/>
      <c r="BK175" s="432"/>
      <c r="BL175" s="433"/>
      <c r="BM175" s="433"/>
      <c r="BN175" s="433"/>
      <c r="BO175" s="433"/>
      <c r="BP175" s="433"/>
      <c r="BQ175" s="433"/>
      <c r="BR175" s="434"/>
      <c r="BS175" s="435"/>
      <c r="BT175" s="432"/>
      <c r="BU175" s="433"/>
      <c r="BV175" s="433"/>
      <c r="BW175" s="433"/>
      <c r="BX175" s="433"/>
      <c r="BY175" s="433"/>
      <c r="BZ175" s="434"/>
      <c r="CA175" s="422"/>
      <c r="CB175" s="432"/>
      <c r="CC175" s="433"/>
      <c r="CD175" s="433"/>
      <c r="CE175" s="433"/>
      <c r="CF175" s="433"/>
      <c r="CG175" s="433"/>
      <c r="CH175" s="434"/>
      <c r="CI175" s="422"/>
      <c r="CJ175" s="432"/>
      <c r="CK175" s="433"/>
      <c r="CL175" s="433"/>
      <c r="CM175" s="433"/>
      <c r="CN175" s="433"/>
      <c r="CO175" s="433"/>
      <c r="CP175" s="434"/>
      <c r="CQ175" s="435"/>
      <c r="CR175" s="433"/>
      <c r="CS175" s="433"/>
      <c r="CT175" s="861"/>
      <c r="CU175" s="433"/>
      <c r="CV175" s="433"/>
      <c r="CW175" s="433"/>
      <c r="CX175" s="791" t="str">
        <f aca="false">IFERROR(CR175/CW175-1, "-")</f>
        <v>-</v>
      </c>
      <c r="CY175" s="206"/>
      <c r="CZ175" s="817"/>
      <c r="DA175" s="433"/>
      <c r="DB175" s="433"/>
      <c r="DC175" s="433"/>
      <c r="DD175" s="433"/>
      <c r="DE175" s="434"/>
      <c r="DF175" s="434"/>
      <c r="DG175" s="546"/>
      <c r="DH175" s="546"/>
      <c r="DI175" s="696"/>
      <c r="DL175" s="37"/>
      <c r="DM175" s="400" t="n">
        <f aca="false">(CS175-CZ175)*10^6</f>
        <v>0</v>
      </c>
      <c r="DN175" s="400" t="n">
        <f aca="false">(CT175-DC175)*10^6</f>
        <v>0</v>
      </c>
      <c r="DO175" s="400" t="n">
        <f aca="false">(CW175-DD175)*10^6</f>
        <v>0</v>
      </c>
    </row>
    <row r="176" customFormat="false" ht="12.75" hidden="false" customHeight="true" outlineLevel="0" collapsed="false">
      <c r="C176" s="679" t="s">
        <v>702</v>
      </c>
      <c r="D176" s="144"/>
      <c r="E176" s="144"/>
      <c r="F176" s="144"/>
      <c r="G176" s="144"/>
      <c r="H176" s="245"/>
      <c r="I176" s="422"/>
      <c r="J176" s="144"/>
      <c r="K176" s="144"/>
      <c r="L176" s="144"/>
      <c r="M176" s="144"/>
      <c r="N176" s="245"/>
      <c r="O176" s="423"/>
      <c r="P176" s="144"/>
      <c r="Q176" s="144"/>
      <c r="R176" s="144"/>
      <c r="S176" s="144"/>
      <c r="T176" s="245"/>
      <c r="U176" s="422"/>
      <c r="V176" s="144"/>
      <c r="W176" s="144"/>
      <c r="X176" s="144"/>
      <c r="Y176" s="144"/>
      <c r="Z176" s="281"/>
      <c r="AA176" s="144"/>
      <c r="AB176" s="245"/>
      <c r="AC176" s="422"/>
      <c r="AD176" s="144"/>
      <c r="AE176" s="144"/>
      <c r="AF176" s="144"/>
      <c r="AG176" s="144"/>
      <c r="AH176" s="281"/>
      <c r="AI176" s="144"/>
      <c r="AJ176" s="245"/>
      <c r="AK176" s="422"/>
      <c r="AL176" s="144"/>
      <c r="AM176" s="144"/>
      <c r="AN176" s="144"/>
      <c r="AO176" s="144"/>
      <c r="AP176" s="144"/>
      <c r="AQ176" s="281"/>
      <c r="AR176" s="144"/>
      <c r="AS176" s="245"/>
      <c r="AT176" s="423"/>
      <c r="AU176" s="281"/>
      <c r="AV176" s="144"/>
      <c r="AW176" s="144"/>
      <c r="AX176" s="144"/>
      <c r="AY176" s="144"/>
      <c r="AZ176" s="144"/>
      <c r="BA176" s="245"/>
      <c r="BB176" s="422"/>
      <c r="BC176" s="281"/>
      <c r="BD176" s="144"/>
      <c r="BE176" s="144"/>
      <c r="BF176" s="144"/>
      <c r="BG176" s="144"/>
      <c r="BH176" s="144"/>
      <c r="BI176" s="245"/>
      <c r="BJ176" s="423"/>
      <c r="BK176" s="281"/>
      <c r="BL176" s="144"/>
      <c r="BM176" s="144"/>
      <c r="BN176" s="144"/>
      <c r="BO176" s="144"/>
      <c r="BP176" s="144"/>
      <c r="BQ176" s="144"/>
      <c r="BR176" s="245"/>
      <c r="BS176" s="422"/>
      <c r="BT176" s="281"/>
      <c r="BU176" s="144"/>
      <c r="BV176" s="144"/>
      <c r="BW176" s="144"/>
      <c r="BX176" s="144"/>
      <c r="BY176" s="144"/>
      <c r="BZ176" s="245"/>
      <c r="CA176" s="422"/>
      <c r="CB176" s="281"/>
      <c r="CC176" s="144"/>
      <c r="CD176" s="144"/>
      <c r="CE176" s="144"/>
      <c r="CF176" s="144"/>
      <c r="CG176" s="144"/>
      <c r="CH176" s="245"/>
      <c r="CI176" s="422"/>
      <c r="CJ176" s="281"/>
      <c r="CK176" s="144"/>
      <c r="CL176" s="144"/>
      <c r="CM176" s="144"/>
      <c r="CN176" s="144"/>
      <c r="CO176" s="144"/>
      <c r="CP176" s="245"/>
      <c r="CQ176" s="422"/>
      <c r="CR176" s="144"/>
      <c r="CS176" s="144"/>
      <c r="CT176" s="144"/>
      <c r="CU176" s="144"/>
      <c r="CV176" s="144" t="n">
        <f aca="false">+CR176-CT176</f>
        <v>0</v>
      </c>
      <c r="CW176" s="144"/>
      <c r="CX176" s="805" t="str">
        <f aca="false">IFERROR(CR176/CW176-1, "-")</f>
        <v>-</v>
      </c>
      <c r="CY176" s="206"/>
      <c r="CZ176" s="699"/>
      <c r="DA176" s="144"/>
      <c r="DB176" s="144"/>
      <c r="DC176" s="144"/>
      <c r="DD176" s="144"/>
      <c r="DE176" s="245"/>
      <c r="DF176" s="245"/>
      <c r="DG176" s="245"/>
      <c r="DH176" s="245"/>
      <c r="DI176" s="696"/>
      <c r="DL176" s="37"/>
      <c r="DM176" s="400" t="n">
        <f aca="false">(CS176-CZ176)*10^6</f>
        <v>0</v>
      </c>
      <c r="DN176" s="400" t="n">
        <f aca="false">(CT176-DC176)*10^6</f>
        <v>0</v>
      </c>
      <c r="DO176" s="400" t="n">
        <f aca="false">(CW176-DD176)*10^6</f>
        <v>0</v>
      </c>
    </row>
    <row r="177" s="881" customFormat="true" ht="14.25" hidden="false" customHeight="true" outlineLevel="0" collapsed="false">
      <c r="A177" s="862" t="s">
        <v>703</v>
      </c>
      <c r="B177" s="863"/>
      <c r="C177" s="679" t="s">
        <v>704</v>
      </c>
      <c r="D177" s="864"/>
      <c r="E177" s="865"/>
      <c r="F177" s="865"/>
      <c r="G177" s="865"/>
      <c r="H177" s="866"/>
      <c r="I177" s="867"/>
      <c r="J177" s="864"/>
      <c r="K177" s="865"/>
      <c r="L177" s="865"/>
      <c r="M177" s="865"/>
      <c r="N177" s="866"/>
      <c r="O177" s="868"/>
      <c r="P177" s="864"/>
      <c r="Q177" s="865"/>
      <c r="R177" s="865"/>
      <c r="S177" s="865"/>
      <c r="T177" s="866"/>
      <c r="U177" s="867"/>
      <c r="V177" s="864"/>
      <c r="W177" s="865"/>
      <c r="X177" s="865"/>
      <c r="Y177" s="865"/>
      <c r="Z177" s="869"/>
      <c r="AA177" s="865"/>
      <c r="AB177" s="866"/>
      <c r="AC177" s="867"/>
      <c r="AD177" s="864"/>
      <c r="AE177" s="865"/>
      <c r="AF177" s="865"/>
      <c r="AG177" s="865"/>
      <c r="AH177" s="869"/>
      <c r="AI177" s="865"/>
      <c r="AJ177" s="866"/>
      <c r="AK177" s="403"/>
      <c r="AL177" s="864"/>
      <c r="AM177" s="865"/>
      <c r="AN177" s="865"/>
      <c r="AO177" s="865"/>
      <c r="AP177" s="865"/>
      <c r="AQ177" s="399"/>
      <c r="AR177" s="865"/>
      <c r="AS177" s="866"/>
      <c r="AT177" s="404"/>
      <c r="AU177" s="870"/>
      <c r="AV177" s="865"/>
      <c r="AW177" s="865"/>
      <c r="AX177" s="865"/>
      <c r="AY177" s="871"/>
      <c r="AZ177" s="865"/>
      <c r="BA177" s="866"/>
      <c r="BB177" s="403"/>
      <c r="BC177" s="870"/>
      <c r="BD177" s="865"/>
      <c r="BE177" s="865"/>
      <c r="BF177" s="865"/>
      <c r="BG177" s="871"/>
      <c r="BH177" s="865"/>
      <c r="BI177" s="866"/>
      <c r="BJ177" s="404"/>
      <c r="BK177" s="870"/>
      <c r="BL177" s="865"/>
      <c r="BM177" s="865"/>
      <c r="BN177" s="865"/>
      <c r="BO177" s="865"/>
      <c r="BP177" s="871"/>
      <c r="BQ177" s="865"/>
      <c r="BR177" s="866"/>
      <c r="BS177" s="403"/>
      <c r="BT177" s="870"/>
      <c r="BU177" s="865"/>
      <c r="BV177" s="865"/>
      <c r="BW177" s="865"/>
      <c r="BX177" s="871"/>
      <c r="BY177" s="865"/>
      <c r="BZ177" s="866"/>
      <c r="CA177" s="402"/>
      <c r="CB177" s="870"/>
      <c r="CC177" s="865"/>
      <c r="CD177" s="865"/>
      <c r="CE177" s="865"/>
      <c r="CF177" s="871"/>
      <c r="CG177" s="865"/>
      <c r="CH177" s="866"/>
      <c r="CI177" s="872"/>
      <c r="CJ177" s="870"/>
      <c r="CK177" s="865"/>
      <c r="CL177" s="865"/>
      <c r="CM177" s="865"/>
      <c r="CN177" s="871"/>
      <c r="CO177" s="865"/>
      <c r="CP177" s="866"/>
      <c r="CQ177" s="873"/>
      <c r="CR177" s="871"/>
      <c r="CS177" s="871"/>
      <c r="CT177" s="400"/>
      <c r="CU177" s="871" t="n">
        <f aca="false">+CR177-CS177</f>
        <v>0</v>
      </c>
      <c r="CV177" s="871" t="n">
        <f aca="false">+CR177-CT177</f>
        <v>0</v>
      </c>
      <c r="CW177" s="871"/>
      <c r="CX177" s="874" t="str">
        <f aca="false">IFERROR(CR177/CW177-1, "-")</f>
        <v>-</v>
      </c>
      <c r="CY177" s="875"/>
      <c r="CZ177" s="876"/>
      <c r="DA177" s="865"/>
      <c r="DB177" s="865"/>
      <c r="DC177" s="865"/>
      <c r="DD177" s="865"/>
      <c r="DE177" s="877" t="e">
        <f aca="false">(CZ177-DD177)/DD177</f>
        <v>#DIV/0!</v>
      </c>
      <c r="DF177" s="878" t="e">
        <f aca="false">(DA177-DD177)/DD177</f>
        <v>#DIV/0!</v>
      </c>
      <c r="DG177" s="878" t="e">
        <f aca="false">(DB177-DD177)/DD177</f>
        <v>#DIV/0!</v>
      </c>
      <c r="DH177" s="878" t="e">
        <f aca="false">(DC177-DD177)/DD177</f>
        <v>#DIV/0!</v>
      </c>
      <c r="DI177" s="696"/>
      <c r="DJ177" s="879"/>
      <c r="DK177" s="880"/>
      <c r="DL177" s="879"/>
      <c r="DM177" s="400" t="n">
        <f aca="false">(CS177-CZ177)*10^6</f>
        <v>0</v>
      </c>
      <c r="DN177" s="400" t="n">
        <f aca="false">(CT177-DC177)*10^6</f>
        <v>0</v>
      </c>
      <c r="DO177" s="400" t="n">
        <f aca="false">(CW177-DD177)*10^6</f>
        <v>0</v>
      </c>
      <c r="DP177" s="880"/>
      <c r="DQ177" s="880"/>
      <c r="DR177" s="880"/>
      <c r="DS177" s="880"/>
      <c r="DT177" s="880"/>
      <c r="DU177" s="880"/>
      <c r="DV177" s="880"/>
      <c r="DW177" s="880"/>
      <c r="DX177" s="880"/>
      <c r="DY177" s="880"/>
      <c r="DZ177" s="880"/>
      <c r="EA177" s="880"/>
      <c r="EB177" s="880"/>
      <c r="EC177" s="880"/>
      <c r="ED177" s="880"/>
      <c r="EE177" s="880"/>
      <c r="EF177" s="880"/>
      <c r="EG177" s="880"/>
      <c r="EH177" s="880"/>
      <c r="EI177" s="880"/>
      <c r="EJ177" s="880"/>
      <c r="EK177" s="880"/>
      <c r="EL177" s="880"/>
      <c r="EM177" s="880"/>
      <c r="EN177" s="880"/>
      <c r="EO177" s="880"/>
      <c r="EP177" s="880"/>
      <c r="EQ177" s="880"/>
      <c r="ER177" s="880"/>
      <c r="ES177" s="880"/>
      <c r="ET177" s="880"/>
      <c r="EU177" s="880"/>
      <c r="EV177" s="880"/>
      <c r="EW177" s="880"/>
      <c r="EX177" s="880"/>
      <c r="EY177" s="880"/>
      <c r="EZ177" s="880"/>
      <c r="FA177" s="880"/>
      <c r="FB177" s="880"/>
      <c r="FC177" s="880"/>
      <c r="FD177" s="880"/>
      <c r="FE177" s="880"/>
      <c r="FF177" s="880"/>
      <c r="FG177" s="880"/>
      <c r="FH177" s="880"/>
      <c r="FI177" s="880"/>
      <c r="FJ177" s="880"/>
      <c r="FK177" s="880"/>
      <c r="FL177" s="880"/>
      <c r="FM177" s="880"/>
      <c r="FN177" s="880"/>
      <c r="FO177" s="880"/>
      <c r="FP177" s="880"/>
      <c r="FQ177" s="880"/>
      <c r="FR177" s="880"/>
      <c r="FS177" s="880"/>
      <c r="FT177" s="880"/>
      <c r="FU177" s="880"/>
      <c r="FV177" s="880"/>
      <c r="FW177" s="880"/>
      <c r="FX177" s="880"/>
      <c r="FY177" s="880"/>
      <c r="FZ177" s="880"/>
      <c r="GA177" s="880"/>
      <c r="GB177" s="880"/>
      <c r="GC177" s="880"/>
      <c r="GD177" s="880"/>
      <c r="GE177" s="880"/>
      <c r="GF177" s="880"/>
      <c r="GG177" s="880"/>
      <c r="GH177" s="880"/>
      <c r="GI177" s="880"/>
      <c r="GJ177" s="880"/>
      <c r="GK177" s="880"/>
      <c r="GL177" s="880"/>
      <c r="GM177" s="880"/>
      <c r="GN177" s="880"/>
      <c r="GO177" s="880"/>
      <c r="GP177" s="880"/>
      <c r="GQ177" s="880"/>
      <c r="GR177" s="880"/>
      <c r="GS177" s="880"/>
      <c r="GT177" s="880"/>
      <c r="GU177" s="880"/>
      <c r="GV177" s="880"/>
      <c r="GW177" s="880"/>
      <c r="GX177" s="880"/>
      <c r="GY177" s="880"/>
      <c r="GZ177" s="880"/>
      <c r="HA177" s="880"/>
      <c r="HB177" s="880"/>
      <c r="HC177" s="880"/>
      <c r="HD177" s="880"/>
      <c r="HE177" s="880"/>
      <c r="HF177" s="880"/>
      <c r="HG177" s="880"/>
      <c r="HH177" s="880"/>
      <c r="HI177" s="880"/>
      <c r="HJ177" s="880"/>
      <c r="HK177" s="880"/>
      <c r="HL177" s="880"/>
    </row>
    <row r="178" customFormat="false" ht="19.5" hidden="false" customHeight="true" outlineLevel="0" collapsed="false">
      <c r="B178" s="2" t="s">
        <v>705</v>
      </c>
      <c r="C178" s="679" t="s">
        <v>706</v>
      </c>
      <c r="D178" s="144"/>
      <c r="E178" s="144"/>
      <c r="F178" s="144"/>
      <c r="G178" s="144"/>
      <c r="H178" s="245"/>
      <c r="I178" s="422"/>
      <c r="J178" s="144"/>
      <c r="K178" s="144"/>
      <c r="L178" s="144"/>
      <c r="M178" s="144"/>
      <c r="N178" s="245"/>
      <c r="O178" s="423"/>
      <c r="P178" s="144"/>
      <c r="Q178" s="144"/>
      <c r="R178" s="144"/>
      <c r="S178" s="144"/>
      <c r="T178" s="245"/>
      <c r="U178" s="422"/>
      <c r="V178" s="144"/>
      <c r="W178" s="144"/>
      <c r="X178" s="144"/>
      <c r="Y178" s="144"/>
      <c r="Z178" s="281"/>
      <c r="AA178" s="144"/>
      <c r="AB178" s="245"/>
      <c r="AC178" s="422"/>
      <c r="AD178" s="144"/>
      <c r="AE178" s="144"/>
      <c r="AF178" s="144"/>
      <c r="AG178" s="144"/>
      <c r="AH178" s="281"/>
      <c r="AI178" s="144"/>
      <c r="AJ178" s="245"/>
      <c r="AK178" s="422"/>
      <c r="AL178" s="144"/>
      <c r="AM178" s="144"/>
      <c r="AN178" s="144"/>
      <c r="AO178" s="144"/>
      <c r="AP178" s="144"/>
      <c r="AQ178" s="281"/>
      <c r="AR178" s="144"/>
      <c r="AS178" s="245"/>
      <c r="AT178" s="423"/>
      <c r="AU178" s="281"/>
      <c r="AV178" s="144"/>
      <c r="AW178" s="144"/>
      <c r="AX178" s="144"/>
      <c r="AY178" s="144"/>
      <c r="AZ178" s="144"/>
      <c r="BA178" s="245"/>
      <c r="BB178" s="422"/>
      <c r="BC178" s="281"/>
      <c r="BD178" s="144"/>
      <c r="BE178" s="144"/>
      <c r="BF178" s="144"/>
      <c r="BG178" s="144"/>
      <c r="BH178" s="144"/>
      <c r="BI178" s="245"/>
      <c r="BJ178" s="423"/>
      <c r="BK178" s="281"/>
      <c r="BL178" s="144"/>
      <c r="BM178" s="144"/>
      <c r="BN178" s="144"/>
      <c r="BO178" s="144"/>
      <c r="BP178" s="144"/>
      <c r="BQ178" s="144"/>
      <c r="BR178" s="245"/>
      <c r="BS178" s="422"/>
      <c r="BT178" s="281"/>
      <c r="BU178" s="144"/>
      <c r="BV178" s="144"/>
      <c r="BW178" s="144"/>
      <c r="BX178" s="144"/>
      <c r="BY178" s="144"/>
      <c r="BZ178" s="245"/>
      <c r="CA178" s="422"/>
      <c r="CB178" s="281"/>
      <c r="CC178" s="144"/>
      <c r="CD178" s="144"/>
      <c r="CE178" s="144"/>
      <c r="CF178" s="144"/>
      <c r="CG178" s="144"/>
      <c r="CH178" s="245"/>
      <c r="CI178" s="422"/>
      <c r="CJ178" s="281"/>
      <c r="CK178" s="144"/>
      <c r="CL178" s="144"/>
      <c r="CM178" s="144"/>
      <c r="CN178" s="144"/>
      <c r="CO178" s="144"/>
      <c r="CP178" s="245"/>
      <c r="CQ178" s="422"/>
      <c r="CR178" s="144"/>
      <c r="CS178" s="144"/>
      <c r="CT178" s="144"/>
      <c r="CU178" s="144"/>
      <c r="CV178" s="144" t="n">
        <f aca="false">+CR178-CT178</f>
        <v>0</v>
      </c>
      <c r="CW178" s="144"/>
      <c r="CX178" s="245" t="str">
        <f aca="false">IFERROR(CR178/CW178-1, "-")</f>
        <v>-</v>
      </c>
      <c r="CY178" s="206"/>
      <c r="CZ178" s="699"/>
      <c r="DA178" s="144"/>
      <c r="DB178" s="144"/>
      <c r="DC178" s="144"/>
      <c r="DD178" s="144"/>
      <c r="DE178" s="245"/>
      <c r="DF178" s="245"/>
      <c r="DG178" s="245"/>
      <c r="DH178" s="245"/>
      <c r="DI178" s="696"/>
      <c r="DL178" s="37"/>
      <c r="DM178" s="400" t="n">
        <f aca="false">(CS178-CZ178)*10^6</f>
        <v>0</v>
      </c>
      <c r="DN178" s="400" t="n">
        <f aca="false">(CT178-DC178)*10^6</f>
        <v>0</v>
      </c>
      <c r="DO178" s="400" t="n">
        <f aca="false">(CW178-DD178)*10^6</f>
        <v>0</v>
      </c>
    </row>
    <row r="179" s="36" customFormat="true" ht="15" hidden="false" customHeight="true" outlineLevel="0" collapsed="false">
      <c r="A179" s="700" t="s">
        <v>707</v>
      </c>
      <c r="B179" s="707"/>
      <c r="C179" s="679" t="s">
        <v>708</v>
      </c>
      <c r="D179" s="399"/>
      <c r="E179" s="400"/>
      <c r="F179" s="400"/>
      <c r="G179" s="400"/>
      <c r="H179" s="695"/>
      <c r="I179" s="882"/>
      <c r="J179" s="399"/>
      <c r="K179" s="400"/>
      <c r="L179" s="400"/>
      <c r="M179" s="400"/>
      <c r="N179" s="695"/>
      <c r="O179" s="883"/>
      <c r="P179" s="399"/>
      <c r="Q179" s="400"/>
      <c r="R179" s="400"/>
      <c r="S179" s="400"/>
      <c r="T179" s="695"/>
      <c r="U179" s="882"/>
      <c r="V179" s="399"/>
      <c r="W179" s="400"/>
      <c r="X179" s="400"/>
      <c r="Y179" s="400"/>
      <c r="Z179" s="685"/>
      <c r="AA179" s="400"/>
      <c r="AB179" s="695"/>
      <c r="AC179" s="882"/>
      <c r="AD179" s="399"/>
      <c r="AE179" s="400"/>
      <c r="AF179" s="400"/>
      <c r="AG179" s="400"/>
      <c r="AH179" s="685"/>
      <c r="AI179" s="400"/>
      <c r="AJ179" s="695"/>
      <c r="AK179" s="882"/>
      <c r="AL179" s="864"/>
      <c r="AM179" s="400"/>
      <c r="AN179" s="400"/>
      <c r="AO179" s="400"/>
      <c r="AP179" s="865"/>
      <c r="AQ179" s="685"/>
      <c r="AR179" s="400"/>
      <c r="AS179" s="695"/>
      <c r="AT179" s="883"/>
      <c r="AU179" s="870"/>
      <c r="AV179" s="400"/>
      <c r="AW179" s="400"/>
      <c r="AX179" s="400"/>
      <c r="AY179" s="400"/>
      <c r="AZ179" s="400"/>
      <c r="BA179" s="695"/>
      <c r="BB179" s="882"/>
      <c r="BC179" s="870"/>
      <c r="BD179" s="400"/>
      <c r="BE179" s="400"/>
      <c r="BF179" s="400"/>
      <c r="BG179" s="400"/>
      <c r="BH179" s="400"/>
      <c r="BI179" s="695"/>
      <c r="BJ179" s="883"/>
      <c r="BK179" s="870"/>
      <c r="BL179" s="400"/>
      <c r="BM179" s="400"/>
      <c r="BN179" s="400"/>
      <c r="BO179" s="400"/>
      <c r="BP179" s="400"/>
      <c r="BQ179" s="400"/>
      <c r="BR179" s="695"/>
      <c r="BS179" s="882"/>
      <c r="BT179" s="870"/>
      <c r="BU179" s="400"/>
      <c r="BV179" s="400"/>
      <c r="BW179" s="400"/>
      <c r="BX179" s="400"/>
      <c r="BY179" s="400"/>
      <c r="BZ179" s="695"/>
      <c r="CA179" s="690"/>
      <c r="CB179" s="870"/>
      <c r="CC179" s="400"/>
      <c r="CD179" s="400"/>
      <c r="CE179" s="400"/>
      <c r="CF179" s="400"/>
      <c r="CG179" s="400"/>
      <c r="CH179" s="695"/>
      <c r="CI179" s="690"/>
      <c r="CJ179" s="870"/>
      <c r="CK179" s="400"/>
      <c r="CL179" s="400"/>
      <c r="CM179" s="400"/>
      <c r="CN179" s="400"/>
      <c r="CO179" s="400"/>
      <c r="CP179" s="695"/>
      <c r="CQ179" s="703"/>
      <c r="CR179" s="400"/>
      <c r="CS179" s="400"/>
      <c r="CT179" s="400"/>
      <c r="CU179" s="400" t="n">
        <f aca="false">+CR179-CS179</f>
        <v>0</v>
      </c>
      <c r="CV179" s="400" t="n">
        <f aca="false">+CR179-CT179</f>
        <v>0</v>
      </c>
      <c r="CW179" s="400"/>
      <c r="CX179" s="682" t="str">
        <f aca="false">IFERROR(CR179/CW179-1, "-")</f>
        <v>-</v>
      </c>
      <c r="CY179" s="105"/>
      <c r="CZ179" s="706"/>
      <c r="DA179" s="400"/>
      <c r="DB179" s="400"/>
      <c r="DC179" s="400"/>
      <c r="DD179" s="400"/>
      <c r="DE179" s="884" t="e">
        <f aca="false">(CZ179-DD179)/DD179</f>
        <v>#DIV/0!</v>
      </c>
      <c r="DF179" s="401" t="e">
        <f aca="false">(DA179-DD179)/DD179</f>
        <v>#DIV/0!</v>
      </c>
      <c r="DG179" s="401" t="e">
        <f aca="false">(DB179-DD179)/DD179</f>
        <v>#DIV/0!</v>
      </c>
      <c r="DH179" s="401" t="e">
        <f aca="false">(DC179-DD179)/DD179</f>
        <v>#DIV/0!</v>
      </c>
      <c r="DI179" s="696"/>
      <c r="DJ179" s="37"/>
      <c r="DL179" s="37"/>
      <c r="DM179" s="400" t="n">
        <f aca="false">(CS179-CZ179)*10^6</f>
        <v>0</v>
      </c>
      <c r="DN179" s="400" t="n">
        <f aca="false">(CT179-DC179)*10^6</f>
        <v>0</v>
      </c>
      <c r="DO179" s="400" t="n">
        <f aca="false">(CW179-DD179)*10^6</f>
        <v>0</v>
      </c>
    </row>
    <row r="180" customFormat="false" ht="15" hidden="false" customHeight="true" outlineLevel="0" collapsed="false">
      <c r="A180" s="591"/>
      <c r="B180" s="857" t="s">
        <v>709</v>
      </c>
      <c r="C180" s="679" t="s">
        <v>710</v>
      </c>
      <c r="D180" s="144"/>
      <c r="E180" s="144"/>
      <c r="F180" s="144"/>
      <c r="G180" s="144"/>
      <c r="H180" s="245"/>
      <c r="I180" s="422"/>
      <c r="J180" s="144"/>
      <c r="K180" s="144"/>
      <c r="L180" s="144"/>
      <c r="M180" s="144"/>
      <c r="N180" s="245"/>
      <c r="O180" s="423"/>
      <c r="P180" s="144"/>
      <c r="Q180" s="144"/>
      <c r="R180" s="144"/>
      <c r="S180" s="144"/>
      <c r="T180" s="245"/>
      <c r="U180" s="422"/>
      <c r="V180" s="144"/>
      <c r="W180" s="144"/>
      <c r="X180" s="144"/>
      <c r="Y180" s="144"/>
      <c r="Z180" s="281"/>
      <c r="AA180" s="144"/>
      <c r="AB180" s="245"/>
      <c r="AC180" s="422"/>
      <c r="AD180" s="144"/>
      <c r="AE180" s="144"/>
      <c r="AF180" s="144"/>
      <c r="AG180" s="144"/>
      <c r="AH180" s="281"/>
      <c r="AI180" s="144"/>
      <c r="AJ180" s="245"/>
      <c r="AK180" s="422"/>
      <c r="AL180" s="144"/>
      <c r="AM180" s="144"/>
      <c r="AN180" s="144"/>
      <c r="AO180" s="144"/>
      <c r="AP180" s="144"/>
      <c r="AQ180" s="281"/>
      <c r="AR180" s="144"/>
      <c r="AS180" s="245"/>
      <c r="AT180" s="423"/>
      <c r="AU180" s="281"/>
      <c r="AV180" s="144"/>
      <c r="AW180" s="144"/>
      <c r="AX180" s="144"/>
      <c r="AY180" s="144"/>
      <c r="AZ180" s="144"/>
      <c r="BA180" s="245"/>
      <c r="BB180" s="422"/>
      <c r="BC180" s="281"/>
      <c r="BD180" s="144"/>
      <c r="BE180" s="144"/>
      <c r="BF180" s="144"/>
      <c r="BG180" s="144"/>
      <c r="BH180" s="144"/>
      <c r="BI180" s="245"/>
      <c r="BJ180" s="423"/>
      <c r="BK180" s="281"/>
      <c r="BL180" s="144"/>
      <c r="BM180" s="144"/>
      <c r="BN180" s="144"/>
      <c r="BO180" s="144"/>
      <c r="BP180" s="144"/>
      <c r="BQ180" s="144"/>
      <c r="BR180" s="245"/>
      <c r="BS180" s="422"/>
      <c r="BT180" s="281"/>
      <c r="BU180" s="144"/>
      <c r="BV180" s="144"/>
      <c r="BW180" s="144"/>
      <c r="BX180" s="144"/>
      <c r="BY180" s="144"/>
      <c r="BZ180" s="245"/>
      <c r="CA180" s="422"/>
      <c r="CB180" s="281"/>
      <c r="CC180" s="144"/>
      <c r="CD180" s="144"/>
      <c r="CE180" s="144"/>
      <c r="CF180" s="144"/>
      <c r="CG180" s="144"/>
      <c r="CH180" s="245"/>
      <c r="CI180" s="422"/>
      <c r="CJ180" s="281"/>
      <c r="CK180" s="144"/>
      <c r="CL180" s="144"/>
      <c r="CM180" s="144"/>
      <c r="CN180" s="144"/>
      <c r="CO180" s="144"/>
      <c r="CP180" s="245"/>
      <c r="CQ180" s="422"/>
      <c r="CR180" s="144"/>
      <c r="CS180" s="144"/>
      <c r="CT180" s="144"/>
      <c r="CU180" s="144" t="n">
        <f aca="false">+CR180-CS180</f>
        <v>0</v>
      </c>
      <c r="CV180" s="144" t="n">
        <f aca="false">+CR180-CT180</f>
        <v>0</v>
      </c>
      <c r="CW180" s="144"/>
      <c r="CX180" s="885" t="str">
        <f aca="false">IFERROR(CR180/CW180-1, "-")</f>
        <v>-</v>
      </c>
      <c r="CY180" s="206"/>
      <c r="CZ180" s="699"/>
      <c r="DA180" s="144"/>
      <c r="DB180" s="144"/>
      <c r="DC180" s="144"/>
      <c r="DD180" s="144"/>
      <c r="DE180" s="245" t="e">
        <f aca="false">(CZ180-DD180)/DD180</f>
        <v>#DIV/0!</v>
      </c>
      <c r="DF180" s="245" t="e">
        <f aca="false">(DA180-DD180)/DD180</f>
        <v>#DIV/0!</v>
      </c>
      <c r="DG180" s="245" t="e">
        <f aca="false">(DB180-DD180)/DD180</f>
        <v>#DIV/0!</v>
      </c>
      <c r="DH180" s="245" t="e">
        <f aca="false">(DC180-DD180)/DD180</f>
        <v>#DIV/0!</v>
      </c>
      <c r="DI180" s="696"/>
      <c r="DL180" s="37"/>
      <c r="DM180" s="400" t="n">
        <f aca="false">(CS180-CZ180)*10^6</f>
        <v>0</v>
      </c>
      <c r="DN180" s="400" t="n">
        <f aca="false">(CT180-DC180)*10^6</f>
        <v>0</v>
      </c>
      <c r="DO180" s="400" t="n">
        <f aca="false">(CW180-DD180)*10^6</f>
        <v>0</v>
      </c>
    </row>
    <row r="181" customFormat="false" ht="15" hidden="false" customHeight="true" outlineLevel="0" collapsed="false">
      <c r="A181" s="591"/>
      <c r="B181" s="857" t="s">
        <v>711</v>
      </c>
      <c r="C181" s="679" t="s">
        <v>712</v>
      </c>
      <c r="D181" s="144"/>
      <c r="E181" s="144"/>
      <c r="F181" s="144"/>
      <c r="G181" s="144"/>
      <c r="H181" s="245"/>
      <c r="I181" s="422"/>
      <c r="J181" s="144"/>
      <c r="K181" s="144"/>
      <c r="L181" s="144"/>
      <c r="M181" s="144"/>
      <c r="N181" s="245"/>
      <c r="O181" s="423"/>
      <c r="P181" s="144"/>
      <c r="Q181" s="144"/>
      <c r="R181" s="144"/>
      <c r="S181" s="144"/>
      <c r="T181" s="245"/>
      <c r="U181" s="422"/>
      <c r="V181" s="144"/>
      <c r="W181" s="144"/>
      <c r="X181" s="144"/>
      <c r="Y181" s="144"/>
      <c r="Z181" s="281"/>
      <c r="AA181" s="144"/>
      <c r="AB181" s="245"/>
      <c r="AC181" s="422"/>
      <c r="AD181" s="144"/>
      <c r="AE181" s="144"/>
      <c r="AF181" s="144"/>
      <c r="AG181" s="144"/>
      <c r="AH181" s="281"/>
      <c r="AI181" s="144"/>
      <c r="AJ181" s="245"/>
      <c r="AK181" s="422"/>
      <c r="AL181" s="144"/>
      <c r="AM181" s="144"/>
      <c r="AN181" s="144"/>
      <c r="AO181" s="144"/>
      <c r="AP181" s="144"/>
      <c r="AQ181" s="281"/>
      <c r="AR181" s="144"/>
      <c r="AS181" s="245"/>
      <c r="AT181" s="423"/>
      <c r="AU181" s="281"/>
      <c r="AV181" s="144"/>
      <c r="AW181" s="144"/>
      <c r="AX181" s="144"/>
      <c r="AY181" s="144"/>
      <c r="AZ181" s="144"/>
      <c r="BA181" s="245"/>
      <c r="BB181" s="422"/>
      <c r="BC181" s="281"/>
      <c r="BD181" s="144"/>
      <c r="BE181" s="144"/>
      <c r="BF181" s="144"/>
      <c r="BG181" s="144"/>
      <c r="BH181" s="144"/>
      <c r="BI181" s="245"/>
      <c r="BJ181" s="423"/>
      <c r="BK181" s="281"/>
      <c r="BL181" s="144"/>
      <c r="BM181" s="144"/>
      <c r="BN181" s="144"/>
      <c r="BO181" s="144"/>
      <c r="BP181" s="144"/>
      <c r="BQ181" s="144"/>
      <c r="BR181" s="245"/>
      <c r="BS181" s="422"/>
      <c r="BT181" s="281"/>
      <c r="BU181" s="144"/>
      <c r="BV181" s="144"/>
      <c r="BW181" s="144"/>
      <c r="BX181" s="144"/>
      <c r="BY181" s="144"/>
      <c r="BZ181" s="245"/>
      <c r="CA181" s="422"/>
      <c r="CB181" s="281"/>
      <c r="CC181" s="144"/>
      <c r="CD181" s="144"/>
      <c r="CE181" s="144"/>
      <c r="CF181" s="144"/>
      <c r="CG181" s="144"/>
      <c r="CH181" s="245"/>
      <c r="CI181" s="422"/>
      <c r="CJ181" s="281"/>
      <c r="CK181" s="144"/>
      <c r="CL181" s="144"/>
      <c r="CM181" s="144"/>
      <c r="CN181" s="144"/>
      <c r="CO181" s="144"/>
      <c r="CP181" s="245"/>
      <c r="CQ181" s="422"/>
      <c r="CR181" s="144"/>
      <c r="CS181" s="144"/>
      <c r="CT181" s="144"/>
      <c r="CU181" s="144" t="n">
        <f aca="false">+CR181-CS181</f>
        <v>0</v>
      </c>
      <c r="CV181" s="144" t="n">
        <f aca="false">+CR181-CT181</f>
        <v>0</v>
      </c>
      <c r="CW181" s="144"/>
      <c r="CX181" s="885" t="str">
        <f aca="false">IFERROR(CR181/CW181-1, "-")</f>
        <v>-</v>
      </c>
      <c r="CY181" s="206"/>
      <c r="CZ181" s="699"/>
      <c r="DA181" s="144"/>
      <c r="DB181" s="144"/>
      <c r="DC181" s="144"/>
      <c r="DD181" s="144"/>
      <c r="DE181" s="245" t="e">
        <f aca="false">(CZ181-DD181)/DD181</f>
        <v>#DIV/0!</v>
      </c>
      <c r="DF181" s="245" t="e">
        <f aca="false">(DA181-DD181)/DD181</f>
        <v>#DIV/0!</v>
      </c>
      <c r="DG181" s="245" t="e">
        <f aca="false">(DB181-DD181)/DD181</f>
        <v>#DIV/0!</v>
      </c>
      <c r="DH181" s="245" t="e">
        <f aca="false">(DC181-DD181)/DD181</f>
        <v>#DIV/0!</v>
      </c>
      <c r="DI181" s="696"/>
      <c r="DL181" s="37"/>
      <c r="DM181" s="400" t="n">
        <f aca="false">(CS181-CZ181)*10^6</f>
        <v>0</v>
      </c>
      <c r="DN181" s="400" t="n">
        <f aca="false">(CT181-DC181)*10^6</f>
        <v>0</v>
      </c>
      <c r="DO181" s="400" t="n">
        <f aca="false">(CW181-DD181)*10^6</f>
        <v>0</v>
      </c>
    </row>
    <row r="182" customFormat="false" ht="15" hidden="false" customHeight="true" outlineLevel="0" collapsed="false">
      <c r="A182" s="591"/>
      <c r="B182" s="857" t="s">
        <v>697</v>
      </c>
      <c r="C182" s="679" t="s">
        <v>713</v>
      </c>
      <c r="D182" s="144"/>
      <c r="E182" s="144"/>
      <c r="F182" s="144"/>
      <c r="G182" s="144"/>
      <c r="H182" s="245"/>
      <c r="I182" s="422"/>
      <c r="J182" s="144"/>
      <c r="K182" s="144"/>
      <c r="L182" s="144"/>
      <c r="M182" s="144"/>
      <c r="N182" s="245"/>
      <c r="O182" s="423"/>
      <c r="P182" s="144"/>
      <c r="Q182" s="144"/>
      <c r="R182" s="144"/>
      <c r="S182" s="144"/>
      <c r="T182" s="805"/>
      <c r="U182" s="422"/>
      <c r="V182" s="144"/>
      <c r="W182" s="144"/>
      <c r="X182" s="144"/>
      <c r="Y182" s="144"/>
      <c r="Z182" s="281"/>
      <c r="AA182" s="144"/>
      <c r="AB182" s="805"/>
      <c r="AC182" s="805"/>
      <c r="AD182" s="144"/>
      <c r="AE182" s="144"/>
      <c r="AF182" s="144"/>
      <c r="AG182" s="144"/>
      <c r="AH182" s="281"/>
      <c r="AI182" s="144"/>
      <c r="AJ182" s="805"/>
      <c r="AK182" s="422"/>
      <c r="AL182" s="144"/>
      <c r="AM182" s="144"/>
      <c r="AN182" s="144"/>
      <c r="AO182" s="144"/>
      <c r="AP182" s="144"/>
      <c r="AQ182" s="281"/>
      <c r="AR182" s="144"/>
      <c r="AS182" s="805"/>
      <c r="AT182" s="423"/>
      <c r="AU182" s="281"/>
      <c r="AV182" s="144"/>
      <c r="AW182" s="144"/>
      <c r="AX182" s="144"/>
      <c r="AY182" s="144"/>
      <c r="AZ182" s="144"/>
      <c r="BA182" s="245"/>
      <c r="BB182" s="422"/>
      <c r="BC182" s="281"/>
      <c r="BD182" s="144"/>
      <c r="BE182" s="144"/>
      <c r="BF182" s="144"/>
      <c r="BG182" s="144"/>
      <c r="BH182" s="144"/>
      <c r="BI182" s="144"/>
      <c r="BJ182" s="423"/>
      <c r="BK182" s="281"/>
      <c r="BL182" s="144"/>
      <c r="BM182" s="144"/>
      <c r="BN182" s="144"/>
      <c r="BO182" s="144"/>
      <c r="BP182" s="144"/>
      <c r="BQ182" s="144"/>
      <c r="BR182" s="144"/>
      <c r="BS182" s="422"/>
      <c r="BT182" s="281"/>
      <c r="BU182" s="144"/>
      <c r="BV182" s="144"/>
      <c r="BW182" s="144"/>
      <c r="BX182" s="144"/>
      <c r="BY182" s="144"/>
      <c r="BZ182" s="144"/>
      <c r="CA182" s="422"/>
      <c r="CB182" s="281"/>
      <c r="CC182" s="144"/>
      <c r="CD182" s="144"/>
      <c r="CE182" s="144"/>
      <c r="CF182" s="144"/>
      <c r="CG182" s="144"/>
      <c r="CH182" s="144"/>
      <c r="CI182" s="422"/>
      <c r="CJ182" s="281"/>
      <c r="CK182" s="144"/>
      <c r="CL182" s="144"/>
      <c r="CM182" s="144"/>
      <c r="CN182" s="144"/>
      <c r="CO182" s="144"/>
      <c r="CP182" s="144"/>
      <c r="CQ182" s="422"/>
      <c r="CR182" s="144"/>
      <c r="CS182" s="144"/>
      <c r="CT182" s="144"/>
      <c r="CU182" s="144" t="n">
        <f aca="false">+CR182-CS182</f>
        <v>0</v>
      </c>
      <c r="CV182" s="144" t="n">
        <f aca="false">+CR182-CT182</f>
        <v>0</v>
      </c>
      <c r="CW182" s="144"/>
      <c r="CX182" s="885" t="str">
        <f aca="false">IFERROR(CR182/CW182-1, "-")</f>
        <v>-</v>
      </c>
      <c r="CY182" s="206"/>
      <c r="CZ182" s="699"/>
      <c r="DA182" s="144"/>
      <c r="DB182" s="144"/>
      <c r="DC182" s="144"/>
      <c r="DD182" s="144"/>
      <c r="DE182" s="245"/>
      <c r="DF182" s="245"/>
      <c r="DG182" s="245"/>
      <c r="DH182" s="245"/>
      <c r="DI182" s="696"/>
      <c r="DL182" s="37"/>
      <c r="DM182" s="400" t="n">
        <f aca="false">(CS182-CZ182)*10^6</f>
        <v>0</v>
      </c>
      <c r="DN182" s="400" t="n">
        <f aca="false">(CT182-DC182)*10^6</f>
        <v>0</v>
      </c>
      <c r="DO182" s="400" t="n">
        <f aca="false">(CW182-DD182)*10^6</f>
        <v>0</v>
      </c>
    </row>
    <row r="183" s="291" customFormat="true" ht="5.25" hidden="false" customHeight="true" outlineLevel="0" collapsed="false">
      <c r="A183" s="886"/>
      <c r="B183" s="887"/>
      <c r="C183" s="679" t="s">
        <v>714</v>
      </c>
      <c r="D183" s="888"/>
      <c r="E183" s="889"/>
      <c r="F183" s="889"/>
      <c r="G183" s="890"/>
      <c r="H183" s="891"/>
      <c r="I183" s="892"/>
      <c r="J183" s="888"/>
      <c r="K183" s="889"/>
      <c r="L183" s="893"/>
      <c r="M183" s="893"/>
      <c r="N183" s="891"/>
      <c r="O183" s="894"/>
      <c r="P183" s="888"/>
      <c r="Q183" s="889"/>
      <c r="R183" s="895"/>
      <c r="S183" s="895"/>
      <c r="T183" s="896"/>
      <c r="U183" s="897"/>
      <c r="V183" s="888"/>
      <c r="W183" s="889"/>
      <c r="X183" s="898"/>
      <c r="Y183" s="898"/>
      <c r="Z183" s="898"/>
      <c r="AA183" s="898"/>
      <c r="AB183" s="899"/>
      <c r="AC183" s="892"/>
      <c r="AD183" s="888"/>
      <c r="AE183" s="889"/>
      <c r="AF183" s="889"/>
      <c r="AG183" s="889"/>
      <c r="AH183" s="889"/>
      <c r="AI183" s="890"/>
      <c r="AJ183" s="891"/>
      <c r="AK183" s="892"/>
      <c r="AL183" s="888"/>
      <c r="AM183" s="889"/>
      <c r="AN183" s="889"/>
      <c r="AO183" s="889"/>
      <c r="AP183" s="900"/>
      <c r="AQ183" s="900"/>
      <c r="AR183" s="900"/>
      <c r="AS183" s="901"/>
      <c r="AT183" s="892"/>
      <c r="AU183" s="902"/>
      <c r="AV183" s="889"/>
      <c r="AW183" s="889"/>
      <c r="AX183" s="900"/>
      <c r="AY183" s="900"/>
      <c r="AZ183" s="900"/>
      <c r="BA183" s="901"/>
      <c r="BB183" s="892"/>
      <c r="BC183" s="888"/>
      <c r="BD183" s="889"/>
      <c r="BE183" s="889"/>
      <c r="BF183" s="889"/>
      <c r="BG183" s="889"/>
      <c r="BH183" s="889"/>
      <c r="BI183" s="889"/>
      <c r="BJ183" s="892"/>
      <c r="BK183" s="902"/>
      <c r="BL183" s="889"/>
      <c r="BM183" s="889"/>
      <c r="BN183" s="889"/>
      <c r="BO183" s="889"/>
      <c r="BP183" s="889"/>
      <c r="BQ183" s="889"/>
      <c r="BR183" s="889"/>
      <c r="BS183" s="903"/>
      <c r="BT183" s="888"/>
      <c r="BU183" s="889"/>
      <c r="BV183" s="889"/>
      <c r="BW183" s="889"/>
      <c r="BX183" s="889"/>
      <c r="BY183" s="890"/>
      <c r="BZ183" s="891"/>
      <c r="CA183" s="892"/>
      <c r="CB183" s="888"/>
      <c r="CC183" s="889"/>
      <c r="CD183" s="889"/>
      <c r="CE183" s="889"/>
      <c r="CF183" s="889"/>
      <c r="CG183" s="890"/>
      <c r="CH183" s="891"/>
      <c r="CI183" s="892"/>
      <c r="CJ183" s="888"/>
      <c r="CK183" s="889"/>
      <c r="CL183" s="889"/>
      <c r="CM183" s="889"/>
      <c r="CN183" s="889"/>
      <c r="CO183" s="890"/>
      <c r="CP183" s="891"/>
      <c r="CQ183" s="892"/>
      <c r="CR183" s="904"/>
      <c r="CS183" s="889"/>
      <c r="CT183" s="889"/>
      <c r="CU183" s="889"/>
      <c r="CV183" s="889"/>
      <c r="CW183" s="890"/>
      <c r="CX183" s="905" t="str">
        <f aca="false">IFERROR(CR183/CW183-1, "-")</f>
        <v>-</v>
      </c>
      <c r="CY183" s="382"/>
      <c r="CZ183" s="906"/>
      <c r="DA183" s="907"/>
      <c r="DB183" s="907"/>
      <c r="DC183" s="907"/>
      <c r="DD183" s="890"/>
      <c r="DE183" s="890"/>
      <c r="DF183" s="900"/>
      <c r="DG183" s="900"/>
      <c r="DH183" s="900"/>
      <c r="DI183" s="696"/>
      <c r="DJ183" s="37"/>
      <c r="DL183" s="37"/>
      <c r="DM183" s="400" t="n">
        <f aca="false">(CS183-CZ183)*10^6</f>
        <v>0</v>
      </c>
      <c r="DN183" s="400" t="n">
        <f aca="false">(CT183-DC183)*10^6</f>
        <v>0</v>
      </c>
      <c r="DO183" s="400" t="n">
        <f aca="false">(CW183-DD183)*10^6</f>
        <v>0</v>
      </c>
    </row>
    <row r="184" s="280" customFormat="true" ht="5.25" hidden="false" customHeight="true" outlineLevel="0" collapsed="false">
      <c r="N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5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81"/>
      <c r="AV184" s="245"/>
      <c r="AW184" s="245"/>
      <c r="AX184" s="245"/>
      <c r="AY184" s="245"/>
      <c r="AZ184" s="245"/>
      <c r="BA184" s="245"/>
      <c r="BB184" s="245"/>
      <c r="BC184" s="245"/>
      <c r="BD184" s="245"/>
      <c r="BE184" s="245"/>
      <c r="BF184" s="245"/>
      <c r="BG184" s="245"/>
      <c r="BH184" s="245"/>
      <c r="BI184" s="245"/>
      <c r="BJ184" s="245"/>
      <c r="BK184" s="281"/>
      <c r="BL184" s="245"/>
      <c r="BM184" s="245"/>
      <c r="BN184" s="245"/>
      <c r="BO184" s="245"/>
      <c r="BP184" s="245"/>
      <c r="BQ184" s="245"/>
      <c r="BR184" s="245"/>
      <c r="BS184" s="245"/>
      <c r="BT184" s="245"/>
      <c r="BU184" s="245"/>
      <c r="BV184" s="245"/>
      <c r="BW184" s="245"/>
      <c r="BX184" s="245"/>
      <c r="BY184" s="245"/>
      <c r="BZ184" s="245"/>
      <c r="CA184" s="245"/>
      <c r="CB184" s="245"/>
      <c r="CC184" s="245"/>
      <c r="CD184" s="245"/>
      <c r="CE184" s="245"/>
      <c r="CF184" s="245"/>
      <c r="CG184" s="245"/>
      <c r="CH184" s="245"/>
      <c r="CI184" s="245"/>
      <c r="CJ184" s="281"/>
      <c r="CP184" s="245"/>
      <c r="CQ184" s="245"/>
      <c r="DH184" s="245"/>
      <c r="DI184" s="696"/>
      <c r="DJ184" s="37"/>
      <c r="DM184" s="400" t="n">
        <f aca="false">(CS184-CZ184)*10^6</f>
        <v>0</v>
      </c>
      <c r="DN184" s="400" t="n">
        <f aca="false">(CT184-DC184)*10^6</f>
        <v>0</v>
      </c>
      <c r="DO184" s="400" t="n">
        <f aca="false">(CW184-DD184)*10^6</f>
        <v>0</v>
      </c>
    </row>
    <row r="185" customFormat="false" ht="15" hidden="false" customHeight="true" outlineLevel="0" collapsed="false">
      <c r="CP185" s="246"/>
      <c r="CR185" s="908"/>
      <c r="CS185" s="908"/>
      <c r="DI185" s="696"/>
      <c r="DM185" s="400" t="n">
        <f aca="false">(CS185-CZ185)*10^6</f>
        <v>0</v>
      </c>
      <c r="DN185" s="400" t="n">
        <f aca="false">(CT185-DC185)*10^6</f>
        <v>0</v>
      </c>
      <c r="DO185" s="400" t="n">
        <f aca="false">(CW185-DD185)*10^6</f>
        <v>0</v>
      </c>
    </row>
    <row r="186" customFormat="false" ht="12" hidden="false" customHeight="true" outlineLevel="1" collapsed="false">
      <c r="D186" s="638"/>
      <c r="CE186" s="260"/>
      <c r="CF186" s="260"/>
      <c r="CG186" s="260"/>
      <c r="CH186" s="260"/>
      <c r="CI186" s="260"/>
      <c r="CJ186" s="261"/>
      <c r="CK186" s="14"/>
      <c r="CL186" s="14"/>
      <c r="CM186" s="14"/>
      <c r="CN186" s="14"/>
      <c r="CO186" s="14"/>
      <c r="CP186" s="207"/>
      <c r="CQ186" s="14"/>
      <c r="CR186" s="908"/>
      <c r="CS186" s="908"/>
      <c r="CT186" s="14"/>
      <c r="CU186" s="14"/>
      <c r="DE186" s="890"/>
      <c r="DI186" s="696"/>
      <c r="DM186" s="400" t="n">
        <f aca="false">(CS186-CZ186)*10^6</f>
        <v>0</v>
      </c>
      <c r="DN186" s="400" t="n">
        <f aca="false">(CT186-DC186)*10^6</f>
        <v>0</v>
      </c>
      <c r="DO186" s="400" t="n">
        <f aca="false">(CW186-DD186)*10^6</f>
        <v>0</v>
      </c>
    </row>
    <row r="187" customFormat="false" ht="12.75" hidden="false" customHeight="false" outlineLevel="1" collapsed="false">
      <c r="P187" s="287"/>
      <c r="V187" s="287"/>
      <c r="AD187" s="287"/>
      <c r="AL187" s="287"/>
      <c r="AU187" s="287"/>
      <c r="CE187" s="260"/>
      <c r="CF187" s="260"/>
      <c r="CG187" s="260"/>
      <c r="CH187" s="260"/>
      <c r="CI187" s="260"/>
      <c r="CJ187" s="261"/>
      <c r="CK187" s="14"/>
      <c r="CL187" s="14"/>
      <c r="CM187" s="14"/>
      <c r="CN187" s="14"/>
      <c r="CO187" s="14"/>
      <c r="CP187" s="207"/>
      <c r="CQ187" s="14"/>
      <c r="CR187" s="256"/>
      <c r="CS187" s="118"/>
      <c r="CT187" s="14"/>
      <c r="CU187" s="14"/>
      <c r="DE187" s="280"/>
      <c r="DM187" s="400" t="n">
        <f aca="false">(CS187-CZ187)*10^6</f>
        <v>0</v>
      </c>
      <c r="DN187" s="400" t="n">
        <f aca="false">(CT187-DC187)*10^6</f>
        <v>0</v>
      </c>
      <c r="DO187" s="400" t="n">
        <f aca="false">(CW187-DD187)*10^6</f>
        <v>0</v>
      </c>
    </row>
    <row r="188" customFormat="false" ht="12.75" hidden="false" customHeight="false" outlineLevel="1" collapsed="false">
      <c r="B188" s="909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256"/>
      <c r="CF188" s="256"/>
      <c r="CG188" s="256"/>
      <c r="CH188" s="256"/>
      <c r="CI188" s="256"/>
      <c r="CJ188" s="256"/>
      <c r="CK188" s="256"/>
      <c r="CL188" s="256"/>
      <c r="CM188" s="256"/>
      <c r="CN188" s="256"/>
      <c r="CO188" s="256"/>
      <c r="CP188" s="256"/>
      <c r="CQ188" s="118"/>
      <c r="CR188" s="256"/>
      <c r="CS188" s="118"/>
      <c r="CT188" s="14"/>
      <c r="CU188" s="14"/>
      <c r="DM188" s="400" t="n">
        <f aca="false">(CS188-CZ188)*10^6</f>
        <v>0</v>
      </c>
      <c r="DN188" s="400" t="n">
        <f aca="false">(CT188-DC188)*10^6</f>
        <v>0</v>
      </c>
      <c r="DO188" s="400" t="n">
        <f aca="false">(CW188-DD188)*10^6</f>
        <v>0</v>
      </c>
    </row>
    <row r="189" customFormat="false" ht="12.75" hidden="false" customHeight="false" outlineLevel="1" collapsed="false">
      <c r="V189" s="37"/>
      <c r="CE189" s="260"/>
      <c r="CF189" s="260"/>
      <c r="CG189" s="260"/>
      <c r="CH189" s="260"/>
      <c r="CI189" s="260"/>
      <c r="CJ189" s="261"/>
      <c r="CK189" s="14"/>
      <c r="CL189" s="14"/>
      <c r="CM189" s="14"/>
      <c r="CN189" s="14"/>
      <c r="CO189" s="14"/>
      <c r="CP189" s="207"/>
      <c r="CQ189" s="14"/>
      <c r="CR189" s="118"/>
      <c r="CS189" s="14"/>
      <c r="CT189" s="14"/>
      <c r="CU189" s="14"/>
      <c r="DE189" s="890"/>
      <c r="DM189" s="400" t="n">
        <f aca="false">(CS189-CZ189)*10^6</f>
        <v>0</v>
      </c>
      <c r="DN189" s="400" t="n">
        <f aca="false">(CT189-DC189)*10^6</f>
        <v>0</v>
      </c>
      <c r="DO189" s="400" t="n">
        <f aca="false">(CW189-DD189)*10^6</f>
        <v>0</v>
      </c>
    </row>
    <row r="190" customFormat="false" ht="12.75" hidden="false" customHeight="false" outlineLevel="1" collapsed="false">
      <c r="B190" s="909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256"/>
      <c r="CF190" s="256"/>
      <c r="CG190" s="256"/>
      <c r="CH190" s="256"/>
      <c r="CI190" s="256"/>
      <c r="CJ190" s="256"/>
      <c r="CK190" s="256"/>
      <c r="CL190" s="256"/>
      <c r="CM190" s="256"/>
      <c r="CN190" s="256"/>
      <c r="CO190" s="256"/>
      <c r="CP190" s="256"/>
      <c r="CQ190" s="14"/>
      <c r="CR190" s="256"/>
      <c r="CS190" s="118"/>
      <c r="CT190" s="696"/>
      <c r="CU190" s="14"/>
      <c r="DE190" s="280"/>
    </row>
    <row r="191" customFormat="false" ht="12.75" hidden="false" customHeight="false" outlineLevel="1" collapsed="false">
      <c r="CE191" s="260"/>
      <c r="CF191" s="260"/>
      <c r="CG191" s="260"/>
      <c r="CH191" s="260"/>
      <c r="CI191" s="260"/>
      <c r="CJ191" s="261"/>
      <c r="CK191" s="14"/>
      <c r="CL191" s="14"/>
      <c r="CM191" s="14"/>
      <c r="CN191" s="14"/>
      <c r="CO191" s="14"/>
      <c r="CP191" s="207"/>
      <c r="CQ191" s="14"/>
      <c r="CR191" s="118"/>
      <c r="CS191" s="14"/>
      <c r="CT191" s="14"/>
      <c r="CU191" s="14"/>
    </row>
    <row r="192" customFormat="false" ht="12.75" hidden="false" customHeight="false" outlineLevel="1" collapsed="false">
      <c r="CE192" s="260"/>
      <c r="CF192" s="260"/>
      <c r="CG192" s="260"/>
      <c r="CH192" s="260"/>
      <c r="CI192" s="260"/>
      <c r="CJ192" s="261"/>
      <c r="CK192" s="14"/>
      <c r="CL192" s="14"/>
      <c r="CM192" s="14"/>
      <c r="CN192" s="14"/>
      <c r="CO192" s="14"/>
      <c r="CP192" s="207"/>
      <c r="CQ192" s="14"/>
      <c r="CR192" s="14"/>
      <c r="CS192" s="14"/>
      <c r="CT192" s="14"/>
      <c r="CU192" s="14"/>
      <c r="DE192" s="890"/>
    </row>
    <row r="193" customFormat="false" ht="12.75" hidden="false" customHeight="false" outlineLevel="0" collapsed="false">
      <c r="D193" s="910"/>
      <c r="E193" s="910"/>
      <c r="F193" s="910"/>
      <c r="G193" s="910"/>
      <c r="H193" s="910"/>
      <c r="I193" s="910"/>
      <c r="J193" s="910"/>
      <c r="K193" s="910"/>
      <c r="L193" s="910"/>
      <c r="M193" s="910"/>
      <c r="N193" s="910"/>
      <c r="O193" s="910"/>
      <c r="P193" s="910"/>
      <c r="Q193" s="910"/>
      <c r="R193" s="910"/>
      <c r="S193" s="910"/>
      <c r="T193" s="910"/>
      <c r="U193" s="910"/>
      <c r="V193" s="910"/>
      <c r="W193" s="910"/>
      <c r="X193" s="910"/>
      <c r="Y193" s="910"/>
      <c r="Z193" s="910"/>
      <c r="AA193" s="910"/>
      <c r="AC193" s="910"/>
      <c r="AD193" s="910"/>
      <c r="AE193" s="910"/>
      <c r="AF193" s="910"/>
      <c r="AG193" s="910"/>
      <c r="AH193" s="910"/>
      <c r="AI193" s="910"/>
      <c r="AJ193" s="910"/>
      <c r="AK193" s="910"/>
      <c r="AL193" s="910"/>
      <c r="AM193" s="910"/>
      <c r="AN193" s="910"/>
      <c r="AO193" s="910"/>
      <c r="AP193" s="910"/>
      <c r="AQ193" s="910"/>
      <c r="AR193" s="910"/>
      <c r="AS193" s="910"/>
      <c r="AT193" s="910"/>
      <c r="AV193" s="910"/>
      <c r="AW193" s="910"/>
      <c r="AX193" s="910"/>
      <c r="AY193" s="910"/>
      <c r="AZ193" s="910"/>
      <c r="BA193" s="910"/>
      <c r="BB193" s="910"/>
      <c r="BC193" s="910"/>
      <c r="BD193" s="910"/>
      <c r="BE193" s="910"/>
      <c r="BF193" s="910"/>
      <c r="BG193" s="910"/>
      <c r="BH193" s="910"/>
      <c r="BI193" s="910"/>
      <c r="BJ193" s="910"/>
      <c r="BL193" s="910"/>
      <c r="BM193" s="910"/>
      <c r="BN193" s="910"/>
      <c r="BO193" s="910"/>
      <c r="BP193" s="910"/>
      <c r="BQ193" s="910"/>
      <c r="BR193" s="910"/>
      <c r="BS193" s="910"/>
      <c r="BT193" s="910"/>
      <c r="BU193" s="910"/>
      <c r="BV193" s="910"/>
      <c r="BW193" s="910"/>
      <c r="BX193" s="910"/>
      <c r="BY193" s="910"/>
      <c r="BZ193" s="910"/>
      <c r="CA193" s="910"/>
      <c r="CB193" s="910"/>
      <c r="CC193" s="910"/>
      <c r="CD193" s="910"/>
      <c r="CE193" s="911"/>
      <c r="CF193" s="911"/>
      <c r="CG193" s="911"/>
      <c r="CH193" s="911"/>
      <c r="CI193" s="911"/>
      <c r="CJ193" s="911"/>
      <c r="CK193" s="911"/>
      <c r="CL193" s="911"/>
      <c r="CM193" s="911"/>
      <c r="CN193" s="911"/>
      <c r="CO193" s="911"/>
      <c r="CP193" s="911"/>
      <c r="CQ193" s="14"/>
      <c r="CR193" s="912"/>
      <c r="CS193" s="14"/>
      <c r="CT193" s="14"/>
      <c r="CU193" s="14"/>
      <c r="DE193" s="280"/>
    </row>
    <row r="194" customFormat="false" ht="12.75" hidden="false" customHeight="false" outlineLevel="0" collapsed="false">
      <c r="BC194" s="37"/>
      <c r="CE194" s="260"/>
      <c r="CF194" s="260"/>
      <c r="CG194" s="260"/>
      <c r="CH194" s="260"/>
      <c r="CI194" s="260"/>
      <c r="CJ194" s="261"/>
      <c r="CK194" s="14"/>
      <c r="CL194" s="14"/>
      <c r="CM194" s="14"/>
      <c r="CN194" s="14"/>
      <c r="CO194" s="14"/>
      <c r="CP194" s="207"/>
      <c r="CQ194" s="14"/>
      <c r="CR194" s="256"/>
      <c r="CS194" s="118"/>
      <c r="CT194" s="14"/>
      <c r="CU194" s="14"/>
    </row>
    <row r="195" customFormat="false" ht="12.75" hidden="false" customHeight="false" outlineLevel="0" collapsed="false">
      <c r="CE195" s="260"/>
      <c r="CF195" s="260"/>
      <c r="CG195" s="260"/>
      <c r="CH195" s="260"/>
      <c r="CI195" s="260"/>
      <c r="CJ195" s="261"/>
      <c r="CK195" s="14"/>
      <c r="CL195" s="14"/>
      <c r="CM195" s="14"/>
      <c r="CN195" s="14"/>
      <c r="CO195" s="14"/>
      <c r="CP195" s="207"/>
      <c r="CQ195" s="14"/>
      <c r="CR195" s="913"/>
      <c r="CS195" s="14"/>
      <c r="CT195" s="14"/>
      <c r="CU195" s="14"/>
    </row>
    <row r="196" customFormat="false" ht="15" hidden="false" customHeight="false" outlineLevel="0" collapsed="false"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C196" s="37"/>
      <c r="AD196" s="37"/>
      <c r="AE196" s="37"/>
      <c r="AF196" s="37"/>
      <c r="AG196" s="37"/>
      <c r="AH196" s="37"/>
      <c r="AI196" s="914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256"/>
      <c r="CF196" s="256"/>
      <c r="CG196" s="256"/>
      <c r="CH196" s="256"/>
      <c r="CI196" s="256"/>
      <c r="CJ196" s="256"/>
      <c r="CK196" s="256"/>
      <c r="CL196" s="256"/>
      <c r="CM196" s="256"/>
      <c r="CN196" s="256"/>
      <c r="CO196" s="256"/>
      <c r="CP196" s="256"/>
      <c r="CQ196" s="256"/>
      <c r="CR196" s="915"/>
      <c r="CS196" s="14"/>
      <c r="CT196" s="696"/>
      <c r="CU196" s="118"/>
    </row>
    <row r="197" customFormat="false" ht="12.75" hidden="false" customHeight="false" outlineLevel="0" collapsed="false">
      <c r="AI197" s="37"/>
      <c r="CE197" s="260"/>
      <c r="CF197" s="260"/>
      <c r="CG197" s="260"/>
      <c r="CH197" s="260"/>
      <c r="CI197" s="260"/>
      <c r="CJ197" s="261"/>
      <c r="CK197" s="14"/>
      <c r="CL197" s="14"/>
      <c r="CM197" s="14"/>
      <c r="CN197" s="14"/>
      <c r="CO197" s="14"/>
      <c r="CP197" s="207"/>
      <c r="CQ197" s="14"/>
      <c r="CR197" s="915"/>
      <c r="CS197" s="14"/>
      <c r="CT197" s="14"/>
      <c r="CU197" s="14"/>
    </row>
    <row r="198" customFormat="false" ht="12.75" hidden="false" customHeight="false" outlineLevel="0" collapsed="false">
      <c r="CE198" s="260"/>
      <c r="CF198" s="260"/>
      <c r="CG198" s="260"/>
      <c r="CH198" s="260"/>
      <c r="CI198" s="260"/>
      <c r="CJ198" s="261"/>
      <c r="CK198" s="14"/>
      <c r="CL198" s="14"/>
      <c r="CM198" s="14"/>
      <c r="CN198" s="696"/>
      <c r="CO198" s="14"/>
      <c r="CP198" s="207"/>
      <c r="CQ198" s="14"/>
      <c r="CR198" s="916"/>
      <c r="CS198" s="14"/>
      <c r="CT198" s="14"/>
      <c r="CU198" s="14"/>
    </row>
    <row r="199" customFormat="false" ht="12.75" hidden="false" customHeight="false" outlineLevel="0" collapsed="false">
      <c r="CE199" s="260"/>
      <c r="CF199" s="260"/>
      <c r="CG199" s="260"/>
      <c r="CH199" s="260"/>
      <c r="CI199" s="260"/>
      <c r="CJ199" s="261"/>
      <c r="CK199" s="14"/>
      <c r="CL199" s="14"/>
      <c r="CM199" s="14"/>
      <c r="CN199" s="14"/>
      <c r="CO199" s="14"/>
      <c r="CP199" s="207"/>
      <c r="CQ199" s="14"/>
      <c r="CR199" s="14"/>
      <c r="CS199" s="14"/>
      <c r="CT199" s="14"/>
      <c r="CU199" s="14"/>
    </row>
    <row r="200" customFormat="false" ht="12.75" hidden="false" customHeight="false" outlineLevel="0" collapsed="false">
      <c r="CE200" s="260"/>
      <c r="CF200" s="260"/>
      <c r="CG200" s="260"/>
      <c r="CH200" s="260"/>
      <c r="CI200" s="260"/>
      <c r="CJ200" s="261"/>
      <c r="CK200" s="14"/>
      <c r="CL200" s="14"/>
      <c r="CM200" s="14"/>
      <c r="CN200" s="14"/>
      <c r="CO200" s="14"/>
      <c r="CP200" s="207"/>
      <c r="CQ200" s="14"/>
      <c r="CR200" s="14"/>
      <c r="CS200" s="14"/>
      <c r="CT200" s="14"/>
      <c r="CU200" s="14"/>
    </row>
    <row r="201" customFormat="false" ht="12.75" hidden="false" customHeight="false" outlineLevel="0" collapsed="false">
      <c r="CE201" s="260"/>
      <c r="CF201" s="260"/>
      <c r="CG201" s="260"/>
      <c r="CH201" s="260"/>
      <c r="CI201" s="260"/>
      <c r="CJ201" s="261"/>
      <c r="CK201" s="14"/>
      <c r="CL201" s="14"/>
      <c r="CM201" s="14"/>
      <c r="CN201" s="14"/>
      <c r="CO201" s="14"/>
      <c r="CP201" s="207"/>
      <c r="CQ201" s="14"/>
      <c r="CR201" s="14"/>
      <c r="CS201" s="14"/>
      <c r="CT201" s="14"/>
      <c r="CU201" s="14"/>
    </row>
    <row r="202" customFormat="false" ht="12.75" hidden="false" customHeight="false" outlineLevel="0" collapsed="false">
      <c r="CE202" s="260"/>
      <c r="CF202" s="260"/>
      <c r="CG202" s="260"/>
      <c r="CH202" s="260"/>
      <c r="CI202" s="260"/>
      <c r="CJ202" s="261"/>
      <c r="CK202" s="14"/>
      <c r="CL202" s="14"/>
      <c r="CM202" s="14"/>
      <c r="CN202" s="14"/>
      <c r="CO202" s="14"/>
      <c r="CP202" s="207"/>
      <c r="CQ202" s="14"/>
      <c r="CR202" s="14"/>
      <c r="CS202" s="14"/>
      <c r="CT202" s="14"/>
      <c r="CU202" s="14"/>
    </row>
    <row r="203" customFormat="false" ht="12.75" hidden="false" customHeight="false" outlineLevel="0" collapsed="false">
      <c r="CE203" s="260"/>
      <c r="CF203" s="260"/>
      <c r="CG203" s="260"/>
      <c r="CH203" s="260"/>
      <c r="CI203" s="260"/>
      <c r="CJ203" s="261"/>
      <c r="CK203" s="14"/>
      <c r="CL203" s="14"/>
      <c r="CM203" s="14"/>
      <c r="CN203" s="14"/>
      <c r="CO203" s="14"/>
      <c r="CP203" s="207"/>
      <c r="CQ203" s="14"/>
      <c r="CR203" s="14"/>
      <c r="CS203" s="14"/>
      <c r="CT203" s="14"/>
      <c r="CU203" s="14"/>
    </row>
    <row r="204" customFormat="false" ht="12.75" hidden="false" customHeight="false" outlineLevel="0" collapsed="false">
      <c r="CP204" s="246"/>
    </row>
    <row r="205" s="285" customFormat="true" ht="12.75" hidden="false" customHeight="false" outlineLevel="0" collapsed="false">
      <c r="H205" s="300"/>
      <c r="J205" s="300"/>
      <c r="N205" s="39"/>
      <c r="T205" s="30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37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37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287"/>
      <c r="CO205" s="40"/>
      <c r="CP205" s="39"/>
      <c r="CQ205" s="40"/>
      <c r="CR205" s="42"/>
      <c r="CS205" s="42"/>
      <c r="CT205" s="42"/>
      <c r="CU205" s="42"/>
      <c r="CV205" s="42"/>
      <c r="CW205" s="42"/>
      <c r="CZ205" s="42"/>
      <c r="DA205" s="42"/>
      <c r="DB205" s="42"/>
      <c r="DC205" s="42"/>
      <c r="DD205" s="42"/>
      <c r="DE205" s="40"/>
      <c r="DF205" s="40"/>
      <c r="DG205" s="40"/>
      <c r="DH205" s="40"/>
      <c r="DI205" s="14"/>
      <c r="DJ205" s="37"/>
    </row>
    <row r="206" s="285" customFormat="true" ht="12.75" hidden="false" customHeight="false" outlineLevel="0" collapsed="false">
      <c r="H206" s="300"/>
      <c r="J206" s="300"/>
      <c r="N206" s="39"/>
      <c r="T206" s="30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37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37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287"/>
      <c r="CO206" s="40"/>
      <c r="CP206" s="39"/>
      <c r="CQ206" s="40"/>
      <c r="CR206" s="42"/>
      <c r="CS206" s="42"/>
      <c r="CT206" s="42"/>
      <c r="CU206" s="42"/>
      <c r="CV206" s="42"/>
      <c r="CW206" s="42"/>
      <c r="CZ206" s="42"/>
      <c r="DA206" s="42"/>
      <c r="DB206" s="42"/>
      <c r="DC206" s="42"/>
      <c r="DD206" s="42"/>
      <c r="DE206" s="40"/>
      <c r="DF206" s="40"/>
      <c r="DG206" s="40"/>
      <c r="DH206" s="40"/>
      <c r="DI206" s="14"/>
      <c r="DJ206" s="37"/>
    </row>
    <row r="207" s="285" customFormat="true" ht="12.75" hidden="false" customHeight="false" outlineLevel="0" collapsed="false">
      <c r="H207" s="300"/>
      <c r="J207" s="300"/>
      <c r="N207" s="39"/>
      <c r="T207" s="30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37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37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287"/>
      <c r="CO207" s="40"/>
      <c r="CP207" s="39"/>
      <c r="CQ207" s="40"/>
      <c r="CR207" s="42"/>
      <c r="CS207" s="42"/>
      <c r="CT207" s="42"/>
      <c r="CU207" s="42"/>
      <c r="CV207" s="42"/>
      <c r="CW207" s="42"/>
      <c r="CZ207" s="42"/>
      <c r="DA207" s="42"/>
      <c r="DB207" s="42"/>
      <c r="DC207" s="42"/>
      <c r="DD207" s="42"/>
      <c r="DE207" s="40"/>
      <c r="DF207" s="40"/>
      <c r="DG207" s="40"/>
      <c r="DH207" s="40"/>
      <c r="DI207" s="14"/>
      <c r="DJ207" s="37"/>
    </row>
    <row r="208" s="285" customFormat="true" ht="12.75" hidden="false" customHeight="false" outlineLevel="0" collapsed="false">
      <c r="H208" s="300"/>
      <c r="J208" s="300"/>
      <c r="N208" s="39"/>
      <c r="T208" s="30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37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37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287"/>
      <c r="CO208" s="40"/>
      <c r="CP208" s="39"/>
      <c r="CQ208" s="40"/>
      <c r="CR208" s="42"/>
      <c r="CS208" s="42"/>
      <c r="CT208" s="42"/>
      <c r="CU208" s="42"/>
      <c r="CV208" s="42"/>
      <c r="CW208" s="42"/>
      <c r="CZ208" s="42"/>
      <c r="DA208" s="42"/>
      <c r="DB208" s="42"/>
      <c r="DC208" s="42"/>
      <c r="DD208" s="42"/>
      <c r="DE208" s="40"/>
      <c r="DF208" s="40"/>
      <c r="DG208" s="40"/>
      <c r="DH208" s="40"/>
      <c r="DI208" s="14"/>
      <c r="DJ208" s="37"/>
    </row>
    <row r="209" s="285" customFormat="true" ht="12.75" hidden="false" customHeight="false" outlineLevel="0" collapsed="false">
      <c r="H209" s="300"/>
      <c r="J209" s="300"/>
      <c r="N209" s="39"/>
      <c r="T209" s="30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37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37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287"/>
      <c r="CO209" s="40"/>
      <c r="CP209" s="39"/>
      <c r="CQ209" s="40"/>
      <c r="CR209" s="42"/>
      <c r="CS209" s="42"/>
      <c r="CT209" s="42"/>
      <c r="CU209" s="42"/>
      <c r="CV209" s="42"/>
      <c r="CW209" s="42"/>
      <c r="CZ209" s="42"/>
      <c r="DA209" s="42"/>
      <c r="DB209" s="42"/>
      <c r="DC209" s="42"/>
      <c r="DD209" s="42"/>
      <c r="DE209" s="40"/>
      <c r="DF209" s="40"/>
      <c r="DG209" s="40"/>
      <c r="DH209" s="40"/>
      <c r="DI209" s="14"/>
      <c r="DJ209" s="37"/>
    </row>
    <row r="210" s="285" customFormat="true" ht="12.75" hidden="false" customHeight="false" outlineLevel="0" collapsed="false">
      <c r="H210" s="300"/>
      <c r="J210" s="300"/>
      <c r="N210" s="39"/>
      <c r="T210" s="30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37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37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287"/>
      <c r="CO210" s="40"/>
      <c r="CP210" s="39"/>
      <c r="CQ210" s="40"/>
      <c r="CR210" s="42"/>
      <c r="CS210" s="42"/>
      <c r="CT210" s="42"/>
      <c r="CU210" s="42"/>
      <c r="CV210" s="42"/>
      <c r="CW210" s="42"/>
      <c r="CZ210" s="42"/>
      <c r="DA210" s="42"/>
      <c r="DB210" s="42"/>
      <c r="DC210" s="42"/>
      <c r="DD210" s="42"/>
      <c r="DE210" s="40"/>
      <c r="DF210" s="40"/>
      <c r="DG210" s="40"/>
      <c r="DH210" s="40"/>
      <c r="DI210" s="14"/>
      <c r="DJ210" s="37"/>
    </row>
    <row r="211" s="285" customFormat="true" ht="12.75" hidden="false" customHeight="false" outlineLevel="0" collapsed="false">
      <c r="H211" s="300"/>
      <c r="J211" s="300"/>
      <c r="N211" s="39"/>
      <c r="T211" s="30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37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37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287"/>
      <c r="CO211" s="40"/>
      <c r="CP211" s="39"/>
      <c r="CQ211" s="40"/>
      <c r="CR211" s="42"/>
      <c r="CS211" s="42"/>
      <c r="CT211" s="42"/>
      <c r="CU211" s="42"/>
      <c r="CV211" s="42"/>
      <c r="CW211" s="42"/>
      <c r="CZ211" s="42"/>
      <c r="DA211" s="42"/>
      <c r="DB211" s="42"/>
      <c r="DC211" s="42"/>
      <c r="DD211" s="42"/>
      <c r="DE211" s="40"/>
      <c r="DF211" s="40"/>
      <c r="DG211" s="40"/>
      <c r="DH211" s="40"/>
      <c r="DI211" s="14"/>
      <c r="DJ211" s="37"/>
    </row>
    <row r="212" s="285" customFormat="true" ht="12.75" hidden="false" customHeight="false" outlineLevel="0" collapsed="false">
      <c r="H212" s="300"/>
      <c r="J212" s="300"/>
      <c r="N212" s="39"/>
      <c r="T212" s="30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37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37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287"/>
      <c r="CO212" s="40"/>
      <c r="CP212" s="39"/>
      <c r="CQ212" s="40"/>
      <c r="CR212" s="42"/>
      <c r="CS212" s="42"/>
      <c r="CT212" s="42"/>
      <c r="CU212" s="42"/>
      <c r="CV212" s="42"/>
      <c r="CW212" s="42"/>
      <c r="CZ212" s="42"/>
      <c r="DA212" s="42"/>
      <c r="DB212" s="42"/>
      <c r="DC212" s="42"/>
      <c r="DD212" s="42"/>
      <c r="DE212" s="40"/>
      <c r="DF212" s="40"/>
      <c r="DG212" s="40"/>
      <c r="DH212" s="40"/>
      <c r="DI212" s="14"/>
      <c r="DJ212" s="37"/>
    </row>
    <row r="213" s="285" customFormat="true" ht="12.75" hidden="false" customHeight="false" outlineLevel="0" collapsed="false">
      <c r="H213" s="300"/>
      <c r="J213" s="300"/>
      <c r="N213" s="39"/>
      <c r="T213" s="30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37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37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287"/>
      <c r="CO213" s="40"/>
      <c r="CP213" s="39"/>
      <c r="CQ213" s="40"/>
      <c r="CR213" s="42"/>
      <c r="CS213" s="42"/>
      <c r="CT213" s="42"/>
      <c r="CU213" s="42"/>
      <c r="CV213" s="42"/>
      <c r="CW213" s="42"/>
      <c r="CZ213" s="42"/>
      <c r="DA213" s="42"/>
      <c r="DB213" s="42"/>
      <c r="DC213" s="42"/>
      <c r="DD213" s="42"/>
      <c r="DE213" s="40"/>
      <c r="DF213" s="40"/>
      <c r="DG213" s="40"/>
      <c r="DH213" s="40"/>
      <c r="DI213" s="14"/>
      <c r="DJ213" s="37"/>
    </row>
    <row r="214" s="285" customFormat="true" ht="12.75" hidden="false" customHeight="false" outlineLevel="0" collapsed="false">
      <c r="H214" s="300"/>
      <c r="J214" s="300"/>
      <c r="N214" s="39"/>
      <c r="T214" s="30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37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37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287"/>
      <c r="CO214" s="40"/>
      <c r="CP214" s="39"/>
      <c r="CQ214" s="40"/>
      <c r="CR214" s="42"/>
      <c r="CS214" s="42"/>
      <c r="CT214" s="42"/>
      <c r="CU214" s="42"/>
      <c r="CV214" s="42"/>
      <c r="CW214" s="42"/>
      <c r="CZ214" s="42"/>
      <c r="DA214" s="42"/>
      <c r="DB214" s="42"/>
      <c r="DC214" s="42"/>
      <c r="DD214" s="42"/>
      <c r="DE214" s="40"/>
      <c r="DF214" s="40"/>
      <c r="DG214" s="40"/>
      <c r="DH214" s="40"/>
      <c r="DI214" s="14"/>
      <c r="DJ214" s="37"/>
    </row>
    <row r="215" s="285" customFormat="true" ht="12.75" hidden="false" customHeight="false" outlineLevel="0" collapsed="false">
      <c r="H215" s="300"/>
      <c r="J215" s="300"/>
      <c r="N215" s="39"/>
      <c r="T215" s="30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37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37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287"/>
      <c r="CO215" s="40"/>
      <c r="CP215" s="39"/>
      <c r="CQ215" s="40"/>
      <c r="CR215" s="42"/>
      <c r="CS215" s="42"/>
      <c r="CT215" s="42"/>
      <c r="CU215" s="42"/>
      <c r="CV215" s="42"/>
      <c r="CW215" s="42"/>
      <c r="CZ215" s="42"/>
      <c r="DA215" s="42"/>
      <c r="DB215" s="42"/>
      <c r="DC215" s="42"/>
      <c r="DD215" s="42"/>
      <c r="DE215" s="40"/>
      <c r="DF215" s="40"/>
      <c r="DG215" s="40"/>
      <c r="DH215" s="40"/>
      <c r="DI215" s="14"/>
      <c r="DJ215" s="37"/>
    </row>
    <row r="216" s="285" customFormat="true" ht="12.75" hidden="false" customHeight="false" outlineLevel="0" collapsed="false">
      <c r="H216" s="300"/>
      <c r="J216" s="300"/>
      <c r="N216" s="39"/>
      <c r="T216" s="30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37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37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287"/>
      <c r="CO216" s="40"/>
      <c r="CP216" s="39"/>
      <c r="CQ216" s="40"/>
      <c r="CR216" s="42"/>
      <c r="CS216" s="42"/>
      <c r="CT216" s="42"/>
      <c r="CU216" s="42"/>
      <c r="CV216" s="42"/>
      <c r="CW216" s="42"/>
      <c r="CZ216" s="42"/>
      <c r="DA216" s="42"/>
      <c r="DB216" s="42"/>
      <c r="DC216" s="42"/>
      <c r="DD216" s="42"/>
      <c r="DE216" s="40"/>
      <c r="DF216" s="40"/>
      <c r="DG216" s="40"/>
      <c r="DH216" s="40"/>
      <c r="DI216" s="14"/>
      <c r="DJ216" s="37"/>
    </row>
    <row r="217" s="285" customFormat="true" ht="12.75" hidden="false" customHeight="false" outlineLevel="0" collapsed="false">
      <c r="H217" s="300"/>
      <c r="J217" s="300"/>
      <c r="N217" s="39"/>
      <c r="T217" s="30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37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37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287"/>
      <c r="CO217" s="40"/>
      <c r="CP217" s="39"/>
      <c r="CQ217" s="40"/>
      <c r="CR217" s="42"/>
      <c r="CS217" s="42"/>
      <c r="CT217" s="42"/>
      <c r="CU217" s="42"/>
      <c r="CV217" s="42"/>
      <c r="CW217" s="42"/>
      <c r="CZ217" s="42"/>
      <c r="DA217" s="42"/>
      <c r="DB217" s="42"/>
      <c r="DC217" s="42"/>
      <c r="DD217" s="42"/>
      <c r="DE217" s="40"/>
      <c r="DF217" s="40"/>
      <c r="DG217" s="40"/>
      <c r="DH217" s="40"/>
      <c r="DI217" s="14"/>
      <c r="DJ217" s="37"/>
    </row>
    <row r="218" s="285" customFormat="true" ht="12.75" hidden="false" customHeight="false" outlineLevel="0" collapsed="false">
      <c r="H218" s="300"/>
      <c r="J218" s="300"/>
      <c r="N218" s="39"/>
      <c r="T218" s="30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37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37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287"/>
      <c r="CO218" s="40"/>
      <c r="CP218" s="39"/>
      <c r="CQ218" s="40"/>
      <c r="CR218" s="42"/>
      <c r="CS218" s="42"/>
      <c r="CT218" s="42"/>
      <c r="CU218" s="42"/>
      <c r="CV218" s="42"/>
      <c r="CW218" s="42"/>
      <c r="CZ218" s="42"/>
      <c r="DA218" s="42"/>
      <c r="DB218" s="42"/>
      <c r="DC218" s="42"/>
      <c r="DD218" s="42"/>
      <c r="DE218" s="40"/>
      <c r="DF218" s="40"/>
      <c r="DG218" s="40"/>
      <c r="DH218" s="40"/>
      <c r="DI218" s="14"/>
      <c r="DJ218" s="37"/>
    </row>
    <row r="219" s="285" customFormat="true" ht="12.75" hidden="false" customHeight="false" outlineLevel="0" collapsed="false">
      <c r="H219" s="300"/>
      <c r="J219" s="300"/>
      <c r="N219" s="39"/>
      <c r="T219" s="30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37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37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287"/>
      <c r="CO219" s="40"/>
      <c r="CP219" s="39"/>
      <c r="CQ219" s="40"/>
      <c r="CR219" s="42"/>
      <c r="CS219" s="42"/>
      <c r="CT219" s="42"/>
      <c r="CU219" s="42"/>
      <c r="CV219" s="42"/>
      <c r="CW219" s="42"/>
      <c r="CZ219" s="42"/>
      <c r="DA219" s="42"/>
      <c r="DB219" s="42"/>
      <c r="DC219" s="42"/>
      <c r="DD219" s="42"/>
      <c r="DE219" s="40"/>
      <c r="DF219" s="40"/>
      <c r="DG219" s="40"/>
      <c r="DH219" s="40"/>
      <c r="DI219" s="14"/>
      <c r="DJ219" s="37"/>
    </row>
    <row r="220" s="285" customFormat="true" ht="12.75" hidden="false" customHeight="false" outlineLevel="0" collapsed="false">
      <c r="H220" s="300"/>
      <c r="J220" s="300"/>
      <c r="N220" s="39"/>
      <c r="T220" s="30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37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37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287"/>
      <c r="CO220" s="40"/>
      <c r="CP220" s="39"/>
      <c r="CQ220" s="40"/>
      <c r="CR220" s="42"/>
      <c r="CS220" s="42"/>
      <c r="CT220" s="42"/>
      <c r="CU220" s="42"/>
      <c r="CV220" s="42"/>
      <c r="CW220" s="42"/>
      <c r="CZ220" s="42"/>
      <c r="DA220" s="42"/>
      <c r="DB220" s="42"/>
      <c r="DC220" s="42"/>
      <c r="DD220" s="42"/>
      <c r="DE220" s="40"/>
      <c r="DF220" s="40"/>
      <c r="DG220" s="40"/>
      <c r="DH220" s="40"/>
      <c r="DI220" s="14"/>
      <c r="DJ220" s="37"/>
    </row>
    <row r="221" s="285" customFormat="true" ht="12.75" hidden="false" customHeight="false" outlineLevel="0" collapsed="false">
      <c r="H221" s="300"/>
      <c r="J221" s="300"/>
      <c r="N221" s="39"/>
      <c r="T221" s="30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37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37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287"/>
      <c r="CO221" s="40"/>
      <c r="CP221" s="39"/>
      <c r="CQ221" s="40"/>
      <c r="CR221" s="42"/>
      <c r="CS221" s="42"/>
      <c r="CT221" s="42"/>
      <c r="CU221" s="42"/>
      <c r="CV221" s="42"/>
      <c r="CW221" s="42"/>
      <c r="CZ221" s="42"/>
      <c r="DA221" s="42"/>
      <c r="DB221" s="42"/>
      <c r="DC221" s="42"/>
      <c r="DD221" s="42"/>
      <c r="DE221" s="40"/>
      <c r="DF221" s="40"/>
      <c r="DG221" s="40"/>
      <c r="DH221" s="40"/>
      <c r="DI221" s="14"/>
      <c r="DJ221" s="37"/>
    </row>
    <row r="222" s="285" customFormat="true" ht="12.75" hidden="false" customHeight="false" outlineLevel="0" collapsed="false">
      <c r="H222" s="300"/>
      <c r="J222" s="300"/>
      <c r="N222" s="39"/>
      <c r="T222" s="30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37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37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287"/>
      <c r="CO222" s="40"/>
      <c r="CP222" s="39"/>
      <c r="CQ222" s="40"/>
      <c r="CR222" s="42"/>
      <c r="CS222" s="42"/>
      <c r="CT222" s="42"/>
      <c r="CU222" s="42"/>
      <c r="CV222" s="42"/>
      <c r="CW222" s="42"/>
      <c r="CZ222" s="42"/>
      <c r="DA222" s="42"/>
      <c r="DB222" s="42"/>
      <c r="DC222" s="42"/>
      <c r="DD222" s="42"/>
      <c r="DE222" s="40"/>
      <c r="DF222" s="40"/>
      <c r="DG222" s="40"/>
      <c r="DH222" s="40"/>
      <c r="DI222" s="14"/>
      <c r="DJ222" s="37"/>
    </row>
    <row r="223" s="285" customFormat="true" ht="12.75" hidden="false" customHeight="false" outlineLevel="0" collapsed="false">
      <c r="H223" s="300"/>
      <c r="J223" s="300"/>
      <c r="N223" s="39"/>
      <c r="T223" s="30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37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37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287"/>
      <c r="CO223" s="40"/>
      <c r="CP223" s="39"/>
      <c r="CQ223" s="40"/>
      <c r="CR223" s="42"/>
      <c r="CS223" s="42"/>
      <c r="CT223" s="42"/>
      <c r="CU223" s="42"/>
      <c r="CV223" s="42"/>
      <c r="CW223" s="42"/>
      <c r="CZ223" s="42"/>
      <c r="DA223" s="42"/>
      <c r="DB223" s="42"/>
      <c r="DC223" s="42"/>
      <c r="DD223" s="42"/>
      <c r="DE223" s="40"/>
      <c r="DF223" s="40"/>
      <c r="DG223" s="40"/>
      <c r="DH223" s="40"/>
      <c r="DI223" s="14"/>
      <c r="DJ223" s="37"/>
    </row>
    <row r="224" s="285" customFormat="true" ht="12.75" hidden="false" customHeight="false" outlineLevel="0" collapsed="false">
      <c r="H224" s="300"/>
      <c r="J224" s="300"/>
      <c r="N224" s="39"/>
      <c r="T224" s="30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37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37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287"/>
      <c r="CO224" s="40"/>
      <c r="CP224" s="39"/>
      <c r="CQ224" s="40"/>
      <c r="CR224" s="42"/>
      <c r="CS224" s="42"/>
      <c r="CT224" s="42"/>
      <c r="CU224" s="42"/>
      <c r="CV224" s="42"/>
      <c r="CW224" s="42"/>
      <c r="CZ224" s="42"/>
      <c r="DA224" s="42"/>
      <c r="DB224" s="42"/>
      <c r="DC224" s="42"/>
      <c r="DD224" s="42"/>
      <c r="DE224" s="40"/>
      <c r="DF224" s="40"/>
      <c r="DG224" s="40"/>
      <c r="DH224" s="40"/>
      <c r="DI224" s="14"/>
      <c r="DJ224" s="37"/>
    </row>
    <row r="225" s="285" customFormat="true" ht="12.75" hidden="false" customHeight="false" outlineLevel="0" collapsed="false">
      <c r="H225" s="300"/>
      <c r="J225" s="300"/>
      <c r="N225" s="39"/>
      <c r="T225" s="30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37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37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287"/>
      <c r="CO225" s="40"/>
      <c r="CP225" s="39"/>
      <c r="CQ225" s="40"/>
      <c r="CR225" s="42"/>
      <c r="CS225" s="42"/>
      <c r="CT225" s="42"/>
      <c r="CU225" s="42"/>
      <c r="CV225" s="42"/>
      <c r="CW225" s="42"/>
      <c r="CZ225" s="42"/>
      <c r="DA225" s="42"/>
      <c r="DB225" s="42"/>
      <c r="DC225" s="42"/>
      <c r="DD225" s="42"/>
      <c r="DE225" s="40"/>
      <c r="DF225" s="40"/>
      <c r="DG225" s="40"/>
      <c r="DH225" s="40"/>
      <c r="DI225" s="14"/>
      <c r="DJ225" s="37"/>
    </row>
    <row r="226" s="285" customFormat="true" ht="12.75" hidden="false" customHeight="false" outlineLevel="0" collapsed="false">
      <c r="H226" s="300"/>
      <c r="J226" s="300"/>
      <c r="N226" s="39"/>
      <c r="T226" s="30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37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37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287"/>
      <c r="CO226" s="40"/>
      <c r="CP226" s="39"/>
      <c r="CQ226" s="40"/>
      <c r="CR226" s="42"/>
      <c r="CS226" s="42"/>
      <c r="CT226" s="42"/>
      <c r="CU226" s="42"/>
      <c r="CV226" s="42"/>
      <c r="CW226" s="42"/>
      <c r="CZ226" s="42"/>
      <c r="DA226" s="42"/>
      <c r="DB226" s="42"/>
      <c r="DC226" s="42"/>
      <c r="DD226" s="42"/>
      <c r="DE226" s="40"/>
      <c r="DF226" s="40"/>
      <c r="DG226" s="40"/>
      <c r="DH226" s="40"/>
      <c r="DI226" s="14"/>
      <c r="DJ226" s="37"/>
    </row>
    <row r="227" s="285" customFormat="true" ht="12.75" hidden="false" customHeight="false" outlineLevel="0" collapsed="false">
      <c r="H227" s="300"/>
      <c r="J227" s="300"/>
      <c r="N227" s="39"/>
      <c r="T227" s="30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37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37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287"/>
      <c r="CO227" s="40"/>
      <c r="CP227" s="39"/>
      <c r="CQ227" s="40"/>
      <c r="CR227" s="42"/>
      <c r="CS227" s="42"/>
      <c r="CT227" s="42"/>
      <c r="CU227" s="42"/>
      <c r="CV227" s="42"/>
      <c r="CW227" s="42"/>
      <c r="CZ227" s="42"/>
      <c r="DA227" s="42"/>
      <c r="DB227" s="42"/>
      <c r="DC227" s="42"/>
      <c r="DD227" s="42"/>
      <c r="DE227" s="40"/>
      <c r="DF227" s="40"/>
      <c r="DG227" s="40"/>
      <c r="DH227" s="40"/>
      <c r="DI227" s="14"/>
      <c r="DJ227" s="37"/>
    </row>
    <row r="228" s="285" customFormat="true" ht="12.75" hidden="false" customHeight="false" outlineLevel="0" collapsed="false">
      <c r="H228" s="300"/>
      <c r="J228" s="300"/>
      <c r="N228" s="39"/>
      <c r="T228" s="30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37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37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287"/>
      <c r="CO228" s="40"/>
      <c r="CP228" s="39"/>
      <c r="CQ228" s="40"/>
      <c r="CR228" s="42"/>
      <c r="CS228" s="42"/>
      <c r="CT228" s="42"/>
      <c r="CU228" s="42"/>
      <c r="CV228" s="42"/>
      <c r="CW228" s="42"/>
      <c r="CZ228" s="42"/>
      <c r="DA228" s="42"/>
      <c r="DB228" s="42"/>
      <c r="DC228" s="42"/>
      <c r="DD228" s="42"/>
      <c r="DE228" s="40"/>
      <c r="DF228" s="40"/>
      <c r="DG228" s="40"/>
      <c r="DH228" s="40"/>
      <c r="DI228" s="14"/>
      <c r="DJ228" s="37"/>
    </row>
    <row r="229" s="285" customFormat="true" ht="12.75" hidden="false" customHeight="false" outlineLevel="0" collapsed="false">
      <c r="H229" s="300"/>
      <c r="J229" s="300"/>
      <c r="N229" s="39"/>
      <c r="T229" s="30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37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37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287"/>
      <c r="CO229" s="40"/>
      <c r="CP229" s="39"/>
      <c r="CQ229" s="40"/>
      <c r="CR229" s="42"/>
      <c r="CS229" s="42"/>
      <c r="CT229" s="42"/>
      <c r="CU229" s="42"/>
      <c r="CV229" s="42"/>
      <c r="CW229" s="42"/>
      <c r="CZ229" s="42"/>
      <c r="DA229" s="42"/>
      <c r="DB229" s="42"/>
      <c r="DC229" s="42"/>
      <c r="DD229" s="42"/>
      <c r="DE229" s="40"/>
      <c r="DF229" s="40"/>
      <c r="DG229" s="40"/>
      <c r="DH229" s="40"/>
      <c r="DI229" s="14"/>
      <c r="DJ229" s="37"/>
    </row>
    <row r="230" s="285" customFormat="true" ht="12.75" hidden="false" customHeight="false" outlineLevel="0" collapsed="false">
      <c r="H230" s="300"/>
      <c r="J230" s="300"/>
      <c r="N230" s="39"/>
      <c r="T230" s="30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37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37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287"/>
      <c r="CO230" s="40"/>
      <c r="CP230" s="39"/>
      <c r="CQ230" s="40"/>
      <c r="CR230" s="42"/>
      <c r="CS230" s="42"/>
      <c r="CT230" s="42"/>
      <c r="CU230" s="42"/>
      <c r="CV230" s="42"/>
      <c r="CW230" s="42"/>
      <c r="CZ230" s="42"/>
      <c r="DA230" s="42"/>
      <c r="DB230" s="42"/>
      <c r="DC230" s="42"/>
      <c r="DD230" s="42"/>
      <c r="DE230" s="40"/>
      <c r="DF230" s="40"/>
      <c r="DG230" s="40"/>
      <c r="DH230" s="40"/>
      <c r="DI230" s="14"/>
      <c r="DJ230" s="37"/>
    </row>
    <row r="231" s="285" customFormat="true" ht="12.75" hidden="false" customHeight="false" outlineLevel="0" collapsed="false">
      <c r="H231" s="300"/>
      <c r="J231" s="300"/>
      <c r="N231" s="39"/>
      <c r="T231" s="30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37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37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287"/>
      <c r="CO231" s="40"/>
      <c r="CP231" s="39"/>
      <c r="CQ231" s="40"/>
      <c r="CR231" s="42"/>
      <c r="CS231" s="42"/>
      <c r="CT231" s="42"/>
      <c r="CU231" s="42"/>
      <c r="CV231" s="42"/>
      <c r="CW231" s="42"/>
      <c r="CZ231" s="42"/>
      <c r="DA231" s="42"/>
      <c r="DB231" s="42"/>
      <c r="DC231" s="42"/>
      <c r="DD231" s="42"/>
      <c r="DE231" s="40"/>
      <c r="DF231" s="40"/>
      <c r="DG231" s="40"/>
      <c r="DH231" s="40"/>
      <c r="DI231" s="14"/>
      <c r="DJ231" s="37"/>
    </row>
    <row r="232" s="285" customFormat="true" ht="12.75" hidden="false" customHeight="false" outlineLevel="0" collapsed="false">
      <c r="H232" s="300"/>
      <c r="J232" s="300"/>
      <c r="N232" s="39"/>
      <c r="T232" s="30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37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37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287"/>
      <c r="CO232" s="40"/>
      <c r="CP232" s="39"/>
      <c r="CQ232" s="40"/>
      <c r="CR232" s="42"/>
      <c r="CS232" s="42"/>
      <c r="CT232" s="42"/>
      <c r="CU232" s="42"/>
      <c r="CV232" s="42"/>
      <c r="CW232" s="42"/>
      <c r="CZ232" s="42"/>
      <c r="DA232" s="42"/>
      <c r="DB232" s="42"/>
      <c r="DC232" s="42"/>
      <c r="DD232" s="42"/>
      <c r="DE232" s="40"/>
      <c r="DF232" s="40"/>
      <c r="DG232" s="40"/>
      <c r="DH232" s="40"/>
      <c r="DI232" s="14"/>
      <c r="DJ232" s="37"/>
    </row>
    <row r="233" s="285" customFormat="true" ht="12.75" hidden="false" customHeight="false" outlineLevel="0" collapsed="false">
      <c r="H233" s="300"/>
      <c r="J233" s="300"/>
      <c r="N233" s="39"/>
      <c r="T233" s="30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37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37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287"/>
      <c r="CO233" s="40"/>
      <c r="CP233" s="39"/>
      <c r="CQ233" s="40"/>
      <c r="CR233" s="42"/>
      <c r="CS233" s="42"/>
      <c r="CT233" s="42"/>
      <c r="CU233" s="42"/>
      <c r="CV233" s="42"/>
      <c r="CW233" s="42"/>
      <c r="CZ233" s="42"/>
      <c r="DA233" s="42"/>
      <c r="DB233" s="42"/>
      <c r="DC233" s="42"/>
      <c r="DD233" s="42"/>
      <c r="DE233" s="40"/>
      <c r="DF233" s="40"/>
      <c r="DG233" s="40"/>
      <c r="DH233" s="40"/>
      <c r="DI233" s="14"/>
      <c r="DJ233" s="37"/>
    </row>
    <row r="234" s="285" customFormat="true" ht="12.75" hidden="false" customHeight="false" outlineLevel="0" collapsed="false">
      <c r="H234" s="300"/>
      <c r="J234" s="300"/>
      <c r="N234" s="39"/>
      <c r="T234" s="30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37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37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287"/>
      <c r="CO234" s="40"/>
      <c r="CP234" s="39"/>
      <c r="CQ234" s="40"/>
      <c r="CR234" s="42"/>
      <c r="CS234" s="42"/>
      <c r="CT234" s="42"/>
      <c r="CU234" s="42"/>
      <c r="CV234" s="42"/>
      <c r="CW234" s="42"/>
      <c r="CZ234" s="42"/>
      <c r="DA234" s="42"/>
      <c r="DB234" s="42"/>
      <c r="DC234" s="42"/>
      <c r="DD234" s="42"/>
      <c r="DE234" s="40"/>
      <c r="DF234" s="40"/>
      <c r="DG234" s="40"/>
      <c r="DH234" s="40"/>
      <c r="DI234" s="14"/>
      <c r="DJ234" s="37"/>
    </row>
    <row r="235" s="285" customFormat="true" ht="12.75" hidden="false" customHeight="false" outlineLevel="0" collapsed="false">
      <c r="H235" s="300"/>
      <c r="J235" s="300"/>
      <c r="N235" s="39"/>
      <c r="T235" s="30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37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37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287"/>
      <c r="CM235" s="40"/>
      <c r="CN235" s="40"/>
      <c r="CO235" s="40"/>
      <c r="CP235" s="39"/>
      <c r="CQ235" s="40"/>
      <c r="CR235" s="42"/>
      <c r="CS235" s="42"/>
      <c r="CT235" s="42"/>
      <c r="CU235" s="42"/>
      <c r="CV235" s="42"/>
      <c r="CW235" s="42"/>
      <c r="CZ235" s="42"/>
      <c r="DA235" s="42"/>
      <c r="DB235" s="42"/>
      <c r="DC235" s="42"/>
      <c r="DD235" s="42"/>
      <c r="DE235" s="40"/>
      <c r="DF235" s="40"/>
      <c r="DG235" s="40"/>
      <c r="DH235" s="40"/>
      <c r="DI235" s="14"/>
      <c r="DJ235" s="37"/>
    </row>
    <row r="236" s="285" customFormat="true" ht="12.75" hidden="false" customHeight="false" outlineLevel="0" collapsed="false">
      <c r="H236" s="300"/>
      <c r="J236" s="300"/>
      <c r="N236" s="39"/>
      <c r="T236" s="30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37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37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287"/>
      <c r="CM236" s="40"/>
      <c r="CN236" s="40"/>
      <c r="CO236" s="40"/>
      <c r="CP236" s="39"/>
      <c r="CQ236" s="40"/>
      <c r="CR236" s="42"/>
      <c r="CS236" s="42"/>
      <c r="CT236" s="42"/>
      <c r="CU236" s="42"/>
      <c r="CV236" s="42"/>
      <c r="CW236" s="42"/>
      <c r="CZ236" s="42"/>
      <c r="DA236" s="42"/>
      <c r="DB236" s="42"/>
      <c r="DC236" s="42"/>
      <c r="DD236" s="42"/>
      <c r="DE236" s="40"/>
      <c r="DF236" s="40"/>
      <c r="DG236" s="40"/>
      <c r="DH236" s="40"/>
      <c r="DI236" s="14"/>
      <c r="DJ236" s="37"/>
    </row>
    <row r="237" s="285" customFormat="true" ht="12.75" hidden="false" customHeight="false" outlineLevel="0" collapsed="false">
      <c r="H237" s="300"/>
      <c r="J237" s="300"/>
      <c r="N237" s="39"/>
      <c r="T237" s="30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37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37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287"/>
      <c r="CM237" s="40"/>
      <c r="CN237" s="40"/>
      <c r="CO237" s="40"/>
      <c r="CP237" s="39"/>
      <c r="CQ237" s="40"/>
      <c r="CR237" s="42"/>
      <c r="CS237" s="42"/>
      <c r="CT237" s="42"/>
      <c r="CU237" s="42"/>
      <c r="CV237" s="42"/>
      <c r="CW237" s="42"/>
      <c r="CZ237" s="42"/>
      <c r="DA237" s="42"/>
      <c r="DB237" s="42"/>
      <c r="DC237" s="42"/>
      <c r="DD237" s="42"/>
      <c r="DE237" s="40"/>
      <c r="DF237" s="40"/>
      <c r="DG237" s="40"/>
      <c r="DH237" s="40"/>
      <c r="DI237" s="14"/>
      <c r="DJ237" s="37"/>
    </row>
    <row r="238" s="285" customFormat="true" ht="12.75" hidden="false" customHeight="false" outlineLevel="0" collapsed="false">
      <c r="H238" s="300"/>
      <c r="J238" s="300"/>
      <c r="N238" s="39"/>
      <c r="T238" s="30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37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37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287"/>
      <c r="CM238" s="40"/>
      <c r="CN238" s="40"/>
      <c r="CO238" s="40"/>
      <c r="CP238" s="39"/>
      <c r="CQ238" s="40"/>
      <c r="CR238" s="42"/>
      <c r="CS238" s="42"/>
      <c r="CT238" s="42"/>
      <c r="CU238" s="42"/>
      <c r="CV238" s="42"/>
      <c r="CW238" s="42"/>
      <c r="CZ238" s="42"/>
      <c r="DA238" s="42"/>
      <c r="DB238" s="42"/>
      <c r="DC238" s="42"/>
      <c r="DD238" s="42"/>
      <c r="DE238" s="40"/>
      <c r="DF238" s="40"/>
      <c r="DG238" s="40"/>
      <c r="DH238" s="40"/>
      <c r="DI238" s="14"/>
      <c r="DJ238" s="37"/>
    </row>
    <row r="239" s="285" customFormat="true" ht="12.75" hidden="false" customHeight="false" outlineLevel="0" collapsed="false">
      <c r="H239" s="300"/>
      <c r="J239" s="300"/>
      <c r="N239" s="39"/>
      <c r="T239" s="30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37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37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287"/>
      <c r="CM239" s="40"/>
      <c r="CN239" s="40"/>
      <c r="CO239" s="40"/>
      <c r="CP239" s="39"/>
      <c r="CQ239" s="40"/>
      <c r="CR239" s="42"/>
      <c r="CS239" s="42"/>
      <c r="CT239" s="42"/>
      <c r="CU239" s="42"/>
      <c r="CV239" s="42"/>
      <c r="CW239" s="42"/>
      <c r="CZ239" s="42"/>
      <c r="DA239" s="42"/>
      <c r="DB239" s="42"/>
      <c r="DC239" s="42"/>
      <c r="DD239" s="42"/>
      <c r="DE239" s="40"/>
      <c r="DF239" s="40"/>
      <c r="DG239" s="40"/>
      <c r="DH239" s="40"/>
      <c r="DI239" s="14"/>
      <c r="DJ239" s="37"/>
    </row>
    <row r="240" s="285" customFormat="true" ht="12.75" hidden="false" customHeight="false" outlineLevel="0" collapsed="false">
      <c r="H240" s="300"/>
      <c r="J240" s="300"/>
      <c r="N240" s="39"/>
      <c r="T240" s="30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37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37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287"/>
      <c r="CM240" s="40"/>
      <c r="CN240" s="40"/>
      <c r="CO240" s="40"/>
      <c r="CP240" s="39"/>
      <c r="CQ240" s="40"/>
      <c r="CR240" s="42"/>
      <c r="CS240" s="42"/>
      <c r="CT240" s="42"/>
      <c r="CU240" s="42"/>
      <c r="CV240" s="42"/>
      <c r="CW240" s="42"/>
      <c r="CZ240" s="42"/>
      <c r="DA240" s="42"/>
      <c r="DB240" s="42"/>
      <c r="DC240" s="42"/>
      <c r="DD240" s="42"/>
      <c r="DE240" s="40"/>
      <c r="DF240" s="40"/>
      <c r="DG240" s="40"/>
      <c r="DH240" s="40"/>
      <c r="DI240" s="14"/>
      <c r="DJ240" s="37"/>
    </row>
    <row r="241" s="285" customFormat="true" ht="12.75" hidden="false" customHeight="false" outlineLevel="0" collapsed="false">
      <c r="H241" s="300"/>
      <c r="J241" s="300"/>
      <c r="N241" s="39"/>
      <c r="T241" s="30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37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37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287"/>
      <c r="CM241" s="40"/>
      <c r="CN241" s="40"/>
      <c r="CO241" s="40"/>
      <c r="CP241" s="39"/>
      <c r="CQ241" s="40"/>
      <c r="CR241" s="42"/>
      <c r="CS241" s="42"/>
      <c r="CT241" s="42"/>
      <c r="CU241" s="42"/>
      <c r="CV241" s="42"/>
      <c r="CW241" s="42"/>
      <c r="CZ241" s="42"/>
      <c r="DA241" s="42"/>
      <c r="DB241" s="42"/>
      <c r="DC241" s="42"/>
      <c r="DD241" s="42"/>
      <c r="DE241" s="40"/>
      <c r="DF241" s="40"/>
      <c r="DG241" s="40"/>
      <c r="DH241" s="40"/>
      <c r="DI241" s="14"/>
      <c r="DJ241" s="37"/>
    </row>
    <row r="242" s="285" customFormat="true" ht="12.75" hidden="false" customHeight="false" outlineLevel="0" collapsed="false">
      <c r="H242" s="300"/>
      <c r="J242" s="300"/>
      <c r="N242" s="39"/>
      <c r="T242" s="30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37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37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287"/>
      <c r="CM242" s="40"/>
      <c r="CN242" s="40"/>
      <c r="CO242" s="40"/>
      <c r="CP242" s="39"/>
      <c r="CQ242" s="40"/>
      <c r="CR242" s="42"/>
      <c r="CS242" s="42"/>
      <c r="CT242" s="42"/>
      <c r="CU242" s="42"/>
      <c r="CV242" s="42"/>
      <c r="CW242" s="42"/>
      <c r="CZ242" s="42"/>
      <c r="DA242" s="42"/>
      <c r="DB242" s="42"/>
      <c r="DC242" s="42"/>
      <c r="DD242" s="42"/>
      <c r="DE242" s="40"/>
      <c r="DF242" s="40"/>
      <c r="DG242" s="40"/>
      <c r="DH242" s="40"/>
      <c r="DI242" s="14"/>
      <c r="DJ242" s="37"/>
    </row>
    <row r="243" s="285" customFormat="true" ht="12.75" hidden="false" customHeight="false" outlineLevel="0" collapsed="false">
      <c r="H243" s="300"/>
      <c r="J243" s="300"/>
      <c r="N243" s="39"/>
      <c r="T243" s="30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37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37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287"/>
      <c r="CM243" s="40"/>
      <c r="CN243" s="40"/>
      <c r="CO243" s="40"/>
      <c r="CP243" s="39"/>
      <c r="CQ243" s="40"/>
      <c r="CR243" s="42"/>
      <c r="CS243" s="42"/>
      <c r="CT243" s="42"/>
      <c r="CU243" s="42"/>
      <c r="CV243" s="42"/>
      <c r="CW243" s="42"/>
      <c r="CZ243" s="42"/>
      <c r="DA243" s="42"/>
      <c r="DB243" s="42"/>
      <c r="DC243" s="42"/>
      <c r="DD243" s="42"/>
      <c r="DE243" s="40"/>
      <c r="DF243" s="40"/>
      <c r="DG243" s="40"/>
      <c r="DH243" s="40"/>
      <c r="DI243" s="14"/>
      <c r="DJ243" s="37"/>
    </row>
    <row r="244" s="285" customFormat="true" ht="12.75" hidden="false" customHeight="false" outlineLevel="0" collapsed="false">
      <c r="H244" s="300"/>
      <c r="J244" s="300"/>
      <c r="N244" s="39"/>
      <c r="T244" s="30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37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37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287"/>
      <c r="CM244" s="40"/>
      <c r="CN244" s="40"/>
      <c r="CO244" s="40"/>
      <c r="CP244" s="39"/>
      <c r="CQ244" s="40"/>
      <c r="CR244" s="42"/>
      <c r="CS244" s="42"/>
      <c r="CT244" s="42"/>
      <c r="CU244" s="42"/>
      <c r="CV244" s="42"/>
      <c r="CW244" s="42"/>
      <c r="CZ244" s="42"/>
      <c r="DA244" s="42"/>
      <c r="DB244" s="42"/>
      <c r="DC244" s="42"/>
      <c r="DD244" s="42"/>
      <c r="DE244" s="40"/>
      <c r="DF244" s="40"/>
      <c r="DG244" s="40"/>
      <c r="DH244" s="40"/>
      <c r="DI244" s="14"/>
      <c r="DJ244" s="37"/>
    </row>
    <row r="245" s="285" customFormat="true" ht="12.75" hidden="false" customHeight="false" outlineLevel="0" collapsed="false">
      <c r="H245" s="300"/>
      <c r="J245" s="300"/>
      <c r="N245" s="39"/>
      <c r="T245" s="30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37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37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287"/>
      <c r="CM245" s="40"/>
      <c r="CN245" s="40"/>
      <c r="CO245" s="40"/>
      <c r="CP245" s="39"/>
      <c r="CQ245" s="40"/>
      <c r="CR245" s="42"/>
      <c r="CS245" s="42"/>
      <c r="CT245" s="42"/>
      <c r="CU245" s="42"/>
      <c r="CV245" s="42"/>
      <c r="CW245" s="42"/>
      <c r="CZ245" s="42"/>
      <c r="DA245" s="42"/>
      <c r="DB245" s="42"/>
      <c r="DC245" s="42"/>
      <c r="DD245" s="42"/>
      <c r="DE245" s="40"/>
      <c r="DF245" s="40"/>
      <c r="DG245" s="40"/>
      <c r="DH245" s="40"/>
      <c r="DI245" s="14"/>
      <c r="DJ245" s="37"/>
    </row>
    <row r="246" s="285" customFormat="true" ht="12.75" hidden="false" customHeight="false" outlineLevel="0" collapsed="false">
      <c r="H246" s="300"/>
      <c r="J246" s="300"/>
      <c r="N246" s="39"/>
      <c r="T246" s="30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37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37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287"/>
      <c r="CM246" s="40"/>
      <c r="CN246" s="40"/>
      <c r="CO246" s="40"/>
      <c r="CP246" s="39"/>
      <c r="CQ246" s="40"/>
      <c r="CR246" s="42"/>
      <c r="CS246" s="42"/>
      <c r="CT246" s="42"/>
      <c r="CU246" s="42"/>
      <c r="CV246" s="42"/>
      <c r="CW246" s="42"/>
      <c r="CZ246" s="42"/>
      <c r="DA246" s="42"/>
      <c r="DB246" s="42"/>
      <c r="DC246" s="42"/>
      <c r="DD246" s="42"/>
      <c r="DE246" s="40"/>
      <c r="DF246" s="40"/>
      <c r="DG246" s="40"/>
      <c r="DH246" s="40"/>
      <c r="DI246" s="14"/>
      <c r="DJ246" s="37"/>
    </row>
    <row r="247" s="285" customFormat="true" ht="12.75" hidden="false" customHeight="false" outlineLevel="0" collapsed="false">
      <c r="H247" s="300"/>
      <c r="J247" s="300"/>
      <c r="N247" s="39"/>
      <c r="T247" s="30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37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37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287"/>
      <c r="CM247" s="40"/>
      <c r="CN247" s="40"/>
      <c r="CO247" s="40"/>
      <c r="CP247" s="39"/>
      <c r="CQ247" s="40"/>
      <c r="CR247" s="42"/>
      <c r="CS247" s="42"/>
      <c r="CT247" s="42"/>
      <c r="CU247" s="42"/>
      <c r="CV247" s="42"/>
      <c r="CW247" s="42"/>
      <c r="CZ247" s="42"/>
      <c r="DA247" s="42"/>
      <c r="DB247" s="42"/>
      <c r="DC247" s="42"/>
      <c r="DD247" s="42"/>
      <c r="DE247" s="40"/>
      <c r="DF247" s="40"/>
      <c r="DG247" s="40"/>
      <c r="DH247" s="40"/>
      <c r="DI247" s="14"/>
      <c r="DJ247" s="37"/>
    </row>
    <row r="248" s="285" customFormat="true" ht="12.75" hidden="false" customHeight="false" outlineLevel="0" collapsed="false">
      <c r="H248" s="300"/>
      <c r="J248" s="300"/>
      <c r="N248" s="39"/>
      <c r="T248" s="30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37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37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287"/>
      <c r="CM248" s="40"/>
      <c r="CN248" s="40"/>
      <c r="CO248" s="40"/>
      <c r="CP248" s="39"/>
      <c r="CQ248" s="40"/>
      <c r="CR248" s="42"/>
      <c r="CS248" s="42"/>
      <c r="CT248" s="42"/>
      <c r="CU248" s="42"/>
      <c r="CV248" s="42"/>
      <c r="CW248" s="42"/>
      <c r="CZ248" s="42"/>
      <c r="DA248" s="42"/>
      <c r="DB248" s="42"/>
      <c r="DC248" s="42"/>
      <c r="DD248" s="42"/>
      <c r="DE248" s="40"/>
      <c r="DF248" s="40"/>
      <c r="DG248" s="40"/>
      <c r="DH248" s="40"/>
      <c r="DI248" s="14"/>
      <c r="DJ248" s="37"/>
    </row>
    <row r="249" s="285" customFormat="true" ht="12.75" hidden="false" customHeight="false" outlineLevel="0" collapsed="false">
      <c r="H249" s="300"/>
      <c r="J249" s="300"/>
      <c r="N249" s="39"/>
      <c r="T249" s="30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37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37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287"/>
      <c r="CM249" s="40"/>
      <c r="CN249" s="40"/>
      <c r="CO249" s="40"/>
      <c r="CP249" s="39"/>
      <c r="CQ249" s="40"/>
      <c r="CR249" s="42"/>
      <c r="CS249" s="42"/>
      <c r="CT249" s="42"/>
      <c r="CU249" s="42"/>
      <c r="CV249" s="42"/>
      <c r="CW249" s="42"/>
      <c r="CZ249" s="42"/>
      <c r="DA249" s="42"/>
      <c r="DB249" s="42"/>
      <c r="DC249" s="42"/>
      <c r="DD249" s="42"/>
      <c r="DE249" s="40"/>
      <c r="DF249" s="40"/>
      <c r="DG249" s="40"/>
      <c r="DH249" s="40"/>
      <c r="DI249" s="14"/>
      <c r="DJ249" s="37"/>
    </row>
    <row r="250" s="285" customFormat="true" ht="12.75" hidden="false" customHeight="false" outlineLevel="0" collapsed="false">
      <c r="H250" s="300"/>
      <c r="J250" s="300"/>
      <c r="N250" s="39"/>
      <c r="T250" s="30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37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37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287"/>
      <c r="CM250" s="40"/>
      <c r="CN250" s="40"/>
      <c r="CO250" s="40"/>
      <c r="CP250" s="39"/>
      <c r="CQ250" s="40"/>
      <c r="CR250" s="42"/>
      <c r="CS250" s="42"/>
      <c r="CT250" s="42"/>
      <c r="CU250" s="42"/>
      <c r="CV250" s="42"/>
      <c r="CW250" s="42"/>
      <c r="CZ250" s="42"/>
      <c r="DA250" s="42"/>
      <c r="DB250" s="42"/>
      <c r="DC250" s="42"/>
      <c r="DD250" s="42"/>
      <c r="DE250" s="40"/>
      <c r="DF250" s="40"/>
      <c r="DG250" s="40"/>
      <c r="DH250" s="40"/>
      <c r="DI250" s="14"/>
      <c r="DJ250" s="37"/>
    </row>
    <row r="251" s="285" customFormat="true" ht="12.75" hidden="false" customHeight="false" outlineLevel="0" collapsed="false">
      <c r="H251" s="300"/>
      <c r="J251" s="300"/>
      <c r="N251" s="39"/>
      <c r="T251" s="30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37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37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287"/>
      <c r="CM251" s="40"/>
      <c r="CN251" s="40"/>
      <c r="CO251" s="40"/>
      <c r="CP251" s="39"/>
      <c r="CQ251" s="40"/>
      <c r="CR251" s="42"/>
      <c r="CS251" s="42"/>
      <c r="CT251" s="42"/>
      <c r="CU251" s="42"/>
      <c r="CV251" s="42"/>
      <c r="CW251" s="42"/>
      <c r="CZ251" s="42"/>
      <c r="DA251" s="42"/>
      <c r="DB251" s="42"/>
      <c r="DC251" s="42"/>
      <c r="DD251" s="42"/>
      <c r="DE251" s="40"/>
      <c r="DF251" s="40"/>
      <c r="DG251" s="40"/>
      <c r="DH251" s="40"/>
      <c r="DI251" s="14"/>
      <c r="DJ251" s="37"/>
    </row>
    <row r="252" s="285" customFormat="true" ht="12.75" hidden="false" customHeight="false" outlineLevel="0" collapsed="false">
      <c r="H252" s="300"/>
      <c r="J252" s="300"/>
      <c r="N252" s="39"/>
      <c r="T252" s="30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37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37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287"/>
      <c r="CM252" s="40"/>
      <c r="CN252" s="40"/>
      <c r="CO252" s="40"/>
      <c r="CP252" s="39"/>
      <c r="CQ252" s="40"/>
      <c r="CR252" s="42"/>
      <c r="CS252" s="42"/>
      <c r="CT252" s="42"/>
      <c r="CU252" s="42"/>
      <c r="CV252" s="42"/>
      <c r="CW252" s="42"/>
      <c r="CZ252" s="42"/>
      <c r="DA252" s="42"/>
      <c r="DB252" s="42"/>
      <c r="DC252" s="42"/>
      <c r="DD252" s="42"/>
      <c r="DE252" s="40"/>
      <c r="DF252" s="40"/>
      <c r="DG252" s="40"/>
      <c r="DH252" s="40"/>
      <c r="DI252" s="14"/>
      <c r="DJ252" s="37"/>
    </row>
    <row r="253" s="285" customFormat="true" ht="12.75" hidden="false" customHeight="false" outlineLevel="0" collapsed="false">
      <c r="H253" s="300"/>
      <c r="J253" s="300"/>
      <c r="N253" s="39"/>
      <c r="T253" s="30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37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37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287"/>
      <c r="CM253" s="40"/>
      <c r="CN253" s="40"/>
      <c r="CO253" s="40"/>
      <c r="CP253" s="39"/>
      <c r="CQ253" s="40"/>
      <c r="CR253" s="42"/>
      <c r="CS253" s="42"/>
      <c r="CT253" s="42"/>
      <c r="CU253" s="42"/>
      <c r="CV253" s="42"/>
      <c r="CW253" s="42"/>
      <c r="CZ253" s="42"/>
      <c r="DA253" s="42"/>
      <c r="DB253" s="42"/>
      <c r="DC253" s="42"/>
      <c r="DD253" s="42"/>
      <c r="DE253" s="40"/>
      <c r="DF253" s="40"/>
      <c r="DG253" s="40"/>
      <c r="DH253" s="40"/>
      <c r="DI253" s="14"/>
      <c r="DJ253" s="37"/>
    </row>
    <row r="254" s="285" customFormat="true" ht="12.75" hidden="false" customHeight="false" outlineLevel="0" collapsed="false">
      <c r="H254" s="300"/>
      <c r="J254" s="300"/>
      <c r="N254" s="39"/>
      <c r="T254" s="30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37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37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287"/>
      <c r="CM254" s="40"/>
      <c r="CN254" s="40"/>
      <c r="CO254" s="40"/>
      <c r="CP254" s="39"/>
      <c r="CQ254" s="40"/>
      <c r="CR254" s="42"/>
      <c r="CS254" s="42"/>
      <c r="CT254" s="42"/>
      <c r="CU254" s="42"/>
      <c r="CV254" s="42"/>
      <c r="CW254" s="42"/>
      <c r="CZ254" s="42"/>
      <c r="DA254" s="42"/>
      <c r="DB254" s="42"/>
      <c r="DC254" s="42"/>
      <c r="DD254" s="42"/>
      <c r="DE254" s="40"/>
      <c r="DF254" s="40"/>
      <c r="DG254" s="40"/>
      <c r="DH254" s="40"/>
      <c r="DI254" s="14"/>
      <c r="DJ254" s="37"/>
    </row>
    <row r="255" s="285" customFormat="true" ht="12.75" hidden="false" customHeight="false" outlineLevel="0" collapsed="false">
      <c r="H255" s="300"/>
      <c r="J255" s="300"/>
      <c r="N255" s="39"/>
      <c r="T255" s="30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37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37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287"/>
      <c r="CM255" s="40"/>
      <c r="CN255" s="40"/>
      <c r="CO255" s="40"/>
      <c r="CP255" s="39"/>
      <c r="CQ255" s="40"/>
      <c r="CR255" s="42"/>
      <c r="CS255" s="42"/>
      <c r="CT255" s="42"/>
      <c r="CU255" s="42"/>
      <c r="CV255" s="42"/>
      <c r="CW255" s="42"/>
      <c r="CZ255" s="42"/>
      <c r="DA255" s="42"/>
      <c r="DB255" s="42"/>
      <c r="DC255" s="42"/>
      <c r="DD255" s="42"/>
      <c r="DE255" s="40"/>
      <c r="DF255" s="40"/>
      <c r="DG255" s="40"/>
      <c r="DH255" s="40"/>
      <c r="DI255" s="14"/>
      <c r="DJ255" s="37"/>
    </row>
    <row r="256" s="285" customFormat="true" ht="12.75" hidden="false" customHeight="false" outlineLevel="0" collapsed="false">
      <c r="H256" s="300"/>
      <c r="J256" s="300"/>
      <c r="N256" s="39"/>
      <c r="T256" s="30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37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37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287"/>
      <c r="CM256" s="40"/>
      <c r="CN256" s="40"/>
      <c r="CO256" s="40"/>
      <c r="CP256" s="39"/>
      <c r="CQ256" s="40"/>
      <c r="CR256" s="42"/>
      <c r="CS256" s="42"/>
      <c r="CT256" s="42"/>
      <c r="CU256" s="42"/>
      <c r="CV256" s="42"/>
      <c r="CW256" s="42"/>
      <c r="CZ256" s="42"/>
      <c r="DA256" s="42"/>
      <c r="DB256" s="42"/>
      <c r="DC256" s="42"/>
      <c r="DD256" s="42"/>
      <c r="DE256" s="40"/>
      <c r="DF256" s="40"/>
      <c r="DG256" s="40"/>
      <c r="DH256" s="40"/>
      <c r="DI256" s="14"/>
      <c r="DJ256" s="37"/>
    </row>
    <row r="257" s="285" customFormat="true" ht="12.75" hidden="false" customHeight="false" outlineLevel="0" collapsed="false">
      <c r="H257" s="300"/>
      <c r="J257" s="300"/>
      <c r="N257" s="39"/>
      <c r="T257" s="30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37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37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287"/>
      <c r="CM257" s="40"/>
      <c r="CN257" s="40"/>
      <c r="CO257" s="40"/>
      <c r="CP257" s="39"/>
      <c r="CQ257" s="40"/>
      <c r="CR257" s="42"/>
      <c r="CS257" s="42"/>
      <c r="CT257" s="42"/>
      <c r="CU257" s="42"/>
      <c r="CV257" s="42"/>
      <c r="CW257" s="42"/>
      <c r="CZ257" s="42"/>
      <c r="DA257" s="42"/>
      <c r="DB257" s="42"/>
      <c r="DC257" s="42"/>
      <c r="DD257" s="42"/>
      <c r="DE257" s="40"/>
      <c r="DF257" s="40"/>
      <c r="DG257" s="40"/>
      <c r="DH257" s="40"/>
      <c r="DI257" s="14"/>
      <c r="DJ257" s="37"/>
    </row>
    <row r="258" s="285" customFormat="true" ht="12.75" hidden="false" customHeight="false" outlineLevel="0" collapsed="false">
      <c r="H258" s="300"/>
      <c r="J258" s="300"/>
      <c r="N258" s="39"/>
      <c r="T258" s="30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37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37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287"/>
      <c r="CM258" s="40"/>
      <c r="CN258" s="40"/>
      <c r="CO258" s="40"/>
      <c r="CP258" s="39"/>
      <c r="CQ258" s="40"/>
      <c r="CR258" s="42"/>
      <c r="CS258" s="42"/>
      <c r="CT258" s="42"/>
      <c r="CU258" s="42"/>
      <c r="CV258" s="42"/>
      <c r="CW258" s="42"/>
      <c r="CZ258" s="42"/>
      <c r="DA258" s="42"/>
      <c r="DB258" s="42"/>
      <c r="DC258" s="42"/>
      <c r="DD258" s="42"/>
      <c r="DE258" s="40"/>
      <c r="DF258" s="40"/>
      <c r="DG258" s="40"/>
      <c r="DH258" s="40"/>
      <c r="DI258" s="14"/>
      <c r="DJ258" s="37"/>
    </row>
    <row r="259" s="285" customFormat="true" ht="12.75" hidden="false" customHeight="false" outlineLevel="0" collapsed="false">
      <c r="H259" s="300"/>
      <c r="J259" s="300"/>
      <c r="N259" s="39"/>
      <c r="T259" s="30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37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37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287"/>
      <c r="CM259" s="40"/>
      <c r="CN259" s="40"/>
      <c r="CO259" s="40"/>
      <c r="CP259" s="39"/>
      <c r="CQ259" s="40"/>
      <c r="CR259" s="42"/>
      <c r="CS259" s="42"/>
      <c r="CT259" s="42"/>
      <c r="CU259" s="42"/>
      <c r="CV259" s="42"/>
      <c r="CW259" s="42"/>
      <c r="CZ259" s="42"/>
      <c r="DA259" s="42"/>
      <c r="DB259" s="42"/>
      <c r="DC259" s="42"/>
      <c r="DD259" s="42"/>
      <c r="DE259" s="40"/>
      <c r="DF259" s="40"/>
      <c r="DG259" s="40"/>
      <c r="DH259" s="40"/>
      <c r="DI259" s="14"/>
      <c r="DJ259" s="37"/>
    </row>
    <row r="260" s="285" customFormat="true" ht="12.75" hidden="false" customHeight="false" outlineLevel="0" collapsed="false">
      <c r="H260" s="300"/>
      <c r="J260" s="300"/>
      <c r="N260" s="39"/>
      <c r="T260" s="30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37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37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287"/>
      <c r="CM260" s="40"/>
      <c r="CN260" s="40"/>
      <c r="CO260" s="40"/>
      <c r="CP260" s="39"/>
      <c r="CQ260" s="40"/>
      <c r="CR260" s="42"/>
      <c r="CS260" s="42"/>
      <c r="CT260" s="42"/>
      <c r="CU260" s="42"/>
      <c r="CV260" s="42"/>
      <c r="CW260" s="42"/>
      <c r="CZ260" s="42"/>
      <c r="DA260" s="42"/>
      <c r="DB260" s="42"/>
      <c r="DC260" s="42"/>
      <c r="DD260" s="42"/>
      <c r="DE260" s="40"/>
      <c r="DF260" s="40"/>
      <c r="DG260" s="40"/>
      <c r="DH260" s="40"/>
      <c r="DI260" s="14"/>
      <c r="DJ260" s="37"/>
    </row>
    <row r="261" s="285" customFormat="true" ht="12.75" hidden="false" customHeight="false" outlineLevel="0" collapsed="false">
      <c r="H261" s="300"/>
      <c r="J261" s="300"/>
      <c r="N261" s="39"/>
      <c r="T261" s="30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37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37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287"/>
      <c r="CM261" s="40"/>
      <c r="CN261" s="40"/>
      <c r="CO261" s="40"/>
      <c r="CP261" s="39"/>
      <c r="CQ261" s="40"/>
      <c r="CR261" s="42"/>
      <c r="CS261" s="42"/>
      <c r="CT261" s="42"/>
      <c r="CU261" s="42"/>
      <c r="CV261" s="42"/>
      <c r="CW261" s="42"/>
      <c r="CZ261" s="42"/>
      <c r="DA261" s="42"/>
      <c r="DB261" s="42"/>
      <c r="DC261" s="42"/>
      <c r="DD261" s="42"/>
      <c r="DE261" s="40"/>
      <c r="DF261" s="40"/>
      <c r="DG261" s="40"/>
      <c r="DH261" s="40"/>
      <c r="DI261" s="14"/>
      <c r="DJ261" s="37"/>
    </row>
    <row r="262" s="285" customFormat="true" ht="12.75" hidden="false" customHeight="false" outlineLevel="0" collapsed="false">
      <c r="H262" s="300"/>
      <c r="J262" s="300"/>
      <c r="N262" s="39"/>
      <c r="T262" s="30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37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37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287"/>
      <c r="CM262" s="40"/>
      <c r="CN262" s="40"/>
      <c r="CO262" s="40"/>
      <c r="CP262" s="39"/>
      <c r="CQ262" s="40"/>
      <c r="CR262" s="42"/>
      <c r="CS262" s="42"/>
      <c r="CT262" s="42"/>
      <c r="CU262" s="42"/>
      <c r="CV262" s="42"/>
      <c r="CW262" s="42"/>
      <c r="CZ262" s="42"/>
      <c r="DA262" s="42"/>
      <c r="DB262" s="42"/>
      <c r="DC262" s="42"/>
      <c r="DD262" s="42"/>
      <c r="DE262" s="40"/>
      <c r="DF262" s="40"/>
      <c r="DG262" s="40"/>
      <c r="DH262" s="40"/>
      <c r="DI262" s="14"/>
      <c r="DJ262" s="37"/>
    </row>
    <row r="263" s="285" customFormat="true" ht="12.75" hidden="false" customHeight="false" outlineLevel="0" collapsed="false">
      <c r="H263" s="300"/>
      <c r="J263" s="300"/>
      <c r="N263" s="39"/>
      <c r="T263" s="30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37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37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287"/>
      <c r="CM263" s="40"/>
      <c r="CN263" s="40"/>
      <c r="CO263" s="40"/>
      <c r="CP263" s="39"/>
      <c r="CQ263" s="40"/>
      <c r="CR263" s="42"/>
      <c r="CS263" s="42"/>
      <c r="CT263" s="42"/>
      <c r="CU263" s="42"/>
      <c r="CV263" s="42"/>
      <c r="CW263" s="42"/>
      <c r="CZ263" s="42"/>
      <c r="DA263" s="42"/>
      <c r="DB263" s="42"/>
      <c r="DC263" s="42"/>
      <c r="DD263" s="42"/>
      <c r="DE263" s="40"/>
      <c r="DF263" s="40"/>
      <c r="DG263" s="40"/>
      <c r="DH263" s="40"/>
      <c r="DI263" s="14"/>
      <c r="DJ263" s="37"/>
    </row>
    <row r="264" s="285" customFormat="true" ht="12.75" hidden="false" customHeight="false" outlineLevel="0" collapsed="false">
      <c r="H264" s="300"/>
      <c r="J264" s="300"/>
      <c r="N264" s="39"/>
      <c r="T264" s="30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37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37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287"/>
      <c r="CM264" s="40"/>
      <c r="CN264" s="40"/>
      <c r="CO264" s="40"/>
      <c r="CP264" s="39"/>
      <c r="CQ264" s="40"/>
      <c r="CR264" s="42"/>
      <c r="CS264" s="42"/>
      <c r="CT264" s="42"/>
      <c r="CU264" s="42"/>
      <c r="CV264" s="42"/>
      <c r="CW264" s="42"/>
      <c r="CZ264" s="42"/>
      <c r="DA264" s="42"/>
      <c r="DB264" s="42"/>
      <c r="DC264" s="42"/>
      <c r="DD264" s="42"/>
      <c r="DE264" s="40"/>
      <c r="DF264" s="40"/>
      <c r="DG264" s="40"/>
      <c r="DH264" s="40"/>
      <c r="DI264" s="14"/>
      <c r="DJ264" s="37"/>
    </row>
    <row r="265" s="285" customFormat="true" ht="12.75" hidden="false" customHeight="false" outlineLevel="0" collapsed="false">
      <c r="H265" s="300"/>
      <c r="J265" s="300"/>
      <c r="N265" s="39"/>
      <c r="T265" s="30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37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37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287"/>
      <c r="CM265" s="40"/>
      <c r="CN265" s="40"/>
      <c r="CO265" s="40"/>
      <c r="CP265" s="39"/>
      <c r="CQ265" s="40"/>
      <c r="CR265" s="42"/>
      <c r="CS265" s="42"/>
      <c r="CT265" s="42"/>
      <c r="CU265" s="42"/>
      <c r="CV265" s="42"/>
      <c r="CW265" s="42"/>
      <c r="CZ265" s="42"/>
      <c r="DA265" s="42"/>
      <c r="DB265" s="42"/>
      <c r="DC265" s="42"/>
      <c r="DD265" s="42"/>
      <c r="DE265" s="40"/>
      <c r="DF265" s="40"/>
      <c r="DG265" s="40"/>
      <c r="DH265" s="40"/>
      <c r="DI265" s="14"/>
      <c r="DJ265" s="37"/>
    </row>
    <row r="266" s="285" customFormat="true" ht="12.75" hidden="false" customHeight="false" outlineLevel="0" collapsed="false">
      <c r="H266" s="300"/>
      <c r="J266" s="300"/>
      <c r="N266" s="39"/>
      <c r="T266" s="30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37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37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287"/>
      <c r="CM266" s="40"/>
      <c r="CN266" s="40"/>
      <c r="CO266" s="40"/>
      <c r="CP266" s="39"/>
      <c r="CQ266" s="40"/>
      <c r="CR266" s="42"/>
      <c r="CS266" s="42"/>
      <c r="CT266" s="42"/>
      <c r="CU266" s="42"/>
      <c r="CV266" s="42"/>
      <c r="CW266" s="42"/>
      <c r="CZ266" s="42"/>
      <c r="DA266" s="42"/>
      <c r="DB266" s="42"/>
      <c r="DC266" s="42"/>
      <c r="DD266" s="42"/>
      <c r="DE266" s="40"/>
      <c r="DF266" s="40"/>
      <c r="DG266" s="40"/>
      <c r="DH266" s="40"/>
      <c r="DI266" s="14"/>
      <c r="DJ266" s="37"/>
    </row>
    <row r="267" s="285" customFormat="true" ht="12.75" hidden="false" customHeight="false" outlineLevel="0" collapsed="false">
      <c r="H267" s="300"/>
      <c r="J267" s="300"/>
      <c r="N267" s="39"/>
      <c r="T267" s="30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37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37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287"/>
      <c r="CM267" s="40"/>
      <c r="CN267" s="40"/>
      <c r="CO267" s="40"/>
      <c r="CP267" s="39"/>
      <c r="CQ267" s="40"/>
      <c r="CR267" s="42"/>
      <c r="CS267" s="42"/>
      <c r="CT267" s="42"/>
      <c r="CU267" s="42"/>
      <c r="CV267" s="42"/>
      <c r="CW267" s="42"/>
      <c r="CZ267" s="42"/>
      <c r="DA267" s="42"/>
      <c r="DB267" s="42"/>
      <c r="DC267" s="42"/>
      <c r="DD267" s="42"/>
      <c r="DE267" s="40"/>
      <c r="DF267" s="40"/>
      <c r="DG267" s="40"/>
      <c r="DH267" s="40"/>
      <c r="DI267" s="14"/>
      <c r="DJ267" s="37"/>
    </row>
    <row r="268" s="285" customFormat="true" ht="12.75" hidden="false" customHeight="false" outlineLevel="0" collapsed="false">
      <c r="H268" s="300"/>
      <c r="J268" s="300"/>
      <c r="N268" s="39"/>
      <c r="T268" s="30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37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37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287"/>
      <c r="CM268" s="40"/>
      <c r="CN268" s="40"/>
      <c r="CO268" s="40"/>
      <c r="CP268" s="39"/>
      <c r="CQ268" s="40"/>
      <c r="CR268" s="42"/>
      <c r="CS268" s="42"/>
      <c r="CT268" s="42"/>
      <c r="CU268" s="42"/>
      <c r="CV268" s="42"/>
      <c r="CW268" s="42"/>
      <c r="CZ268" s="42"/>
      <c r="DA268" s="42"/>
      <c r="DB268" s="42"/>
      <c r="DC268" s="42"/>
      <c r="DD268" s="42"/>
      <c r="DE268" s="40"/>
      <c r="DF268" s="40"/>
      <c r="DG268" s="40"/>
      <c r="DH268" s="40"/>
      <c r="DI268" s="14"/>
      <c r="DJ268" s="37"/>
    </row>
    <row r="269" s="285" customFormat="true" ht="12.75" hidden="false" customHeight="false" outlineLevel="0" collapsed="false">
      <c r="H269" s="300"/>
      <c r="J269" s="300"/>
      <c r="N269" s="39"/>
      <c r="T269" s="30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37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37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287"/>
      <c r="CM269" s="40"/>
      <c r="CN269" s="40"/>
      <c r="CO269" s="40"/>
      <c r="CP269" s="39"/>
      <c r="CQ269" s="40"/>
      <c r="CR269" s="42"/>
      <c r="CS269" s="42"/>
      <c r="CT269" s="42"/>
      <c r="CU269" s="42"/>
      <c r="CV269" s="42"/>
      <c r="CW269" s="42"/>
      <c r="CZ269" s="42"/>
      <c r="DA269" s="42"/>
      <c r="DB269" s="42"/>
      <c r="DC269" s="42"/>
      <c r="DD269" s="42"/>
      <c r="DE269" s="40"/>
      <c r="DF269" s="40"/>
      <c r="DG269" s="40"/>
      <c r="DH269" s="40"/>
      <c r="DI269" s="14"/>
      <c r="DJ269" s="37"/>
    </row>
    <row r="270" s="285" customFormat="true" ht="12.75" hidden="false" customHeight="false" outlineLevel="0" collapsed="false">
      <c r="H270" s="300"/>
      <c r="J270" s="300"/>
      <c r="N270" s="39"/>
      <c r="T270" s="30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37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37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287"/>
      <c r="CM270" s="40"/>
      <c r="CN270" s="40"/>
      <c r="CO270" s="40"/>
      <c r="CP270" s="39"/>
      <c r="CQ270" s="40"/>
      <c r="CR270" s="42"/>
      <c r="CS270" s="42"/>
      <c r="CT270" s="42"/>
      <c r="CU270" s="42"/>
      <c r="CV270" s="42"/>
      <c r="CW270" s="42"/>
      <c r="CZ270" s="42"/>
      <c r="DA270" s="42"/>
      <c r="DB270" s="42"/>
      <c r="DC270" s="42"/>
      <c r="DD270" s="42"/>
      <c r="DE270" s="40"/>
      <c r="DF270" s="40"/>
      <c r="DG270" s="40"/>
      <c r="DH270" s="40"/>
      <c r="DI270" s="14"/>
      <c r="DJ270" s="37"/>
    </row>
    <row r="271" s="285" customFormat="true" ht="12.75" hidden="false" customHeight="false" outlineLevel="0" collapsed="false">
      <c r="H271" s="300"/>
      <c r="J271" s="300"/>
      <c r="N271" s="39"/>
      <c r="T271" s="30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37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37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287"/>
      <c r="CM271" s="40"/>
      <c r="CN271" s="40"/>
      <c r="CO271" s="40"/>
      <c r="CP271" s="39"/>
      <c r="CQ271" s="40"/>
      <c r="CR271" s="42"/>
      <c r="CS271" s="42"/>
      <c r="CT271" s="42"/>
      <c r="CU271" s="42"/>
      <c r="CV271" s="42"/>
      <c r="CW271" s="42"/>
      <c r="CZ271" s="42"/>
      <c r="DA271" s="42"/>
      <c r="DB271" s="42"/>
      <c r="DC271" s="42"/>
      <c r="DD271" s="42"/>
      <c r="DE271" s="40"/>
      <c r="DF271" s="40"/>
      <c r="DG271" s="40"/>
      <c r="DH271" s="40"/>
      <c r="DI271" s="14"/>
      <c r="DJ271" s="37"/>
    </row>
    <row r="272" s="285" customFormat="true" ht="12.75" hidden="false" customHeight="false" outlineLevel="0" collapsed="false">
      <c r="H272" s="300"/>
      <c r="J272" s="300"/>
      <c r="N272" s="39"/>
      <c r="T272" s="30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37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37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287"/>
      <c r="CM272" s="40"/>
      <c r="CN272" s="40"/>
      <c r="CO272" s="40"/>
      <c r="CP272" s="39"/>
      <c r="CQ272" s="40"/>
      <c r="CR272" s="42"/>
      <c r="CS272" s="42"/>
      <c r="CT272" s="42"/>
      <c r="CU272" s="42"/>
      <c r="CV272" s="42"/>
      <c r="CW272" s="42"/>
      <c r="CZ272" s="42"/>
      <c r="DA272" s="42"/>
      <c r="DB272" s="42"/>
      <c r="DC272" s="42"/>
      <c r="DD272" s="42"/>
      <c r="DE272" s="40"/>
      <c r="DF272" s="40"/>
      <c r="DG272" s="40"/>
      <c r="DH272" s="40"/>
      <c r="DI272" s="14"/>
      <c r="DJ272" s="37"/>
    </row>
    <row r="273" s="285" customFormat="true" ht="12.75" hidden="false" customHeight="false" outlineLevel="0" collapsed="false">
      <c r="H273" s="300"/>
      <c r="J273" s="300"/>
      <c r="N273" s="39"/>
      <c r="T273" s="30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37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37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287"/>
      <c r="CM273" s="40"/>
      <c r="CN273" s="40"/>
      <c r="CO273" s="40"/>
      <c r="CP273" s="39"/>
      <c r="CQ273" s="40"/>
      <c r="CR273" s="42"/>
      <c r="CS273" s="42"/>
      <c r="CT273" s="42"/>
      <c r="CU273" s="42"/>
      <c r="CV273" s="42"/>
      <c r="CW273" s="42"/>
      <c r="CZ273" s="42"/>
      <c r="DA273" s="42"/>
      <c r="DB273" s="42"/>
      <c r="DC273" s="42"/>
      <c r="DD273" s="42"/>
      <c r="DE273" s="40"/>
      <c r="DF273" s="40"/>
      <c r="DG273" s="40"/>
      <c r="DH273" s="40"/>
      <c r="DI273" s="14"/>
      <c r="DJ273" s="37"/>
    </row>
    <row r="274" s="285" customFormat="true" ht="12.75" hidden="false" customHeight="false" outlineLevel="0" collapsed="false">
      <c r="H274" s="300"/>
      <c r="J274" s="300"/>
      <c r="N274" s="39"/>
      <c r="T274" s="30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37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37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287"/>
      <c r="CM274" s="40"/>
      <c r="CN274" s="40"/>
      <c r="CO274" s="40"/>
      <c r="CP274" s="39"/>
      <c r="CQ274" s="40"/>
      <c r="CR274" s="42"/>
      <c r="CS274" s="42"/>
      <c r="CT274" s="42"/>
      <c r="CU274" s="42"/>
      <c r="CV274" s="42"/>
      <c r="CW274" s="42"/>
      <c r="CZ274" s="42"/>
      <c r="DA274" s="42"/>
      <c r="DB274" s="42"/>
      <c r="DC274" s="42"/>
      <c r="DD274" s="42"/>
      <c r="DE274" s="40"/>
      <c r="DF274" s="40"/>
      <c r="DG274" s="40"/>
      <c r="DH274" s="40"/>
      <c r="DI274" s="14"/>
      <c r="DJ274" s="37"/>
    </row>
    <row r="275" s="285" customFormat="true" ht="12.75" hidden="false" customHeight="false" outlineLevel="0" collapsed="false">
      <c r="H275" s="300"/>
      <c r="J275" s="300"/>
      <c r="N275" s="39"/>
      <c r="T275" s="30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37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37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287"/>
      <c r="CM275" s="40"/>
      <c r="CN275" s="40"/>
      <c r="CO275" s="40"/>
      <c r="CP275" s="39"/>
      <c r="CQ275" s="40"/>
      <c r="CR275" s="42"/>
      <c r="CS275" s="42"/>
      <c r="CT275" s="42"/>
      <c r="CU275" s="42"/>
      <c r="CV275" s="42"/>
      <c r="CW275" s="42"/>
      <c r="CZ275" s="42"/>
      <c r="DA275" s="42"/>
      <c r="DB275" s="42"/>
      <c r="DC275" s="42"/>
      <c r="DD275" s="42"/>
      <c r="DE275" s="40"/>
      <c r="DF275" s="40"/>
      <c r="DG275" s="40"/>
      <c r="DH275" s="40"/>
      <c r="DI275" s="14"/>
      <c r="DJ275" s="37"/>
    </row>
    <row r="276" s="285" customFormat="true" ht="12.75" hidden="false" customHeight="false" outlineLevel="0" collapsed="false">
      <c r="H276" s="300"/>
      <c r="J276" s="300"/>
      <c r="N276" s="39"/>
      <c r="T276" s="30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37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37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287"/>
      <c r="CM276" s="40"/>
      <c r="CN276" s="40"/>
      <c r="CO276" s="40"/>
      <c r="CP276" s="39"/>
      <c r="CQ276" s="40"/>
      <c r="CR276" s="42"/>
      <c r="CS276" s="42"/>
      <c r="CT276" s="42"/>
      <c r="CU276" s="42"/>
      <c r="CV276" s="42"/>
      <c r="CW276" s="42"/>
      <c r="CZ276" s="42"/>
      <c r="DA276" s="42"/>
      <c r="DB276" s="42"/>
      <c r="DC276" s="42"/>
      <c r="DD276" s="42"/>
      <c r="DE276" s="40"/>
      <c r="DF276" s="40"/>
      <c r="DG276" s="40"/>
      <c r="DH276" s="40"/>
      <c r="DI276" s="14"/>
      <c r="DJ276" s="37"/>
    </row>
    <row r="277" s="285" customFormat="true" ht="12.75" hidden="false" customHeight="false" outlineLevel="0" collapsed="false">
      <c r="H277" s="300"/>
      <c r="J277" s="300"/>
      <c r="N277" s="39"/>
      <c r="T277" s="30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37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37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287"/>
      <c r="CM277" s="40"/>
      <c r="CN277" s="40"/>
      <c r="CO277" s="40"/>
      <c r="CP277" s="39"/>
      <c r="CQ277" s="40"/>
      <c r="CR277" s="42"/>
      <c r="CS277" s="42"/>
      <c r="CT277" s="42"/>
      <c r="CU277" s="42"/>
      <c r="CV277" s="42"/>
      <c r="CW277" s="42"/>
      <c r="CZ277" s="42"/>
      <c r="DA277" s="42"/>
      <c r="DB277" s="42"/>
      <c r="DC277" s="42"/>
      <c r="DD277" s="42"/>
      <c r="DE277" s="40"/>
      <c r="DF277" s="40"/>
      <c r="DG277" s="40"/>
      <c r="DH277" s="40"/>
      <c r="DI277" s="14"/>
      <c r="DJ277" s="37"/>
    </row>
    <row r="278" s="285" customFormat="true" ht="12.75" hidden="false" customHeight="false" outlineLevel="0" collapsed="false">
      <c r="H278" s="300"/>
      <c r="J278" s="300"/>
      <c r="N278" s="39"/>
      <c r="T278" s="30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37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37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287"/>
      <c r="CM278" s="40"/>
      <c r="CN278" s="40"/>
      <c r="CO278" s="40"/>
      <c r="CP278" s="39"/>
      <c r="CQ278" s="40"/>
      <c r="CR278" s="42"/>
      <c r="CS278" s="42"/>
      <c r="CT278" s="42"/>
      <c r="CU278" s="42"/>
      <c r="CV278" s="42"/>
      <c r="CW278" s="42"/>
      <c r="CZ278" s="42"/>
      <c r="DA278" s="42"/>
      <c r="DB278" s="42"/>
      <c r="DC278" s="42"/>
      <c r="DD278" s="42"/>
      <c r="DE278" s="40"/>
      <c r="DF278" s="40"/>
      <c r="DG278" s="40"/>
      <c r="DH278" s="40"/>
      <c r="DI278" s="14"/>
      <c r="DJ278" s="37"/>
    </row>
    <row r="279" s="285" customFormat="true" ht="12.75" hidden="false" customHeight="false" outlineLevel="0" collapsed="false">
      <c r="H279" s="300"/>
      <c r="J279" s="300"/>
      <c r="N279" s="39"/>
      <c r="T279" s="30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37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37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287"/>
      <c r="CM279" s="40"/>
      <c r="CN279" s="40"/>
      <c r="CO279" s="40"/>
      <c r="CP279" s="39"/>
      <c r="CQ279" s="40"/>
      <c r="CR279" s="42"/>
      <c r="CS279" s="42"/>
      <c r="CT279" s="42"/>
      <c r="CU279" s="42"/>
      <c r="CV279" s="42"/>
      <c r="CW279" s="42"/>
      <c r="CZ279" s="42"/>
      <c r="DA279" s="42"/>
      <c r="DB279" s="42"/>
      <c r="DC279" s="42"/>
      <c r="DD279" s="42"/>
      <c r="DE279" s="40"/>
      <c r="DF279" s="40"/>
      <c r="DG279" s="40"/>
      <c r="DH279" s="40"/>
      <c r="DI279" s="14"/>
      <c r="DJ279" s="37"/>
    </row>
    <row r="280" s="285" customFormat="true" ht="12.75" hidden="false" customHeight="false" outlineLevel="0" collapsed="false">
      <c r="H280" s="300"/>
      <c r="J280" s="300"/>
      <c r="N280" s="39"/>
      <c r="T280" s="30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37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37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287"/>
      <c r="CM280" s="40"/>
      <c r="CN280" s="40"/>
      <c r="CO280" s="40"/>
      <c r="CP280" s="39"/>
      <c r="CQ280" s="40"/>
      <c r="CR280" s="42"/>
      <c r="CS280" s="42"/>
      <c r="CT280" s="42"/>
      <c r="CU280" s="42"/>
      <c r="CV280" s="42"/>
      <c r="CW280" s="42"/>
      <c r="CZ280" s="42"/>
      <c r="DA280" s="42"/>
      <c r="DB280" s="42"/>
      <c r="DC280" s="42"/>
      <c r="DD280" s="42"/>
      <c r="DE280" s="40"/>
      <c r="DF280" s="40"/>
      <c r="DG280" s="40"/>
      <c r="DH280" s="40"/>
      <c r="DI280" s="14"/>
      <c r="DJ280" s="37"/>
    </row>
    <row r="281" s="285" customFormat="true" ht="12.75" hidden="false" customHeight="false" outlineLevel="0" collapsed="false">
      <c r="H281" s="300"/>
      <c r="J281" s="300"/>
      <c r="N281" s="39"/>
      <c r="T281" s="30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37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37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287"/>
      <c r="CM281" s="40"/>
      <c r="CN281" s="40"/>
      <c r="CO281" s="40"/>
      <c r="CP281" s="39"/>
      <c r="CQ281" s="40"/>
      <c r="CR281" s="42"/>
      <c r="CS281" s="42"/>
      <c r="CT281" s="42"/>
      <c r="CU281" s="42"/>
      <c r="CV281" s="42"/>
      <c r="CW281" s="42"/>
      <c r="CZ281" s="42"/>
      <c r="DA281" s="42"/>
      <c r="DB281" s="42"/>
      <c r="DC281" s="42"/>
      <c r="DD281" s="42"/>
      <c r="DE281" s="40"/>
      <c r="DF281" s="40"/>
      <c r="DG281" s="40"/>
      <c r="DH281" s="40"/>
      <c r="DI281" s="14"/>
      <c r="DJ281" s="37"/>
    </row>
    <row r="282" s="285" customFormat="true" ht="12.75" hidden="false" customHeight="false" outlineLevel="0" collapsed="false">
      <c r="H282" s="300"/>
      <c r="J282" s="300"/>
      <c r="N282" s="39"/>
      <c r="T282" s="30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37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37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287"/>
      <c r="CM282" s="40"/>
      <c r="CN282" s="40"/>
      <c r="CO282" s="40"/>
      <c r="CP282" s="39"/>
      <c r="CQ282" s="40"/>
      <c r="CR282" s="42"/>
      <c r="CS282" s="42"/>
      <c r="CT282" s="42"/>
      <c r="CU282" s="42"/>
      <c r="CV282" s="42"/>
      <c r="CW282" s="42"/>
      <c r="CZ282" s="42"/>
      <c r="DA282" s="42"/>
      <c r="DB282" s="42"/>
      <c r="DC282" s="42"/>
      <c r="DD282" s="42"/>
      <c r="DE282" s="40"/>
      <c r="DF282" s="40"/>
      <c r="DG282" s="40"/>
      <c r="DH282" s="40"/>
      <c r="DI282" s="14"/>
      <c r="DJ282" s="37"/>
    </row>
    <row r="283" s="285" customFormat="true" ht="12.75" hidden="false" customHeight="false" outlineLevel="0" collapsed="false">
      <c r="H283" s="300"/>
      <c r="J283" s="300"/>
      <c r="N283" s="39"/>
      <c r="T283" s="30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37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37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287"/>
      <c r="CM283" s="40"/>
      <c r="CN283" s="40"/>
      <c r="CO283" s="40"/>
      <c r="CP283" s="39"/>
      <c r="CQ283" s="40"/>
      <c r="CR283" s="42"/>
      <c r="CS283" s="42"/>
      <c r="CT283" s="42"/>
      <c r="CU283" s="42"/>
      <c r="CV283" s="42"/>
      <c r="CW283" s="42"/>
      <c r="CZ283" s="42"/>
      <c r="DA283" s="42"/>
      <c r="DB283" s="42"/>
      <c r="DC283" s="42"/>
      <c r="DD283" s="42"/>
      <c r="DE283" s="40"/>
      <c r="DF283" s="40"/>
      <c r="DG283" s="40"/>
      <c r="DH283" s="40"/>
      <c r="DI283" s="14"/>
      <c r="DJ283" s="37"/>
    </row>
    <row r="284" s="285" customFormat="true" ht="12.75" hidden="false" customHeight="false" outlineLevel="0" collapsed="false">
      <c r="H284" s="300"/>
      <c r="J284" s="300"/>
      <c r="N284" s="39"/>
      <c r="T284" s="30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37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37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287"/>
      <c r="CM284" s="40"/>
      <c r="CN284" s="40"/>
      <c r="CO284" s="40"/>
      <c r="CP284" s="39"/>
      <c r="CQ284" s="40"/>
      <c r="CR284" s="42"/>
      <c r="CS284" s="42"/>
      <c r="CT284" s="42"/>
      <c r="CU284" s="42"/>
      <c r="CV284" s="42"/>
      <c r="CW284" s="42"/>
      <c r="CZ284" s="42"/>
      <c r="DA284" s="42"/>
      <c r="DB284" s="42"/>
      <c r="DC284" s="42"/>
      <c r="DD284" s="42"/>
      <c r="DE284" s="40"/>
      <c r="DF284" s="40"/>
      <c r="DG284" s="40"/>
      <c r="DH284" s="40"/>
      <c r="DI284" s="14"/>
      <c r="DJ284" s="37"/>
    </row>
    <row r="285" s="285" customFormat="true" ht="12.75" hidden="false" customHeight="false" outlineLevel="0" collapsed="false">
      <c r="H285" s="300"/>
      <c r="J285" s="300"/>
      <c r="N285" s="39"/>
      <c r="T285" s="30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37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37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287"/>
      <c r="CM285" s="40"/>
      <c r="CN285" s="40"/>
      <c r="CO285" s="40"/>
      <c r="CP285" s="39"/>
      <c r="CQ285" s="40"/>
      <c r="CR285" s="42"/>
      <c r="CS285" s="42"/>
      <c r="CT285" s="42"/>
      <c r="CU285" s="42"/>
      <c r="CV285" s="42"/>
      <c r="CW285" s="42"/>
      <c r="CZ285" s="42"/>
      <c r="DA285" s="42"/>
      <c r="DB285" s="42"/>
      <c r="DC285" s="42"/>
      <c r="DD285" s="42"/>
      <c r="DE285" s="40"/>
      <c r="DF285" s="40"/>
      <c r="DG285" s="40"/>
      <c r="DH285" s="40"/>
      <c r="DI285" s="14"/>
      <c r="DJ285" s="37"/>
    </row>
    <row r="286" s="285" customFormat="true" ht="12.75" hidden="false" customHeight="false" outlineLevel="0" collapsed="false">
      <c r="H286" s="300"/>
      <c r="J286" s="300"/>
      <c r="N286" s="39"/>
      <c r="T286" s="30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37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37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287"/>
      <c r="CM286" s="40"/>
      <c r="CN286" s="40"/>
      <c r="CO286" s="40"/>
      <c r="CP286" s="39"/>
      <c r="CQ286" s="40"/>
      <c r="CR286" s="42"/>
      <c r="CS286" s="42"/>
      <c r="CT286" s="42"/>
      <c r="CU286" s="42"/>
      <c r="CV286" s="42"/>
      <c r="CW286" s="42"/>
      <c r="CZ286" s="42"/>
      <c r="DA286" s="42"/>
      <c r="DB286" s="42"/>
      <c r="DC286" s="42"/>
      <c r="DD286" s="42"/>
      <c r="DE286" s="40"/>
      <c r="DF286" s="40"/>
      <c r="DG286" s="40"/>
      <c r="DH286" s="40"/>
      <c r="DI286" s="14"/>
      <c r="DJ286" s="37"/>
    </row>
    <row r="287" s="285" customFormat="true" ht="12.75" hidden="false" customHeight="false" outlineLevel="0" collapsed="false">
      <c r="H287" s="300"/>
      <c r="J287" s="300"/>
      <c r="N287" s="39"/>
      <c r="T287" s="30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37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37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287"/>
      <c r="CM287" s="40"/>
      <c r="CN287" s="40"/>
      <c r="CO287" s="40"/>
      <c r="CP287" s="39"/>
      <c r="CQ287" s="40"/>
      <c r="CR287" s="42"/>
      <c r="CS287" s="42"/>
      <c r="CT287" s="42"/>
      <c r="CU287" s="42"/>
      <c r="CV287" s="42"/>
      <c r="CW287" s="42"/>
      <c r="CZ287" s="42"/>
      <c r="DA287" s="42"/>
      <c r="DB287" s="42"/>
      <c r="DC287" s="42"/>
      <c r="DD287" s="42"/>
      <c r="DE287" s="40"/>
      <c r="DF287" s="40"/>
      <c r="DG287" s="40"/>
      <c r="DH287" s="40"/>
      <c r="DI287" s="14"/>
      <c r="DJ287" s="37"/>
    </row>
    <row r="288" s="285" customFormat="true" ht="12.75" hidden="false" customHeight="false" outlineLevel="0" collapsed="false">
      <c r="H288" s="300"/>
      <c r="J288" s="300"/>
      <c r="N288" s="39"/>
      <c r="T288" s="30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37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37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287"/>
      <c r="CM288" s="40"/>
      <c r="CN288" s="40"/>
      <c r="CO288" s="40"/>
      <c r="CP288" s="39"/>
      <c r="CQ288" s="40"/>
      <c r="CR288" s="42"/>
      <c r="CS288" s="42"/>
      <c r="CT288" s="42"/>
      <c r="CU288" s="42"/>
      <c r="CV288" s="42"/>
      <c r="CW288" s="42"/>
      <c r="CZ288" s="42"/>
      <c r="DA288" s="42"/>
      <c r="DB288" s="42"/>
      <c r="DC288" s="42"/>
      <c r="DD288" s="42"/>
      <c r="DE288" s="40"/>
      <c r="DF288" s="40"/>
      <c r="DG288" s="40"/>
      <c r="DH288" s="40"/>
      <c r="DI288" s="14"/>
      <c r="DJ288" s="37"/>
    </row>
    <row r="289" s="285" customFormat="true" ht="12.75" hidden="false" customHeight="false" outlineLevel="0" collapsed="false">
      <c r="H289" s="300"/>
      <c r="J289" s="300"/>
      <c r="N289" s="39"/>
      <c r="T289" s="30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37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37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287"/>
      <c r="CM289" s="40"/>
      <c r="CN289" s="40"/>
      <c r="CO289" s="40"/>
      <c r="CP289" s="39"/>
      <c r="CQ289" s="40"/>
      <c r="CR289" s="42"/>
      <c r="CS289" s="42"/>
      <c r="CT289" s="42"/>
      <c r="CU289" s="42"/>
      <c r="CV289" s="42"/>
      <c r="CW289" s="42"/>
      <c r="CZ289" s="42"/>
      <c r="DA289" s="42"/>
      <c r="DB289" s="42"/>
      <c r="DC289" s="42"/>
      <c r="DD289" s="42"/>
      <c r="DE289" s="40"/>
      <c r="DF289" s="40"/>
      <c r="DG289" s="40"/>
      <c r="DH289" s="40"/>
      <c r="DI289" s="14"/>
      <c r="DJ289" s="37"/>
    </row>
    <row r="290" s="285" customFormat="true" ht="12.75" hidden="false" customHeight="false" outlineLevel="0" collapsed="false">
      <c r="H290" s="300"/>
      <c r="J290" s="300"/>
      <c r="N290" s="39"/>
      <c r="T290" s="30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37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37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287"/>
      <c r="CM290" s="40"/>
      <c r="CN290" s="40"/>
      <c r="CO290" s="40"/>
      <c r="CP290" s="39"/>
      <c r="CQ290" s="40"/>
      <c r="CR290" s="42"/>
      <c r="CS290" s="42"/>
      <c r="CT290" s="42"/>
      <c r="CU290" s="42"/>
      <c r="CV290" s="42"/>
      <c r="CW290" s="42"/>
      <c r="CZ290" s="42"/>
      <c r="DA290" s="42"/>
      <c r="DB290" s="42"/>
      <c r="DC290" s="42"/>
      <c r="DD290" s="42"/>
      <c r="DE290" s="40"/>
      <c r="DF290" s="40"/>
      <c r="DG290" s="40"/>
      <c r="DH290" s="40"/>
      <c r="DI290" s="14"/>
      <c r="DJ290" s="37"/>
    </row>
    <row r="291" s="285" customFormat="true" ht="12.75" hidden="false" customHeight="false" outlineLevel="0" collapsed="false">
      <c r="H291" s="300"/>
      <c r="J291" s="300"/>
      <c r="N291" s="39"/>
      <c r="T291" s="30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37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37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287"/>
      <c r="CM291" s="40"/>
      <c r="CN291" s="40"/>
      <c r="CO291" s="40"/>
      <c r="CP291" s="39"/>
      <c r="CQ291" s="40"/>
      <c r="CR291" s="42"/>
      <c r="CS291" s="42"/>
      <c r="CT291" s="42"/>
      <c r="CU291" s="42"/>
      <c r="CV291" s="42"/>
      <c r="CW291" s="42"/>
      <c r="CZ291" s="42"/>
      <c r="DA291" s="42"/>
      <c r="DB291" s="42"/>
      <c r="DC291" s="42"/>
      <c r="DD291" s="42"/>
      <c r="DE291" s="40"/>
      <c r="DF291" s="40"/>
      <c r="DG291" s="40"/>
      <c r="DH291" s="40"/>
      <c r="DI291" s="14"/>
      <c r="DJ291" s="37"/>
    </row>
    <row r="292" s="285" customFormat="true" ht="12.75" hidden="false" customHeight="false" outlineLevel="0" collapsed="false">
      <c r="H292" s="300"/>
      <c r="J292" s="300"/>
      <c r="N292" s="39"/>
      <c r="T292" s="30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37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37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287"/>
      <c r="CM292" s="40"/>
      <c r="CN292" s="40"/>
      <c r="CO292" s="40"/>
      <c r="CP292" s="39"/>
      <c r="CQ292" s="40"/>
      <c r="CR292" s="42"/>
      <c r="CS292" s="42"/>
      <c r="CT292" s="42"/>
      <c r="CU292" s="42"/>
      <c r="CV292" s="42"/>
      <c r="CW292" s="42"/>
      <c r="CZ292" s="42"/>
      <c r="DA292" s="42"/>
      <c r="DB292" s="42"/>
      <c r="DC292" s="42"/>
      <c r="DD292" s="42"/>
      <c r="DE292" s="40"/>
      <c r="DF292" s="40"/>
      <c r="DG292" s="40"/>
      <c r="DH292" s="40"/>
      <c r="DI292" s="14"/>
      <c r="DJ292" s="37"/>
    </row>
    <row r="293" s="285" customFormat="true" ht="12.75" hidden="false" customHeight="false" outlineLevel="0" collapsed="false">
      <c r="H293" s="300"/>
      <c r="J293" s="300"/>
      <c r="N293" s="39"/>
      <c r="T293" s="30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37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37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287"/>
      <c r="CM293" s="40"/>
      <c r="CN293" s="40"/>
      <c r="CO293" s="40"/>
      <c r="CP293" s="39"/>
      <c r="CQ293" s="40"/>
      <c r="CR293" s="42"/>
      <c r="CS293" s="42"/>
      <c r="CT293" s="42"/>
      <c r="CU293" s="42"/>
      <c r="CV293" s="42"/>
      <c r="CW293" s="42"/>
      <c r="CZ293" s="42"/>
      <c r="DA293" s="42"/>
      <c r="DB293" s="42"/>
      <c r="DC293" s="42"/>
      <c r="DD293" s="42"/>
      <c r="DE293" s="40"/>
      <c r="DF293" s="40"/>
      <c r="DG293" s="40"/>
      <c r="DH293" s="40"/>
      <c r="DI293" s="14"/>
      <c r="DJ293" s="37"/>
    </row>
    <row r="294" s="285" customFormat="true" ht="12.75" hidden="false" customHeight="false" outlineLevel="0" collapsed="false">
      <c r="H294" s="300"/>
      <c r="J294" s="300"/>
      <c r="N294" s="39"/>
      <c r="T294" s="30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37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37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287"/>
      <c r="CM294" s="40"/>
      <c r="CN294" s="40"/>
      <c r="CO294" s="40"/>
      <c r="CP294" s="39"/>
      <c r="CQ294" s="40"/>
      <c r="CR294" s="42"/>
      <c r="CS294" s="42"/>
      <c r="CT294" s="42"/>
      <c r="CU294" s="42"/>
      <c r="CV294" s="42"/>
      <c r="CW294" s="42"/>
      <c r="CZ294" s="42"/>
      <c r="DA294" s="42"/>
      <c r="DB294" s="42"/>
      <c r="DC294" s="42"/>
      <c r="DD294" s="42"/>
      <c r="DE294" s="40"/>
      <c r="DF294" s="40"/>
      <c r="DG294" s="40"/>
      <c r="DH294" s="40"/>
      <c r="DI294" s="14"/>
      <c r="DJ294" s="37"/>
    </row>
    <row r="295" s="285" customFormat="true" ht="12.75" hidden="false" customHeight="false" outlineLevel="0" collapsed="false">
      <c r="H295" s="300"/>
      <c r="J295" s="300"/>
      <c r="N295" s="39"/>
      <c r="T295" s="30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37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37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287"/>
      <c r="CM295" s="40"/>
      <c r="CN295" s="40"/>
      <c r="CO295" s="40"/>
      <c r="CP295" s="39"/>
      <c r="CQ295" s="40"/>
      <c r="CR295" s="42"/>
      <c r="CS295" s="42"/>
      <c r="CT295" s="42"/>
      <c r="CU295" s="42"/>
      <c r="CV295" s="42"/>
      <c r="CW295" s="42"/>
      <c r="CZ295" s="42"/>
      <c r="DA295" s="42"/>
      <c r="DB295" s="42"/>
      <c r="DC295" s="42"/>
      <c r="DD295" s="42"/>
      <c r="DE295" s="40"/>
      <c r="DF295" s="40"/>
      <c r="DG295" s="40"/>
      <c r="DH295" s="40"/>
      <c r="DI295" s="14"/>
      <c r="DJ295" s="37"/>
    </row>
    <row r="296" s="285" customFormat="true" ht="12.75" hidden="false" customHeight="false" outlineLevel="0" collapsed="false">
      <c r="H296" s="300"/>
      <c r="J296" s="300"/>
      <c r="N296" s="39"/>
      <c r="T296" s="30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37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37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287"/>
      <c r="CM296" s="40"/>
      <c r="CN296" s="40"/>
      <c r="CO296" s="40"/>
      <c r="CP296" s="39"/>
      <c r="CQ296" s="40"/>
      <c r="CR296" s="42"/>
      <c r="CS296" s="42"/>
      <c r="CT296" s="42"/>
      <c r="CU296" s="42"/>
      <c r="CV296" s="42"/>
      <c r="CW296" s="42"/>
      <c r="CZ296" s="42"/>
      <c r="DA296" s="42"/>
      <c r="DB296" s="42"/>
      <c r="DC296" s="42"/>
      <c r="DD296" s="42"/>
      <c r="DE296" s="40"/>
      <c r="DF296" s="40"/>
      <c r="DG296" s="40"/>
      <c r="DH296" s="40"/>
      <c r="DI296" s="14"/>
      <c r="DJ296" s="37"/>
    </row>
    <row r="297" s="285" customFormat="true" ht="12.75" hidden="false" customHeight="false" outlineLevel="0" collapsed="false">
      <c r="H297" s="300"/>
      <c r="J297" s="300"/>
      <c r="N297" s="39"/>
      <c r="T297" s="30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37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37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287"/>
      <c r="CM297" s="40"/>
      <c r="CN297" s="40"/>
      <c r="CO297" s="40"/>
      <c r="CP297" s="39"/>
      <c r="CQ297" s="40"/>
      <c r="CR297" s="42"/>
      <c r="CS297" s="42"/>
      <c r="CT297" s="42"/>
      <c r="CU297" s="42"/>
      <c r="CV297" s="42"/>
      <c r="CW297" s="42"/>
      <c r="CZ297" s="42"/>
      <c r="DA297" s="42"/>
      <c r="DB297" s="42"/>
      <c r="DC297" s="42"/>
      <c r="DD297" s="42"/>
      <c r="DE297" s="40"/>
      <c r="DF297" s="40"/>
      <c r="DG297" s="40"/>
      <c r="DH297" s="40"/>
      <c r="DI297" s="14"/>
      <c r="DJ297" s="37"/>
    </row>
    <row r="298" s="285" customFormat="true" ht="12.75" hidden="false" customHeight="false" outlineLevel="0" collapsed="false">
      <c r="H298" s="300"/>
      <c r="J298" s="300"/>
      <c r="N298" s="39"/>
      <c r="T298" s="30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37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37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287"/>
      <c r="CM298" s="40"/>
      <c r="CN298" s="40"/>
      <c r="CO298" s="40"/>
      <c r="CP298" s="39"/>
      <c r="CQ298" s="40"/>
      <c r="CR298" s="42"/>
      <c r="CS298" s="42"/>
      <c r="CT298" s="42"/>
      <c r="CU298" s="42"/>
      <c r="CV298" s="42"/>
      <c r="CW298" s="42"/>
      <c r="CZ298" s="42"/>
      <c r="DA298" s="42"/>
      <c r="DB298" s="42"/>
      <c r="DC298" s="42"/>
      <c r="DD298" s="42"/>
      <c r="DE298" s="40"/>
      <c r="DF298" s="40"/>
      <c r="DG298" s="40"/>
      <c r="DH298" s="40"/>
      <c r="DI298" s="14"/>
      <c r="DJ298" s="37"/>
    </row>
    <row r="299" s="285" customFormat="true" ht="12.75" hidden="false" customHeight="false" outlineLevel="0" collapsed="false">
      <c r="H299" s="300"/>
      <c r="J299" s="300"/>
      <c r="N299" s="39"/>
      <c r="T299" s="30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37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37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287"/>
      <c r="CM299" s="40"/>
      <c r="CN299" s="40"/>
      <c r="CO299" s="40"/>
      <c r="CP299" s="39"/>
      <c r="CQ299" s="40"/>
      <c r="CR299" s="42"/>
      <c r="CS299" s="42"/>
      <c r="CT299" s="42"/>
      <c r="CU299" s="42"/>
      <c r="CV299" s="42"/>
      <c r="CW299" s="42"/>
      <c r="CZ299" s="42"/>
      <c r="DA299" s="42"/>
      <c r="DB299" s="42"/>
      <c r="DC299" s="42"/>
      <c r="DD299" s="42"/>
      <c r="DE299" s="40"/>
      <c r="DF299" s="40"/>
      <c r="DG299" s="40"/>
      <c r="DH299" s="40"/>
      <c r="DI299" s="14"/>
      <c r="DJ299" s="37"/>
    </row>
    <row r="300" s="285" customFormat="true" ht="12.75" hidden="false" customHeight="false" outlineLevel="0" collapsed="false">
      <c r="H300" s="300"/>
      <c r="J300" s="300"/>
      <c r="N300" s="39"/>
      <c r="T300" s="30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37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37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287"/>
      <c r="CM300" s="40"/>
      <c r="CN300" s="40"/>
      <c r="CO300" s="40"/>
      <c r="CP300" s="39"/>
      <c r="CQ300" s="40"/>
      <c r="CR300" s="42"/>
      <c r="CS300" s="42"/>
      <c r="CT300" s="42"/>
      <c r="CU300" s="42"/>
      <c r="CV300" s="42"/>
      <c r="CW300" s="42"/>
      <c r="CZ300" s="42"/>
      <c r="DA300" s="42"/>
      <c r="DB300" s="42"/>
      <c r="DC300" s="42"/>
      <c r="DD300" s="42"/>
      <c r="DE300" s="40"/>
      <c r="DF300" s="40"/>
      <c r="DG300" s="40"/>
      <c r="DH300" s="40"/>
      <c r="DI300" s="14"/>
      <c r="DJ300" s="37"/>
    </row>
    <row r="301" s="285" customFormat="true" ht="12.75" hidden="false" customHeight="false" outlineLevel="0" collapsed="false">
      <c r="H301" s="300"/>
      <c r="J301" s="300"/>
      <c r="N301" s="39"/>
      <c r="T301" s="30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37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37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287"/>
      <c r="CM301" s="40"/>
      <c r="CN301" s="40"/>
      <c r="CO301" s="40"/>
      <c r="CP301" s="39"/>
      <c r="CQ301" s="40"/>
      <c r="CR301" s="42"/>
      <c r="CS301" s="42"/>
      <c r="CT301" s="42"/>
      <c r="CU301" s="42"/>
      <c r="CV301" s="42"/>
      <c r="CW301" s="42"/>
      <c r="CZ301" s="42"/>
      <c r="DA301" s="42"/>
      <c r="DB301" s="42"/>
      <c r="DC301" s="42"/>
      <c r="DD301" s="42"/>
      <c r="DE301" s="40"/>
      <c r="DF301" s="40"/>
      <c r="DG301" s="40"/>
      <c r="DH301" s="40"/>
      <c r="DI301" s="14"/>
      <c r="DJ301" s="37"/>
    </row>
    <row r="302" s="285" customFormat="true" ht="12.75" hidden="false" customHeight="false" outlineLevel="0" collapsed="false">
      <c r="H302" s="300"/>
      <c r="J302" s="300"/>
      <c r="N302" s="39"/>
      <c r="T302" s="30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37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37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287"/>
      <c r="CM302" s="40"/>
      <c r="CN302" s="40"/>
      <c r="CO302" s="40"/>
      <c r="CP302" s="39"/>
      <c r="CQ302" s="40"/>
      <c r="CR302" s="42"/>
      <c r="CS302" s="42"/>
      <c r="CT302" s="42"/>
      <c r="CU302" s="42"/>
      <c r="CV302" s="42"/>
      <c r="CW302" s="42"/>
      <c r="CZ302" s="42"/>
      <c r="DA302" s="42"/>
      <c r="DB302" s="42"/>
      <c r="DC302" s="42"/>
      <c r="DD302" s="42"/>
      <c r="DE302" s="40"/>
      <c r="DF302" s="40"/>
      <c r="DG302" s="40"/>
      <c r="DH302" s="40"/>
      <c r="DI302" s="14"/>
      <c r="DJ302" s="37"/>
    </row>
    <row r="303" s="285" customFormat="true" ht="12.75" hidden="false" customHeight="false" outlineLevel="0" collapsed="false">
      <c r="H303" s="300"/>
      <c r="J303" s="300"/>
      <c r="N303" s="39"/>
      <c r="T303" s="30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37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37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287"/>
      <c r="CM303" s="40"/>
      <c r="CN303" s="40"/>
      <c r="CO303" s="40"/>
      <c r="CP303" s="39"/>
      <c r="CQ303" s="40"/>
      <c r="CR303" s="42"/>
      <c r="CS303" s="42"/>
      <c r="CT303" s="42"/>
      <c r="CU303" s="42"/>
      <c r="CV303" s="42"/>
      <c r="CW303" s="42"/>
      <c r="CZ303" s="42"/>
      <c r="DA303" s="42"/>
      <c r="DB303" s="42"/>
      <c r="DC303" s="42"/>
      <c r="DD303" s="42"/>
      <c r="DE303" s="40"/>
      <c r="DF303" s="40"/>
      <c r="DG303" s="40"/>
      <c r="DH303" s="40"/>
      <c r="DI303" s="14"/>
      <c r="DJ303" s="37"/>
    </row>
    <row r="304" s="285" customFormat="true" ht="12.75" hidden="false" customHeight="false" outlineLevel="0" collapsed="false">
      <c r="H304" s="300"/>
      <c r="J304" s="300"/>
      <c r="N304" s="39"/>
      <c r="T304" s="30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37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37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287"/>
      <c r="CK304" s="40"/>
      <c r="CL304" s="40"/>
      <c r="CM304" s="40"/>
      <c r="CN304" s="40"/>
      <c r="CO304" s="40"/>
      <c r="CP304" s="39"/>
      <c r="CQ304" s="40"/>
      <c r="CR304" s="42"/>
      <c r="CS304" s="42"/>
      <c r="CT304" s="42"/>
      <c r="CU304" s="42"/>
      <c r="CV304" s="42"/>
      <c r="CW304" s="42"/>
      <c r="CZ304" s="42"/>
      <c r="DA304" s="42"/>
      <c r="DB304" s="42"/>
      <c r="DC304" s="42"/>
      <c r="DD304" s="42"/>
      <c r="DE304" s="40"/>
      <c r="DF304" s="40"/>
      <c r="DG304" s="40"/>
      <c r="DH304" s="40"/>
      <c r="DI304" s="14"/>
      <c r="DJ304" s="37"/>
    </row>
    <row r="305" s="285" customFormat="true" ht="12.75" hidden="false" customHeight="false" outlineLevel="0" collapsed="false">
      <c r="H305" s="300"/>
      <c r="J305" s="300"/>
      <c r="N305" s="39"/>
      <c r="T305" s="30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37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37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287"/>
      <c r="CK305" s="40"/>
      <c r="CL305" s="40"/>
      <c r="CM305" s="40"/>
      <c r="CN305" s="40"/>
      <c r="CO305" s="40"/>
      <c r="CP305" s="39"/>
      <c r="CQ305" s="40"/>
      <c r="CR305" s="42"/>
      <c r="CS305" s="42"/>
      <c r="CT305" s="42"/>
      <c r="CU305" s="42"/>
      <c r="CV305" s="42"/>
      <c r="CW305" s="42"/>
      <c r="CZ305" s="42"/>
      <c r="DA305" s="42"/>
      <c r="DB305" s="42"/>
      <c r="DC305" s="42"/>
      <c r="DD305" s="42"/>
      <c r="DE305" s="40"/>
      <c r="DF305" s="40"/>
      <c r="DG305" s="40"/>
      <c r="DH305" s="40"/>
      <c r="DI305" s="14"/>
      <c r="DJ305" s="37"/>
    </row>
    <row r="306" s="285" customFormat="true" ht="12.75" hidden="false" customHeight="false" outlineLevel="0" collapsed="false">
      <c r="H306" s="300"/>
      <c r="J306" s="300"/>
      <c r="N306" s="39"/>
      <c r="T306" s="30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37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37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287"/>
      <c r="CK306" s="40"/>
      <c r="CL306" s="40"/>
      <c r="CM306" s="40"/>
      <c r="CN306" s="40"/>
      <c r="CO306" s="40"/>
      <c r="CP306" s="39"/>
      <c r="CQ306" s="40"/>
      <c r="CR306" s="42"/>
      <c r="CS306" s="42"/>
      <c r="CT306" s="42"/>
      <c r="CU306" s="42"/>
      <c r="CV306" s="42"/>
      <c r="CW306" s="42"/>
      <c r="CZ306" s="42"/>
      <c r="DA306" s="42"/>
      <c r="DB306" s="42"/>
      <c r="DC306" s="42"/>
      <c r="DD306" s="42"/>
      <c r="DE306" s="40"/>
      <c r="DF306" s="40"/>
      <c r="DG306" s="40"/>
      <c r="DH306" s="40"/>
      <c r="DI306" s="283"/>
      <c r="DJ306" s="37"/>
    </row>
    <row r="307" s="285" customFormat="true" ht="12.75" hidden="false" customHeight="false" outlineLevel="0" collapsed="false">
      <c r="H307" s="300"/>
      <c r="J307" s="300"/>
      <c r="N307" s="39"/>
      <c r="T307" s="30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37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37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287"/>
      <c r="CK307" s="40"/>
      <c r="CL307" s="40"/>
      <c r="CM307" s="40"/>
      <c r="CN307" s="40"/>
      <c r="CO307" s="40"/>
      <c r="CP307" s="39"/>
      <c r="CQ307" s="40"/>
      <c r="CR307" s="42"/>
      <c r="CS307" s="42"/>
      <c r="CT307" s="42"/>
      <c r="CU307" s="42"/>
      <c r="CV307" s="42"/>
      <c r="CW307" s="42"/>
      <c r="CZ307" s="42"/>
      <c r="DA307" s="42"/>
      <c r="DB307" s="42"/>
      <c r="DC307" s="42"/>
      <c r="DD307" s="42"/>
      <c r="DE307" s="40"/>
      <c r="DF307" s="40"/>
      <c r="DG307" s="40"/>
      <c r="DH307" s="40"/>
      <c r="DI307" s="283"/>
      <c r="DJ307" s="37"/>
    </row>
    <row r="308" s="285" customFormat="true" ht="12.75" hidden="false" customHeight="false" outlineLevel="0" collapsed="false">
      <c r="H308" s="300"/>
      <c r="J308" s="300"/>
      <c r="N308" s="39"/>
      <c r="T308" s="30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37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37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287"/>
      <c r="CK308" s="40"/>
      <c r="CL308" s="40"/>
      <c r="CM308" s="40"/>
      <c r="CN308" s="40"/>
      <c r="CO308" s="40"/>
      <c r="CP308" s="39"/>
      <c r="CQ308" s="40"/>
      <c r="CR308" s="42"/>
      <c r="CS308" s="42"/>
      <c r="CT308" s="42"/>
      <c r="CU308" s="42"/>
      <c r="CV308" s="42"/>
      <c r="CW308" s="42"/>
      <c r="CZ308" s="42"/>
      <c r="DA308" s="42"/>
      <c r="DB308" s="42"/>
      <c r="DC308" s="42"/>
      <c r="DD308" s="42"/>
      <c r="DE308" s="40"/>
      <c r="DF308" s="40"/>
      <c r="DG308" s="40"/>
      <c r="DH308" s="40"/>
      <c r="DI308" s="283"/>
      <c r="DJ308" s="37"/>
    </row>
    <row r="309" s="285" customFormat="true" ht="12.75" hidden="false" customHeight="false" outlineLevel="0" collapsed="false">
      <c r="H309" s="300"/>
      <c r="J309" s="300"/>
      <c r="N309" s="39"/>
      <c r="T309" s="30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37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37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287"/>
      <c r="CK309" s="40"/>
      <c r="CL309" s="40"/>
      <c r="CM309" s="40"/>
      <c r="CN309" s="40"/>
      <c r="CO309" s="40"/>
      <c r="CP309" s="39"/>
      <c r="CQ309" s="40"/>
      <c r="CR309" s="42"/>
      <c r="CS309" s="42"/>
      <c r="CT309" s="42"/>
      <c r="CU309" s="42"/>
      <c r="CV309" s="42"/>
      <c r="CW309" s="42"/>
      <c r="CZ309" s="42"/>
      <c r="DA309" s="42"/>
      <c r="DB309" s="42"/>
      <c r="DC309" s="42"/>
      <c r="DD309" s="42"/>
      <c r="DE309" s="40"/>
      <c r="DF309" s="40"/>
      <c r="DG309" s="40"/>
      <c r="DH309" s="40"/>
      <c r="DI309" s="283"/>
      <c r="DJ309" s="37"/>
    </row>
    <row r="310" s="285" customFormat="true" ht="12.75" hidden="false" customHeight="false" outlineLevel="0" collapsed="false">
      <c r="H310" s="300"/>
      <c r="J310" s="300"/>
      <c r="N310" s="39"/>
      <c r="T310" s="30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37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37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287"/>
      <c r="CK310" s="40"/>
      <c r="CL310" s="40"/>
      <c r="CM310" s="40"/>
      <c r="CN310" s="40"/>
      <c r="CO310" s="40"/>
      <c r="CP310" s="39"/>
      <c r="CQ310" s="40"/>
      <c r="CR310" s="42"/>
      <c r="CS310" s="42"/>
      <c r="CT310" s="42"/>
      <c r="CU310" s="42"/>
      <c r="CV310" s="42"/>
      <c r="CW310" s="42"/>
      <c r="CZ310" s="42"/>
      <c r="DA310" s="42"/>
      <c r="DB310" s="42"/>
      <c r="DC310" s="42"/>
      <c r="DD310" s="42"/>
      <c r="DE310" s="40"/>
      <c r="DF310" s="40"/>
      <c r="DG310" s="40"/>
      <c r="DH310" s="40"/>
      <c r="DI310" s="283"/>
      <c r="DJ310" s="37"/>
    </row>
    <row r="311" s="285" customFormat="true" ht="12.75" hidden="false" customHeight="false" outlineLevel="0" collapsed="false">
      <c r="H311" s="300"/>
      <c r="J311" s="300"/>
      <c r="N311" s="39"/>
      <c r="T311" s="30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37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37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287"/>
      <c r="CK311" s="40"/>
      <c r="CL311" s="40"/>
      <c r="CM311" s="40"/>
      <c r="CN311" s="40"/>
      <c r="CO311" s="40"/>
      <c r="CP311" s="39"/>
      <c r="CQ311" s="40"/>
      <c r="CR311" s="42"/>
      <c r="CS311" s="42"/>
      <c r="CT311" s="42"/>
      <c r="CU311" s="42"/>
      <c r="CV311" s="42"/>
      <c r="CW311" s="42"/>
      <c r="CZ311" s="42"/>
      <c r="DA311" s="42"/>
      <c r="DB311" s="42"/>
      <c r="DC311" s="42"/>
      <c r="DD311" s="42"/>
      <c r="DE311" s="40"/>
      <c r="DF311" s="40"/>
      <c r="DG311" s="40"/>
      <c r="DH311" s="40"/>
      <c r="DI311" s="283"/>
      <c r="DJ311" s="37"/>
    </row>
    <row r="312" s="285" customFormat="true" ht="12.75" hidden="false" customHeight="false" outlineLevel="0" collapsed="false">
      <c r="H312" s="300"/>
      <c r="J312" s="300"/>
      <c r="N312" s="39"/>
      <c r="T312" s="30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37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37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287"/>
      <c r="CK312" s="40"/>
      <c r="CL312" s="40"/>
      <c r="CM312" s="40"/>
      <c r="CN312" s="40"/>
      <c r="CO312" s="40"/>
      <c r="CP312" s="39"/>
      <c r="CQ312" s="40"/>
      <c r="CR312" s="42"/>
      <c r="CS312" s="42"/>
      <c r="CT312" s="42"/>
      <c r="CU312" s="42"/>
      <c r="CV312" s="42"/>
      <c r="CW312" s="42"/>
      <c r="CZ312" s="42"/>
      <c r="DA312" s="42"/>
      <c r="DB312" s="42"/>
      <c r="DC312" s="42"/>
      <c r="DD312" s="42"/>
      <c r="DE312" s="40"/>
      <c r="DF312" s="40"/>
      <c r="DG312" s="40"/>
      <c r="DH312" s="40"/>
      <c r="DI312" s="283"/>
      <c r="DJ312" s="37"/>
    </row>
    <row r="313" s="285" customFormat="true" ht="12.75" hidden="false" customHeight="false" outlineLevel="0" collapsed="false">
      <c r="H313" s="300"/>
      <c r="J313" s="300"/>
      <c r="N313" s="39"/>
      <c r="T313" s="30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37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37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287"/>
      <c r="CK313" s="40"/>
      <c r="CL313" s="40"/>
      <c r="CM313" s="40"/>
      <c r="CN313" s="40"/>
      <c r="CO313" s="40"/>
      <c r="CP313" s="39"/>
      <c r="CQ313" s="40"/>
      <c r="CR313" s="42"/>
      <c r="CS313" s="42"/>
      <c r="CT313" s="42"/>
      <c r="CU313" s="42"/>
      <c r="CV313" s="42"/>
      <c r="CW313" s="42"/>
      <c r="CZ313" s="42"/>
      <c r="DA313" s="42"/>
      <c r="DB313" s="42"/>
      <c r="DC313" s="42"/>
      <c r="DD313" s="42"/>
      <c r="DE313" s="40"/>
      <c r="DF313" s="40"/>
      <c r="DG313" s="40"/>
      <c r="DH313" s="40"/>
      <c r="DI313" s="283"/>
      <c r="DJ313" s="37"/>
    </row>
  </sheetData>
  <mergeCells count="21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DB4:DE4"/>
    <mergeCell ref="A18:B18"/>
    <mergeCell ref="A55:B55"/>
    <mergeCell ref="A56:B56"/>
    <mergeCell ref="A57:B57"/>
    <mergeCell ref="A59:B59"/>
    <mergeCell ref="A84:B84"/>
    <mergeCell ref="A109:B109"/>
  </mergeCells>
  <printOptions headings="false" gridLines="false" gridLinesSet="true" horizontalCentered="true" verticalCentered="tru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rowBreaks count="1" manualBreakCount="1">
    <brk id="109" man="true" max="16383" min="0"/>
  </rowBreaks>
  <colBreaks count="1" manualBreakCount="1">
    <brk id="21" man="true" max="65535" min="0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R313"/>
  <sheetViews>
    <sheetView showFormulas="false" showGridLines="false" showRowColHeaders="true" showZeros="true" rightToLeft="false" tabSelected="false" showOutlineSymbols="true" defaultGridColor="true" view="pageBreakPreview" topLeftCell="AB1" colorId="64" zoomScale="100" zoomScaleNormal="100" zoomScalePageLayoutView="100" workbookViewId="0">
      <selection pane="topLeft" activeCell="N85" activeCellId="0" sqref="N85"/>
    </sheetView>
  </sheetViews>
  <sheetFormatPr defaultColWidth="10.90234375" defaultRowHeight="12.75" zeroHeight="false" outlineLevelRow="1" outlineLevelCol="0"/>
  <cols>
    <col collapsed="false" customWidth="true" hidden="false" outlineLevel="0" max="1" min="1" style="2" width="2.16"/>
    <col collapsed="false" customWidth="true" hidden="false" outlineLevel="0" max="2" min="2" style="2" width="26.83"/>
    <col collapsed="false" customWidth="true" hidden="false" outlineLevel="0" max="3" min="3" style="2" width="8.16"/>
    <col collapsed="false" customWidth="true" hidden="false" outlineLevel="0" max="5" min="4" style="206" width="9.51"/>
    <col collapsed="false" customWidth="true" hidden="false" outlineLevel="0" max="6" min="6" style="206" width="9.83"/>
    <col collapsed="false" customWidth="true" hidden="false" outlineLevel="0" max="7" min="7" style="206" width="10.99"/>
    <col collapsed="false" customWidth="true" hidden="false" outlineLevel="0" max="8" min="8" style="206" width="10.5"/>
    <col collapsed="false" customWidth="true" hidden="false" outlineLevel="0" max="9" min="9" style="206" width="0.16"/>
    <col collapsed="false" customWidth="true" hidden="false" outlineLevel="0" max="10" min="10" style="206" width="13.02"/>
    <col collapsed="false" customWidth="true" hidden="false" outlineLevel="0" max="11" min="11" style="206" width="9.83"/>
    <col collapsed="false" customWidth="true" hidden="false" outlineLevel="0" max="12" min="12" style="206" width="9.51"/>
    <col collapsed="false" customWidth="true" hidden="false" outlineLevel="0" max="13" min="13" style="206" width="10"/>
    <col collapsed="false" customWidth="true" hidden="false" outlineLevel="0" max="14" min="14" style="245" width="8.67"/>
    <col collapsed="false" customWidth="true" hidden="false" outlineLevel="0" max="15" min="15" style="206" width="0.52"/>
    <col collapsed="false" customWidth="true" hidden="false" outlineLevel="0" max="16" min="16" style="206" width="10.5"/>
    <col collapsed="false" customWidth="true" hidden="false" outlineLevel="0" max="17" min="17" style="206" width="11.5"/>
    <col collapsed="false" customWidth="true" hidden="false" outlineLevel="0" max="18" min="18" style="206" width="11.64"/>
    <col collapsed="false" customWidth="true" hidden="false" outlineLevel="0" max="19" min="19" style="206" width="11.84"/>
    <col collapsed="false" customWidth="true" hidden="false" outlineLevel="0" max="20" min="20" style="245" width="13.5"/>
    <col collapsed="false" customWidth="true" hidden="false" outlineLevel="0" max="21" min="21" style="245" width="0.52"/>
    <col collapsed="false" customWidth="true" hidden="false" outlineLevel="0" max="22" min="22" style="245" width="9.51"/>
    <col collapsed="false" customWidth="true" hidden="false" outlineLevel="0" max="23" min="23" style="40" width="8.33"/>
    <col collapsed="false" customWidth="true" hidden="false" outlineLevel="0" max="24" min="24" style="40" width="10.5"/>
    <col collapsed="false" customWidth="true" hidden="false" outlineLevel="0" max="26" min="25" style="40" width="10.99"/>
    <col collapsed="false" customWidth="true" hidden="false" outlineLevel="0" max="28" min="27" style="40" width="10.5"/>
    <col collapsed="false" customWidth="true" hidden="false" outlineLevel="0" max="29" min="29" style="40" width="0.16"/>
    <col collapsed="false" customWidth="true" hidden="false" outlineLevel="0" max="30" min="30" style="40" width="12.33"/>
    <col collapsed="false" customWidth="true" hidden="false" outlineLevel="0" max="31" min="31" style="40" width="12.5"/>
    <col collapsed="false" customWidth="true" hidden="false" outlineLevel="0" max="32" min="32" style="40" width="11.64"/>
    <col collapsed="false" customWidth="false" hidden="false" outlineLevel="0" max="33" min="33" style="40" width="10.84"/>
    <col collapsed="false" customWidth="true" hidden="false" outlineLevel="0" max="34" min="34" style="40" width="10.5"/>
    <col collapsed="false" customWidth="true" hidden="false" outlineLevel="0" max="35" min="35" style="40" width="11.99"/>
    <col collapsed="false" customWidth="false" hidden="false" outlineLevel="0" max="36" min="36" style="40" width="10.84"/>
    <col collapsed="false" customWidth="true" hidden="false" outlineLevel="0" max="37" min="37" style="40" width="0.16"/>
    <col collapsed="false" customWidth="true" hidden="false" outlineLevel="0" max="38" min="38" style="40" width="12.5"/>
    <col collapsed="false" customWidth="false" hidden="false" outlineLevel="0" max="39" min="39" style="40" width="10.84"/>
    <col collapsed="false" customWidth="true" hidden="false" outlineLevel="0" max="40" min="40" style="40" width="10.16"/>
    <col collapsed="false" customWidth="true" hidden="false" outlineLevel="0" max="41" min="41" style="40" width="10.99"/>
    <col collapsed="false" customWidth="true" hidden="false" outlineLevel="0" max="43" min="42" style="40" width="13.5"/>
    <col collapsed="false" customWidth="true" hidden="false" outlineLevel="0" max="44" min="44" style="40" width="11.5"/>
    <col collapsed="false" customWidth="true" hidden="false" outlineLevel="0" max="45" min="45" style="40" width="11.16"/>
    <col collapsed="false" customWidth="true" hidden="false" outlineLevel="0" max="46" min="46" style="40" width="0.33"/>
    <col collapsed="false" customWidth="true" hidden="false" outlineLevel="0" max="47" min="47" style="40" width="10.5"/>
    <col collapsed="false" customWidth="true" hidden="false" outlineLevel="0" max="48" min="48" style="40" width="10"/>
    <col collapsed="false" customWidth="true" hidden="false" outlineLevel="0" max="49" min="49" style="40" width="9"/>
    <col collapsed="false" customWidth="true" hidden="false" outlineLevel="0" max="51" min="50" style="40" width="10.5"/>
    <col collapsed="false" customWidth="true" hidden="false" outlineLevel="0" max="52" min="52" style="40" width="8.83"/>
    <col collapsed="false" customWidth="true" hidden="false" outlineLevel="0" max="53" min="53" style="40" width="8.52"/>
    <col collapsed="false" customWidth="true" hidden="false" outlineLevel="0" max="54" min="54" style="40" width="0.16"/>
    <col collapsed="false" customWidth="true" hidden="false" outlineLevel="0" max="56" min="55" style="40" width="12.5"/>
    <col collapsed="false" customWidth="true" hidden="false" outlineLevel="0" max="57" min="57" style="40" width="15.49"/>
    <col collapsed="false" customWidth="true" hidden="false" outlineLevel="0" max="58" min="58" style="40" width="11.99"/>
    <col collapsed="false" customWidth="true" hidden="false" outlineLevel="0" max="59" min="59" style="40" width="11.84"/>
    <col collapsed="false" customWidth="true" hidden="false" outlineLevel="0" max="60" min="60" style="40" width="12.33"/>
    <col collapsed="false" customWidth="false" hidden="false" outlineLevel="0" max="61" min="61" style="40" width="10.84"/>
    <col collapsed="false" customWidth="true" hidden="false" outlineLevel="0" max="62" min="62" style="40" width="0.16"/>
    <col collapsed="false" customWidth="true" hidden="false" outlineLevel="0" max="63" min="63" style="40" width="10.5"/>
    <col collapsed="false" customWidth="true" hidden="false" outlineLevel="0" max="64" min="64" style="40" width="9.66"/>
    <col collapsed="false" customWidth="false" hidden="false" outlineLevel="0" max="65" min="65" style="40" width="10.84"/>
    <col collapsed="false" customWidth="true" hidden="false" outlineLevel="0" max="66" min="66" style="40" width="10.5"/>
    <col collapsed="false" customWidth="true" hidden="false" outlineLevel="0" max="67" min="67" style="40" width="9.51"/>
    <col collapsed="false" customWidth="true" hidden="false" outlineLevel="0" max="68" min="68" style="40" width="8.52"/>
    <col collapsed="false" customWidth="true" hidden="false" outlineLevel="0" max="69" min="69" style="40" width="8.83"/>
    <col collapsed="false" customWidth="true" hidden="false" outlineLevel="0" max="70" min="70" style="40" width="7"/>
    <col collapsed="false" customWidth="true" hidden="false" outlineLevel="0" max="71" min="71" style="40" width="0.16"/>
    <col collapsed="false" customWidth="true" hidden="false" outlineLevel="0" max="73" min="72" style="40" width="10.99"/>
    <col collapsed="false" customWidth="true" hidden="false" outlineLevel="0" max="74" min="74" style="40" width="14.01"/>
    <col collapsed="false" customWidth="true" hidden="false" outlineLevel="0" max="75" min="75" style="40" width="10.5"/>
    <col collapsed="false" customWidth="true" hidden="false" outlineLevel="0" max="76" min="76" style="40" width="9.33"/>
    <col collapsed="false" customWidth="true" hidden="false" outlineLevel="0" max="77" min="77" style="40" width="10.99"/>
    <col collapsed="false" customWidth="true" hidden="false" outlineLevel="0" max="78" min="78" style="40" width="9.51"/>
    <col collapsed="false" customWidth="true" hidden="false" outlineLevel="0" max="79" min="79" style="40" width="0.33"/>
    <col collapsed="false" customWidth="true" hidden="false" outlineLevel="0" max="82" min="80" style="40" width="10.99"/>
    <col collapsed="false" customWidth="true" hidden="false" outlineLevel="0" max="85" min="83" style="40" width="10.5"/>
    <col collapsed="false" customWidth="true" hidden="false" outlineLevel="0" max="86" min="86" style="40" width="7.83"/>
    <col collapsed="false" customWidth="true" hidden="false" outlineLevel="0" max="87" min="87" style="40" width="0.33"/>
    <col collapsed="false" customWidth="true" hidden="false" outlineLevel="0" max="88" min="88" style="2" width="10.5"/>
    <col collapsed="false" customWidth="true" hidden="false" outlineLevel="0" max="89" min="89" style="2" width="11.64"/>
    <col collapsed="false" customWidth="true" hidden="false" outlineLevel="0" max="90" min="90" style="2" width="11.5"/>
    <col collapsed="false" customWidth="true" hidden="false" outlineLevel="0" max="92" min="91" style="2" width="10.99"/>
    <col collapsed="false" customWidth="true" hidden="false" outlineLevel="0" max="93" min="93" style="2" width="10.5"/>
    <col collapsed="false" customWidth="true" hidden="false" outlineLevel="0" max="94" min="94" style="2" width="10.33"/>
    <col collapsed="false" customWidth="true" hidden="false" outlineLevel="0" max="95" min="95" style="2" width="0.16"/>
    <col collapsed="false" customWidth="true" hidden="false" outlineLevel="0" max="96" min="96" style="640" width="12.33"/>
    <col collapsed="false" customWidth="true" hidden="false" outlineLevel="0" max="97" min="97" style="42" width="14.35"/>
    <col collapsed="false" customWidth="true" hidden="false" outlineLevel="0" max="98" min="98" style="42" width="13.02"/>
    <col collapsed="false" customWidth="true" hidden="false" outlineLevel="0" max="99" min="99" style="42" width="11.64"/>
    <col collapsed="false" customWidth="true" hidden="false" outlineLevel="0" max="100" min="100" style="640" width="11.64"/>
    <col collapsed="false" customWidth="true" hidden="false" outlineLevel="0" max="101" min="101" style="42" width="13.02"/>
    <col collapsed="false" customWidth="true" hidden="false" outlineLevel="0" max="102" min="102" style="39" width="6.83"/>
    <col collapsed="false" customWidth="true" hidden="false" outlineLevel="0" max="103" min="103" style="2" width="0.16"/>
    <col collapsed="false" customWidth="true" hidden="false" outlineLevel="0" max="104" min="104" style="42" width="12.5"/>
    <col collapsed="false" customWidth="true" hidden="false" outlineLevel="0" max="106" min="105" style="42" width="11.16"/>
    <col collapsed="false" customWidth="true" hidden="false" outlineLevel="0" max="108" min="107" style="42" width="13.02"/>
    <col collapsed="false" customWidth="true" hidden="false" outlineLevel="0" max="109" min="109" style="2" width="10.5"/>
    <col collapsed="false" customWidth="true" hidden="false" outlineLevel="0" max="110" min="110" style="40" width="11.16"/>
    <col collapsed="false" customWidth="true" hidden="false" outlineLevel="0" max="111" min="111" style="2" width="8.16"/>
    <col collapsed="false" customWidth="true" hidden="false" outlineLevel="0" max="112" min="112" style="2" width="10.5"/>
    <col collapsed="false" customWidth="true" hidden="true" outlineLevel="0" max="113" min="113" style="256" width="16.48"/>
    <col collapsed="false" customWidth="false" hidden="true" outlineLevel="0" max="120" min="114" style="14" width="10.84"/>
    <col collapsed="false" customWidth="false" hidden="true" outlineLevel="0" max="127" min="121" style="2" width="10.84"/>
    <col collapsed="false" customWidth="true" hidden="true" outlineLevel="0" max="128" min="128" style="2" width="11.5"/>
    <col collapsed="false" customWidth="true" hidden="true" outlineLevel="0" max="129" min="129" style="2" width="20.98"/>
    <col collapsed="false" customWidth="false" hidden="true" outlineLevel="0" max="134" min="130" style="2" width="10.84"/>
  </cols>
  <sheetData>
    <row r="1" customFormat="false" ht="9" hidden="false" customHeight="true" outlineLevel="0" collapsed="false">
      <c r="CJ1" s="638"/>
      <c r="CM1" s="638"/>
      <c r="CP1" s="638"/>
      <c r="DX1" s="40"/>
      <c r="DY1" s="40"/>
      <c r="DZ1" s="40"/>
    </row>
    <row r="2" customFormat="false" ht="21" hidden="false" customHeight="false" outlineLevel="0" collapsed="false">
      <c r="A2" s="44" t="s">
        <v>715</v>
      </c>
      <c r="B2" s="637"/>
      <c r="C2" s="285"/>
      <c r="D2" s="280"/>
      <c r="E2" s="280"/>
      <c r="F2" s="280"/>
      <c r="G2" s="280"/>
      <c r="H2" s="280"/>
      <c r="I2" s="280"/>
      <c r="J2" s="280"/>
      <c r="K2" s="280"/>
      <c r="L2" s="280"/>
      <c r="M2" s="280"/>
      <c r="O2" s="280"/>
      <c r="P2" s="280"/>
      <c r="Q2" s="280"/>
      <c r="R2" s="280"/>
      <c r="S2" s="280"/>
      <c r="BK2" s="632"/>
      <c r="BL2" s="632"/>
      <c r="BM2" s="632"/>
      <c r="BN2" s="641"/>
      <c r="BO2" s="632"/>
      <c r="BP2" s="632"/>
      <c r="BQ2" s="632"/>
      <c r="BR2" s="632"/>
      <c r="CJ2" s="917"/>
      <c r="CK2" s="641"/>
      <c r="CL2" s="641"/>
      <c r="CM2" s="918"/>
      <c r="CN2" s="918"/>
      <c r="CO2" s="641"/>
      <c r="CP2" s="919"/>
      <c r="CQ2" s="920"/>
      <c r="CR2" s="921"/>
      <c r="CS2" s="919" t="n">
        <v>25912.8913965212</v>
      </c>
      <c r="CT2" s="919" t="n">
        <v>25481.3742571354</v>
      </c>
      <c r="CU2" s="922"/>
      <c r="CV2" s="921"/>
      <c r="CW2" s="919" t="n">
        <v>56170.7049742841</v>
      </c>
      <c r="CX2" s="923"/>
      <c r="CY2" s="924"/>
      <c r="CZ2" s="925"/>
      <c r="DA2" s="919"/>
      <c r="DB2" s="641"/>
      <c r="DC2" s="641"/>
      <c r="DD2" s="641"/>
      <c r="DE2" s="926"/>
      <c r="DF2" s="927"/>
      <c r="DG2" s="926"/>
      <c r="DH2" s="637"/>
    </row>
    <row r="3" customFormat="false" ht="18.75" hidden="false" customHeight="true" outlineLevel="0" collapsed="false">
      <c r="D3" s="928"/>
      <c r="E3" s="929" t="n">
        <v>0</v>
      </c>
      <c r="F3" s="928"/>
      <c r="G3" s="930" t="n">
        <v>0</v>
      </c>
      <c r="H3" s="928"/>
      <c r="I3" s="245"/>
      <c r="J3" s="931"/>
      <c r="K3" s="928"/>
      <c r="L3" s="928"/>
      <c r="M3" s="928"/>
      <c r="N3" s="932"/>
      <c r="O3" s="245"/>
      <c r="P3" s="931"/>
      <c r="Q3" s="928"/>
      <c r="R3" s="928"/>
      <c r="S3" s="928"/>
      <c r="T3" s="932"/>
      <c r="U3" s="933"/>
      <c r="V3" s="934"/>
      <c r="W3" s="935"/>
      <c r="X3" s="935"/>
      <c r="Y3" s="935"/>
      <c r="Z3" s="935"/>
      <c r="AA3" s="935"/>
      <c r="AB3" s="935"/>
      <c r="AC3" s="652"/>
      <c r="AD3" s="935"/>
      <c r="AE3" s="935"/>
      <c r="AF3" s="935"/>
      <c r="AG3" s="935"/>
      <c r="AH3" s="935"/>
      <c r="AI3" s="935"/>
      <c r="AJ3" s="935"/>
      <c r="AK3" s="652"/>
      <c r="AL3" s="935"/>
      <c r="AM3" s="935"/>
      <c r="AN3" s="935"/>
      <c r="AO3" s="935"/>
      <c r="AP3" s="935"/>
      <c r="AQ3" s="935"/>
      <c r="AR3" s="935"/>
      <c r="AS3" s="935"/>
      <c r="AT3" s="652"/>
      <c r="AU3" s="935"/>
      <c r="AV3" s="935"/>
      <c r="AW3" s="935"/>
      <c r="AX3" s="935"/>
      <c r="AY3" s="935"/>
      <c r="AZ3" s="935"/>
      <c r="BA3" s="935"/>
      <c r="BB3" s="652"/>
      <c r="BC3" s="935"/>
      <c r="BD3" s="935"/>
      <c r="BE3" s="935"/>
      <c r="BF3" s="935"/>
      <c r="BG3" s="935"/>
      <c r="BH3" s="935"/>
      <c r="BI3" s="935"/>
      <c r="BJ3" s="652"/>
      <c r="BK3" s="935"/>
      <c r="BL3" s="935"/>
      <c r="BM3" s="935"/>
      <c r="BN3" s="935"/>
      <c r="BO3" s="935"/>
      <c r="BP3" s="935"/>
      <c r="BQ3" s="935"/>
      <c r="BR3" s="935"/>
      <c r="BS3" s="652"/>
      <c r="BT3" s="936"/>
      <c r="BU3" s="653"/>
      <c r="BV3" s="653"/>
      <c r="BW3" s="653"/>
      <c r="BX3" s="653"/>
      <c r="BY3" s="653"/>
      <c r="BZ3" s="653"/>
      <c r="CA3" s="652"/>
      <c r="CB3" s="936"/>
      <c r="CC3" s="653"/>
      <c r="CD3" s="653"/>
      <c r="CE3" s="653"/>
      <c r="CF3" s="653"/>
      <c r="CG3" s="653"/>
      <c r="CH3" s="937"/>
      <c r="CI3" s="652"/>
      <c r="CJ3" s="935"/>
      <c r="CK3" s="935"/>
      <c r="CL3" s="935"/>
      <c r="CM3" s="935"/>
      <c r="CN3" s="935"/>
      <c r="CO3" s="935"/>
      <c r="CP3" s="935"/>
      <c r="CQ3" s="652"/>
      <c r="CY3" s="938"/>
      <c r="CZ3" s="930" t="n">
        <v>0</v>
      </c>
      <c r="DA3" s="939"/>
      <c r="DB3" s="939"/>
      <c r="DC3" s="939"/>
      <c r="DD3" s="930" t="n">
        <v>0</v>
      </c>
      <c r="DE3" s="940"/>
      <c r="DF3" s="940"/>
      <c r="DG3" s="940"/>
      <c r="DH3" s="941"/>
    </row>
    <row r="4" s="79" customFormat="true" ht="12.75" hidden="false" customHeight="false" outlineLevel="0" collapsed="false">
      <c r="D4" s="362" t="n">
        <v>45292</v>
      </c>
      <c r="E4" s="362"/>
      <c r="F4" s="362"/>
      <c r="G4" s="362"/>
      <c r="H4" s="362"/>
      <c r="I4" s="78"/>
      <c r="J4" s="942" t="n">
        <v>45323</v>
      </c>
      <c r="K4" s="942"/>
      <c r="L4" s="942"/>
      <c r="M4" s="942"/>
      <c r="N4" s="942"/>
      <c r="O4" s="78"/>
      <c r="P4" s="942" t="n">
        <v>45352</v>
      </c>
      <c r="Q4" s="942"/>
      <c r="R4" s="942"/>
      <c r="S4" s="942"/>
      <c r="T4" s="942"/>
      <c r="U4" s="367"/>
      <c r="V4" s="366" t="n">
        <v>45383</v>
      </c>
      <c r="W4" s="366"/>
      <c r="X4" s="366"/>
      <c r="Y4" s="366"/>
      <c r="Z4" s="366"/>
      <c r="AA4" s="366"/>
      <c r="AB4" s="366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943" t="n">
        <v>45444</v>
      </c>
      <c r="AM4" s="943"/>
      <c r="AN4" s="943"/>
      <c r="AO4" s="943"/>
      <c r="AP4" s="943"/>
      <c r="AQ4" s="943"/>
      <c r="AR4" s="943"/>
      <c r="AS4" s="943"/>
      <c r="AT4" s="367"/>
      <c r="AU4" s="362" t="n">
        <v>45474</v>
      </c>
      <c r="AV4" s="362"/>
      <c r="AW4" s="362"/>
      <c r="AX4" s="362"/>
      <c r="AY4" s="362"/>
      <c r="AZ4" s="362"/>
      <c r="BA4" s="362"/>
      <c r="BB4" s="367"/>
      <c r="BC4" s="362" t="n">
        <v>45505</v>
      </c>
      <c r="BD4" s="362"/>
      <c r="BE4" s="362"/>
      <c r="BF4" s="362"/>
      <c r="BG4" s="362"/>
      <c r="BH4" s="362"/>
      <c r="BI4" s="362"/>
      <c r="BJ4" s="367"/>
      <c r="BK4" s="362" t="n">
        <v>45536</v>
      </c>
      <c r="BL4" s="362"/>
      <c r="BM4" s="362"/>
      <c r="BN4" s="362"/>
      <c r="BO4" s="362"/>
      <c r="BP4" s="362"/>
      <c r="BQ4" s="362"/>
      <c r="BR4" s="362"/>
      <c r="BS4" s="367"/>
      <c r="BT4" s="366" t="n">
        <v>45566</v>
      </c>
      <c r="BU4" s="366"/>
      <c r="BV4" s="366"/>
      <c r="BW4" s="366"/>
      <c r="BX4" s="366"/>
      <c r="BY4" s="366"/>
      <c r="BZ4" s="366"/>
      <c r="CA4" s="944"/>
      <c r="CB4" s="364" t="n">
        <v>45597</v>
      </c>
      <c r="CC4" s="364"/>
      <c r="CD4" s="364"/>
      <c r="CE4" s="364"/>
      <c r="CF4" s="364"/>
      <c r="CG4" s="364"/>
      <c r="CH4" s="364"/>
      <c r="CI4" s="367"/>
      <c r="CJ4" s="362" t="n">
        <v>45627</v>
      </c>
      <c r="CK4" s="362"/>
      <c r="CL4" s="362"/>
      <c r="CM4" s="362"/>
      <c r="CN4" s="362"/>
      <c r="CO4" s="362"/>
      <c r="CP4" s="362"/>
      <c r="CQ4" s="664"/>
      <c r="CR4" s="78" t="s">
        <v>3</v>
      </c>
      <c r="CS4" s="78"/>
      <c r="CT4" s="78"/>
      <c r="CU4" s="78"/>
      <c r="CV4" s="78"/>
      <c r="CW4" s="78"/>
      <c r="CX4" s="78"/>
      <c r="CY4" s="945"/>
      <c r="CZ4" s="663" t="s">
        <v>4</v>
      </c>
      <c r="DA4" s="663"/>
      <c r="DB4" s="663"/>
      <c r="DC4" s="663"/>
      <c r="DD4" s="663"/>
      <c r="DE4" s="663"/>
      <c r="DF4" s="663"/>
      <c r="DG4" s="663"/>
      <c r="DH4" s="663"/>
      <c r="DI4" s="509"/>
      <c r="DQ4" s="105"/>
      <c r="DR4" s="105"/>
      <c r="DS4" s="105"/>
      <c r="DT4" s="105"/>
      <c r="DU4" s="105"/>
      <c r="DV4" s="105"/>
      <c r="DW4" s="105"/>
      <c r="EA4" s="105"/>
      <c r="EB4" s="105"/>
      <c r="EC4" s="105"/>
      <c r="ED4" s="105"/>
      <c r="EE4" s="105"/>
    </row>
    <row r="5" s="91" customFormat="true" ht="27.75" hidden="false" customHeight="true" outlineLevel="0" collapsed="false">
      <c r="B5" s="91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Z5" s="87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256"/>
      <c r="DJ5" s="383" t="s">
        <v>6</v>
      </c>
      <c r="DK5" s="383" t="s">
        <v>7</v>
      </c>
      <c r="DL5" s="383" t="s">
        <v>9</v>
      </c>
      <c r="DM5" s="383" t="s">
        <v>102</v>
      </c>
      <c r="DQ5" s="128"/>
      <c r="DR5" s="128"/>
      <c r="DS5" s="128"/>
      <c r="DT5" s="128"/>
      <c r="DU5" s="128"/>
      <c r="DV5" s="128"/>
      <c r="DW5" s="128"/>
      <c r="EA5" s="128"/>
      <c r="EB5" s="128"/>
      <c r="EC5" s="128"/>
      <c r="ED5" s="128"/>
      <c r="EE5" s="128"/>
    </row>
    <row r="6" customFormat="false" ht="3.75" hidden="false" customHeight="true" outlineLevel="0" collapsed="false">
      <c r="F6" s="144"/>
      <c r="H6" s="245"/>
      <c r="I6" s="245"/>
      <c r="J6" s="946"/>
      <c r="K6" s="281"/>
      <c r="L6" s="281"/>
      <c r="M6" s="281"/>
      <c r="N6" s="805"/>
      <c r="O6" s="281"/>
      <c r="P6" s="946"/>
      <c r="Q6" s="281"/>
      <c r="R6" s="281"/>
      <c r="S6" s="281"/>
      <c r="T6" s="805"/>
      <c r="U6" s="422"/>
      <c r="V6" s="946"/>
      <c r="W6" s="37"/>
      <c r="X6" s="37"/>
      <c r="Y6" s="37"/>
      <c r="Z6" s="37"/>
      <c r="AA6" s="37"/>
      <c r="AC6" s="671"/>
      <c r="AD6" s="946"/>
      <c r="AK6" s="671"/>
      <c r="AL6" s="946"/>
      <c r="AM6" s="37"/>
      <c r="AN6" s="37"/>
      <c r="AO6" s="37"/>
      <c r="AP6" s="37"/>
      <c r="AQ6" s="37"/>
      <c r="AS6" s="37"/>
      <c r="AT6" s="373"/>
      <c r="AU6" s="946"/>
      <c r="AV6" s="37"/>
      <c r="AW6" s="37"/>
      <c r="AX6" s="37"/>
      <c r="AY6" s="37"/>
      <c r="AZ6" s="37"/>
      <c r="BB6" s="671"/>
      <c r="BC6" s="946"/>
      <c r="BD6" s="37"/>
      <c r="BE6" s="37"/>
      <c r="BF6" s="37"/>
      <c r="BG6" s="37"/>
      <c r="BH6" s="37"/>
      <c r="BJ6" s="671"/>
      <c r="BK6" s="946"/>
      <c r="BL6" s="246"/>
      <c r="BM6" s="246"/>
      <c r="BN6" s="246"/>
      <c r="BO6" s="43"/>
      <c r="BP6" s="43"/>
      <c r="BQ6" s="246"/>
      <c r="BS6" s="671"/>
      <c r="BT6" s="946"/>
      <c r="BU6" s="246"/>
      <c r="BV6" s="246"/>
      <c r="BW6" s="43"/>
      <c r="BX6" s="43"/>
      <c r="BY6" s="246"/>
      <c r="CA6" s="671"/>
      <c r="CB6" s="946"/>
      <c r="CC6" s="37"/>
      <c r="CD6" s="37"/>
      <c r="CE6" s="37"/>
      <c r="CF6" s="37"/>
      <c r="CG6" s="37"/>
      <c r="CI6" s="671"/>
      <c r="CJ6" s="946"/>
      <c r="CK6" s="246"/>
      <c r="CL6" s="246"/>
      <c r="CM6" s="43"/>
      <c r="CN6" s="43"/>
      <c r="CO6" s="246"/>
      <c r="CP6" s="40"/>
      <c r="CQ6" s="671"/>
      <c r="CR6" s="947"/>
      <c r="CS6" s="43"/>
      <c r="CT6" s="43"/>
      <c r="CU6" s="43"/>
      <c r="CV6" s="947"/>
      <c r="CW6" s="43"/>
      <c r="CY6" s="945"/>
      <c r="CZ6" s="43"/>
      <c r="DA6" s="43"/>
      <c r="DB6" s="43"/>
      <c r="DC6" s="43"/>
      <c r="DD6" s="43"/>
      <c r="DE6" s="246"/>
      <c r="DF6" s="246"/>
      <c r="DG6" s="246"/>
      <c r="DH6" s="948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</row>
    <row r="7" s="36" customFormat="true" ht="19.5" hidden="false" customHeight="true" outlineLevel="0" collapsed="false">
      <c r="A7" s="700" t="s">
        <v>716</v>
      </c>
      <c r="B7" s="707"/>
      <c r="C7" s="679" t="s">
        <v>717</v>
      </c>
      <c r="D7" s="400"/>
      <c r="E7" s="400"/>
      <c r="F7" s="400"/>
      <c r="G7" s="400"/>
      <c r="H7" s="949"/>
      <c r="I7" s="401"/>
      <c r="J7" s="400"/>
      <c r="K7" s="400"/>
      <c r="L7" s="400"/>
      <c r="M7" s="400"/>
      <c r="N7" s="949"/>
      <c r="O7" s="399"/>
      <c r="P7" s="400"/>
      <c r="Q7" s="400"/>
      <c r="R7" s="400"/>
      <c r="S7" s="400"/>
      <c r="T7" s="949"/>
      <c r="U7" s="403"/>
      <c r="V7" s="400"/>
      <c r="W7" s="400"/>
      <c r="X7" s="400"/>
      <c r="Y7" s="400"/>
      <c r="Z7" s="399"/>
      <c r="AA7" s="400"/>
      <c r="AB7" s="949"/>
      <c r="AC7" s="403"/>
      <c r="AD7" s="400"/>
      <c r="AE7" s="400"/>
      <c r="AF7" s="400"/>
      <c r="AG7" s="400"/>
      <c r="AH7" s="399"/>
      <c r="AI7" s="400"/>
      <c r="AJ7" s="949"/>
      <c r="AK7" s="403"/>
      <c r="AL7" s="400"/>
      <c r="AM7" s="400"/>
      <c r="AN7" s="400"/>
      <c r="AO7" s="400"/>
      <c r="AP7" s="400"/>
      <c r="AQ7" s="400"/>
      <c r="AR7" s="400"/>
      <c r="AS7" s="949"/>
      <c r="AT7" s="403"/>
      <c r="AU7" s="400"/>
      <c r="AV7" s="400"/>
      <c r="AW7" s="400"/>
      <c r="AX7" s="400"/>
      <c r="AY7" s="400"/>
      <c r="AZ7" s="400"/>
      <c r="BA7" s="949"/>
      <c r="BB7" s="403"/>
      <c r="BC7" s="400"/>
      <c r="BD7" s="400"/>
      <c r="BE7" s="400"/>
      <c r="BF7" s="400"/>
      <c r="BG7" s="400"/>
      <c r="BH7" s="400"/>
      <c r="BI7" s="949"/>
      <c r="BJ7" s="403"/>
      <c r="BK7" s="400"/>
      <c r="BL7" s="400"/>
      <c r="BM7" s="400"/>
      <c r="BN7" s="400"/>
      <c r="BO7" s="400"/>
      <c r="BP7" s="400"/>
      <c r="BQ7" s="400"/>
      <c r="BR7" s="950"/>
      <c r="BS7" s="403"/>
      <c r="BT7" s="400"/>
      <c r="BU7" s="400"/>
      <c r="BV7" s="400"/>
      <c r="BW7" s="400"/>
      <c r="BX7" s="400"/>
      <c r="BY7" s="400"/>
      <c r="BZ7" s="950"/>
      <c r="CA7" s="403"/>
      <c r="CB7" s="400"/>
      <c r="CC7" s="400"/>
      <c r="CD7" s="400"/>
      <c r="CE7" s="400"/>
      <c r="CF7" s="400"/>
      <c r="CG7" s="400"/>
      <c r="CH7" s="950"/>
      <c r="CI7" s="403"/>
      <c r="CJ7" s="400"/>
      <c r="CK7" s="400"/>
      <c r="CL7" s="400"/>
      <c r="CM7" s="400"/>
      <c r="CN7" s="400"/>
      <c r="CO7" s="400"/>
      <c r="CP7" s="950"/>
      <c r="CQ7" s="703"/>
      <c r="CR7" s="399"/>
      <c r="CS7" s="400"/>
      <c r="CT7" s="400"/>
      <c r="CU7" s="400" t="n">
        <f aca="false">+CR7-CS7</f>
        <v>0</v>
      </c>
      <c r="CV7" s="400" t="n">
        <f aca="false">+CR7-CT7</f>
        <v>0</v>
      </c>
      <c r="CW7" s="400"/>
      <c r="CX7" s="401" t="str">
        <f aca="false">IFERROR(CR7/CW7-1, "-")</f>
        <v>-</v>
      </c>
      <c r="CY7" s="945"/>
      <c r="CZ7" s="400"/>
      <c r="DA7" s="400"/>
      <c r="DB7" s="400"/>
      <c r="DC7" s="400"/>
      <c r="DD7" s="400"/>
      <c r="DE7" s="401" t="e">
        <f aca="false">CZ7/DD7-1</f>
        <v>#DIV/0!</v>
      </c>
      <c r="DF7" s="401" t="e">
        <f aca="false">DA7/DD7-1</f>
        <v>#DIV/0!</v>
      </c>
      <c r="DG7" s="401" t="e">
        <f aca="false">DB7/DD7-1</f>
        <v>#DIV/0!</v>
      </c>
      <c r="DH7" s="401" t="e">
        <f aca="false">DC7/DD7-1</f>
        <v>#DIV/0!</v>
      </c>
      <c r="DI7" s="951"/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14"/>
      <c r="DO7" s="14"/>
      <c r="DP7" s="14"/>
    </row>
    <row r="8" customFormat="false" ht="15" hidden="false" customHeight="true" outlineLevel="0" collapsed="false">
      <c r="A8" s="590"/>
      <c r="B8" s="714" t="s">
        <v>718</v>
      </c>
      <c r="C8" s="679" t="s">
        <v>719</v>
      </c>
      <c r="D8" s="952"/>
      <c r="E8" s="555"/>
      <c r="F8" s="952"/>
      <c r="G8" s="555"/>
      <c r="H8" s="953"/>
      <c r="I8" s="556"/>
      <c r="J8" s="952"/>
      <c r="K8" s="555"/>
      <c r="L8" s="952"/>
      <c r="M8" s="555"/>
      <c r="N8" s="953"/>
      <c r="O8" s="554"/>
      <c r="P8" s="952"/>
      <c r="Q8" s="555"/>
      <c r="R8" s="952"/>
      <c r="S8" s="555"/>
      <c r="T8" s="953"/>
      <c r="U8" s="557"/>
      <c r="V8" s="952"/>
      <c r="W8" s="555"/>
      <c r="X8" s="555"/>
      <c r="Y8" s="952"/>
      <c r="Z8" s="554"/>
      <c r="AA8" s="555"/>
      <c r="AB8" s="953"/>
      <c r="AC8" s="557"/>
      <c r="AD8" s="952"/>
      <c r="AE8" s="555"/>
      <c r="AF8" s="555"/>
      <c r="AG8" s="952"/>
      <c r="AH8" s="554"/>
      <c r="AI8" s="555"/>
      <c r="AJ8" s="953"/>
      <c r="AK8" s="557"/>
      <c r="AL8" s="952"/>
      <c r="AM8" s="555"/>
      <c r="AN8" s="555"/>
      <c r="AO8" s="555"/>
      <c r="AP8" s="952"/>
      <c r="AQ8" s="952"/>
      <c r="AR8" s="555"/>
      <c r="AS8" s="953"/>
      <c r="AT8" s="557"/>
      <c r="AU8" s="952"/>
      <c r="AV8" s="555"/>
      <c r="AW8" s="555"/>
      <c r="AX8" s="952"/>
      <c r="AY8" s="952"/>
      <c r="AZ8" s="555"/>
      <c r="BA8" s="953"/>
      <c r="BB8" s="557"/>
      <c r="BC8" s="952"/>
      <c r="BD8" s="555"/>
      <c r="BE8" s="555"/>
      <c r="BF8" s="952"/>
      <c r="BG8" s="952"/>
      <c r="BH8" s="555"/>
      <c r="BI8" s="953"/>
      <c r="BJ8" s="557"/>
      <c r="BK8" s="952"/>
      <c r="BL8" s="555"/>
      <c r="BM8" s="555"/>
      <c r="BN8" s="555"/>
      <c r="BO8" s="952"/>
      <c r="BP8" s="952"/>
      <c r="BQ8" s="555"/>
      <c r="BR8" s="953"/>
      <c r="BS8" s="557"/>
      <c r="BT8" s="952"/>
      <c r="BU8" s="555"/>
      <c r="BV8" s="555"/>
      <c r="BW8" s="952"/>
      <c r="BX8" s="952"/>
      <c r="BY8" s="555"/>
      <c r="BZ8" s="953"/>
      <c r="CA8" s="557"/>
      <c r="CB8" s="952"/>
      <c r="CC8" s="555"/>
      <c r="CD8" s="555"/>
      <c r="CE8" s="952"/>
      <c r="CF8" s="952"/>
      <c r="CG8" s="555"/>
      <c r="CH8" s="953"/>
      <c r="CI8" s="557"/>
      <c r="CJ8" s="952"/>
      <c r="CK8" s="555"/>
      <c r="CL8" s="555"/>
      <c r="CM8" s="952"/>
      <c r="CN8" s="952"/>
      <c r="CO8" s="555"/>
      <c r="CP8" s="953"/>
      <c r="CQ8" s="422"/>
      <c r="CR8" s="954"/>
      <c r="CS8" s="555"/>
      <c r="CT8" s="555"/>
      <c r="CU8" s="952" t="n">
        <f aca="false">+CR8-CS8</f>
        <v>0</v>
      </c>
      <c r="CV8" s="952" t="n">
        <f aca="false">+CR8-CT8</f>
        <v>0</v>
      </c>
      <c r="CW8" s="555"/>
      <c r="CX8" s="556" t="str">
        <f aca="false">IFERROR(CR8/CW8-1, "-")</f>
        <v>-</v>
      </c>
      <c r="CY8" s="945"/>
      <c r="CZ8" s="555"/>
      <c r="DA8" s="555"/>
      <c r="DB8" s="555"/>
      <c r="DC8" s="555"/>
      <c r="DD8" s="555"/>
      <c r="DE8" s="556" t="e">
        <f aca="false">CZ8/DD8-1</f>
        <v>#DIV/0!</v>
      </c>
      <c r="DF8" s="556" t="e">
        <f aca="false">DA8/DD8-1</f>
        <v>#DIV/0!</v>
      </c>
      <c r="DG8" s="556" t="e">
        <f aca="false">DB8/DD8-1</f>
        <v>#DIV/0!</v>
      </c>
      <c r="DH8" s="556" t="e">
        <f aca="false">DC8/DD8-1</f>
        <v>#DIV/0!</v>
      </c>
      <c r="DI8" s="951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customFormat="false" ht="15" hidden="false" customHeight="true" outlineLevel="0" collapsed="false">
      <c r="A9" s="591"/>
      <c r="B9" s="857" t="s">
        <v>720</v>
      </c>
      <c r="C9" s="679" t="s">
        <v>721</v>
      </c>
      <c r="D9" s="144"/>
      <c r="E9" s="144"/>
      <c r="F9" s="144"/>
      <c r="G9" s="144"/>
      <c r="H9" s="805"/>
      <c r="I9" s="245"/>
      <c r="J9" s="144"/>
      <c r="K9" s="144"/>
      <c r="L9" s="144"/>
      <c r="M9" s="144"/>
      <c r="N9" s="805"/>
      <c r="O9" s="281"/>
      <c r="P9" s="144"/>
      <c r="Q9" s="144"/>
      <c r="R9" s="144"/>
      <c r="S9" s="144"/>
      <c r="T9" s="805"/>
      <c r="U9" s="422"/>
      <c r="V9" s="144"/>
      <c r="W9" s="144"/>
      <c r="X9" s="144"/>
      <c r="Y9" s="144"/>
      <c r="Z9" s="281"/>
      <c r="AA9" s="144"/>
      <c r="AB9" s="805"/>
      <c r="AC9" s="422"/>
      <c r="AD9" s="144"/>
      <c r="AE9" s="144"/>
      <c r="AF9" s="144"/>
      <c r="AG9" s="144"/>
      <c r="AH9" s="281"/>
      <c r="AI9" s="144"/>
      <c r="AJ9" s="805"/>
      <c r="AK9" s="422"/>
      <c r="AL9" s="144"/>
      <c r="AM9" s="144"/>
      <c r="AN9" s="144"/>
      <c r="AO9" s="144"/>
      <c r="AP9" s="144"/>
      <c r="AQ9" s="144"/>
      <c r="AR9" s="144"/>
      <c r="AS9" s="805"/>
      <c r="AT9" s="422"/>
      <c r="AU9" s="144"/>
      <c r="AV9" s="144"/>
      <c r="AW9" s="144"/>
      <c r="AX9" s="144"/>
      <c r="AY9" s="144"/>
      <c r="AZ9" s="144"/>
      <c r="BA9" s="805"/>
      <c r="BB9" s="422"/>
      <c r="BC9" s="144"/>
      <c r="BD9" s="144"/>
      <c r="BE9" s="144"/>
      <c r="BF9" s="144"/>
      <c r="BG9" s="144"/>
      <c r="BH9" s="144"/>
      <c r="BI9" s="805"/>
      <c r="BJ9" s="422"/>
      <c r="BK9" s="144"/>
      <c r="BL9" s="144"/>
      <c r="BM9" s="144"/>
      <c r="BN9" s="144"/>
      <c r="BO9" s="144"/>
      <c r="BP9" s="144"/>
      <c r="BQ9" s="144"/>
      <c r="BR9" s="805"/>
      <c r="BS9" s="422"/>
      <c r="BT9" s="144"/>
      <c r="BU9" s="144"/>
      <c r="BV9" s="144"/>
      <c r="BW9" s="144"/>
      <c r="BX9" s="144"/>
      <c r="BY9" s="144"/>
      <c r="BZ9" s="805"/>
      <c r="CA9" s="422"/>
      <c r="CB9" s="144"/>
      <c r="CC9" s="144"/>
      <c r="CD9" s="144"/>
      <c r="CE9" s="144"/>
      <c r="CF9" s="144"/>
      <c r="CG9" s="144"/>
      <c r="CH9" s="805"/>
      <c r="CI9" s="422"/>
      <c r="CJ9" s="144"/>
      <c r="CK9" s="144"/>
      <c r="CL9" s="144"/>
      <c r="CM9" s="144"/>
      <c r="CN9" s="144"/>
      <c r="CO9" s="144"/>
      <c r="CP9" s="805"/>
      <c r="CQ9" s="422"/>
      <c r="CR9" s="955"/>
      <c r="CS9" s="144"/>
      <c r="CT9" s="144"/>
      <c r="CU9" s="144" t="n">
        <f aca="false">+CR9-CS9</f>
        <v>0</v>
      </c>
      <c r="CV9" s="144" t="n">
        <f aca="false">+CR9-CT9</f>
        <v>0</v>
      </c>
      <c r="CW9" s="144"/>
      <c r="CX9" s="245" t="str">
        <f aca="false">IFERROR(CR9/CW9-1, "-")</f>
        <v>-</v>
      </c>
      <c r="CY9" s="945"/>
      <c r="CZ9" s="144"/>
      <c r="DA9" s="144"/>
      <c r="DB9" s="144"/>
      <c r="DC9" s="144"/>
      <c r="DD9" s="144"/>
      <c r="DE9" s="245" t="e">
        <f aca="false">CZ9/DD9-1</f>
        <v>#DIV/0!</v>
      </c>
      <c r="DF9" s="245" t="e">
        <f aca="false">DA9/DD9-1</f>
        <v>#DIV/0!</v>
      </c>
      <c r="DG9" s="245" t="e">
        <f aca="false">DB9/DD9-1</f>
        <v>#DIV/0!</v>
      </c>
      <c r="DH9" s="245" t="e">
        <f aca="false">DC9/DD9-1</f>
        <v>#DIV/0!</v>
      </c>
      <c r="DI9" s="951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</row>
    <row r="10" customFormat="false" ht="12.75" hidden="false" customHeight="false" outlineLevel="0" collapsed="false">
      <c r="A10" s="956"/>
      <c r="B10" s="957" t="s">
        <v>722</v>
      </c>
      <c r="C10" s="679" t="s">
        <v>723</v>
      </c>
      <c r="D10" s="958"/>
      <c r="E10" s="958"/>
      <c r="F10" s="958"/>
      <c r="G10" s="958"/>
      <c r="H10" s="959"/>
      <c r="I10" s="960"/>
      <c r="J10" s="958"/>
      <c r="K10" s="958"/>
      <c r="L10" s="958"/>
      <c r="M10" s="958"/>
      <c r="N10" s="959"/>
      <c r="O10" s="588"/>
      <c r="P10" s="958"/>
      <c r="Q10" s="958"/>
      <c r="R10" s="958"/>
      <c r="S10" s="958"/>
      <c r="T10" s="959"/>
      <c r="U10" s="690"/>
      <c r="V10" s="958"/>
      <c r="W10" s="958"/>
      <c r="X10" s="958"/>
      <c r="Y10" s="958"/>
      <c r="Z10" s="588"/>
      <c r="AA10" s="958"/>
      <c r="AB10" s="959"/>
      <c r="AC10" s="690"/>
      <c r="AD10" s="958"/>
      <c r="AE10" s="958"/>
      <c r="AF10" s="958"/>
      <c r="AG10" s="958"/>
      <c r="AH10" s="588"/>
      <c r="AI10" s="958"/>
      <c r="AJ10" s="959"/>
      <c r="AK10" s="690"/>
      <c r="AL10" s="958"/>
      <c r="AM10" s="958"/>
      <c r="AN10" s="958"/>
      <c r="AO10" s="958"/>
      <c r="AP10" s="958"/>
      <c r="AQ10" s="958"/>
      <c r="AR10" s="958"/>
      <c r="AS10" s="959"/>
      <c r="AT10" s="690"/>
      <c r="AU10" s="958"/>
      <c r="AV10" s="958"/>
      <c r="AW10" s="958"/>
      <c r="AX10" s="958"/>
      <c r="AY10" s="958"/>
      <c r="AZ10" s="958"/>
      <c r="BA10" s="959"/>
      <c r="BB10" s="690"/>
      <c r="BC10" s="958"/>
      <c r="BD10" s="958"/>
      <c r="BE10" s="958"/>
      <c r="BF10" s="958"/>
      <c r="BG10" s="958"/>
      <c r="BH10" s="958"/>
      <c r="BI10" s="959"/>
      <c r="BJ10" s="690"/>
      <c r="BK10" s="958"/>
      <c r="BL10" s="958"/>
      <c r="BM10" s="958"/>
      <c r="BN10" s="958"/>
      <c r="BO10" s="958"/>
      <c r="BP10" s="958"/>
      <c r="BQ10" s="958"/>
      <c r="BR10" s="959"/>
      <c r="BS10" s="690"/>
      <c r="BT10" s="958"/>
      <c r="BU10" s="958"/>
      <c r="BV10" s="958"/>
      <c r="BW10" s="958"/>
      <c r="BX10" s="958"/>
      <c r="BY10" s="958"/>
      <c r="BZ10" s="959"/>
      <c r="CA10" s="690"/>
      <c r="CB10" s="958"/>
      <c r="CC10" s="958"/>
      <c r="CD10" s="958"/>
      <c r="CE10" s="958"/>
      <c r="CF10" s="958"/>
      <c r="CG10" s="958"/>
      <c r="CH10" s="959"/>
      <c r="CI10" s="690"/>
      <c r="CJ10" s="958"/>
      <c r="CK10" s="958"/>
      <c r="CL10" s="958"/>
      <c r="CM10" s="958"/>
      <c r="CN10" s="958"/>
      <c r="CO10" s="958"/>
      <c r="CP10" s="959"/>
      <c r="CQ10" s="732"/>
      <c r="CR10" s="961"/>
      <c r="CS10" s="958"/>
      <c r="CT10" s="958"/>
      <c r="CU10" s="958" t="n">
        <f aca="false">+CR10-CS10</f>
        <v>0</v>
      </c>
      <c r="CV10" s="958" t="n">
        <f aca="false">+CR10-CT10</f>
        <v>0</v>
      </c>
      <c r="CW10" s="958"/>
      <c r="CX10" s="960" t="str">
        <f aca="false">IFERROR(CR10/CW10-1, "-")</f>
        <v>-</v>
      </c>
      <c r="CY10" s="945"/>
      <c r="CZ10" s="958"/>
      <c r="DA10" s="958"/>
      <c r="DB10" s="958"/>
      <c r="DC10" s="958"/>
      <c r="DD10" s="958"/>
      <c r="DE10" s="731" t="e">
        <f aca="false">CZ10/DD10-1</f>
        <v>#DIV/0!</v>
      </c>
      <c r="DF10" s="731" t="e">
        <f aca="false">DA10/DD10-1</f>
        <v>#DIV/0!</v>
      </c>
      <c r="DG10" s="731" t="e">
        <f aca="false">DB10/DD10-1</f>
        <v>#DIV/0!</v>
      </c>
      <c r="DH10" s="731" t="e">
        <f aca="false">DC10/DD10-1</f>
        <v>#DIV/0!</v>
      </c>
      <c r="DI10" s="951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</row>
    <row r="11" s="1" customFormat="true" ht="21.75" hidden="true" customHeight="true" outlineLevel="0" collapsed="false">
      <c r="A11" s="962"/>
      <c r="B11" s="963" t="s">
        <v>718</v>
      </c>
      <c r="C11" s="679" t="s">
        <v>724</v>
      </c>
      <c r="D11" s="964"/>
      <c r="E11" s="965"/>
      <c r="F11" s="966"/>
      <c r="G11" s="965"/>
      <c r="H11" s="967"/>
      <c r="I11" s="968"/>
      <c r="J11" s="964"/>
      <c r="K11" s="965"/>
      <c r="L11" s="966"/>
      <c r="M11" s="965"/>
      <c r="N11" s="967"/>
      <c r="O11" s="965"/>
      <c r="P11" s="964"/>
      <c r="Q11" s="965"/>
      <c r="R11" s="966"/>
      <c r="S11" s="965"/>
      <c r="T11" s="967"/>
      <c r="U11" s="969"/>
      <c r="V11" s="964"/>
      <c r="W11" s="965"/>
      <c r="X11" s="965"/>
      <c r="Y11" s="966"/>
      <c r="Z11" s="965"/>
      <c r="AA11" s="965"/>
      <c r="AB11" s="967"/>
      <c r="AC11" s="969"/>
      <c r="AD11" s="964"/>
      <c r="AE11" s="965"/>
      <c r="AF11" s="965"/>
      <c r="AG11" s="966"/>
      <c r="AH11" s="965"/>
      <c r="AI11" s="965"/>
      <c r="AJ11" s="967"/>
      <c r="AK11" s="969"/>
      <c r="AL11" s="964"/>
      <c r="AM11" s="965"/>
      <c r="AN11" s="965"/>
      <c r="AO11" s="965"/>
      <c r="AP11" s="966"/>
      <c r="AQ11" s="966"/>
      <c r="AR11" s="965"/>
      <c r="AS11" s="967"/>
      <c r="AT11" s="970"/>
      <c r="AU11" s="964"/>
      <c r="AV11" s="965"/>
      <c r="AW11" s="965"/>
      <c r="AX11" s="966"/>
      <c r="AY11" s="966"/>
      <c r="AZ11" s="965"/>
      <c r="BA11" s="967"/>
      <c r="BB11" s="969"/>
      <c r="BC11" s="964"/>
      <c r="BD11" s="965"/>
      <c r="BE11" s="965"/>
      <c r="BF11" s="966"/>
      <c r="BG11" s="966"/>
      <c r="BH11" s="965"/>
      <c r="BI11" s="967"/>
      <c r="BJ11" s="969"/>
      <c r="BK11" s="964"/>
      <c r="BL11" s="965"/>
      <c r="BM11" s="965"/>
      <c r="BN11" s="965"/>
      <c r="BO11" s="966"/>
      <c r="BP11" s="966"/>
      <c r="BQ11" s="965"/>
      <c r="BR11" s="967"/>
      <c r="BS11" s="969"/>
      <c r="BT11" s="971"/>
      <c r="BU11" s="554"/>
      <c r="BV11" s="554"/>
      <c r="BW11" s="972"/>
      <c r="BX11" s="972"/>
      <c r="BY11" s="554"/>
      <c r="BZ11" s="953"/>
      <c r="CA11" s="557"/>
      <c r="CB11" s="971"/>
      <c r="CC11" s="554"/>
      <c r="CD11" s="554"/>
      <c r="CE11" s="972"/>
      <c r="CF11" s="972"/>
      <c r="CG11" s="554"/>
      <c r="CH11" s="953"/>
      <c r="CI11" s="557"/>
      <c r="CJ11" s="971"/>
      <c r="CK11" s="965"/>
      <c r="CL11" s="965"/>
      <c r="CM11" s="966"/>
      <c r="CN11" s="966"/>
      <c r="CO11" s="965"/>
      <c r="CP11" s="967"/>
      <c r="CQ11" s="969"/>
      <c r="CR11" s="954"/>
      <c r="CS11" s="555"/>
      <c r="CT11" s="555"/>
      <c r="CU11" s="966" t="n">
        <f aca="false">+CR11-CS11</f>
        <v>0</v>
      </c>
      <c r="CV11" s="966" t="n">
        <f aca="false">+CR11-CT11</f>
        <v>0</v>
      </c>
      <c r="CW11" s="973"/>
      <c r="CX11" s="968" t="str">
        <f aca="false">IFERROR(CR11/CW11-1, "-")</f>
        <v>-</v>
      </c>
      <c r="CY11" s="945"/>
      <c r="CZ11" s="965"/>
      <c r="DA11" s="965"/>
      <c r="DB11" s="965"/>
      <c r="DC11" s="965"/>
      <c r="DD11" s="965"/>
      <c r="DE11" s="974"/>
      <c r="DF11" s="974"/>
      <c r="DG11" s="974"/>
      <c r="DH11" s="974"/>
      <c r="DI11" s="951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975"/>
      <c r="DO11" s="975"/>
      <c r="DP11" s="975"/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  <c r="EF11" s="976"/>
      <c r="EG11" s="976"/>
      <c r="EH11" s="976"/>
      <c r="EI11" s="976"/>
      <c r="EJ11" s="976"/>
      <c r="EK11" s="976"/>
      <c r="EL11" s="976"/>
      <c r="EM11" s="976"/>
      <c r="EN11" s="976"/>
      <c r="EO11" s="976"/>
      <c r="EP11" s="976"/>
      <c r="EQ11" s="976"/>
      <c r="ER11" s="976"/>
      <c r="ES11" s="976"/>
      <c r="ET11" s="976"/>
      <c r="EU11" s="976"/>
      <c r="EV11" s="976"/>
      <c r="EW11" s="976"/>
      <c r="EX11" s="976"/>
      <c r="EY11" s="976"/>
      <c r="EZ11" s="976"/>
      <c r="FA11" s="976"/>
      <c r="FB11" s="976"/>
      <c r="FC11" s="976"/>
      <c r="FD11" s="976"/>
      <c r="FE11" s="976"/>
      <c r="FF11" s="976"/>
      <c r="FG11" s="976"/>
      <c r="FH11" s="976"/>
      <c r="FI11" s="976"/>
      <c r="FJ11" s="976"/>
      <c r="FK11" s="976"/>
      <c r="FL11" s="976"/>
      <c r="FM11" s="976"/>
      <c r="FN11" s="976"/>
      <c r="FO11" s="976"/>
      <c r="FP11" s="976"/>
      <c r="FQ11" s="976"/>
      <c r="FR11" s="976"/>
    </row>
    <row r="12" s="1" customFormat="true" ht="21.75" hidden="true" customHeight="true" outlineLevel="0" collapsed="false">
      <c r="A12" s="977"/>
      <c r="B12" s="978" t="s">
        <v>720</v>
      </c>
      <c r="C12" s="679" t="s">
        <v>725</v>
      </c>
      <c r="D12" s="979"/>
      <c r="E12" s="980"/>
      <c r="F12" s="981"/>
      <c r="G12" s="980"/>
      <c r="H12" s="982"/>
      <c r="I12" s="983"/>
      <c r="J12" s="979"/>
      <c r="K12" s="980"/>
      <c r="L12" s="981"/>
      <c r="M12" s="980"/>
      <c r="N12" s="982"/>
      <c r="O12" s="980"/>
      <c r="P12" s="979"/>
      <c r="Q12" s="980"/>
      <c r="R12" s="981"/>
      <c r="S12" s="980"/>
      <c r="T12" s="982"/>
      <c r="U12" s="984"/>
      <c r="V12" s="979"/>
      <c r="W12" s="980"/>
      <c r="X12" s="980"/>
      <c r="Y12" s="981"/>
      <c r="Z12" s="980"/>
      <c r="AA12" s="980"/>
      <c r="AB12" s="982"/>
      <c r="AC12" s="984"/>
      <c r="AD12" s="979"/>
      <c r="AE12" s="980"/>
      <c r="AF12" s="980"/>
      <c r="AG12" s="981"/>
      <c r="AH12" s="980"/>
      <c r="AI12" s="980"/>
      <c r="AJ12" s="982"/>
      <c r="AK12" s="984"/>
      <c r="AL12" s="979"/>
      <c r="AM12" s="980"/>
      <c r="AN12" s="980"/>
      <c r="AO12" s="980"/>
      <c r="AP12" s="981"/>
      <c r="AQ12" s="981"/>
      <c r="AR12" s="980"/>
      <c r="AS12" s="982"/>
      <c r="AT12" s="985"/>
      <c r="AU12" s="979"/>
      <c r="AV12" s="980"/>
      <c r="AW12" s="980"/>
      <c r="AX12" s="981"/>
      <c r="AY12" s="981"/>
      <c r="AZ12" s="980"/>
      <c r="BA12" s="982"/>
      <c r="BB12" s="984"/>
      <c r="BC12" s="979"/>
      <c r="BD12" s="980"/>
      <c r="BE12" s="980"/>
      <c r="BF12" s="981"/>
      <c r="BG12" s="981"/>
      <c r="BH12" s="980"/>
      <c r="BI12" s="982"/>
      <c r="BJ12" s="984"/>
      <c r="BK12" s="979"/>
      <c r="BL12" s="980"/>
      <c r="BM12" s="980"/>
      <c r="BN12" s="980"/>
      <c r="BO12" s="981"/>
      <c r="BP12" s="981"/>
      <c r="BQ12" s="980"/>
      <c r="BR12" s="982"/>
      <c r="BS12" s="984"/>
      <c r="BT12" s="986"/>
      <c r="BU12" s="281"/>
      <c r="BV12" s="281"/>
      <c r="BW12" s="987"/>
      <c r="BX12" s="987"/>
      <c r="BY12" s="281"/>
      <c r="BZ12" s="805"/>
      <c r="CA12" s="422"/>
      <c r="CB12" s="986"/>
      <c r="CC12" s="281"/>
      <c r="CD12" s="281"/>
      <c r="CE12" s="987"/>
      <c r="CF12" s="987"/>
      <c r="CG12" s="281"/>
      <c r="CH12" s="805"/>
      <c r="CI12" s="422"/>
      <c r="CJ12" s="986"/>
      <c r="CK12" s="980"/>
      <c r="CL12" s="980"/>
      <c r="CM12" s="981"/>
      <c r="CN12" s="981"/>
      <c r="CO12" s="980"/>
      <c r="CP12" s="982"/>
      <c r="CQ12" s="984"/>
      <c r="CR12" s="955"/>
      <c r="CS12" s="144"/>
      <c r="CT12" s="144"/>
      <c r="CU12" s="981" t="n">
        <f aca="false">+CR12-CS12</f>
        <v>0</v>
      </c>
      <c r="CV12" s="981" t="n">
        <f aca="false">+CR12-CT12</f>
        <v>0</v>
      </c>
      <c r="CW12" s="981"/>
      <c r="CX12" s="983" t="str">
        <f aca="false">IFERROR(CR12/CW12-1, "-")</f>
        <v>-</v>
      </c>
      <c r="CY12" s="945"/>
      <c r="CZ12" s="980"/>
      <c r="DA12" s="980"/>
      <c r="DB12" s="980"/>
      <c r="DC12" s="980"/>
      <c r="DD12" s="980"/>
      <c r="DE12" s="981"/>
      <c r="DF12" s="981"/>
      <c r="DG12" s="981"/>
      <c r="DH12" s="981"/>
      <c r="DI12" s="951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975"/>
      <c r="DO12" s="975"/>
      <c r="DP12" s="975"/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  <c r="EF12" s="976"/>
      <c r="EG12" s="976"/>
      <c r="EH12" s="976"/>
      <c r="EI12" s="976"/>
      <c r="EJ12" s="976"/>
      <c r="EK12" s="976"/>
      <c r="EL12" s="976"/>
      <c r="EM12" s="976"/>
      <c r="EN12" s="976"/>
      <c r="EO12" s="976"/>
      <c r="EP12" s="976"/>
      <c r="EQ12" s="976"/>
      <c r="ER12" s="976"/>
      <c r="ES12" s="976"/>
      <c r="ET12" s="976"/>
      <c r="EU12" s="976"/>
      <c r="EV12" s="976"/>
      <c r="EW12" s="976"/>
      <c r="EX12" s="976"/>
      <c r="EY12" s="976"/>
      <c r="EZ12" s="976"/>
      <c r="FA12" s="976"/>
      <c r="FB12" s="976"/>
      <c r="FC12" s="976"/>
      <c r="FD12" s="976"/>
      <c r="FE12" s="976"/>
      <c r="FF12" s="976"/>
      <c r="FG12" s="976"/>
      <c r="FH12" s="976"/>
      <c r="FI12" s="976"/>
      <c r="FJ12" s="976"/>
      <c r="FK12" s="976"/>
      <c r="FL12" s="976"/>
      <c r="FM12" s="976"/>
      <c r="FN12" s="976"/>
      <c r="FO12" s="976"/>
      <c r="FP12" s="976"/>
      <c r="FQ12" s="976"/>
      <c r="FR12" s="976"/>
    </row>
    <row r="13" s="1" customFormat="true" ht="21.75" hidden="true" customHeight="true" outlineLevel="0" collapsed="false">
      <c r="A13" s="988"/>
      <c r="B13" s="989" t="s">
        <v>726</v>
      </c>
      <c r="C13" s="679" t="s">
        <v>727</v>
      </c>
      <c r="D13" s="990"/>
      <c r="E13" s="991"/>
      <c r="F13" s="992"/>
      <c r="G13" s="991"/>
      <c r="H13" s="993"/>
      <c r="I13" s="994"/>
      <c r="J13" s="990"/>
      <c r="K13" s="991"/>
      <c r="L13" s="992"/>
      <c r="M13" s="991"/>
      <c r="N13" s="993"/>
      <c r="O13" s="991"/>
      <c r="P13" s="990"/>
      <c r="Q13" s="991"/>
      <c r="R13" s="992"/>
      <c r="S13" s="991"/>
      <c r="T13" s="993"/>
      <c r="U13" s="995"/>
      <c r="V13" s="990"/>
      <c r="W13" s="991"/>
      <c r="X13" s="991"/>
      <c r="Y13" s="992"/>
      <c r="Z13" s="991"/>
      <c r="AA13" s="991"/>
      <c r="AB13" s="993"/>
      <c r="AC13" s="995"/>
      <c r="AD13" s="990"/>
      <c r="AE13" s="991"/>
      <c r="AF13" s="991"/>
      <c r="AG13" s="992"/>
      <c r="AH13" s="991"/>
      <c r="AI13" s="991"/>
      <c r="AJ13" s="993"/>
      <c r="AK13" s="995"/>
      <c r="AL13" s="990"/>
      <c r="AM13" s="991"/>
      <c r="AN13" s="991"/>
      <c r="AO13" s="991"/>
      <c r="AP13" s="992"/>
      <c r="AQ13" s="992"/>
      <c r="AR13" s="991"/>
      <c r="AS13" s="993"/>
      <c r="AT13" s="996"/>
      <c r="AU13" s="990"/>
      <c r="AV13" s="991"/>
      <c r="AW13" s="991"/>
      <c r="AX13" s="992"/>
      <c r="AY13" s="992"/>
      <c r="AZ13" s="991"/>
      <c r="BA13" s="993"/>
      <c r="BB13" s="995"/>
      <c r="BC13" s="990"/>
      <c r="BD13" s="991"/>
      <c r="BE13" s="991"/>
      <c r="BF13" s="992"/>
      <c r="BG13" s="992"/>
      <c r="BH13" s="991"/>
      <c r="BI13" s="993"/>
      <c r="BJ13" s="995"/>
      <c r="BK13" s="990"/>
      <c r="BL13" s="991"/>
      <c r="BM13" s="991"/>
      <c r="BN13" s="991"/>
      <c r="BO13" s="992"/>
      <c r="BP13" s="992"/>
      <c r="BQ13" s="991"/>
      <c r="BR13" s="993"/>
      <c r="BS13" s="995"/>
      <c r="BT13" s="997"/>
      <c r="BU13" s="588"/>
      <c r="BV13" s="588"/>
      <c r="BW13" s="998"/>
      <c r="BX13" s="998"/>
      <c r="BY13" s="588"/>
      <c r="BZ13" s="959"/>
      <c r="CA13" s="690"/>
      <c r="CB13" s="997"/>
      <c r="CC13" s="588"/>
      <c r="CD13" s="588"/>
      <c r="CE13" s="998"/>
      <c r="CF13" s="998"/>
      <c r="CG13" s="588"/>
      <c r="CH13" s="959"/>
      <c r="CI13" s="690"/>
      <c r="CJ13" s="997"/>
      <c r="CK13" s="991"/>
      <c r="CL13" s="991"/>
      <c r="CM13" s="992"/>
      <c r="CN13" s="992"/>
      <c r="CO13" s="991"/>
      <c r="CP13" s="993"/>
      <c r="CQ13" s="995"/>
      <c r="CR13" s="961"/>
      <c r="CS13" s="958"/>
      <c r="CT13" s="958"/>
      <c r="CU13" s="992" t="n">
        <f aca="false">+CR13-CS13</f>
        <v>0</v>
      </c>
      <c r="CV13" s="992" t="n">
        <f aca="false">+CR13-CT13</f>
        <v>0</v>
      </c>
      <c r="CW13" s="992"/>
      <c r="CX13" s="994" t="str">
        <f aca="false">IFERROR(CR13/CW13-1, "-")</f>
        <v>-</v>
      </c>
      <c r="CY13" s="945"/>
      <c r="CZ13" s="991"/>
      <c r="DA13" s="991"/>
      <c r="DB13" s="991"/>
      <c r="DC13" s="991"/>
      <c r="DD13" s="991"/>
      <c r="DE13" s="999"/>
      <c r="DF13" s="999"/>
      <c r="DG13" s="999"/>
      <c r="DH13" s="999"/>
      <c r="DI13" s="951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975"/>
      <c r="DO13" s="975"/>
      <c r="DP13" s="975"/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  <c r="EF13" s="976"/>
      <c r="EG13" s="976"/>
      <c r="EH13" s="976"/>
      <c r="EI13" s="976"/>
      <c r="EJ13" s="976"/>
      <c r="EK13" s="976"/>
      <c r="EL13" s="976"/>
      <c r="EM13" s="976"/>
      <c r="EN13" s="976"/>
      <c r="EO13" s="976"/>
      <c r="EP13" s="976"/>
      <c r="EQ13" s="976"/>
      <c r="ER13" s="976"/>
      <c r="ES13" s="976"/>
      <c r="ET13" s="976"/>
      <c r="EU13" s="976"/>
      <c r="EV13" s="976"/>
      <c r="EW13" s="976"/>
      <c r="EX13" s="976"/>
      <c r="EY13" s="976"/>
      <c r="EZ13" s="976"/>
      <c r="FA13" s="976"/>
      <c r="FB13" s="976"/>
      <c r="FC13" s="976"/>
      <c r="FD13" s="976"/>
      <c r="FE13" s="976"/>
      <c r="FF13" s="976"/>
      <c r="FG13" s="976"/>
      <c r="FH13" s="976"/>
      <c r="FI13" s="976"/>
      <c r="FJ13" s="976"/>
      <c r="FK13" s="976"/>
      <c r="FL13" s="976"/>
      <c r="FM13" s="976"/>
      <c r="FN13" s="976"/>
      <c r="FO13" s="976"/>
      <c r="FP13" s="976"/>
      <c r="FQ13" s="976"/>
      <c r="FR13" s="976"/>
    </row>
    <row r="14" customFormat="false" ht="21.75" hidden="true" customHeight="true" outlineLevel="0" collapsed="false">
      <c r="A14" s="590"/>
      <c r="B14" s="714" t="s">
        <v>718</v>
      </c>
      <c r="C14" s="679" t="s">
        <v>728</v>
      </c>
      <c r="D14" s="952"/>
      <c r="E14" s="555"/>
      <c r="F14" s="555"/>
      <c r="G14" s="555"/>
      <c r="H14" s="953"/>
      <c r="I14" s="556"/>
      <c r="J14" s="952"/>
      <c r="K14" s="555"/>
      <c r="L14" s="555"/>
      <c r="M14" s="555"/>
      <c r="N14" s="953"/>
      <c r="O14" s="554"/>
      <c r="P14" s="952"/>
      <c r="Q14" s="555"/>
      <c r="R14" s="555"/>
      <c r="S14" s="555"/>
      <c r="T14" s="953"/>
      <c r="U14" s="557"/>
      <c r="V14" s="952"/>
      <c r="W14" s="555"/>
      <c r="X14" s="555"/>
      <c r="Y14" s="555"/>
      <c r="Z14" s="554"/>
      <c r="AA14" s="555"/>
      <c r="AB14" s="953"/>
      <c r="AC14" s="557"/>
      <c r="AD14" s="952"/>
      <c r="AE14" s="555"/>
      <c r="AF14" s="555"/>
      <c r="AG14" s="555"/>
      <c r="AH14" s="554"/>
      <c r="AI14" s="555"/>
      <c r="AJ14" s="953"/>
      <c r="AK14" s="557"/>
      <c r="AL14" s="952"/>
      <c r="AM14" s="555"/>
      <c r="AN14" s="555"/>
      <c r="AO14" s="555"/>
      <c r="AP14" s="555"/>
      <c r="AQ14" s="555"/>
      <c r="AR14" s="555"/>
      <c r="AS14" s="953"/>
      <c r="AT14" s="558"/>
      <c r="AU14" s="952"/>
      <c r="AV14" s="555"/>
      <c r="AW14" s="555"/>
      <c r="AX14" s="555"/>
      <c r="AY14" s="555"/>
      <c r="AZ14" s="555"/>
      <c r="BA14" s="953"/>
      <c r="BB14" s="557"/>
      <c r="BC14" s="952"/>
      <c r="BD14" s="555"/>
      <c r="BE14" s="555"/>
      <c r="BF14" s="555"/>
      <c r="BG14" s="555"/>
      <c r="BH14" s="555"/>
      <c r="BI14" s="953"/>
      <c r="BJ14" s="557"/>
      <c r="BK14" s="952"/>
      <c r="BL14" s="555"/>
      <c r="BM14" s="555"/>
      <c r="BN14" s="555"/>
      <c r="BO14" s="555"/>
      <c r="BP14" s="555"/>
      <c r="BQ14" s="555"/>
      <c r="BR14" s="953"/>
      <c r="BS14" s="557"/>
      <c r="BT14" s="952"/>
      <c r="BU14" s="555"/>
      <c r="BV14" s="555"/>
      <c r="BW14" s="555"/>
      <c r="BX14" s="555"/>
      <c r="BY14" s="555"/>
      <c r="BZ14" s="953"/>
      <c r="CA14" s="557"/>
      <c r="CB14" s="952"/>
      <c r="CC14" s="555"/>
      <c r="CD14" s="555"/>
      <c r="CE14" s="555"/>
      <c r="CF14" s="555"/>
      <c r="CG14" s="555"/>
      <c r="CH14" s="953"/>
      <c r="CI14" s="557"/>
      <c r="CJ14" s="952"/>
      <c r="CK14" s="555"/>
      <c r="CL14" s="555"/>
      <c r="CM14" s="555"/>
      <c r="CN14" s="555"/>
      <c r="CO14" s="555"/>
      <c r="CP14" s="953"/>
      <c r="CQ14" s="422"/>
      <c r="CR14" s="954"/>
      <c r="CS14" s="555"/>
      <c r="CT14" s="555"/>
      <c r="CU14" s="555" t="n">
        <f aca="false">+CR14-CS14</f>
        <v>0</v>
      </c>
      <c r="CV14" s="555" t="n">
        <f aca="false">+CR14-CT14</f>
        <v>0</v>
      </c>
      <c r="CW14" s="555"/>
      <c r="CX14" s="556" t="str">
        <f aca="false">IFERROR(CR14/CW14-1, "-")</f>
        <v>-</v>
      </c>
      <c r="CY14" s="945"/>
      <c r="CZ14" s="555"/>
      <c r="DA14" s="555"/>
      <c r="DB14" s="555"/>
      <c r="DC14" s="555"/>
      <c r="DD14" s="555"/>
      <c r="DE14" s="1000"/>
      <c r="DF14" s="1000"/>
      <c r="DG14" s="1000"/>
      <c r="DH14" s="1000"/>
      <c r="DI14" s="951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</row>
    <row r="15" customFormat="false" ht="21.75" hidden="true" customHeight="true" outlineLevel="0" collapsed="false">
      <c r="A15" s="591"/>
      <c r="B15" s="857" t="s">
        <v>720</v>
      </c>
      <c r="C15" s="679" t="s">
        <v>729</v>
      </c>
      <c r="D15" s="144"/>
      <c r="E15" s="144"/>
      <c r="F15" s="144"/>
      <c r="G15" s="144"/>
      <c r="H15" s="805"/>
      <c r="I15" s="245"/>
      <c r="J15" s="144"/>
      <c r="K15" s="144"/>
      <c r="L15" s="144"/>
      <c r="M15" s="144"/>
      <c r="N15" s="805"/>
      <c r="O15" s="281"/>
      <c r="P15" s="144"/>
      <c r="Q15" s="144"/>
      <c r="R15" s="144"/>
      <c r="S15" s="144"/>
      <c r="T15" s="805"/>
      <c r="U15" s="422"/>
      <c r="V15" s="144"/>
      <c r="W15" s="144"/>
      <c r="X15" s="144"/>
      <c r="Y15" s="144"/>
      <c r="Z15" s="281"/>
      <c r="AA15" s="144"/>
      <c r="AB15" s="805"/>
      <c r="AC15" s="422"/>
      <c r="AD15" s="144"/>
      <c r="AE15" s="144"/>
      <c r="AF15" s="144"/>
      <c r="AG15" s="144"/>
      <c r="AH15" s="281"/>
      <c r="AI15" s="144"/>
      <c r="AJ15" s="805"/>
      <c r="AK15" s="422"/>
      <c r="AL15" s="144"/>
      <c r="AM15" s="144"/>
      <c r="AN15" s="144"/>
      <c r="AO15" s="144"/>
      <c r="AP15" s="144"/>
      <c r="AQ15" s="144"/>
      <c r="AR15" s="144"/>
      <c r="AS15" s="805"/>
      <c r="AT15" s="423"/>
      <c r="AU15" s="144"/>
      <c r="AV15" s="144"/>
      <c r="AW15" s="144"/>
      <c r="AX15" s="144"/>
      <c r="AY15" s="144"/>
      <c r="AZ15" s="144"/>
      <c r="BA15" s="805"/>
      <c r="BB15" s="422"/>
      <c r="BC15" s="144"/>
      <c r="BD15" s="144"/>
      <c r="BE15" s="144"/>
      <c r="BF15" s="144"/>
      <c r="BG15" s="144"/>
      <c r="BH15" s="144"/>
      <c r="BI15" s="805"/>
      <c r="BJ15" s="422"/>
      <c r="BK15" s="144"/>
      <c r="BL15" s="144"/>
      <c r="BM15" s="144"/>
      <c r="BN15" s="144"/>
      <c r="BO15" s="144"/>
      <c r="BP15" s="144"/>
      <c r="BQ15" s="144"/>
      <c r="BR15" s="805"/>
      <c r="BS15" s="422"/>
      <c r="BT15" s="144"/>
      <c r="BU15" s="144"/>
      <c r="BV15" s="144"/>
      <c r="BW15" s="144"/>
      <c r="BX15" s="144"/>
      <c r="BY15" s="144"/>
      <c r="BZ15" s="805"/>
      <c r="CA15" s="422"/>
      <c r="CB15" s="144"/>
      <c r="CC15" s="144"/>
      <c r="CD15" s="144"/>
      <c r="CE15" s="144"/>
      <c r="CF15" s="144"/>
      <c r="CG15" s="144"/>
      <c r="CH15" s="805"/>
      <c r="CI15" s="422"/>
      <c r="CJ15" s="144"/>
      <c r="CK15" s="144"/>
      <c r="CL15" s="144"/>
      <c r="CM15" s="144"/>
      <c r="CN15" s="144"/>
      <c r="CO15" s="144"/>
      <c r="CP15" s="805"/>
      <c r="CQ15" s="422"/>
      <c r="CR15" s="955"/>
      <c r="CS15" s="144"/>
      <c r="CT15" s="144"/>
      <c r="CU15" s="144" t="n">
        <f aca="false">+CR15-CS15</f>
        <v>0</v>
      </c>
      <c r="CV15" s="144" t="n">
        <f aca="false">+CR15-CT15</f>
        <v>0</v>
      </c>
      <c r="CW15" s="144"/>
      <c r="CX15" s="245" t="str">
        <f aca="false">IFERROR(CR15/CW15-1, "-")</f>
        <v>-</v>
      </c>
      <c r="CY15" s="945"/>
      <c r="CZ15" s="144"/>
      <c r="DA15" s="144"/>
      <c r="DB15" s="144"/>
      <c r="DC15" s="144"/>
      <c r="DD15" s="144"/>
      <c r="DE15" s="245" t="e">
        <f aca="false">CZ15/DD15-1</f>
        <v>#DIV/0!</v>
      </c>
      <c r="DF15" s="245" t="e">
        <f aca="false">DA15/DD15-1</f>
        <v>#DIV/0!</v>
      </c>
      <c r="DG15" s="245" t="e">
        <f aca="false">DB15/DD15-1</f>
        <v>#DIV/0!</v>
      </c>
      <c r="DH15" s="245" t="e">
        <f aca="false">DC15/DD15-1</f>
        <v>#DIV/0!</v>
      </c>
      <c r="DI15" s="951"/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</row>
    <row r="16" customFormat="false" ht="21.75" hidden="true" customHeight="true" outlineLevel="0" collapsed="false">
      <c r="A16" s="956"/>
      <c r="B16" s="957" t="s">
        <v>668</v>
      </c>
      <c r="C16" s="679" t="s">
        <v>730</v>
      </c>
      <c r="D16" s="1001"/>
      <c r="E16" s="958"/>
      <c r="F16" s="958"/>
      <c r="G16" s="958"/>
      <c r="H16" s="959"/>
      <c r="I16" s="960"/>
      <c r="J16" s="1001"/>
      <c r="K16" s="958"/>
      <c r="L16" s="958"/>
      <c r="M16" s="958"/>
      <c r="N16" s="959"/>
      <c r="O16" s="588"/>
      <c r="P16" s="1001"/>
      <c r="Q16" s="958"/>
      <c r="R16" s="958"/>
      <c r="S16" s="958"/>
      <c r="T16" s="959"/>
      <c r="U16" s="690"/>
      <c r="V16" s="1001"/>
      <c r="W16" s="958"/>
      <c r="X16" s="958"/>
      <c r="Y16" s="958"/>
      <c r="Z16" s="588"/>
      <c r="AA16" s="958"/>
      <c r="AB16" s="959"/>
      <c r="AC16" s="690"/>
      <c r="AD16" s="1001"/>
      <c r="AE16" s="958"/>
      <c r="AF16" s="958"/>
      <c r="AG16" s="958"/>
      <c r="AH16" s="588"/>
      <c r="AI16" s="958"/>
      <c r="AJ16" s="959"/>
      <c r="AK16" s="690"/>
      <c r="AL16" s="1001"/>
      <c r="AM16" s="958"/>
      <c r="AN16" s="958"/>
      <c r="AO16" s="958"/>
      <c r="AP16" s="958"/>
      <c r="AQ16" s="958"/>
      <c r="AR16" s="958"/>
      <c r="AS16" s="959"/>
      <c r="AT16" s="883"/>
      <c r="AU16" s="1001"/>
      <c r="AV16" s="958"/>
      <c r="AW16" s="958"/>
      <c r="AX16" s="958"/>
      <c r="AY16" s="958"/>
      <c r="AZ16" s="958"/>
      <c r="BA16" s="959"/>
      <c r="BB16" s="690"/>
      <c r="BC16" s="1001"/>
      <c r="BD16" s="958"/>
      <c r="BE16" s="958"/>
      <c r="BF16" s="958"/>
      <c r="BG16" s="958"/>
      <c r="BH16" s="958"/>
      <c r="BI16" s="959"/>
      <c r="BJ16" s="690"/>
      <c r="BK16" s="1001"/>
      <c r="BL16" s="958"/>
      <c r="BM16" s="958"/>
      <c r="BN16" s="958"/>
      <c r="BO16" s="958"/>
      <c r="BP16" s="958"/>
      <c r="BQ16" s="958"/>
      <c r="BR16" s="959"/>
      <c r="BS16" s="690"/>
      <c r="BT16" s="958"/>
      <c r="BU16" s="958"/>
      <c r="BV16" s="958"/>
      <c r="BW16" s="958"/>
      <c r="BX16" s="958"/>
      <c r="BY16" s="958"/>
      <c r="BZ16" s="959"/>
      <c r="CA16" s="690"/>
      <c r="CB16" s="958"/>
      <c r="CC16" s="958"/>
      <c r="CD16" s="958"/>
      <c r="CE16" s="958"/>
      <c r="CF16" s="958"/>
      <c r="CG16" s="958"/>
      <c r="CH16" s="959"/>
      <c r="CI16" s="690"/>
      <c r="CJ16" s="958"/>
      <c r="CK16" s="958"/>
      <c r="CL16" s="958"/>
      <c r="CM16" s="958"/>
      <c r="CN16" s="958"/>
      <c r="CO16" s="958"/>
      <c r="CP16" s="959"/>
      <c r="CQ16" s="732"/>
      <c r="CR16" s="961"/>
      <c r="CS16" s="958"/>
      <c r="CT16" s="958"/>
      <c r="CU16" s="958" t="n">
        <f aca="false">+CR16-CS16</f>
        <v>0</v>
      </c>
      <c r="CV16" s="958" t="n">
        <f aca="false">+CR16-CT16</f>
        <v>0</v>
      </c>
      <c r="CW16" s="958"/>
      <c r="CX16" s="960" t="str">
        <f aca="false">IFERROR(CR16/CW16-1, "-")</f>
        <v>-</v>
      </c>
      <c r="CY16" s="945"/>
      <c r="CZ16" s="958"/>
      <c r="DA16" s="958"/>
      <c r="DB16" s="958"/>
      <c r="DC16" s="958"/>
      <c r="DD16" s="958"/>
      <c r="DE16" s="731" t="e">
        <f aca="false">CZ16/DD16-1</f>
        <v>#DIV/0!</v>
      </c>
      <c r="DF16" s="731" t="e">
        <f aca="false">DA16/DD16-1</f>
        <v>#DIV/0!</v>
      </c>
      <c r="DG16" s="731" t="e">
        <f aca="false">DB16/DD16-1</f>
        <v>#DIV/0!</v>
      </c>
      <c r="DH16" s="731" t="e">
        <f aca="false">DC16/DD16-1</f>
        <v>#DIV/0!</v>
      </c>
      <c r="DI16" s="951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</row>
    <row r="17" customFormat="false" ht="21.75" hidden="true" customHeight="true" outlineLevel="0" collapsed="false">
      <c r="A17" s="590"/>
      <c r="B17" s="714" t="s">
        <v>718</v>
      </c>
      <c r="C17" s="679" t="s">
        <v>731</v>
      </c>
      <c r="D17" s="971"/>
      <c r="E17" s="555"/>
      <c r="F17" s="972"/>
      <c r="G17" s="555"/>
      <c r="H17" s="953"/>
      <c r="I17" s="556"/>
      <c r="J17" s="971"/>
      <c r="K17" s="555"/>
      <c r="L17" s="972"/>
      <c r="M17" s="555"/>
      <c r="N17" s="953"/>
      <c r="O17" s="554"/>
      <c r="P17" s="971"/>
      <c r="Q17" s="555"/>
      <c r="R17" s="972"/>
      <c r="S17" s="555"/>
      <c r="T17" s="953"/>
      <c r="U17" s="557"/>
      <c r="V17" s="971"/>
      <c r="W17" s="555"/>
      <c r="X17" s="555"/>
      <c r="Y17" s="972"/>
      <c r="Z17" s="554"/>
      <c r="AA17" s="555"/>
      <c r="AB17" s="953"/>
      <c r="AC17" s="557"/>
      <c r="AD17" s="971"/>
      <c r="AE17" s="555"/>
      <c r="AF17" s="555"/>
      <c r="AG17" s="972"/>
      <c r="AH17" s="554"/>
      <c r="AI17" s="555"/>
      <c r="AJ17" s="953"/>
      <c r="AK17" s="557"/>
      <c r="AL17" s="971"/>
      <c r="AM17" s="555"/>
      <c r="AN17" s="555"/>
      <c r="AO17" s="555"/>
      <c r="AP17" s="972"/>
      <c r="AQ17" s="972"/>
      <c r="AR17" s="555"/>
      <c r="AS17" s="953"/>
      <c r="AT17" s="558"/>
      <c r="AU17" s="971"/>
      <c r="AV17" s="555"/>
      <c r="AW17" s="555"/>
      <c r="AX17" s="972"/>
      <c r="AY17" s="972"/>
      <c r="AZ17" s="555"/>
      <c r="BA17" s="953"/>
      <c r="BB17" s="557"/>
      <c r="BC17" s="971"/>
      <c r="BD17" s="555"/>
      <c r="BE17" s="555"/>
      <c r="BF17" s="972"/>
      <c r="BG17" s="972"/>
      <c r="BH17" s="555"/>
      <c r="BI17" s="953"/>
      <c r="BJ17" s="557"/>
      <c r="BK17" s="971"/>
      <c r="BL17" s="555"/>
      <c r="BM17" s="555"/>
      <c r="BN17" s="555"/>
      <c r="BO17" s="972"/>
      <c r="BP17" s="972"/>
      <c r="BQ17" s="555"/>
      <c r="BR17" s="953"/>
      <c r="BS17" s="557"/>
      <c r="BT17" s="971"/>
      <c r="BU17" s="555"/>
      <c r="BV17" s="555"/>
      <c r="BW17" s="972"/>
      <c r="BX17" s="972"/>
      <c r="BY17" s="555"/>
      <c r="BZ17" s="953"/>
      <c r="CA17" s="557"/>
      <c r="CB17" s="971"/>
      <c r="CC17" s="555"/>
      <c r="CD17" s="555"/>
      <c r="CE17" s="972"/>
      <c r="CF17" s="972"/>
      <c r="CG17" s="555"/>
      <c r="CH17" s="953"/>
      <c r="CI17" s="557"/>
      <c r="CJ17" s="971"/>
      <c r="CK17" s="555"/>
      <c r="CL17" s="555"/>
      <c r="CM17" s="972"/>
      <c r="CN17" s="972"/>
      <c r="CO17" s="555"/>
      <c r="CP17" s="953"/>
      <c r="CQ17" s="557"/>
      <c r="CR17" s="954"/>
      <c r="CS17" s="555"/>
      <c r="CT17" s="1002"/>
      <c r="CU17" s="972" t="n">
        <f aca="false">+CR17-CS17</f>
        <v>0</v>
      </c>
      <c r="CV17" s="972" t="n">
        <f aca="false">+CR17-CT17</f>
        <v>0</v>
      </c>
      <c r="CW17" s="1002"/>
      <c r="CX17" s="556" t="str">
        <f aca="false">IFERROR(CR17/CW17-1, "-")</f>
        <v>-</v>
      </c>
      <c r="CY17" s="945"/>
      <c r="CZ17" s="555"/>
      <c r="DA17" s="555"/>
      <c r="DB17" s="555"/>
      <c r="DC17" s="555"/>
      <c r="DD17" s="555"/>
      <c r="DE17" s="1003"/>
      <c r="DF17" s="1003"/>
      <c r="DG17" s="1003"/>
      <c r="DH17" s="1003"/>
      <c r="DI17" s="951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</row>
    <row r="18" customFormat="false" ht="21.75" hidden="true" customHeight="true" outlineLevel="0" collapsed="false">
      <c r="A18" s="591"/>
      <c r="B18" s="857" t="s">
        <v>720</v>
      </c>
      <c r="C18" s="679" t="s">
        <v>732</v>
      </c>
      <c r="D18" s="986"/>
      <c r="E18" s="144"/>
      <c r="F18" s="987"/>
      <c r="G18" s="144"/>
      <c r="H18" s="805"/>
      <c r="I18" s="245"/>
      <c r="J18" s="986"/>
      <c r="K18" s="144"/>
      <c r="L18" s="987"/>
      <c r="M18" s="144"/>
      <c r="N18" s="805"/>
      <c r="O18" s="281"/>
      <c r="P18" s="986"/>
      <c r="Q18" s="144"/>
      <c r="R18" s="987"/>
      <c r="S18" s="144"/>
      <c r="T18" s="805"/>
      <c r="U18" s="422"/>
      <c r="V18" s="986"/>
      <c r="W18" s="144"/>
      <c r="X18" s="144"/>
      <c r="Y18" s="987"/>
      <c r="Z18" s="281"/>
      <c r="AA18" s="144"/>
      <c r="AB18" s="805"/>
      <c r="AC18" s="422"/>
      <c r="AD18" s="986"/>
      <c r="AE18" s="144"/>
      <c r="AF18" s="144"/>
      <c r="AG18" s="987"/>
      <c r="AH18" s="281"/>
      <c r="AI18" s="144"/>
      <c r="AJ18" s="805"/>
      <c r="AK18" s="422"/>
      <c r="AL18" s="986"/>
      <c r="AM18" s="144"/>
      <c r="AN18" s="144"/>
      <c r="AO18" s="144"/>
      <c r="AP18" s="987"/>
      <c r="AQ18" s="987"/>
      <c r="AR18" s="144"/>
      <c r="AS18" s="805"/>
      <c r="AT18" s="423"/>
      <c r="AU18" s="986"/>
      <c r="AV18" s="144"/>
      <c r="AW18" s="144"/>
      <c r="AX18" s="987"/>
      <c r="AY18" s="987"/>
      <c r="AZ18" s="144"/>
      <c r="BA18" s="805"/>
      <c r="BB18" s="422"/>
      <c r="BC18" s="986"/>
      <c r="BD18" s="144"/>
      <c r="BE18" s="144"/>
      <c r="BF18" s="987"/>
      <c r="BG18" s="987"/>
      <c r="BH18" s="144"/>
      <c r="BI18" s="805"/>
      <c r="BJ18" s="422"/>
      <c r="BK18" s="986"/>
      <c r="BL18" s="144"/>
      <c r="BM18" s="144"/>
      <c r="BN18" s="144"/>
      <c r="BO18" s="987"/>
      <c r="BP18" s="987"/>
      <c r="BQ18" s="144"/>
      <c r="BR18" s="805"/>
      <c r="BS18" s="422"/>
      <c r="BT18" s="986"/>
      <c r="BU18" s="144"/>
      <c r="BV18" s="144"/>
      <c r="BW18" s="987"/>
      <c r="BX18" s="987"/>
      <c r="BY18" s="144"/>
      <c r="BZ18" s="805"/>
      <c r="CA18" s="422"/>
      <c r="CB18" s="986"/>
      <c r="CC18" s="144"/>
      <c r="CD18" s="144"/>
      <c r="CE18" s="987"/>
      <c r="CF18" s="987"/>
      <c r="CG18" s="144"/>
      <c r="CH18" s="805"/>
      <c r="CI18" s="422"/>
      <c r="CJ18" s="986"/>
      <c r="CK18" s="144"/>
      <c r="CL18" s="144"/>
      <c r="CM18" s="987"/>
      <c r="CN18" s="987"/>
      <c r="CO18" s="144"/>
      <c r="CP18" s="805"/>
      <c r="CQ18" s="422"/>
      <c r="CR18" s="955"/>
      <c r="CS18" s="144"/>
      <c r="CT18" s="987"/>
      <c r="CU18" s="987" t="n">
        <f aca="false">+CR18-CS18</f>
        <v>0</v>
      </c>
      <c r="CV18" s="987" t="n">
        <f aca="false">+CR18-CT18</f>
        <v>0</v>
      </c>
      <c r="CW18" s="987"/>
      <c r="CX18" s="245" t="str">
        <f aca="false">IFERROR(CR18/CW18-1, "-")</f>
        <v>-</v>
      </c>
      <c r="CY18" s="945"/>
      <c r="CZ18" s="144"/>
      <c r="DA18" s="144"/>
      <c r="DB18" s="144"/>
      <c r="DC18" s="144"/>
      <c r="DD18" s="144"/>
      <c r="DE18" s="987"/>
      <c r="DF18" s="987"/>
      <c r="DG18" s="987"/>
      <c r="DH18" s="987"/>
      <c r="DI18" s="951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</row>
    <row r="19" customFormat="false" ht="21.75" hidden="true" customHeight="true" outlineLevel="0" collapsed="false">
      <c r="A19" s="956"/>
      <c r="B19" s="957" t="s">
        <v>733</v>
      </c>
      <c r="C19" s="679" t="s">
        <v>734</v>
      </c>
      <c r="D19" s="997"/>
      <c r="E19" s="958"/>
      <c r="F19" s="998"/>
      <c r="G19" s="958"/>
      <c r="H19" s="959"/>
      <c r="I19" s="960"/>
      <c r="J19" s="997"/>
      <c r="K19" s="958"/>
      <c r="L19" s="998"/>
      <c r="M19" s="958"/>
      <c r="N19" s="959"/>
      <c r="O19" s="588"/>
      <c r="P19" s="997"/>
      <c r="Q19" s="958"/>
      <c r="R19" s="998"/>
      <c r="S19" s="958"/>
      <c r="T19" s="959"/>
      <c r="U19" s="690"/>
      <c r="V19" s="997"/>
      <c r="W19" s="958"/>
      <c r="X19" s="958"/>
      <c r="Y19" s="998"/>
      <c r="Z19" s="588"/>
      <c r="AA19" s="958"/>
      <c r="AB19" s="959"/>
      <c r="AC19" s="690"/>
      <c r="AD19" s="997"/>
      <c r="AE19" s="958"/>
      <c r="AF19" s="958"/>
      <c r="AG19" s="998"/>
      <c r="AH19" s="588"/>
      <c r="AI19" s="958"/>
      <c r="AJ19" s="959"/>
      <c r="AK19" s="690"/>
      <c r="AL19" s="997"/>
      <c r="AM19" s="958"/>
      <c r="AN19" s="958"/>
      <c r="AO19" s="958"/>
      <c r="AP19" s="998"/>
      <c r="AQ19" s="998"/>
      <c r="AR19" s="958"/>
      <c r="AS19" s="959"/>
      <c r="AT19" s="883"/>
      <c r="AU19" s="997"/>
      <c r="AV19" s="958"/>
      <c r="AW19" s="958"/>
      <c r="AX19" s="998"/>
      <c r="AY19" s="998"/>
      <c r="AZ19" s="958"/>
      <c r="BA19" s="959"/>
      <c r="BB19" s="690"/>
      <c r="BC19" s="997"/>
      <c r="BD19" s="958"/>
      <c r="BE19" s="958"/>
      <c r="BF19" s="998"/>
      <c r="BG19" s="998"/>
      <c r="BH19" s="958"/>
      <c r="BI19" s="959"/>
      <c r="BJ19" s="690"/>
      <c r="BK19" s="997"/>
      <c r="BL19" s="958"/>
      <c r="BM19" s="958"/>
      <c r="BN19" s="958"/>
      <c r="BO19" s="998"/>
      <c r="BP19" s="998"/>
      <c r="BQ19" s="958"/>
      <c r="BR19" s="959"/>
      <c r="BS19" s="690"/>
      <c r="BT19" s="997"/>
      <c r="BU19" s="958"/>
      <c r="BV19" s="958"/>
      <c r="BW19" s="998"/>
      <c r="BX19" s="998"/>
      <c r="BY19" s="958"/>
      <c r="BZ19" s="959"/>
      <c r="CA19" s="690"/>
      <c r="CB19" s="997"/>
      <c r="CC19" s="958"/>
      <c r="CD19" s="958"/>
      <c r="CE19" s="998"/>
      <c r="CF19" s="998"/>
      <c r="CG19" s="958"/>
      <c r="CH19" s="959"/>
      <c r="CI19" s="690"/>
      <c r="CJ19" s="997"/>
      <c r="CK19" s="958"/>
      <c r="CL19" s="958"/>
      <c r="CM19" s="998"/>
      <c r="CN19" s="998"/>
      <c r="CO19" s="958"/>
      <c r="CP19" s="959"/>
      <c r="CQ19" s="690"/>
      <c r="CR19" s="961"/>
      <c r="CS19" s="958"/>
      <c r="CT19" s="998"/>
      <c r="CU19" s="998" t="n">
        <f aca="false">+CR19-CS19</f>
        <v>0</v>
      </c>
      <c r="CV19" s="998" t="n">
        <f aca="false">+CR19-CT19</f>
        <v>0</v>
      </c>
      <c r="CW19" s="998"/>
      <c r="CX19" s="960" t="str">
        <f aca="false">IFERROR(CR19/CW19-1, "-")</f>
        <v>-</v>
      </c>
      <c r="CY19" s="945"/>
      <c r="CZ19" s="958"/>
      <c r="DA19" s="958"/>
      <c r="DB19" s="958"/>
      <c r="DC19" s="958"/>
      <c r="DD19" s="958"/>
      <c r="DE19" s="1004"/>
      <c r="DF19" s="1004"/>
      <c r="DG19" s="1004"/>
      <c r="DH19" s="1004"/>
      <c r="DI19" s="951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</row>
    <row r="20" customFormat="false" ht="21.75" hidden="true" customHeight="true" outlineLevel="0" collapsed="false">
      <c r="A20" s="590"/>
      <c r="B20" s="714" t="s">
        <v>718</v>
      </c>
      <c r="C20" s="679" t="s">
        <v>735</v>
      </c>
      <c r="D20" s="971"/>
      <c r="E20" s="1002"/>
      <c r="F20" s="972"/>
      <c r="G20" s="1002"/>
      <c r="H20" s="953"/>
      <c r="I20" s="556"/>
      <c r="J20" s="971"/>
      <c r="K20" s="1002"/>
      <c r="L20" s="972"/>
      <c r="M20" s="1002"/>
      <c r="N20" s="953"/>
      <c r="O20" s="554"/>
      <c r="P20" s="971"/>
      <c r="Q20" s="1002"/>
      <c r="R20" s="972"/>
      <c r="S20" s="1002"/>
      <c r="T20" s="953"/>
      <c r="U20" s="557"/>
      <c r="V20" s="971"/>
      <c r="W20" s="1002"/>
      <c r="X20" s="1002"/>
      <c r="Y20" s="972"/>
      <c r="Z20" s="554"/>
      <c r="AA20" s="1002"/>
      <c r="AB20" s="953"/>
      <c r="AC20" s="557"/>
      <c r="AD20" s="971"/>
      <c r="AE20" s="1002"/>
      <c r="AF20" s="1002"/>
      <c r="AG20" s="972"/>
      <c r="AH20" s="554"/>
      <c r="AI20" s="1002"/>
      <c r="AJ20" s="953"/>
      <c r="AK20" s="557"/>
      <c r="AL20" s="971"/>
      <c r="AM20" s="1002"/>
      <c r="AN20" s="1002"/>
      <c r="AO20" s="1002"/>
      <c r="AP20" s="972"/>
      <c r="AQ20" s="972"/>
      <c r="AR20" s="1002"/>
      <c r="AS20" s="953"/>
      <c r="AT20" s="558"/>
      <c r="AU20" s="971"/>
      <c r="AV20" s="1002"/>
      <c r="AW20" s="1002"/>
      <c r="AX20" s="972"/>
      <c r="AY20" s="972"/>
      <c r="AZ20" s="1002"/>
      <c r="BA20" s="953"/>
      <c r="BB20" s="557"/>
      <c r="BC20" s="971"/>
      <c r="BD20" s="1002"/>
      <c r="BE20" s="1002"/>
      <c r="BF20" s="972"/>
      <c r="BG20" s="972"/>
      <c r="BH20" s="1002"/>
      <c r="BI20" s="953"/>
      <c r="BJ20" s="557"/>
      <c r="BK20" s="971"/>
      <c r="BL20" s="1002"/>
      <c r="BM20" s="1002"/>
      <c r="BN20" s="1002"/>
      <c r="BO20" s="972"/>
      <c r="BP20" s="972"/>
      <c r="BQ20" s="1002"/>
      <c r="BR20" s="953"/>
      <c r="BS20" s="557"/>
      <c r="BT20" s="971"/>
      <c r="BU20" s="1002"/>
      <c r="BV20" s="1002"/>
      <c r="BW20" s="972"/>
      <c r="BX20" s="972"/>
      <c r="BY20" s="1002"/>
      <c r="BZ20" s="953"/>
      <c r="CA20" s="557"/>
      <c r="CB20" s="971"/>
      <c r="CC20" s="1002"/>
      <c r="CD20" s="1002"/>
      <c r="CE20" s="972"/>
      <c r="CF20" s="972"/>
      <c r="CG20" s="1002"/>
      <c r="CH20" s="953"/>
      <c r="CI20" s="557"/>
      <c r="CJ20" s="971"/>
      <c r="CK20" s="1002"/>
      <c r="CL20" s="1002"/>
      <c r="CM20" s="972"/>
      <c r="CN20" s="972"/>
      <c r="CO20" s="1002"/>
      <c r="CP20" s="953"/>
      <c r="CQ20" s="557"/>
      <c r="CR20" s="954"/>
      <c r="CS20" s="555"/>
      <c r="CT20" s="1002"/>
      <c r="CU20" s="972" t="n">
        <f aca="false">+CR20-CS20</f>
        <v>0</v>
      </c>
      <c r="CV20" s="972" t="n">
        <f aca="false">+CR20-CT20</f>
        <v>0</v>
      </c>
      <c r="CW20" s="1002"/>
      <c r="CX20" s="556" t="str">
        <f aca="false">IFERROR(CR20/CW20-1, "-")</f>
        <v>-</v>
      </c>
      <c r="CY20" s="945"/>
      <c r="CZ20" s="1002"/>
      <c r="DA20" s="1002"/>
      <c r="DB20" s="1002"/>
      <c r="DC20" s="1002"/>
      <c r="DD20" s="1002"/>
      <c r="DE20" s="1003"/>
      <c r="DF20" s="1003"/>
      <c r="DG20" s="1003"/>
      <c r="DH20" s="1003"/>
      <c r="DI20" s="951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</row>
    <row r="21" customFormat="false" ht="21.75" hidden="true" customHeight="true" outlineLevel="0" collapsed="false">
      <c r="A21" s="591"/>
      <c r="B21" s="857" t="s">
        <v>720</v>
      </c>
      <c r="C21" s="679" t="s">
        <v>736</v>
      </c>
      <c r="D21" s="986"/>
      <c r="E21" s="987"/>
      <c r="F21" s="987"/>
      <c r="G21" s="987"/>
      <c r="H21" s="805"/>
      <c r="I21" s="245"/>
      <c r="J21" s="986"/>
      <c r="K21" s="987"/>
      <c r="L21" s="987"/>
      <c r="M21" s="987"/>
      <c r="N21" s="805"/>
      <c r="O21" s="281"/>
      <c r="P21" s="986"/>
      <c r="Q21" s="987"/>
      <c r="R21" s="987"/>
      <c r="S21" s="987"/>
      <c r="T21" s="805"/>
      <c r="U21" s="422"/>
      <c r="V21" s="986"/>
      <c r="W21" s="987"/>
      <c r="X21" s="987"/>
      <c r="Y21" s="987"/>
      <c r="Z21" s="281"/>
      <c r="AA21" s="987"/>
      <c r="AB21" s="805"/>
      <c r="AC21" s="422"/>
      <c r="AD21" s="986"/>
      <c r="AE21" s="987"/>
      <c r="AF21" s="987"/>
      <c r="AG21" s="987"/>
      <c r="AH21" s="281"/>
      <c r="AI21" s="987"/>
      <c r="AJ21" s="805"/>
      <c r="AK21" s="422"/>
      <c r="AL21" s="986"/>
      <c r="AM21" s="987"/>
      <c r="AN21" s="987"/>
      <c r="AO21" s="987"/>
      <c r="AP21" s="987"/>
      <c r="AQ21" s="987"/>
      <c r="AR21" s="987"/>
      <c r="AS21" s="805"/>
      <c r="AT21" s="423"/>
      <c r="AU21" s="986"/>
      <c r="AV21" s="987"/>
      <c r="AW21" s="987"/>
      <c r="AX21" s="987"/>
      <c r="AY21" s="987"/>
      <c r="AZ21" s="987"/>
      <c r="BA21" s="805"/>
      <c r="BB21" s="422"/>
      <c r="BC21" s="986"/>
      <c r="BD21" s="987"/>
      <c r="BE21" s="987"/>
      <c r="BF21" s="987"/>
      <c r="BG21" s="987"/>
      <c r="BH21" s="987"/>
      <c r="BI21" s="805"/>
      <c r="BJ21" s="422"/>
      <c r="BK21" s="986"/>
      <c r="BL21" s="987"/>
      <c r="BM21" s="987"/>
      <c r="BN21" s="987"/>
      <c r="BO21" s="987"/>
      <c r="BP21" s="987"/>
      <c r="BQ21" s="987"/>
      <c r="BR21" s="805"/>
      <c r="BS21" s="422"/>
      <c r="BT21" s="986"/>
      <c r="BU21" s="987"/>
      <c r="BV21" s="987"/>
      <c r="BW21" s="987"/>
      <c r="BX21" s="987"/>
      <c r="BY21" s="987"/>
      <c r="BZ21" s="805"/>
      <c r="CA21" s="422"/>
      <c r="CB21" s="986"/>
      <c r="CC21" s="987"/>
      <c r="CD21" s="987"/>
      <c r="CE21" s="987"/>
      <c r="CF21" s="987"/>
      <c r="CG21" s="987"/>
      <c r="CH21" s="805"/>
      <c r="CI21" s="422"/>
      <c r="CJ21" s="986"/>
      <c r="CK21" s="987"/>
      <c r="CL21" s="987"/>
      <c r="CM21" s="987"/>
      <c r="CN21" s="987"/>
      <c r="CO21" s="987"/>
      <c r="CP21" s="805"/>
      <c r="CQ21" s="422"/>
      <c r="CR21" s="955"/>
      <c r="CS21" s="144"/>
      <c r="CT21" s="987"/>
      <c r="CU21" s="987" t="n">
        <f aca="false">+CR21-CS21</f>
        <v>0</v>
      </c>
      <c r="CV21" s="987" t="n">
        <f aca="false">+CR21-CT21</f>
        <v>0</v>
      </c>
      <c r="CW21" s="987"/>
      <c r="CX21" s="245" t="str">
        <f aca="false">IFERROR(CR21/CW21-1, "-")</f>
        <v>-</v>
      </c>
      <c r="CY21" s="945"/>
      <c r="CZ21" s="987"/>
      <c r="DA21" s="987"/>
      <c r="DB21" s="987"/>
      <c r="DC21" s="987"/>
      <c r="DD21" s="987"/>
      <c r="DE21" s="987"/>
      <c r="DF21" s="987"/>
      <c r="DG21" s="987"/>
      <c r="DH21" s="987"/>
      <c r="DI21" s="951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</row>
    <row r="22" customFormat="false" ht="21.75" hidden="true" customHeight="true" outlineLevel="0" collapsed="false">
      <c r="A22" s="956"/>
      <c r="B22" s="1005" t="s">
        <v>737</v>
      </c>
      <c r="C22" s="679" t="s">
        <v>738</v>
      </c>
      <c r="D22" s="997"/>
      <c r="E22" s="998"/>
      <c r="F22" s="998"/>
      <c r="G22" s="998"/>
      <c r="H22" s="959"/>
      <c r="I22" s="960"/>
      <c r="J22" s="997"/>
      <c r="K22" s="998"/>
      <c r="L22" s="998"/>
      <c r="M22" s="998"/>
      <c r="N22" s="959"/>
      <c r="O22" s="588"/>
      <c r="P22" s="997"/>
      <c r="Q22" s="998"/>
      <c r="R22" s="998"/>
      <c r="S22" s="998"/>
      <c r="T22" s="959"/>
      <c r="U22" s="690"/>
      <c r="V22" s="997"/>
      <c r="W22" s="998"/>
      <c r="X22" s="998"/>
      <c r="Y22" s="998"/>
      <c r="Z22" s="588"/>
      <c r="AA22" s="998"/>
      <c r="AB22" s="959"/>
      <c r="AC22" s="690"/>
      <c r="AD22" s="997"/>
      <c r="AE22" s="998"/>
      <c r="AF22" s="998"/>
      <c r="AG22" s="998"/>
      <c r="AH22" s="588"/>
      <c r="AI22" s="998"/>
      <c r="AJ22" s="959"/>
      <c r="AK22" s="690"/>
      <c r="AL22" s="997"/>
      <c r="AM22" s="998"/>
      <c r="AN22" s="998"/>
      <c r="AO22" s="998"/>
      <c r="AP22" s="998"/>
      <c r="AQ22" s="998"/>
      <c r="AR22" s="998"/>
      <c r="AS22" s="959"/>
      <c r="AT22" s="883"/>
      <c r="AU22" s="997"/>
      <c r="AV22" s="998"/>
      <c r="AW22" s="998"/>
      <c r="AX22" s="998"/>
      <c r="AY22" s="998"/>
      <c r="AZ22" s="998"/>
      <c r="BA22" s="959"/>
      <c r="BB22" s="690"/>
      <c r="BC22" s="997"/>
      <c r="BD22" s="998"/>
      <c r="BE22" s="998"/>
      <c r="BF22" s="998"/>
      <c r="BG22" s="998"/>
      <c r="BH22" s="998"/>
      <c r="BI22" s="959"/>
      <c r="BJ22" s="690"/>
      <c r="BK22" s="997"/>
      <c r="BL22" s="998"/>
      <c r="BM22" s="998"/>
      <c r="BN22" s="998"/>
      <c r="BO22" s="998"/>
      <c r="BP22" s="998"/>
      <c r="BQ22" s="998"/>
      <c r="BR22" s="959"/>
      <c r="BS22" s="690"/>
      <c r="BT22" s="997"/>
      <c r="BU22" s="998"/>
      <c r="BV22" s="998"/>
      <c r="BW22" s="998"/>
      <c r="BX22" s="998"/>
      <c r="BY22" s="998"/>
      <c r="BZ22" s="959"/>
      <c r="CA22" s="690"/>
      <c r="CB22" s="997"/>
      <c r="CC22" s="998"/>
      <c r="CD22" s="998"/>
      <c r="CE22" s="998"/>
      <c r="CF22" s="998"/>
      <c r="CG22" s="998"/>
      <c r="CH22" s="959"/>
      <c r="CI22" s="690"/>
      <c r="CJ22" s="997"/>
      <c r="CK22" s="998"/>
      <c r="CL22" s="998"/>
      <c r="CM22" s="998"/>
      <c r="CN22" s="998"/>
      <c r="CO22" s="998"/>
      <c r="CP22" s="959"/>
      <c r="CQ22" s="690"/>
      <c r="CR22" s="961"/>
      <c r="CS22" s="958"/>
      <c r="CT22" s="998"/>
      <c r="CU22" s="998" t="n">
        <f aca="false">+CR22-CS22</f>
        <v>0</v>
      </c>
      <c r="CV22" s="998" t="n">
        <f aca="false">+CR22-CT22</f>
        <v>0</v>
      </c>
      <c r="CW22" s="998"/>
      <c r="CX22" s="960" t="str">
        <f aca="false">IFERROR(CR22/CW22-1, "-")</f>
        <v>-</v>
      </c>
      <c r="CY22" s="945"/>
      <c r="CZ22" s="998"/>
      <c r="DA22" s="998"/>
      <c r="DB22" s="998"/>
      <c r="DC22" s="998"/>
      <c r="DD22" s="998"/>
      <c r="DE22" s="1004"/>
      <c r="DF22" s="1004"/>
      <c r="DG22" s="1004"/>
      <c r="DH22" s="1004"/>
      <c r="DI22" s="951"/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</row>
    <row r="23" s="1" customFormat="true" ht="21.75" hidden="true" customHeight="true" outlineLevel="0" collapsed="false">
      <c r="A23" s="962"/>
      <c r="B23" s="963" t="s">
        <v>718</v>
      </c>
      <c r="C23" s="679" t="s">
        <v>739</v>
      </c>
      <c r="D23" s="1006"/>
      <c r="E23" s="1006"/>
      <c r="F23" s="1006"/>
      <c r="G23" s="1006"/>
      <c r="H23" s="967"/>
      <c r="I23" s="968"/>
      <c r="J23" s="1006"/>
      <c r="K23" s="1006"/>
      <c r="L23" s="1006"/>
      <c r="M23" s="1006"/>
      <c r="N23" s="967"/>
      <c r="O23" s="965"/>
      <c r="P23" s="1006"/>
      <c r="Q23" s="1006"/>
      <c r="R23" s="1006"/>
      <c r="S23" s="1006"/>
      <c r="T23" s="967"/>
      <c r="U23" s="969"/>
      <c r="V23" s="1006"/>
      <c r="W23" s="1006"/>
      <c r="X23" s="1006"/>
      <c r="Y23" s="1006"/>
      <c r="Z23" s="965"/>
      <c r="AA23" s="1006"/>
      <c r="AB23" s="967"/>
      <c r="AC23" s="969"/>
      <c r="AD23" s="1006"/>
      <c r="AE23" s="1006"/>
      <c r="AF23" s="1006"/>
      <c r="AG23" s="1006"/>
      <c r="AH23" s="965"/>
      <c r="AI23" s="1006"/>
      <c r="AJ23" s="967"/>
      <c r="AK23" s="969"/>
      <c r="AL23" s="1006"/>
      <c r="AM23" s="1006"/>
      <c r="AN23" s="1006"/>
      <c r="AO23" s="1006"/>
      <c r="AP23" s="1006"/>
      <c r="AQ23" s="1006"/>
      <c r="AR23" s="1006"/>
      <c r="AS23" s="967"/>
      <c r="AT23" s="970"/>
      <c r="AU23" s="1006"/>
      <c r="AV23" s="1006"/>
      <c r="AW23" s="1006"/>
      <c r="AX23" s="1006"/>
      <c r="AY23" s="1006"/>
      <c r="AZ23" s="1006"/>
      <c r="BA23" s="967"/>
      <c r="BB23" s="969"/>
      <c r="BC23" s="1006"/>
      <c r="BD23" s="1006"/>
      <c r="BE23" s="1006"/>
      <c r="BF23" s="1006"/>
      <c r="BG23" s="1006"/>
      <c r="BH23" s="1006"/>
      <c r="BI23" s="967"/>
      <c r="BJ23" s="969"/>
      <c r="BK23" s="1006"/>
      <c r="BL23" s="1006"/>
      <c r="BM23" s="1006"/>
      <c r="BN23" s="1006"/>
      <c r="BO23" s="1006"/>
      <c r="BP23" s="1006"/>
      <c r="BQ23" s="1006"/>
      <c r="BR23" s="967"/>
      <c r="BS23" s="969"/>
      <c r="BT23" s="555"/>
      <c r="BU23" s="555"/>
      <c r="BV23" s="555"/>
      <c r="BW23" s="555"/>
      <c r="BX23" s="555"/>
      <c r="BY23" s="555"/>
      <c r="BZ23" s="953"/>
      <c r="CA23" s="557"/>
      <c r="CB23" s="555"/>
      <c r="CC23" s="555"/>
      <c r="CD23" s="555"/>
      <c r="CE23" s="555"/>
      <c r="CF23" s="555"/>
      <c r="CG23" s="555"/>
      <c r="CH23" s="953"/>
      <c r="CI23" s="557"/>
      <c r="CJ23" s="555"/>
      <c r="CK23" s="1006"/>
      <c r="CL23" s="1006"/>
      <c r="CM23" s="1006"/>
      <c r="CN23" s="1006"/>
      <c r="CO23" s="1006"/>
      <c r="CP23" s="967"/>
      <c r="CQ23" s="984"/>
      <c r="CR23" s="954"/>
      <c r="CS23" s="555"/>
      <c r="CT23" s="1006"/>
      <c r="CU23" s="1006" t="n">
        <f aca="false">+CR23-CS23</f>
        <v>0</v>
      </c>
      <c r="CV23" s="1006" t="n">
        <f aca="false">+CR23-CT23</f>
        <v>0</v>
      </c>
      <c r="CW23" s="1006"/>
      <c r="CX23" s="968" t="str">
        <f aca="false">IFERROR(CR23/CW23-1, "-")</f>
        <v>-</v>
      </c>
      <c r="CY23" s="945"/>
      <c r="CZ23" s="1006"/>
      <c r="DA23" s="1006"/>
      <c r="DB23" s="1006"/>
      <c r="DC23" s="1006"/>
      <c r="DD23" s="1006"/>
      <c r="DE23" s="1007"/>
      <c r="DF23" s="1007"/>
      <c r="DG23" s="1007"/>
      <c r="DH23" s="1007"/>
      <c r="DI23" s="951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975"/>
      <c r="DO23" s="975"/>
      <c r="DP23" s="975"/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  <c r="EF23" s="976"/>
      <c r="EG23" s="976"/>
      <c r="EH23" s="976"/>
      <c r="EI23" s="976"/>
      <c r="EJ23" s="976"/>
      <c r="EK23" s="976"/>
      <c r="EL23" s="976"/>
      <c r="EM23" s="976"/>
      <c r="EN23" s="976"/>
      <c r="EO23" s="976"/>
      <c r="EP23" s="976"/>
      <c r="EQ23" s="976"/>
      <c r="ER23" s="976"/>
      <c r="ES23" s="976"/>
      <c r="ET23" s="976"/>
      <c r="EU23" s="976"/>
      <c r="EV23" s="976"/>
      <c r="EW23" s="976"/>
      <c r="EX23" s="976"/>
      <c r="EY23" s="976"/>
      <c r="EZ23" s="976"/>
      <c r="FA23" s="976"/>
      <c r="FB23" s="976"/>
      <c r="FC23" s="976"/>
      <c r="FD23" s="976"/>
      <c r="FE23" s="976"/>
      <c r="FF23" s="976"/>
      <c r="FG23" s="976"/>
      <c r="FH23" s="976"/>
      <c r="FI23" s="976"/>
      <c r="FJ23" s="976"/>
      <c r="FK23" s="976"/>
      <c r="FL23" s="976"/>
      <c r="FM23" s="976"/>
      <c r="FN23" s="976"/>
      <c r="FO23" s="976"/>
      <c r="FP23" s="976"/>
      <c r="FQ23" s="976"/>
      <c r="FR23" s="976"/>
    </row>
    <row r="24" s="1" customFormat="true" ht="21.75" hidden="true" customHeight="true" outlineLevel="0" collapsed="false">
      <c r="A24" s="977"/>
      <c r="B24" s="978" t="s">
        <v>720</v>
      </c>
      <c r="C24" s="679" t="s">
        <v>740</v>
      </c>
      <c r="D24" s="173"/>
      <c r="E24" s="173"/>
      <c r="F24" s="173"/>
      <c r="G24" s="173"/>
      <c r="H24" s="982"/>
      <c r="I24" s="983"/>
      <c r="J24" s="173"/>
      <c r="K24" s="173"/>
      <c r="L24" s="173"/>
      <c r="M24" s="173"/>
      <c r="N24" s="982"/>
      <c r="O24" s="980"/>
      <c r="P24" s="173"/>
      <c r="Q24" s="173"/>
      <c r="R24" s="173"/>
      <c r="S24" s="173"/>
      <c r="T24" s="982"/>
      <c r="U24" s="984"/>
      <c r="V24" s="173"/>
      <c r="W24" s="173"/>
      <c r="X24" s="173"/>
      <c r="Y24" s="173"/>
      <c r="Z24" s="980"/>
      <c r="AA24" s="173"/>
      <c r="AB24" s="982"/>
      <c r="AC24" s="984"/>
      <c r="AD24" s="173"/>
      <c r="AE24" s="173"/>
      <c r="AF24" s="173"/>
      <c r="AG24" s="173"/>
      <c r="AH24" s="980"/>
      <c r="AI24" s="173"/>
      <c r="AJ24" s="982"/>
      <c r="AK24" s="984"/>
      <c r="AL24" s="173"/>
      <c r="AM24" s="173"/>
      <c r="AN24" s="173"/>
      <c r="AO24" s="173"/>
      <c r="AP24" s="173"/>
      <c r="AQ24" s="173"/>
      <c r="AR24" s="173"/>
      <c r="AS24" s="982"/>
      <c r="AT24" s="985"/>
      <c r="AU24" s="173"/>
      <c r="AV24" s="173"/>
      <c r="AW24" s="173"/>
      <c r="AX24" s="173"/>
      <c r="AY24" s="173"/>
      <c r="AZ24" s="173"/>
      <c r="BA24" s="982"/>
      <c r="BB24" s="984"/>
      <c r="BC24" s="173"/>
      <c r="BD24" s="173"/>
      <c r="BE24" s="173"/>
      <c r="BF24" s="173"/>
      <c r="BG24" s="173"/>
      <c r="BH24" s="173"/>
      <c r="BI24" s="982"/>
      <c r="BJ24" s="984"/>
      <c r="BK24" s="173"/>
      <c r="BL24" s="173"/>
      <c r="BM24" s="173"/>
      <c r="BN24" s="173"/>
      <c r="BO24" s="173"/>
      <c r="BP24" s="173"/>
      <c r="BQ24" s="173"/>
      <c r="BR24" s="982"/>
      <c r="BS24" s="984"/>
      <c r="BT24" s="144"/>
      <c r="BU24" s="144"/>
      <c r="BV24" s="144"/>
      <c r="BW24" s="144"/>
      <c r="BX24" s="144"/>
      <c r="BY24" s="144"/>
      <c r="BZ24" s="805"/>
      <c r="CA24" s="422"/>
      <c r="CB24" s="144"/>
      <c r="CC24" s="144"/>
      <c r="CD24" s="144"/>
      <c r="CE24" s="144"/>
      <c r="CF24" s="144"/>
      <c r="CG24" s="144"/>
      <c r="CH24" s="805"/>
      <c r="CI24" s="422"/>
      <c r="CJ24" s="144"/>
      <c r="CK24" s="173"/>
      <c r="CL24" s="173"/>
      <c r="CM24" s="173"/>
      <c r="CN24" s="173"/>
      <c r="CO24" s="173"/>
      <c r="CP24" s="982"/>
      <c r="CQ24" s="984"/>
      <c r="CR24" s="955"/>
      <c r="CS24" s="144"/>
      <c r="CT24" s="173"/>
      <c r="CU24" s="173" t="n">
        <f aca="false">+CR24-CS24</f>
        <v>0</v>
      </c>
      <c r="CV24" s="173" t="n">
        <f aca="false">+CR24-CT24</f>
        <v>0</v>
      </c>
      <c r="CW24" s="173"/>
      <c r="CX24" s="983" t="str">
        <f aca="false">IFERROR(CR24/CW24-1, "-")</f>
        <v>-</v>
      </c>
      <c r="CY24" s="945"/>
      <c r="CZ24" s="173"/>
      <c r="DA24" s="173"/>
      <c r="DB24" s="173"/>
      <c r="DC24" s="173"/>
      <c r="DD24" s="173"/>
      <c r="DE24" s="983"/>
      <c r="DF24" s="983"/>
      <c r="DG24" s="983"/>
      <c r="DH24" s="983"/>
      <c r="DI24" s="951"/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975"/>
      <c r="DO24" s="975"/>
      <c r="DP24" s="975"/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  <c r="EF24" s="976"/>
      <c r="EG24" s="976"/>
      <c r="EH24" s="976"/>
      <c r="EI24" s="976"/>
      <c r="EJ24" s="976"/>
      <c r="EK24" s="976"/>
      <c r="EL24" s="976"/>
      <c r="EM24" s="976"/>
      <c r="EN24" s="976"/>
      <c r="EO24" s="976"/>
      <c r="EP24" s="976"/>
      <c r="EQ24" s="976"/>
      <c r="ER24" s="976"/>
      <c r="ES24" s="976"/>
      <c r="ET24" s="976"/>
      <c r="EU24" s="976"/>
      <c r="EV24" s="976"/>
      <c r="EW24" s="976"/>
      <c r="EX24" s="976"/>
      <c r="EY24" s="976"/>
      <c r="EZ24" s="976"/>
      <c r="FA24" s="976"/>
      <c r="FB24" s="976"/>
      <c r="FC24" s="976"/>
      <c r="FD24" s="976"/>
      <c r="FE24" s="976"/>
      <c r="FF24" s="976"/>
      <c r="FG24" s="976"/>
      <c r="FH24" s="976"/>
      <c r="FI24" s="976"/>
      <c r="FJ24" s="976"/>
      <c r="FK24" s="976"/>
      <c r="FL24" s="976"/>
      <c r="FM24" s="976"/>
      <c r="FN24" s="976"/>
      <c r="FO24" s="976"/>
      <c r="FP24" s="976"/>
      <c r="FQ24" s="976"/>
      <c r="FR24" s="976"/>
    </row>
    <row r="25" s="1" customFormat="true" ht="21.75" hidden="true" customHeight="true" outlineLevel="0" collapsed="false">
      <c r="A25" s="988"/>
      <c r="B25" s="989" t="s">
        <v>741</v>
      </c>
      <c r="C25" s="679" t="s">
        <v>742</v>
      </c>
      <c r="D25" s="1001"/>
      <c r="E25" s="1008"/>
      <c r="F25" s="1008"/>
      <c r="G25" s="1008"/>
      <c r="H25" s="993"/>
      <c r="I25" s="994"/>
      <c r="J25" s="1001"/>
      <c r="K25" s="1008"/>
      <c r="L25" s="1008"/>
      <c r="M25" s="1008"/>
      <c r="N25" s="993"/>
      <c r="O25" s="991"/>
      <c r="P25" s="1001"/>
      <c r="Q25" s="1008"/>
      <c r="R25" s="1008"/>
      <c r="S25" s="1008"/>
      <c r="T25" s="993"/>
      <c r="U25" s="995"/>
      <c r="V25" s="1001"/>
      <c r="W25" s="1008"/>
      <c r="X25" s="1008"/>
      <c r="Y25" s="1008"/>
      <c r="Z25" s="991"/>
      <c r="AA25" s="1008"/>
      <c r="AB25" s="993"/>
      <c r="AC25" s="995"/>
      <c r="AD25" s="1001"/>
      <c r="AE25" s="1008"/>
      <c r="AF25" s="1008"/>
      <c r="AG25" s="1008"/>
      <c r="AH25" s="991"/>
      <c r="AI25" s="1008"/>
      <c r="AJ25" s="993"/>
      <c r="AK25" s="995"/>
      <c r="AL25" s="1001"/>
      <c r="AM25" s="1008"/>
      <c r="AN25" s="1008"/>
      <c r="AO25" s="1008"/>
      <c r="AP25" s="1008"/>
      <c r="AQ25" s="1008"/>
      <c r="AR25" s="1008"/>
      <c r="AS25" s="993"/>
      <c r="AT25" s="996"/>
      <c r="AU25" s="1001"/>
      <c r="AV25" s="1008"/>
      <c r="AW25" s="1008"/>
      <c r="AX25" s="1008"/>
      <c r="AY25" s="1008"/>
      <c r="AZ25" s="1008"/>
      <c r="BA25" s="993"/>
      <c r="BB25" s="995"/>
      <c r="BC25" s="1001"/>
      <c r="BD25" s="1008"/>
      <c r="BE25" s="1008"/>
      <c r="BF25" s="1008"/>
      <c r="BG25" s="1008"/>
      <c r="BH25" s="1008"/>
      <c r="BI25" s="993"/>
      <c r="BJ25" s="995"/>
      <c r="BK25" s="1001"/>
      <c r="BL25" s="1008"/>
      <c r="BM25" s="1008"/>
      <c r="BN25" s="1008"/>
      <c r="BO25" s="1008"/>
      <c r="BP25" s="1008"/>
      <c r="BQ25" s="1008"/>
      <c r="BR25" s="993"/>
      <c r="BS25" s="995"/>
      <c r="BT25" s="958"/>
      <c r="BU25" s="958"/>
      <c r="BV25" s="958"/>
      <c r="BW25" s="958"/>
      <c r="BX25" s="958"/>
      <c r="BY25" s="958"/>
      <c r="BZ25" s="959"/>
      <c r="CA25" s="690"/>
      <c r="CB25" s="958"/>
      <c r="CC25" s="958"/>
      <c r="CD25" s="958"/>
      <c r="CE25" s="958"/>
      <c r="CF25" s="958"/>
      <c r="CG25" s="958"/>
      <c r="CH25" s="959"/>
      <c r="CI25" s="690"/>
      <c r="CJ25" s="958"/>
      <c r="CK25" s="1008"/>
      <c r="CL25" s="1008"/>
      <c r="CM25" s="1008"/>
      <c r="CN25" s="1008"/>
      <c r="CO25" s="1008"/>
      <c r="CP25" s="993"/>
      <c r="CQ25" s="845"/>
      <c r="CR25" s="961"/>
      <c r="CS25" s="958"/>
      <c r="CT25" s="1008"/>
      <c r="CU25" s="1008" t="n">
        <f aca="false">+CR25-CS25</f>
        <v>0</v>
      </c>
      <c r="CV25" s="1008" t="n">
        <f aca="false">+CR25-CT25</f>
        <v>0</v>
      </c>
      <c r="CW25" s="1008"/>
      <c r="CX25" s="994" t="str">
        <f aca="false">IFERROR(CR25/CW25-1, "-")</f>
        <v>-</v>
      </c>
      <c r="CY25" s="945"/>
      <c r="CZ25" s="1008"/>
      <c r="DA25" s="1008"/>
      <c r="DB25" s="1008"/>
      <c r="DC25" s="1008"/>
      <c r="DD25" s="1008"/>
      <c r="DE25" s="1009"/>
      <c r="DF25" s="1009"/>
      <c r="DG25" s="1009"/>
      <c r="DH25" s="1009"/>
      <c r="DI25" s="951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975"/>
      <c r="DO25" s="975"/>
      <c r="DP25" s="975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  <c r="EF25" s="976"/>
      <c r="EG25" s="976"/>
      <c r="EH25" s="976"/>
      <c r="EI25" s="976"/>
      <c r="EJ25" s="976"/>
      <c r="EK25" s="976"/>
      <c r="EL25" s="976"/>
      <c r="EM25" s="976"/>
      <c r="EN25" s="976"/>
      <c r="EO25" s="976"/>
      <c r="EP25" s="976"/>
      <c r="EQ25" s="976"/>
      <c r="ER25" s="976"/>
      <c r="ES25" s="976"/>
      <c r="ET25" s="976"/>
      <c r="EU25" s="976"/>
      <c r="EV25" s="976"/>
      <c r="EW25" s="976"/>
      <c r="EX25" s="976"/>
      <c r="EY25" s="976"/>
      <c r="EZ25" s="976"/>
      <c r="FA25" s="976"/>
      <c r="FB25" s="976"/>
      <c r="FC25" s="976"/>
      <c r="FD25" s="976"/>
      <c r="FE25" s="976"/>
      <c r="FF25" s="976"/>
      <c r="FG25" s="976"/>
      <c r="FH25" s="976"/>
      <c r="FI25" s="976"/>
      <c r="FJ25" s="976"/>
      <c r="FK25" s="976"/>
      <c r="FL25" s="976"/>
      <c r="FM25" s="976"/>
      <c r="FN25" s="976"/>
      <c r="FO25" s="976"/>
      <c r="FP25" s="976"/>
      <c r="FQ25" s="976"/>
      <c r="FR25" s="976"/>
    </row>
    <row r="26" s="1" customFormat="true" ht="21.75" hidden="true" customHeight="true" outlineLevel="0" collapsed="false">
      <c r="A26" s="962"/>
      <c r="B26" s="963" t="s">
        <v>718</v>
      </c>
      <c r="C26" s="679" t="s">
        <v>743</v>
      </c>
      <c r="D26" s="1006"/>
      <c r="E26" s="1006"/>
      <c r="F26" s="1006"/>
      <c r="G26" s="1006"/>
      <c r="H26" s="967"/>
      <c r="I26" s="968"/>
      <c r="J26" s="1006"/>
      <c r="K26" s="1006"/>
      <c r="L26" s="1006"/>
      <c r="M26" s="1006"/>
      <c r="N26" s="967"/>
      <c r="O26" s="965"/>
      <c r="P26" s="1006"/>
      <c r="Q26" s="1006"/>
      <c r="R26" s="1006"/>
      <c r="S26" s="1006"/>
      <c r="T26" s="967"/>
      <c r="U26" s="969"/>
      <c r="V26" s="1006"/>
      <c r="W26" s="1006"/>
      <c r="X26" s="1006"/>
      <c r="Y26" s="1006"/>
      <c r="Z26" s="965"/>
      <c r="AA26" s="1006"/>
      <c r="AB26" s="967"/>
      <c r="AC26" s="969"/>
      <c r="AD26" s="1006"/>
      <c r="AE26" s="1006"/>
      <c r="AF26" s="1006"/>
      <c r="AG26" s="1006"/>
      <c r="AH26" s="965"/>
      <c r="AI26" s="1006"/>
      <c r="AJ26" s="967"/>
      <c r="AK26" s="969"/>
      <c r="AL26" s="1006"/>
      <c r="AM26" s="1006"/>
      <c r="AN26" s="1006"/>
      <c r="AO26" s="1006"/>
      <c r="AP26" s="1006"/>
      <c r="AQ26" s="1006"/>
      <c r="AR26" s="1006"/>
      <c r="AS26" s="967"/>
      <c r="AT26" s="970"/>
      <c r="AU26" s="1006"/>
      <c r="AV26" s="1006"/>
      <c r="AW26" s="1006"/>
      <c r="AX26" s="1006"/>
      <c r="AY26" s="1006"/>
      <c r="AZ26" s="1006"/>
      <c r="BA26" s="967"/>
      <c r="BB26" s="969"/>
      <c r="BC26" s="1006"/>
      <c r="BD26" s="1006"/>
      <c r="BE26" s="1006"/>
      <c r="BF26" s="1006"/>
      <c r="BG26" s="1006"/>
      <c r="BH26" s="1006"/>
      <c r="BI26" s="967"/>
      <c r="BJ26" s="969"/>
      <c r="BK26" s="1006"/>
      <c r="BL26" s="1006"/>
      <c r="BM26" s="1006"/>
      <c r="BN26" s="1006"/>
      <c r="BO26" s="1006"/>
      <c r="BP26" s="1006"/>
      <c r="BQ26" s="1006"/>
      <c r="BR26" s="967"/>
      <c r="BS26" s="969"/>
      <c r="BT26" s="555"/>
      <c r="BU26" s="555"/>
      <c r="BV26" s="555"/>
      <c r="BW26" s="555"/>
      <c r="BX26" s="555"/>
      <c r="BY26" s="555"/>
      <c r="BZ26" s="953"/>
      <c r="CA26" s="557"/>
      <c r="CB26" s="555"/>
      <c r="CC26" s="555"/>
      <c r="CD26" s="555"/>
      <c r="CE26" s="555"/>
      <c r="CF26" s="555"/>
      <c r="CG26" s="555"/>
      <c r="CH26" s="953"/>
      <c r="CI26" s="557"/>
      <c r="CJ26" s="555"/>
      <c r="CK26" s="1006"/>
      <c r="CL26" s="1006"/>
      <c r="CM26" s="1006"/>
      <c r="CN26" s="1006"/>
      <c r="CO26" s="1006"/>
      <c r="CP26" s="967"/>
      <c r="CQ26" s="984"/>
      <c r="CR26" s="954"/>
      <c r="CS26" s="555"/>
      <c r="CT26" s="1006"/>
      <c r="CU26" s="1006" t="n">
        <f aca="false">+CR26-CS26</f>
        <v>0</v>
      </c>
      <c r="CV26" s="1006" t="n">
        <f aca="false">+CR26-CT26</f>
        <v>0</v>
      </c>
      <c r="CW26" s="1006"/>
      <c r="CX26" s="968" t="str">
        <f aca="false">IFERROR(CR26/CW26-1, "-")</f>
        <v>-</v>
      </c>
      <c r="CY26" s="945"/>
      <c r="CZ26" s="1006"/>
      <c r="DA26" s="1006"/>
      <c r="DB26" s="1006"/>
      <c r="DC26" s="1006"/>
      <c r="DD26" s="1006"/>
      <c r="DE26" s="983" t="e">
        <f aca="false">CZ26/DD26-1</f>
        <v>#DIV/0!</v>
      </c>
      <c r="DF26" s="983" t="e">
        <f aca="false">DA26/DD26-1</f>
        <v>#DIV/0!</v>
      </c>
      <c r="DG26" s="983" t="e">
        <f aca="false">DB26/DD26-1</f>
        <v>#DIV/0!</v>
      </c>
      <c r="DH26" s="983" t="e">
        <f aca="false">DC26/DD26-1</f>
        <v>#DIV/0!</v>
      </c>
      <c r="DI26" s="951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975"/>
      <c r="DO26" s="975"/>
      <c r="DP26" s="975"/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  <c r="EF26" s="976"/>
      <c r="EG26" s="976"/>
      <c r="EH26" s="976"/>
      <c r="EI26" s="976"/>
      <c r="EJ26" s="976"/>
      <c r="EK26" s="976"/>
      <c r="EL26" s="976"/>
      <c r="EM26" s="976"/>
      <c r="EN26" s="976"/>
      <c r="EO26" s="976"/>
      <c r="EP26" s="976"/>
      <c r="EQ26" s="976"/>
      <c r="ER26" s="976"/>
      <c r="ES26" s="976"/>
      <c r="ET26" s="976"/>
      <c r="EU26" s="976"/>
      <c r="EV26" s="976"/>
      <c r="EW26" s="976"/>
      <c r="EX26" s="976"/>
      <c r="EY26" s="976"/>
      <c r="EZ26" s="976"/>
      <c r="FA26" s="976"/>
      <c r="FB26" s="976"/>
      <c r="FC26" s="976"/>
      <c r="FD26" s="976"/>
      <c r="FE26" s="976"/>
      <c r="FF26" s="976"/>
      <c r="FG26" s="976"/>
      <c r="FH26" s="976"/>
      <c r="FI26" s="976"/>
      <c r="FJ26" s="976"/>
      <c r="FK26" s="976"/>
      <c r="FL26" s="976"/>
      <c r="FM26" s="976"/>
      <c r="FN26" s="976"/>
      <c r="FO26" s="976"/>
      <c r="FP26" s="976"/>
      <c r="FQ26" s="976"/>
      <c r="FR26" s="976"/>
    </row>
    <row r="27" s="1" customFormat="true" ht="21.75" hidden="true" customHeight="true" outlineLevel="0" collapsed="false">
      <c r="A27" s="977"/>
      <c r="B27" s="978" t="s">
        <v>720</v>
      </c>
      <c r="C27" s="679" t="s">
        <v>744</v>
      </c>
      <c r="D27" s="173"/>
      <c r="E27" s="173"/>
      <c r="F27" s="173"/>
      <c r="G27" s="173"/>
      <c r="H27" s="982"/>
      <c r="I27" s="983"/>
      <c r="J27" s="173"/>
      <c r="K27" s="173"/>
      <c r="L27" s="173"/>
      <c r="M27" s="173"/>
      <c r="N27" s="982"/>
      <c r="O27" s="980"/>
      <c r="P27" s="173"/>
      <c r="Q27" s="173"/>
      <c r="R27" s="173"/>
      <c r="S27" s="173"/>
      <c r="T27" s="982"/>
      <c r="U27" s="984"/>
      <c r="V27" s="173"/>
      <c r="W27" s="173"/>
      <c r="X27" s="173"/>
      <c r="Y27" s="173"/>
      <c r="Z27" s="980"/>
      <c r="AA27" s="173"/>
      <c r="AB27" s="982"/>
      <c r="AC27" s="984"/>
      <c r="AD27" s="173"/>
      <c r="AE27" s="173"/>
      <c r="AF27" s="173"/>
      <c r="AG27" s="173"/>
      <c r="AH27" s="980"/>
      <c r="AI27" s="173"/>
      <c r="AJ27" s="982"/>
      <c r="AK27" s="984"/>
      <c r="AL27" s="173"/>
      <c r="AM27" s="173"/>
      <c r="AN27" s="173"/>
      <c r="AO27" s="173"/>
      <c r="AP27" s="173"/>
      <c r="AQ27" s="173"/>
      <c r="AR27" s="173"/>
      <c r="AS27" s="982"/>
      <c r="AT27" s="985"/>
      <c r="AU27" s="173"/>
      <c r="AV27" s="173"/>
      <c r="AW27" s="173"/>
      <c r="AX27" s="173"/>
      <c r="AY27" s="173"/>
      <c r="AZ27" s="173"/>
      <c r="BA27" s="982"/>
      <c r="BB27" s="984"/>
      <c r="BC27" s="173"/>
      <c r="BD27" s="173"/>
      <c r="BE27" s="173"/>
      <c r="BF27" s="173"/>
      <c r="BG27" s="173"/>
      <c r="BH27" s="173"/>
      <c r="BI27" s="982"/>
      <c r="BJ27" s="984"/>
      <c r="BK27" s="173"/>
      <c r="BL27" s="173"/>
      <c r="BM27" s="173"/>
      <c r="BN27" s="173"/>
      <c r="BO27" s="173"/>
      <c r="BP27" s="173"/>
      <c r="BQ27" s="173"/>
      <c r="BR27" s="982"/>
      <c r="BS27" s="984"/>
      <c r="BT27" s="144"/>
      <c r="BU27" s="144"/>
      <c r="BV27" s="144"/>
      <c r="BW27" s="144"/>
      <c r="BX27" s="144"/>
      <c r="BY27" s="144"/>
      <c r="BZ27" s="805"/>
      <c r="CA27" s="422"/>
      <c r="CB27" s="144"/>
      <c r="CC27" s="144"/>
      <c r="CD27" s="144"/>
      <c r="CE27" s="144"/>
      <c r="CF27" s="144"/>
      <c r="CG27" s="144"/>
      <c r="CH27" s="805"/>
      <c r="CI27" s="422"/>
      <c r="CJ27" s="144"/>
      <c r="CK27" s="173"/>
      <c r="CL27" s="173"/>
      <c r="CM27" s="173"/>
      <c r="CN27" s="173"/>
      <c r="CO27" s="173"/>
      <c r="CP27" s="982"/>
      <c r="CQ27" s="984"/>
      <c r="CR27" s="955"/>
      <c r="CS27" s="144"/>
      <c r="CT27" s="144"/>
      <c r="CU27" s="173" t="n">
        <f aca="false">+CR27-CS27</f>
        <v>0</v>
      </c>
      <c r="CV27" s="173" t="n">
        <f aca="false">+CR27-CT27</f>
        <v>0</v>
      </c>
      <c r="CW27" s="173"/>
      <c r="CX27" s="983" t="str">
        <f aca="false">IFERROR(CR27/CW27-1, "-")</f>
        <v>-</v>
      </c>
      <c r="CY27" s="945"/>
      <c r="CZ27" s="173"/>
      <c r="DA27" s="173"/>
      <c r="DB27" s="173"/>
      <c r="DC27" s="173"/>
      <c r="DD27" s="173"/>
      <c r="DE27" s="983" t="e">
        <f aca="false">CZ27/DD27-1</f>
        <v>#DIV/0!</v>
      </c>
      <c r="DF27" s="983" t="e">
        <f aca="false">DA27/DD27-1</f>
        <v>#DIV/0!</v>
      </c>
      <c r="DG27" s="983" t="e">
        <f aca="false">DB27/DD27-1</f>
        <v>#DIV/0!</v>
      </c>
      <c r="DH27" s="983" t="e">
        <f aca="false">DC27/DD27-1</f>
        <v>#DIV/0!</v>
      </c>
      <c r="DI27" s="951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975"/>
      <c r="DO27" s="975"/>
      <c r="DP27" s="975"/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  <c r="EF27" s="976"/>
      <c r="EG27" s="976"/>
      <c r="EH27" s="976"/>
      <c r="EI27" s="976"/>
      <c r="EJ27" s="976"/>
      <c r="EK27" s="976"/>
      <c r="EL27" s="976"/>
      <c r="EM27" s="976"/>
      <c r="EN27" s="976"/>
      <c r="EO27" s="976"/>
      <c r="EP27" s="976"/>
      <c r="EQ27" s="976"/>
      <c r="ER27" s="976"/>
      <c r="ES27" s="976"/>
      <c r="ET27" s="976"/>
      <c r="EU27" s="976"/>
      <c r="EV27" s="976"/>
      <c r="EW27" s="976"/>
      <c r="EX27" s="976"/>
      <c r="EY27" s="976"/>
      <c r="EZ27" s="976"/>
      <c r="FA27" s="976"/>
      <c r="FB27" s="976"/>
      <c r="FC27" s="976"/>
      <c r="FD27" s="976"/>
      <c r="FE27" s="976"/>
      <c r="FF27" s="976"/>
      <c r="FG27" s="976"/>
      <c r="FH27" s="976"/>
      <c r="FI27" s="976"/>
      <c r="FJ27" s="976"/>
      <c r="FK27" s="976"/>
      <c r="FL27" s="976"/>
      <c r="FM27" s="976"/>
      <c r="FN27" s="976"/>
      <c r="FO27" s="976"/>
      <c r="FP27" s="976"/>
      <c r="FQ27" s="976"/>
      <c r="FR27" s="976"/>
    </row>
    <row r="28" s="1" customFormat="true" ht="21.75" hidden="true" customHeight="true" outlineLevel="0" collapsed="false">
      <c r="A28" s="988"/>
      <c r="B28" s="989" t="s">
        <v>745</v>
      </c>
      <c r="C28" s="679" t="s">
        <v>746</v>
      </c>
      <c r="D28" s="1001"/>
      <c r="E28" s="1008"/>
      <c r="F28" s="1008"/>
      <c r="G28" s="1008"/>
      <c r="H28" s="993"/>
      <c r="I28" s="994"/>
      <c r="J28" s="1001"/>
      <c r="K28" s="1008"/>
      <c r="L28" s="1008"/>
      <c r="M28" s="1008"/>
      <c r="N28" s="993"/>
      <c r="O28" s="991"/>
      <c r="P28" s="1001"/>
      <c r="Q28" s="1008"/>
      <c r="R28" s="1008"/>
      <c r="S28" s="1008"/>
      <c r="T28" s="993"/>
      <c r="U28" s="995"/>
      <c r="V28" s="1001"/>
      <c r="W28" s="1008"/>
      <c r="X28" s="1008"/>
      <c r="Y28" s="1008"/>
      <c r="Z28" s="991"/>
      <c r="AA28" s="1008"/>
      <c r="AB28" s="993"/>
      <c r="AC28" s="995"/>
      <c r="AD28" s="1001"/>
      <c r="AE28" s="1008"/>
      <c r="AF28" s="1008"/>
      <c r="AG28" s="1008"/>
      <c r="AH28" s="991"/>
      <c r="AI28" s="1008"/>
      <c r="AJ28" s="993"/>
      <c r="AK28" s="995"/>
      <c r="AL28" s="1001"/>
      <c r="AM28" s="1008"/>
      <c r="AN28" s="1008"/>
      <c r="AO28" s="1008"/>
      <c r="AP28" s="1008"/>
      <c r="AQ28" s="1008"/>
      <c r="AR28" s="1008"/>
      <c r="AS28" s="993"/>
      <c r="AT28" s="996"/>
      <c r="AU28" s="1001"/>
      <c r="AV28" s="1008"/>
      <c r="AW28" s="1008"/>
      <c r="AX28" s="1008"/>
      <c r="AY28" s="1008"/>
      <c r="AZ28" s="1008"/>
      <c r="BA28" s="993"/>
      <c r="BB28" s="995"/>
      <c r="BC28" s="1001"/>
      <c r="BD28" s="1008"/>
      <c r="BE28" s="1008"/>
      <c r="BF28" s="1008"/>
      <c r="BG28" s="1008"/>
      <c r="BH28" s="1008"/>
      <c r="BI28" s="993"/>
      <c r="BJ28" s="995"/>
      <c r="BK28" s="1001"/>
      <c r="BL28" s="1008"/>
      <c r="BM28" s="1008"/>
      <c r="BN28" s="1008"/>
      <c r="BO28" s="1008"/>
      <c r="BP28" s="1008"/>
      <c r="BQ28" s="1008"/>
      <c r="BR28" s="993"/>
      <c r="BS28" s="995"/>
      <c r="BT28" s="958"/>
      <c r="BU28" s="958"/>
      <c r="BV28" s="958"/>
      <c r="BW28" s="958"/>
      <c r="BX28" s="958"/>
      <c r="BY28" s="958"/>
      <c r="BZ28" s="959"/>
      <c r="CA28" s="690"/>
      <c r="CB28" s="958"/>
      <c r="CC28" s="958"/>
      <c r="CD28" s="958"/>
      <c r="CE28" s="958"/>
      <c r="CF28" s="958"/>
      <c r="CG28" s="958"/>
      <c r="CH28" s="959"/>
      <c r="CI28" s="690"/>
      <c r="CJ28" s="958"/>
      <c r="CK28" s="1008"/>
      <c r="CL28" s="1008"/>
      <c r="CM28" s="1008"/>
      <c r="CN28" s="1008"/>
      <c r="CO28" s="1008"/>
      <c r="CP28" s="993"/>
      <c r="CQ28" s="845"/>
      <c r="CR28" s="961"/>
      <c r="CS28" s="958"/>
      <c r="CT28" s="1008"/>
      <c r="CU28" s="1008" t="n">
        <f aca="false">+CR28-CS28</f>
        <v>0</v>
      </c>
      <c r="CV28" s="1008" t="n">
        <f aca="false">+CR28-CT28</f>
        <v>0</v>
      </c>
      <c r="CW28" s="1008"/>
      <c r="CX28" s="994" t="str">
        <f aca="false">IFERROR(CR28/CW28-1, "-")</f>
        <v>-</v>
      </c>
      <c r="CY28" s="945"/>
      <c r="CZ28" s="1008"/>
      <c r="DA28" s="1008"/>
      <c r="DB28" s="1008"/>
      <c r="DC28" s="1008"/>
      <c r="DD28" s="1008"/>
      <c r="DE28" s="994" t="e">
        <f aca="false">CZ28/DD28-1</f>
        <v>#DIV/0!</v>
      </c>
      <c r="DF28" s="994" t="e">
        <f aca="false">DA28/DD28-1</f>
        <v>#DIV/0!</v>
      </c>
      <c r="DG28" s="994" t="e">
        <f aca="false">DB28/DD28-1</f>
        <v>#DIV/0!</v>
      </c>
      <c r="DH28" s="994" t="e">
        <f aca="false">DC28/DD28-1</f>
        <v>#DIV/0!</v>
      </c>
      <c r="DI28" s="951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975"/>
      <c r="DO28" s="975"/>
      <c r="DP28" s="975"/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  <c r="EF28" s="976"/>
      <c r="EG28" s="976"/>
      <c r="EH28" s="976"/>
      <c r="EI28" s="976"/>
      <c r="EJ28" s="976"/>
      <c r="EK28" s="976"/>
      <c r="EL28" s="976"/>
      <c r="EM28" s="976"/>
      <c r="EN28" s="976"/>
      <c r="EO28" s="976"/>
      <c r="EP28" s="976"/>
      <c r="EQ28" s="976"/>
      <c r="ER28" s="976"/>
      <c r="ES28" s="976"/>
      <c r="ET28" s="976"/>
      <c r="EU28" s="976"/>
      <c r="EV28" s="976"/>
      <c r="EW28" s="976"/>
      <c r="EX28" s="976"/>
      <c r="EY28" s="976"/>
      <c r="EZ28" s="976"/>
      <c r="FA28" s="976"/>
      <c r="FB28" s="976"/>
      <c r="FC28" s="976"/>
      <c r="FD28" s="976"/>
      <c r="FE28" s="976"/>
      <c r="FF28" s="976"/>
      <c r="FG28" s="976"/>
      <c r="FH28" s="976"/>
      <c r="FI28" s="976"/>
      <c r="FJ28" s="976"/>
      <c r="FK28" s="976"/>
      <c r="FL28" s="976"/>
      <c r="FM28" s="976"/>
      <c r="FN28" s="976"/>
      <c r="FO28" s="976"/>
      <c r="FP28" s="976"/>
      <c r="FQ28" s="976"/>
      <c r="FR28" s="976"/>
    </row>
    <row r="29" customFormat="false" ht="21.75" hidden="true" customHeight="true" outlineLevel="0" collapsed="false">
      <c r="A29" s="590"/>
      <c r="B29" s="714" t="s">
        <v>747</v>
      </c>
      <c r="C29" s="679" t="s">
        <v>748</v>
      </c>
      <c r="D29" s="555"/>
      <c r="E29" s="555"/>
      <c r="F29" s="555"/>
      <c r="G29" s="555"/>
      <c r="H29" s="953"/>
      <c r="I29" s="556"/>
      <c r="J29" s="555"/>
      <c r="K29" s="555"/>
      <c r="L29" s="555"/>
      <c r="M29" s="555"/>
      <c r="N29" s="953"/>
      <c r="O29" s="554"/>
      <c r="P29" s="555"/>
      <c r="Q29" s="555"/>
      <c r="R29" s="555"/>
      <c r="S29" s="555"/>
      <c r="T29" s="953"/>
      <c r="U29" s="557"/>
      <c r="V29" s="555"/>
      <c r="W29" s="555"/>
      <c r="X29" s="555"/>
      <c r="Y29" s="555"/>
      <c r="Z29" s="554"/>
      <c r="AA29" s="555"/>
      <c r="AB29" s="953"/>
      <c r="AC29" s="557"/>
      <c r="AD29" s="555"/>
      <c r="AE29" s="555"/>
      <c r="AF29" s="555"/>
      <c r="AG29" s="555"/>
      <c r="AH29" s="554"/>
      <c r="AI29" s="555"/>
      <c r="AJ29" s="953"/>
      <c r="AK29" s="557"/>
      <c r="AL29" s="555"/>
      <c r="AM29" s="555"/>
      <c r="AN29" s="555"/>
      <c r="AO29" s="555"/>
      <c r="AP29" s="555"/>
      <c r="AQ29" s="555"/>
      <c r="AR29" s="555"/>
      <c r="AS29" s="953"/>
      <c r="AT29" s="558"/>
      <c r="AU29" s="555"/>
      <c r="AV29" s="555"/>
      <c r="AW29" s="555"/>
      <c r="AX29" s="555"/>
      <c r="AY29" s="555"/>
      <c r="AZ29" s="555"/>
      <c r="BA29" s="953"/>
      <c r="BB29" s="557"/>
      <c r="BC29" s="555"/>
      <c r="BD29" s="555"/>
      <c r="BE29" s="555"/>
      <c r="BF29" s="555"/>
      <c r="BG29" s="555"/>
      <c r="BH29" s="555"/>
      <c r="BI29" s="953"/>
      <c r="BJ29" s="557"/>
      <c r="BK29" s="555"/>
      <c r="BL29" s="555"/>
      <c r="BM29" s="555"/>
      <c r="BN29" s="555"/>
      <c r="BO29" s="555"/>
      <c r="BP29" s="555"/>
      <c r="BQ29" s="555"/>
      <c r="BR29" s="953"/>
      <c r="BS29" s="557"/>
      <c r="BT29" s="555"/>
      <c r="BU29" s="555"/>
      <c r="BV29" s="555"/>
      <c r="BW29" s="555"/>
      <c r="BX29" s="555"/>
      <c r="BY29" s="555"/>
      <c r="BZ29" s="953"/>
      <c r="CA29" s="557"/>
      <c r="CB29" s="555"/>
      <c r="CC29" s="555"/>
      <c r="CD29" s="555"/>
      <c r="CE29" s="555"/>
      <c r="CF29" s="555"/>
      <c r="CG29" s="555"/>
      <c r="CH29" s="953"/>
      <c r="CI29" s="557"/>
      <c r="CJ29" s="555"/>
      <c r="CK29" s="555"/>
      <c r="CL29" s="555"/>
      <c r="CM29" s="555"/>
      <c r="CN29" s="555"/>
      <c r="CO29" s="555"/>
      <c r="CP29" s="953"/>
      <c r="CQ29" s="422"/>
      <c r="CR29" s="954"/>
      <c r="CS29" s="555"/>
      <c r="CT29" s="555"/>
      <c r="CU29" s="555" t="n">
        <f aca="false">+CR29-CS29</f>
        <v>0</v>
      </c>
      <c r="CV29" s="555" t="n">
        <f aca="false">+CR29-CT29</f>
        <v>0</v>
      </c>
      <c r="CW29" s="555"/>
      <c r="CX29" s="556" t="str">
        <f aca="false">IFERROR(CR29/CW29-1, "-")</f>
        <v>-</v>
      </c>
      <c r="CY29" s="945"/>
      <c r="CZ29" s="555"/>
      <c r="DA29" s="555"/>
      <c r="DB29" s="555"/>
      <c r="DC29" s="555"/>
      <c r="DD29" s="555"/>
      <c r="DE29" s="556"/>
      <c r="DF29" s="556"/>
      <c r="DG29" s="556"/>
      <c r="DH29" s="556"/>
      <c r="DI29" s="951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</row>
    <row r="30" customFormat="false" ht="21.75" hidden="true" customHeight="true" outlineLevel="0" collapsed="false">
      <c r="A30" s="591"/>
      <c r="B30" s="857" t="s">
        <v>720</v>
      </c>
      <c r="C30" s="679" t="s">
        <v>749</v>
      </c>
      <c r="D30" s="144"/>
      <c r="E30" s="144"/>
      <c r="F30" s="144"/>
      <c r="G30" s="144"/>
      <c r="H30" s="805"/>
      <c r="I30" s="245"/>
      <c r="J30" s="144"/>
      <c r="K30" s="144"/>
      <c r="L30" s="144"/>
      <c r="M30" s="144"/>
      <c r="N30" s="805"/>
      <c r="O30" s="281"/>
      <c r="P30" s="144"/>
      <c r="Q30" s="144"/>
      <c r="R30" s="144"/>
      <c r="S30" s="144"/>
      <c r="T30" s="805"/>
      <c r="U30" s="422"/>
      <c r="V30" s="144"/>
      <c r="W30" s="144"/>
      <c r="X30" s="144"/>
      <c r="Y30" s="144"/>
      <c r="Z30" s="281"/>
      <c r="AA30" s="144"/>
      <c r="AB30" s="805"/>
      <c r="AC30" s="422"/>
      <c r="AD30" s="144"/>
      <c r="AE30" s="144"/>
      <c r="AF30" s="144"/>
      <c r="AG30" s="144"/>
      <c r="AH30" s="281"/>
      <c r="AI30" s="144"/>
      <c r="AJ30" s="805"/>
      <c r="AK30" s="422"/>
      <c r="AL30" s="144"/>
      <c r="AM30" s="144"/>
      <c r="AN30" s="144"/>
      <c r="AO30" s="144"/>
      <c r="AP30" s="144"/>
      <c r="AQ30" s="144"/>
      <c r="AR30" s="144"/>
      <c r="AS30" s="805"/>
      <c r="AT30" s="423"/>
      <c r="AU30" s="144"/>
      <c r="AV30" s="144"/>
      <c r="AW30" s="144"/>
      <c r="AX30" s="144"/>
      <c r="AY30" s="144"/>
      <c r="AZ30" s="144"/>
      <c r="BA30" s="805"/>
      <c r="BB30" s="422"/>
      <c r="BC30" s="144"/>
      <c r="BD30" s="144"/>
      <c r="BE30" s="144"/>
      <c r="BF30" s="144"/>
      <c r="BG30" s="144"/>
      <c r="BH30" s="144"/>
      <c r="BI30" s="805"/>
      <c r="BJ30" s="422"/>
      <c r="BK30" s="144"/>
      <c r="BL30" s="144"/>
      <c r="BM30" s="144"/>
      <c r="BN30" s="144"/>
      <c r="BO30" s="144"/>
      <c r="BP30" s="144"/>
      <c r="BQ30" s="144"/>
      <c r="BR30" s="805"/>
      <c r="BS30" s="422"/>
      <c r="BT30" s="144"/>
      <c r="BU30" s="144"/>
      <c r="BV30" s="144"/>
      <c r="BW30" s="144"/>
      <c r="BX30" s="144"/>
      <c r="BY30" s="144"/>
      <c r="BZ30" s="805"/>
      <c r="CA30" s="422"/>
      <c r="CB30" s="144"/>
      <c r="CC30" s="144"/>
      <c r="CD30" s="144"/>
      <c r="CE30" s="144"/>
      <c r="CF30" s="144"/>
      <c r="CG30" s="144"/>
      <c r="CH30" s="805"/>
      <c r="CI30" s="422"/>
      <c r="CJ30" s="144"/>
      <c r="CK30" s="144"/>
      <c r="CL30" s="144"/>
      <c r="CM30" s="144"/>
      <c r="CN30" s="144"/>
      <c r="CO30" s="144"/>
      <c r="CP30" s="805"/>
      <c r="CQ30" s="422"/>
      <c r="CR30" s="955"/>
      <c r="CS30" s="144"/>
      <c r="CT30" s="144"/>
      <c r="CU30" s="144" t="n">
        <f aca="false">+CR30-CS30</f>
        <v>0</v>
      </c>
      <c r="CV30" s="144" t="n">
        <f aca="false">+CR30-CT30</f>
        <v>0</v>
      </c>
      <c r="CW30" s="144"/>
      <c r="CX30" s="245" t="str">
        <f aca="false">IFERROR(CR30/CW30-1, "-")</f>
        <v>-</v>
      </c>
      <c r="CY30" s="945"/>
      <c r="CZ30" s="144"/>
      <c r="DA30" s="144"/>
      <c r="DB30" s="144"/>
      <c r="DC30" s="144"/>
      <c r="DD30" s="144"/>
      <c r="DE30" s="245"/>
      <c r="DF30" s="245"/>
      <c r="DG30" s="245"/>
      <c r="DH30" s="245"/>
      <c r="DI30" s="951"/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</row>
    <row r="31" customFormat="false" ht="21.75" hidden="true" customHeight="true" outlineLevel="0" collapsed="false">
      <c r="A31" s="591"/>
      <c r="B31" s="857" t="s">
        <v>750</v>
      </c>
      <c r="C31" s="679" t="s">
        <v>751</v>
      </c>
      <c r="D31" s="144"/>
      <c r="E31" s="144"/>
      <c r="F31" s="144"/>
      <c r="G31" s="144"/>
      <c r="H31" s="805"/>
      <c r="I31" s="245"/>
      <c r="J31" s="144"/>
      <c r="K31" s="144"/>
      <c r="L31" s="144"/>
      <c r="M31" s="144"/>
      <c r="N31" s="805"/>
      <c r="O31" s="281"/>
      <c r="P31" s="144"/>
      <c r="Q31" s="144"/>
      <c r="R31" s="144"/>
      <c r="S31" s="144"/>
      <c r="T31" s="805"/>
      <c r="U31" s="422"/>
      <c r="V31" s="144"/>
      <c r="W31" s="144"/>
      <c r="X31" s="144"/>
      <c r="Y31" s="144"/>
      <c r="Z31" s="281"/>
      <c r="AA31" s="144"/>
      <c r="AB31" s="805"/>
      <c r="AC31" s="422"/>
      <c r="AD31" s="144"/>
      <c r="AE31" s="144"/>
      <c r="AF31" s="144"/>
      <c r="AG31" s="144"/>
      <c r="AH31" s="281"/>
      <c r="AI31" s="144"/>
      <c r="AJ31" s="805"/>
      <c r="AK31" s="422"/>
      <c r="AL31" s="144"/>
      <c r="AM31" s="144"/>
      <c r="AN31" s="144"/>
      <c r="AO31" s="144"/>
      <c r="AP31" s="144"/>
      <c r="AQ31" s="144"/>
      <c r="AR31" s="144"/>
      <c r="AS31" s="805"/>
      <c r="AT31" s="423"/>
      <c r="AU31" s="144"/>
      <c r="AV31" s="144"/>
      <c r="AW31" s="144"/>
      <c r="AX31" s="144"/>
      <c r="AY31" s="144"/>
      <c r="AZ31" s="144"/>
      <c r="BA31" s="805"/>
      <c r="BB31" s="422"/>
      <c r="BC31" s="144"/>
      <c r="BD31" s="144"/>
      <c r="BE31" s="144"/>
      <c r="BF31" s="144"/>
      <c r="BG31" s="144"/>
      <c r="BH31" s="144"/>
      <c r="BI31" s="805"/>
      <c r="BJ31" s="422"/>
      <c r="BK31" s="144"/>
      <c r="BL31" s="144"/>
      <c r="BM31" s="144"/>
      <c r="BN31" s="144"/>
      <c r="BO31" s="144"/>
      <c r="BP31" s="144"/>
      <c r="BQ31" s="144"/>
      <c r="BR31" s="805"/>
      <c r="BS31" s="422"/>
      <c r="BT31" s="144"/>
      <c r="BU31" s="144"/>
      <c r="BV31" s="144"/>
      <c r="BW31" s="144"/>
      <c r="BX31" s="144"/>
      <c r="BY31" s="144"/>
      <c r="BZ31" s="805"/>
      <c r="CA31" s="422"/>
      <c r="CB31" s="144"/>
      <c r="CC31" s="144"/>
      <c r="CD31" s="144"/>
      <c r="CE31" s="144"/>
      <c r="CF31" s="144"/>
      <c r="CG31" s="144"/>
      <c r="CH31" s="805"/>
      <c r="CI31" s="422"/>
      <c r="CJ31" s="144"/>
      <c r="CK31" s="144"/>
      <c r="CL31" s="144"/>
      <c r="CM31" s="144"/>
      <c r="CN31" s="144"/>
      <c r="CO31" s="144"/>
      <c r="CP31" s="805"/>
      <c r="CQ31" s="422"/>
      <c r="CR31" s="955"/>
      <c r="CS31" s="144"/>
      <c r="CT31" s="144"/>
      <c r="CU31" s="144" t="n">
        <f aca="false">+CR31-CS31</f>
        <v>0</v>
      </c>
      <c r="CV31" s="144" t="n">
        <f aca="false">+CR31-CT31</f>
        <v>0</v>
      </c>
      <c r="CW31" s="144"/>
      <c r="CX31" s="245" t="str">
        <f aca="false">IFERROR(CR31/CW31-1, "-")</f>
        <v>-</v>
      </c>
      <c r="CY31" s="945"/>
      <c r="CZ31" s="144"/>
      <c r="DA31" s="144"/>
      <c r="DB31" s="144"/>
      <c r="DC31" s="144"/>
      <c r="DD31" s="144"/>
      <c r="DE31" s="245"/>
      <c r="DF31" s="245"/>
      <c r="DG31" s="245"/>
      <c r="DH31" s="245"/>
      <c r="DI31" s="951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</row>
    <row r="32" customFormat="false" ht="21.75" hidden="true" customHeight="true" outlineLevel="0" collapsed="false">
      <c r="A32" s="591"/>
      <c r="B32" s="857" t="s">
        <v>720</v>
      </c>
      <c r="C32" s="679" t="s">
        <v>752</v>
      </c>
      <c r="D32" s="144"/>
      <c r="E32" s="144"/>
      <c r="F32" s="144"/>
      <c r="G32" s="144"/>
      <c r="H32" s="805"/>
      <c r="I32" s="245"/>
      <c r="J32" s="144"/>
      <c r="K32" s="144"/>
      <c r="L32" s="144"/>
      <c r="M32" s="144"/>
      <c r="N32" s="805"/>
      <c r="O32" s="281"/>
      <c r="P32" s="144"/>
      <c r="Q32" s="144"/>
      <c r="R32" s="144"/>
      <c r="S32" s="144"/>
      <c r="T32" s="805"/>
      <c r="U32" s="422"/>
      <c r="V32" s="144"/>
      <c r="W32" s="144"/>
      <c r="X32" s="144"/>
      <c r="Y32" s="144"/>
      <c r="Z32" s="281"/>
      <c r="AA32" s="144"/>
      <c r="AB32" s="805"/>
      <c r="AC32" s="422"/>
      <c r="AD32" s="144"/>
      <c r="AE32" s="144"/>
      <c r="AF32" s="144"/>
      <c r="AG32" s="144"/>
      <c r="AH32" s="281"/>
      <c r="AI32" s="144"/>
      <c r="AJ32" s="805"/>
      <c r="AK32" s="422"/>
      <c r="AL32" s="144"/>
      <c r="AM32" s="144"/>
      <c r="AN32" s="144"/>
      <c r="AO32" s="144"/>
      <c r="AP32" s="144"/>
      <c r="AQ32" s="144"/>
      <c r="AR32" s="144"/>
      <c r="AS32" s="805"/>
      <c r="AT32" s="423"/>
      <c r="AU32" s="144"/>
      <c r="AV32" s="144"/>
      <c r="AW32" s="144"/>
      <c r="AX32" s="144"/>
      <c r="AY32" s="144"/>
      <c r="AZ32" s="144"/>
      <c r="BA32" s="805"/>
      <c r="BB32" s="422"/>
      <c r="BC32" s="144"/>
      <c r="BD32" s="144"/>
      <c r="BE32" s="144"/>
      <c r="BF32" s="144"/>
      <c r="BG32" s="144"/>
      <c r="BH32" s="144"/>
      <c r="BI32" s="805"/>
      <c r="BJ32" s="422"/>
      <c r="BK32" s="144"/>
      <c r="BL32" s="144"/>
      <c r="BM32" s="144"/>
      <c r="BN32" s="144"/>
      <c r="BO32" s="144"/>
      <c r="BP32" s="144"/>
      <c r="BQ32" s="144"/>
      <c r="BR32" s="805"/>
      <c r="BS32" s="422"/>
      <c r="BT32" s="144"/>
      <c r="BU32" s="144"/>
      <c r="BV32" s="144"/>
      <c r="BW32" s="144"/>
      <c r="BX32" s="144"/>
      <c r="BY32" s="144"/>
      <c r="BZ32" s="805"/>
      <c r="CA32" s="422"/>
      <c r="CB32" s="144"/>
      <c r="CC32" s="144"/>
      <c r="CD32" s="144"/>
      <c r="CE32" s="144"/>
      <c r="CF32" s="144"/>
      <c r="CG32" s="144"/>
      <c r="CH32" s="805"/>
      <c r="CI32" s="422"/>
      <c r="CJ32" s="144"/>
      <c r="CK32" s="144"/>
      <c r="CL32" s="144"/>
      <c r="CM32" s="144"/>
      <c r="CN32" s="144"/>
      <c r="CO32" s="144"/>
      <c r="CP32" s="805"/>
      <c r="CQ32" s="422"/>
      <c r="CR32" s="955"/>
      <c r="CS32" s="144"/>
      <c r="CT32" s="144"/>
      <c r="CU32" s="144" t="n">
        <f aca="false">+CR32-CS32</f>
        <v>0</v>
      </c>
      <c r="CV32" s="144" t="n">
        <f aca="false">+CR32-CT32</f>
        <v>0</v>
      </c>
      <c r="CW32" s="144"/>
      <c r="CX32" s="245" t="str">
        <f aca="false">IFERROR(CR32/CW32-1, "-")</f>
        <v>-</v>
      </c>
      <c r="CY32" s="945"/>
      <c r="CZ32" s="144"/>
      <c r="DA32" s="144"/>
      <c r="DB32" s="144"/>
      <c r="DC32" s="144"/>
      <c r="DD32" s="144"/>
      <c r="DE32" s="245"/>
      <c r="DF32" s="245"/>
      <c r="DG32" s="245"/>
      <c r="DH32" s="245"/>
      <c r="DI32" s="951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</row>
    <row r="33" customFormat="false" ht="21.75" hidden="true" customHeight="true" outlineLevel="0" collapsed="false">
      <c r="A33" s="590"/>
      <c r="B33" s="1010" t="s">
        <v>747</v>
      </c>
      <c r="C33" s="679" t="s">
        <v>753</v>
      </c>
      <c r="D33" s="1002"/>
      <c r="E33" s="1002"/>
      <c r="F33" s="972"/>
      <c r="G33" s="1002"/>
      <c r="H33" s="953"/>
      <c r="I33" s="556"/>
      <c r="J33" s="1002"/>
      <c r="K33" s="1002"/>
      <c r="L33" s="972"/>
      <c r="M33" s="1002"/>
      <c r="N33" s="953"/>
      <c r="O33" s="554"/>
      <c r="P33" s="1002"/>
      <c r="Q33" s="1002"/>
      <c r="R33" s="972"/>
      <c r="S33" s="1002"/>
      <c r="T33" s="953"/>
      <c r="U33" s="557"/>
      <c r="V33" s="1002"/>
      <c r="W33" s="1002"/>
      <c r="X33" s="1002"/>
      <c r="Y33" s="972"/>
      <c r="Z33" s="554"/>
      <c r="AA33" s="1002"/>
      <c r="AB33" s="953"/>
      <c r="AC33" s="557"/>
      <c r="AD33" s="1002"/>
      <c r="AE33" s="1002"/>
      <c r="AF33" s="1002"/>
      <c r="AG33" s="972"/>
      <c r="AH33" s="554"/>
      <c r="AI33" s="1002"/>
      <c r="AJ33" s="953"/>
      <c r="AK33" s="557"/>
      <c r="AL33" s="1002"/>
      <c r="AM33" s="1002"/>
      <c r="AN33" s="1002"/>
      <c r="AO33" s="1002"/>
      <c r="AP33" s="972"/>
      <c r="AQ33" s="972"/>
      <c r="AR33" s="1002"/>
      <c r="AS33" s="953"/>
      <c r="AT33" s="558"/>
      <c r="AU33" s="1002"/>
      <c r="AV33" s="1002"/>
      <c r="AW33" s="1002"/>
      <c r="AX33" s="972"/>
      <c r="AY33" s="972"/>
      <c r="AZ33" s="1002"/>
      <c r="BA33" s="953"/>
      <c r="BB33" s="557"/>
      <c r="BC33" s="1002"/>
      <c r="BD33" s="1002"/>
      <c r="BE33" s="1002"/>
      <c r="BF33" s="972"/>
      <c r="BG33" s="972"/>
      <c r="BH33" s="1002"/>
      <c r="BI33" s="953"/>
      <c r="BJ33" s="557"/>
      <c r="BK33" s="1002"/>
      <c r="BL33" s="1002"/>
      <c r="BM33" s="1002"/>
      <c r="BN33" s="1002"/>
      <c r="BO33" s="972"/>
      <c r="BP33" s="972"/>
      <c r="BQ33" s="1002"/>
      <c r="BR33" s="953"/>
      <c r="BS33" s="557"/>
      <c r="BT33" s="1002"/>
      <c r="BU33" s="1002"/>
      <c r="BV33" s="1002"/>
      <c r="BW33" s="972"/>
      <c r="BX33" s="972"/>
      <c r="BY33" s="1002"/>
      <c r="BZ33" s="953"/>
      <c r="CA33" s="557"/>
      <c r="CB33" s="1002"/>
      <c r="CC33" s="1002"/>
      <c r="CD33" s="1002"/>
      <c r="CE33" s="972"/>
      <c r="CF33" s="972"/>
      <c r="CG33" s="1002"/>
      <c r="CH33" s="953"/>
      <c r="CI33" s="557"/>
      <c r="CJ33" s="1002"/>
      <c r="CK33" s="1002"/>
      <c r="CL33" s="1002"/>
      <c r="CM33" s="972"/>
      <c r="CN33" s="972"/>
      <c r="CO33" s="1002"/>
      <c r="CP33" s="953"/>
      <c r="CQ33" s="557"/>
      <c r="CR33" s="954"/>
      <c r="CS33" s="555"/>
      <c r="CT33" s="1002"/>
      <c r="CU33" s="972" t="n">
        <f aca="false">+CR33-CS33</f>
        <v>0</v>
      </c>
      <c r="CV33" s="972" t="n">
        <f aca="false">+CR33-CT33</f>
        <v>0</v>
      </c>
      <c r="CW33" s="1002"/>
      <c r="CX33" s="556" t="str">
        <f aca="false">IFERROR(CR33/CW33-1, "-")</f>
        <v>-</v>
      </c>
      <c r="CY33" s="945"/>
      <c r="CZ33" s="1002"/>
      <c r="DA33" s="1002"/>
      <c r="DB33" s="1002"/>
      <c r="DC33" s="1002"/>
      <c r="DD33" s="1002"/>
      <c r="DE33" s="1002"/>
      <c r="DF33" s="1002"/>
      <c r="DG33" s="1002"/>
      <c r="DH33" s="1002"/>
      <c r="DI33" s="951"/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</row>
    <row r="34" customFormat="false" ht="21.75" hidden="true" customHeight="true" outlineLevel="0" collapsed="false">
      <c r="A34" s="591"/>
      <c r="B34" s="1011" t="s">
        <v>720</v>
      </c>
      <c r="C34" s="679" t="s">
        <v>754</v>
      </c>
      <c r="D34" s="986"/>
      <c r="E34" s="987"/>
      <c r="F34" s="987"/>
      <c r="G34" s="987"/>
      <c r="H34" s="805"/>
      <c r="I34" s="245"/>
      <c r="J34" s="986"/>
      <c r="K34" s="987"/>
      <c r="L34" s="987"/>
      <c r="M34" s="987"/>
      <c r="N34" s="805"/>
      <c r="O34" s="281"/>
      <c r="P34" s="986"/>
      <c r="Q34" s="987"/>
      <c r="R34" s="987"/>
      <c r="S34" s="987"/>
      <c r="T34" s="805"/>
      <c r="U34" s="422"/>
      <c r="V34" s="986"/>
      <c r="W34" s="987"/>
      <c r="X34" s="987"/>
      <c r="Y34" s="987"/>
      <c r="Z34" s="281"/>
      <c r="AA34" s="987"/>
      <c r="AB34" s="805"/>
      <c r="AC34" s="422"/>
      <c r="AD34" s="986"/>
      <c r="AE34" s="987"/>
      <c r="AF34" s="987"/>
      <c r="AG34" s="987"/>
      <c r="AH34" s="281"/>
      <c r="AI34" s="987"/>
      <c r="AJ34" s="805"/>
      <c r="AK34" s="422"/>
      <c r="AL34" s="986"/>
      <c r="AM34" s="987"/>
      <c r="AN34" s="987"/>
      <c r="AO34" s="987"/>
      <c r="AP34" s="987"/>
      <c r="AQ34" s="987"/>
      <c r="AR34" s="987"/>
      <c r="AS34" s="805"/>
      <c r="AT34" s="423"/>
      <c r="AU34" s="986"/>
      <c r="AV34" s="987"/>
      <c r="AW34" s="987"/>
      <c r="AX34" s="987"/>
      <c r="AY34" s="987"/>
      <c r="AZ34" s="987"/>
      <c r="BA34" s="805"/>
      <c r="BB34" s="422"/>
      <c r="BC34" s="986"/>
      <c r="BD34" s="987"/>
      <c r="BE34" s="987"/>
      <c r="BF34" s="987"/>
      <c r="BG34" s="987"/>
      <c r="BH34" s="987"/>
      <c r="BI34" s="805"/>
      <c r="BJ34" s="422"/>
      <c r="BK34" s="986"/>
      <c r="BL34" s="987"/>
      <c r="BM34" s="987"/>
      <c r="BN34" s="987"/>
      <c r="BO34" s="987"/>
      <c r="BP34" s="987"/>
      <c r="BQ34" s="987"/>
      <c r="BR34" s="805"/>
      <c r="BS34" s="422"/>
      <c r="BT34" s="986"/>
      <c r="BU34" s="987"/>
      <c r="BV34" s="987"/>
      <c r="BW34" s="987"/>
      <c r="BX34" s="987"/>
      <c r="BY34" s="987"/>
      <c r="BZ34" s="805"/>
      <c r="CA34" s="422"/>
      <c r="CB34" s="986"/>
      <c r="CC34" s="987"/>
      <c r="CD34" s="987"/>
      <c r="CE34" s="987"/>
      <c r="CF34" s="987"/>
      <c r="CG34" s="987"/>
      <c r="CH34" s="805"/>
      <c r="CI34" s="422"/>
      <c r="CJ34" s="986"/>
      <c r="CK34" s="987"/>
      <c r="CL34" s="987"/>
      <c r="CM34" s="987"/>
      <c r="CN34" s="987"/>
      <c r="CO34" s="987"/>
      <c r="CP34" s="805"/>
      <c r="CQ34" s="422"/>
      <c r="CR34" s="955"/>
      <c r="CS34" s="144"/>
      <c r="CT34" s="987"/>
      <c r="CU34" s="987" t="n">
        <f aca="false">+CR34-CS34</f>
        <v>0</v>
      </c>
      <c r="CV34" s="987" t="n">
        <f aca="false">+CR34-CT34</f>
        <v>0</v>
      </c>
      <c r="CW34" s="987"/>
      <c r="CX34" s="245" t="str">
        <f aca="false">IFERROR(CR34/CW34-1, "-")</f>
        <v>-</v>
      </c>
      <c r="CY34" s="945"/>
      <c r="CZ34" s="987"/>
      <c r="DA34" s="987"/>
      <c r="DB34" s="987"/>
      <c r="DC34" s="987"/>
      <c r="DD34" s="987"/>
      <c r="DE34" s="987"/>
      <c r="DF34" s="987"/>
      <c r="DG34" s="987"/>
      <c r="DH34" s="987"/>
      <c r="DI34" s="951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</row>
    <row r="35" customFormat="false" ht="21.75" hidden="true" customHeight="true" outlineLevel="0" collapsed="false">
      <c r="A35" s="591"/>
      <c r="B35" s="1011" t="s">
        <v>750</v>
      </c>
      <c r="C35" s="679" t="s">
        <v>755</v>
      </c>
      <c r="D35" s="1012"/>
      <c r="E35" s="1013"/>
      <c r="F35" s="1013"/>
      <c r="G35" s="1013"/>
      <c r="H35" s="805"/>
      <c r="I35" s="245"/>
      <c r="J35" s="1012"/>
      <c r="K35" s="1013"/>
      <c r="L35" s="1013"/>
      <c r="M35" s="1013"/>
      <c r="N35" s="805"/>
      <c r="O35" s="281"/>
      <c r="P35" s="1012"/>
      <c r="Q35" s="1013"/>
      <c r="R35" s="1013"/>
      <c r="S35" s="1013"/>
      <c r="T35" s="805"/>
      <c r="U35" s="422"/>
      <c r="V35" s="1012"/>
      <c r="W35" s="1013"/>
      <c r="X35" s="1013"/>
      <c r="Y35" s="1013"/>
      <c r="Z35" s="281"/>
      <c r="AA35" s="1013"/>
      <c r="AB35" s="805"/>
      <c r="AC35" s="422"/>
      <c r="AD35" s="1012"/>
      <c r="AE35" s="1013"/>
      <c r="AF35" s="1013"/>
      <c r="AG35" s="1013"/>
      <c r="AH35" s="281"/>
      <c r="AI35" s="1013"/>
      <c r="AJ35" s="805"/>
      <c r="AK35" s="422"/>
      <c r="AL35" s="1012"/>
      <c r="AM35" s="1013"/>
      <c r="AN35" s="1013"/>
      <c r="AO35" s="1013"/>
      <c r="AP35" s="1013"/>
      <c r="AQ35" s="1013"/>
      <c r="AR35" s="1013"/>
      <c r="AS35" s="805"/>
      <c r="AT35" s="423"/>
      <c r="AU35" s="1012"/>
      <c r="AV35" s="1013"/>
      <c r="AW35" s="1013"/>
      <c r="AX35" s="1013"/>
      <c r="AY35" s="1013"/>
      <c r="AZ35" s="1013"/>
      <c r="BA35" s="805"/>
      <c r="BB35" s="422"/>
      <c r="BC35" s="1012"/>
      <c r="BD35" s="1013"/>
      <c r="BE35" s="1013"/>
      <c r="BF35" s="1013"/>
      <c r="BG35" s="1013"/>
      <c r="BH35" s="1013"/>
      <c r="BI35" s="805"/>
      <c r="BJ35" s="422"/>
      <c r="BK35" s="1012"/>
      <c r="BL35" s="1013"/>
      <c r="BM35" s="1013"/>
      <c r="BN35" s="1013"/>
      <c r="BO35" s="1013"/>
      <c r="BP35" s="1013"/>
      <c r="BQ35" s="1013"/>
      <c r="BR35" s="805"/>
      <c r="BS35" s="422"/>
      <c r="BT35" s="1012"/>
      <c r="BU35" s="1013"/>
      <c r="BV35" s="1013"/>
      <c r="BW35" s="1013"/>
      <c r="BX35" s="1013"/>
      <c r="BY35" s="1013"/>
      <c r="BZ35" s="805"/>
      <c r="CA35" s="422"/>
      <c r="CB35" s="1012"/>
      <c r="CC35" s="1013"/>
      <c r="CD35" s="1013"/>
      <c r="CE35" s="1013"/>
      <c r="CF35" s="1013"/>
      <c r="CG35" s="1013"/>
      <c r="CH35" s="805"/>
      <c r="CI35" s="422"/>
      <c r="CJ35" s="1012"/>
      <c r="CK35" s="1013"/>
      <c r="CL35" s="1013"/>
      <c r="CM35" s="1013"/>
      <c r="CN35" s="1013"/>
      <c r="CO35" s="1013"/>
      <c r="CP35" s="805"/>
      <c r="CQ35" s="422"/>
      <c r="CR35" s="955"/>
      <c r="CS35" s="144"/>
      <c r="CT35" s="1013"/>
      <c r="CU35" s="1013" t="n">
        <f aca="false">+CR35-CS35</f>
        <v>0</v>
      </c>
      <c r="CV35" s="1013" t="n">
        <f aca="false">+CR35-CT35</f>
        <v>0</v>
      </c>
      <c r="CW35" s="1013"/>
      <c r="CX35" s="245" t="str">
        <f aca="false">IFERROR(CR35/CW35-1, "-")</f>
        <v>-</v>
      </c>
      <c r="CY35" s="945"/>
      <c r="CZ35" s="1013"/>
      <c r="DA35" s="1013"/>
      <c r="DB35" s="1013"/>
      <c r="DC35" s="1013"/>
      <c r="DD35" s="1013"/>
      <c r="DE35" s="1013"/>
      <c r="DF35" s="1013"/>
      <c r="DG35" s="1013"/>
      <c r="DH35" s="1013"/>
      <c r="DI35" s="951"/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</row>
    <row r="36" customFormat="false" ht="21.75" hidden="true" customHeight="true" outlineLevel="0" collapsed="false">
      <c r="A36" s="591"/>
      <c r="B36" s="1011" t="s">
        <v>720</v>
      </c>
      <c r="C36" s="679" t="s">
        <v>756</v>
      </c>
      <c r="D36" s="986"/>
      <c r="E36" s="987"/>
      <c r="F36" s="987"/>
      <c r="G36" s="987"/>
      <c r="H36" s="805"/>
      <c r="I36" s="245"/>
      <c r="J36" s="986"/>
      <c r="K36" s="987"/>
      <c r="L36" s="987"/>
      <c r="M36" s="987"/>
      <c r="N36" s="805"/>
      <c r="O36" s="281"/>
      <c r="P36" s="986"/>
      <c r="Q36" s="987"/>
      <c r="R36" s="987"/>
      <c r="S36" s="987"/>
      <c r="T36" s="805"/>
      <c r="U36" s="422"/>
      <c r="V36" s="986"/>
      <c r="W36" s="987"/>
      <c r="X36" s="987"/>
      <c r="Y36" s="987"/>
      <c r="Z36" s="281"/>
      <c r="AA36" s="987"/>
      <c r="AB36" s="805"/>
      <c r="AC36" s="422"/>
      <c r="AD36" s="986"/>
      <c r="AE36" s="987"/>
      <c r="AF36" s="987"/>
      <c r="AG36" s="987"/>
      <c r="AH36" s="281"/>
      <c r="AI36" s="987"/>
      <c r="AJ36" s="805"/>
      <c r="AK36" s="422"/>
      <c r="AL36" s="986"/>
      <c r="AM36" s="987"/>
      <c r="AN36" s="987"/>
      <c r="AO36" s="987"/>
      <c r="AP36" s="987"/>
      <c r="AQ36" s="987"/>
      <c r="AR36" s="987"/>
      <c r="AS36" s="805"/>
      <c r="AT36" s="423"/>
      <c r="AU36" s="986"/>
      <c r="AV36" s="987"/>
      <c r="AW36" s="987"/>
      <c r="AX36" s="987"/>
      <c r="AY36" s="987"/>
      <c r="AZ36" s="987"/>
      <c r="BA36" s="805"/>
      <c r="BB36" s="422"/>
      <c r="BC36" s="986"/>
      <c r="BD36" s="987"/>
      <c r="BE36" s="987"/>
      <c r="BF36" s="987"/>
      <c r="BG36" s="987"/>
      <c r="BH36" s="987"/>
      <c r="BI36" s="805"/>
      <c r="BJ36" s="422"/>
      <c r="BK36" s="986"/>
      <c r="BL36" s="987"/>
      <c r="BM36" s="987"/>
      <c r="BN36" s="987"/>
      <c r="BO36" s="987"/>
      <c r="BP36" s="987"/>
      <c r="BQ36" s="987"/>
      <c r="BR36" s="805"/>
      <c r="BS36" s="422"/>
      <c r="BT36" s="986"/>
      <c r="BU36" s="987"/>
      <c r="BV36" s="987"/>
      <c r="BW36" s="987"/>
      <c r="BX36" s="987"/>
      <c r="BY36" s="987"/>
      <c r="BZ36" s="805"/>
      <c r="CA36" s="422"/>
      <c r="CB36" s="986"/>
      <c r="CC36" s="987"/>
      <c r="CD36" s="987"/>
      <c r="CE36" s="987"/>
      <c r="CF36" s="987"/>
      <c r="CG36" s="987"/>
      <c r="CH36" s="805"/>
      <c r="CI36" s="422"/>
      <c r="CJ36" s="986"/>
      <c r="CK36" s="987"/>
      <c r="CL36" s="987"/>
      <c r="CM36" s="987"/>
      <c r="CN36" s="987"/>
      <c r="CO36" s="987"/>
      <c r="CP36" s="805"/>
      <c r="CQ36" s="422"/>
      <c r="CR36" s="955"/>
      <c r="CS36" s="144"/>
      <c r="CT36" s="987"/>
      <c r="CU36" s="987" t="n">
        <f aca="false">+CR36-CS36</f>
        <v>0</v>
      </c>
      <c r="CV36" s="987" t="n">
        <f aca="false">+CR36-CT36</f>
        <v>0</v>
      </c>
      <c r="CW36" s="987"/>
      <c r="CX36" s="245" t="str">
        <f aca="false">IFERROR(CR36/CW36-1, "-")</f>
        <v>-</v>
      </c>
      <c r="CY36" s="945"/>
      <c r="CZ36" s="987"/>
      <c r="DA36" s="987"/>
      <c r="DB36" s="987"/>
      <c r="DC36" s="987"/>
      <c r="DD36" s="987"/>
      <c r="DE36" s="987"/>
      <c r="DF36" s="987"/>
      <c r="DG36" s="987"/>
      <c r="DH36" s="987"/>
      <c r="DI36" s="951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</row>
    <row r="37" customFormat="false" ht="21.75" hidden="true" customHeight="true" outlineLevel="0" collapsed="false">
      <c r="A37" s="1014"/>
      <c r="B37" s="1005" t="s">
        <v>757</v>
      </c>
      <c r="C37" s="679" t="s">
        <v>758</v>
      </c>
      <c r="D37" s="997"/>
      <c r="E37" s="998"/>
      <c r="F37" s="998"/>
      <c r="G37" s="998"/>
      <c r="H37" s="959"/>
      <c r="I37" s="960"/>
      <c r="J37" s="997"/>
      <c r="K37" s="998"/>
      <c r="L37" s="998"/>
      <c r="M37" s="998"/>
      <c r="N37" s="959"/>
      <c r="O37" s="588"/>
      <c r="P37" s="997"/>
      <c r="Q37" s="998"/>
      <c r="R37" s="998"/>
      <c r="S37" s="998"/>
      <c r="T37" s="959"/>
      <c r="U37" s="690"/>
      <c r="V37" s="997"/>
      <c r="W37" s="998"/>
      <c r="X37" s="998"/>
      <c r="Y37" s="998"/>
      <c r="Z37" s="588"/>
      <c r="AA37" s="998"/>
      <c r="AB37" s="959"/>
      <c r="AC37" s="690"/>
      <c r="AD37" s="997"/>
      <c r="AE37" s="998"/>
      <c r="AF37" s="998"/>
      <c r="AG37" s="998"/>
      <c r="AH37" s="588"/>
      <c r="AI37" s="998"/>
      <c r="AJ37" s="959"/>
      <c r="AK37" s="690"/>
      <c r="AL37" s="997"/>
      <c r="AM37" s="998"/>
      <c r="AN37" s="998"/>
      <c r="AO37" s="998"/>
      <c r="AP37" s="998"/>
      <c r="AQ37" s="998"/>
      <c r="AR37" s="998"/>
      <c r="AS37" s="959"/>
      <c r="AT37" s="883"/>
      <c r="AU37" s="997"/>
      <c r="AV37" s="998"/>
      <c r="AW37" s="998"/>
      <c r="AX37" s="998"/>
      <c r="AY37" s="998"/>
      <c r="AZ37" s="998"/>
      <c r="BA37" s="959"/>
      <c r="BB37" s="690"/>
      <c r="BC37" s="997"/>
      <c r="BD37" s="998"/>
      <c r="BE37" s="998"/>
      <c r="BF37" s="998"/>
      <c r="BG37" s="998"/>
      <c r="BH37" s="998"/>
      <c r="BI37" s="959"/>
      <c r="BJ37" s="690"/>
      <c r="BK37" s="997"/>
      <c r="BL37" s="998"/>
      <c r="BM37" s="998"/>
      <c r="BN37" s="998"/>
      <c r="BO37" s="998"/>
      <c r="BP37" s="998"/>
      <c r="BQ37" s="998"/>
      <c r="BR37" s="959"/>
      <c r="BS37" s="690"/>
      <c r="BT37" s="997"/>
      <c r="BU37" s="998"/>
      <c r="BV37" s="998"/>
      <c r="BW37" s="998"/>
      <c r="BX37" s="998"/>
      <c r="BY37" s="998"/>
      <c r="BZ37" s="959"/>
      <c r="CA37" s="690"/>
      <c r="CB37" s="997"/>
      <c r="CC37" s="998"/>
      <c r="CD37" s="998"/>
      <c r="CE37" s="998"/>
      <c r="CF37" s="998"/>
      <c r="CG37" s="998"/>
      <c r="CH37" s="959"/>
      <c r="CI37" s="690"/>
      <c r="CJ37" s="997"/>
      <c r="CK37" s="998"/>
      <c r="CL37" s="998"/>
      <c r="CM37" s="998"/>
      <c r="CN37" s="998"/>
      <c r="CO37" s="998"/>
      <c r="CP37" s="959"/>
      <c r="CQ37" s="690"/>
      <c r="CR37" s="961"/>
      <c r="CS37" s="998"/>
      <c r="CT37" s="998"/>
      <c r="CU37" s="998" t="n">
        <f aca="false">+CR37-CS37</f>
        <v>0</v>
      </c>
      <c r="CV37" s="998" t="n">
        <f aca="false">+CR37-CT37</f>
        <v>0</v>
      </c>
      <c r="CW37" s="998"/>
      <c r="CX37" s="960" t="str">
        <f aca="false">IFERROR(CR37/CW37-1, "-")</f>
        <v>-</v>
      </c>
      <c r="CY37" s="945"/>
      <c r="CZ37" s="998"/>
      <c r="DA37" s="998"/>
      <c r="DB37" s="998"/>
      <c r="DC37" s="998"/>
      <c r="DD37" s="998"/>
      <c r="DE37" s="1015"/>
      <c r="DF37" s="1015"/>
      <c r="DG37" s="1015"/>
      <c r="DH37" s="1015"/>
      <c r="DI37" s="951"/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</row>
    <row r="38" customFormat="false" ht="12.75" hidden="false" customHeight="false" outlineLevel="0" collapsed="false">
      <c r="A38" s="1014"/>
      <c r="B38" s="1016" t="s">
        <v>759</v>
      </c>
      <c r="C38" s="679" t="s">
        <v>760</v>
      </c>
      <c r="D38" s="1017"/>
      <c r="E38" s="1018"/>
      <c r="F38" s="1018"/>
      <c r="G38" s="1018"/>
      <c r="H38" s="1019"/>
      <c r="I38" s="1020"/>
      <c r="J38" s="1017"/>
      <c r="K38" s="1018"/>
      <c r="L38" s="1018"/>
      <c r="M38" s="1018"/>
      <c r="N38" s="1019"/>
      <c r="O38" s="1021"/>
      <c r="P38" s="1017"/>
      <c r="Q38" s="1018"/>
      <c r="R38" s="1018"/>
      <c r="S38" s="1018"/>
      <c r="T38" s="1019"/>
      <c r="U38" s="1022"/>
      <c r="V38" s="1017"/>
      <c r="W38" s="1018"/>
      <c r="X38" s="1018"/>
      <c r="Y38" s="1018"/>
      <c r="Z38" s="1021"/>
      <c r="AA38" s="1018"/>
      <c r="AB38" s="1019"/>
      <c r="AC38" s="1022"/>
      <c r="AD38" s="1017"/>
      <c r="AE38" s="1018"/>
      <c r="AF38" s="1018"/>
      <c r="AG38" s="1018"/>
      <c r="AH38" s="1021"/>
      <c r="AI38" s="1018"/>
      <c r="AJ38" s="1019"/>
      <c r="AK38" s="1022"/>
      <c r="AL38" s="1017"/>
      <c r="AM38" s="1018"/>
      <c r="AN38" s="1018"/>
      <c r="AO38" s="1018"/>
      <c r="AP38" s="1018"/>
      <c r="AQ38" s="1018"/>
      <c r="AR38" s="1018"/>
      <c r="AS38" s="1019"/>
      <c r="AT38" s="1023"/>
      <c r="AU38" s="1017"/>
      <c r="AV38" s="1018"/>
      <c r="AW38" s="1018"/>
      <c r="AX38" s="1018"/>
      <c r="AY38" s="1018"/>
      <c r="AZ38" s="1018"/>
      <c r="BA38" s="1019"/>
      <c r="BB38" s="1022"/>
      <c r="BC38" s="1017"/>
      <c r="BD38" s="1018"/>
      <c r="BE38" s="1018"/>
      <c r="BF38" s="1018"/>
      <c r="BG38" s="1018"/>
      <c r="BH38" s="1018"/>
      <c r="BI38" s="1019"/>
      <c r="BJ38" s="1022"/>
      <c r="BK38" s="1017"/>
      <c r="BL38" s="1018"/>
      <c r="BM38" s="1018"/>
      <c r="BN38" s="1018"/>
      <c r="BO38" s="1018"/>
      <c r="BP38" s="1018"/>
      <c r="BQ38" s="1018"/>
      <c r="BR38" s="1019"/>
      <c r="BS38" s="1022"/>
      <c r="BT38" s="1017"/>
      <c r="BU38" s="1018"/>
      <c r="BV38" s="1018"/>
      <c r="BW38" s="1018"/>
      <c r="BX38" s="1018"/>
      <c r="BY38" s="1018"/>
      <c r="BZ38" s="1019"/>
      <c r="CA38" s="1022"/>
      <c r="CB38" s="1017"/>
      <c r="CC38" s="1018"/>
      <c r="CD38" s="1018"/>
      <c r="CE38" s="1018"/>
      <c r="CF38" s="1018"/>
      <c r="CG38" s="1018"/>
      <c r="CH38" s="1019"/>
      <c r="CI38" s="1022"/>
      <c r="CJ38" s="1017"/>
      <c r="CK38" s="1018"/>
      <c r="CL38" s="1018"/>
      <c r="CM38" s="1018"/>
      <c r="CN38" s="1018"/>
      <c r="CO38" s="1018"/>
      <c r="CP38" s="1019"/>
      <c r="CQ38" s="810"/>
      <c r="CR38" s="1024"/>
      <c r="CS38" s="1018"/>
      <c r="CT38" s="1018"/>
      <c r="CU38" s="1018" t="n">
        <f aca="false">+CR38-CS38</f>
        <v>0</v>
      </c>
      <c r="CV38" s="1018" t="n">
        <f aca="false">+CR38-CT38</f>
        <v>0</v>
      </c>
      <c r="CW38" s="1018"/>
      <c r="CX38" s="1020" t="str">
        <f aca="false">IFERROR(CR38/CW38-1, "-")</f>
        <v>-</v>
      </c>
      <c r="CY38" s="945"/>
      <c r="CZ38" s="1018"/>
      <c r="DA38" s="1018"/>
      <c r="DB38" s="1018"/>
      <c r="DC38" s="1018"/>
      <c r="DD38" s="1018"/>
      <c r="DE38" s="1025" t="e">
        <f aca="false">CZ38/DD38-1</f>
        <v>#DIV/0!</v>
      </c>
      <c r="DF38" s="1025" t="e">
        <f aca="false">DA38/DD38-1</f>
        <v>#DIV/0!</v>
      </c>
      <c r="DG38" s="1025" t="e">
        <f aca="false">DB38/DD38-1</f>
        <v>#DIV/0!</v>
      </c>
      <c r="DH38" s="1025" t="e">
        <f aca="false">DC38/DD38-1</f>
        <v>#DIV/0!</v>
      </c>
      <c r="DI38" s="951"/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  <c r="EA38" s="2" t="n">
        <v>203.110593</v>
      </c>
      <c r="EB38" s="1026" t="n">
        <f aca="false">EA38+CR38</f>
        <v>203.110593</v>
      </c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</row>
    <row r="39" customFormat="false" ht="12.75" hidden="false" customHeight="false" outlineLevel="0" collapsed="false">
      <c r="A39" s="1014"/>
      <c r="B39" s="1016" t="s">
        <v>761</v>
      </c>
      <c r="C39" s="679" t="s">
        <v>762</v>
      </c>
      <c r="D39" s="1017"/>
      <c r="E39" s="1018"/>
      <c r="F39" s="1018"/>
      <c r="G39" s="1018"/>
      <c r="H39" s="1019"/>
      <c r="I39" s="1020"/>
      <c r="J39" s="1017"/>
      <c r="K39" s="1018"/>
      <c r="L39" s="1018"/>
      <c r="M39" s="1018"/>
      <c r="N39" s="1019"/>
      <c r="O39" s="1021"/>
      <c r="P39" s="1017"/>
      <c r="Q39" s="1018"/>
      <c r="R39" s="1018"/>
      <c r="S39" s="1018"/>
      <c r="T39" s="1019"/>
      <c r="U39" s="1022"/>
      <c r="V39" s="1017"/>
      <c r="W39" s="1018"/>
      <c r="X39" s="1018"/>
      <c r="Y39" s="1018"/>
      <c r="Z39" s="1021"/>
      <c r="AA39" s="1018"/>
      <c r="AB39" s="1019"/>
      <c r="AC39" s="1022"/>
      <c r="AD39" s="1017"/>
      <c r="AE39" s="1018"/>
      <c r="AF39" s="1018"/>
      <c r="AG39" s="1018"/>
      <c r="AH39" s="1021"/>
      <c r="AI39" s="1018"/>
      <c r="AJ39" s="1019"/>
      <c r="AK39" s="1022"/>
      <c r="AL39" s="1017"/>
      <c r="AM39" s="1018"/>
      <c r="AN39" s="1018"/>
      <c r="AO39" s="1018"/>
      <c r="AP39" s="1018"/>
      <c r="AQ39" s="1018"/>
      <c r="AR39" s="1018"/>
      <c r="AS39" s="1019"/>
      <c r="AT39" s="1023"/>
      <c r="AU39" s="1017"/>
      <c r="AV39" s="1018"/>
      <c r="AW39" s="1018"/>
      <c r="AX39" s="1018"/>
      <c r="AY39" s="1018"/>
      <c r="AZ39" s="1018"/>
      <c r="BA39" s="1019"/>
      <c r="BB39" s="1022"/>
      <c r="BC39" s="1017"/>
      <c r="BD39" s="1018"/>
      <c r="BE39" s="1018"/>
      <c r="BF39" s="1018"/>
      <c r="BG39" s="1018"/>
      <c r="BH39" s="1018"/>
      <c r="BI39" s="1019"/>
      <c r="BJ39" s="1022"/>
      <c r="BK39" s="1017"/>
      <c r="BL39" s="1018"/>
      <c r="BM39" s="1018"/>
      <c r="BN39" s="1018"/>
      <c r="BO39" s="1018"/>
      <c r="BP39" s="1018"/>
      <c r="BQ39" s="1018"/>
      <c r="BR39" s="1019"/>
      <c r="BS39" s="1022"/>
      <c r="BT39" s="1017"/>
      <c r="BU39" s="1018"/>
      <c r="BV39" s="1018"/>
      <c r="BW39" s="1018"/>
      <c r="BX39" s="1018"/>
      <c r="BY39" s="1018"/>
      <c r="BZ39" s="1019"/>
      <c r="CA39" s="1022"/>
      <c r="CB39" s="1017"/>
      <c r="CC39" s="1018"/>
      <c r="CD39" s="1018"/>
      <c r="CE39" s="1018"/>
      <c r="CF39" s="1018"/>
      <c r="CG39" s="1018"/>
      <c r="CH39" s="1019"/>
      <c r="CI39" s="1022"/>
      <c r="CJ39" s="1017"/>
      <c r="CK39" s="1018"/>
      <c r="CL39" s="1018"/>
      <c r="CM39" s="1018"/>
      <c r="CN39" s="1018"/>
      <c r="CO39" s="1018"/>
      <c r="CP39" s="1019"/>
      <c r="CQ39" s="810"/>
      <c r="CR39" s="1024"/>
      <c r="CS39" s="1018"/>
      <c r="CT39" s="1018"/>
      <c r="CU39" s="1018" t="n">
        <f aca="false">+CR39-CS39</f>
        <v>0</v>
      </c>
      <c r="CV39" s="1018" t="n">
        <f aca="false">+CR39-CT39</f>
        <v>0</v>
      </c>
      <c r="CW39" s="1018"/>
      <c r="CX39" s="1020" t="str">
        <f aca="false">IFERROR(CR39/CW39-1, "-")</f>
        <v>-</v>
      </c>
      <c r="CY39" s="945"/>
      <c r="CZ39" s="1018"/>
      <c r="DA39" s="1018"/>
      <c r="DB39" s="1018"/>
      <c r="DC39" s="1018"/>
      <c r="DD39" s="1018"/>
      <c r="DE39" s="1025"/>
      <c r="DF39" s="1025"/>
      <c r="DG39" s="1025"/>
      <c r="DH39" s="1025"/>
      <c r="DI39" s="951"/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</row>
    <row r="40" customFormat="false" ht="15" hidden="false" customHeight="true" outlineLevel="0" collapsed="false">
      <c r="A40" s="590"/>
      <c r="B40" s="714" t="s">
        <v>763</v>
      </c>
      <c r="C40" s="679" t="s">
        <v>764</v>
      </c>
      <c r="D40" s="555"/>
      <c r="E40" s="555"/>
      <c r="F40" s="555"/>
      <c r="G40" s="555"/>
      <c r="H40" s="953"/>
      <c r="I40" s="556"/>
      <c r="J40" s="554"/>
      <c r="K40" s="555"/>
      <c r="L40" s="555"/>
      <c r="M40" s="555"/>
      <c r="N40" s="953"/>
      <c r="O40" s="554"/>
      <c r="P40" s="554"/>
      <c r="Q40" s="555"/>
      <c r="R40" s="555"/>
      <c r="S40" s="555"/>
      <c r="T40" s="953"/>
      <c r="U40" s="557"/>
      <c r="V40" s="554"/>
      <c r="W40" s="555"/>
      <c r="X40" s="555"/>
      <c r="Y40" s="555"/>
      <c r="Z40" s="554"/>
      <c r="AA40" s="555"/>
      <c r="AB40" s="953"/>
      <c r="AC40" s="557"/>
      <c r="AD40" s="554"/>
      <c r="AE40" s="555"/>
      <c r="AF40" s="555"/>
      <c r="AG40" s="555"/>
      <c r="AH40" s="554"/>
      <c r="AI40" s="555"/>
      <c r="AJ40" s="953"/>
      <c r="AK40" s="557"/>
      <c r="AL40" s="554"/>
      <c r="AM40" s="555"/>
      <c r="AN40" s="555"/>
      <c r="AO40" s="555"/>
      <c r="AP40" s="555"/>
      <c r="AQ40" s="555"/>
      <c r="AR40" s="555"/>
      <c r="AS40" s="953"/>
      <c r="AT40" s="558"/>
      <c r="AU40" s="554"/>
      <c r="AV40" s="555"/>
      <c r="AW40" s="555"/>
      <c r="AX40" s="555"/>
      <c r="AY40" s="555"/>
      <c r="AZ40" s="555"/>
      <c r="BA40" s="953"/>
      <c r="BB40" s="557"/>
      <c r="BC40" s="554"/>
      <c r="BD40" s="555"/>
      <c r="BE40" s="555"/>
      <c r="BF40" s="555"/>
      <c r="BG40" s="555"/>
      <c r="BH40" s="555"/>
      <c r="BI40" s="953"/>
      <c r="BJ40" s="557"/>
      <c r="BK40" s="954"/>
      <c r="BL40" s="555"/>
      <c r="BM40" s="555"/>
      <c r="BN40" s="555"/>
      <c r="BO40" s="555"/>
      <c r="BP40" s="555"/>
      <c r="BQ40" s="555"/>
      <c r="BR40" s="953"/>
      <c r="BS40" s="557"/>
      <c r="BT40" s="954"/>
      <c r="BU40" s="555"/>
      <c r="BV40" s="555"/>
      <c r="BW40" s="555"/>
      <c r="BX40" s="555"/>
      <c r="BY40" s="555"/>
      <c r="BZ40" s="953"/>
      <c r="CA40" s="557"/>
      <c r="CB40" s="954"/>
      <c r="CC40" s="555"/>
      <c r="CD40" s="555"/>
      <c r="CE40" s="555"/>
      <c r="CF40" s="555"/>
      <c r="CG40" s="555"/>
      <c r="CH40" s="953"/>
      <c r="CI40" s="557"/>
      <c r="CJ40" s="954"/>
      <c r="CK40" s="555"/>
      <c r="CL40" s="555"/>
      <c r="CM40" s="555"/>
      <c r="CN40" s="555"/>
      <c r="CO40" s="555"/>
      <c r="CP40" s="953"/>
      <c r="CQ40" s="422"/>
      <c r="CR40" s="954"/>
      <c r="CS40" s="555"/>
      <c r="CT40" s="555"/>
      <c r="CU40" s="555" t="n">
        <f aca="false">+CR40-CS40</f>
        <v>0</v>
      </c>
      <c r="CV40" s="555" t="n">
        <f aca="false">+CR40-CT40</f>
        <v>0</v>
      </c>
      <c r="CW40" s="555"/>
      <c r="CX40" s="556" t="str">
        <f aca="false">IFERROR(CR40/CW40-1, "-")</f>
        <v>-</v>
      </c>
      <c r="CY40" s="945"/>
      <c r="CZ40" s="555"/>
      <c r="DA40" s="555"/>
      <c r="DB40" s="555"/>
      <c r="DC40" s="555"/>
      <c r="DD40" s="555"/>
      <c r="DE40" s="245" t="e">
        <f aca="false">CZ40/DD40-1</f>
        <v>#DIV/0!</v>
      </c>
      <c r="DF40" s="245" t="e">
        <f aca="false">DA40/DD40-1</f>
        <v>#DIV/0!</v>
      </c>
      <c r="DG40" s="245" t="e">
        <f aca="false">DB40/DD40-1</f>
        <v>#DIV/0!</v>
      </c>
      <c r="DH40" s="245" t="e">
        <f aca="false">DC40/DD40-1</f>
        <v>#DIV/0!</v>
      </c>
      <c r="DI40" s="951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</row>
    <row r="41" customFormat="false" ht="15" hidden="false" customHeight="true" outlineLevel="0" collapsed="false">
      <c r="A41" s="591"/>
      <c r="B41" s="857" t="s">
        <v>720</v>
      </c>
      <c r="C41" s="679" t="s">
        <v>765</v>
      </c>
      <c r="D41" s="955"/>
      <c r="E41" s="421"/>
      <c r="F41" s="1027"/>
      <c r="G41" s="421"/>
      <c r="H41" s="805"/>
      <c r="I41" s="245"/>
      <c r="J41" s="955"/>
      <c r="K41" s="421"/>
      <c r="L41" s="144"/>
      <c r="M41" s="421"/>
      <c r="N41" s="805"/>
      <c r="O41" s="281"/>
      <c r="P41" s="955"/>
      <c r="Q41" s="421"/>
      <c r="R41" s="144"/>
      <c r="S41" s="421"/>
      <c r="T41" s="805"/>
      <c r="U41" s="422"/>
      <c r="V41" s="955"/>
      <c r="W41" s="421"/>
      <c r="X41" s="421"/>
      <c r="Y41" s="144"/>
      <c r="Z41" s="281"/>
      <c r="AA41" s="421"/>
      <c r="AB41" s="805"/>
      <c r="AC41" s="422"/>
      <c r="AD41" s="955"/>
      <c r="AE41" s="421"/>
      <c r="AF41" s="421"/>
      <c r="AG41" s="144"/>
      <c r="AH41" s="281"/>
      <c r="AI41" s="421"/>
      <c r="AJ41" s="805"/>
      <c r="AK41" s="422"/>
      <c r="AL41" s="955"/>
      <c r="AM41" s="421"/>
      <c r="AN41" s="421"/>
      <c r="AO41" s="421"/>
      <c r="AP41" s="144"/>
      <c r="AQ41" s="144"/>
      <c r="AR41" s="421"/>
      <c r="AS41" s="805"/>
      <c r="AT41" s="423"/>
      <c r="AU41" s="955"/>
      <c r="AV41" s="421"/>
      <c r="AW41" s="421"/>
      <c r="AX41" s="144"/>
      <c r="AY41" s="144"/>
      <c r="AZ41" s="421"/>
      <c r="BA41" s="805"/>
      <c r="BB41" s="422"/>
      <c r="BC41" s="955"/>
      <c r="BD41" s="421"/>
      <c r="BE41" s="421"/>
      <c r="BF41" s="144"/>
      <c r="BG41" s="144"/>
      <c r="BH41" s="421"/>
      <c r="BI41" s="805"/>
      <c r="BJ41" s="422"/>
      <c r="BK41" s="955"/>
      <c r="BL41" s="421"/>
      <c r="BM41" s="421"/>
      <c r="BN41" s="421"/>
      <c r="BO41" s="144"/>
      <c r="BP41" s="144"/>
      <c r="BQ41" s="421"/>
      <c r="BR41" s="805"/>
      <c r="BS41" s="422"/>
      <c r="BT41" s="955"/>
      <c r="BU41" s="421"/>
      <c r="BV41" s="421"/>
      <c r="BW41" s="144"/>
      <c r="BX41" s="144"/>
      <c r="BY41" s="421"/>
      <c r="BZ41" s="805"/>
      <c r="CA41" s="422"/>
      <c r="CB41" s="955"/>
      <c r="CC41" s="421"/>
      <c r="CD41" s="421"/>
      <c r="CE41" s="144"/>
      <c r="CF41" s="144"/>
      <c r="CG41" s="421"/>
      <c r="CH41" s="805"/>
      <c r="CI41" s="422"/>
      <c r="CJ41" s="955"/>
      <c r="CK41" s="421"/>
      <c r="CL41" s="421"/>
      <c r="CM41" s="144"/>
      <c r="CN41" s="144"/>
      <c r="CO41" s="421"/>
      <c r="CP41" s="805"/>
      <c r="CQ41" s="422"/>
      <c r="CR41" s="955"/>
      <c r="CS41" s="421"/>
      <c r="CT41" s="421"/>
      <c r="CU41" s="144" t="n">
        <f aca="false">+CR41-CS41</f>
        <v>0</v>
      </c>
      <c r="CV41" s="144" t="n">
        <f aca="false">+CR41-CT41</f>
        <v>0</v>
      </c>
      <c r="CW41" s="421"/>
      <c r="CX41" s="245" t="str">
        <f aca="false">IFERROR(CR41/CW41-1, "-")</f>
        <v>-</v>
      </c>
      <c r="CY41" s="945"/>
      <c r="CZ41" s="421"/>
      <c r="DA41" s="421"/>
      <c r="DB41" s="421"/>
      <c r="DC41" s="421"/>
      <c r="DD41" s="421"/>
      <c r="DE41" s="245" t="e">
        <f aca="false">CZ41/DD41-1</f>
        <v>#DIV/0!</v>
      </c>
      <c r="DF41" s="245" t="e">
        <f aca="false">DA41/DD41-1</f>
        <v>#DIV/0!</v>
      </c>
      <c r="DG41" s="245" t="e">
        <f aca="false">DB41/DD41-1</f>
        <v>#DIV/0!</v>
      </c>
      <c r="DH41" s="245" t="e">
        <f aca="false">DC41/DD41-1</f>
        <v>#DIV/0!</v>
      </c>
      <c r="DI41" s="951"/>
      <c r="DJ41" s="117" t="n">
        <f aca="false">SUM(D41,J41,P41,V41,AD41,AL41,AU41,BC41,BK41,BT41,CB41,CJ41)-CR41</f>
        <v>0</v>
      </c>
      <c r="DK41" s="117" t="n">
        <f aca="false">SUM(E41,K41,Q41,W41,AE41,AM41,AV41,BD41,BL41,BU41,CC41,CK41)-CS41</f>
        <v>0</v>
      </c>
      <c r="DL41" s="117" t="n">
        <f aca="false">SUM(G41,M41,S41,AA41,AI41,AR41,AZ41,BH41,BQ41,BY41,CG41,CO41)-CW41</f>
        <v>0</v>
      </c>
      <c r="DM41" s="117" t="n">
        <f aca="false">SUM(D41,J41,P41,V41,AD41,AL41,AU41,BC41,,BN41,BV41,CD41,CL41)-CT41</f>
        <v>0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</row>
    <row r="42" customFormat="false" ht="15" hidden="false" customHeight="true" outlineLevel="0" collapsed="false">
      <c r="A42" s="956"/>
      <c r="B42" s="957" t="s">
        <v>766</v>
      </c>
      <c r="C42" s="679" t="s">
        <v>767</v>
      </c>
      <c r="D42" s="1028"/>
      <c r="E42" s="958"/>
      <c r="F42" s="958"/>
      <c r="G42" s="958"/>
      <c r="H42" s="959"/>
      <c r="I42" s="960"/>
      <c r="J42" s="1028"/>
      <c r="K42" s="958"/>
      <c r="L42" s="958"/>
      <c r="M42" s="958"/>
      <c r="N42" s="959"/>
      <c r="O42" s="588"/>
      <c r="P42" s="1028"/>
      <c r="Q42" s="958"/>
      <c r="R42" s="958"/>
      <c r="S42" s="958"/>
      <c r="T42" s="959"/>
      <c r="U42" s="690"/>
      <c r="V42" s="1028"/>
      <c r="W42" s="958"/>
      <c r="X42" s="958"/>
      <c r="Y42" s="958"/>
      <c r="Z42" s="588"/>
      <c r="AA42" s="958"/>
      <c r="AB42" s="959"/>
      <c r="AC42" s="690"/>
      <c r="AD42" s="1028"/>
      <c r="AE42" s="958"/>
      <c r="AF42" s="958"/>
      <c r="AG42" s="958"/>
      <c r="AH42" s="588"/>
      <c r="AI42" s="958"/>
      <c r="AJ42" s="959"/>
      <c r="AK42" s="690"/>
      <c r="AL42" s="1028"/>
      <c r="AM42" s="958"/>
      <c r="AN42" s="958"/>
      <c r="AO42" s="958"/>
      <c r="AP42" s="958"/>
      <c r="AQ42" s="958"/>
      <c r="AR42" s="958"/>
      <c r="AS42" s="959"/>
      <c r="AT42" s="883"/>
      <c r="AU42" s="1028"/>
      <c r="AV42" s="958"/>
      <c r="AW42" s="958"/>
      <c r="AX42" s="958"/>
      <c r="AY42" s="958"/>
      <c r="AZ42" s="958"/>
      <c r="BA42" s="959"/>
      <c r="BB42" s="690"/>
      <c r="BC42" s="1028"/>
      <c r="BD42" s="958"/>
      <c r="BE42" s="958"/>
      <c r="BF42" s="958"/>
      <c r="BG42" s="958"/>
      <c r="BH42" s="958"/>
      <c r="BI42" s="959"/>
      <c r="BJ42" s="690"/>
      <c r="BK42" s="1028"/>
      <c r="BL42" s="958"/>
      <c r="BM42" s="958"/>
      <c r="BN42" s="958"/>
      <c r="BO42" s="958"/>
      <c r="BP42" s="958"/>
      <c r="BQ42" s="958"/>
      <c r="BR42" s="959"/>
      <c r="BS42" s="690"/>
      <c r="BT42" s="1028"/>
      <c r="BU42" s="958"/>
      <c r="BV42" s="958"/>
      <c r="BW42" s="958"/>
      <c r="BX42" s="958"/>
      <c r="BY42" s="958"/>
      <c r="BZ42" s="959"/>
      <c r="CA42" s="690"/>
      <c r="CB42" s="1028"/>
      <c r="CC42" s="958"/>
      <c r="CD42" s="958"/>
      <c r="CE42" s="958"/>
      <c r="CF42" s="958"/>
      <c r="CG42" s="958"/>
      <c r="CH42" s="959"/>
      <c r="CI42" s="690"/>
      <c r="CJ42" s="1028"/>
      <c r="CK42" s="958"/>
      <c r="CL42" s="958"/>
      <c r="CM42" s="958"/>
      <c r="CN42" s="958"/>
      <c r="CO42" s="958"/>
      <c r="CP42" s="959"/>
      <c r="CQ42" s="732"/>
      <c r="CR42" s="961"/>
      <c r="CS42" s="958"/>
      <c r="CT42" s="958"/>
      <c r="CU42" s="958" t="n">
        <f aca="false">+CR42-CS42</f>
        <v>0</v>
      </c>
      <c r="CV42" s="958" t="n">
        <f aca="false">+CR42-CT42</f>
        <v>0</v>
      </c>
      <c r="CW42" s="958"/>
      <c r="CX42" s="960" t="str">
        <f aca="false">IFERROR(CR42/CW42-1, "-")</f>
        <v>-</v>
      </c>
      <c r="CY42" s="945"/>
      <c r="CZ42" s="958"/>
      <c r="DA42" s="958"/>
      <c r="DB42" s="958"/>
      <c r="DC42" s="958"/>
      <c r="DD42" s="958"/>
      <c r="DE42" s="960" t="e">
        <f aca="false">CZ42/DD42-1</f>
        <v>#DIV/0!</v>
      </c>
      <c r="DF42" s="960" t="e">
        <f aca="false">DA42/DD42-1</f>
        <v>#DIV/0!</v>
      </c>
      <c r="DG42" s="960" t="e">
        <f aca="false">DB42/DD42-1</f>
        <v>#DIV/0!</v>
      </c>
      <c r="DH42" s="960" t="e">
        <f aca="false">DC42/DD42-1</f>
        <v>#DIV/0!</v>
      </c>
      <c r="DI42" s="951"/>
      <c r="DJ42" s="117" t="n">
        <f aca="false">SUM(D42,J42,P42,V42,AD42,AL42,AU42,BC42,BK42,BT42,CB42,CJ42)-CR42</f>
        <v>0</v>
      </c>
      <c r="DK42" s="117" t="n">
        <f aca="false">SUM(E42,K42,Q42,W42,AE42,AM42,AV42,BD42,BL42,BU42,CC42,CK42)-CS42</f>
        <v>0</v>
      </c>
      <c r="DL42" s="117" t="n">
        <f aca="false">SUM(G42,M42,S42,AA42,AI42,AR42,AZ42,BH42,BQ42,BY42,CG42,CO42)-CW42</f>
        <v>0</v>
      </c>
      <c r="DM42" s="117" t="n">
        <f aca="false">SUM(D42,J42,P42,V42,AD42,AL42,AU42,BC42,,BN42,BV42,CD42,CL42)-CT42</f>
        <v>0</v>
      </c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A42" s="1029" t="n">
        <v>57.488162</v>
      </c>
      <c r="EB42" s="1026" t="n">
        <f aca="false">EA42+CR42</f>
        <v>57.488162</v>
      </c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</row>
    <row r="43" customFormat="false" ht="15" hidden="false" customHeight="true" outlineLevel="0" collapsed="false">
      <c r="A43" s="1030"/>
      <c r="B43" s="1031" t="s">
        <v>768</v>
      </c>
      <c r="C43" s="679" t="s">
        <v>769</v>
      </c>
      <c r="D43" s="1032"/>
      <c r="E43" s="708"/>
      <c r="F43" s="708"/>
      <c r="G43" s="708"/>
      <c r="H43" s="1033"/>
      <c r="I43" s="1034"/>
      <c r="J43" s="1032"/>
      <c r="K43" s="708"/>
      <c r="L43" s="708"/>
      <c r="M43" s="708"/>
      <c r="N43" s="1033"/>
      <c r="O43" s="1035"/>
      <c r="P43" s="1032"/>
      <c r="Q43" s="708"/>
      <c r="R43" s="708"/>
      <c r="S43" s="708"/>
      <c r="T43" s="1033"/>
      <c r="U43" s="402"/>
      <c r="V43" s="1032"/>
      <c r="W43" s="708"/>
      <c r="X43" s="708"/>
      <c r="Y43" s="708"/>
      <c r="Z43" s="1035"/>
      <c r="AA43" s="708"/>
      <c r="AB43" s="1033"/>
      <c r="AC43" s="402"/>
      <c r="AD43" s="1032"/>
      <c r="AE43" s="708"/>
      <c r="AF43" s="708"/>
      <c r="AG43" s="708"/>
      <c r="AH43" s="1035"/>
      <c r="AI43" s="708"/>
      <c r="AJ43" s="1033"/>
      <c r="AK43" s="402"/>
      <c r="AL43" s="1032"/>
      <c r="AM43" s="708"/>
      <c r="AN43" s="708"/>
      <c r="AO43" s="708"/>
      <c r="AP43" s="708"/>
      <c r="AQ43" s="708"/>
      <c r="AR43" s="708"/>
      <c r="AS43" s="1033"/>
      <c r="AT43" s="404"/>
      <c r="AU43" s="1032"/>
      <c r="AV43" s="708"/>
      <c r="AW43" s="708"/>
      <c r="AX43" s="708"/>
      <c r="AY43" s="708"/>
      <c r="AZ43" s="708"/>
      <c r="BA43" s="1033"/>
      <c r="BB43" s="402"/>
      <c r="BC43" s="1032"/>
      <c r="BD43" s="708"/>
      <c r="BE43" s="708"/>
      <c r="BF43" s="708"/>
      <c r="BG43" s="708"/>
      <c r="BH43" s="708"/>
      <c r="BI43" s="1033"/>
      <c r="BJ43" s="402"/>
      <c r="BK43" s="1032"/>
      <c r="BL43" s="708"/>
      <c r="BM43" s="708"/>
      <c r="BN43" s="708"/>
      <c r="BO43" s="708"/>
      <c r="BP43" s="708"/>
      <c r="BQ43" s="708"/>
      <c r="BR43" s="1033"/>
      <c r="BS43" s="402"/>
      <c r="BT43" s="1032"/>
      <c r="BU43" s="708"/>
      <c r="BV43" s="708"/>
      <c r="BW43" s="708"/>
      <c r="BX43" s="708"/>
      <c r="BY43" s="708"/>
      <c r="BZ43" s="1033"/>
      <c r="CA43" s="402"/>
      <c r="CB43" s="1032"/>
      <c r="CC43" s="708"/>
      <c r="CD43" s="708"/>
      <c r="CE43" s="708"/>
      <c r="CF43" s="708"/>
      <c r="CG43" s="708"/>
      <c r="CH43" s="1033"/>
      <c r="CI43" s="402"/>
      <c r="CJ43" s="1032"/>
      <c r="CK43" s="708"/>
      <c r="CL43" s="708"/>
      <c r="CM43" s="708"/>
      <c r="CN43" s="708"/>
      <c r="CO43" s="708"/>
      <c r="CP43" s="1033"/>
      <c r="CQ43" s="732"/>
      <c r="CR43" s="1036"/>
      <c r="CS43" s="708"/>
      <c r="CT43" s="708"/>
      <c r="CU43" s="708" t="n">
        <f aca="false">+CR43-CS43</f>
        <v>0</v>
      </c>
      <c r="CV43" s="708" t="n">
        <f aca="false">+CR43-CT43</f>
        <v>0</v>
      </c>
      <c r="CW43" s="708"/>
      <c r="CX43" s="1034" t="str">
        <f aca="false">IFERROR(CR43/CW43-1, "-")</f>
        <v>-</v>
      </c>
      <c r="CY43" s="945"/>
      <c r="CZ43" s="708"/>
      <c r="DA43" s="708"/>
      <c r="DB43" s="708"/>
      <c r="DC43" s="708"/>
      <c r="DD43" s="708"/>
      <c r="DE43" s="1037" t="e">
        <f aca="false">CZ43/DD43-1</f>
        <v>#DIV/0!</v>
      </c>
      <c r="DF43" s="1037" t="e">
        <f aca="false">DA43/DD43-1</f>
        <v>#DIV/0!</v>
      </c>
      <c r="DG43" s="1037" t="e">
        <f aca="false">DB43/DD43-1</f>
        <v>#DIV/0!</v>
      </c>
      <c r="DH43" s="1037" t="e">
        <f aca="false">DC43/DD43-1</f>
        <v>#DIV/0!</v>
      </c>
      <c r="DI43" s="951"/>
      <c r="DJ43" s="117" t="n">
        <f aca="false">SUM(D43,J43,P43,V43,AD43,AL43,AU43,BC43,BK43,BT43,CB43,CJ43)-CR43</f>
        <v>0</v>
      </c>
      <c r="DK43" s="117" t="n">
        <f aca="false">SUM(E43,K43,Q43,W43,AE43,AM43,AV43,BD43,BL43,BU43,CC43,CK43)-CS43</f>
        <v>0</v>
      </c>
      <c r="DL43" s="117" t="n">
        <f aca="false">SUM(G43,M43,S43,AA43,AI43,AR43,AZ43,BH43,BQ43,BY43,CG43,CO43)-CW43</f>
        <v>0</v>
      </c>
      <c r="DM43" s="117" t="n">
        <f aca="false">SUM(D43,J43,P43,V43,AD43,AL43,AU43,BC43,,BN43,BV43,CD43,CL43)-CT43</f>
        <v>0</v>
      </c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</row>
    <row r="44" customFormat="false" ht="1.5" hidden="false" customHeight="true" outlineLevel="0" collapsed="false">
      <c r="A44" s="1038"/>
      <c r="B44" s="1039"/>
      <c r="C44" s="679" t="s">
        <v>770</v>
      </c>
      <c r="D44" s="1040"/>
      <c r="E44" s="1040"/>
      <c r="F44" s="1040"/>
      <c r="G44" s="1040"/>
      <c r="H44" s="1041"/>
      <c r="I44" s="1042"/>
      <c r="J44" s="1040"/>
      <c r="K44" s="1040"/>
      <c r="L44" s="1040"/>
      <c r="M44" s="1040"/>
      <c r="N44" s="1041"/>
      <c r="O44" s="1043"/>
      <c r="P44" s="1040"/>
      <c r="Q44" s="1040"/>
      <c r="R44" s="1040"/>
      <c r="S44" s="1040"/>
      <c r="T44" s="1041"/>
      <c r="U44" s="1044"/>
      <c r="V44" s="1040"/>
      <c r="W44" s="1040"/>
      <c r="X44" s="1040"/>
      <c r="Y44" s="1040"/>
      <c r="Z44" s="1043"/>
      <c r="AA44" s="1040"/>
      <c r="AB44" s="1041"/>
      <c r="AC44" s="1044"/>
      <c r="AD44" s="1040"/>
      <c r="AE44" s="1040"/>
      <c r="AF44" s="1040"/>
      <c r="AG44" s="1040"/>
      <c r="AH44" s="1043"/>
      <c r="AI44" s="1040"/>
      <c r="AJ44" s="1041"/>
      <c r="AK44" s="1045"/>
      <c r="AL44" s="1040"/>
      <c r="AM44" s="1040"/>
      <c r="AN44" s="1040"/>
      <c r="AO44" s="1040"/>
      <c r="AP44" s="1040"/>
      <c r="AQ44" s="1040"/>
      <c r="AR44" s="1040"/>
      <c r="AS44" s="1041"/>
      <c r="AT44" s="1046"/>
      <c r="AU44" s="1040"/>
      <c r="AV44" s="1040"/>
      <c r="AW44" s="1040"/>
      <c r="AX44" s="1040"/>
      <c r="AY44" s="1040"/>
      <c r="AZ44" s="1040"/>
      <c r="BA44" s="1041"/>
      <c r="BB44" s="1044"/>
      <c r="BC44" s="1040"/>
      <c r="BD44" s="1040"/>
      <c r="BE44" s="1040"/>
      <c r="BF44" s="1040"/>
      <c r="BG44" s="1040"/>
      <c r="BH44" s="1040"/>
      <c r="BI44" s="1041"/>
      <c r="BJ44" s="1044"/>
      <c r="BK44" s="1040"/>
      <c r="BL44" s="1040"/>
      <c r="BM44" s="1040"/>
      <c r="BN44" s="1040"/>
      <c r="BO44" s="1040"/>
      <c r="BP44" s="1040"/>
      <c r="BQ44" s="1040"/>
      <c r="BR44" s="1041"/>
      <c r="BS44" s="1045"/>
      <c r="BT44" s="1040"/>
      <c r="BU44" s="1040"/>
      <c r="BV44" s="1040"/>
      <c r="BW44" s="1040"/>
      <c r="BX44" s="1040"/>
      <c r="BY44" s="1040"/>
      <c r="BZ44" s="1041"/>
      <c r="CA44" s="1045"/>
      <c r="CB44" s="1040"/>
      <c r="CC44" s="1040"/>
      <c r="CD44" s="1040"/>
      <c r="CE44" s="1040"/>
      <c r="CF44" s="1040"/>
      <c r="CG44" s="1040"/>
      <c r="CH44" s="1041"/>
      <c r="CI44" s="1045"/>
      <c r="CJ44" s="1040"/>
      <c r="CK44" s="1040"/>
      <c r="CL44" s="1040"/>
      <c r="CM44" s="1040"/>
      <c r="CN44" s="1040"/>
      <c r="CO44" s="1040"/>
      <c r="CP44" s="1041"/>
      <c r="CQ44" s="1047"/>
      <c r="CR44" s="1048"/>
      <c r="CS44" s="1040"/>
      <c r="CT44" s="1040"/>
      <c r="CU44" s="1040" t="n">
        <f aca="false">+CR44-CS44</f>
        <v>0</v>
      </c>
      <c r="CV44" s="1040" t="n">
        <f aca="false">+CR44-CT44</f>
        <v>0</v>
      </c>
      <c r="CW44" s="1040"/>
      <c r="CX44" s="1042" t="str">
        <f aca="false">IFERROR(CR44/CW44-1, "-")</f>
        <v>-</v>
      </c>
      <c r="CY44" s="945"/>
      <c r="CZ44" s="1040"/>
      <c r="DA44" s="1040"/>
      <c r="DB44" s="1040"/>
      <c r="DC44" s="1040"/>
      <c r="DD44" s="1040"/>
      <c r="DE44" s="1049"/>
      <c r="DF44" s="1049"/>
      <c r="DG44" s="1049"/>
      <c r="DH44" s="1049"/>
      <c r="DI44" s="951"/>
      <c r="DJ44" s="117" t="n">
        <f aca="false">SUM(D44,J44,P44,V44,AD44,AL44,AU44,BC44,BK44,BT44,CB44,CJ44)-CR44</f>
        <v>0</v>
      </c>
      <c r="DK44" s="117" t="n">
        <f aca="false">SUM(E44,K44,Q44,W44,AE44,AM44,AV44,BD44,BL44,BU44,CC44,CK44)-CS44</f>
        <v>0</v>
      </c>
      <c r="DL44" s="117" t="n">
        <f aca="false">SUM(G44,M44,S44,AA44,AI44,AR44,AZ44,BH44,BQ44,BY44,CG44,CO44)-CW44</f>
        <v>0</v>
      </c>
      <c r="DM44" s="117" t="n">
        <f aca="false">SUM(D44,J44,P44,V44,AD44,AL44,AU44,BC44,,BN44,BV44,CD44,CL44)-CT44</f>
        <v>0</v>
      </c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</row>
    <row r="45" customFormat="false" ht="15" hidden="false" customHeight="true" outlineLevel="0" collapsed="false">
      <c r="A45" s="729"/>
      <c r="B45" s="1050" t="s">
        <v>771</v>
      </c>
      <c r="C45" s="679" t="s">
        <v>772</v>
      </c>
      <c r="D45" s="130"/>
      <c r="E45" s="130"/>
      <c r="F45" s="130"/>
      <c r="G45" s="130"/>
      <c r="H45" s="735"/>
      <c r="I45" s="731"/>
      <c r="J45" s="130"/>
      <c r="K45" s="130"/>
      <c r="L45" s="130"/>
      <c r="M45" s="130"/>
      <c r="N45" s="735"/>
      <c r="O45" s="734"/>
      <c r="P45" s="130"/>
      <c r="Q45" s="130"/>
      <c r="R45" s="130"/>
      <c r="S45" s="130"/>
      <c r="T45" s="735"/>
      <c r="U45" s="732"/>
      <c r="V45" s="130"/>
      <c r="W45" s="130"/>
      <c r="X45" s="130"/>
      <c r="Y45" s="130"/>
      <c r="Z45" s="734"/>
      <c r="AA45" s="130"/>
      <c r="AB45" s="735"/>
      <c r="AC45" s="732"/>
      <c r="AD45" s="130"/>
      <c r="AE45" s="130"/>
      <c r="AF45" s="130"/>
      <c r="AG45" s="130"/>
      <c r="AH45" s="734"/>
      <c r="AI45" s="130"/>
      <c r="AJ45" s="735"/>
      <c r="AK45" s="732"/>
      <c r="AL45" s="130"/>
      <c r="AM45" s="130"/>
      <c r="AN45" s="130"/>
      <c r="AO45" s="130"/>
      <c r="AP45" s="130"/>
      <c r="AQ45" s="130"/>
      <c r="AR45" s="130"/>
      <c r="AS45" s="735"/>
      <c r="AT45" s="733"/>
      <c r="AU45" s="130"/>
      <c r="AV45" s="130"/>
      <c r="AW45" s="130"/>
      <c r="AX45" s="130"/>
      <c r="AY45" s="130"/>
      <c r="AZ45" s="130"/>
      <c r="BA45" s="735"/>
      <c r="BB45" s="732"/>
      <c r="BC45" s="130"/>
      <c r="BD45" s="130"/>
      <c r="BE45" s="130"/>
      <c r="BF45" s="130"/>
      <c r="BG45" s="130"/>
      <c r="BH45" s="130"/>
      <c r="BI45" s="735"/>
      <c r="BJ45" s="732"/>
      <c r="BK45" s="130"/>
      <c r="BL45" s="130"/>
      <c r="BM45" s="130"/>
      <c r="BN45" s="130"/>
      <c r="BO45" s="130"/>
      <c r="BP45" s="130"/>
      <c r="BQ45" s="130"/>
      <c r="BR45" s="735"/>
      <c r="BS45" s="732"/>
      <c r="BT45" s="130"/>
      <c r="BU45" s="130"/>
      <c r="BV45" s="130"/>
      <c r="BW45" s="130"/>
      <c r="BX45" s="130"/>
      <c r="BY45" s="130"/>
      <c r="BZ45" s="735"/>
      <c r="CA45" s="732"/>
      <c r="CB45" s="130"/>
      <c r="CC45" s="130"/>
      <c r="CD45" s="130"/>
      <c r="CE45" s="130"/>
      <c r="CF45" s="130"/>
      <c r="CG45" s="130"/>
      <c r="CH45" s="735"/>
      <c r="CI45" s="732"/>
      <c r="CJ45" s="130"/>
      <c r="CK45" s="130"/>
      <c r="CL45" s="130"/>
      <c r="CM45" s="130"/>
      <c r="CN45" s="130"/>
      <c r="CO45" s="130"/>
      <c r="CP45" s="735"/>
      <c r="CQ45" s="732"/>
      <c r="CR45" s="1051"/>
      <c r="CS45" s="130"/>
      <c r="CT45" s="130"/>
      <c r="CU45" s="130" t="n">
        <f aca="false">+CR45-CS45</f>
        <v>0</v>
      </c>
      <c r="CV45" s="130" t="n">
        <f aca="false">+CR45-CT45</f>
        <v>0</v>
      </c>
      <c r="CW45" s="130"/>
      <c r="CX45" s="731" t="str">
        <f aca="false">IFERROR(CR45/CW45-1, "-")</f>
        <v>-</v>
      </c>
      <c r="CY45" s="945"/>
      <c r="CZ45" s="130"/>
      <c r="DA45" s="130"/>
      <c r="DB45" s="130"/>
      <c r="DC45" s="130"/>
      <c r="DD45" s="130"/>
      <c r="DE45" s="731" t="e">
        <f aca="false">CZ45/DD45-1</f>
        <v>#DIV/0!</v>
      </c>
      <c r="DF45" s="731" t="e">
        <f aca="false">DA45/DD45-1</f>
        <v>#DIV/0!</v>
      </c>
      <c r="DG45" s="731" t="e">
        <f aca="false">DB45/DD45-1</f>
        <v>#DIV/0!</v>
      </c>
      <c r="DH45" s="731" t="e">
        <f aca="false">DC45/DD45-1</f>
        <v>#DIV/0!</v>
      </c>
      <c r="DI45" s="951"/>
      <c r="DJ45" s="117" t="n">
        <f aca="false">SUM(D45,J45,P45,V45,AD45,AL45,AU45,BC45,BK45,BT45,CB45,CJ45)-CR45</f>
        <v>0</v>
      </c>
      <c r="DK45" s="117" t="n">
        <f aca="false">SUM(E45,K45,Q45,W45,AE45,AM45,AV45,BD45,BL45,BU45,CC45,CK45)-CS45</f>
        <v>0</v>
      </c>
      <c r="DL45" s="117" t="n">
        <f aca="false">SUM(G45,M45,S45,AA45,AI45,AR45,AZ45,BH45,BQ45,BY45,CG45,CO45)-CW45</f>
        <v>0</v>
      </c>
      <c r="DM45" s="117" t="n">
        <f aca="false">SUM(D45,J45,P45,V45,AD45,AL45,AU45,BC45,,BN45,BV45,CD45,CL45)-CT45</f>
        <v>0</v>
      </c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</row>
    <row r="46" s="1066" customFormat="true" ht="21.75" hidden="true" customHeight="true" outlineLevel="0" collapsed="false">
      <c r="A46" s="1052"/>
      <c r="B46" s="1053" t="s">
        <v>773</v>
      </c>
      <c r="C46" s="679" t="s">
        <v>774</v>
      </c>
      <c r="D46" s="1054"/>
      <c r="E46" s="1055"/>
      <c r="F46" s="1055"/>
      <c r="G46" s="1055"/>
      <c r="H46" s="1056"/>
      <c r="I46" s="1057"/>
      <c r="J46" s="1054"/>
      <c r="K46" s="1055"/>
      <c r="L46" s="1055"/>
      <c r="M46" s="1055"/>
      <c r="N46" s="1056"/>
      <c r="O46" s="1058"/>
      <c r="P46" s="1054"/>
      <c r="Q46" s="1055"/>
      <c r="R46" s="1055"/>
      <c r="S46" s="1055"/>
      <c r="T46" s="1056"/>
      <c r="U46" s="1059"/>
      <c r="V46" s="1054"/>
      <c r="W46" s="1055"/>
      <c r="X46" s="1055"/>
      <c r="Y46" s="1055"/>
      <c r="Z46" s="1058"/>
      <c r="AA46" s="1055"/>
      <c r="AB46" s="1056"/>
      <c r="AC46" s="1059"/>
      <c r="AD46" s="1054"/>
      <c r="AE46" s="1055"/>
      <c r="AF46" s="1055"/>
      <c r="AG46" s="1055"/>
      <c r="AH46" s="1058"/>
      <c r="AI46" s="1055"/>
      <c r="AJ46" s="1056"/>
      <c r="AK46" s="1059"/>
      <c r="AL46" s="1054"/>
      <c r="AM46" s="1055"/>
      <c r="AN46" s="1055"/>
      <c r="AO46" s="1055"/>
      <c r="AP46" s="1055"/>
      <c r="AQ46" s="1055"/>
      <c r="AR46" s="1055"/>
      <c r="AS46" s="1056"/>
      <c r="AT46" s="1060"/>
      <c r="AU46" s="1054"/>
      <c r="AV46" s="1055"/>
      <c r="AW46" s="1055"/>
      <c r="AX46" s="1055"/>
      <c r="AY46" s="1055"/>
      <c r="AZ46" s="1055"/>
      <c r="BA46" s="1056"/>
      <c r="BB46" s="1059"/>
      <c r="BC46" s="1054"/>
      <c r="BD46" s="1055"/>
      <c r="BE46" s="1055"/>
      <c r="BF46" s="1055"/>
      <c r="BG46" s="1055"/>
      <c r="BH46" s="1055"/>
      <c r="BI46" s="1056"/>
      <c r="BJ46" s="1059"/>
      <c r="BK46" s="1054"/>
      <c r="BL46" s="1055"/>
      <c r="BM46" s="1055"/>
      <c r="BN46" s="1055"/>
      <c r="BO46" s="1055"/>
      <c r="BP46" s="1055"/>
      <c r="BQ46" s="1055"/>
      <c r="BR46" s="1056"/>
      <c r="BS46" s="1059"/>
      <c r="BT46" s="1054"/>
      <c r="BU46" s="1061"/>
      <c r="BV46" s="1061"/>
      <c r="BW46" s="1061"/>
      <c r="BX46" s="1061"/>
      <c r="BY46" s="1061"/>
      <c r="BZ46" s="1062"/>
      <c r="CA46" s="1063"/>
      <c r="CB46" s="1054"/>
      <c r="CC46" s="1061"/>
      <c r="CD46" s="1061"/>
      <c r="CE46" s="1061"/>
      <c r="CF46" s="1061"/>
      <c r="CG46" s="1061"/>
      <c r="CH46" s="1062"/>
      <c r="CI46" s="1063"/>
      <c r="CJ46" s="1054"/>
      <c r="CK46" s="1055"/>
      <c r="CL46" s="1055"/>
      <c r="CM46" s="1055"/>
      <c r="CN46" s="1055"/>
      <c r="CO46" s="1055"/>
      <c r="CP46" s="1056"/>
      <c r="CQ46" s="1059"/>
      <c r="CR46" s="1064"/>
      <c r="CS46" s="1055"/>
      <c r="CT46" s="1055"/>
      <c r="CU46" s="1055"/>
      <c r="CV46" s="1055"/>
      <c r="CW46" s="1055"/>
      <c r="CX46" s="1057" t="str">
        <f aca="false">IFERROR(CR46/CW46-1, "-")</f>
        <v>-</v>
      </c>
      <c r="CY46" s="945"/>
      <c r="CZ46" s="1055"/>
      <c r="DA46" s="1055"/>
      <c r="DB46" s="1055"/>
      <c r="DC46" s="1055"/>
      <c r="DD46" s="1055"/>
      <c r="DE46" s="1065"/>
      <c r="DF46" s="1065"/>
      <c r="DG46" s="1065"/>
      <c r="DH46" s="1065"/>
      <c r="DI46" s="951"/>
      <c r="DJ46" s="117" t="n">
        <f aca="false">SUM(D46,J46,P46,V46,AD46,AL46,AU46,BC46,BK46,BT46,CB46,CJ46)-CR46</f>
        <v>0</v>
      </c>
      <c r="DK46" s="117" t="n">
        <f aca="false">SUM(E46,K46,Q46,W46,AE46,AM46,AV46,BD46,BL46,BU46,CC46,CK46)-CS46</f>
        <v>0</v>
      </c>
      <c r="DL46" s="117" t="n">
        <f aca="false">SUM(G46,M46,S46,AA46,AI46,AR46,AZ46,BH46,BQ46,BY46,CG46,CO46)-CW46</f>
        <v>0</v>
      </c>
      <c r="DM46" s="117" t="n">
        <f aca="false">SUM(D46,J46,P46,V46,AD46,AL46,AU46,BC46,,BN46,BV46,CD46,CL46)-CT46</f>
        <v>0</v>
      </c>
      <c r="DN46" s="975"/>
      <c r="DO46" s="975"/>
      <c r="DP46" s="975"/>
      <c r="DQ46" s="1"/>
      <c r="DR46" s="1"/>
      <c r="DS46" s="1"/>
      <c r="DT46" s="1"/>
      <c r="DU46" s="1"/>
      <c r="DV46" s="1"/>
      <c r="DW46" s="1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  <c r="EA46" s="1"/>
      <c r="EB46" s="1"/>
      <c r="EC46" s="1"/>
      <c r="ED46" s="1"/>
      <c r="EE46" s="1"/>
      <c r="EF46" s="976"/>
      <c r="EG46" s="976"/>
      <c r="EH46" s="976"/>
      <c r="EI46" s="976"/>
      <c r="EJ46" s="976"/>
      <c r="EK46" s="976"/>
      <c r="EL46" s="976"/>
      <c r="EM46" s="976"/>
      <c r="EN46" s="976"/>
      <c r="EO46" s="976"/>
      <c r="EP46" s="976"/>
      <c r="EQ46" s="976"/>
      <c r="ER46" s="976"/>
      <c r="ES46" s="976"/>
      <c r="ET46" s="976"/>
      <c r="EU46" s="976"/>
      <c r="EV46" s="976"/>
      <c r="EW46" s="976"/>
      <c r="EX46" s="976"/>
      <c r="EY46" s="976"/>
      <c r="EZ46" s="976"/>
      <c r="FA46" s="976"/>
      <c r="FB46" s="976"/>
      <c r="FC46" s="976"/>
      <c r="FD46" s="976"/>
      <c r="FE46" s="976"/>
      <c r="FF46" s="976"/>
      <c r="FG46" s="976"/>
      <c r="FH46" s="976"/>
      <c r="FI46" s="976"/>
      <c r="FJ46" s="976"/>
      <c r="FK46" s="976"/>
      <c r="FL46" s="976"/>
      <c r="FM46" s="976"/>
      <c r="FN46" s="976"/>
      <c r="FO46" s="976"/>
      <c r="FP46" s="976"/>
      <c r="FQ46" s="976"/>
      <c r="FR46" s="976"/>
    </row>
    <row r="47" s="1" customFormat="true" ht="21.75" hidden="true" customHeight="true" outlineLevel="0" collapsed="false">
      <c r="A47" s="842"/>
      <c r="B47" s="1067" t="s">
        <v>775</v>
      </c>
      <c r="C47" s="679" t="s">
        <v>776</v>
      </c>
      <c r="D47" s="1054"/>
      <c r="E47" s="1068"/>
      <c r="F47" s="1068"/>
      <c r="G47" s="1068"/>
      <c r="H47" s="982"/>
      <c r="I47" s="1068"/>
      <c r="J47" s="1054"/>
      <c r="K47" s="1068"/>
      <c r="L47" s="1068"/>
      <c r="M47" s="1068"/>
      <c r="N47" s="982"/>
      <c r="O47" s="980"/>
      <c r="P47" s="1054"/>
      <c r="Q47" s="1068"/>
      <c r="R47" s="1068"/>
      <c r="S47" s="1068"/>
      <c r="T47" s="982"/>
      <c r="U47" s="984"/>
      <c r="V47" s="1054"/>
      <c r="W47" s="1068"/>
      <c r="X47" s="1068"/>
      <c r="Y47" s="1068"/>
      <c r="Z47" s="980"/>
      <c r="AA47" s="1068"/>
      <c r="AB47" s="982"/>
      <c r="AC47" s="984"/>
      <c r="AD47" s="1054"/>
      <c r="AE47" s="1068"/>
      <c r="AF47" s="1068"/>
      <c r="AG47" s="1068"/>
      <c r="AH47" s="980"/>
      <c r="AI47" s="1068"/>
      <c r="AJ47" s="982"/>
      <c r="AK47" s="1069"/>
      <c r="AL47" s="1054"/>
      <c r="AM47" s="1068"/>
      <c r="AN47" s="1068"/>
      <c r="AO47" s="1068"/>
      <c r="AP47" s="1068"/>
      <c r="AQ47" s="1068"/>
      <c r="AR47" s="1068"/>
      <c r="AS47" s="982"/>
      <c r="AT47" s="985"/>
      <c r="AU47" s="1054"/>
      <c r="AV47" s="1068"/>
      <c r="AW47" s="1068"/>
      <c r="AX47" s="1068"/>
      <c r="AY47" s="1068"/>
      <c r="AZ47" s="1068"/>
      <c r="BA47" s="982"/>
      <c r="BB47" s="984"/>
      <c r="BC47" s="1054"/>
      <c r="BD47" s="1068"/>
      <c r="BE47" s="1068"/>
      <c r="BF47" s="1068"/>
      <c r="BG47" s="1068"/>
      <c r="BH47" s="1068"/>
      <c r="BI47" s="982"/>
      <c r="BJ47" s="984"/>
      <c r="BK47" s="1054"/>
      <c r="BL47" s="1068"/>
      <c r="BM47" s="1068"/>
      <c r="BN47" s="1068"/>
      <c r="BO47" s="1068"/>
      <c r="BP47" s="1068"/>
      <c r="BQ47" s="1068"/>
      <c r="BR47" s="982"/>
      <c r="BS47" s="1069"/>
      <c r="BT47" s="1054"/>
      <c r="BU47" s="280"/>
      <c r="BV47" s="280"/>
      <c r="BW47" s="280"/>
      <c r="BX47" s="280"/>
      <c r="BY47" s="280"/>
      <c r="BZ47" s="805"/>
      <c r="CA47" s="1070"/>
      <c r="CB47" s="1054"/>
      <c r="CC47" s="280"/>
      <c r="CD47" s="280"/>
      <c r="CE47" s="280"/>
      <c r="CF47" s="280"/>
      <c r="CG47" s="280"/>
      <c r="CH47" s="805"/>
      <c r="CI47" s="1070"/>
      <c r="CJ47" s="1054"/>
      <c r="CK47" s="1068"/>
      <c r="CL47" s="1068"/>
      <c r="CM47" s="1068"/>
      <c r="CN47" s="1068"/>
      <c r="CO47" s="1068"/>
      <c r="CP47" s="982"/>
      <c r="CQ47" s="1069"/>
      <c r="CR47" s="1064"/>
      <c r="CS47" s="1068"/>
      <c r="CT47" s="1068"/>
      <c r="CU47" s="1068"/>
      <c r="CV47" s="1068"/>
      <c r="CW47" s="1068"/>
      <c r="CX47" s="1068" t="str">
        <f aca="false">IFERROR(CR47/CW47-1, "-")</f>
        <v>-</v>
      </c>
      <c r="CY47" s="945"/>
      <c r="CZ47" s="1068"/>
      <c r="DA47" s="1068"/>
      <c r="DB47" s="1068"/>
      <c r="DC47" s="1068"/>
      <c r="DD47" s="1068"/>
      <c r="DE47" s="1068"/>
      <c r="DF47" s="1068"/>
      <c r="DG47" s="1068"/>
      <c r="DH47" s="1068"/>
      <c r="DI47" s="951"/>
      <c r="DJ47" s="117" t="n">
        <f aca="false">SUM(D47,J47,P47,V47,AD47,AL47,AU47,BC47,BK47,BT47,CB47,CJ47)-CR47</f>
        <v>0</v>
      </c>
      <c r="DK47" s="117" t="n">
        <f aca="false">SUM(E47,K47,Q47,W47,AE47,AM47,AV47,BD47,BL47,BU47,CC47,CK47)-CS47</f>
        <v>0</v>
      </c>
      <c r="DL47" s="117" t="n">
        <f aca="false">SUM(G47,M47,S47,AA47,AI47,AR47,AZ47,BH47,BQ47,BY47,CG47,CO47)-CW47</f>
        <v>0</v>
      </c>
      <c r="DM47" s="117" t="n">
        <f aca="false">SUM(D47,J47,P47,V47,AD47,AL47,AU47,BC47,,BN47,BV47,CD47,CL47)-CT47</f>
        <v>0</v>
      </c>
      <c r="DN47" s="975"/>
      <c r="DO47" s="975"/>
      <c r="DP47" s="975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F47" s="976"/>
      <c r="EG47" s="976"/>
      <c r="EH47" s="976"/>
      <c r="EI47" s="976"/>
      <c r="EJ47" s="976"/>
      <c r="EK47" s="976"/>
      <c r="EL47" s="976"/>
      <c r="EM47" s="976"/>
      <c r="EN47" s="976"/>
      <c r="EO47" s="976"/>
      <c r="EP47" s="976"/>
      <c r="EQ47" s="976"/>
      <c r="ER47" s="976"/>
      <c r="ES47" s="976"/>
      <c r="ET47" s="976"/>
      <c r="EU47" s="976"/>
      <c r="EV47" s="976"/>
      <c r="EW47" s="976"/>
      <c r="EX47" s="976"/>
      <c r="EY47" s="976"/>
      <c r="EZ47" s="976"/>
      <c r="FA47" s="976"/>
      <c r="FB47" s="976"/>
      <c r="FC47" s="976"/>
      <c r="FD47" s="976"/>
      <c r="FE47" s="976"/>
      <c r="FF47" s="976"/>
      <c r="FG47" s="976"/>
      <c r="FH47" s="976"/>
      <c r="FI47" s="976"/>
      <c r="FJ47" s="976"/>
      <c r="FK47" s="976"/>
      <c r="FL47" s="976"/>
      <c r="FM47" s="976"/>
      <c r="FN47" s="976"/>
      <c r="FO47" s="976"/>
      <c r="FP47" s="976"/>
      <c r="FQ47" s="976"/>
      <c r="FR47" s="976"/>
    </row>
    <row r="48" s="1066" customFormat="true" ht="21.75" hidden="true" customHeight="true" outlineLevel="0" collapsed="false">
      <c r="A48" s="1052"/>
      <c r="B48" s="1067" t="s">
        <v>777</v>
      </c>
      <c r="C48" s="679" t="s">
        <v>778</v>
      </c>
      <c r="D48" s="1054"/>
      <c r="E48" s="1071"/>
      <c r="F48" s="1071"/>
      <c r="G48" s="1071"/>
      <c r="H48" s="1056"/>
      <c r="I48" s="1071"/>
      <c r="J48" s="1054"/>
      <c r="K48" s="1071"/>
      <c r="L48" s="1071"/>
      <c r="M48" s="1071"/>
      <c r="N48" s="1056"/>
      <c r="O48" s="1058"/>
      <c r="P48" s="1054"/>
      <c r="Q48" s="1071"/>
      <c r="R48" s="1071"/>
      <c r="S48" s="1071"/>
      <c r="T48" s="1056"/>
      <c r="U48" s="1059"/>
      <c r="V48" s="1054"/>
      <c r="W48" s="1071"/>
      <c r="X48" s="1071"/>
      <c r="Y48" s="1071"/>
      <c r="Z48" s="1058"/>
      <c r="AA48" s="1071"/>
      <c r="AB48" s="1056"/>
      <c r="AC48" s="1059"/>
      <c r="AD48" s="1054"/>
      <c r="AE48" s="1071"/>
      <c r="AF48" s="1071"/>
      <c r="AG48" s="1071"/>
      <c r="AH48" s="1058"/>
      <c r="AI48" s="1071"/>
      <c r="AJ48" s="1056"/>
      <c r="AK48" s="1072"/>
      <c r="AL48" s="1054"/>
      <c r="AM48" s="1071"/>
      <c r="AN48" s="1071"/>
      <c r="AO48" s="1071"/>
      <c r="AP48" s="1071"/>
      <c r="AQ48" s="1071"/>
      <c r="AR48" s="1071"/>
      <c r="AS48" s="1056"/>
      <c r="AT48" s="1060"/>
      <c r="AU48" s="1054"/>
      <c r="AV48" s="1071"/>
      <c r="AW48" s="1071"/>
      <c r="AX48" s="1071"/>
      <c r="AY48" s="1071"/>
      <c r="AZ48" s="1071"/>
      <c r="BA48" s="1056"/>
      <c r="BB48" s="1059"/>
      <c r="BC48" s="1054"/>
      <c r="BD48" s="1071"/>
      <c r="BE48" s="1071"/>
      <c r="BF48" s="1071"/>
      <c r="BG48" s="1071"/>
      <c r="BH48" s="1071"/>
      <c r="BI48" s="1056"/>
      <c r="BJ48" s="1059"/>
      <c r="BK48" s="1054"/>
      <c r="BL48" s="1071"/>
      <c r="BM48" s="1071"/>
      <c r="BN48" s="1071"/>
      <c r="BO48" s="1071"/>
      <c r="BP48" s="1071"/>
      <c r="BQ48" s="1071"/>
      <c r="BR48" s="1056"/>
      <c r="BS48" s="1072"/>
      <c r="BT48" s="1054"/>
      <c r="BU48" s="1073"/>
      <c r="BV48" s="1073"/>
      <c r="BW48" s="1073"/>
      <c r="BX48" s="1073"/>
      <c r="BY48" s="1073"/>
      <c r="BZ48" s="1062"/>
      <c r="CA48" s="1074"/>
      <c r="CB48" s="1054"/>
      <c r="CC48" s="1073"/>
      <c r="CD48" s="1073"/>
      <c r="CE48" s="1073"/>
      <c r="CF48" s="1073"/>
      <c r="CG48" s="1073"/>
      <c r="CH48" s="1062"/>
      <c r="CI48" s="1074"/>
      <c r="CJ48" s="1054"/>
      <c r="CK48" s="1071"/>
      <c r="CL48" s="1071"/>
      <c r="CM48" s="1071"/>
      <c r="CN48" s="1071"/>
      <c r="CO48" s="1071"/>
      <c r="CP48" s="1056"/>
      <c r="CQ48" s="1072"/>
      <c r="CR48" s="1064"/>
      <c r="CS48" s="1071"/>
      <c r="CT48" s="1071"/>
      <c r="CU48" s="1071"/>
      <c r="CV48" s="1071"/>
      <c r="CW48" s="1071"/>
      <c r="CX48" s="1071" t="str">
        <f aca="false">IFERROR(CR48/CW48-1, "-")</f>
        <v>-</v>
      </c>
      <c r="CY48" s="945"/>
      <c r="CZ48" s="1071"/>
      <c r="DA48" s="1071"/>
      <c r="DB48" s="1071"/>
      <c r="DC48" s="1071"/>
      <c r="DD48" s="1071"/>
      <c r="DE48" s="1071"/>
      <c r="DF48" s="1071"/>
      <c r="DG48" s="1071"/>
      <c r="DH48" s="1071"/>
      <c r="DI48" s="951"/>
      <c r="DJ48" s="117" t="n">
        <f aca="false">SUM(D48,J48,P48,V48,AD48,AL48,AU48,BC48,BK48,BT48,CB48,CJ48)-CR48</f>
        <v>0</v>
      </c>
      <c r="DK48" s="117" t="n">
        <f aca="false">SUM(E48,K48,Q48,W48,AE48,AM48,AV48,BD48,BL48,BU48,CC48,CK48)-CS48</f>
        <v>0</v>
      </c>
      <c r="DL48" s="117" t="n">
        <f aca="false">SUM(G48,M48,S48,AA48,AI48,AR48,AZ48,BH48,BQ48,BY48,CG48,CO48)-CW48</f>
        <v>0</v>
      </c>
      <c r="DM48" s="117" t="n">
        <f aca="false">SUM(D48,J48,P48,V48,AD48,AL48,AU48,BC48,,BN48,BV48,CD48,CL48)-CT48</f>
        <v>0</v>
      </c>
      <c r="DN48" s="975"/>
      <c r="DO48" s="975"/>
      <c r="DP48" s="975"/>
      <c r="DQ48" s="1"/>
      <c r="DR48" s="1"/>
      <c r="DS48" s="1"/>
      <c r="DT48" s="1"/>
      <c r="DU48" s="1"/>
      <c r="DV48" s="1"/>
      <c r="DW48" s="1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  <c r="EA48" s="1"/>
      <c r="EB48" s="1"/>
      <c r="EC48" s="1"/>
      <c r="ED48" s="1"/>
      <c r="EE48" s="1"/>
      <c r="EF48" s="976"/>
      <c r="EG48" s="976"/>
      <c r="EH48" s="976"/>
      <c r="EI48" s="976"/>
      <c r="EJ48" s="976"/>
      <c r="EK48" s="976"/>
      <c r="EL48" s="976"/>
      <c r="EM48" s="976"/>
      <c r="EN48" s="976"/>
      <c r="EO48" s="976"/>
      <c r="EP48" s="976"/>
      <c r="EQ48" s="976"/>
      <c r="ER48" s="976"/>
      <c r="ES48" s="976"/>
      <c r="ET48" s="976"/>
      <c r="EU48" s="976"/>
      <c r="EV48" s="976"/>
      <c r="EW48" s="976"/>
      <c r="EX48" s="976"/>
      <c r="EY48" s="976"/>
      <c r="EZ48" s="976"/>
      <c r="FA48" s="976"/>
      <c r="FB48" s="976"/>
      <c r="FC48" s="976"/>
      <c r="FD48" s="976"/>
      <c r="FE48" s="976"/>
      <c r="FF48" s="976"/>
      <c r="FG48" s="976"/>
      <c r="FH48" s="976"/>
      <c r="FI48" s="976"/>
      <c r="FJ48" s="976"/>
      <c r="FK48" s="976"/>
      <c r="FL48" s="976"/>
      <c r="FM48" s="976"/>
      <c r="FN48" s="976"/>
      <c r="FO48" s="976"/>
      <c r="FP48" s="976"/>
      <c r="FQ48" s="976"/>
      <c r="FR48" s="976"/>
    </row>
    <row r="49" s="1066" customFormat="true" ht="15" hidden="false" customHeight="true" outlineLevel="0" collapsed="false">
      <c r="A49" s="1052"/>
      <c r="B49" s="1067" t="s">
        <v>779</v>
      </c>
      <c r="C49" s="679" t="s">
        <v>780</v>
      </c>
      <c r="D49" s="1061"/>
      <c r="E49" s="1055"/>
      <c r="F49" s="1055"/>
      <c r="G49" s="1055"/>
      <c r="H49" s="1056"/>
      <c r="I49" s="1057"/>
      <c r="J49" s="1061"/>
      <c r="K49" s="1055"/>
      <c r="L49" s="1055"/>
      <c r="M49" s="1055"/>
      <c r="N49" s="1056"/>
      <c r="O49" s="1058"/>
      <c r="P49" s="1061"/>
      <c r="Q49" s="1055"/>
      <c r="R49" s="1055"/>
      <c r="S49" s="1055"/>
      <c r="T49" s="1056"/>
      <c r="U49" s="1059"/>
      <c r="V49" s="1061"/>
      <c r="W49" s="1055"/>
      <c r="X49" s="1055"/>
      <c r="Y49" s="1055"/>
      <c r="Z49" s="1058"/>
      <c r="AA49" s="1055"/>
      <c r="AB49" s="1056"/>
      <c r="AC49" s="1059"/>
      <c r="AD49" s="1061"/>
      <c r="AE49" s="1055"/>
      <c r="AF49" s="1055"/>
      <c r="AG49" s="1055"/>
      <c r="AH49" s="1058"/>
      <c r="AI49" s="1055"/>
      <c r="AJ49" s="1056"/>
      <c r="AK49" s="1059"/>
      <c r="AL49" s="1054"/>
      <c r="AM49" s="1055"/>
      <c r="AN49" s="1055"/>
      <c r="AO49" s="1055"/>
      <c r="AP49" s="1055"/>
      <c r="AQ49" s="1055"/>
      <c r="AR49" s="1055"/>
      <c r="AS49" s="1056"/>
      <c r="AT49" s="1060"/>
      <c r="AU49" s="1054"/>
      <c r="AV49" s="1055"/>
      <c r="AW49" s="1055"/>
      <c r="AX49" s="1055"/>
      <c r="AY49" s="1055"/>
      <c r="AZ49" s="1055"/>
      <c r="BA49" s="1056"/>
      <c r="BB49" s="1059"/>
      <c r="BC49" s="1054"/>
      <c r="BD49" s="1055"/>
      <c r="BE49" s="1055"/>
      <c r="BF49" s="1055"/>
      <c r="BG49" s="1055"/>
      <c r="BH49" s="1055"/>
      <c r="BI49" s="1056"/>
      <c r="BJ49" s="1059"/>
      <c r="BK49" s="1054"/>
      <c r="BL49" s="1055"/>
      <c r="BM49" s="1055"/>
      <c r="BN49" s="1055"/>
      <c r="BO49" s="1055"/>
      <c r="BP49" s="1055"/>
      <c r="BQ49" s="1055"/>
      <c r="BR49" s="1056"/>
      <c r="BS49" s="1059"/>
      <c r="BT49" s="1054"/>
      <c r="BU49" s="1061"/>
      <c r="BV49" s="1061"/>
      <c r="BW49" s="1061"/>
      <c r="BX49" s="1061"/>
      <c r="BY49" s="1061"/>
      <c r="BZ49" s="1062"/>
      <c r="CA49" s="1063"/>
      <c r="CB49" s="1054"/>
      <c r="CC49" s="1061"/>
      <c r="CD49" s="1061"/>
      <c r="CE49" s="1061"/>
      <c r="CF49" s="1061"/>
      <c r="CG49" s="1061"/>
      <c r="CH49" s="1062"/>
      <c r="CI49" s="1063"/>
      <c r="CJ49" s="1054"/>
      <c r="CK49" s="1055"/>
      <c r="CL49" s="1055"/>
      <c r="CM49" s="1055"/>
      <c r="CN49" s="1055"/>
      <c r="CO49" s="1055"/>
      <c r="CP49" s="1056"/>
      <c r="CQ49" s="1059"/>
      <c r="CR49" s="1064"/>
      <c r="CS49" s="1055"/>
      <c r="CT49" s="1055"/>
      <c r="CU49" s="1055" t="n">
        <f aca="false">+CR49-CS49</f>
        <v>0</v>
      </c>
      <c r="CV49" s="1055" t="n">
        <f aca="false">+CR49-CT49</f>
        <v>0</v>
      </c>
      <c r="CW49" s="1055"/>
      <c r="CX49" s="1057" t="str">
        <f aca="false">IFERROR(CR49/CW49-1, "-")</f>
        <v>-</v>
      </c>
      <c r="CY49" s="945"/>
      <c r="CZ49" s="1055"/>
      <c r="DA49" s="1055"/>
      <c r="DB49" s="1055"/>
      <c r="DC49" s="1055"/>
      <c r="DD49" s="1055"/>
      <c r="DE49" s="1065" t="e">
        <f aca="false">CZ49/DD49-1</f>
        <v>#DIV/0!</v>
      </c>
      <c r="DF49" s="1065" t="e">
        <f aca="false">DA49/DD49-1</f>
        <v>#DIV/0!</v>
      </c>
      <c r="DG49" s="1065" t="e">
        <f aca="false">DB49/DD49-1</f>
        <v>#DIV/0!</v>
      </c>
      <c r="DH49" s="1065" t="e">
        <f aca="false">DC49/DD49-1</f>
        <v>#DIV/0!</v>
      </c>
      <c r="DI49" s="951"/>
      <c r="DJ49" s="117" t="n">
        <f aca="false">SUM(D49,J49,P49,V49,AD49,AL49,AU49,BC49,BK49,BT49,CB49,CJ49)-CR49</f>
        <v>0</v>
      </c>
      <c r="DK49" s="117" t="n">
        <f aca="false">SUM(E49,K49,Q49,W49,AE49,AM49,AV49,BD49,BL49,BU49,CC49,CK49)-CS49</f>
        <v>0</v>
      </c>
      <c r="DL49" s="117" t="n">
        <f aca="false">SUM(G49,M49,S49,AA49,AI49,AR49,AZ49,BH49,BQ49,BY49,CG49,CO49)-CW49</f>
        <v>0</v>
      </c>
      <c r="DM49" s="117" t="n">
        <f aca="false">SUM(D49,J49,P49,V49,AD49,AL49,AU49,BC49,,BN49,BV49,CD49,CL49)-CT49</f>
        <v>0</v>
      </c>
      <c r="DN49" s="975"/>
      <c r="DO49" s="975"/>
      <c r="DP49" s="975"/>
      <c r="DQ49" s="1"/>
      <c r="DR49" s="1"/>
      <c r="DS49" s="1"/>
      <c r="DT49" s="1"/>
      <c r="DU49" s="1"/>
      <c r="DV49" s="1"/>
      <c r="DW49" s="1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  <c r="EA49" s="1"/>
      <c r="EB49" s="1"/>
      <c r="EC49" s="1"/>
      <c r="ED49" s="1"/>
      <c r="EE49" s="1"/>
      <c r="EF49" s="976"/>
      <c r="EG49" s="976"/>
      <c r="EH49" s="976"/>
      <c r="EI49" s="976"/>
      <c r="EJ49" s="976"/>
      <c r="EK49" s="976"/>
      <c r="EL49" s="976"/>
      <c r="EM49" s="976"/>
      <c r="EN49" s="976"/>
      <c r="EO49" s="976"/>
      <c r="EP49" s="976"/>
      <c r="EQ49" s="976"/>
      <c r="ER49" s="976"/>
      <c r="ES49" s="976"/>
      <c r="ET49" s="976"/>
      <c r="EU49" s="976"/>
      <c r="EV49" s="976"/>
      <c r="EW49" s="976"/>
      <c r="EX49" s="976"/>
      <c r="EY49" s="976"/>
      <c r="EZ49" s="976"/>
      <c r="FA49" s="976"/>
      <c r="FB49" s="976"/>
      <c r="FC49" s="976"/>
      <c r="FD49" s="976"/>
      <c r="FE49" s="976"/>
      <c r="FF49" s="976"/>
      <c r="FG49" s="976"/>
      <c r="FH49" s="976"/>
      <c r="FI49" s="976"/>
      <c r="FJ49" s="976"/>
      <c r="FK49" s="976"/>
      <c r="FL49" s="976"/>
      <c r="FM49" s="976"/>
      <c r="FN49" s="976"/>
      <c r="FO49" s="976"/>
      <c r="FP49" s="976"/>
      <c r="FQ49" s="976"/>
      <c r="FR49" s="976"/>
    </row>
    <row r="50" s="1066" customFormat="true" ht="12.75" hidden="true" customHeight="true" outlineLevel="0" collapsed="false">
      <c r="A50" s="1052"/>
      <c r="B50" s="1075" t="s">
        <v>781</v>
      </c>
      <c r="C50" s="679" t="s">
        <v>782</v>
      </c>
      <c r="D50" s="1054"/>
      <c r="E50" s="1071"/>
      <c r="F50" s="1071"/>
      <c r="G50" s="1071"/>
      <c r="H50" s="1056"/>
      <c r="I50" s="1071"/>
      <c r="J50" s="1054"/>
      <c r="K50" s="1071"/>
      <c r="L50" s="1071"/>
      <c r="M50" s="1071"/>
      <c r="N50" s="1056"/>
      <c r="O50" s="1058"/>
      <c r="P50" s="1054"/>
      <c r="Q50" s="1071"/>
      <c r="R50" s="1071"/>
      <c r="S50" s="1071"/>
      <c r="T50" s="1056"/>
      <c r="U50" s="1059"/>
      <c r="V50" s="1054"/>
      <c r="W50" s="1071"/>
      <c r="X50" s="1071"/>
      <c r="Y50" s="1071"/>
      <c r="Z50" s="1058"/>
      <c r="AA50" s="1071"/>
      <c r="AB50" s="1056"/>
      <c r="AC50" s="1059"/>
      <c r="AD50" s="1054"/>
      <c r="AE50" s="1071"/>
      <c r="AF50" s="1071"/>
      <c r="AG50" s="1071"/>
      <c r="AH50" s="1058"/>
      <c r="AI50" s="1071"/>
      <c r="AJ50" s="1056"/>
      <c r="AK50" s="1072"/>
      <c r="AL50" s="1054"/>
      <c r="AM50" s="1071"/>
      <c r="AN50" s="1071"/>
      <c r="AO50" s="1071"/>
      <c r="AP50" s="1071"/>
      <c r="AQ50" s="1071"/>
      <c r="AR50" s="1071"/>
      <c r="AS50" s="1056"/>
      <c r="AT50" s="1060"/>
      <c r="AU50" s="1054"/>
      <c r="AV50" s="1071"/>
      <c r="AW50" s="1071"/>
      <c r="AX50" s="1071"/>
      <c r="AY50" s="1071"/>
      <c r="AZ50" s="1071"/>
      <c r="BA50" s="1056"/>
      <c r="BB50" s="1059"/>
      <c r="BC50" s="1054"/>
      <c r="BD50" s="1071"/>
      <c r="BE50" s="1071"/>
      <c r="BF50" s="1071"/>
      <c r="BG50" s="1071"/>
      <c r="BH50" s="1071"/>
      <c r="BI50" s="1056"/>
      <c r="BJ50" s="1059"/>
      <c r="BK50" s="1054"/>
      <c r="BL50" s="1071"/>
      <c r="BM50" s="1071"/>
      <c r="BN50" s="1071"/>
      <c r="BO50" s="1071"/>
      <c r="BP50" s="1071"/>
      <c r="BQ50" s="1071"/>
      <c r="BR50" s="1056"/>
      <c r="BS50" s="1072"/>
      <c r="BT50" s="1054"/>
      <c r="BU50" s="1073"/>
      <c r="BV50" s="1073"/>
      <c r="BW50" s="1073"/>
      <c r="BX50" s="1073"/>
      <c r="BY50" s="1073"/>
      <c r="BZ50" s="1062"/>
      <c r="CA50" s="1074"/>
      <c r="CB50" s="1054"/>
      <c r="CC50" s="1073"/>
      <c r="CD50" s="1073"/>
      <c r="CE50" s="1073"/>
      <c r="CF50" s="1073"/>
      <c r="CG50" s="1073"/>
      <c r="CH50" s="1062"/>
      <c r="CI50" s="1074"/>
      <c r="CJ50" s="1054"/>
      <c r="CK50" s="1071"/>
      <c r="CL50" s="1071"/>
      <c r="CM50" s="1071"/>
      <c r="CN50" s="1071"/>
      <c r="CO50" s="1071"/>
      <c r="CP50" s="1056"/>
      <c r="CQ50" s="1072"/>
      <c r="CR50" s="1064"/>
      <c r="CS50" s="1055"/>
      <c r="CT50" s="1071"/>
      <c r="CU50" s="1071"/>
      <c r="CV50" s="1071"/>
      <c r="CW50" s="1071"/>
      <c r="CX50" s="1071" t="str">
        <f aca="false">IFERROR(CR50/CW50-1, "-")</f>
        <v>-</v>
      </c>
      <c r="CY50" s="945"/>
      <c r="CZ50" s="1071"/>
      <c r="DA50" s="1071"/>
      <c r="DB50" s="1071"/>
      <c r="DC50" s="1071"/>
      <c r="DD50" s="1071"/>
      <c r="DE50" s="1071"/>
      <c r="DF50" s="1071"/>
      <c r="DG50" s="1071"/>
      <c r="DH50" s="1071"/>
      <c r="DI50" s="951"/>
      <c r="DJ50" s="117" t="n">
        <f aca="false">SUM(D50,J50,P50,V50,AD50,AL50,AU50,BC50,BK50,BT50,CB50,CJ50)-CR50</f>
        <v>0</v>
      </c>
      <c r="DK50" s="117" t="n">
        <f aca="false">SUM(E50,K50,Q50,W50,AE50,AM50,AV50,BD50,BL50,BU50,CC50,CK50)-CS50</f>
        <v>0</v>
      </c>
      <c r="DL50" s="117" t="n">
        <f aca="false">SUM(G50,M50,S50,AA50,AI50,AR50,AZ50,BH50,BQ50,BY50,CG50,CO50)-CW50</f>
        <v>0</v>
      </c>
      <c r="DM50" s="117" t="n">
        <f aca="false">SUM(D50,J50,P50,V50,AD50,AL50,AU50,BC50,,BN50,BV50,CD50,CL50)-CT50</f>
        <v>0</v>
      </c>
      <c r="DN50" s="975"/>
      <c r="DO50" s="975"/>
      <c r="DP50" s="975"/>
      <c r="DQ50" s="1"/>
      <c r="DR50" s="1"/>
      <c r="DS50" s="1"/>
      <c r="DT50" s="1"/>
      <c r="DU50" s="1"/>
      <c r="DV50" s="1"/>
      <c r="DW50" s="1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  <c r="EA50" s="1"/>
      <c r="EB50" s="1"/>
      <c r="EC50" s="1"/>
      <c r="ED50" s="1"/>
      <c r="EE50" s="1"/>
      <c r="EF50" s="976"/>
      <c r="EG50" s="976"/>
      <c r="EH50" s="976"/>
      <c r="EI50" s="976"/>
      <c r="EJ50" s="976"/>
      <c r="EK50" s="976"/>
      <c r="EL50" s="976"/>
      <c r="EM50" s="976"/>
      <c r="EN50" s="976"/>
      <c r="EO50" s="976"/>
      <c r="EP50" s="976"/>
      <c r="EQ50" s="976"/>
      <c r="ER50" s="976"/>
      <c r="ES50" s="976"/>
      <c r="ET50" s="976"/>
      <c r="EU50" s="976"/>
      <c r="EV50" s="976"/>
      <c r="EW50" s="976"/>
      <c r="EX50" s="976"/>
      <c r="EY50" s="976"/>
      <c r="EZ50" s="976"/>
      <c r="FA50" s="976"/>
      <c r="FB50" s="976"/>
      <c r="FC50" s="976"/>
      <c r="FD50" s="976"/>
      <c r="FE50" s="976"/>
      <c r="FF50" s="976"/>
      <c r="FG50" s="976"/>
      <c r="FH50" s="976"/>
      <c r="FI50" s="976"/>
      <c r="FJ50" s="976"/>
      <c r="FK50" s="976"/>
      <c r="FL50" s="976"/>
      <c r="FM50" s="976"/>
      <c r="FN50" s="976"/>
      <c r="FO50" s="976"/>
      <c r="FP50" s="976"/>
      <c r="FQ50" s="976"/>
      <c r="FR50" s="976"/>
    </row>
    <row r="51" s="1080" customFormat="true" ht="12.75" hidden="false" customHeight="false" outlineLevel="0" collapsed="false">
      <c r="A51" s="1076"/>
      <c r="B51" s="1077" t="s">
        <v>783</v>
      </c>
      <c r="C51" s="679" t="s">
        <v>784</v>
      </c>
      <c r="D51" s="1054"/>
      <c r="E51" s="1061"/>
      <c r="F51" s="1061"/>
      <c r="G51" s="1061"/>
      <c r="H51" s="1056"/>
      <c r="I51" s="1057"/>
      <c r="J51" s="1054"/>
      <c r="K51" s="1061"/>
      <c r="L51" s="1061"/>
      <c r="M51" s="1061"/>
      <c r="N51" s="1056"/>
      <c r="O51" s="1058"/>
      <c r="P51" s="1054"/>
      <c r="Q51" s="1061"/>
      <c r="R51" s="1061"/>
      <c r="S51" s="1061"/>
      <c r="T51" s="1056"/>
      <c r="U51" s="1059"/>
      <c r="V51" s="1054"/>
      <c r="W51" s="1061"/>
      <c r="X51" s="1061"/>
      <c r="Y51" s="1061"/>
      <c r="Z51" s="1058"/>
      <c r="AA51" s="1061"/>
      <c r="AB51" s="1056"/>
      <c r="AC51" s="1059"/>
      <c r="AD51" s="1054"/>
      <c r="AE51" s="1061"/>
      <c r="AF51" s="1061"/>
      <c r="AG51" s="1061"/>
      <c r="AH51" s="1058"/>
      <c r="AI51" s="1061"/>
      <c r="AJ51" s="1056"/>
      <c r="AK51" s="1059"/>
      <c r="AL51" s="1054"/>
      <c r="AM51" s="1061"/>
      <c r="AN51" s="1061"/>
      <c r="AO51" s="1061"/>
      <c r="AP51" s="1061"/>
      <c r="AQ51" s="1061"/>
      <c r="AR51" s="1061"/>
      <c r="AS51" s="1056"/>
      <c r="AT51" s="1060"/>
      <c r="AU51" s="1054"/>
      <c r="AV51" s="1061"/>
      <c r="AW51" s="1061"/>
      <c r="AX51" s="1061"/>
      <c r="AY51" s="1061"/>
      <c r="AZ51" s="1061"/>
      <c r="BA51" s="1056"/>
      <c r="BB51" s="1059"/>
      <c r="BC51" s="1054"/>
      <c r="BD51" s="1061"/>
      <c r="BE51" s="1061"/>
      <c r="BF51" s="1061"/>
      <c r="BG51" s="1061"/>
      <c r="BH51" s="1061"/>
      <c r="BI51" s="1056"/>
      <c r="BJ51" s="1059"/>
      <c r="BK51" s="1054"/>
      <c r="BL51" s="1061"/>
      <c r="BM51" s="1061"/>
      <c r="BN51" s="1061"/>
      <c r="BO51" s="1061"/>
      <c r="BP51" s="1061"/>
      <c r="BQ51" s="1061"/>
      <c r="BR51" s="1056"/>
      <c r="BS51" s="1059"/>
      <c r="BT51" s="1054"/>
      <c r="BU51" s="1061"/>
      <c r="BV51" s="1061"/>
      <c r="BW51" s="1061"/>
      <c r="BX51" s="1061"/>
      <c r="BY51" s="1061"/>
      <c r="BZ51" s="1062"/>
      <c r="CA51" s="1063"/>
      <c r="CB51" s="1054"/>
      <c r="CC51" s="1061"/>
      <c r="CD51" s="1061"/>
      <c r="CE51" s="1061"/>
      <c r="CF51" s="1061"/>
      <c r="CG51" s="1061"/>
      <c r="CH51" s="1062"/>
      <c r="CI51" s="1063"/>
      <c r="CJ51" s="1054"/>
      <c r="CK51" s="1061"/>
      <c r="CL51" s="1061"/>
      <c r="CM51" s="1061"/>
      <c r="CN51" s="1061"/>
      <c r="CO51" s="1061"/>
      <c r="CP51" s="1056"/>
      <c r="CQ51" s="1059"/>
      <c r="CR51" s="1064"/>
      <c r="CS51" s="1055"/>
      <c r="CT51" s="1061"/>
      <c r="CU51" s="1061" t="n">
        <f aca="false">+CR51-CS51</f>
        <v>0</v>
      </c>
      <c r="CV51" s="1061" t="n">
        <f aca="false">+CR51-CT51</f>
        <v>0</v>
      </c>
      <c r="CW51" s="1061"/>
      <c r="CX51" s="1078" t="str">
        <f aca="false">IFERROR(CR51/CW51-1, "-")</f>
        <v>-</v>
      </c>
      <c r="CY51" s="945"/>
      <c r="CZ51" s="1061"/>
      <c r="DA51" s="1061"/>
      <c r="DB51" s="1061"/>
      <c r="DC51" s="1061"/>
      <c r="DD51" s="1061"/>
      <c r="DE51" s="1079" t="e">
        <f aca="false">CZ51/DD51-1</f>
        <v>#DIV/0!</v>
      </c>
      <c r="DF51" s="1079" t="e">
        <f aca="false">DA51/DD51-1</f>
        <v>#DIV/0!</v>
      </c>
      <c r="DG51" s="1079" t="e">
        <f aca="false">DB51/DD51-1</f>
        <v>#DIV/0!</v>
      </c>
      <c r="DH51" s="1079" t="e">
        <f aca="false">DC51/DD51-1</f>
        <v>#DIV/0!</v>
      </c>
      <c r="DI51" s="951"/>
      <c r="DJ51" s="117" t="n">
        <f aca="false">SUM(D51,J51,P51,V51,AD51,AL51,AU51,BC51,BK51,BT51,CB51,CJ51)-CR51</f>
        <v>0</v>
      </c>
      <c r="DK51" s="117" t="n">
        <f aca="false">SUM(E51,K51,Q51,W51,AE51,AM51,AV51,BD51,BL51,BU51,CC51,CK51)-CS51</f>
        <v>0</v>
      </c>
      <c r="DL51" s="117" t="n">
        <f aca="false">SUM(G51,M51,S51,AA51,AI51,AR51,AZ51,BH51,BQ51,BY51,CG51,CO51)-CW51</f>
        <v>0</v>
      </c>
      <c r="DM51" s="117" t="n">
        <f aca="false">SUM(D51,J51,P51,V51,AD51,AL51,AU51,BC51,,BN51,BV51,CD51,CL51)-CT51</f>
        <v>0</v>
      </c>
      <c r="DN51" s="14"/>
      <c r="DO51" s="14"/>
      <c r="DP51" s="14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</row>
    <row r="52" customFormat="false" ht="15" hidden="false" customHeight="true" outlineLevel="0" collapsed="false">
      <c r="A52" s="729"/>
      <c r="B52" s="1050" t="s">
        <v>785</v>
      </c>
      <c r="C52" s="679" t="s">
        <v>786</v>
      </c>
      <c r="D52" s="130"/>
      <c r="E52" s="130"/>
      <c r="F52" s="130"/>
      <c r="G52" s="130"/>
      <c r="H52" s="735"/>
      <c r="I52" s="731"/>
      <c r="J52" s="130"/>
      <c r="K52" s="130"/>
      <c r="L52" s="130"/>
      <c r="M52" s="130"/>
      <c r="N52" s="735"/>
      <c r="O52" s="734"/>
      <c r="P52" s="130"/>
      <c r="Q52" s="130"/>
      <c r="R52" s="130"/>
      <c r="S52" s="130"/>
      <c r="T52" s="735"/>
      <c r="U52" s="732"/>
      <c r="V52" s="130"/>
      <c r="W52" s="130"/>
      <c r="X52" s="130"/>
      <c r="Y52" s="130"/>
      <c r="Z52" s="734"/>
      <c r="AA52" s="130"/>
      <c r="AB52" s="735"/>
      <c r="AC52" s="732"/>
      <c r="AD52" s="130"/>
      <c r="AE52" s="130"/>
      <c r="AF52" s="130"/>
      <c r="AG52" s="130"/>
      <c r="AH52" s="734"/>
      <c r="AI52" s="130"/>
      <c r="AJ52" s="735"/>
      <c r="AK52" s="732"/>
      <c r="AL52" s="130"/>
      <c r="AM52" s="130"/>
      <c r="AN52" s="130"/>
      <c r="AO52" s="130"/>
      <c r="AP52" s="130"/>
      <c r="AQ52" s="130"/>
      <c r="AR52" s="130"/>
      <c r="AS52" s="735"/>
      <c r="AT52" s="733"/>
      <c r="AU52" s="130"/>
      <c r="AV52" s="130"/>
      <c r="AW52" s="130"/>
      <c r="AX52" s="130"/>
      <c r="AY52" s="130"/>
      <c r="AZ52" s="130"/>
      <c r="BA52" s="735"/>
      <c r="BB52" s="732"/>
      <c r="BC52" s="130"/>
      <c r="BD52" s="130"/>
      <c r="BE52" s="130"/>
      <c r="BF52" s="130"/>
      <c r="BG52" s="130"/>
      <c r="BH52" s="130"/>
      <c r="BI52" s="735"/>
      <c r="BJ52" s="732"/>
      <c r="BK52" s="130"/>
      <c r="BL52" s="130"/>
      <c r="BM52" s="130"/>
      <c r="BN52" s="130"/>
      <c r="BO52" s="130"/>
      <c r="BP52" s="130"/>
      <c r="BQ52" s="130"/>
      <c r="BR52" s="735"/>
      <c r="BS52" s="732"/>
      <c r="BT52" s="130"/>
      <c r="BU52" s="130"/>
      <c r="BV52" s="130"/>
      <c r="BW52" s="130"/>
      <c r="BX52" s="130"/>
      <c r="BY52" s="130"/>
      <c r="BZ52" s="735"/>
      <c r="CA52" s="732"/>
      <c r="CB52" s="130"/>
      <c r="CC52" s="130"/>
      <c r="CD52" s="130"/>
      <c r="CE52" s="130"/>
      <c r="CF52" s="130"/>
      <c r="CG52" s="130"/>
      <c r="CH52" s="735"/>
      <c r="CI52" s="732"/>
      <c r="CJ52" s="130"/>
      <c r="CK52" s="130"/>
      <c r="CL52" s="130"/>
      <c r="CM52" s="130"/>
      <c r="CN52" s="130"/>
      <c r="CO52" s="130"/>
      <c r="CP52" s="735"/>
      <c r="CQ52" s="732"/>
      <c r="CR52" s="1051"/>
      <c r="CS52" s="130"/>
      <c r="CT52" s="130"/>
      <c r="CU52" s="130" t="n">
        <f aca="false">+CR52-CS52</f>
        <v>0</v>
      </c>
      <c r="CV52" s="130" t="n">
        <f aca="false">+CR52-CT52</f>
        <v>0</v>
      </c>
      <c r="CW52" s="130"/>
      <c r="CX52" s="731" t="str">
        <f aca="false">IFERROR(CR52/CW52-1, "-")</f>
        <v>-</v>
      </c>
      <c r="CY52" s="945"/>
      <c r="CZ52" s="130"/>
      <c r="DA52" s="130"/>
      <c r="DB52" s="130"/>
      <c r="DC52" s="130"/>
      <c r="DD52" s="130"/>
      <c r="DE52" s="803" t="e">
        <f aca="false">CZ52/DD52-1</f>
        <v>#DIV/0!</v>
      </c>
      <c r="DF52" s="803" t="e">
        <f aca="false">DA52/DD52-1</f>
        <v>#DIV/0!</v>
      </c>
      <c r="DG52" s="803" t="e">
        <f aca="false">DB52/DD52-1</f>
        <v>#DIV/0!</v>
      </c>
      <c r="DH52" s="803" t="e">
        <f aca="false">DC52/DD52-1</f>
        <v>#DIV/0!</v>
      </c>
      <c r="DI52" s="951"/>
      <c r="DJ52" s="117" t="n">
        <f aca="false">SUM(D52,J52,P52,V52,AD52,AL52,AU52,BC52,BK52,BT52,CB52,CJ52)-CR52</f>
        <v>0</v>
      </c>
      <c r="DK52" s="117" t="n">
        <f aca="false">SUM(E52,K52,Q52,W52,AE52,AM52,AV52,BD52,BL52,BU52,CC52,CK52)-CS52</f>
        <v>0</v>
      </c>
      <c r="DL52" s="117" t="n">
        <f aca="false">SUM(G52,M52,S52,AA52,AI52,AR52,AZ52,BH52,BQ52,BY52,CG52,CO52)-CW52</f>
        <v>0</v>
      </c>
      <c r="DM52" s="117" t="n">
        <f aca="false">SUM(D52,J52,P52,V52,AD52,AL52,AU52,BC52,,BN52,BV52,CD52,CL52)-CT52</f>
        <v>0</v>
      </c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</row>
    <row r="53" customFormat="false" ht="15" hidden="false" customHeight="true" outlineLevel="0" collapsed="false">
      <c r="A53" s="591"/>
      <c r="B53" s="1077" t="s">
        <v>787</v>
      </c>
      <c r="C53" s="679" t="s">
        <v>788</v>
      </c>
      <c r="D53" s="144"/>
      <c r="E53" s="144"/>
      <c r="F53" s="144"/>
      <c r="G53" s="144"/>
      <c r="H53" s="805"/>
      <c r="I53" s="245"/>
      <c r="J53" s="144"/>
      <c r="K53" s="144"/>
      <c r="L53" s="144"/>
      <c r="M53" s="144"/>
      <c r="N53" s="805"/>
      <c r="O53" s="281"/>
      <c r="P53" s="144"/>
      <c r="Q53" s="144"/>
      <c r="R53" s="144"/>
      <c r="S53" s="144"/>
      <c r="T53" s="805"/>
      <c r="U53" s="422"/>
      <c r="V53" s="144"/>
      <c r="W53" s="144"/>
      <c r="X53" s="144"/>
      <c r="Y53" s="144"/>
      <c r="Z53" s="281"/>
      <c r="AA53" s="144"/>
      <c r="AB53" s="805"/>
      <c r="AC53" s="422"/>
      <c r="AD53" s="144"/>
      <c r="AE53" s="144"/>
      <c r="AF53" s="144"/>
      <c r="AG53" s="144"/>
      <c r="AH53" s="281"/>
      <c r="AI53" s="144"/>
      <c r="AJ53" s="805"/>
      <c r="AK53" s="422"/>
      <c r="AL53" s="144"/>
      <c r="AM53" s="144"/>
      <c r="AN53" s="144"/>
      <c r="AO53" s="144"/>
      <c r="AP53" s="144"/>
      <c r="AQ53" s="144"/>
      <c r="AR53" s="144"/>
      <c r="AS53" s="805"/>
      <c r="AT53" s="423"/>
      <c r="AU53" s="144"/>
      <c r="AV53" s="144"/>
      <c r="AW53" s="144"/>
      <c r="AX53" s="144"/>
      <c r="AY53" s="144"/>
      <c r="AZ53" s="144"/>
      <c r="BA53" s="805"/>
      <c r="BB53" s="422"/>
      <c r="BC53" s="144"/>
      <c r="BD53" s="144"/>
      <c r="BE53" s="144"/>
      <c r="BF53" s="144"/>
      <c r="BG53" s="144"/>
      <c r="BH53" s="144"/>
      <c r="BI53" s="805"/>
      <c r="BJ53" s="422"/>
      <c r="BK53" s="144"/>
      <c r="BL53" s="144"/>
      <c r="BM53" s="144"/>
      <c r="BN53" s="144"/>
      <c r="BO53" s="144"/>
      <c r="BP53" s="144"/>
      <c r="BQ53" s="144"/>
      <c r="BR53" s="805"/>
      <c r="BS53" s="422"/>
      <c r="BT53" s="144"/>
      <c r="BU53" s="144"/>
      <c r="BV53" s="144"/>
      <c r="BW53" s="144"/>
      <c r="BX53" s="144"/>
      <c r="BY53" s="144"/>
      <c r="BZ53" s="805"/>
      <c r="CA53" s="422"/>
      <c r="CB53" s="144"/>
      <c r="CC53" s="144"/>
      <c r="CD53" s="144"/>
      <c r="CE53" s="144"/>
      <c r="CF53" s="144"/>
      <c r="CG53" s="144"/>
      <c r="CH53" s="805"/>
      <c r="CI53" s="422"/>
      <c r="CJ53" s="144"/>
      <c r="CK53" s="144"/>
      <c r="CL53" s="144"/>
      <c r="CM53" s="144"/>
      <c r="CN53" s="144"/>
      <c r="CO53" s="144"/>
      <c r="CP53" s="805"/>
      <c r="CQ53" s="422"/>
      <c r="CR53" s="281"/>
      <c r="CS53" s="144"/>
      <c r="CT53" s="144"/>
      <c r="CU53" s="144" t="n">
        <f aca="false">+CR53-CS53</f>
        <v>0</v>
      </c>
      <c r="CV53" s="144" t="n">
        <f aca="false">+CR53-CT53</f>
        <v>0</v>
      </c>
      <c r="CW53" s="144"/>
      <c r="CX53" s="245" t="str">
        <f aca="false">IFERROR(CR53/CW53-1, "-")</f>
        <v>-</v>
      </c>
      <c r="CY53" s="945"/>
      <c r="CZ53" s="144"/>
      <c r="DA53" s="144"/>
      <c r="DB53" s="144"/>
      <c r="DC53" s="144"/>
      <c r="DD53" s="144"/>
      <c r="DE53" s="1081" t="e">
        <f aca="false">CZ53/DD53-1</f>
        <v>#DIV/0!</v>
      </c>
      <c r="DF53" s="1081" t="e">
        <f aca="false">DA53/DD53-1</f>
        <v>#DIV/0!</v>
      </c>
      <c r="DG53" s="1081" t="e">
        <f aca="false">DB53/DD53-1</f>
        <v>#DIV/0!</v>
      </c>
      <c r="DH53" s="1081" t="e">
        <f aca="false">DC53/DD53-1</f>
        <v>#DIV/0!</v>
      </c>
      <c r="DI53" s="951"/>
      <c r="DJ53" s="117" t="n">
        <f aca="false">SUM(D53,J53,P53,V53,AD53,AL53,AU53,BC53,BK53,BT53,CB53,CJ53)-CR53</f>
        <v>0</v>
      </c>
      <c r="DK53" s="117" t="n">
        <f aca="false">SUM(E53,K53,Q53,W53,AE53,AM53,AV53,BD53,BL53,BU53,CC53,CK53)-CS53</f>
        <v>0</v>
      </c>
      <c r="DL53" s="117" t="n">
        <f aca="false">SUM(G53,M53,S53,AA53,AI53,AR53,AZ53,BH53,BQ53,BY53,CG53,CO53)-CW53</f>
        <v>0</v>
      </c>
      <c r="DM53" s="117" t="n">
        <f aca="false">SUM(D53,J53,P53,V53,AD53,AL53,AU53,BC53,,BN53,BV53,CD53,CL53)-CT53</f>
        <v>0</v>
      </c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  <c r="EA53" s="1029" t="n">
        <v>289.874263</v>
      </c>
      <c r="EB53" s="1029" t="n">
        <v>22.828125</v>
      </c>
    </row>
    <row r="54" customFormat="false" ht="15" hidden="false" customHeight="true" outlineLevel="0" collapsed="false">
      <c r="A54" s="591"/>
      <c r="B54" s="1077" t="s">
        <v>789</v>
      </c>
      <c r="C54" s="679" t="s">
        <v>790</v>
      </c>
      <c r="D54" s="144"/>
      <c r="E54" s="144"/>
      <c r="F54" s="144"/>
      <c r="G54" s="144"/>
      <c r="H54" s="805"/>
      <c r="I54" s="245"/>
      <c r="J54" s="144"/>
      <c r="K54" s="144"/>
      <c r="L54" s="144"/>
      <c r="M54" s="144"/>
      <c r="N54" s="805"/>
      <c r="O54" s="281"/>
      <c r="P54" s="144"/>
      <c r="Q54" s="144"/>
      <c r="R54" s="144"/>
      <c r="S54" s="144"/>
      <c r="T54" s="805"/>
      <c r="U54" s="422"/>
      <c r="V54" s="144"/>
      <c r="W54" s="144"/>
      <c r="X54" s="144"/>
      <c r="Y54" s="144"/>
      <c r="Z54" s="281"/>
      <c r="AA54" s="144"/>
      <c r="AB54" s="805"/>
      <c r="AC54" s="422"/>
      <c r="AD54" s="144"/>
      <c r="AE54" s="144"/>
      <c r="AF54" s="144"/>
      <c r="AG54" s="144"/>
      <c r="AH54" s="281"/>
      <c r="AI54" s="144"/>
      <c r="AJ54" s="805"/>
      <c r="AK54" s="422"/>
      <c r="AL54" s="144"/>
      <c r="AM54" s="144"/>
      <c r="AN54" s="144"/>
      <c r="AO54" s="144"/>
      <c r="AP54" s="144"/>
      <c r="AQ54" s="144"/>
      <c r="AR54" s="144"/>
      <c r="AS54" s="805"/>
      <c r="AT54" s="423"/>
      <c r="AU54" s="144"/>
      <c r="AV54" s="144"/>
      <c r="AW54" s="144"/>
      <c r="AX54" s="144"/>
      <c r="AY54" s="144"/>
      <c r="AZ54" s="144"/>
      <c r="BA54" s="805"/>
      <c r="BB54" s="422"/>
      <c r="BC54" s="144"/>
      <c r="BD54" s="144"/>
      <c r="BE54" s="144"/>
      <c r="BF54" s="144"/>
      <c r="BG54" s="144"/>
      <c r="BH54" s="144"/>
      <c r="BI54" s="805"/>
      <c r="BJ54" s="422"/>
      <c r="BK54" s="144"/>
      <c r="BL54" s="144"/>
      <c r="BM54" s="144"/>
      <c r="BN54" s="144"/>
      <c r="BO54" s="144"/>
      <c r="BP54" s="144"/>
      <c r="BQ54" s="144"/>
      <c r="BR54" s="805"/>
      <c r="BS54" s="422"/>
      <c r="BT54" s="144"/>
      <c r="BU54" s="144"/>
      <c r="BV54" s="144"/>
      <c r="BW54" s="144"/>
      <c r="BX54" s="144"/>
      <c r="BY54" s="144"/>
      <c r="BZ54" s="805"/>
      <c r="CA54" s="422"/>
      <c r="CB54" s="144"/>
      <c r="CC54" s="144"/>
      <c r="CD54" s="144"/>
      <c r="CE54" s="144"/>
      <c r="CF54" s="144"/>
      <c r="CG54" s="144"/>
      <c r="CH54" s="805"/>
      <c r="CI54" s="422"/>
      <c r="CJ54" s="144"/>
      <c r="CK54" s="144"/>
      <c r="CL54" s="144"/>
      <c r="CM54" s="144"/>
      <c r="CN54" s="144"/>
      <c r="CO54" s="144"/>
      <c r="CP54" s="805"/>
      <c r="CQ54" s="422"/>
      <c r="CR54" s="281"/>
      <c r="CS54" s="144"/>
      <c r="CT54" s="144"/>
      <c r="CU54" s="144" t="n">
        <f aca="false">+CR54-CS54</f>
        <v>0</v>
      </c>
      <c r="CV54" s="144" t="n">
        <f aca="false">+CR54-CT54</f>
        <v>0</v>
      </c>
      <c r="CW54" s="144"/>
      <c r="CX54" s="245" t="str">
        <f aca="false">IFERROR(CR54/CW54-1, "-")</f>
        <v>-</v>
      </c>
      <c r="CY54" s="945"/>
      <c r="CZ54" s="144"/>
      <c r="DA54" s="144"/>
      <c r="DB54" s="144"/>
      <c r="DC54" s="144"/>
      <c r="DD54" s="144"/>
      <c r="DE54" s="1081" t="e">
        <f aca="false">CZ54/DD54-1</f>
        <v>#DIV/0!</v>
      </c>
      <c r="DF54" s="1081" t="e">
        <f aca="false">DA54/DD54-1</f>
        <v>#DIV/0!</v>
      </c>
      <c r="DG54" s="1081" t="e">
        <f aca="false">DB54/DD54-1</f>
        <v>#DIV/0!</v>
      </c>
      <c r="DH54" s="1081" t="e">
        <f aca="false">DC54/DD54-1</f>
        <v>#DIV/0!</v>
      </c>
      <c r="DI54" s="951"/>
      <c r="DJ54" s="117" t="n">
        <f aca="false">SUM(D54,J54,P54,V54,AD54,AL54,AU54,BC54,BK54,BT54,CB54,CJ54)-CR54</f>
        <v>0</v>
      </c>
      <c r="DK54" s="117" t="n">
        <f aca="false">SUM(E54,K54,Q54,W54,AE54,AM54,AV54,BD54,BL54,BU54,CC54,CK54)-CS54</f>
        <v>0</v>
      </c>
      <c r="DL54" s="117" t="n">
        <f aca="false">SUM(G54,M54,S54,AA54,AI54,AR54,AZ54,BH54,BQ54,BY54,CG54,CO54)-CW54</f>
        <v>0</v>
      </c>
      <c r="DM54" s="117" t="n">
        <f aca="false">SUM(D54,J54,P54,V54,AD54,AL54,AU54,BC54,,BN54,BV54,CD54,CL54)-CT54</f>
        <v>0</v>
      </c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  <c r="EA54" s="1029" t="n">
        <v>6659.847838</v>
      </c>
      <c r="EB54" s="1029" t="n">
        <f aca="false">EA54+CR54</f>
        <v>6659.847838</v>
      </c>
      <c r="EC54" s="2" t="n">
        <v>136.148830096214</v>
      </c>
    </row>
    <row r="55" s="1" customFormat="true" ht="12.75" hidden="true" customHeight="false" outlineLevel="0" collapsed="false">
      <c r="A55" s="977"/>
      <c r="B55" s="1067" t="s">
        <v>791</v>
      </c>
      <c r="C55" s="679" t="s">
        <v>792</v>
      </c>
      <c r="D55" s="1071"/>
      <c r="E55" s="1068"/>
      <c r="F55" s="1068"/>
      <c r="G55" s="1068"/>
      <c r="H55" s="982"/>
      <c r="I55" s="1068"/>
      <c r="J55" s="1071"/>
      <c r="K55" s="1068"/>
      <c r="L55" s="1068"/>
      <c r="M55" s="1068"/>
      <c r="N55" s="982"/>
      <c r="O55" s="980"/>
      <c r="P55" s="1071"/>
      <c r="Q55" s="1068"/>
      <c r="R55" s="1068"/>
      <c r="S55" s="1068"/>
      <c r="T55" s="982"/>
      <c r="U55" s="984"/>
      <c r="V55" s="144"/>
      <c r="W55" s="1068"/>
      <c r="X55" s="1068"/>
      <c r="Y55" s="1068"/>
      <c r="Z55" s="980"/>
      <c r="AA55" s="1068"/>
      <c r="AB55" s="982"/>
      <c r="AC55" s="984"/>
      <c r="AD55" s="144"/>
      <c r="AE55" s="1068"/>
      <c r="AF55" s="1068"/>
      <c r="AG55" s="1068"/>
      <c r="AH55" s="980"/>
      <c r="AI55" s="1068"/>
      <c r="AJ55" s="982"/>
      <c r="AK55" s="1069"/>
      <c r="AL55" s="144"/>
      <c r="AM55" s="1068"/>
      <c r="AN55" s="1068"/>
      <c r="AO55" s="1068"/>
      <c r="AP55" s="1068"/>
      <c r="AQ55" s="1068"/>
      <c r="AR55" s="1068"/>
      <c r="AS55" s="982"/>
      <c r="AT55" s="985"/>
      <c r="AU55" s="144"/>
      <c r="AV55" s="1068"/>
      <c r="AW55" s="1068"/>
      <c r="AX55" s="1068"/>
      <c r="AY55" s="1068"/>
      <c r="AZ55" s="1068"/>
      <c r="BA55" s="982"/>
      <c r="BB55" s="984"/>
      <c r="BC55" s="144"/>
      <c r="BD55" s="1068"/>
      <c r="BE55" s="1068"/>
      <c r="BF55" s="1068"/>
      <c r="BG55" s="1068"/>
      <c r="BH55" s="1068"/>
      <c r="BI55" s="982"/>
      <c r="BJ55" s="984"/>
      <c r="BK55" s="144"/>
      <c r="BL55" s="1068"/>
      <c r="BM55" s="1068"/>
      <c r="BN55" s="1068"/>
      <c r="BO55" s="1068"/>
      <c r="BP55" s="1068"/>
      <c r="BQ55" s="1068"/>
      <c r="BR55" s="982"/>
      <c r="BS55" s="1069"/>
      <c r="BT55" s="144"/>
      <c r="BU55" s="280"/>
      <c r="BV55" s="280"/>
      <c r="BW55" s="280"/>
      <c r="BX55" s="280"/>
      <c r="BY55" s="280"/>
      <c r="BZ55" s="805"/>
      <c r="CA55" s="1070"/>
      <c r="CB55" s="144"/>
      <c r="CC55" s="280"/>
      <c r="CD55" s="280"/>
      <c r="CE55" s="280"/>
      <c r="CF55" s="280"/>
      <c r="CG55" s="280"/>
      <c r="CH55" s="805"/>
      <c r="CI55" s="1070"/>
      <c r="CJ55" s="144"/>
      <c r="CK55" s="1068"/>
      <c r="CL55" s="1068"/>
      <c r="CM55" s="1068"/>
      <c r="CN55" s="1068"/>
      <c r="CO55" s="1068"/>
      <c r="CP55" s="982"/>
      <c r="CQ55" s="1069"/>
      <c r="CR55" s="1064"/>
      <c r="CS55" s="1068"/>
      <c r="CT55" s="1068"/>
      <c r="CU55" s="1068" t="n">
        <f aca="false">+CR55-CS55</f>
        <v>0</v>
      </c>
      <c r="CV55" s="1068" t="n">
        <f aca="false">+CR55-CT55</f>
        <v>0</v>
      </c>
      <c r="CW55" s="1068"/>
      <c r="CX55" s="1068" t="str">
        <f aca="false">IFERROR(CR55/CW55-1, "-")</f>
        <v>-</v>
      </c>
      <c r="CY55" s="945"/>
      <c r="CZ55" s="1068"/>
      <c r="DA55" s="1068"/>
      <c r="DB55" s="1068"/>
      <c r="DC55" s="1068"/>
      <c r="DD55" s="1068"/>
      <c r="DE55" s="1068"/>
      <c r="DF55" s="1068"/>
      <c r="DG55" s="1068"/>
      <c r="DH55" s="1068"/>
      <c r="DI55" s="951"/>
      <c r="DJ55" s="117" t="n">
        <f aca="false">SUM(D55,J55,P55,V55,AD55,AL55,AU55,BC55,BK55,BT55,CB55,CJ55)-CR55</f>
        <v>0</v>
      </c>
      <c r="DK55" s="117" t="n">
        <f aca="false">SUM(E55,K55,Q55,W55,AE55,AM55,AV55,BD55,BL55,BU55,CC55,CK55)-CS55</f>
        <v>0</v>
      </c>
      <c r="DL55" s="117" t="n">
        <f aca="false">SUM(G55,M55,S55,AA55,AI55,AR55,AZ55,BH55,BQ55,BY55,CG55,CO55)-CW55</f>
        <v>0</v>
      </c>
      <c r="DM55" s="117" t="n">
        <f aca="false">SUM(D55,J55,P55,V55,AD55,AL55,AU55,BC55,,BN55,BV55,CD55,CL55)-CT55</f>
        <v>0</v>
      </c>
      <c r="DN55" s="975"/>
      <c r="DO55" s="975"/>
      <c r="DP55" s="975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s="28" customFormat="true" ht="12.75" hidden="false" customHeight="false" outlineLevel="0" collapsed="false">
      <c r="A56" s="1082"/>
      <c r="B56" s="1083" t="s">
        <v>793</v>
      </c>
      <c r="C56" s="679" t="s">
        <v>794</v>
      </c>
      <c r="D56" s="1084"/>
      <c r="E56" s="1084"/>
      <c r="F56" s="1084"/>
      <c r="G56" s="1084"/>
      <c r="H56" s="1085"/>
      <c r="I56" s="1086"/>
      <c r="J56" s="1084"/>
      <c r="K56" s="1084"/>
      <c r="L56" s="1084"/>
      <c r="M56" s="1084"/>
      <c r="N56" s="1085"/>
      <c r="O56" s="1087"/>
      <c r="P56" s="1084"/>
      <c r="Q56" s="1084"/>
      <c r="R56" s="1084"/>
      <c r="S56" s="1084"/>
      <c r="T56" s="1085"/>
      <c r="U56" s="1088"/>
      <c r="V56" s="1084"/>
      <c r="W56" s="1084"/>
      <c r="X56" s="1084"/>
      <c r="Y56" s="1084"/>
      <c r="Z56" s="1087"/>
      <c r="AA56" s="1084"/>
      <c r="AB56" s="1085"/>
      <c r="AC56" s="1088"/>
      <c r="AD56" s="235"/>
      <c r="AE56" s="1084"/>
      <c r="AF56" s="1084"/>
      <c r="AG56" s="1084"/>
      <c r="AH56" s="1087"/>
      <c r="AI56" s="1084"/>
      <c r="AJ56" s="1085"/>
      <c r="AK56" s="1088"/>
      <c r="AL56" s="235"/>
      <c r="AM56" s="1084"/>
      <c r="AN56" s="235"/>
      <c r="AO56" s="1084"/>
      <c r="AP56" s="1084"/>
      <c r="AQ56" s="1084"/>
      <c r="AR56" s="1084"/>
      <c r="AS56" s="1085"/>
      <c r="AT56" s="1089"/>
      <c r="AU56" s="235"/>
      <c r="AV56" s="1084"/>
      <c r="AW56" s="1084"/>
      <c r="AX56" s="1084"/>
      <c r="AY56" s="1084"/>
      <c r="AZ56" s="1084"/>
      <c r="BA56" s="1085"/>
      <c r="BB56" s="1088"/>
      <c r="BC56" s="235"/>
      <c r="BD56" s="1084"/>
      <c r="BE56" s="1084"/>
      <c r="BF56" s="1084"/>
      <c r="BG56" s="1084"/>
      <c r="BH56" s="1084"/>
      <c r="BI56" s="1085"/>
      <c r="BJ56" s="1088"/>
      <c r="BK56" s="235"/>
      <c r="BL56" s="1084"/>
      <c r="BM56" s="1084"/>
      <c r="BN56" s="1084"/>
      <c r="BO56" s="1084"/>
      <c r="BP56" s="1084"/>
      <c r="BQ56" s="1084"/>
      <c r="BR56" s="1085"/>
      <c r="BS56" s="1088"/>
      <c r="BT56" s="235"/>
      <c r="BU56" s="235"/>
      <c r="BV56" s="235"/>
      <c r="BW56" s="235"/>
      <c r="BX56" s="235"/>
      <c r="BY56" s="235"/>
      <c r="BZ56" s="1090"/>
      <c r="CA56" s="1091"/>
      <c r="CB56" s="235"/>
      <c r="CC56" s="235"/>
      <c r="CD56" s="235"/>
      <c r="CE56" s="235"/>
      <c r="CF56" s="235"/>
      <c r="CG56" s="235"/>
      <c r="CH56" s="1090"/>
      <c r="CI56" s="1091"/>
      <c r="CJ56" s="235"/>
      <c r="CK56" s="1084"/>
      <c r="CL56" s="1084"/>
      <c r="CM56" s="1084"/>
      <c r="CN56" s="1084"/>
      <c r="CO56" s="1084"/>
      <c r="CP56" s="1085"/>
      <c r="CQ56" s="984"/>
      <c r="CR56" s="1092"/>
      <c r="CS56" s="1084"/>
      <c r="CT56" s="1084"/>
      <c r="CU56" s="1084" t="n">
        <f aca="false">+CR56-CS56</f>
        <v>0</v>
      </c>
      <c r="CV56" s="1084" t="n">
        <f aca="false">+CR56-CT56</f>
        <v>0</v>
      </c>
      <c r="CW56" s="1084"/>
      <c r="CX56" s="1086" t="str">
        <f aca="false">IFERROR(CR56/CW56-1, "-")</f>
        <v>-</v>
      </c>
      <c r="CY56" s="945"/>
      <c r="CZ56" s="1084"/>
      <c r="DA56" s="1084"/>
      <c r="DB56" s="1084"/>
      <c r="DC56" s="1084"/>
      <c r="DD56" s="1084"/>
      <c r="DE56" s="1086" t="e">
        <f aca="false">CZ56/DD56-1</f>
        <v>#DIV/0!</v>
      </c>
      <c r="DF56" s="1086" t="e">
        <f aca="false">DA56/DD56-1</f>
        <v>#DIV/0!</v>
      </c>
      <c r="DG56" s="1086" t="e">
        <f aca="false">DB56/DD56-1</f>
        <v>#DIV/0!</v>
      </c>
      <c r="DH56" s="1086" t="e">
        <f aca="false">DC56/DD56-1</f>
        <v>#DIV/0!</v>
      </c>
      <c r="DI56" s="951"/>
      <c r="DJ56" s="117" t="n">
        <f aca="false">SUM(D56,J56,P56,V56,AD56,AL56,AU56,BC56,BK56,BT56,CB56,CJ56)-CR56</f>
        <v>0</v>
      </c>
      <c r="DK56" s="117" t="n">
        <f aca="false">SUM(E56,K56,Q56,W56,AE56,AM56,AV56,BD56,BL56,BU56,CC56,CK56)-CS56</f>
        <v>0</v>
      </c>
      <c r="DL56" s="117" t="n">
        <f aca="false">SUM(G56,M56,S56,AA56,AI56,AR56,AZ56,BH56,BQ56,BY56,CG56,CO56)-CW56</f>
        <v>0</v>
      </c>
      <c r="DM56" s="117" t="n">
        <f aca="false">SUM(D56,J56,P56,V56,AD56,AL56,AU56,BC56,,BN56,BV56,CD56,CL56)-CT56</f>
        <v>0</v>
      </c>
      <c r="DN56" s="1093"/>
      <c r="DO56" s="1093"/>
      <c r="DP56" s="1093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  <c r="EA56" s="28" t="n">
        <v>4893.58416</v>
      </c>
      <c r="EB56" s="28" t="n">
        <f aca="false">+EA56+CR56</f>
        <v>4893.58416</v>
      </c>
      <c r="EC56" s="28" t="n">
        <v>524.674345903781</v>
      </c>
    </row>
    <row r="57" customFormat="false" ht="6" hidden="false" customHeight="true" outlineLevel="0" collapsed="false">
      <c r="A57" s="601"/>
      <c r="B57" s="887"/>
      <c r="C57" s="679" t="s">
        <v>795</v>
      </c>
      <c r="D57" s="545"/>
      <c r="E57" s="545"/>
      <c r="F57" s="545"/>
      <c r="G57" s="545"/>
      <c r="H57" s="959"/>
      <c r="I57" s="1094"/>
      <c r="J57" s="545"/>
      <c r="K57" s="545"/>
      <c r="L57" s="545"/>
      <c r="M57" s="545"/>
      <c r="N57" s="959"/>
      <c r="O57" s="588"/>
      <c r="P57" s="545"/>
      <c r="Q57" s="545"/>
      <c r="R57" s="545"/>
      <c r="S57" s="545"/>
      <c r="T57" s="959"/>
      <c r="U57" s="690"/>
      <c r="V57" s="545"/>
      <c r="W57" s="545"/>
      <c r="X57" s="545"/>
      <c r="Y57" s="545"/>
      <c r="Z57" s="588"/>
      <c r="AA57" s="545"/>
      <c r="AB57" s="959"/>
      <c r="AC57" s="690"/>
      <c r="AD57" s="545"/>
      <c r="AE57" s="545"/>
      <c r="AF57" s="545"/>
      <c r="AG57" s="545"/>
      <c r="AH57" s="588"/>
      <c r="AI57" s="545"/>
      <c r="AJ57" s="959"/>
      <c r="AK57" s="1095"/>
      <c r="AL57" s="545"/>
      <c r="AM57" s="545"/>
      <c r="AN57" s="545"/>
      <c r="AO57" s="545"/>
      <c r="AP57" s="545"/>
      <c r="AQ57" s="545"/>
      <c r="AR57" s="545"/>
      <c r="AS57" s="959"/>
      <c r="AT57" s="883"/>
      <c r="AU57" s="545"/>
      <c r="AV57" s="545"/>
      <c r="AW57" s="545"/>
      <c r="AX57" s="545"/>
      <c r="AY57" s="545"/>
      <c r="AZ57" s="545"/>
      <c r="BA57" s="959"/>
      <c r="BB57" s="690"/>
      <c r="BC57" s="545"/>
      <c r="BD57" s="545"/>
      <c r="BE57" s="545"/>
      <c r="BF57" s="545"/>
      <c r="BG57" s="545"/>
      <c r="BH57" s="545"/>
      <c r="BI57" s="959"/>
      <c r="BJ57" s="690"/>
      <c r="BK57" s="545"/>
      <c r="BL57" s="545"/>
      <c r="BM57" s="545"/>
      <c r="BN57" s="545"/>
      <c r="BO57" s="545"/>
      <c r="BP57" s="545"/>
      <c r="BQ57" s="545"/>
      <c r="BR57" s="959"/>
      <c r="BS57" s="1095"/>
      <c r="BT57" s="545"/>
      <c r="BU57" s="545"/>
      <c r="BV57" s="545"/>
      <c r="BW57" s="545"/>
      <c r="BX57" s="545"/>
      <c r="BY57" s="545"/>
      <c r="BZ57" s="959"/>
      <c r="CA57" s="1095"/>
      <c r="CB57" s="545"/>
      <c r="CC57" s="545"/>
      <c r="CD57" s="545"/>
      <c r="CE57" s="545"/>
      <c r="CF57" s="545"/>
      <c r="CG57" s="545"/>
      <c r="CH57" s="959"/>
      <c r="CI57" s="1095"/>
      <c r="CJ57" s="545"/>
      <c r="CK57" s="545"/>
      <c r="CL57" s="545"/>
      <c r="CM57" s="545"/>
      <c r="CN57" s="545"/>
      <c r="CO57" s="545"/>
      <c r="CP57" s="959"/>
      <c r="CQ57" s="154"/>
      <c r="CR57" s="1096"/>
      <c r="CS57" s="545"/>
      <c r="CT57" s="545"/>
      <c r="CU57" s="545"/>
      <c r="CV57" s="545"/>
      <c r="CW57" s="545"/>
      <c r="CX57" s="1097" t="str">
        <f aca="false">IFERROR(CR57/CW57-1, "-")</f>
        <v>-</v>
      </c>
      <c r="CY57" s="945"/>
      <c r="CZ57" s="545"/>
      <c r="DA57" s="545"/>
      <c r="DB57" s="545"/>
      <c r="DC57" s="545"/>
      <c r="DD57" s="545"/>
      <c r="DE57" s="1097"/>
      <c r="DF57" s="1097"/>
      <c r="DG57" s="1097"/>
      <c r="DH57" s="1097"/>
      <c r="DI57" s="951"/>
      <c r="DJ57" s="117" t="n">
        <f aca="false">SUM(D57,J57,P57,V57,AD57,AL57,AU57,BC57,BK57,BT57,CB57,CJ57)-CR57</f>
        <v>0</v>
      </c>
      <c r="DK57" s="117" t="n">
        <f aca="false">SUM(E57,K57,Q57,W57,AE57,AM57,AV57,BD57,BL57,BU57,CC57,CK57)-CS57</f>
        <v>0</v>
      </c>
      <c r="DL57" s="117" t="n">
        <f aca="false">SUM(G57,M57,S57,AA57,AI57,AR57,AZ57,BH57,BQ57,BY57,CG57,CO57)-CW57</f>
        <v>0</v>
      </c>
      <c r="DM57" s="117" t="n">
        <f aca="false">SUM(D57,J57,P57,V57,AD57,AL57,AU57,BC57,,BN57,BV57,CD57,CL57)-CT57</f>
        <v>0</v>
      </c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</row>
    <row r="58" s="36" customFormat="true" ht="15" hidden="false" customHeight="true" outlineLevel="0" collapsed="false">
      <c r="A58" s="700" t="s">
        <v>796</v>
      </c>
      <c r="B58" s="707"/>
      <c r="C58" s="679" t="s">
        <v>797</v>
      </c>
      <c r="D58" s="400"/>
      <c r="E58" s="400"/>
      <c r="F58" s="400"/>
      <c r="G58" s="400"/>
      <c r="H58" s="949"/>
      <c r="I58" s="401"/>
      <c r="J58" s="400"/>
      <c r="K58" s="400"/>
      <c r="L58" s="400"/>
      <c r="M58" s="400"/>
      <c r="N58" s="949"/>
      <c r="O58" s="399"/>
      <c r="P58" s="400"/>
      <c r="Q58" s="400"/>
      <c r="R58" s="400"/>
      <c r="S58" s="400"/>
      <c r="T58" s="949"/>
      <c r="U58" s="403"/>
      <c r="V58" s="400"/>
      <c r="W58" s="400"/>
      <c r="X58" s="400"/>
      <c r="Y58" s="400"/>
      <c r="Z58" s="399"/>
      <c r="AA58" s="400"/>
      <c r="AB58" s="949"/>
      <c r="AC58" s="403"/>
      <c r="AD58" s="400"/>
      <c r="AE58" s="400"/>
      <c r="AF58" s="400"/>
      <c r="AG58" s="400"/>
      <c r="AH58" s="399"/>
      <c r="AI58" s="400"/>
      <c r="AJ58" s="949"/>
      <c r="AK58" s="1098"/>
      <c r="AL58" s="400"/>
      <c r="AM58" s="400"/>
      <c r="AN58" s="400"/>
      <c r="AO58" s="400"/>
      <c r="AP58" s="400"/>
      <c r="AQ58" s="400"/>
      <c r="AR58" s="400"/>
      <c r="AS58" s="949"/>
      <c r="AT58" s="407"/>
      <c r="AU58" s="400"/>
      <c r="AV58" s="400"/>
      <c r="AW58" s="400"/>
      <c r="AX58" s="400"/>
      <c r="AY58" s="400"/>
      <c r="AZ58" s="400"/>
      <c r="BA58" s="949"/>
      <c r="BB58" s="403"/>
      <c r="BC58" s="400"/>
      <c r="BD58" s="400"/>
      <c r="BE58" s="400"/>
      <c r="BF58" s="400"/>
      <c r="BG58" s="400"/>
      <c r="BH58" s="400"/>
      <c r="BI58" s="949"/>
      <c r="BJ58" s="403"/>
      <c r="BK58" s="400"/>
      <c r="BL58" s="400"/>
      <c r="BM58" s="400"/>
      <c r="BN58" s="400"/>
      <c r="BO58" s="400"/>
      <c r="BP58" s="400"/>
      <c r="BQ58" s="400"/>
      <c r="BR58" s="949"/>
      <c r="BS58" s="403"/>
      <c r="BT58" s="400"/>
      <c r="BU58" s="400"/>
      <c r="BV58" s="400"/>
      <c r="BW58" s="400"/>
      <c r="BX58" s="400"/>
      <c r="BY58" s="400"/>
      <c r="BZ58" s="949"/>
      <c r="CA58" s="403"/>
      <c r="CB58" s="400"/>
      <c r="CC58" s="400"/>
      <c r="CD58" s="400"/>
      <c r="CE58" s="400"/>
      <c r="CF58" s="400"/>
      <c r="CG58" s="400"/>
      <c r="CH58" s="949"/>
      <c r="CI58" s="403"/>
      <c r="CJ58" s="400"/>
      <c r="CK58" s="400"/>
      <c r="CL58" s="400"/>
      <c r="CM58" s="400"/>
      <c r="CN58" s="400"/>
      <c r="CO58" s="400"/>
      <c r="CP58" s="949"/>
      <c r="CQ58" s="703"/>
      <c r="CR58" s="408"/>
      <c r="CS58" s="400"/>
      <c r="CT58" s="400"/>
      <c r="CU58" s="400" t="n">
        <f aca="false">+CR58-CS58</f>
        <v>0</v>
      </c>
      <c r="CV58" s="400" t="n">
        <f aca="false">+CR58-CT58</f>
        <v>0</v>
      </c>
      <c r="CW58" s="400"/>
      <c r="CX58" s="712" t="str">
        <f aca="false">IFERROR(CR58/CW58-1, "-")</f>
        <v>-</v>
      </c>
      <c r="CY58" s="945"/>
      <c r="CZ58" s="400"/>
      <c r="DA58" s="400"/>
      <c r="DB58" s="400"/>
      <c r="DC58" s="400"/>
      <c r="DD58" s="400"/>
      <c r="DE58" s="401" t="e">
        <f aca="false">CZ58/DD58-1</f>
        <v>#DIV/0!</v>
      </c>
      <c r="DF58" s="401" t="e">
        <f aca="false">DA58/DD58-1</f>
        <v>#DIV/0!</v>
      </c>
      <c r="DG58" s="401" t="e">
        <f aca="false">DB58/DD58-1</f>
        <v>#DIV/0!</v>
      </c>
      <c r="DH58" s="401" t="e">
        <f aca="false">DC58/DD58-1</f>
        <v>#DIV/0!</v>
      </c>
      <c r="DI58" s="951"/>
      <c r="DJ58" s="117" t="n">
        <f aca="false">SUM(D58,J58,P58,V58,AD58,AL58,AU58,BC58,BK58,BT58,CB58,CJ58)-CR58</f>
        <v>0</v>
      </c>
      <c r="DK58" s="117" t="n">
        <f aca="false">SUM(E58,K58,Q58,W58,AE58,AM58,AV58,BD58,BL58,BU58,CC58,CK58)-CS58</f>
        <v>0</v>
      </c>
      <c r="DL58" s="117" t="n">
        <f aca="false">SUM(G58,M58,S58,AA58,AI58,AR58,AZ58,BH58,BQ58,BY58,CG58,CO58)-CW58</f>
        <v>0</v>
      </c>
      <c r="DM58" s="117" t="n">
        <f aca="false">SUM(D58,J58,P58,V58,AD58,AL58,AU58,BC58,,BN58,BV58,CD58,CL58)-CT58</f>
        <v>0</v>
      </c>
      <c r="DN58" s="14"/>
      <c r="DO58" s="14"/>
      <c r="DP58" s="14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6" hidden="false" customHeight="true" outlineLevel="0" collapsed="false">
      <c r="C59" s="679" t="s">
        <v>798</v>
      </c>
      <c r="D59" s="144"/>
      <c r="E59" s="144"/>
      <c r="F59" s="144"/>
      <c r="G59" s="144"/>
      <c r="H59" s="805"/>
      <c r="J59" s="144"/>
      <c r="K59" s="144"/>
      <c r="L59" s="144"/>
      <c r="M59" s="144"/>
      <c r="N59" s="805"/>
      <c r="O59" s="281"/>
      <c r="P59" s="144"/>
      <c r="Q59" s="144"/>
      <c r="R59" s="144"/>
      <c r="S59" s="144"/>
      <c r="T59" s="805"/>
      <c r="U59" s="422"/>
      <c r="V59" s="144"/>
      <c r="W59" s="144"/>
      <c r="X59" s="144"/>
      <c r="Y59" s="144"/>
      <c r="Z59" s="281"/>
      <c r="AA59" s="144"/>
      <c r="AB59" s="805"/>
      <c r="AC59" s="422"/>
      <c r="AD59" s="144"/>
      <c r="AE59" s="144"/>
      <c r="AF59" s="144"/>
      <c r="AG59" s="144"/>
      <c r="AH59" s="281"/>
      <c r="AI59" s="144"/>
      <c r="AJ59" s="805"/>
      <c r="AK59" s="204"/>
      <c r="AL59" s="144"/>
      <c r="AM59" s="144"/>
      <c r="AN59" s="144"/>
      <c r="AO59" s="144"/>
      <c r="AP59" s="144"/>
      <c r="AQ59" s="144"/>
      <c r="AR59" s="144"/>
      <c r="AS59" s="805"/>
      <c r="AT59" s="423"/>
      <c r="AU59" s="144"/>
      <c r="AV59" s="144"/>
      <c r="AW59" s="144"/>
      <c r="AX59" s="144"/>
      <c r="AY59" s="144"/>
      <c r="AZ59" s="144"/>
      <c r="BA59" s="805"/>
      <c r="BB59" s="422"/>
      <c r="BC59" s="144"/>
      <c r="BD59" s="144"/>
      <c r="BE59" s="144"/>
      <c r="BF59" s="144"/>
      <c r="BG59" s="144"/>
      <c r="BH59" s="144"/>
      <c r="BI59" s="805"/>
      <c r="BJ59" s="422"/>
      <c r="BK59" s="144"/>
      <c r="BL59" s="144"/>
      <c r="BM59" s="144"/>
      <c r="BN59" s="144"/>
      <c r="BO59" s="144"/>
      <c r="BP59" s="144"/>
      <c r="BQ59" s="144"/>
      <c r="BR59" s="805"/>
      <c r="BS59" s="204"/>
      <c r="BT59" s="144"/>
      <c r="BU59" s="144"/>
      <c r="BV59" s="144"/>
      <c r="BW59" s="144"/>
      <c r="BX59" s="144"/>
      <c r="BY59" s="144"/>
      <c r="BZ59" s="805"/>
      <c r="CA59" s="204"/>
      <c r="CB59" s="144"/>
      <c r="CC59" s="144"/>
      <c r="CD59" s="144"/>
      <c r="CE59" s="144"/>
      <c r="CF59" s="144"/>
      <c r="CG59" s="144"/>
      <c r="CH59" s="805"/>
      <c r="CI59" s="204"/>
      <c r="CJ59" s="144"/>
      <c r="CK59" s="144"/>
      <c r="CL59" s="144"/>
      <c r="CM59" s="144"/>
      <c r="CN59" s="144"/>
      <c r="CO59" s="144"/>
      <c r="CP59" s="805"/>
      <c r="CQ59" s="204"/>
      <c r="CR59" s="955"/>
      <c r="CS59" s="144"/>
      <c r="CT59" s="144"/>
      <c r="CU59" s="144" t="n">
        <f aca="false">+CR59-CS59</f>
        <v>0</v>
      </c>
      <c r="CV59" s="144" t="n">
        <f aca="false">+CR59-CT59</f>
        <v>0</v>
      </c>
      <c r="CW59" s="144"/>
      <c r="CX59" s="206" t="str">
        <f aca="false">IFERROR(CR59/CW59-1, "-")</f>
        <v>-</v>
      </c>
      <c r="CY59" s="945"/>
      <c r="CZ59" s="144"/>
      <c r="DA59" s="144"/>
      <c r="DB59" s="144"/>
      <c r="DC59" s="144"/>
      <c r="DD59" s="144"/>
      <c r="DE59" s="206"/>
      <c r="DF59" s="206"/>
      <c r="DG59" s="206"/>
      <c r="DH59" s="206"/>
      <c r="DI59" s="951"/>
      <c r="DJ59" s="117" t="n">
        <f aca="false">SUM(D59,J59,P59,V59,AD59,AL59,AU59,BC59,BK59,BT59,CB59,CJ59)-CR59</f>
        <v>0</v>
      </c>
      <c r="DK59" s="117" t="n">
        <f aca="false">SUM(E59,K59,Q59,W59,AE59,AM59,AV59,BD59,BL59,BU59,CC59,CK59)-CS59</f>
        <v>0</v>
      </c>
      <c r="DL59" s="117" t="n">
        <f aca="false">SUM(G59,M59,S59,AA59,AI59,AR59,AZ59,BH59,BQ59,BY59,CG59,CO59)-CW59</f>
        <v>0</v>
      </c>
      <c r="DM59" s="117" t="n">
        <f aca="false">SUM(D59,J59,P59,V59,AD59,AL59,AU59,BC59,,BN59,BV59,CD59,CL59)-CT59</f>
        <v>0</v>
      </c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</row>
    <row r="60" s="36" customFormat="true" ht="15" hidden="false" customHeight="true" outlineLevel="0" collapsed="false">
      <c r="A60" s="700" t="s">
        <v>41</v>
      </c>
      <c r="B60" s="707"/>
      <c r="C60" s="679" t="s">
        <v>799</v>
      </c>
      <c r="D60" s="603"/>
      <c r="E60" s="603"/>
      <c r="F60" s="603"/>
      <c r="G60" s="603"/>
      <c r="H60" s="606"/>
      <c r="I60" s="712"/>
      <c r="J60" s="603"/>
      <c r="K60" s="603"/>
      <c r="L60" s="603"/>
      <c r="M60" s="603"/>
      <c r="N60" s="606"/>
      <c r="O60" s="604"/>
      <c r="P60" s="603"/>
      <c r="Q60" s="603"/>
      <c r="R60" s="603"/>
      <c r="S60" s="603"/>
      <c r="T60" s="606"/>
      <c r="U60" s="610"/>
      <c r="V60" s="603"/>
      <c r="W60" s="603"/>
      <c r="X60" s="603"/>
      <c r="Y60" s="603"/>
      <c r="Z60" s="604"/>
      <c r="AA60" s="603"/>
      <c r="AB60" s="606"/>
      <c r="AC60" s="610"/>
      <c r="AD60" s="603"/>
      <c r="AE60" s="603"/>
      <c r="AF60" s="603"/>
      <c r="AG60" s="603"/>
      <c r="AH60" s="604"/>
      <c r="AI60" s="603"/>
      <c r="AJ60" s="606"/>
      <c r="AK60" s="610"/>
      <c r="AL60" s="603"/>
      <c r="AM60" s="603"/>
      <c r="AN60" s="603"/>
      <c r="AO60" s="603"/>
      <c r="AP60" s="603"/>
      <c r="AQ60" s="603"/>
      <c r="AR60" s="603"/>
      <c r="AS60" s="606"/>
      <c r="AT60" s="612"/>
      <c r="AU60" s="603"/>
      <c r="AV60" s="603"/>
      <c r="AW60" s="603"/>
      <c r="AX60" s="603"/>
      <c r="AY60" s="603"/>
      <c r="AZ60" s="603"/>
      <c r="BA60" s="606"/>
      <c r="BB60" s="610"/>
      <c r="BC60" s="603"/>
      <c r="BD60" s="603"/>
      <c r="BE60" s="603"/>
      <c r="BF60" s="603"/>
      <c r="BG60" s="603"/>
      <c r="BH60" s="603"/>
      <c r="BI60" s="606"/>
      <c r="BJ60" s="610"/>
      <c r="BK60" s="603"/>
      <c r="BL60" s="603"/>
      <c r="BM60" s="603"/>
      <c r="BN60" s="603"/>
      <c r="BO60" s="603"/>
      <c r="BP60" s="603"/>
      <c r="BQ60" s="603"/>
      <c r="BR60" s="606"/>
      <c r="BS60" s="610"/>
      <c r="BT60" s="603"/>
      <c r="BU60" s="603"/>
      <c r="BV60" s="603"/>
      <c r="BW60" s="603"/>
      <c r="BX60" s="603"/>
      <c r="BY60" s="603"/>
      <c r="BZ60" s="606"/>
      <c r="CA60" s="608"/>
      <c r="CB60" s="603"/>
      <c r="CC60" s="603"/>
      <c r="CD60" s="603"/>
      <c r="CE60" s="603"/>
      <c r="CF60" s="603"/>
      <c r="CG60" s="603"/>
      <c r="CH60" s="606"/>
      <c r="CI60" s="608"/>
      <c r="CJ60" s="603"/>
      <c r="CK60" s="603"/>
      <c r="CL60" s="603"/>
      <c r="CM60" s="603"/>
      <c r="CN60" s="603"/>
      <c r="CO60" s="603"/>
      <c r="CP60" s="606"/>
      <c r="CQ60" s="1099"/>
      <c r="CR60" s="1100"/>
      <c r="CS60" s="603"/>
      <c r="CT60" s="603"/>
      <c r="CU60" s="603" t="n">
        <f aca="false">+CR60-CS60</f>
        <v>0</v>
      </c>
      <c r="CV60" s="603" t="n">
        <f aca="false">+CR60-CT60</f>
        <v>0</v>
      </c>
      <c r="CW60" s="603"/>
      <c r="CX60" s="712" t="str">
        <f aca="false">IFERROR(CR60/CW60-1, "-")</f>
        <v>-</v>
      </c>
      <c r="CY60" s="945"/>
      <c r="CZ60" s="603"/>
      <c r="DA60" s="603"/>
      <c r="DB60" s="603"/>
      <c r="DC60" s="603"/>
      <c r="DD60" s="603"/>
      <c r="DE60" s="712" t="e">
        <f aca="false">CZ60/DD60-1</f>
        <v>#DIV/0!</v>
      </c>
      <c r="DF60" s="712" t="e">
        <f aca="false">DA60/DD60-1</f>
        <v>#DIV/0!</v>
      </c>
      <c r="DG60" s="712" t="e">
        <f aca="false">DB60/DD60-1</f>
        <v>#DIV/0!</v>
      </c>
      <c r="DH60" s="712" t="e">
        <f aca="false">DC60/DD60-1</f>
        <v>#DIV/0!</v>
      </c>
      <c r="DI60" s="951"/>
      <c r="DJ60" s="117" t="n">
        <f aca="false">SUM(D60,J60,P60,V60,AD60,AL60,AU60,BC60,BK60,BT60,CB60,CJ60)-CR60</f>
        <v>0</v>
      </c>
      <c r="DK60" s="117" t="n">
        <f aca="false">SUM(E60,K60,Q60,W60,AE60,AM60,AV60,BD60,BL60,BU60,CC60,CK60)-CS60</f>
        <v>0</v>
      </c>
      <c r="DL60" s="117" t="n">
        <f aca="false">SUM(G60,M60,S60,AA60,AI60,AR60,AZ60,BH60,BQ60,BY60,CG60,CO60)-CW60</f>
        <v>0</v>
      </c>
      <c r="DM60" s="117" t="n">
        <f aca="false">SUM(D60,J60,P60,V60,AD60,AL60,AU60,BC60,,BN60,BV60,CD60,CL60)-CT60</f>
        <v>0</v>
      </c>
      <c r="DN60" s="14"/>
      <c r="DO60" s="14"/>
      <c r="DP60" s="14"/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s="1117" customFormat="true" ht="13.5" hidden="false" customHeight="true" outlineLevel="0" collapsed="false">
      <c r="A61" s="1101" t="s">
        <v>800</v>
      </c>
      <c r="B61" s="1102"/>
      <c r="C61" s="679" t="s">
        <v>801</v>
      </c>
      <c r="D61" s="1103"/>
      <c r="E61" s="1104"/>
      <c r="F61" s="1105"/>
      <c r="G61" s="1106"/>
      <c r="H61" s="1107"/>
      <c r="I61" s="1103"/>
      <c r="J61" s="1103"/>
      <c r="K61" s="1104"/>
      <c r="L61" s="1105"/>
      <c r="M61" s="1106"/>
      <c r="N61" s="1108"/>
      <c r="O61" s="1103"/>
      <c r="P61" s="1103"/>
      <c r="Q61" s="1104"/>
      <c r="R61" s="1105"/>
      <c r="S61" s="1106"/>
      <c r="T61" s="1108"/>
      <c r="U61" s="1109"/>
      <c r="V61" s="1110"/>
      <c r="W61" s="1104"/>
      <c r="X61" s="1111"/>
      <c r="Y61" s="1105"/>
      <c r="Z61" s="1105"/>
      <c r="AA61" s="1106"/>
      <c r="AB61" s="1108"/>
      <c r="AC61" s="1112"/>
      <c r="AD61" s="1110"/>
      <c r="AE61" s="1104"/>
      <c r="AF61" s="1111"/>
      <c r="AG61" s="1105"/>
      <c r="AH61" s="1105"/>
      <c r="AI61" s="1106"/>
      <c r="AJ61" s="1108"/>
      <c r="AK61" s="1113"/>
      <c r="AL61" s="1103"/>
      <c r="AM61" s="1104"/>
      <c r="AN61" s="1104"/>
      <c r="AO61" s="1104"/>
      <c r="AP61" s="1105"/>
      <c r="AQ61" s="1105"/>
      <c r="AR61" s="1106"/>
      <c r="AS61" s="1108"/>
      <c r="AT61" s="1114"/>
      <c r="AU61" s="1103"/>
      <c r="AV61" s="1104"/>
      <c r="AW61" s="1104"/>
      <c r="AX61" s="1105"/>
      <c r="AY61" s="1105"/>
      <c r="AZ61" s="1106"/>
      <c r="BA61" s="1115"/>
      <c r="BB61" s="1114"/>
      <c r="BC61" s="1110"/>
      <c r="BD61" s="1104"/>
      <c r="BE61" s="1104"/>
      <c r="BF61" s="1105"/>
      <c r="BG61" s="1105"/>
      <c r="BH61" s="1106"/>
      <c r="BI61" s="1115"/>
      <c r="BJ61" s="1114"/>
      <c r="BK61" s="1110"/>
      <c r="BL61" s="1104"/>
      <c r="BM61" s="1104"/>
      <c r="BN61" s="1104"/>
      <c r="BO61" s="1105"/>
      <c r="BP61" s="1105"/>
      <c r="BQ61" s="1106"/>
      <c r="BR61" s="1115"/>
      <c r="BS61" s="1114"/>
      <c r="BT61" s="1103"/>
      <c r="BU61" s="1104"/>
      <c r="BV61" s="1104"/>
      <c r="BW61" s="1105"/>
      <c r="BX61" s="1105"/>
      <c r="BY61" s="1106"/>
      <c r="BZ61" s="1115"/>
      <c r="CA61" s="1114"/>
      <c r="CB61" s="1103"/>
      <c r="CC61" s="1104"/>
      <c r="CD61" s="1104"/>
      <c r="CE61" s="1105"/>
      <c r="CF61" s="1105"/>
      <c r="CG61" s="1106"/>
      <c r="CH61" s="1115"/>
      <c r="CI61" s="1114"/>
      <c r="CJ61" s="1103"/>
      <c r="CK61" s="1104"/>
      <c r="CL61" s="1104"/>
      <c r="CM61" s="1105"/>
      <c r="CN61" s="1105"/>
      <c r="CO61" s="1106"/>
      <c r="CP61" s="1115"/>
      <c r="CQ61" s="1112"/>
      <c r="CR61" s="1110"/>
      <c r="CS61" s="1103"/>
      <c r="CT61" s="1103"/>
      <c r="CU61" s="1115" t="n">
        <f aca="false">(CR61-CS61)*100</f>
        <v>0</v>
      </c>
      <c r="CV61" s="1115" t="n">
        <f aca="false">(CR61-CT61)*100</f>
        <v>0</v>
      </c>
      <c r="CW61" s="1110"/>
      <c r="CX61" s="1115" t="str">
        <f aca="false">IFERROR(CR61/CW61-1, "-")</f>
        <v>-</v>
      </c>
      <c r="CY61" s="945"/>
      <c r="CZ61" s="1104"/>
      <c r="DA61" s="1104"/>
      <c r="DB61" s="1104"/>
      <c r="DC61" s="1104"/>
      <c r="DD61" s="1106"/>
      <c r="DE61" s="1116" t="n">
        <f aca="false">(+CZ61-DD61)*100</f>
        <v>0</v>
      </c>
      <c r="DF61" s="1116" t="n">
        <f aca="false">(+DA61-DD61)*100</f>
        <v>0</v>
      </c>
      <c r="DG61" s="1116" t="n">
        <f aca="false">(+DB61-DD61)*100</f>
        <v>0</v>
      </c>
      <c r="DH61" s="1116" t="n">
        <f aca="false">(+DC61-DD61)*100</f>
        <v>0</v>
      </c>
      <c r="DI61" s="951"/>
      <c r="DJ61" s="117" t="n">
        <f aca="false">SUM(D61,J61,P61,V61,AD61,AL61,AU61,BC61,BK61,BT61,CB61,CJ61)-CR61</f>
        <v>0</v>
      </c>
      <c r="DK61" s="117" t="n">
        <f aca="false">SUM(E61,K61,Q61,W61,AE61,AM61,AV61,BD61,BL61,BU61,CC61,CK61)-CS61</f>
        <v>0</v>
      </c>
      <c r="DL61" s="117" t="n">
        <f aca="false">SUM(G61,M61,S61,AA61,AI61,AR61,AZ61,BH61,BQ61,BY61,CG61,CO61)-CW61</f>
        <v>0</v>
      </c>
      <c r="DM61" s="117" t="n">
        <f aca="false">SUM(D61,J61,P61,V61,AD61,AL61,AU61,BC61,,BN61,BV61,CD61,CL61)-CT61</f>
        <v>0</v>
      </c>
      <c r="DN61" s="260"/>
      <c r="DO61" s="260"/>
      <c r="DP61" s="260"/>
      <c r="DQ61" s="40"/>
      <c r="DR61" s="40"/>
      <c r="DS61" s="40"/>
      <c r="DT61" s="40"/>
      <c r="DU61" s="40"/>
      <c r="DV61" s="40"/>
      <c r="DW61" s="40"/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</row>
    <row r="62" s="1118" customFormat="true" ht="9" hidden="false" customHeight="true" outlineLevel="0" collapsed="false"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45"/>
      <c r="O62" s="206"/>
      <c r="P62" s="206"/>
      <c r="Q62" s="206"/>
      <c r="R62" s="206"/>
      <c r="S62" s="206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  <c r="BX62" s="245"/>
      <c r="BY62" s="245"/>
      <c r="BZ62" s="245"/>
      <c r="CA62" s="245"/>
      <c r="CB62" s="245"/>
      <c r="CC62" s="245"/>
      <c r="CD62" s="245"/>
      <c r="CE62" s="245"/>
      <c r="CF62" s="245"/>
      <c r="CG62" s="245"/>
      <c r="CH62" s="245"/>
      <c r="CI62" s="245"/>
      <c r="CJ62" s="421"/>
      <c r="CK62" s="144"/>
      <c r="CL62" s="144"/>
      <c r="CM62" s="144"/>
      <c r="CN62" s="144"/>
      <c r="CO62" s="144"/>
      <c r="CP62" s="1119"/>
      <c r="CQ62" s="206"/>
      <c r="CR62" s="1120" t="n">
        <f aca="false">CR60-SUM(CJ60,CB60,BT60,BK60,BC60,AU60,AL60,AD60,V60,P60,J60,D60)</f>
        <v>0</v>
      </c>
      <c r="CS62" s="1121" t="n">
        <f aca="false">CS60-SUM(CK60,CC60,BU60,BL60,BD60,AV60,AM60,AE60,W60,Q60,K60,E60)</f>
        <v>0</v>
      </c>
      <c r="CT62" s="144"/>
      <c r="CU62" s="144"/>
      <c r="CV62" s="955"/>
      <c r="CW62" s="144"/>
      <c r="CX62" s="206"/>
      <c r="CY62" s="1122"/>
      <c r="CZ62" s="144"/>
      <c r="DA62" s="144"/>
      <c r="DB62" s="144"/>
      <c r="DC62" s="144"/>
      <c r="DD62" s="144" t="n">
        <v>0</v>
      </c>
      <c r="DE62" s="206"/>
      <c r="DF62" s="245"/>
      <c r="DG62" s="206"/>
      <c r="DH62" s="206"/>
      <c r="DI62" s="256"/>
      <c r="DJ62" s="117" t="n">
        <f aca="false">SUM(D62,J62,P62,V62,AD62,AL62,AU62,BC62,BK62,BT62,CB62,CJ62)-CR62</f>
        <v>0</v>
      </c>
      <c r="DK62" s="117" t="n">
        <f aca="false">SUM(E62,K62,Q62,W62,AE62,AM62,AV62,BD62,BL62,BU62,CC62,CK62)-CS62</f>
        <v>0</v>
      </c>
      <c r="DL62" s="117" t="n">
        <f aca="false">SUM(G62,M62,S62,AA62,AI62,AR62,AZ62,BH62,BQ62,BY62,CG62,CO62)-CW62</f>
        <v>0</v>
      </c>
      <c r="DM62" s="117" t="n">
        <f aca="false">SUM(D62,J62,P62,V62,AD62,AL62,AU62,BC62,,BN62,BV62,CD62,CL62)-CT62</f>
        <v>0</v>
      </c>
      <c r="DN62" s="141"/>
      <c r="DO62" s="141"/>
      <c r="DP62" s="141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  <c r="EF62" s="150"/>
      <c r="EG62" s="150"/>
      <c r="EH62" s="150"/>
      <c r="EI62" s="150"/>
      <c r="EJ62" s="150"/>
      <c r="EK62" s="150"/>
      <c r="EL62" s="150"/>
      <c r="EM62" s="150"/>
      <c r="EN62" s="150"/>
      <c r="EO62" s="150"/>
      <c r="EP62" s="150"/>
      <c r="EQ62" s="150"/>
      <c r="ER62" s="150"/>
      <c r="ES62" s="150"/>
      <c r="ET62" s="150"/>
      <c r="EU62" s="150"/>
      <c r="EV62" s="150"/>
      <c r="EW62" s="150"/>
      <c r="EX62" s="150"/>
      <c r="EY62" s="150"/>
      <c r="EZ62" s="150"/>
      <c r="FA62" s="150"/>
      <c r="FB62" s="150"/>
      <c r="FC62" s="150"/>
      <c r="FD62" s="150"/>
      <c r="FE62" s="150"/>
      <c r="FF62" s="150"/>
      <c r="FG62" s="150"/>
      <c r="FH62" s="150"/>
      <c r="FI62" s="150"/>
      <c r="FJ62" s="150"/>
      <c r="FK62" s="150"/>
      <c r="FL62" s="150"/>
      <c r="FM62" s="150"/>
      <c r="FN62" s="150"/>
      <c r="FO62" s="150"/>
      <c r="FP62" s="150"/>
      <c r="FQ62" s="150"/>
      <c r="FR62" s="150"/>
    </row>
    <row r="63" s="36" customFormat="true" ht="15" hidden="true" customHeight="true" outlineLevel="0" collapsed="false">
      <c r="A63" s="700" t="s">
        <v>802</v>
      </c>
      <c r="B63" s="707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731"/>
      <c r="O63" s="105"/>
      <c r="P63" s="105"/>
      <c r="Q63" s="105"/>
      <c r="R63" s="105"/>
      <c r="S63" s="105"/>
      <c r="T63" s="731"/>
      <c r="U63" s="731"/>
      <c r="V63" s="731"/>
      <c r="W63" s="731"/>
      <c r="X63" s="731"/>
      <c r="Y63" s="731"/>
      <c r="Z63" s="731"/>
      <c r="AA63" s="731"/>
      <c r="AB63" s="731"/>
      <c r="AC63" s="731"/>
      <c r="AD63" s="731"/>
      <c r="AE63" s="731"/>
      <c r="AF63" s="731"/>
      <c r="AG63" s="731"/>
      <c r="AH63" s="731"/>
      <c r="AI63" s="731"/>
      <c r="AJ63" s="731"/>
      <c r="AK63" s="731"/>
      <c r="AL63" s="731"/>
      <c r="AM63" s="731"/>
      <c r="AN63" s="731"/>
      <c r="AO63" s="731"/>
      <c r="AP63" s="731"/>
      <c r="AQ63" s="731"/>
      <c r="AR63" s="731"/>
      <c r="AS63" s="731"/>
      <c r="AT63" s="731"/>
      <c r="AU63" s="731"/>
      <c r="AV63" s="731"/>
      <c r="AW63" s="731"/>
      <c r="AX63" s="731"/>
      <c r="AY63" s="731"/>
      <c r="AZ63" s="731"/>
      <c r="BA63" s="731"/>
      <c r="BB63" s="731"/>
      <c r="BC63" s="731"/>
      <c r="BD63" s="731"/>
      <c r="BE63" s="731"/>
      <c r="BF63" s="731"/>
      <c r="BG63" s="731"/>
      <c r="BH63" s="731"/>
      <c r="BI63" s="731"/>
      <c r="BJ63" s="731"/>
      <c r="BK63" s="731"/>
      <c r="BL63" s="731"/>
      <c r="BM63" s="731"/>
      <c r="BN63" s="731"/>
      <c r="BO63" s="731"/>
      <c r="BP63" s="731"/>
      <c r="BQ63" s="731"/>
      <c r="BR63" s="731"/>
      <c r="BS63" s="731"/>
      <c r="BT63" s="731"/>
      <c r="BU63" s="731"/>
      <c r="BV63" s="731"/>
      <c r="BW63" s="731"/>
      <c r="BX63" s="731"/>
      <c r="BY63" s="731"/>
      <c r="BZ63" s="731"/>
      <c r="CA63" s="731"/>
      <c r="CB63" s="731"/>
      <c r="CC63" s="731"/>
      <c r="CD63" s="731"/>
      <c r="CE63" s="731"/>
      <c r="CF63" s="731"/>
      <c r="CG63" s="731"/>
      <c r="CH63" s="731"/>
      <c r="CI63" s="731"/>
      <c r="CJ63" s="1123"/>
      <c r="CK63" s="1124"/>
      <c r="CL63" s="1124"/>
      <c r="CM63" s="1124"/>
      <c r="CN63" s="1124"/>
      <c r="CO63" s="1124"/>
      <c r="CP63" s="1125"/>
      <c r="CQ63" s="401"/>
      <c r="CR63" s="408"/>
      <c r="CS63" s="1124"/>
      <c r="CT63" s="1124"/>
      <c r="CU63" s="1124"/>
      <c r="CV63" s="408"/>
      <c r="CW63" s="1124"/>
      <c r="CX63" s="1126"/>
      <c r="CY63" s="387"/>
      <c r="CZ63" s="1124"/>
      <c r="DA63" s="1124"/>
      <c r="DB63" s="1124"/>
      <c r="DC63" s="1124"/>
      <c r="DD63" s="1124"/>
      <c r="DE63" s="1124"/>
      <c r="DF63" s="1127"/>
      <c r="DG63" s="1124"/>
      <c r="DH63" s="1124"/>
      <c r="DI63" s="256"/>
      <c r="DJ63" s="14"/>
      <c r="DK63" s="14"/>
      <c r="DL63" s="14"/>
      <c r="DM63" s="14"/>
      <c r="DN63" s="14"/>
      <c r="DO63" s="14"/>
      <c r="DP63" s="14"/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5" hidden="true" customHeight="true" outlineLevel="0" collapsed="false">
      <c r="A64" s="1128" t="s">
        <v>43</v>
      </c>
      <c r="B64" s="1129"/>
      <c r="C64" s="206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1130"/>
      <c r="CK64" s="1131"/>
      <c r="CL64" s="1131"/>
      <c r="CM64" s="1132"/>
      <c r="CN64" s="1132"/>
      <c r="CO64" s="1131"/>
      <c r="CP64" s="1133"/>
      <c r="CQ64" s="1132"/>
      <c r="CR64" s="1134"/>
      <c r="CS64" s="1131"/>
      <c r="CT64" s="1131"/>
      <c r="CU64" s="1132"/>
      <c r="CV64" s="1134"/>
      <c r="CW64" s="1131"/>
      <c r="CX64" s="1135"/>
      <c r="CY64" s="1136"/>
      <c r="CZ64" s="1132"/>
      <c r="DA64" s="1131"/>
      <c r="DB64" s="1131"/>
      <c r="DC64" s="1132"/>
      <c r="DD64" s="1132"/>
      <c r="DE64" s="1131"/>
      <c r="DF64" s="1137"/>
      <c r="DG64" s="1138"/>
      <c r="DH64" s="1139"/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</row>
    <row r="65" s="144" customFormat="true" ht="12" hidden="true" customHeight="true" outlineLevel="0" collapsed="false">
      <c r="A65" s="1140"/>
      <c r="B65" s="1140"/>
      <c r="N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245"/>
      <c r="BC65" s="245"/>
      <c r="BD65" s="245"/>
      <c r="BE65" s="245"/>
      <c r="BF65" s="245"/>
      <c r="BG65" s="245"/>
      <c r="BH65" s="245"/>
      <c r="BI65" s="245"/>
      <c r="BJ65" s="245"/>
      <c r="BK65" s="245"/>
      <c r="BL65" s="245"/>
      <c r="BM65" s="245"/>
      <c r="BN65" s="245"/>
      <c r="BO65" s="245"/>
      <c r="BP65" s="245"/>
      <c r="BQ65" s="245"/>
      <c r="BR65" s="245"/>
      <c r="BS65" s="245"/>
      <c r="BT65" s="245"/>
      <c r="BU65" s="245"/>
      <c r="BV65" s="245"/>
      <c r="BW65" s="245"/>
      <c r="BX65" s="245"/>
      <c r="BY65" s="245"/>
      <c r="BZ65" s="245"/>
      <c r="CA65" s="245"/>
      <c r="CB65" s="245"/>
      <c r="CC65" s="245"/>
      <c r="CD65" s="245"/>
      <c r="CE65" s="245"/>
      <c r="CF65" s="245"/>
      <c r="CG65" s="245"/>
      <c r="CH65" s="245"/>
      <c r="CI65" s="245"/>
      <c r="CR65" s="1141"/>
      <c r="CV65" s="955"/>
      <c r="DI65" s="256"/>
      <c r="DJ65" s="14"/>
      <c r="DK65" s="14"/>
      <c r="DL65" s="14"/>
      <c r="DM65" s="14"/>
      <c r="DN65" s="14"/>
      <c r="DO65" s="14"/>
      <c r="DP65" s="14"/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</row>
    <row r="66" s="280" customFormat="true" ht="18" hidden="true" customHeight="true" outlineLevel="1" collapsed="false">
      <c r="B66" s="1142" t="s">
        <v>803</v>
      </c>
      <c r="N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  <c r="AU66" s="245"/>
      <c r="AV66" s="245"/>
      <c r="AW66" s="245"/>
      <c r="AX66" s="245"/>
      <c r="AY66" s="245"/>
      <c r="AZ66" s="245"/>
      <c r="BA66" s="245"/>
      <c r="BB66" s="245"/>
      <c r="BC66" s="245"/>
      <c r="BD66" s="245"/>
      <c r="BE66" s="245"/>
      <c r="BF66" s="245"/>
      <c r="BG66" s="245"/>
      <c r="BH66" s="245"/>
      <c r="BI66" s="245"/>
      <c r="BJ66" s="245"/>
      <c r="BK66" s="245"/>
      <c r="BL66" s="245"/>
      <c r="BM66" s="245"/>
      <c r="BN66" s="245"/>
      <c r="BO66" s="245"/>
      <c r="BP66" s="245"/>
      <c r="BQ66" s="245"/>
      <c r="BR66" s="245"/>
      <c r="BS66" s="245"/>
      <c r="BT66" s="245"/>
      <c r="BU66" s="245"/>
      <c r="BV66" s="245"/>
      <c r="BW66" s="245"/>
      <c r="BX66" s="245"/>
      <c r="BY66" s="245"/>
      <c r="BZ66" s="245"/>
      <c r="CA66" s="245"/>
      <c r="CB66" s="245"/>
      <c r="CC66" s="245"/>
      <c r="CD66" s="245"/>
      <c r="CE66" s="245"/>
      <c r="CF66" s="245"/>
      <c r="CG66" s="245"/>
      <c r="CH66" s="245"/>
      <c r="CI66" s="245"/>
      <c r="CJ66" s="1143"/>
      <c r="CK66" s="1144"/>
      <c r="CL66" s="1144"/>
      <c r="CM66" s="144"/>
      <c r="CN66" s="144"/>
      <c r="CO66" s="144"/>
      <c r="CP66" s="1145"/>
      <c r="CQ66" s="1145"/>
      <c r="CR66" s="1146"/>
      <c r="CS66" s="144"/>
      <c r="CT66" s="144"/>
      <c r="CU66" s="1147"/>
      <c r="CV66" s="1148"/>
      <c r="CW66" s="144"/>
      <c r="CX66" s="245"/>
      <c r="CZ66" s="144"/>
      <c r="DA66" s="144"/>
      <c r="DB66" s="144"/>
      <c r="DC66" s="144"/>
      <c r="DD66" s="144"/>
      <c r="DF66" s="245"/>
      <c r="DI66" s="256"/>
      <c r="DJ66" s="14"/>
      <c r="DK66" s="14"/>
      <c r="DL66" s="14"/>
      <c r="DM66" s="14"/>
      <c r="DN66" s="14"/>
      <c r="DO66" s="14"/>
      <c r="DP66" s="14"/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</row>
    <row r="67" s="280" customFormat="true" ht="18" hidden="true" customHeight="true" outlineLevel="1" collapsed="false">
      <c r="B67" s="1142"/>
      <c r="K67" s="281"/>
      <c r="N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  <c r="BE67" s="245"/>
      <c r="BF67" s="245"/>
      <c r="BG67" s="245"/>
      <c r="BH67" s="245"/>
      <c r="BI67" s="245"/>
      <c r="BJ67" s="245"/>
      <c r="BK67" s="245"/>
      <c r="BL67" s="245"/>
      <c r="BM67" s="245"/>
      <c r="BN67" s="245"/>
      <c r="BO67" s="245"/>
      <c r="BP67" s="245"/>
      <c r="BQ67" s="245"/>
      <c r="BR67" s="245"/>
      <c r="BS67" s="245"/>
      <c r="BT67" s="245"/>
      <c r="BU67" s="245"/>
      <c r="BV67" s="245"/>
      <c r="BW67" s="245"/>
      <c r="BX67" s="245"/>
      <c r="BY67" s="245"/>
      <c r="BZ67" s="245"/>
      <c r="CA67" s="245"/>
      <c r="CB67" s="245"/>
      <c r="CC67" s="245"/>
      <c r="CD67" s="245"/>
      <c r="CE67" s="245"/>
      <c r="CF67" s="245"/>
      <c r="CG67" s="245"/>
      <c r="CH67" s="245"/>
      <c r="CI67" s="245"/>
      <c r="CJ67" s="1144"/>
      <c r="CK67" s="144"/>
      <c r="CL67" s="144"/>
      <c r="CM67" s="144"/>
      <c r="CN67" s="144"/>
      <c r="CO67" s="144"/>
      <c r="CP67" s="1145"/>
      <c r="CQ67" s="1145"/>
      <c r="CR67" s="955"/>
      <c r="CS67" s="144"/>
      <c r="CT67" s="144"/>
      <c r="CU67" s="1147"/>
      <c r="CV67" s="1148"/>
      <c r="CW67" s="144"/>
      <c r="CX67" s="245"/>
      <c r="CZ67" s="144"/>
      <c r="DA67" s="144"/>
      <c r="DB67" s="144"/>
      <c r="DC67" s="144"/>
      <c r="DD67" s="144"/>
      <c r="DF67" s="245"/>
      <c r="DI67" s="256"/>
      <c r="DJ67" s="14"/>
      <c r="DK67" s="14"/>
      <c r="DL67" s="14"/>
      <c r="DM67" s="14"/>
      <c r="DN67" s="14"/>
      <c r="DO67" s="14"/>
      <c r="DP67" s="14"/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</row>
    <row r="68" s="172" customFormat="true" ht="12.75" hidden="true" customHeight="true" outlineLevel="1" collapsed="false">
      <c r="B68" s="1149" t="s">
        <v>804</v>
      </c>
      <c r="C68" s="134"/>
      <c r="D68" s="134"/>
      <c r="E68" s="134"/>
      <c r="F68" s="134"/>
      <c r="G68" s="134"/>
      <c r="H68" s="134"/>
      <c r="I68" s="134"/>
      <c r="J68" s="134"/>
      <c r="K68" s="281"/>
      <c r="L68" s="134"/>
      <c r="M68" s="134"/>
      <c r="N68" s="1150"/>
      <c r="O68" s="134"/>
      <c r="P68" s="134"/>
      <c r="Q68" s="134"/>
      <c r="R68" s="134"/>
      <c r="S68" s="134"/>
      <c r="T68" s="1150"/>
      <c r="U68" s="1150"/>
      <c r="V68" s="1150"/>
      <c r="W68" s="1150"/>
      <c r="X68" s="1150"/>
      <c r="Y68" s="1150"/>
      <c r="Z68" s="1150"/>
      <c r="AA68" s="1150"/>
      <c r="AB68" s="1150"/>
      <c r="AC68" s="1150"/>
      <c r="AD68" s="1150"/>
      <c r="AE68" s="1150"/>
      <c r="AF68" s="1150"/>
      <c r="AG68" s="1150"/>
      <c r="AH68" s="1150"/>
      <c r="AI68" s="1150"/>
      <c r="AJ68" s="1150"/>
      <c r="AK68" s="1150"/>
      <c r="AL68" s="1150"/>
      <c r="AM68" s="1150"/>
      <c r="AN68" s="1150"/>
      <c r="AO68" s="1150"/>
      <c r="AP68" s="1150"/>
      <c r="AQ68" s="1150"/>
      <c r="AR68" s="1150"/>
      <c r="AS68" s="1150"/>
      <c r="AT68" s="1150"/>
      <c r="AU68" s="1150"/>
      <c r="AV68" s="1150"/>
      <c r="AW68" s="1150"/>
      <c r="AX68" s="1150"/>
      <c r="AY68" s="1150"/>
      <c r="AZ68" s="1150"/>
      <c r="BA68" s="1150"/>
      <c r="BB68" s="1150"/>
      <c r="BC68" s="1150"/>
      <c r="BD68" s="1150"/>
      <c r="BE68" s="1150"/>
      <c r="BF68" s="1150"/>
      <c r="BG68" s="1150"/>
      <c r="BH68" s="1150"/>
      <c r="BI68" s="1150"/>
      <c r="BJ68" s="1150"/>
      <c r="BK68" s="1150"/>
      <c r="BL68" s="1150"/>
      <c r="BM68" s="1150"/>
      <c r="BN68" s="1150"/>
      <c r="BO68" s="1150"/>
      <c r="BP68" s="1150"/>
      <c r="BQ68" s="1150"/>
      <c r="BR68" s="1150"/>
      <c r="BS68" s="1150"/>
      <c r="BT68" s="1150"/>
      <c r="BU68" s="1150"/>
      <c r="BV68" s="1150"/>
      <c r="BW68" s="1150"/>
      <c r="BX68" s="1150"/>
      <c r="BY68" s="1150"/>
      <c r="BZ68" s="1150"/>
      <c r="CA68" s="1150"/>
      <c r="CB68" s="1150"/>
      <c r="CC68" s="1150"/>
      <c r="CD68" s="1150"/>
      <c r="CE68" s="1150"/>
      <c r="CF68" s="1150"/>
      <c r="CG68" s="1150"/>
      <c r="CH68" s="1150"/>
      <c r="CI68" s="1150"/>
      <c r="CJ68" s="1151"/>
      <c r="CK68" s="134"/>
      <c r="CL68" s="134"/>
      <c r="CM68" s="134"/>
      <c r="CN68" s="134"/>
      <c r="CO68" s="134"/>
      <c r="CP68" s="134"/>
      <c r="CQ68" s="134"/>
      <c r="CR68" s="1152"/>
      <c r="CS68" s="135"/>
      <c r="CT68" s="135"/>
      <c r="CU68" s="135"/>
      <c r="CV68" s="1152"/>
      <c r="CW68" s="135"/>
      <c r="CX68" s="1150"/>
      <c r="CY68" s="134"/>
      <c r="CZ68" s="135"/>
      <c r="DA68" s="135"/>
      <c r="DB68" s="135"/>
      <c r="DC68" s="135"/>
      <c r="DD68" s="135"/>
      <c r="DE68" s="134"/>
      <c r="DF68" s="1150"/>
      <c r="DG68" s="134"/>
      <c r="DH68" s="134"/>
      <c r="DI68" s="256"/>
      <c r="DJ68" s="14"/>
      <c r="DK68" s="14"/>
      <c r="DL68" s="14"/>
      <c r="DM68" s="14"/>
      <c r="DN68" s="14"/>
      <c r="DO68" s="14"/>
      <c r="DP68" s="14"/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true" customHeight="true" outlineLevel="1" collapsed="false">
      <c r="B69" s="1153"/>
      <c r="C69" s="206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/>
      <c r="BE69" s="245"/>
      <c r="BF69" s="245"/>
      <c r="BG69" s="245"/>
      <c r="BH69" s="245"/>
      <c r="BI69" s="245"/>
      <c r="BJ69" s="245"/>
      <c r="BK69" s="245"/>
      <c r="BL69" s="245"/>
      <c r="BM69" s="245"/>
      <c r="BN69" s="245"/>
      <c r="BO69" s="245"/>
      <c r="BP69" s="245"/>
      <c r="BQ69" s="245"/>
      <c r="BR69" s="245"/>
      <c r="BS69" s="245"/>
      <c r="BT69" s="245"/>
      <c r="BU69" s="245"/>
      <c r="BV69" s="245"/>
      <c r="BW69" s="245"/>
      <c r="BX69" s="245"/>
      <c r="BY69" s="245"/>
      <c r="BZ69" s="245"/>
      <c r="CA69" s="245"/>
      <c r="CB69" s="245"/>
      <c r="CC69" s="245"/>
      <c r="CD69" s="245"/>
      <c r="CE69" s="245"/>
      <c r="CF69" s="245"/>
      <c r="CG69" s="245"/>
      <c r="CH69" s="245"/>
      <c r="CI69" s="245"/>
      <c r="CJ69" s="1154"/>
      <c r="CK69" s="206"/>
      <c r="CL69" s="206"/>
      <c r="CM69" s="206"/>
      <c r="CN69" s="206"/>
      <c r="CO69" s="206"/>
      <c r="CP69" s="206"/>
      <c r="CQ69" s="206"/>
      <c r="CR69" s="955"/>
      <c r="CS69" s="144"/>
      <c r="CT69" s="144"/>
      <c r="CU69" s="144"/>
      <c r="CV69" s="955"/>
      <c r="CW69" s="144"/>
      <c r="CX69" s="245"/>
      <c r="CY69" s="206"/>
      <c r="CZ69" s="144"/>
      <c r="DA69" s="144"/>
      <c r="DB69" s="144"/>
      <c r="DC69" s="144"/>
      <c r="DD69" s="144"/>
      <c r="DE69" s="206"/>
      <c r="DF69" s="245"/>
      <c r="DG69" s="206"/>
      <c r="DH69" s="206"/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</row>
    <row r="70" customFormat="false" ht="12.75" hidden="true" customHeight="true" outlineLevel="1" collapsed="false">
      <c r="B70" s="1142" t="s">
        <v>803</v>
      </c>
      <c r="C70" s="206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245"/>
      <c r="BG70" s="245"/>
      <c r="BH70" s="245"/>
      <c r="BI70" s="245"/>
      <c r="BJ70" s="245"/>
      <c r="BK70" s="245"/>
      <c r="BL70" s="245"/>
      <c r="BM70" s="245"/>
      <c r="BN70" s="245"/>
      <c r="BO70" s="245"/>
      <c r="BP70" s="245"/>
      <c r="BQ70" s="245"/>
      <c r="BR70" s="245"/>
      <c r="BS70" s="245"/>
      <c r="BT70" s="245"/>
      <c r="BU70" s="245"/>
      <c r="BV70" s="245"/>
      <c r="BW70" s="245"/>
      <c r="BX70" s="245"/>
      <c r="BY70" s="245"/>
      <c r="BZ70" s="245"/>
      <c r="CA70" s="245"/>
      <c r="CB70" s="245"/>
      <c r="CC70" s="245"/>
      <c r="CD70" s="245"/>
      <c r="CE70" s="245"/>
      <c r="CF70" s="245"/>
      <c r="CG70" s="245"/>
      <c r="CH70" s="245"/>
      <c r="CI70" s="245"/>
      <c r="CJ70" s="1155"/>
      <c r="CK70" s="1155"/>
      <c r="CL70" s="1155"/>
      <c r="CM70" s="206"/>
      <c r="CN70" s="206"/>
      <c r="CO70" s="206"/>
      <c r="CP70" s="206"/>
      <c r="CQ70" s="206"/>
      <c r="CR70" s="955" t="n">
        <v>2648.346459</v>
      </c>
      <c r="CS70" s="144"/>
      <c r="CT70" s="144"/>
      <c r="CU70" s="144"/>
      <c r="CV70" s="955"/>
      <c r="CW70" s="144"/>
      <c r="CX70" s="245"/>
      <c r="CY70" s="206"/>
      <c r="CZ70" s="144"/>
      <c r="DA70" s="144"/>
      <c r="DB70" s="144"/>
      <c r="DC70" s="144"/>
      <c r="DD70" s="144"/>
      <c r="DE70" s="206"/>
      <c r="DF70" s="245"/>
      <c r="DG70" s="206"/>
      <c r="DH70" s="206"/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</row>
    <row r="71" customFormat="false" ht="12.75" hidden="true" customHeight="true" outlineLevel="1" collapsed="false">
      <c r="C71" s="206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245"/>
      <c r="BG71" s="245"/>
      <c r="BH71" s="245"/>
      <c r="BI71" s="245"/>
      <c r="BJ71" s="245"/>
      <c r="BK71" s="245"/>
      <c r="BL71" s="245"/>
      <c r="BM71" s="245"/>
      <c r="BN71" s="245"/>
      <c r="BO71" s="245"/>
      <c r="BP71" s="245"/>
      <c r="BQ71" s="245"/>
      <c r="BR71" s="245"/>
      <c r="BS71" s="245"/>
      <c r="BT71" s="245"/>
      <c r="BU71" s="245"/>
      <c r="BV71" s="245"/>
      <c r="BW71" s="245"/>
      <c r="BX71" s="245"/>
      <c r="BY71" s="245"/>
      <c r="BZ71" s="245"/>
      <c r="CA71" s="245"/>
      <c r="CB71" s="245"/>
      <c r="CC71" s="245"/>
      <c r="CD71" s="245"/>
      <c r="CE71" s="245"/>
      <c r="CF71" s="245"/>
      <c r="CG71" s="245"/>
      <c r="CH71" s="245"/>
      <c r="CI71" s="245"/>
      <c r="CJ71" s="1156"/>
      <c r="CK71" s="206"/>
      <c r="CL71" s="206"/>
      <c r="CM71" s="206"/>
      <c r="CN71" s="206"/>
      <c r="CO71" s="206"/>
      <c r="CP71" s="206"/>
      <c r="CQ71" s="206"/>
      <c r="CR71" s="955" t="n">
        <f aca="false">CR70+CR56</f>
        <v>2648.346459</v>
      </c>
      <c r="CS71" s="144"/>
      <c r="CT71" s="144"/>
      <c r="CU71" s="144"/>
      <c r="CV71" s="955"/>
      <c r="CW71" s="130"/>
      <c r="CX71" s="245"/>
      <c r="CY71" s="206"/>
      <c r="CZ71" s="144"/>
      <c r="DA71" s="144"/>
      <c r="DB71" s="144"/>
      <c r="DC71" s="144"/>
      <c r="DD71" s="144"/>
      <c r="DE71" s="206"/>
      <c r="DF71" s="245"/>
      <c r="DG71" s="206"/>
      <c r="DH71" s="206"/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</row>
    <row r="72" customFormat="false" ht="12.75" hidden="true" customHeight="true" outlineLevel="0" collapsed="false">
      <c r="C72" s="206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/>
      <c r="AV72" s="245"/>
      <c r="AW72" s="245"/>
      <c r="AX72" s="245"/>
      <c r="AY72" s="245"/>
      <c r="AZ72" s="245"/>
      <c r="BA72" s="245"/>
      <c r="BB72" s="245"/>
      <c r="BC72" s="245"/>
      <c r="BD72" s="245"/>
      <c r="BE72" s="245"/>
      <c r="BF72" s="245"/>
      <c r="BG72" s="245"/>
      <c r="BH72" s="245"/>
      <c r="BI72" s="245"/>
      <c r="BJ72" s="245"/>
      <c r="BK72" s="245"/>
      <c r="BL72" s="245"/>
      <c r="BM72" s="245"/>
      <c r="BN72" s="245"/>
      <c r="BO72" s="245"/>
      <c r="BP72" s="245"/>
      <c r="BQ72" s="245"/>
      <c r="BR72" s="245"/>
      <c r="BS72" s="245"/>
      <c r="BT72" s="245"/>
      <c r="BU72" s="245"/>
      <c r="BV72" s="245"/>
      <c r="BW72" s="245"/>
      <c r="BX72" s="245"/>
      <c r="BY72" s="245"/>
      <c r="BZ72" s="245"/>
      <c r="CA72" s="245"/>
      <c r="CB72" s="245"/>
      <c r="CC72" s="245"/>
      <c r="CD72" s="245"/>
      <c r="CE72" s="245"/>
      <c r="CF72" s="245"/>
      <c r="CG72" s="245"/>
      <c r="CH72" s="245"/>
      <c r="CI72" s="245"/>
      <c r="CJ72" s="858"/>
      <c r="CK72" s="858"/>
      <c r="CL72" s="858"/>
      <c r="CM72" s="858"/>
      <c r="CN72" s="858"/>
      <c r="CO72" s="858"/>
      <c r="CP72" s="858"/>
      <c r="CQ72" s="858"/>
      <c r="CR72" s="955"/>
      <c r="CS72" s="144"/>
      <c r="CT72" s="1157"/>
      <c r="CU72" s="144"/>
      <c r="CV72" s="955"/>
      <c r="CW72" s="144"/>
      <c r="CX72" s="245"/>
      <c r="CY72" s="206"/>
      <c r="CZ72" s="144"/>
      <c r="DA72" s="144"/>
      <c r="DB72" s="144"/>
      <c r="DC72" s="144"/>
      <c r="DD72" s="144"/>
      <c r="DE72" s="858"/>
      <c r="DF72" s="245"/>
      <c r="DG72" s="858"/>
      <c r="DH72" s="858"/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</row>
    <row r="73" s="1158" customFormat="true" ht="12.75" hidden="true" customHeight="true" outlineLevel="0" collapsed="false">
      <c r="B73" s="1159" t="s">
        <v>805</v>
      </c>
      <c r="C73" s="1160"/>
      <c r="D73" s="1160"/>
      <c r="E73" s="1160"/>
      <c r="F73" s="1160"/>
      <c r="G73" s="1160"/>
      <c r="H73" s="1160"/>
      <c r="I73" s="1160"/>
      <c r="J73" s="1160"/>
      <c r="K73" s="1160"/>
      <c r="L73" s="1160"/>
      <c r="M73" s="1160"/>
      <c r="N73" s="1161"/>
      <c r="O73" s="1160"/>
      <c r="P73" s="1160"/>
      <c r="Q73" s="1160"/>
      <c r="R73" s="1160"/>
      <c r="S73" s="1160"/>
      <c r="T73" s="1161"/>
      <c r="U73" s="1161"/>
      <c r="V73" s="1161"/>
      <c r="W73" s="1161"/>
      <c r="X73" s="1161"/>
      <c r="Y73" s="1161"/>
      <c r="Z73" s="1161"/>
      <c r="AA73" s="1161"/>
      <c r="AB73" s="1161"/>
      <c r="AC73" s="1161"/>
      <c r="AD73" s="1161"/>
      <c r="AE73" s="1161"/>
      <c r="AF73" s="1161"/>
      <c r="AG73" s="1161"/>
      <c r="AH73" s="1161"/>
      <c r="AI73" s="1161"/>
      <c r="AJ73" s="1161"/>
      <c r="AK73" s="1161"/>
      <c r="AL73" s="1161"/>
      <c r="AM73" s="1161"/>
      <c r="AN73" s="1161"/>
      <c r="AO73" s="1161"/>
      <c r="AP73" s="1161"/>
      <c r="AQ73" s="1161"/>
      <c r="AR73" s="1161"/>
      <c r="AS73" s="1161"/>
      <c r="AT73" s="1161"/>
      <c r="AU73" s="1161"/>
      <c r="AV73" s="1161"/>
      <c r="AW73" s="1161"/>
      <c r="AX73" s="1161"/>
      <c r="AY73" s="1161"/>
      <c r="AZ73" s="1161"/>
      <c r="BA73" s="1161"/>
      <c r="BB73" s="1161"/>
      <c r="BC73" s="1161"/>
      <c r="BD73" s="1161"/>
      <c r="BE73" s="1161"/>
      <c r="BF73" s="1161"/>
      <c r="BG73" s="1161"/>
      <c r="BH73" s="1161"/>
      <c r="BI73" s="1161"/>
      <c r="BJ73" s="1161"/>
      <c r="BK73" s="1161"/>
      <c r="BL73" s="1161"/>
      <c r="BM73" s="1161"/>
      <c r="BN73" s="1161"/>
      <c r="BO73" s="1161"/>
      <c r="BP73" s="1161"/>
      <c r="BQ73" s="1161"/>
      <c r="BR73" s="1161"/>
      <c r="BS73" s="1161"/>
      <c r="BT73" s="1161"/>
      <c r="BU73" s="1161"/>
      <c r="BV73" s="1161"/>
      <c r="BW73" s="1161"/>
      <c r="BX73" s="1161"/>
      <c r="BY73" s="1161"/>
      <c r="BZ73" s="1161"/>
      <c r="CA73" s="1161"/>
      <c r="CB73" s="1161"/>
      <c r="CC73" s="1161"/>
      <c r="CD73" s="1161"/>
      <c r="CE73" s="1161"/>
      <c r="CF73" s="1161"/>
      <c r="CG73" s="1161"/>
      <c r="CH73" s="1161"/>
      <c r="CI73" s="1161"/>
      <c r="CJ73" s="1162"/>
      <c r="CK73" s="1162"/>
      <c r="CL73" s="1162"/>
      <c r="CM73" s="1163"/>
      <c r="CN73" s="1163"/>
      <c r="CO73" s="1163"/>
      <c r="CP73" s="1163"/>
      <c r="CQ73" s="1163"/>
      <c r="CR73" s="1164"/>
      <c r="CS73" s="1162"/>
      <c r="CT73" s="1165"/>
      <c r="CU73" s="1165"/>
      <c r="CV73" s="1164"/>
      <c r="CW73" s="1165"/>
      <c r="CX73" s="1161"/>
      <c r="CY73" s="1160"/>
      <c r="CZ73" s="1165"/>
      <c r="DA73" s="1165"/>
      <c r="DB73" s="1165"/>
      <c r="DC73" s="1165"/>
      <c r="DD73" s="1165"/>
      <c r="DE73" s="1163"/>
      <c r="DF73" s="1161"/>
      <c r="DG73" s="1163"/>
      <c r="DH73" s="1163"/>
      <c r="DI73" s="256"/>
      <c r="DJ73" s="14"/>
      <c r="DK73" s="14"/>
      <c r="DL73" s="14"/>
      <c r="DM73" s="14"/>
      <c r="DN73" s="14"/>
      <c r="DO73" s="14"/>
      <c r="DP73" s="14"/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true" customHeight="true" outlineLevel="0" collapsed="false">
      <c r="B74" s="1159" t="s">
        <v>806</v>
      </c>
      <c r="C74" s="206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  <c r="BM74" s="245"/>
      <c r="BN74" s="245"/>
      <c r="BO74" s="245"/>
      <c r="BP74" s="245"/>
      <c r="BQ74" s="245"/>
      <c r="BR74" s="245"/>
      <c r="BS74" s="245"/>
      <c r="BT74" s="245"/>
      <c r="BU74" s="245"/>
      <c r="BV74" s="245"/>
      <c r="BW74" s="245"/>
      <c r="BX74" s="245"/>
      <c r="BY74" s="245"/>
      <c r="BZ74" s="245"/>
      <c r="CA74" s="245"/>
      <c r="CB74" s="245"/>
      <c r="CC74" s="245"/>
      <c r="CD74" s="245"/>
      <c r="CE74" s="245"/>
      <c r="CF74" s="245"/>
      <c r="CG74" s="245"/>
      <c r="CH74" s="245"/>
      <c r="CI74" s="245"/>
      <c r="CJ74" s="1162"/>
      <c r="CK74" s="206"/>
      <c r="CL74" s="206"/>
      <c r="CM74" s="206"/>
      <c r="CN74" s="206"/>
      <c r="CO74" s="206"/>
      <c r="CP74" s="206"/>
      <c r="CQ74" s="206"/>
      <c r="CR74" s="955"/>
      <c r="CS74" s="144"/>
      <c r="CT74" s="144"/>
      <c r="CU74" s="144"/>
      <c r="CV74" s="955"/>
      <c r="CW74" s="144"/>
      <c r="CX74" s="245"/>
      <c r="CY74" s="206"/>
      <c r="CZ74" s="144"/>
      <c r="DA74" s="144"/>
      <c r="DB74" s="144"/>
      <c r="DC74" s="144"/>
      <c r="DD74" s="144"/>
      <c r="DE74" s="206"/>
      <c r="DF74" s="245"/>
      <c r="DG74" s="206"/>
      <c r="DH74" s="206"/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</row>
    <row r="75" customFormat="false" ht="12.75" hidden="true" customHeight="true" outlineLevel="0" collapsed="false">
      <c r="C75" s="206"/>
      <c r="D75" s="251"/>
      <c r="E75" s="251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/>
      <c r="AX75" s="245"/>
      <c r="AY75" s="245"/>
      <c r="AZ75" s="245"/>
      <c r="BA75" s="245"/>
      <c r="BB75" s="245"/>
      <c r="BC75" s="245"/>
      <c r="BD75" s="245"/>
      <c r="BE75" s="245"/>
      <c r="BF75" s="245"/>
      <c r="BG75" s="245"/>
      <c r="BH75" s="245"/>
      <c r="BI75" s="245"/>
      <c r="BJ75" s="245"/>
      <c r="BK75" s="245"/>
      <c r="BL75" s="245"/>
      <c r="BM75" s="245"/>
      <c r="BN75" s="245"/>
      <c r="BO75" s="245"/>
      <c r="BP75" s="245"/>
      <c r="BQ75" s="245"/>
      <c r="BR75" s="245"/>
      <c r="BS75" s="245"/>
      <c r="BT75" s="245"/>
      <c r="BU75" s="245"/>
      <c r="BV75" s="245"/>
      <c r="BW75" s="245"/>
      <c r="BX75" s="245"/>
      <c r="BY75" s="245"/>
      <c r="BZ75" s="245"/>
      <c r="CA75" s="245"/>
      <c r="CB75" s="245"/>
      <c r="CC75" s="245"/>
      <c r="CD75" s="245"/>
      <c r="CE75" s="245"/>
      <c r="CF75" s="245"/>
      <c r="CG75" s="245"/>
      <c r="CH75" s="245"/>
      <c r="CI75" s="245"/>
      <c r="CJ75" s="245"/>
      <c r="CK75" s="206"/>
      <c r="CL75" s="281"/>
      <c r="CM75" s="206"/>
      <c r="CN75" s="206"/>
      <c r="CO75" s="1166"/>
      <c r="CP75" s="206"/>
      <c r="CQ75" s="206"/>
      <c r="CR75" s="1120" t="n">
        <f aca="false">CR7+CR58-CR60</f>
        <v>0</v>
      </c>
      <c r="CS75" s="1121" t="n">
        <f aca="false">CS7+CS58-CS60</f>
        <v>0</v>
      </c>
      <c r="CT75" s="144"/>
      <c r="CU75" s="144"/>
      <c r="CV75" s="955"/>
      <c r="CW75" s="144"/>
      <c r="CX75" s="245"/>
      <c r="CY75" s="206"/>
      <c r="CZ75" s="144"/>
      <c r="DA75" s="144"/>
      <c r="DB75" s="144"/>
      <c r="DC75" s="144"/>
      <c r="DD75" s="144"/>
      <c r="DE75" s="206"/>
      <c r="DF75" s="245"/>
      <c r="DG75" s="206"/>
      <c r="DH75" s="206"/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</row>
    <row r="76" customFormat="false" ht="12.75" hidden="true" customHeight="true" outlineLevel="0" collapsed="false">
      <c r="C76" s="206"/>
      <c r="D76" s="251"/>
      <c r="E76" s="251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45"/>
      <c r="BB76" s="245"/>
      <c r="BC76" s="245"/>
      <c r="BD76" s="245"/>
      <c r="BE76" s="245"/>
      <c r="BF76" s="245"/>
      <c r="BG76" s="245"/>
      <c r="BH76" s="245"/>
      <c r="BI76" s="245"/>
      <c r="BJ76" s="245"/>
      <c r="BK76" s="245"/>
      <c r="BL76" s="245"/>
      <c r="BM76" s="245"/>
      <c r="BN76" s="245"/>
      <c r="BO76" s="245"/>
      <c r="BP76" s="245"/>
      <c r="BQ76" s="245"/>
      <c r="BR76" s="245"/>
      <c r="BS76" s="245"/>
      <c r="BT76" s="281"/>
      <c r="BU76" s="245"/>
      <c r="BV76" s="245"/>
      <c r="BW76" s="245"/>
      <c r="BX76" s="245"/>
      <c r="BY76" s="245"/>
      <c r="BZ76" s="245"/>
      <c r="CA76" s="245"/>
      <c r="CB76" s="245"/>
      <c r="CC76" s="245"/>
      <c r="CD76" s="245"/>
      <c r="CE76" s="245"/>
      <c r="CF76" s="245"/>
      <c r="CG76" s="245"/>
      <c r="CH76" s="245"/>
      <c r="CI76" s="245"/>
      <c r="CJ76" s="281"/>
      <c r="CK76" s="1167"/>
      <c r="CL76" s="206"/>
      <c r="CM76" s="206"/>
      <c r="CN76" s="206"/>
      <c r="CO76" s="206"/>
      <c r="CP76" s="206"/>
      <c r="CQ76" s="206"/>
      <c r="CR76" s="955"/>
      <c r="CS76" s="144"/>
      <c r="CT76" s="144"/>
      <c r="CU76" s="144"/>
      <c r="CV76" s="955"/>
      <c r="CW76" s="144"/>
      <c r="CX76" s="245"/>
      <c r="CY76" s="206"/>
      <c r="CZ76" s="144"/>
      <c r="DA76" s="144"/>
      <c r="DB76" s="144"/>
      <c r="DC76" s="144"/>
      <c r="DD76" s="144"/>
      <c r="DE76" s="206"/>
      <c r="DF76" s="245"/>
      <c r="DG76" s="206"/>
      <c r="DH76" s="206"/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</row>
    <row r="77" customFormat="false" ht="12.75" hidden="true" customHeight="true" outlineLevel="0" collapsed="false">
      <c r="C77" s="206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5"/>
      <c r="BD77" s="245"/>
      <c r="BE77" s="245"/>
      <c r="BF77" s="245"/>
      <c r="BG77" s="245"/>
      <c r="BH77" s="245"/>
      <c r="BI77" s="245"/>
      <c r="BJ77" s="245"/>
      <c r="BK77" s="245"/>
      <c r="BL77" s="245"/>
      <c r="BM77" s="245"/>
      <c r="BN77" s="245"/>
      <c r="BO77" s="245"/>
      <c r="BP77" s="245"/>
      <c r="BQ77" s="245"/>
      <c r="BR77" s="245"/>
      <c r="BS77" s="245"/>
      <c r="BT77" s="245"/>
      <c r="BU77" s="245"/>
      <c r="BV77" s="245"/>
      <c r="BW77" s="245"/>
      <c r="BX77" s="245"/>
      <c r="BY77" s="245"/>
      <c r="BZ77" s="245"/>
      <c r="CA77" s="245"/>
      <c r="CB77" s="245"/>
      <c r="CC77" s="245"/>
      <c r="CD77" s="245"/>
      <c r="CE77" s="245"/>
      <c r="CF77" s="245"/>
      <c r="CG77" s="245"/>
      <c r="CH77" s="245"/>
      <c r="CI77" s="245"/>
      <c r="CJ77" s="281"/>
      <c r="CK77" s="1168"/>
      <c r="CL77" s="206"/>
      <c r="CM77" s="206"/>
      <c r="CN77" s="206"/>
      <c r="CO77" s="281"/>
      <c r="CP77" s="206"/>
      <c r="CQ77" s="206"/>
      <c r="CR77" s="955"/>
      <c r="CS77" s="144"/>
      <c r="CT77" s="144"/>
      <c r="CU77" s="144"/>
      <c r="CV77" s="955"/>
      <c r="CW77" s="144"/>
      <c r="CX77" s="245"/>
      <c r="CY77" s="206"/>
      <c r="CZ77" s="144"/>
      <c r="DA77" s="144"/>
      <c r="DB77" s="144"/>
      <c r="DC77" s="144"/>
      <c r="DD77" s="144"/>
      <c r="DE77" s="206"/>
      <c r="DF77" s="245"/>
      <c r="DG77" s="206"/>
      <c r="DH77" s="206"/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</row>
    <row r="78" s="913" customFormat="true" ht="12.75" hidden="false" customHeight="true" outlineLevel="0" collapsed="false">
      <c r="C78" s="1169"/>
      <c r="D78" s="1169"/>
      <c r="E78" s="1169"/>
      <c r="F78" s="1169"/>
      <c r="G78" s="1169"/>
      <c r="H78" s="1169"/>
      <c r="I78" s="1169"/>
      <c r="J78" s="1169"/>
      <c r="K78" s="1169"/>
      <c r="L78" s="1169"/>
      <c r="M78" s="1169"/>
      <c r="N78" s="1170"/>
      <c r="O78" s="1169"/>
      <c r="P78" s="1169"/>
      <c r="Q78" s="1169"/>
      <c r="R78" s="1169"/>
      <c r="S78" s="1169"/>
      <c r="T78" s="1170"/>
      <c r="U78" s="1170"/>
      <c r="V78" s="1170"/>
      <c r="W78" s="1170"/>
      <c r="X78" s="1170"/>
      <c r="Y78" s="1170"/>
      <c r="Z78" s="1170"/>
      <c r="AA78" s="1170"/>
      <c r="AB78" s="1170"/>
      <c r="AC78" s="1170"/>
      <c r="AD78" s="1170"/>
      <c r="AE78" s="1170"/>
      <c r="AF78" s="1170"/>
      <c r="AG78" s="1170"/>
      <c r="AH78" s="1170"/>
      <c r="AI78" s="1170"/>
      <c r="AJ78" s="1170"/>
      <c r="AK78" s="1170"/>
      <c r="AL78" s="1170"/>
      <c r="AM78" s="1170"/>
      <c r="AN78" s="1170"/>
      <c r="AO78" s="1170"/>
      <c r="AP78" s="1170"/>
      <c r="AQ78" s="1170"/>
      <c r="AR78" s="1170"/>
      <c r="AS78" s="1170"/>
      <c r="AT78" s="1170"/>
      <c r="AU78" s="1170"/>
      <c r="AV78" s="1170"/>
      <c r="AW78" s="1170"/>
      <c r="AX78" s="1170"/>
      <c r="AY78" s="1170"/>
      <c r="AZ78" s="1170"/>
      <c r="BA78" s="1170"/>
      <c r="BB78" s="1170"/>
      <c r="BC78" s="1170"/>
      <c r="BD78" s="1170"/>
      <c r="BE78" s="1170"/>
      <c r="BF78" s="1170"/>
      <c r="BG78" s="1170"/>
      <c r="BH78" s="1170"/>
      <c r="BI78" s="1170"/>
      <c r="BJ78" s="1170"/>
      <c r="BK78" s="1170"/>
      <c r="BL78" s="1170"/>
      <c r="BM78" s="1170"/>
      <c r="BN78" s="1170"/>
      <c r="BO78" s="1170"/>
      <c r="BP78" s="1170"/>
      <c r="BQ78" s="1170"/>
      <c r="BR78" s="1170"/>
      <c r="BS78" s="1170"/>
      <c r="BT78" s="1170"/>
      <c r="BU78" s="1170"/>
      <c r="BV78" s="1170"/>
      <c r="BW78" s="1170"/>
      <c r="BX78" s="1170"/>
      <c r="BY78" s="1170"/>
      <c r="BZ78" s="1170"/>
      <c r="CA78" s="1170"/>
      <c r="CB78" s="1170"/>
      <c r="CC78" s="1170"/>
      <c r="CD78" s="1170"/>
      <c r="CE78" s="1170"/>
      <c r="CF78" s="1170"/>
      <c r="CG78" s="1170"/>
      <c r="CH78" s="1170"/>
      <c r="CI78" s="1170"/>
      <c r="CJ78" s="1169"/>
      <c r="CK78" s="1169"/>
      <c r="CL78" s="1169"/>
      <c r="CM78" s="1169"/>
      <c r="CN78" s="1169"/>
      <c r="CO78" s="1169"/>
      <c r="CP78" s="1169"/>
      <c r="CQ78" s="1169"/>
      <c r="CR78" s="1171"/>
      <c r="CS78" s="1172"/>
      <c r="CT78" s="1172"/>
      <c r="CU78" s="1172"/>
      <c r="CV78" s="1171"/>
      <c r="CW78" s="1172"/>
      <c r="CX78" s="1170"/>
      <c r="CY78" s="1169"/>
      <c r="CZ78" s="1172"/>
      <c r="DA78" s="1172"/>
      <c r="DB78" s="1172"/>
      <c r="DC78" s="1172"/>
      <c r="DD78" s="1172"/>
      <c r="DE78" s="1169"/>
      <c r="DF78" s="1170"/>
      <c r="DG78" s="1169"/>
      <c r="DH78" s="1169"/>
      <c r="DI78" s="256"/>
      <c r="DJ78" s="14"/>
      <c r="DK78" s="14"/>
      <c r="DL78" s="14"/>
      <c r="DM78" s="14"/>
      <c r="DN78" s="14"/>
      <c r="DO78" s="14"/>
      <c r="DP78" s="14"/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s="913" customFormat="true" ht="12.75" hidden="false" customHeight="false" outlineLevel="0" collapsed="false">
      <c r="C79" s="1169"/>
      <c r="D79" s="1173"/>
      <c r="E79" s="1169"/>
      <c r="F79" s="1169"/>
      <c r="G79" s="1169"/>
      <c r="H79" s="1169"/>
      <c r="I79" s="1169"/>
      <c r="J79" s="1169"/>
      <c r="K79" s="1169"/>
      <c r="L79" s="1169"/>
      <c r="M79" s="1169"/>
      <c r="N79" s="1170"/>
      <c r="O79" s="1169"/>
      <c r="P79" s="1174"/>
      <c r="Q79" s="1174"/>
      <c r="R79" s="1174"/>
      <c r="S79" s="1174"/>
      <c r="T79" s="1174"/>
      <c r="U79" s="1174"/>
      <c r="V79" s="1174"/>
      <c r="W79" s="1174"/>
      <c r="X79" s="1174"/>
      <c r="Y79" s="1174"/>
      <c r="Z79" s="1174"/>
      <c r="AA79" s="1174"/>
      <c r="AB79" s="1174"/>
      <c r="AC79" s="1174"/>
      <c r="AD79" s="1174"/>
      <c r="AE79" s="1174"/>
      <c r="AF79" s="1174"/>
      <c r="AG79" s="1174"/>
      <c r="AH79" s="1174"/>
      <c r="AI79" s="1174"/>
      <c r="AJ79" s="1174"/>
      <c r="AK79" s="1174"/>
      <c r="AL79" s="1174"/>
      <c r="AM79" s="1174"/>
      <c r="AN79" s="1174"/>
      <c r="AO79" s="1174"/>
      <c r="AP79" s="1174"/>
      <c r="AQ79" s="1174"/>
      <c r="AR79" s="1174"/>
      <c r="AS79" s="1174"/>
      <c r="AT79" s="1174"/>
      <c r="AU79" s="1174"/>
      <c r="AV79" s="1174"/>
      <c r="AW79" s="1174"/>
      <c r="AX79" s="1174"/>
      <c r="AY79" s="1174"/>
      <c r="AZ79" s="1174"/>
      <c r="BA79" s="1174"/>
      <c r="BB79" s="1174"/>
      <c r="BC79" s="1174"/>
      <c r="BD79" s="1174"/>
      <c r="BE79" s="1174"/>
      <c r="BF79" s="1174"/>
      <c r="BG79" s="1174"/>
      <c r="BH79" s="1174"/>
      <c r="BI79" s="1174"/>
      <c r="BJ79" s="1174"/>
      <c r="BK79" s="1174"/>
      <c r="BL79" s="1174"/>
      <c r="BM79" s="1174"/>
      <c r="BN79" s="1174"/>
      <c r="BO79" s="1174"/>
      <c r="BP79" s="1174"/>
      <c r="BQ79" s="1174"/>
      <c r="BR79" s="1174"/>
      <c r="BS79" s="1174"/>
      <c r="BT79" s="1174"/>
      <c r="BU79" s="1174"/>
      <c r="BV79" s="1174"/>
      <c r="BW79" s="1174"/>
      <c r="BX79" s="1174"/>
      <c r="BY79" s="1174"/>
      <c r="BZ79" s="1174"/>
      <c r="CA79" s="1174"/>
      <c r="CB79" s="1174"/>
      <c r="CC79" s="1174"/>
      <c r="CD79" s="1174"/>
      <c r="CE79" s="1174"/>
      <c r="CF79" s="1174"/>
      <c r="CG79" s="1174"/>
      <c r="CH79" s="1174"/>
      <c r="CI79" s="1174"/>
      <c r="CJ79" s="1174"/>
      <c r="CK79" s="1174"/>
      <c r="CL79" s="1174"/>
      <c r="CM79" s="1174"/>
      <c r="CN79" s="1174"/>
      <c r="CO79" s="1174"/>
      <c r="CP79" s="1174"/>
      <c r="CQ79" s="1174"/>
      <c r="CR79" s="1175"/>
      <c r="CS79" s="1174"/>
      <c r="CT79" s="1174"/>
      <c r="CU79" s="1174"/>
      <c r="CV79" s="1174"/>
      <c r="CW79" s="1174"/>
      <c r="CX79" s="1170"/>
      <c r="CY79" s="1169"/>
      <c r="CZ79" s="1172"/>
      <c r="DA79" s="1172"/>
      <c r="DB79" s="1172"/>
      <c r="DC79" s="1172"/>
      <c r="DD79" s="1172"/>
      <c r="DE79" s="1169"/>
      <c r="DF79" s="1170"/>
      <c r="DG79" s="1169"/>
      <c r="DH79" s="1169"/>
      <c r="DI79" s="256"/>
      <c r="DJ79" s="14"/>
      <c r="DK79" s="14"/>
      <c r="DL79" s="14"/>
      <c r="DM79" s="14"/>
      <c r="DN79" s="14"/>
      <c r="DO79" s="14"/>
      <c r="DP79" s="14"/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s="913" customFormat="true" ht="12.75" hidden="true" customHeight="false" outlineLevel="0" collapsed="false">
      <c r="C80" s="1169"/>
      <c r="D80" s="1169"/>
      <c r="E80" s="1169"/>
      <c r="F80" s="1169"/>
      <c r="G80" s="1169"/>
      <c r="H80" s="1169"/>
      <c r="I80" s="1169"/>
      <c r="J80" s="1169"/>
      <c r="K80" s="1169"/>
      <c r="L80" s="1169"/>
      <c r="M80" s="1169"/>
      <c r="N80" s="1170"/>
      <c r="O80" s="1169"/>
      <c r="P80" s="1169"/>
      <c r="Q80" s="1169"/>
      <c r="R80" s="1169"/>
      <c r="S80" s="1169"/>
      <c r="T80" s="1170"/>
      <c r="U80" s="1170"/>
      <c r="V80" s="1170"/>
      <c r="W80" s="1170"/>
      <c r="X80" s="1170"/>
      <c r="Y80" s="1170"/>
      <c r="Z80" s="1170"/>
      <c r="AA80" s="1170"/>
      <c r="AB80" s="1170"/>
      <c r="AC80" s="1170"/>
      <c r="AD80" s="1170"/>
      <c r="AE80" s="1170"/>
      <c r="AF80" s="1170"/>
      <c r="AG80" s="1170"/>
      <c r="AH80" s="1170"/>
      <c r="AI80" s="1170"/>
      <c r="AJ80" s="1170"/>
      <c r="AK80" s="1170"/>
      <c r="AL80" s="1170"/>
      <c r="AM80" s="1170"/>
      <c r="AN80" s="1170"/>
      <c r="AO80" s="1170"/>
      <c r="AP80" s="1170"/>
      <c r="AQ80" s="1170"/>
      <c r="AR80" s="1170"/>
      <c r="AS80" s="1170"/>
      <c r="AT80" s="1170"/>
      <c r="AU80" s="1170"/>
      <c r="AV80" s="1170"/>
      <c r="AW80" s="1170"/>
      <c r="AX80" s="1170"/>
      <c r="AY80" s="1170"/>
      <c r="AZ80" s="1170"/>
      <c r="BA80" s="1170"/>
      <c r="BB80" s="1170"/>
      <c r="BC80" s="1170"/>
      <c r="BD80" s="1170"/>
      <c r="BE80" s="1170"/>
      <c r="BF80" s="1170"/>
      <c r="BG80" s="1170"/>
      <c r="BH80" s="1170"/>
      <c r="BI80" s="1170"/>
      <c r="BJ80" s="1170"/>
      <c r="BK80" s="1170"/>
      <c r="BL80" s="1170"/>
      <c r="BM80" s="1170"/>
      <c r="BN80" s="1170"/>
      <c r="BO80" s="1170"/>
      <c r="BP80" s="1170"/>
      <c r="BQ80" s="1170"/>
      <c r="BR80" s="1170"/>
      <c r="BS80" s="1170"/>
      <c r="BT80" s="1176"/>
      <c r="BU80" s="1170"/>
      <c r="BV80" s="1170"/>
      <c r="BW80" s="1170"/>
      <c r="BX80" s="1170"/>
      <c r="BY80" s="1170"/>
      <c r="BZ80" s="1170"/>
      <c r="CA80" s="1170"/>
      <c r="CB80" s="1170"/>
      <c r="CC80" s="1170"/>
      <c r="CD80" s="1170"/>
      <c r="CE80" s="1170"/>
      <c r="CF80" s="1170"/>
      <c r="CG80" s="1170"/>
      <c r="CH80" s="1170"/>
      <c r="CI80" s="1170"/>
      <c r="CJ80" s="1169"/>
      <c r="CK80" s="1169"/>
      <c r="CL80" s="1169"/>
      <c r="CM80" s="1169"/>
      <c r="CN80" s="1169"/>
      <c r="CO80" s="1177"/>
      <c r="CP80" s="1169"/>
      <c r="CQ80" s="1169"/>
      <c r="CR80" s="1175" t="s">
        <v>807</v>
      </c>
      <c r="CS80" s="488" t="n">
        <v>553900786</v>
      </c>
      <c r="CT80" s="1172"/>
      <c r="CU80" s="1172"/>
      <c r="CV80" s="1171"/>
      <c r="CW80" s="1172"/>
      <c r="CX80" s="1170"/>
      <c r="CY80" s="1169"/>
      <c r="CZ80" s="1172"/>
      <c r="DA80" s="1172"/>
      <c r="DB80" s="1172"/>
      <c r="DC80" s="1172"/>
      <c r="DD80" s="1172"/>
      <c r="DE80" s="1169"/>
      <c r="DF80" s="1170"/>
      <c r="DG80" s="1169"/>
      <c r="DH80" s="1169"/>
      <c r="DI80" s="256"/>
      <c r="DJ80" s="14"/>
      <c r="DK80" s="14"/>
      <c r="DL80" s="14"/>
      <c r="DM80" s="14"/>
      <c r="DN80" s="14"/>
      <c r="DO80" s="14"/>
      <c r="DP80" s="14"/>
      <c r="DX80" s="400" t="n">
        <f aca="false">(CS80-CZ80)*10^6</f>
        <v>553900786000000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true" customHeight="false" outlineLevel="0" collapsed="false">
      <c r="C81" s="206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245"/>
      <c r="BM81" s="245"/>
      <c r="BN81" s="245"/>
      <c r="BO81" s="245"/>
      <c r="BP81" s="245"/>
      <c r="BQ81" s="245"/>
      <c r="BR81" s="245"/>
      <c r="BS81" s="245"/>
      <c r="BT81" s="245"/>
      <c r="BU81" s="245"/>
      <c r="BV81" s="245"/>
      <c r="BW81" s="245"/>
      <c r="BX81" s="245"/>
      <c r="BY81" s="245"/>
      <c r="BZ81" s="245"/>
      <c r="CA81" s="245"/>
      <c r="CB81" s="245"/>
      <c r="CC81" s="245"/>
      <c r="CD81" s="245"/>
      <c r="CE81" s="245"/>
      <c r="CF81" s="245"/>
      <c r="CG81" s="245"/>
      <c r="CH81" s="245"/>
      <c r="CI81" s="245"/>
      <c r="CJ81" s="206"/>
      <c r="CK81" s="206"/>
      <c r="CL81" s="206"/>
      <c r="CM81" s="206"/>
      <c r="CN81" s="206"/>
      <c r="CO81" s="206"/>
      <c r="CP81" s="206"/>
      <c r="CQ81" s="206"/>
      <c r="CR81" s="1175" t="s">
        <v>808</v>
      </c>
      <c r="CS81" s="144" t="n">
        <v>56156068.4491526</v>
      </c>
      <c r="CT81" s="144"/>
      <c r="CU81" s="144"/>
      <c r="CV81" s="955"/>
      <c r="CW81" s="144"/>
      <c r="CX81" s="245"/>
      <c r="CY81" s="206"/>
      <c r="CZ81" s="144"/>
      <c r="DA81" s="144"/>
      <c r="DB81" s="144"/>
      <c r="DC81" s="144"/>
      <c r="DD81" s="144"/>
      <c r="DE81" s="206"/>
      <c r="DF81" s="245"/>
      <c r="DG81" s="206"/>
      <c r="DH81" s="206"/>
      <c r="DQ81" s="36"/>
      <c r="DR81" s="36"/>
      <c r="DS81" s="36"/>
      <c r="DT81" s="36"/>
      <c r="DU81" s="36"/>
      <c r="DV81" s="36"/>
      <c r="DW81" s="36"/>
      <c r="DX81" s="400" t="n">
        <f aca="false">(CS81-CZ81)*10^6</f>
        <v>56156068449152.6</v>
      </c>
      <c r="DY81" s="400" t="n">
        <f aca="false">(CT81-DC81)*10^6</f>
        <v>0</v>
      </c>
      <c r="DZ81" s="400" t="n">
        <f aca="false">(CW81-DD81)*10^6</f>
        <v>0</v>
      </c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</row>
    <row r="82" customFormat="false" ht="12.75" hidden="true" customHeight="false" outlineLevel="0" collapsed="false">
      <c r="C82" s="206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  <c r="BD82" s="245"/>
      <c r="BE82" s="245"/>
      <c r="BF82" s="245"/>
      <c r="BG82" s="245"/>
      <c r="BH82" s="245"/>
      <c r="BI82" s="245"/>
      <c r="BJ82" s="245"/>
      <c r="BK82" s="245"/>
      <c r="BL82" s="245"/>
      <c r="BM82" s="245"/>
      <c r="BN82" s="245"/>
      <c r="BO82" s="245"/>
      <c r="BP82" s="245"/>
      <c r="BQ82" s="245"/>
      <c r="BR82" s="245"/>
      <c r="BS82" s="245"/>
      <c r="BT82" s="245"/>
      <c r="BU82" s="245"/>
      <c r="BV82" s="245"/>
      <c r="BW82" s="245"/>
      <c r="BX82" s="245"/>
      <c r="BY82" s="245"/>
      <c r="BZ82" s="245"/>
      <c r="CA82" s="245"/>
      <c r="CB82" s="245"/>
      <c r="CC82" s="245"/>
      <c r="CD82" s="245"/>
      <c r="CE82" s="245"/>
      <c r="CF82" s="245"/>
      <c r="CG82" s="245"/>
      <c r="CH82" s="245"/>
      <c r="CI82" s="245"/>
      <c r="CJ82" s="206"/>
      <c r="CK82" s="206"/>
      <c r="CL82" s="206"/>
      <c r="CM82" s="206"/>
      <c r="CN82" s="206"/>
      <c r="CO82" s="281"/>
      <c r="CP82" s="1178"/>
      <c r="CQ82" s="206"/>
      <c r="CR82" s="955"/>
      <c r="CS82" s="144" t="n">
        <f aca="false">CS80-CS81</f>
        <v>497744717.550848</v>
      </c>
      <c r="CT82" s="144"/>
      <c r="CU82" s="144"/>
      <c r="CV82" s="955"/>
      <c r="CW82" s="144"/>
      <c r="CX82" s="245"/>
      <c r="CY82" s="206"/>
      <c r="CZ82" s="144"/>
      <c r="DA82" s="144"/>
      <c r="DB82" s="144"/>
      <c r="DC82" s="144"/>
      <c r="DD82" s="144"/>
      <c r="DE82" s="206"/>
      <c r="DF82" s="245"/>
      <c r="DG82" s="206"/>
      <c r="DH82" s="206"/>
      <c r="DQ82" s="36"/>
      <c r="DR82" s="36"/>
      <c r="DS82" s="36"/>
      <c r="DT82" s="36"/>
      <c r="DU82" s="36"/>
      <c r="DV82" s="36"/>
      <c r="DW82" s="36"/>
      <c r="DX82" s="400" t="n">
        <f aca="false">(CS82-CZ82)*10^6</f>
        <v>497744717550848</v>
      </c>
      <c r="DY82" s="400" t="n">
        <f aca="false">(CT82-DC82)*10^6</f>
        <v>0</v>
      </c>
      <c r="DZ82" s="400" t="n">
        <f aca="false">(CW82-DD82)*10^6</f>
        <v>0</v>
      </c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</row>
    <row r="83" customFormat="false" ht="12.75" hidden="true" customHeight="false" outlineLevel="0" collapsed="false">
      <c r="C83" s="206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  <c r="BD83" s="245"/>
      <c r="BE83" s="245"/>
      <c r="BF83" s="245"/>
      <c r="BG83" s="245"/>
      <c r="BH83" s="245"/>
      <c r="BI83" s="245"/>
      <c r="BJ83" s="245"/>
      <c r="BK83" s="245"/>
      <c r="BL83" s="245"/>
      <c r="BM83" s="245"/>
      <c r="BN83" s="245"/>
      <c r="BO83" s="245"/>
      <c r="BP83" s="245"/>
      <c r="BQ83" s="245"/>
      <c r="BR83" s="245"/>
      <c r="BS83" s="245"/>
      <c r="BT83" s="245"/>
      <c r="BU83" s="245"/>
      <c r="BV83" s="245"/>
      <c r="BW83" s="245"/>
      <c r="BX83" s="245"/>
      <c r="BY83" s="245"/>
      <c r="BZ83" s="245"/>
      <c r="CA83" s="245"/>
      <c r="CB83" s="245"/>
      <c r="CC83" s="245"/>
      <c r="CD83" s="245"/>
      <c r="CE83" s="245"/>
      <c r="CF83" s="245"/>
      <c r="CG83" s="245"/>
      <c r="CH83" s="245"/>
      <c r="CI83" s="245"/>
      <c r="CJ83" s="206"/>
      <c r="CK83" s="206"/>
      <c r="CL83" s="206"/>
      <c r="CM83" s="206"/>
      <c r="CN83" s="206"/>
      <c r="CO83" s="206"/>
      <c r="CP83" s="206"/>
      <c r="CQ83" s="206"/>
      <c r="CR83" s="955"/>
      <c r="CS83" s="144" t="n">
        <v>497744717.550848</v>
      </c>
      <c r="CT83" s="144"/>
      <c r="CU83" s="144"/>
      <c r="CV83" s="955"/>
      <c r="CW83" s="144"/>
      <c r="CX83" s="245"/>
      <c r="CY83" s="206"/>
      <c r="CZ83" s="144"/>
      <c r="DA83" s="144"/>
      <c r="DB83" s="144"/>
      <c r="DC83" s="144"/>
      <c r="DD83" s="144"/>
      <c r="DE83" s="206"/>
      <c r="DF83" s="245"/>
      <c r="DG83" s="206"/>
      <c r="DH83" s="206"/>
      <c r="DQ83" s="36"/>
      <c r="DR83" s="36"/>
      <c r="DS83" s="36"/>
      <c r="DT83" s="36"/>
      <c r="DU83" s="36"/>
      <c r="DV83" s="36"/>
      <c r="DW83" s="36"/>
      <c r="DX83" s="400" t="n">
        <f aca="false">(CS83-CZ83)*10^6</f>
        <v>497744717550848</v>
      </c>
      <c r="DY83" s="400" t="n">
        <f aca="false">(CT83-DC83)*10^6</f>
        <v>0</v>
      </c>
      <c r="DZ83" s="400" t="n">
        <f aca="false">(CW83-DD83)*10^6</f>
        <v>0</v>
      </c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</row>
    <row r="84" customFormat="false" ht="12.75" hidden="true" customHeight="false" outlineLevel="0" collapsed="false">
      <c r="C84" s="206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  <c r="BD84" s="245"/>
      <c r="BE84" s="245"/>
      <c r="BF84" s="245"/>
      <c r="BG84" s="245"/>
      <c r="BH84" s="245"/>
      <c r="BI84" s="245"/>
      <c r="BJ84" s="245"/>
      <c r="BK84" s="245"/>
      <c r="BL84" s="245"/>
      <c r="BM84" s="245"/>
      <c r="BN84" s="245"/>
      <c r="BO84" s="245"/>
      <c r="BP84" s="245"/>
      <c r="BQ84" s="245"/>
      <c r="BR84" s="245"/>
      <c r="BS84" s="245"/>
      <c r="BT84" s="245"/>
      <c r="BU84" s="245"/>
      <c r="BV84" s="245"/>
      <c r="BW84" s="245"/>
      <c r="BX84" s="245"/>
      <c r="BY84" s="245"/>
      <c r="BZ84" s="245"/>
      <c r="CA84" s="245"/>
      <c r="CB84" s="245"/>
      <c r="CC84" s="245"/>
      <c r="CD84" s="245"/>
      <c r="CE84" s="245"/>
      <c r="CF84" s="245"/>
      <c r="CG84" s="245"/>
      <c r="CH84" s="245"/>
      <c r="CI84" s="245"/>
      <c r="CJ84" s="206"/>
      <c r="CK84" s="206"/>
      <c r="CL84" s="206"/>
      <c r="CM84" s="206"/>
      <c r="CN84" s="206"/>
      <c r="CO84" s="206"/>
      <c r="CP84" s="206"/>
      <c r="CQ84" s="206"/>
      <c r="CR84" s="955"/>
      <c r="CS84" s="144"/>
      <c r="CT84" s="144"/>
      <c r="CU84" s="144"/>
      <c r="CV84" s="955"/>
      <c r="CW84" s="144"/>
      <c r="CX84" s="245"/>
      <c r="CY84" s="206"/>
      <c r="CZ84" s="144"/>
      <c r="DA84" s="144"/>
      <c r="DB84" s="144"/>
      <c r="DC84" s="144"/>
      <c r="DD84" s="144"/>
      <c r="DE84" s="206"/>
      <c r="DF84" s="245"/>
      <c r="DG84" s="206"/>
      <c r="DH84" s="206"/>
      <c r="DQ84" s="36"/>
      <c r="DR84" s="36"/>
      <c r="DS84" s="36"/>
      <c r="DT84" s="36"/>
      <c r="DU84" s="36"/>
      <c r="DV84" s="36"/>
      <c r="DW84" s="36"/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/>
      <c r="FQ84" s="36"/>
      <c r="FR84" s="36"/>
    </row>
    <row r="85" customFormat="false" ht="12.75" hidden="false" customHeight="false" outlineLevel="0" collapsed="false">
      <c r="C85" s="206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  <c r="BD85" s="245"/>
      <c r="BE85" s="245"/>
      <c r="BF85" s="245"/>
      <c r="BG85" s="245"/>
      <c r="BH85" s="245"/>
      <c r="BI85" s="245"/>
      <c r="BJ85" s="245"/>
      <c r="BK85" s="245"/>
      <c r="BL85" s="245"/>
      <c r="BM85" s="245"/>
      <c r="BN85" s="245"/>
      <c r="BO85" s="245"/>
      <c r="BP85" s="245"/>
      <c r="BQ85" s="245"/>
      <c r="BR85" s="245"/>
      <c r="BS85" s="245"/>
      <c r="BT85" s="245"/>
      <c r="BU85" s="245"/>
      <c r="BV85" s="245"/>
      <c r="BW85" s="245"/>
      <c r="BX85" s="245"/>
      <c r="BY85" s="245"/>
      <c r="BZ85" s="245"/>
      <c r="CA85" s="245"/>
      <c r="CB85" s="245"/>
      <c r="CC85" s="245"/>
      <c r="CD85" s="245"/>
      <c r="CE85" s="245"/>
      <c r="CF85" s="245"/>
      <c r="CG85" s="245"/>
      <c r="CH85" s="245"/>
      <c r="CI85" s="245"/>
      <c r="CJ85" s="206"/>
      <c r="CK85" s="206"/>
      <c r="CL85" s="206"/>
      <c r="CM85" s="206"/>
      <c r="CN85" s="206"/>
      <c r="CO85" s="206"/>
      <c r="CP85" s="206"/>
      <c r="CQ85" s="206"/>
      <c r="CR85" s="955"/>
      <c r="CS85" s="144"/>
      <c r="CT85" s="144"/>
      <c r="CU85" s="144"/>
      <c r="CV85" s="955"/>
      <c r="CW85" s="144"/>
      <c r="CX85" s="245"/>
      <c r="CY85" s="206"/>
      <c r="CZ85" s="144"/>
      <c r="DA85" s="144"/>
      <c r="DB85" s="144"/>
      <c r="DC85" s="144"/>
      <c r="DD85" s="144"/>
      <c r="DE85" s="206"/>
      <c r="DF85" s="245"/>
      <c r="DG85" s="206"/>
      <c r="DH85" s="206"/>
      <c r="DQ85" s="36"/>
      <c r="DR85" s="36"/>
      <c r="DS85" s="36"/>
      <c r="DT85" s="36"/>
      <c r="DU85" s="36"/>
      <c r="DV85" s="36"/>
      <c r="DW85" s="36"/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</row>
    <row r="86" customFormat="false" ht="12.75" hidden="false" customHeight="false" outlineLevel="0" collapsed="false">
      <c r="C86" s="206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  <c r="BD86" s="245"/>
      <c r="BE86" s="245"/>
      <c r="BF86" s="245"/>
      <c r="BG86" s="245"/>
      <c r="BH86" s="245"/>
      <c r="BI86" s="245"/>
      <c r="BJ86" s="245"/>
      <c r="BK86" s="245"/>
      <c r="BL86" s="245"/>
      <c r="BM86" s="245"/>
      <c r="BN86" s="245"/>
      <c r="BO86" s="245"/>
      <c r="BP86" s="245"/>
      <c r="BQ86" s="245"/>
      <c r="BR86" s="245"/>
      <c r="BS86" s="245"/>
      <c r="BT86" s="245"/>
      <c r="BU86" s="245"/>
      <c r="BV86" s="245"/>
      <c r="BW86" s="245"/>
      <c r="BX86" s="245"/>
      <c r="BY86" s="245"/>
      <c r="BZ86" s="245"/>
      <c r="CA86" s="245"/>
      <c r="CB86" s="245"/>
      <c r="CC86" s="245"/>
      <c r="CD86" s="245"/>
      <c r="CE86" s="245"/>
      <c r="CF86" s="245"/>
      <c r="CG86" s="245"/>
      <c r="CH86" s="245"/>
      <c r="CI86" s="245"/>
      <c r="CJ86" s="206"/>
      <c r="CK86" s="206"/>
      <c r="CL86" s="206"/>
      <c r="CM86" s="206"/>
      <c r="CN86" s="206"/>
      <c r="CO86" s="206"/>
      <c r="CP86" s="206"/>
      <c r="CQ86" s="206"/>
      <c r="CR86" s="955"/>
      <c r="CS86" s="144"/>
      <c r="CT86" s="144"/>
      <c r="CU86" s="144"/>
      <c r="CV86" s="955"/>
      <c r="CW86" s="144"/>
      <c r="CX86" s="245"/>
      <c r="CY86" s="206"/>
      <c r="CZ86" s="144"/>
      <c r="DA86" s="144"/>
      <c r="DB86" s="144"/>
      <c r="DC86" s="144"/>
      <c r="DD86" s="144"/>
      <c r="DE86" s="206"/>
      <c r="DF86" s="245"/>
      <c r="DG86" s="206"/>
      <c r="DH86" s="206"/>
      <c r="DQ86" s="36"/>
      <c r="DR86" s="36"/>
      <c r="DS86" s="36"/>
      <c r="DT86" s="36"/>
      <c r="DU86" s="36"/>
      <c r="DV86" s="36"/>
      <c r="DW86" s="36"/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</row>
    <row r="87" customFormat="false" ht="12.75" hidden="false" customHeight="false" outlineLevel="0" collapsed="false">
      <c r="C87" s="206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5"/>
      <c r="BC87" s="245"/>
      <c r="BD87" s="245"/>
      <c r="BE87" s="245"/>
      <c r="BF87" s="245"/>
      <c r="BG87" s="245"/>
      <c r="BH87" s="245"/>
      <c r="BI87" s="245"/>
      <c r="BJ87" s="245"/>
      <c r="BK87" s="245"/>
      <c r="BL87" s="245"/>
      <c r="BM87" s="245"/>
      <c r="BN87" s="245"/>
      <c r="BO87" s="245"/>
      <c r="BP87" s="245"/>
      <c r="BQ87" s="245"/>
      <c r="BR87" s="245"/>
      <c r="BS87" s="245"/>
      <c r="BT87" s="245"/>
      <c r="BU87" s="245"/>
      <c r="BV87" s="245"/>
      <c r="BW87" s="245"/>
      <c r="BX87" s="245"/>
      <c r="BY87" s="245"/>
      <c r="BZ87" s="245"/>
      <c r="CA87" s="245"/>
      <c r="CB87" s="245"/>
      <c r="CC87" s="245"/>
      <c r="CD87" s="245"/>
      <c r="CE87" s="245"/>
      <c r="CF87" s="245"/>
      <c r="CG87" s="245"/>
      <c r="CH87" s="245"/>
      <c r="CI87" s="245"/>
      <c r="CJ87" s="206"/>
      <c r="CK87" s="206"/>
      <c r="CL87" s="206"/>
      <c r="CM87" s="206"/>
      <c r="CN87" s="206"/>
      <c r="CO87" s="206"/>
      <c r="CP87" s="206"/>
      <c r="CQ87" s="206"/>
      <c r="CR87" s="955"/>
      <c r="CS87" s="144"/>
      <c r="CT87" s="144"/>
      <c r="CU87" s="144"/>
      <c r="CV87" s="955"/>
      <c r="CW87" s="144"/>
      <c r="CX87" s="245"/>
      <c r="CY87" s="206"/>
      <c r="CZ87" s="144"/>
      <c r="DA87" s="144"/>
      <c r="DB87" s="144"/>
      <c r="DC87" s="144"/>
      <c r="DD87" s="144"/>
      <c r="DE87" s="206"/>
      <c r="DF87" s="245"/>
      <c r="DG87" s="206"/>
      <c r="DH87" s="206"/>
      <c r="DQ87" s="36"/>
      <c r="DR87" s="36"/>
      <c r="DS87" s="36"/>
      <c r="DT87" s="36"/>
      <c r="DU87" s="36"/>
      <c r="DV87" s="36"/>
      <c r="DW87" s="36"/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</row>
    <row r="88" customFormat="false" ht="12.75" hidden="false" customHeight="false" outlineLevel="0" collapsed="false">
      <c r="C88" s="206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  <c r="BA88" s="245"/>
      <c r="BB88" s="245"/>
      <c r="BC88" s="245"/>
      <c r="BD88" s="245"/>
      <c r="BE88" s="245"/>
      <c r="BF88" s="245"/>
      <c r="BG88" s="245"/>
      <c r="BH88" s="245"/>
      <c r="BI88" s="245"/>
      <c r="BJ88" s="245"/>
      <c r="BK88" s="245"/>
      <c r="BL88" s="245"/>
      <c r="BM88" s="245"/>
      <c r="BN88" s="245"/>
      <c r="BO88" s="245"/>
      <c r="BP88" s="245"/>
      <c r="BQ88" s="245"/>
      <c r="BR88" s="245"/>
      <c r="BS88" s="245"/>
      <c r="BT88" s="245"/>
      <c r="BU88" s="245"/>
      <c r="BV88" s="245"/>
      <c r="BW88" s="245"/>
      <c r="BX88" s="245"/>
      <c r="BY88" s="245"/>
      <c r="BZ88" s="245"/>
      <c r="CA88" s="245"/>
      <c r="CB88" s="245"/>
      <c r="CC88" s="245"/>
      <c r="CD88" s="245"/>
      <c r="CE88" s="281"/>
      <c r="CF88" s="245"/>
      <c r="CG88" s="245"/>
      <c r="CH88" s="245"/>
      <c r="CI88" s="245"/>
      <c r="CJ88" s="206"/>
      <c r="CK88" s="206"/>
      <c r="CL88" s="206"/>
      <c r="CM88" s="206"/>
      <c r="CN88" s="206"/>
      <c r="CO88" s="206"/>
      <c r="CP88" s="206"/>
      <c r="CQ88" s="206"/>
      <c r="CR88" s="955"/>
      <c r="CS88" s="144"/>
      <c r="CT88" s="144"/>
      <c r="CU88" s="144"/>
      <c r="CV88" s="955"/>
      <c r="CW88" s="144"/>
      <c r="CX88" s="245"/>
      <c r="CY88" s="206"/>
      <c r="CZ88" s="144"/>
      <c r="DA88" s="144"/>
      <c r="DB88" s="144"/>
      <c r="DC88" s="144"/>
      <c r="DD88" s="144"/>
      <c r="DE88" s="206"/>
      <c r="DF88" s="245"/>
      <c r="DG88" s="206"/>
      <c r="DH88" s="206"/>
      <c r="DQ88" s="36"/>
      <c r="DR88" s="36"/>
      <c r="DS88" s="36"/>
      <c r="DT88" s="36"/>
      <c r="DU88" s="36"/>
      <c r="DV88" s="36"/>
      <c r="DW88" s="36"/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</row>
    <row r="89" customFormat="false" ht="12.75" hidden="false" customHeight="false" outlineLevel="0" collapsed="false">
      <c r="C89" s="206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  <c r="BA89" s="245"/>
      <c r="BB89" s="245"/>
      <c r="BC89" s="245"/>
      <c r="BD89" s="245"/>
      <c r="BE89" s="245"/>
      <c r="BF89" s="245"/>
      <c r="BG89" s="245"/>
      <c r="BH89" s="245"/>
      <c r="BI89" s="245"/>
      <c r="BJ89" s="245"/>
      <c r="BK89" s="245"/>
      <c r="BL89" s="245"/>
      <c r="BM89" s="245"/>
      <c r="BN89" s="245"/>
      <c r="BO89" s="245"/>
      <c r="BP89" s="245"/>
      <c r="BQ89" s="245"/>
      <c r="BR89" s="245"/>
      <c r="BS89" s="245"/>
      <c r="BT89" s="245"/>
      <c r="BU89" s="245"/>
      <c r="BV89" s="245"/>
      <c r="BW89" s="245"/>
      <c r="BX89" s="245"/>
      <c r="BY89" s="245"/>
      <c r="BZ89" s="245"/>
      <c r="CA89" s="245"/>
      <c r="CB89" s="245"/>
      <c r="CC89" s="245"/>
      <c r="CD89" s="245"/>
      <c r="CE89" s="245"/>
      <c r="CF89" s="245"/>
      <c r="CG89" s="245"/>
      <c r="CH89" s="245"/>
      <c r="CI89" s="245"/>
      <c r="CJ89" s="206"/>
      <c r="CK89" s="206"/>
      <c r="CL89" s="206"/>
      <c r="CM89" s="206"/>
      <c r="CN89" s="206"/>
      <c r="CO89" s="206"/>
      <c r="CP89" s="206"/>
      <c r="CQ89" s="206"/>
      <c r="CR89" s="955"/>
      <c r="CS89" s="144"/>
      <c r="CT89" s="144"/>
      <c r="CU89" s="144"/>
      <c r="CV89" s="955"/>
      <c r="CW89" s="144"/>
      <c r="CX89" s="245"/>
      <c r="CY89" s="206"/>
      <c r="CZ89" s="144"/>
      <c r="DA89" s="144"/>
      <c r="DB89" s="144"/>
      <c r="DC89" s="144"/>
      <c r="DD89" s="144"/>
      <c r="DE89" s="206"/>
      <c r="DF89" s="245"/>
      <c r="DG89" s="206"/>
      <c r="DH89" s="206"/>
      <c r="DQ89" s="36"/>
      <c r="DR89" s="36"/>
      <c r="DS89" s="36"/>
      <c r="DT89" s="36"/>
      <c r="DU89" s="36"/>
      <c r="DV89" s="36"/>
      <c r="DW89" s="36"/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</row>
    <row r="90" customFormat="false" ht="12.75" hidden="false" customHeight="false" outlineLevel="0" collapsed="false">
      <c r="C90" s="206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245"/>
      <c r="BM90" s="245"/>
      <c r="BN90" s="245"/>
      <c r="BO90" s="245"/>
      <c r="BP90" s="245"/>
      <c r="BQ90" s="245"/>
      <c r="BR90" s="245"/>
      <c r="BS90" s="245"/>
      <c r="BT90" s="245"/>
      <c r="BU90" s="245"/>
      <c r="BV90" s="245"/>
      <c r="BW90" s="245"/>
      <c r="BX90" s="245"/>
      <c r="BY90" s="245"/>
      <c r="BZ90" s="245"/>
      <c r="CA90" s="245"/>
      <c r="CB90" s="245"/>
      <c r="CC90" s="245"/>
      <c r="CD90" s="245"/>
      <c r="CE90" s="245"/>
      <c r="CF90" s="245"/>
      <c r="CG90" s="245"/>
      <c r="CH90" s="245"/>
      <c r="CI90" s="245"/>
      <c r="CJ90" s="206"/>
      <c r="CK90" s="206"/>
      <c r="CL90" s="206"/>
      <c r="CM90" s="206"/>
      <c r="CN90" s="206"/>
      <c r="CO90" s="206"/>
      <c r="CP90" s="206"/>
      <c r="CQ90" s="206"/>
      <c r="CR90" s="955"/>
      <c r="CS90" s="144"/>
      <c r="CT90" s="144"/>
      <c r="CU90" s="144"/>
      <c r="CV90" s="955"/>
      <c r="CW90" s="144"/>
      <c r="CX90" s="245"/>
      <c r="CY90" s="206"/>
      <c r="CZ90" s="144"/>
      <c r="DA90" s="144"/>
      <c r="DB90" s="144"/>
      <c r="DC90" s="144"/>
      <c r="DD90" s="144"/>
      <c r="DE90" s="206"/>
      <c r="DF90" s="245"/>
      <c r="DG90" s="206"/>
      <c r="DH90" s="206"/>
      <c r="DQ90" s="36"/>
      <c r="DR90" s="36"/>
      <c r="DS90" s="36"/>
      <c r="DT90" s="36"/>
      <c r="DU90" s="36"/>
      <c r="DV90" s="36"/>
      <c r="DW90" s="36"/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</row>
    <row r="91" customFormat="false" ht="12.75" hidden="false" customHeight="false" outlineLevel="0" collapsed="false">
      <c r="C91" s="206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  <c r="BA91" s="245"/>
      <c r="BB91" s="245"/>
      <c r="BC91" s="245"/>
      <c r="BD91" s="245"/>
      <c r="BE91" s="245"/>
      <c r="BF91" s="245"/>
      <c r="BG91" s="245"/>
      <c r="BH91" s="245"/>
      <c r="BI91" s="245"/>
      <c r="BJ91" s="245"/>
      <c r="BK91" s="245"/>
      <c r="BL91" s="245"/>
      <c r="BM91" s="245"/>
      <c r="BN91" s="245"/>
      <c r="BO91" s="245"/>
      <c r="BP91" s="245"/>
      <c r="BQ91" s="245"/>
      <c r="BR91" s="245"/>
      <c r="BS91" s="245"/>
      <c r="BT91" s="245"/>
      <c r="BU91" s="245"/>
      <c r="BV91" s="245"/>
      <c r="BW91" s="245"/>
      <c r="BX91" s="245"/>
      <c r="BY91" s="245"/>
      <c r="BZ91" s="245"/>
      <c r="CA91" s="245"/>
      <c r="CB91" s="245"/>
      <c r="CC91" s="245"/>
      <c r="CD91" s="245"/>
      <c r="CE91" s="245"/>
      <c r="CF91" s="245"/>
      <c r="CG91" s="245"/>
      <c r="CH91" s="245"/>
      <c r="CI91" s="245"/>
      <c r="CJ91" s="206"/>
      <c r="CK91" s="206"/>
      <c r="CL91" s="206"/>
      <c r="CM91" s="206"/>
      <c r="CN91" s="206"/>
      <c r="CO91" s="206"/>
      <c r="CP91" s="206"/>
      <c r="CQ91" s="206"/>
      <c r="CR91" s="955"/>
      <c r="CS91" s="144"/>
      <c r="CT91" s="144"/>
      <c r="CU91" s="144"/>
      <c r="CV91" s="955"/>
      <c r="CW91" s="144"/>
      <c r="CX91" s="245"/>
      <c r="CY91" s="206"/>
      <c r="CZ91" s="144"/>
      <c r="DA91" s="144"/>
      <c r="DB91" s="144"/>
      <c r="DC91" s="144"/>
      <c r="DD91" s="144"/>
      <c r="DE91" s="206"/>
      <c r="DF91" s="245"/>
      <c r="DG91" s="206"/>
      <c r="DH91" s="206"/>
      <c r="DQ91" s="36"/>
      <c r="DR91" s="36"/>
      <c r="DS91" s="36"/>
      <c r="DT91" s="36"/>
      <c r="DU91" s="36"/>
      <c r="DV91" s="36"/>
      <c r="DW91" s="36"/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</row>
    <row r="92" customFormat="false" ht="12.75" hidden="false" customHeight="false" outlineLevel="0" collapsed="false">
      <c r="C92" s="206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/>
      <c r="BD92" s="245"/>
      <c r="BE92" s="245"/>
      <c r="BF92" s="245"/>
      <c r="BG92" s="245"/>
      <c r="BH92" s="245"/>
      <c r="BI92" s="245"/>
      <c r="BJ92" s="245"/>
      <c r="BK92" s="245"/>
      <c r="BL92" s="245"/>
      <c r="BM92" s="245"/>
      <c r="BN92" s="245"/>
      <c r="BO92" s="245"/>
      <c r="BP92" s="245"/>
      <c r="BQ92" s="245"/>
      <c r="BR92" s="245"/>
      <c r="BS92" s="245"/>
      <c r="BT92" s="245"/>
      <c r="BU92" s="245"/>
      <c r="BV92" s="245"/>
      <c r="BW92" s="245"/>
      <c r="BX92" s="245"/>
      <c r="BY92" s="245"/>
      <c r="BZ92" s="245"/>
      <c r="CA92" s="245"/>
      <c r="CB92" s="245"/>
      <c r="CC92" s="245"/>
      <c r="CD92" s="245"/>
      <c r="CE92" s="245"/>
      <c r="CF92" s="245"/>
      <c r="CG92" s="245"/>
      <c r="CH92" s="245"/>
      <c r="CI92" s="245"/>
      <c r="CJ92" s="206"/>
      <c r="CK92" s="206"/>
      <c r="CL92" s="206"/>
      <c r="CM92" s="206"/>
      <c r="CN92" s="206"/>
      <c r="CO92" s="206"/>
      <c r="CP92" s="206"/>
      <c r="CQ92" s="206"/>
      <c r="CR92" s="955"/>
      <c r="CS92" s="144"/>
      <c r="CT92" s="144"/>
      <c r="CU92" s="144"/>
      <c r="CV92" s="955"/>
      <c r="CW92" s="144"/>
      <c r="CX92" s="245"/>
      <c r="CY92" s="206"/>
      <c r="CZ92" s="144"/>
      <c r="DA92" s="144"/>
      <c r="DB92" s="144"/>
      <c r="DC92" s="144"/>
      <c r="DD92" s="144"/>
      <c r="DE92" s="206"/>
      <c r="DF92" s="245"/>
      <c r="DG92" s="206"/>
      <c r="DH92" s="206"/>
      <c r="DQ92" s="36"/>
      <c r="DR92" s="36"/>
      <c r="DS92" s="36"/>
      <c r="DT92" s="36"/>
      <c r="DU92" s="36"/>
      <c r="DV92" s="36"/>
      <c r="DW92" s="36"/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</row>
    <row r="93" customFormat="false" ht="12.75" hidden="false" customHeight="false" outlineLevel="0" collapsed="false">
      <c r="C93" s="206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  <c r="BA93" s="245"/>
      <c r="BB93" s="245"/>
      <c r="BC93" s="245"/>
      <c r="BD93" s="245"/>
      <c r="BE93" s="245"/>
      <c r="BF93" s="245"/>
      <c r="BG93" s="245"/>
      <c r="BH93" s="245"/>
      <c r="BI93" s="245"/>
      <c r="BJ93" s="245"/>
      <c r="BK93" s="245"/>
      <c r="BL93" s="245"/>
      <c r="BM93" s="245"/>
      <c r="BN93" s="245"/>
      <c r="BO93" s="245"/>
      <c r="BP93" s="245"/>
      <c r="BQ93" s="245"/>
      <c r="BR93" s="245"/>
      <c r="BS93" s="245"/>
      <c r="BT93" s="245"/>
      <c r="BU93" s="245"/>
      <c r="BV93" s="245"/>
      <c r="BW93" s="245"/>
      <c r="BX93" s="245"/>
      <c r="BY93" s="245"/>
      <c r="BZ93" s="245"/>
      <c r="CA93" s="245"/>
      <c r="CB93" s="245"/>
      <c r="CC93" s="245"/>
      <c r="CD93" s="245"/>
      <c r="CE93" s="245"/>
      <c r="CF93" s="245"/>
      <c r="CG93" s="245"/>
      <c r="CH93" s="245"/>
      <c r="CI93" s="245"/>
      <c r="CJ93" s="206"/>
      <c r="CK93" s="206"/>
      <c r="CL93" s="206"/>
      <c r="CM93" s="206"/>
      <c r="CN93" s="206"/>
      <c r="CO93" s="206"/>
      <c r="CP93" s="206"/>
      <c r="CQ93" s="206"/>
      <c r="CR93" s="955"/>
      <c r="CS93" s="144"/>
      <c r="CT93" s="144"/>
      <c r="CU93" s="144"/>
      <c r="CV93" s="955"/>
      <c r="CW93" s="144"/>
      <c r="CX93" s="245"/>
      <c r="CY93" s="206"/>
      <c r="CZ93" s="144"/>
      <c r="DA93" s="144"/>
      <c r="DB93" s="144"/>
      <c r="DC93" s="144"/>
      <c r="DD93" s="144"/>
      <c r="DE93" s="206"/>
      <c r="DF93" s="245"/>
      <c r="DG93" s="206"/>
      <c r="DH93" s="206"/>
      <c r="DQ93" s="36"/>
      <c r="DR93" s="36"/>
      <c r="DS93" s="36"/>
      <c r="DT93" s="36"/>
      <c r="DU93" s="36"/>
      <c r="DV93" s="36"/>
      <c r="DW93" s="36"/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</row>
    <row r="94" customFormat="false" ht="12.75" hidden="false" customHeight="false" outlineLevel="0" collapsed="false">
      <c r="C94" s="206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5"/>
      <c r="BC94" s="245"/>
      <c r="BD94" s="245"/>
      <c r="BE94" s="245"/>
      <c r="BF94" s="245"/>
      <c r="BG94" s="245"/>
      <c r="BH94" s="245"/>
      <c r="BI94" s="245"/>
      <c r="BJ94" s="245"/>
      <c r="BK94" s="245"/>
      <c r="BL94" s="245"/>
      <c r="BM94" s="245"/>
      <c r="BN94" s="245"/>
      <c r="BO94" s="245"/>
      <c r="BP94" s="245"/>
      <c r="BQ94" s="245"/>
      <c r="BR94" s="245"/>
      <c r="BS94" s="245"/>
      <c r="BT94" s="245"/>
      <c r="BU94" s="245"/>
      <c r="BV94" s="245"/>
      <c r="BW94" s="245"/>
      <c r="BX94" s="245"/>
      <c r="BY94" s="245"/>
      <c r="BZ94" s="245"/>
      <c r="CA94" s="245"/>
      <c r="CB94" s="245"/>
      <c r="CC94" s="245"/>
      <c r="CD94" s="245"/>
      <c r="CE94" s="245"/>
      <c r="CF94" s="245"/>
      <c r="CG94" s="245"/>
      <c r="CH94" s="245"/>
      <c r="CI94" s="245"/>
      <c r="CJ94" s="206"/>
      <c r="CK94" s="206"/>
      <c r="CL94" s="206"/>
      <c r="CM94" s="206"/>
      <c r="CN94" s="206"/>
      <c r="CO94" s="206"/>
      <c r="CP94" s="206"/>
      <c r="CQ94" s="206"/>
      <c r="CR94" s="955"/>
      <c r="CS94" s="144"/>
      <c r="CT94" s="144"/>
      <c r="CU94" s="144"/>
      <c r="CV94" s="955"/>
      <c r="CW94" s="144"/>
      <c r="CX94" s="245"/>
      <c r="CY94" s="206"/>
      <c r="CZ94" s="144"/>
      <c r="DA94" s="144"/>
      <c r="DB94" s="144"/>
      <c r="DC94" s="144"/>
      <c r="DD94" s="144"/>
      <c r="DE94" s="206"/>
      <c r="DF94" s="245"/>
      <c r="DG94" s="206"/>
      <c r="DH94" s="206"/>
      <c r="DQ94" s="36"/>
      <c r="DR94" s="36"/>
      <c r="DS94" s="36"/>
      <c r="DT94" s="36"/>
      <c r="DU94" s="36"/>
      <c r="DV94" s="36"/>
      <c r="DW94" s="36"/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</row>
    <row r="95" customFormat="false" ht="12.75" hidden="false" customHeight="false" outlineLevel="0" collapsed="false">
      <c r="C95" s="206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  <c r="BA95" s="245"/>
      <c r="BB95" s="245"/>
      <c r="BC95" s="245"/>
      <c r="BD95" s="245"/>
      <c r="BE95" s="245"/>
      <c r="BF95" s="245"/>
      <c r="BG95" s="245"/>
      <c r="BH95" s="245"/>
      <c r="BI95" s="245"/>
      <c r="BJ95" s="245"/>
      <c r="BK95" s="245"/>
      <c r="BL95" s="245"/>
      <c r="BM95" s="245"/>
      <c r="BN95" s="245"/>
      <c r="BO95" s="245"/>
      <c r="BP95" s="245"/>
      <c r="BQ95" s="245"/>
      <c r="BR95" s="245"/>
      <c r="BS95" s="245"/>
      <c r="BT95" s="245"/>
      <c r="BU95" s="245"/>
      <c r="BV95" s="245"/>
      <c r="BW95" s="245"/>
      <c r="BX95" s="245"/>
      <c r="BY95" s="245"/>
      <c r="BZ95" s="245"/>
      <c r="CA95" s="245"/>
      <c r="CB95" s="245"/>
      <c r="CC95" s="245"/>
      <c r="CD95" s="245"/>
      <c r="CE95" s="245"/>
      <c r="CF95" s="245"/>
      <c r="CG95" s="245"/>
      <c r="CH95" s="245"/>
      <c r="CI95" s="245"/>
      <c r="CJ95" s="206"/>
      <c r="CK95" s="206"/>
      <c r="CL95" s="206"/>
      <c r="CM95" s="206"/>
      <c r="CN95" s="206"/>
      <c r="CO95" s="206"/>
      <c r="CP95" s="206"/>
      <c r="CQ95" s="206"/>
      <c r="CR95" s="955"/>
      <c r="CS95" s="144"/>
      <c r="CT95" s="144"/>
      <c r="CU95" s="144"/>
      <c r="CV95" s="955"/>
      <c r="CW95" s="144"/>
      <c r="CX95" s="245"/>
      <c r="CY95" s="206"/>
      <c r="CZ95" s="144"/>
      <c r="DA95" s="144"/>
      <c r="DB95" s="144"/>
      <c r="DC95" s="144"/>
      <c r="DD95" s="144"/>
      <c r="DE95" s="206"/>
      <c r="DF95" s="245"/>
      <c r="DG95" s="206"/>
      <c r="DH95" s="206"/>
      <c r="DQ95" s="36"/>
      <c r="DR95" s="36"/>
      <c r="DS95" s="36"/>
      <c r="DT95" s="36"/>
      <c r="DU95" s="36"/>
      <c r="DV95" s="36"/>
      <c r="DW95" s="36"/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</row>
    <row r="96" customFormat="false" ht="12.75" hidden="false" customHeight="false" outlineLevel="0" collapsed="false">
      <c r="C96" s="206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  <c r="BD96" s="245"/>
      <c r="BE96" s="245"/>
      <c r="BF96" s="245"/>
      <c r="BG96" s="245"/>
      <c r="BH96" s="245"/>
      <c r="BI96" s="245"/>
      <c r="BJ96" s="245"/>
      <c r="BK96" s="245"/>
      <c r="BL96" s="245"/>
      <c r="BM96" s="245"/>
      <c r="BN96" s="245"/>
      <c r="BO96" s="245"/>
      <c r="BP96" s="245"/>
      <c r="BQ96" s="245"/>
      <c r="BR96" s="245"/>
      <c r="BS96" s="245"/>
      <c r="BT96" s="245"/>
      <c r="BU96" s="245"/>
      <c r="BV96" s="245"/>
      <c r="BW96" s="245"/>
      <c r="BX96" s="245"/>
      <c r="BY96" s="245"/>
      <c r="BZ96" s="245"/>
      <c r="CA96" s="245"/>
      <c r="CB96" s="245"/>
      <c r="CC96" s="245"/>
      <c r="CD96" s="245"/>
      <c r="CE96" s="245"/>
      <c r="CF96" s="245"/>
      <c r="CG96" s="245"/>
      <c r="CH96" s="245"/>
      <c r="CI96" s="245"/>
      <c r="CJ96" s="206"/>
      <c r="CK96" s="206"/>
      <c r="CL96" s="206"/>
      <c r="CM96" s="206"/>
      <c r="CN96" s="206"/>
      <c r="CO96" s="206"/>
      <c r="CP96" s="206"/>
      <c r="CQ96" s="206"/>
      <c r="CR96" s="955"/>
      <c r="CS96" s="144"/>
      <c r="CT96" s="144"/>
      <c r="CU96" s="144"/>
      <c r="CV96" s="955"/>
      <c r="CW96" s="144"/>
      <c r="CX96" s="245"/>
      <c r="CY96" s="206"/>
      <c r="CZ96" s="144"/>
      <c r="DA96" s="144"/>
      <c r="DB96" s="144"/>
      <c r="DC96" s="144"/>
      <c r="DD96" s="144"/>
      <c r="DE96" s="206"/>
      <c r="DF96" s="245"/>
      <c r="DG96" s="206"/>
      <c r="DH96" s="206"/>
      <c r="DQ96" s="36"/>
      <c r="DR96" s="36"/>
      <c r="DS96" s="36"/>
      <c r="DT96" s="36"/>
      <c r="DU96" s="36"/>
      <c r="DV96" s="36"/>
      <c r="DW96" s="36"/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</row>
    <row r="97" customFormat="false" ht="12.75" hidden="false" customHeight="false" outlineLevel="0" collapsed="false">
      <c r="C97" s="206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245"/>
      <c r="AW97" s="245"/>
      <c r="AX97" s="245"/>
      <c r="AY97" s="245"/>
      <c r="AZ97" s="245"/>
      <c r="BA97" s="245"/>
      <c r="BB97" s="245"/>
      <c r="BC97" s="245"/>
      <c r="BD97" s="245"/>
      <c r="BE97" s="245"/>
      <c r="BF97" s="245"/>
      <c r="BG97" s="245"/>
      <c r="BH97" s="245"/>
      <c r="BI97" s="245"/>
      <c r="BJ97" s="245"/>
      <c r="BK97" s="245"/>
      <c r="BL97" s="245"/>
      <c r="BM97" s="245"/>
      <c r="BN97" s="245"/>
      <c r="BO97" s="245"/>
      <c r="BP97" s="245"/>
      <c r="BQ97" s="245"/>
      <c r="BR97" s="245"/>
      <c r="BS97" s="245"/>
      <c r="BT97" s="245"/>
      <c r="BU97" s="245"/>
      <c r="BV97" s="245"/>
      <c r="BW97" s="245"/>
      <c r="BX97" s="245"/>
      <c r="BY97" s="245"/>
      <c r="BZ97" s="245"/>
      <c r="CA97" s="245"/>
      <c r="CB97" s="245"/>
      <c r="CC97" s="245"/>
      <c r="CD97" s="245"/>
      <c r="CE97" s="245"/>
      <c r="CF97" s="245"/>
      <c r="CG97" s="245"/>
      <c r="CH97" s="245"/>
      <c r="CI97" s="245"/>
      <c r="CJ97" s="206"/>
      <c r="CK97" s="206"/>
      <c r="CL97" s="206"/>
      <c r="CM97" s="206"/>
      <c r="CN97" s="206"/>
      <c r="CO97" s="206"/>
      <c r="CP97" s="206"/>
      <c r="CQ97" s="206"/>
      <c r="CR97" s="955"/>
      <c r="CS97" s="144"/>
      <c r="CT97" s="144"/>
      <c r="CU97" s="144"/>
      <c r="CV97" s="955"/>
      <c r="CW97" s="144"/>
      <c r="CX97" s="245"/>
      <c r="CY97" s="206"/>
      <c r="CZ97" s="144"/>
      <c r="DA97" s="144"/>
      <c r="DB97" s="144"/>
      <c r="DC97" s="144"/>
      <c r="DD97" s="144"/>
      <c r="DE97" s="206"/>
      <c r="DF97" s="245"/>
      <c r="DG97" s="206"/>
      <c r="DH97" s="206"/>
      <c r="DQ97" s="36"/>
      <c r="DR97" s="36"/>
      <c r="DS97" s="36"/>
      <c r="DT97" s="36"/>
      <c r="DU97" s="36"/>
      <c r="DV97" s="36"/>
      <c r="DW97" s="36"/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</row>
    <row r="98" customFormat="false" ht="12.75" hidden="false" customHeight="false" outlineLevel="0" collapsed="false">
      <c r="C98" s="206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  <c r="BD98" s="245"/>
      <c r="BE98" s="245"/>
      <c r="BF98" s="245"/>
      <c r="BG98" s="245"/>
      <c r="BH98" s="245"/>
      <c r="BI98" s="245"/>
      <c r="BJ98" s="245"/>
      <c r="BK98" s="245"/>
      <c r="BL98" s="245"/>
      <c r="BM98" s="245"/>
      <c r="BN98" s="245"/>
      <c r="BO98" s="245"/>
      <c r="BP98" s="245"/>
      <c r="BQ98" s="245"/>
      <c r="BR98" s="245"/>
      <c r="BS98" s="245"/>
      <c r="BT98" s="245"/>
      <c r="BU98" s="245"/>
      <c r="BV98" s="245"/>
      <c r="BW98" s="245"/>
      <c r="BX98" s="245"/>
      <c r="BY98" s="245"/>
      <c r="BZ98" s="245"/>
      <c r="CA98" s="245"/>
      <c r="CB98" s="245"/>
      <c r="CC98" s="245"/>
      <c r="CD98" s="245"/>
      <c r="CE98" s="245"/>
      <c r="CF98" s="245"/>
      <c r="CG98" s="245"/>
      <c r="CH98" s="245"/>
      <c r="CI98" s="245"/>
      <c r="CJ98" s="206"/>
      <c r="CK98" s="206"/>
      <c r="CL98" s="206"/>
      <c r="CM98" s="206"/>
      <c r="CN98" s="206"/>
      <c r="CO98" s="206"/>
      <c r="CP98" s="206"/>
      <c r="CQ98" s="206"/>
      <c r="CR98" s="955"/>
      <c r="CS98" s="144"/>
      <c r="CT98" s="144"/>
      <c r="CU98" s="144"/>
      <c r="CV98" s="955"/>
      <c r="CW98" s="144"/>
      <c r="CX98" s="245"/>
      <c r="CY98" s="206"/>
      <c r="CZ98" s="144"/>
      <c r="DA98" s="144"/>
      <c r="DB98" s="144"/>
      <c r="DC98" s="144"/>
      <c r="DD98" s="144"/>
      <c r="DE98" s="206"/>
      <c r="DF98" s="245"/>
      <c r="DG98" s="206"/>
      <c r="DH98" s="206"/>
      <c r="DQ98" s="36"/>
      <c r="DR98" s="36"/>
      <c r="DS98" s="36"/>
      <c r="DT98" s="36"/>
      <c r="DU98" s="36"/>
      <c r="DV98" s="36"/>
      <c r="DW98" s="36"/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</row>
    <row r="99" customFormat="false" ht="12.75" hidden="false" customHeight="false" outlineLevel="0" collapsed="false">
      <c r="C99" s="206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5"/>
      <c r="AW99" s="245"/>
      <c r="AX99" s="245"/>
      <c r="AY99" s="245"/>
      <c r="AZ99" s="245"/>
      <c r="BA99" s="245"/>
      <c r="BB99" s="245"/>
      <c r="BC99" s="245"/>
      <c r="BD99" s="245"/>
      <c r="BE99" s="245"/>
      <c r="BF99" s="245"/>
      <c r="BG99" s="245"/>
      <c r="BH99" s="245"/>
      <c r="BI99" s="245"/>
      <c r="BJ99" s="245"/>
      <c r="BK99" s="245"/>
      <c r="BL99" s="245"/>
      <c r="BM99" s="245"/>
      <c r="BN99" s="245"/>
      <c r="BO99" s="245"/>
      <c r="BP99" s="245"/>
      <c r="BQ99" s="245"/>
      <c r="BR99" s="245"/>
      <c r="BS99" s="245"/>
      <c r="BT99" s="245"/>
      <c r="BU99" s="245"/>
      <c r="BV99" s="245"/>
      <c r="BW99" s="245"/>
      <c r="BX99" s="245"/>
      <c r="BY99" s="245"/>
      <c r="BZ99" s="245"/>
      <c r="CA99" s="245"/>
      <c r="CB99" s="245"/>
      <c r="CC99" s="245"/>
      <c r="CD99" s="245"/>
      <c r="CE99" s="245"/>
      <c r="CF99" s="245"/>
      <c r="CG99" s="245"/>
      <c r="CH99" s="245"/>
      <c r="CI99" s="245"/>
      <c r="CJ99" s="206"/>
      <c r="CK99" s="206"/>
      <c r="CL99" s="206"/>
      <c r="CM99" s="206"/>
      <c r="CN99" s="206"/>
      <c r="CO99" s="206"/>
      <c r="CP99" s="206"/>
      <c r="CQ99" s="206"/>
      <c r="CR99" s="955"/>
      <c r="CS99" s="144"/>
      <c r="CT99" s="144"/>
      <c r="CU99" s="144"/>
      <c r="CV99" s="955"/>
      <c r="CW99" s="144"/>
      <c r="CX99" s="245"/>
      <c r="CY99" s="206"/>
      <c r="CZ99" s="144"/>
      <c r="DA99" s="144"/>
      <c r="DB99" s="144"/>
      <c r="DC99" s="144"/>
      <c r="DD99" s="144"/>
      <c r="DE99" s="206"/>
      <c r="DF99" s="245"/>
      <c r="DG99" s="206"/>
      <c r="DH99" s="206"/>
      <c r="DQ99" s="36"/>
      <c r="DR99" s="36"/>
      <c r="DS99" s="36"/>
      <c r="DT99" s="36"/>
      <c r="DU99" s="36"/>
      <c r="DV99" s="36"/>
      <c r="DW99" s="36"/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</row>
    <row r="100" customFormat="false" ht="12.75" hidden="false" customHeight="false" outlineLevel="0" collapsed="false">
      <c r="C100" s="206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  <c r="BD100" s="245"/>
      <c r="BE100" s="245"/>
      <c r="BF100" s="245"/>
      <c r="BG100" s="245"/>
      <c r="BH100" s="245"/>
      <c r="BI100" s="245"/>
      <c r="BJ100" s="245"/>
      <c r="BK100" s="245"/>
      <c r="BL100" s="245"/>
      <c r="BM100" s="245"/>
      <c r="BN100" s="245"/>
      <c r="BO100" s="245"/>
      <c r="BP100" s="245"/>
      <c r="BQ100" s="245"/>
      <c r="BR100" s="245"/>
      <c r="BS100" s="245"/>
      <c r="BT100" s="245"/>
      <c r="BU100" s="245"/>
      <c r="BV100" s="245"/>
      <c r="BW100" s="245"/>
      <c r="BX100" s="245"/>
      <c r="BY100" s="245"/>
      <c r="BZ100" s="245"/>
      <c r="CA100" s="245"/>
      <c r="CB100" s="245"/>
      <c r="CC100" s="245"/>
      <c r="CD100" s="245"/>
      <c r="CE100" s="245"/>
      <c r="CF100" s="245"/>
      <c r="CG100" s="245"/>
      <c r="CH100" s="245"/>
      <c r="CI100" s="245"/>
      <c r="CJ100" s="206"/>
      <c r="CK100" s="206"/>
      <c r="CL100" s="206"/>
      <c r="CM100" s="206"/>
      <c r="CN100" s="206"/>
      <c r="CO100" s="206"/>
      <c r="CP100" s="206"/>
      <c r="CQ100" s="206"/>
      <c r="CR100" s="955"/>
      <c r="CS100" s="144"/>
      <c r="CT100" s="144"/>
      <c r="CU100" s="144"/>
      <c r="CV100" s="955"/>
      <c r="CW100" s="144"/>
      <c r="CX100" s="245"/>
      <c r="CY100" s="206"/>
      <c r="CZ100" s="144"/>
      <c r="DA100" s="144"/>
      <c r="DB100" s="144"/>
      <c r="DC100" s="144"/>
      <c r="DD100" s="144"/>
      <c r="DE100" s="206"/>
      <c r="DF100" s="245"/>
      <c r="DG100" s="206"/>
      <c r="DH100" s="206"/>
      <c r="DQ100" s="36"/>
      <c r="DR100" s="36"/>
      <c r="DS100" s="36"/>
      <c r="DT100" s="36"/>
      <c r="DU100" s="36"/>
      <c r="DV100" s="36"/>
      <c r="DW100" s="36"/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</row>
    <row r="101" customFormat="false" ht="12.75" hidden="false" customHeight="false" outlineLevel="0" collapsed="false">
      <c r="C101" s="206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245"/>
      <c r="AW101" s="245"/>
      <c r="AX101" s="245"/>
      <c r="AY101" s="245"/>
      <c r="AZ101" s="245"/>
      <c r="BA101" s="245"/>
      <c r="BB101" s="245"/>
      <c r="BC101" s="245"/>
      <c r="BD101" s="245"/>
      <c r="BE101" s="245"/>
      <c r="BF101" s="245"/>
      <c r="BG101" s="245"/>
      <c r="BH101" s="245"/>
      <c r="BI101" s="245"/>
      <c r="BJ101" s="245"/>
      <c r="BK101" s="245"/>
      <c r="BL101" s="245"/>
      <c r="BM101" s="245"/>
      <c r="BN101" s="245"/>
      <c r="BO101" s="245"/>
      <c r="BP101" s="245"/>
      <c r="BQ101" s="245"/>
      <c r="BR101" s="245"/>
      <c r="BS101" s="245"/>
      <c r="BT101" s="245"/>
      <c r="BU101" s="245"/>
      <c r="BV101" s="245"/>
      <c r="BW101" s="245"/>
      <c r="BX101" s="245"/>
      <c r="BY101" s="245"/>
      <c r="BZ101" s="245"/>
      <c r="CA101" s="245"/>
      <c r="CB101" s="245"/>
      <c r="CC101" s="245"/>
      <c r="CD101" s="245"/>
      <c r="CE101" s="245"/>
      <c r="CF101" s="245"/>
      <c r="CG101" s="245"/>
      <c r="CH101" s="245"/>
      <c r="CI101" s="245"/>
      <c r="CJ101" s="206"/>
      <c r="CK101" s="206"/>
      <c r="CL101" s="206"/>
      <c r="CM101" s="206"/>
      <c r="CN101" s="206"/>
      <c r="CO101" s="206"/>
      <c r="CP101" s="206"/>
      <c r="CQ101" s="206"/>
      <c r="CR101" s="955"/>
      <c r="CS101" s="144"/>
      <c r="CT101" s="144"/>
      <c r="CU101" s="144"/>
      <c r="CV101" s="955"/>
      <c r="CW101" s="144"/>
      <c r="CX101" s="245"/>
      <c r="CY101" s="206"/>
      <c r="CZ101" s="144"/>
      <c r="DA101" s="144"/>
      <c r="DB101" s="144"/>
      <c r="DC101" s="144"/>
      <c r="DD101" s="144"/>
      <c r="DE101" s="206"/>
      <c r="DF101" s="245"/>
      <c r="DG101" s="206"/>
      <c r="DH101" s="206"/>
      <c r="DQ101" s="36"/>
      <c r="DR101" s="36"/>
      <c r="DS101" s="36"/>
      <c r="DT101" s="36"/>
      <c r="DU101" s="36"/>
      <c r="DV101" s="36"/>
      <c r="DW101" s="36"/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</row>
    <row r="102" customFormat="false" ht="12.75" hidden="false" customHeight="false" outlineLevel="0" collapsed="false">
      <c r="C102" s="206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  <c r="BD102" s="245"/>
      <c r="BE102" s="245"/>
      <c r="BF102" s="245"/>
      <c r="BG102" s="245"/>
      <c r="BH102" s="245"/>
      <c r="BI102" s="245"/>
      <c r="BJ102" s="245"/>
      <c r="BK102" s="245"/>
      <c r="BL102" s="245"/>
      <c r="BM102" s="245"/>
      <c r="BN102" s="245"/>
      <c r="BO102" s="245"/>
      <c r="BP102" s="245"/>
      <c r="BQ102" s="245"/>
      <c r="BR102" s="245"/>
      <c r="BS102" s="245"/>
      <c r="BT102" s="245"/>
      <c r="BU102" s="245"/>
      <c r="BV102" s="245"/>
      <c r="BW102" s="245"/>
      <c r="BX102" s="245"/>
      <c r="BY102" s="245"/>
      <c r="BZ102" s="245"/>
      <c r="CA102" s="245"/>
      <c r="CB102" s="245"/>
      <c r="CC102" s="245"/>
      <c r="CD102" s="245"/>
      <c r="CE102" s="245"/>
      <c r="CF102" s="245"/>
      <c r="CG102" s="245"/>
      <c r="CH102" s="245"/>
      <c r="CI102" s="245"/>
      <c r="CJ102" s="206"/>
      <c r="CK102" s="206"/>
      <c r="CL102" s="206"/>
      <c r="CM102" s="206"/>
      <c r="CN102" s="206"/>
      <c r="CO102" s="206"/>
      <c r="CP102" s="206"/>
      <c r="CQ102" s="206"/>
      <c r="CR102" s="955"/>
      <c r="CS102" s="144"/>
      <c r="CT102" s="144"/>
      <c r="CU102" s="144"/>
      <c r="CV102" s="955"/>
      <c r="CW102" s="144"/>
      <c r="CX102" s="245"/>
      <c r="CY102" s="206"/>
      <c r="CZ102" s="144"/>
      <c r="DA102" s="144"/>
      <c r="DB102" s="144"/>
      <c r="DC102" s="144"/>
      <c r="DD102" s="144"/>
      <c r="DE102" s="206"/>
      <c r="DF102" s="245"/>
      <c r="DG102" s="206"/>
      <c r="DH102" s="206"/>
      <c r="DQ102" s="36"/>
      <c r="DR102" s="36"/>
      <c r="DS102" s="36"/>
      <c r="DT102" s="36"/>
      <c r="DU102" s="36"/>
      <c r="DV102" s="36"/>
      <c r="DW102" s="36"/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</row>
    <row r="103" customFormat="false" ht="12.75" hidden="false" customHeight="false" outlineLevel="0" collapsed="false">
      <c r="C103" s="206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  <c r="BD103" s="245"/>
      <c r="BE103" s="245"/>
      <c r="BF103" s="245"/>
      <c r="BG103" s="245"/>
      <c r="BH103" s="245"/>
      <c r="BI103" s="245"/>
      <c r="BJ103" s="245"/>
      <c r="BK103" s="245"/>
      <c r="BL103" s="245"/>
      <c r="BM103" s="245"/>
      <c r="BN103" s="245"/>
      <c r="BO103" s="245"/>
      <c r="BP103" s="245"/>
      <c r="BQ103" s="245"/>
      <c r="BR103" s="245"/>
      <c r="BS103" s="245"/>
      <c r="BT103" s="245"/>
      <c r="BU103" s="245"/>
      <c r="BV103" s="245"/>
      <c r="BW103" s="245"/>
      <c r="BX103" s="245"/>
      <c r="BY103" s="245"/>
      <c r="BZ103" s="245"/>
      <c r="CA103" s="245"/>
      <c r="CB103" s="245"/>
      <c r="CC103" s="245"/>
      <c r="CD103" s="245"/>
      <c r="CE103" s="245"/>
      <c r="CF103" s="245"/>
      <c r="CG103" s="245"/>
      <c r="CH103" s="245"/>
      <c r="CI103" s="245"/>
      <c r="CJ103" s="206"/>
      <c r="CK103" s="206"/>
      <c r="CL103" s="206"/>
      <c r="CM103" s="206"/>
      <c r="CN103" s="206"/>
      <c r="CO103" s="206"/>
      <c r="CP103" s="206"/>
      <c r="CQ103" s="206"/>
      <c r="CR103" s="955"/>
      <c r="CS103" s="144"/>
      <c r="CT103" s="144"/>
      <c r="CU103" s="144"/>
      <c r="CV103" s="955"/>
      <c r="CW103" s="144"/>
      <c r="CX103" s="245"/>
      <c r="CY103" s="206"/>
      <c r="CZ103" s="144"/>
      <c r="DA103" s="144"/>
      <c r="DB103" s="144"/>
      <c r="DC103" s="144"/>
      <c r="DD103" s="144"/>
      <c r="DE103" s="206"/>
      <c r="DF103" s="245"/>
      <c r="DG103" s="206"/>
      <c r="DH103" s="206"/>
      <c r="DQ103" s="36"/>
      <c r="DR103" s="36"/>
      <c r="DS103" s="36"/>
      <c r="DT103" s="36"/>
      <c r="DU103" s="36"/>
      <c r="DV103" s="36"/>
      <c r="DW103" s="36"/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</row>
    <row r="104" customFormat="false" ht="12.75" hidden="false" customHeight="false" outlineLevel="0" collapsed="false">
      <c r="C104" s="206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245"/>
      <c r="BM104" s="245"/>
      <c r="BN104" s="245"/>
      <c r="BO104" s="245"/>
      <c r="BP104" s="245"/>
      <c r="BQ104" s="245"/>
      <c r="BR104" s="245"/>
      <c r="BS104" s="245"/>
      <c r="BT104" s="245"/>
      <c r="BU104" s="245"/>
      <c r="BV104" s="245"/>
      <c r="BW104" s="245"/>
      <c r="BX104" s="245"/>
      <c r="BY104" s="245"/>
      <c r="BZ104" s="245"/>
      <c r="CA104" s="245"/>
      <c r="CB104" s="245"/>
      <c r="CC104" s="245"/>
      <c r="CD104" s="245"/>
      <c r="CE104" s="245"/>
      <c r="CF104" s="245"/>
      <c r="CG104" s="245"/>
      <c r="CH104" s="245"/>
      <c r="CI104" s="245"/>
      <c r="CJ104" s="206"/>
      <c r="CK104" s="206"/>
      <c r="CL104" s="206"/>
      <c r="CM104" s="206"/>
      <c r="CN104" s="206"/>
      <c r="CO104" s="206"/>
      <c r="CP104" s="206"/>
      <c r="CQ104" s="206"/>
      <c r="CR104" s="955"/>
      <c r="CS104" s="144"/>
      <c r="CT104" s="144"/>
      <c r="CU104" s="144"/>
      <c r="CV104" s="955"/>
      <c r="CW104" s="144"/>
      <c r="CX104" s="245"/>
      <c r="CY104" s="206"/>
      <c r="CZ104" s="144"/>
      <c r="DA104" s="144"/>
      <c r="DB104" s="144"/>
      <c r="DC104" s="144"/>
      <c r="DD104" s="144"/>
      <c r="DE104" s="206"/>
      <c r="DF104" s="245"/>
      <c r="DG104" s="206"/>
      <c r="DH104" s="206"/>
      <c r="DQ104" s="36"/>
      <c r="DR104" s="36"/>
      <c r="DS104" s="36"/>
      <c r="DT104" s="36"/>
      <c r="DU104" s="36"/>
      <c r="DV104" s="36"/>
      <c r="DW104" s="36"/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</row>
    <row r="105" customFormat="false" ht="12.75" hidden="false" customHeight="false" outlineLevel="0" collapsed="false">
      <c r="C105" s="206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245"/>
      <c r="BM105" s="245"/>
      <c r="BN105" s="245"/>
      <c r="BO105" s="245"/>
      <c r="BP105" s="245"/>
      <c r="BQ105" s="245"/>
      <c r="BR105" s="245"/>
      <c r="BS105" s="245"/>
      <c r="BT105" s="245"/>
      <c r="BU105" s="245"/>
      <c r="BV105" s="245"/>
      <c r="BW105" s="245"/>
      <c r="BX105" s="245"/>
      <c r="BY105" s="245"/>
      <c r="BZ105" s="245"/>
      <c r="CA105" s="245"/>
      <c r="CB105" s="245"/>
      <c r="CC105" s="245"/>
      <c r="CD105" s="245"/>
      <c r="CE105" s="245"/>
      <c r="CF105" s="245"/>
      <c r="CG105" s="245"/>
      <c r="CH105" s="245"/>
      <c r="CI105" s="245"/>
      <c r="CJ105" s="206"/>
      <c r="CK105" s="206"/>
      <c r="CL105" s="206"/>
      <c r="CM105" s="206"/>
      <c r="CN105" s="206"/>
      <c r="CO105" s="206"/>
      <c r="CP105" s="206"/>
      <c r="CQ105" s="206"/>
      <c r="CR105" s="955"/>
      <c r="CS105" s="144"/>
      <c r="CT105" s="144"/>
      <c r="CU105" s="144"/>
      <c r="CV105" s="955"/>
      <c r="CW105" s="144"/>
      <c r="CX105" s="245"/>
      <c r="CY105" s="206"/>
      <c r="CZ105" s="144"/>
      <c r="DA105" s="144"/>
      <c r="DB105" s="144"/>
      <c r="DC105" s="144"/>
      <c r="DD105" s="144"/>
      <c r="DE105" s="206"/>
      <c r="DF105" s="245"/>
      <c r="DG105" s="206"/>
      <c r="DH105" s="206"/>
      <c r="DQ105" s="36"/>
      <c r="DR105" s="36"/>
      <c r="DS105" s="36"/>
      <c r="DT105" s="36"/>
      <c r="DU105" s="36"/>
      <c r="DV105" s="36"/>
      <c r="DW105" s="36"/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</row>
    <row r="106" customFormat="false" ht="12.75" hidden="false" customHeight="false" outlineLevel="0" collapsed="false">
      <c r="C106" s="206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245"/>
      <c r="BM106" s="245"/>
      <c r="BN106" s="245"/>
      <c r="BO106" s="245"/>
      <c r="BP106" s="245"/>
      <c r="BQ106" s="245"/>
      <c r="BR106" s="245"/>
      <c r="BS106" s="245"/>
      <c r="BT106" s="245"/>
      <c r="BU106" s="245"/>
      <c r="BV106" s="245"/>
      <c r="BW106" s="245"/>
      <c r="BX106" s="245"/>
      <c r="BY106" s="245"/>
      <c r="BZ106" s="245"/>
      <c r="CA106" s="245"/>
      <c r="CB106" s="245"/>
      <c r="CC106" s="245"/>
      <c r="CD106" s="245"/>
      <c r="CE106" s="245"/>
      <c r="CF106" s="245"/>
      <c r="CG106" s="245"/>
      <c r="CH106" s="245"/>
      <c r="CI106" s="245"/>
      <c r="CJ106" s="206"/>
      <c r="CK106" s="206"/>
      <c r="CL106" s="206"/>
      <c r="CM106" s="206"/>
      <c r="CN106" s="206"/>
      <c r="CO106" s="206"/>
      <c r="CP106" s="206"/>
      <c r="CQ106" s="206"/>
      <c r="CR106" s="955"/>
      <c r="CS106" s="144"/>
      <c r="CT106" s="144"/>
      <c r="CU106" s="144"/>
      <c r="CV106" s="955"/>
      <c r="CW106" s="144"/>
      <c r="CX106" s="245"/>
      <c r="CY106" s="206"/>
      <c r="CZ106" s="144"/>
      <c r="DA106" s="144"/>
      <c r="DB106" s="144"/>
      <c r="DC106" s="144"/>
      <c r="DD106" s="144"/>
      <c r="DE106" s="206"/>
      <c r="DF106" s="245"/>
      <c r="DG106" s="206"/>
      <c r="DH106" s="206"/>
      <c r="DQ106" s="36"/>
      <c r="DR106" s="36"/>
      <c r="DS106" s="36"/>
      <c r="DT106" s="36"/>
      <c r="DU106" s="36"/>
      <c r="DV106" s="36"/>
      <c r="DW106" s="36"/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</row>
    <row r="107" customFormat="false" ht="12.75" hidden="false" customHeight="false" outlineLevel="0" collapsed="false">
      <c r="C107" s="206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5"/>
      <c r="AZ107" s="245"/>
      <c r="BA107" s="245"/>
      <c r="BB107" s="245"/>
      <c r="BC107" s="245"/>
      <c r="BD107" s="245"/>
      <c r="BE107" s="245"/>
      <c r="BF107" s="245"/>
      <c r="BG107" s="245"/>
      <c r="BH107" s="245"/>
      <c r="BI107" s="245"/>
      <c r="BJ107" s="245"/>
      <c r="BK107" s="245"/>
      <c r="BL107" s="245"/>
      <c r="BM107" s="245"/>
      <c r="BN107" s="245"/>
      <c r="BO107" s="245"/>
      <c r="BP107" s="245"/>
      <c r="BQ107" s="245"/>
      <c r="BR107" s="245"/>
      <c r="BS107" s="245"/>
      <c r="BT107" s="245"/>
      <c r="BU107" s="245"/>
      <c r="BV107" s="245"/>
      <c r="BW107" s="245"/>
      <c r="BX107" s="245"/>
      <c r="BY107" s="245"/>
      <c r="BZ107" s="245"/>
      <c r="CA107" s="245"/>
      <c r="CB107" s="245"/>
      <c r="CC107" s="245"/>
      <c r="CD107" s="245"/>
      <c r="CE107" s="245"/>
      <c r="CF107" s="245"/>
      <c r="CG107" s="245"/>
      <c r="CH107" s="245"/>
      <c r="CI107" s="245"/>
      <c r="CJ107" s="206"/>
      <c r="CK107" s="206"/>
      <c r="CL107" s="206"/>
      <c r="CM107" s="206"/>
      <c r="CN107" s="206"/>
      <c r="CO107" s="206"/>
      <c r="CP107" s="206"/>
      <c r="CQ107" s="206"/>
      <c r="CR107" s="955"/>
      <c r="CS107" s="144"/>
      <c r="CT107" s="144"/>
      <c r="CU107" s="144"/>
      <c r="CV107" s="955"/>
      <c r="CW107" s="144"/>
      <c r="CX107" s="245"/>
      <c r="CY107" s="206"/>
      <c r="CZ107" s="144"/>
      <c r="DA107" s="144"/>
      <c r="DB107" s="144"/>
      <c r="DC107" s="144"/>
      <c r="DD107" s="144"/>
      <c r="DE107" s="206"/>
      <c r="DF107" s="245"/>
      <c r="DG107" s="206"/>
      <c r="DH107" s="206"/>
      <c r="DQ107" s="36"/>
      <c r="DR107" s="36"/>
      <c r="DS107" s="36"/>
      <c r="DT107" s="36"/>
      <c r="DU107" s="36"/>
      <c r="DV107" s="36"/>
      <c r="DW107" s="36"/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</row>
    <row r="108" customFormat="false" ht="12.75" hidden="false" customHeight="false" outlineLevel="0" collapsed="false">
      <c r="CX108" s="40"/>
      <c r="DQ108" s="36"/>
      <c r="DR108" s="36"/>
      <c r="DS108" s="36"/>
      <c r="DT108" s="36"/>
      <c r="DU108" s="36"/>
      <c r="DV108" s="36"/>
      <c r="DW108" s="36"/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</row>
    <row r="109" customFormat="false" ht="12.75" hidden="false" customHeight="false" outlineLevel="0" collapsed="false">
      <c r="CX109" s="40"/>
      <c r="DQ109" s="36"/>
      <c r="DR109" s="36"/>
      <c r="DS109" s="36"/>
      <c r="DT109" s="36"/>
      <c r="DU109" s="36"/>
      <c r="DV109" s="36"/>
      <c r="DW109" s="36"/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</row>
    <row r="110" customFormat="false" ht="12.75" hidden="false" customHeight="false" outlineLevel="0" collapsed="false">
      <c r="CX110" s="40"/>
      <c r="DQ110" s="36"/>
      <c r="DR110" s="36"/>
      <c r="DS110" s="36"/>
      <c r="DT110" s="36"/>
      <c r="DU110" s="36"/>
      <c r="DV110" s="36"/>
      <c r="DW110" s="36"/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</row>
    <row r="111" customFormat="false" ht="12.75" hidden="false" customHeight="false" outlineLevel="0" collapsed="false">
      <c r="CX111" s="40"/>
      <c r="DQ111" s="36"/>
      <c r="DR111" s="36"/>
      <c r="DS111" s="36"/>
      <c r="DT111" s="36"/>
      <c r="DU111" s="36"/>
      <c r="DV111" s="36"/>
      <c r="DW111" s="36"/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</row>
    <row r="112" customFormat="false" ht="12.75" hidden="false" customHeight="false" outlineLevel="0" collapsed="false">
      <c r="CX112" s="40"/>
      <c r="DQ112" s="36"/>
      <c r="DR112" s="36"/>
      <c r="DS112" s="36"/>
      <c r="DT112" s="36"/>
      <c r="DU112" s="36"/>
      <c r="DV112" s="36"/>
      <c r="DW112" s="36"/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</row>
    <row r="113" customFormat="false" ht="12.75" hidden="false" customHeight="false" outlineLevel="0" collapsed="false">
      <c r="CX113" s="40"/>
      <c r="DQ113" s="36"/>
      <c r="DR113" s="36"/>
      <c r="DS113" s="36"/>
      <c r="DT113" s="36"/>
      <c r="DU113" s="36"/>
      <c r="DV113" s="36"/>
      <c r="DW113" s="36"/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</row>
    <row r="114" customFormat="false" ht="12.75" hidden="false" customHeight="false" outlineLevel="0" collapsed="false">
      <c r="CX114" s="40"/>
      <c r="DQ114" s="36"/>
      <c r="DR114" s="36"/>
      <c r="DS114" s="36"/>
      <c r="DT114" s="36"/>
      <c r="DU114" s="36"/>
      <c r="DV114" s="36"/>
      <c r="DW114" s="36"/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</row>
    <row r="115" customFormat="false" ht="12.75" hidden="false" customHeight="false" outlineLevel="0" collapsed="false">
      <c r="CX115" s="40"/>
      <c r="DQ115" s="36"/>
      <c r="DR115" s="36"/>
      <c r="DS115" s="36"/>
      <c r="DT115" s="36"/>
      <c r="DU115" s="36"/>
      <c r="DV115" s="36"/>
      <c r="DW115" s="36"/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</row>
    <row r="116" customFormat="false" ht="12.75" hidden="false" customHeight="false" outlineLevel="0" collapsed="false">
      <c r="CX116" s="40"/>
      <c r="DQ116" s="36"/>
      <c r="DR116" s="36"/>
      <c r="DS116" s="36"/>
      <c r="DT116" s="36"/>
      <c r="DU116" s="36"/>
      <c r="DV116" s="36"/>
      <c r="DW116" s="36"/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</row>
    <row r="117" customFormat="false" ht="12.75" hidden="false" customHeight="false" outlineLevel="0" collapsed="false">
      <c r="CX117" s="40"/>
      <c r="DQ117" s="36"/>
      <c r="DR117" s="36"/>
      <c r="DS117" s="36"/>
      <c r="DT117" s="36"/>
      <c r="DU117" s="36"/>
      <c r="DV117" s="36"/>
      <c r="DW117" s="36"/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</row>
    <row r="118" customFormat="false" ht="12.75" hidden="false" customHeight="false" outlineLevel="0" collapsed="false">
      <c r="CX118" s="40"/>
      <c r="DQ118" s="36"/>
      <c r="DR118" s="36"/>
      <c r="DS118" s="36"/>
      <c r="DT118" s="36"/>
      <c r="DU118" s="36"/>
      <c r="DV118" s="36"/>
      <c r="DW118" s="36"/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</row>
    <row r="119" customFormat="false" ht="12.75" hidden="false" customHeight="false" outlineLevel="0" collapsed="false">
      <c r="CX119" s="40"/>
      <c r="DQ119" s="36"/>
      <c r="DR119" s="36"/>
      <c r="DS119" s="36"/>
      <c r="DT119" s="36"/>
      <c r="DU119" s="36"/>
      <c r="DV119" s="36"/>
      <c r="DW119" s="36"/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</row>
    <row r="120" customFormat="false" ht="12.75" hidden="false" customHeight="false" outlineLevel="0" collapsed="false">
      <c r="CX120" s="40"/>
      <c r="DQ120" s="36"/>
      <c r="DR120" s="36"/>
      <c r="DS120" s="36"/>
      <c r="DT120" s="36"/>
      <c r="DU120" s="36"/>
      <c r="DV120" s="36"/>
      <c r="DW120" s="36"/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</row>
    <row r="121" customFormat="false" ht="12.75" hidden="false" customHeight="false" outlineLevel="0" collapsed="false">
      <c r="CX121" s="40"/>
      <c r="DQ121" s="36"/>
      <c r="DR121" s="36"/>
      <c r="DS121" s="36"/>
      <c r="DT121" s="36"/>
      <c r="DU121" s="36"/>
      <c r="DV121" s="36"/>
      <c r="DW121" s="36"/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</row>
    <row r="122" customFormat="false" ht="12.75" hidden="false" customHeight="false" outlineLevel="0" collapsed="false">
      <c r="CX122" s="40"/>
      <c r="DQ122" s="36"/>
      <c r="DR122" s="36"/>
      <c r="DS122" s="36"/>
      <c r="DT122" s="36"/>
      <c r="DU122" s="36"/>
      <c r="DV122" s="36"/>
      <c r="DW122" s="36"/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</row>
    <row r="123" customFormat="false" ht="12.75" hidden="false" customHeight="false" outlineLevel="0" collapsed="false">
      <c r="CX123" s="40"/>
      <c r="DQ123" s="36"/>
      <c r="DR123" s="36"/>
      <c r="DS123" s="36"/>
      <c r="DT123" s="36"/>
      <c r="DU123" s="36"/>
      <c r="DV123" s="36"/>
      <c r="DW123" s="36"/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</row>
    <row r="124" customFormat="false" ht="12.75" hidden="false" customHeight="false" outlineLevel="0" collapsed="false">
      <c r="CX124" s="40"/>
      <c r="DQ124" s="36"/>
      <c r="DR124" s="36"/>
      <c r="DS124" s="36"/>
      <c r="DT124" s="36"/>
      <c r="DU124" s="36"/>
      <c r="DV124" s="36"/>
      <c r="DW124" s="36"/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</row>
    <row r="125" customFormat="false" ht="12.75" hidden="false" customHeight="false" outlineLevel="0" collapsed="false">
      <c r="CX125" s="40"/>
      <c r="DQ125" s="36"/>
      <c r="DR125" s="36"/>
      <c r="DS125" s="36"/>
      <c r="DT125" s="36"/>
      <c r="DU125" s="36"/>
      <c r="DV125" s="36"/>
      <c r="DW125" s="36"/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</row>
    <row r="126" customFormat="false" ht="12.75" hidden="false" customHeight="false" outlineLevel="0" collapsed="false">
      <c r="CX126" s="40"/>
      <c r="DQ126" s="36"/>
      <c r="DR126" s="36"/>
      <c r="DS126" s="36"/>
      <c r="DT126" s="36"/>
      <c r="DU126" s="36"/>
      <c r="DV126" s="36"/>
      <c r="DW126" s="36"/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</row>
    <row r="127" customFormat="false" ht="12.75" hidden="false" customHeight="false" outlineLevel="0" collapsed="false">
      <c r="CX127" s="40"/>
      <c r="DQ127" s="36"/>
      <c r="DR127" s="36"/>
      <c r="DS127" s="36"/>
      <c r="DT127" s="36"/>
      <c r="DU127" s="36"/>
      <c r="DV127" s="36"/>
      <c r="DW127" s="36"/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</row>
    <row r="128" customFormat="false" ht="12.75" hidden="false" customHeight="false" outlineLevel="0" collapsed="false">
      <c r="CX128" s="40"/>
      <c r="DQ128" s="36"/>
      <c r="DR128" s="36"/>
      <c r="DS128" s="36"/>
      <c r="DT128" s="36"/>
      <c r="DU128" s="36"/>
      <c r="DV128" s="36"/>
      <c r="DW128" s="36"/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</row>
    <row r="129" customFormat="false" ht="12.75" hidden="false" customHeight="false" outlineLevel="0" collapsed="false">
      <c r="CX129" s="40"/>
      <c r="DQ129" s="36"/>
      <c r="DR129" s="36"/>
      <c r="DS129" s="36"/>
      <c r="DT129" s="36"/>
      <c r="DU129" s="36"/>
      <c r="DV129" s="36"/>
      <c r="DW129" s="36"/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</row>
    <row r="130" customFormat="false" ht="12.75" hidden="false" customHeight="false" outlineLevel="0" collapsed="false">
      <c r="CX130" s="40"/>
      <c r="DQ130" s="36"/>
      <c r="DR130" s="36"/>
      <c r="DS130" s="36"/>
      <c r="DT130" s="36"/>
      <c r="DU130" s="36"/>
      <c r="DV130" s="36"/>
      <c r="DW130" s="36"/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</row>
    <row r="131" customFormat="false" ht="12.75" hidden="false" customHeight="false" outlineLevel="0" collapsed="false">
      <c r="CX131" s="40"/>
      <c r="DQ131" s="36"/>
      <c r="DR131" s="36"/>
      <c r="DS131" s="36"/>
      <c r="DT131" s="36"/>
      <c r="DU131" s="36"/>
      <c r="DV131" s="36"/>
      <c r="DW131" s="36"/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</row>
    <row r="132" customFormat="false" ht="12.75" hidden="false" customHeight="false" outlineLevel="0" collapsed="false">
      <c r="CX132" s="40"/>
      <c r="DQ132" s="36"/>
      <c r="DR132" s="36"/>
      <c r="DS132" s="36"/>
      <c r="DT132" s="36"/>
      <c r="DU132" s="36"/>
      <c r="DV132" s="36"/>
      <c r="DW132" s="36"/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</row>
    <row r="133" customFormat="false" ht="12.75" hidden="false" customHeight="false" outlineLevel="0" collapsed="false">
      <c r="CX133" s="40"/>
      <c r="DQ133" s="36"/>
      <c r="DR133" s="36"/>
      <c r="DS133" s="36"/>
      <c r="DT133" s="36"/>
      <c r="DU133" s="36"/>
      <c r="DV133" s="36"/>
      <c r="DW133" s="36"/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</row>
    <row r="134" customFormat="false" ht="12.75" hidden="false" customHeight="false" outlineLevel="0" collapsed="false">
      <c r="CX134" s="40"/>
      <c r="DQ134" s="36"/>
      <c r="DR134" s="36"/>
      <c r="DS134" s="36"/>
      <c r="DT134" s="36"/>
      <c r="DU134" s="36"/>
      <c r="DV134" s="36"/>
      <c r="DW134" s="36"/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</row>
    <row r="135" customFormat="false" ht="12.75" hidden="false" customHeight="false" outlineLevel="0" collapsed="false">
      <c r="CX135" s="40"/>
      <c r="DQ135" s="36"/>
      <c r="DR135" s="36"/>
      <c r="DS135" s="36"/>
      <c r="DT135" s="36"/>
      <c r="DU135" s="36"/>
      <c r="DV135" s="36"/>
      <c r="DW135" s="36"/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</row>
    <row r="136" customFormat="false" ht="12.75" hidden="false" customHeight="false" outlineLevel="0" collapsed="false">
      <c r="CX136" s="40"/>
      <c r="DQ136" s="36"/>
      <c r="DR136" s="36"/>
      <c r="DS136" s="36"/>
      <c r="DT136" s="36"/>
      <c r="DU136" s="36"/>
      <c r="DV136" s="36"/>
      <c r="DW136" s="36"/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</row>
    <row r="137" customFormat="false" ht="12.75" hidden="false" customHeight="false" outlineLevel="0" collapsed="false">
      <c r="CX137" s="40"/>
      <c r="DQ137" s="36"/>
      <c r="DR137" s="36"/>
      <c r="DS137" s="36"/>
      <c r="DT137" s="36"/>
      <c r="DU137" s="36"/>
      <c r="DV137" s="36"/>
      <c r="DW137" s="36"/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</row>
    <row r="138" customFormat="false" ht="12.75" hidden="false" customHeight="false" outlineLevel="0" collapsed="false">
      <c r="CX138" s="40"/>
      <c r="DQ138" s="36"/>
      <c r="DR138" s="36"/>
      <c r="DS138" s="36"/>
      <c r="DT138" s="36"/>
      <c r="DU138" s="36"/>
      <c r="DV138" s="36"/>
      <c r="DW138" s="36"/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</row>
    <row r="139" customFormat="false" ht="12.75" hidden="false" customHeight="false" outlineLevel="0" collapsed="false">
      <c r="CX139" s="40"/>
      <c r="DQ139" s="36"/>
      <c r="DR139" s="36"/>
      <c r="DS139" s="36"/>
      <c r="DT139" s="36"/>
      <c r="DU139" s="36"/>
      <c r="DV139" s="36"/>
      <c r="DW139" s="36"/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</row>
    <row r="140" customFormat="false" ht="12.75" hidden="false" customHeight="false" outlineLevel="0" collapsed="false">
      <c r="CX140" s="40"/>
      <c r="DQ140" s="36"/>
      <c r="DR140" s="36"/>
      <c r="DS140" s="36"/>
      <c r="DT140" s="36"/>
      <c r="DU140" s="36"/>
      <c r="DV140" s="36"/>
      <c r="DW140" s="36"/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</row>
    <row r="141" customFormat="false" ht="12.75" hidden="false" customHeight="false" outlineLevel="0" collapsed="false">
      <c r="CX141" s="40"/>
      <c r="DQ141" s="36"/>
      <c r="DR141" s="36"/>
      <c r="DS141" s="36"/>
      <c r="DT141" s="36"/>
      <c r="DU141" s="36"/>
      <c r="DV141" s="36"/>
      <c r="DW141" s="36"/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</row>
    <row r="142" customFormat="false" ht="12.75" hidden="false" customHeight="false" outlineLevel="0" collapsed="false">
      <c r="CX142" s="40"/>
      <c r="DQ142" s="36"/>
      <c r="DR142" s="36"/>
      <c r="DS142" s="36"/>
      <c r="DT142" s="36"/>
      <c r="DU142" s="36"/>
      <c r="DV142" s="36"/>
      <c r="DW142" s="36"/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</row>
    <row r="143" customFormat="false" ht="12.75" hidden="false" customHeight="false" outlineLevel="0" collapsed="false">
      <c r="CX143" s="40"/>
      <c r="DQ143" s="36"/>
      <c r="DR143" s="36"/>
      <c r="DS143" s="36"/>
      <c r="DT143" s="36"/>
      <c r="DU143" s="36"/>
      <c r="DV143" s="36"/>
      <c r="DW143" s="36"/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</row>
    <row r="144" customFormat="false" ht="12.75" hidden="false" customHeight="false" outlineLevel="0" collapsed="false">
      <c r="CX144" s="40"/>
      <c r="DQ144" s="36"/>
      <c r="DR144" s="36"/>
      <c r="DS144" s="36"/>
      <c r="DT144" s="36"/>
      <c r="DU144" s="36"/>
      <c r="DV144" s="36"/>
      <c r="DW144" s="36"/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</row>
    <row r="145" customFormat="false" ht="12.75" hidden="false" customHeight="false" outlineLevel="0" collapsed="false">
      <c r="CX145" s="40"/>
      <c r="DQ145" s="36"/>
      <c r="DR145" s="36"/>
      <c r="DS145" s="36"/>
      <c r="DT145" s="36"/>
      <c r="DU145" s="36"/>
      <c r="DV145" s="36"/>
      <c r="DW145" s="36"/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</row>
    <row r="146" customFormat="false" ht="12.75" hidden="false" customHeight="false" outlineLevel="0" collapsed="false">
      <c r="CX146" s="40"/>
      <c r="DQ146" s="36"/>
      <c r="DR146" s="36"/>
      <c r="DS146" s="36"/>
      <c r="DT146" s="36"/>
      <c r="DU146" s="36"/>
      <c r="DV146" s="36"/>
      <c r="DW146" s="36"/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</row>
    <row r="147" customFormat="false" ht="12.75" hidden="false" customHeight="false" outlineLevel="0" collapsed="false">
      <c r="CX147" s="40"/>
      <c r="DQ147" s="36"/>
      <c r="DR147" s="36"/>
      <c r="DS147" s="36"/>
      <c r="DT147" s="36"/>
      <c r="DU147" s="36"/>
      <c r="DV147" s="36"/>
      <c r="DW147" s="36"/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</row>
    <row r="148" customFormat="false" ht="12.75" hidden="false" customHeight="false" outlineLevel="0" collapsed="false">
      <c r="CX148" s="40"/>
      <c r="DQ148" s="36"/>
      <c r="DR148" s="36"/>
      <c r="DS148" s="36"/>
      <c r="DT148" s="36"/>
      <c r="DU148" s="36"/>
      <c r="DV148" s="36"/>
      <c r="DW148" s="36"/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</row>
    <row r="149" customFormat="false" ht="12.75" hidden="false" customHeight="false" outlineLevel="0" collapsed="false">
      <c r="CX149" s="40"/>
      <c r="DQ149" s="36"/>
      <c r="DR149" s="36"/>
      <c r="DS149" s="36"/>
      <c r="DT149" s="36"/>
      <c r="DU149" s="36"/>
      <c r="DV149" s="36"/>
      <c r="DW149" s="36"/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</row>
    <row r="150" customFormat="false" ht="12.75" hidden="false" customHeight="false" outlineLevel="0" collapsed="false">
      <c r="CX150" s="40"/>
      <c r="DQ150" s="36"/>
      <c r="DR150" s="36"/>
      <c r="DS150" s="36"/>
      <c r="DT150" s="36"/>
      <c r="DU150" s="36"/>
      <c r="DV150" s="36"/>
      <c r="DW150" s="36"/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</row>
    <row r="151" customFormat="false" ht="12.75" hidden="false" customHeight="false" outlineLevel="0" collapsed="false">
      <c r="CX151" s="40"/>
      <c r="DQ151" s="36"/>
      <c r="DR151" s="36"/>
      <c r="DS151" s="36"/>
      <c r="DT151" s="36"/>
      <c r="DU151" s="36"/>
      <c r="DV151" s="36"/>
      <c r="DW151" s="36"/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</row>
    <row r="152" customFormat="false" ht="12.75" hidden="false" customHeight="false" outlineLevel="0" collapsed="false">
      <c r="CX152" s="40"/>
      <c r="DQ152" s="36"/>
      <c r="DR152" s="36"/>
      <c r="DS152" s="36"/>
      <c r="DT152" s="36"/>
      <c r="DU152" s="36"/>
      <c r="DV152" s="36"/>
      <c r="DW152" s="36"/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</row>
    <row r="153" customFormat="false" ht="12.75" hidden="false" customHeight="false" outlineLevel="0" collapsed="false">
      <c r="CX153" s="40"/>
      <c r="DQ153" s="36"/>
      <c r="DR153" s="36"/>
      <c r="DS153" s="36"/>
      <c r="DT153" s="36"/>
      <c r="DU153" s="36"/>
      <c r="DV153" s="36"/>
      <c r="DW153" s="36"/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</row>
    <row r="154" customFormat="false" ht="12.75" hidden="false" customHeight="false" outlineLevel="0" collapsed="false">
      <c r="CX154" s="40"/>
      <c r="DQ154" s="36"/>
      <c r="DR154" s="36"/>
      <c r="DS154" s="36"/>
      <c r="DT154" s="36"/>
      <c r="DU154" s="36"/>
      <c r="DV154" s="36"/>
      <c r="DW154" s="36"/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</row>
    <row r="155" customFormat="false" ht="12.75" hidden="false" customHeight="false" outlineLevel="0" collapsed="false">
      <c r="CX155" s="40"/>
      <c r="DQ155" s="36"/>
      <c r="DR155" s="36"/>
      <c r="DS155" s="36"/>
      <c r="DT155" s="36"/>
      <c r="DU155" s="36"/>
      <c r="DV155" s="36"/>
      <c r="DW155" s="36"/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</row>
    <row r="156" customFormat="false" ht="12.75" hidden="false" customHeight="false" outlineLevel="0" collapsed="false">
      <c r="CX156" s="40"/>
      <c r="DQ156" s="36"/>
      <c r="DR156" s="36"/>
      <c r="DS156" s="36"/>
      <c r="DT156" s="36"/>
      <c r="DU156" s="36"/>
      <c r="DV156" s="36"/>
      <c r="DW156" s="36"/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</row>
    <row r="157" customFormat="false" ht="12.75" hidden="false" customHeight="false" outlineLevel="0" collapsed="false">
      <c r="CX157" s="40"/>
      <c r="DQ157" s="36"/>
      <c r="DR157" s="36"/>
      <c r="DS157" s="36"/>
      <c r="DT157" s="36"/>
      <c r="DU157" s="36"/>
      <c r="DV157" s="36"/>
      <c r="DW157" s="36"/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</row>
    <row r="158" customFormat="false" ht="12.75" hidden="false" customHeight="false" outlineLevel="0" collapsed="false">
      <c r="CX158" s="40"/>
      <c r="DQ158" s="36"/>
      <c r="DR158" s="36"/>
      <c r="DS158" s="36"/>
      <c r="DT158" s="36"/>
      <c r="DU158" s="36"/>
      <c r="DV158" s="36"/>
      <c r="DW158" s="36"/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</row>
    <row r="159" customFormat="false" ht="12.75" hidden="false" customHeight="false" outlineLevel="0" collapsed="false">
      <c r="CX159" s="40"/>
      <c r="DQ159" s="36"/>
      <c r="DR159" s="36"/>
      <c r="DS159" s="36"/>
      <c r="DT159" s="36"/>
      <c r="DU159" s="36"/>
      <c r="DV159" s="36"/>
      <c r="DW159" s="36"/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</row>
    <row r="160" customFormat="false" ht="12.75" hidden="false" customHeight="false" outlineLevel="0" collapsed="false">
      <c r="CX160" s="40"/>
      <c r="DQ160" s="36"/>
      <c r="DR160" s="36"/>
      <c r="DS160" s="36"/>
      <c r="DT160" s="36"/>
      <c r="DU160" s="36"/>
      <c r="DV160" s="36"/>
      <c r="DW160" s="36"/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</row>
    <row r="161" customFormat="false" ht="12.75" hidden="false" customHeight="false" outlineLevel="0" collapsed="false">
      <c r="CX161" s="40"/>
      <c r="DQ161" s="36"/>
      <c r="DR161" s="36"/>
      <c r="DS161" s="36"/>
      <c r="DT161" s="36"/>
      <c r="DU161" s="36"/>
      <c r="DV161" s="36"/>
      <c r="DW161" s="36"/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</row>
    <row r="162" customFormat="false" ht="12.75" hidden="false" customHeight="false" outlineLevel="0" collapsed="false">
      <c r="CX162" s="40"/>
      <c r="DQ162" s="36"/>
      <c r="DR162" s="36"/>
      <c r="DS162" s="36"/>
      <c r="DT162" s="36"/>
      <c r="DU162" s="36"/>
      <c r="DV162" s="36"/>
      <c r="DW162" s="36"/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</row>
    <row r="163" customFormat="false" ht="12.75" hidden="false" customHeight="false" outlineLevel="0" collapsed="false">
      <c r="CX163" s="40"/>
      <c r="DQ163" s="36"/>
      <c r="DR163" s="36"/>
      <c r="DS163" s="36"/>
      <c r="DT163" s="36"/>
      <c r="DU163" s="36"/>
      <c r="DV163" s="36"/>
      <c r="DW163" s="36"/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</row>
    <row r="164" customFormat="false" ht="12.75" hidden="false" customHeight="false" outlineLevel="0" collapsed="false">
      <c r="CX164" s="40"/>
      <c r="DQ164" s="36"/>
      <c r="DR164" s="36"/>
      <c r="DS164" s="36"/>
      <c r="DT164" s="36"/>
      <c r="DU164" s="36"/>
      <c r="DV164" s="36"/>
      <c r="DW164" s="36"/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</row>
    <row r="165" customFormat="false" ht="12.75" hidden="false" customHeight="false" outlineLevel="0" collapsed="false">
      <c r="CX165" s="40"/>
      <c r="DQ165" s="36"/>
      <c r="DR165" s="36"/>
      <c r="DS165" s="36"/>
      <c r="DT165" s="36"/>
      <c r="DU165" s="36"/>
      <c r="DV165" s="36"/>
      <c r="DW165" s="36"/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</row>
    <row r="166" customFormat="false" ht="12.75" hidden="false" customHeight="false" outlineLevel="0" collapsed="false">
      <c r="CX166" s="40"/>
      <c r="DQ166" s="36"/>
      <c r="DR166" s="36"/>
      <c r="DS166" s="36"/>
      <c r="DT166" s="36"/>
      <c r="DU166" s="36"/>
      <c r="DV166" s="36"/>
      <c r="DW166" s="36"/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</row>
    <row r="167" customFormat="false" ht="12.75" hidden="false" customHeight="false" outlineLevel="0" collapsed="false">
      <c r="CX167" s="40"/>
      <c r="DQ167" s="36"/>
      <c r="DR167" s="36"/>
      <c r="DS167" s="36"/>
      <c r="DT167" s="36"/>
      <c r="DU167" s="36"/>
      <c r="DV167" s="36"/>
      <c r="DW167" s="36"/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</row>
    <row r="168" customFormat="false" ht="12.75" hidden="false" customHeight="false" outlineLevel="0" collapsed="false">
      <c r="CX168" s="40"/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CX169" s="40"/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CX170" s="40"/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CX171" s="40"/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CX172" s="40"/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CX173" s="40"/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CX174" s="40"/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CX175" s="40"/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CX176" s="40"/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CX177" s="40"/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CX178" s="40"/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CX179" s="40"/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CX180" s="40"/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CX181" s="40"/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CX182" s="40"/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DZ313"/>
  <sheetViews>
    <sheetView showFormulas="false" showGridLines="false" showRowColHeaders="true" showZeros="true" rightToLeft="false" tabSelected="true" showOutlineSymbols="true" defaultGridColor="true" view="pageBreakPreview" topLeftCell="AL1" colorId="64" zoomScale="100" zoomScaleNormal="60" zoomScalePageLayoutView="100" workbookViewId="0">
      <selection pane="topLeft" activeCell="DE22" activeCellId="0" sqref="DE22"/>
    </sheetView>
  </sheetViews>
  <sheetFormatPr defaultColWidth="11.515625" defaultRowHeight="12.75" zeroHeight="false" outlineLevelRow="0" outlineLevelCol="0"/>
  <cols>
    <col collapsed="false" customWidth="true" hidden="false" outlineLevel="0" max="1" min="1" style="36" width="1"/>
    <col collapsed="false" customWidth="true" hidden="false" outlineLevel="0" max="2" min="2" style="36" width="29.33"/>
    <col collapsed="false" customWidth="true" hidden="false" outlineLevel="0" max="3" min="3" style="36" width="11.99"/>
    <col collapsed="false" customWidth="true" hidden="false" outlineLevel="0" max="4" min="4" style="36" width="13.66"/>
    <col collapsed="false" customWidth="true" hidden="false" outlineLevel="0" max="5" min="5" style="36" width="10.16"/>
    <col collapsed="false" customWidth="true" hidden="false" outlineLevel="0" max="6" min="6" style="36" width="10.5"/>
    <col collapsed="false" customWidth="true" hidden="false" outlineLevel="0" max="7" min="7" style="36" width="9.51"/>
    <col collapsed="false" customWidth="true" hidden="false" outlineLevel="0" max="8" min="8" style="36" width="7"/>
    <col collapsed="false" customWidth="true" hidden="false" outlineLevel="0" max="9" min="9" style="36" width="3.16"/>
    <col collapsed="false" customWidth="true" hidden="false" outlineLevel="0" max="10" min="10" style="36" width="9.51"/>
    <col collapsed="false" customWidth="true" hidden="false" outlineLevel="0" max="11" min="11" style="36" width="9.66"/>
    <col collapsed="false" customWidth="true" hidden="false" outlineLevel="0" max="12" min="12" style="36" width="8.83"/>
    <col collapsed="false" customWidth="true" hidden="false" outlineLevel="0" max="13" min="13" style="36" width="11.84"/>
    <col collapsed="false" customWidth="true" hidden="false" outlineLevel="0" max="14" min="14" style="36" width="6.83"/>
    <col collapsed="false" customWidth="true" hidden="false" outlineLevel="0" max="15" min="15" style="36" width="0.33"/>
    <col collapsed="false" customWidth="true" hidden="false" outlineLevel="0" max="16" min="16" style="36" width="14.5"/>
    <col collapsed="false" customWidth="true" hidden="false" outlineLevel="0" max="17" min="17" style="36" width="9.51"/>
    <col collapsed="false" customWidth="true" hidden="false" outlineLevel="0" max="18" min="18" style="36" width="8.83"/>
    <col collapsed="false" customWidth="true" hidden="false" outlineLevel="0" max="19" min="19" style="36" width="10"/>
    <col collapsed="false" customWidth="true" hidden="false" outlineLevel="0" max="20" min="20" style="40" width="7.67"/>
    <col collapsed="false" customWidth="true" hidden="false" outlineLevel="0" max="21" min="21" style="40" width="0.52"/>
    <col collapsed="false" customWidth="true" hidden="false" outlineLevel="0" max="22" min="22" style="40" width="12.83"/>
    <col collapsed="false" customWidth="true" hidden="false" outlineLevel="0" max="23" min="23" style="40" width="11.33"/>
    <col collapsed="false" customWidth="true" hidden="false" outlineLevel="0" max="24" min="24" style="40" width="9.33"/>
    <col collapsed="false" customWidth="true" hidden="false" outlineLevel="0" max="28" min="25" style="40" width="11.33"/>
    <col collapsed="false" customWidth="true" hidden="false" outlineLevel="0" max="29" min="29" style="40" width="0.16"/>
    <col collapsed="false" customWidth="true" hidden="false" outlineLevel="0" max="30" min="30" style="40" width="13.5"/>
    <col collapsed="false" customWidth="true" hidden="false" outlineLevel="0" max="31" min="31" style="40" width="12.66"/>
    <col collapsed="false" customWidth="true" hidden="false" outlineLevel="0" max="32" min="32" style="40" width="15.15"/>
    <col collapsed="false" customWidth="true" hidden="false" outlineLevel="0" max="34" min="33" style="40" width="12.66"/>
    <col collapsed="false" customWidth="true" hidden="false" outlineLevel="0" max="35" min="35" style="40" width="12.33"/>
    <col collapsed="false" customWidth="true" hidden="false" outlineLevel="0" max="36" min="36" style="40" width="8.67"/>
    <col collapsed="false" customWidth="true" hidden="false" outlineLevel="0" max="37" min="37" style="40" width="0.16"/>
    <col collapsed="false" customWidth="true" hidden="false" outlineLevel="0" max="38" min="38" style="40" width="9.51"/>
    <col collapsed="false" customWidth="true" hidden="false" outlineLevel="0" max="39" min="39" style="40" width="17.52"/>
    <col collapsed="false" customWidth="true" hidden="false" outlineLevel="0" max="40" min="40" style="40" width="9.83"/>
    <col collapsed="false" customWidth="true" hidden="false" outlineLevel="0" max="41" min="41" style="40" width="14.01"/>
    <col collapsed="false" customWidth="true" hidden="false" outlineLevel="0" max="42" min="42" style="40" width="9.51"/>
    <col collapsed="false" customWidth="true" hidden="false" outlineLevel="0" max="43" min="43" style="40" width="12.83"/>
    <col collapsed="false" customWidth="true" hidden="false" outlineLevel="0" max="44" min="44" style="40" width="12.5"/>
    <col collapsed="false" customWidth="true" hidden="false" outlineLevel="0" max="45" min="45" style="40" width="7.67"/>
    <col collapsed="false" customWidth="true" hidden="false" outlineLevel="0" max="46" min="46" style="40" width="0.52"/>
    <col collapsed="false" customWidth="true" hidden="false" outlineLevel="0" max="48" min="47" style="40" width="9.33"/>
    <col collapsed="false" customWidth="true" hidden="false" outlineLevel="0" max="49" min="49" style="40" width="10.33"/>
    <col collapsed="false" customWidth="true" hidden="false" outlineLevel="0" max="50" min="50" style="40" width="9.33"/>
    <col collapsed="false" customWidth="false" hidden="false" outlineLevel="0" max="53" min="51" style="40" width="11.5"/>
    <col collapsed="false" customWidth="true" hidden="false" outlineLevel="0" max="54" min="54" style="40" width="0.33"/>
    <col collapsed="false" customWidth="true" hidden="false" outlineLevel="0" max="55" min="55" style="40" width="13.5"/>
    <col collapsed="false" customWidth="true" hidden="false" outlineLevel="0" max="56" min="56" style="40" width="12.66"/>
    <col collapsed="false" customWidth="true" hidden="false" outlineLevel="0" max="57" min="57" style="40" width="15.49"/>
    <col collapsed="false" customWidth="true" hidden="false" outlineLevel="0" max="60" min="58" style="40" width="12.66"/>
    <col collapsed="false" customWidth="true" hidden="false" outlineLevel="0" max="61" min="61" style="40" width="8.67"/>
    <col collapsed="false" customWidth="true" hidden="false" outlineLevel="0" max="62" min="62" style="40" width="0.16"/>
    <col collapsed="false" customWidth="true" hidden="false" outlineLevel="0" max="63" min="63" style="40" width="12.33"/>
    <col collapsed="false" customWidth="true" hidden="false" outlineLevel="0" max="64" min="64" style="40" width="9.51"/>
    <col collapsed="false" customWidth="true" hidden="false" outlineLevel="0" max="66" min="65" style="40" width="11.16"/>
    <col collapsed="false" customWidth="true" hidden="false" outlineLevel="0" max="68" min="67" style="40" width="8.67"/>
    <col collapsed="false" customWidth="true" hidden="false" outlineLevel="0" max="69" min="69" style="40" width="9.51"/>
    <col collapsed="false" customWidth="true" hidden="false" outlineLevel="0" max="70" min="70" style="40" width="7"/>
    <col collapsed="false" customWidth="true" hidden="false" outlineLevel="0" max="71" min="71" style="40" width="0.16"/>
    <col collapsed="false" customWidth="true" hidden="false" outlineLevel="0" max="72" min="72" style="40" width="14.5"/>
    <col collapsed="false" customWidth="true" hidden="false" outlineLevel="0" max="73" min="73" style="40" width="9.51"/>
    <col collapsed="false" customWidth="true" hidden="false" outlineLevel="0" max="74" min="74" style="40" width="10.65"/>
    <col collapsed="false" customWidth="true" hidden="false" outlineLevel="0" max="75" min="75" style="40" width="12.66"/>
    <col collapsed="false" customWidth="true" hidden="false" outlineLevel="0" max="76" min="76" style="40" width="8.83"/>
    <col collapsed="false" customWidth="true" hidden="false" outlineLevel="0" max="77" min="77" style="40" width="13.5"/>
    <col collapsed="false" customWidth="true" hidden="false" outlineLevel="0" max="78" min="78" style="40" width="7.34"/>
    <col collapsed="false" customWidth="true" hidden="false" outlineLevel="0" max="79" min="79" style="40" width="0.52"/>
    <col collapsed="false" customWidth="true" hidden="false" outlineLevel="0" max="80" min="80" style="40" width="13.33"/>
    <col collapsed="false" customWidth="true" hidden="false" outlineLevel="0" max="81" min="81" style="40" width="13.02"/>
    <col collapsed="false" customWidth="true" hidden="false" outlineLevel="0" max="83" min="82" style="40" width="12.83"/>
    <col collapsed="false" customWidth="true" hidden="false" outlineLevel="0" max="84" min="84" style="40" width="12.66"/>
    <col collapsed="false" customWidth="true" hidden="false" outlineLevel="0" max="85" min="85" style="40" width="13.02"/>
    <col collapsed="false" customWidth="true" hidden="false" outlineLevel="0" max="86" min="86" style="40" width="8.67"/>
    <col collapsed="false" customWidth="true" hidden="false" outlineLevel="0" max="87" min="87" style="40" width="0.52"/>
    <col collapsed="false" customWidth="true" hidden="false" outlineLevel="0" max="88" min="88" style="40" width="10.16"/>
    <col collapsed="false" customWidth="true" hidden="false" outlineLevel="0" max="89" min="89" style="40" width="13.33"/>
    <col collapsed="false" customWidth="true" hidden="false" outlineLevel="0" max="90" min="90" style="40" width="13.5"/>
    <col collapsed="false" customWidth="true" hidden="false" outlineLevel="0" max="92" min="91" style="40" width="12.66"/>
    <col collapsed="false" customWidth="true" hidden="false" outlineLevel="0" max="93" min="93" style="40" width="13.5"/>
    <col collapsed="false" customWidth="true" hidden="false" outlineLevel="0" max="94" min="94" style="40" width="8.67"/>
    <col collapsed="false" customWidth="true" hidden="false" outlineLevel="0" max="95" min="95" style="36" width="0.52"/>
    <col collapsed="false" customWidth="true" hidden="false" outlineLevel="0" max="97" min="96" style="42" width="12.33"/>
    <col collapsed="false" customWidth="true" hidden="false" outlineLevel="0" max="98" min="98" style="42" width="14.5"/>
    <col collapsed="false" customWidth="true" hidden="false" outlineLevel="0" max="99" min="99" style="42" width="12.66"/>
    <col collapsed="false" customWidth="true" hidden="false" outlineLevel="0" max="100" min="100" style="42" width="13.5"/>
    <col collapsed="false" customWidth="true" hidden="false" outlineLevel="0" max="101" min="101" style="42" width="14.66"/>
    <col collapsed="false" customWidth="true" hidden="false" outlineLevel="0" max="102" min="102" style="40" width="9.66"/>
    <col collapsed="false" customWidth="true" hidden="false" outlineLevel="0" max="103" min="103" style="36" width="0.67"/>
    <col collapsed="false" customWidth="true" hidden="false" outlineLevel="0" max="104" min="104" style="287" width="14.83"/>
    <col collapsed="false" customWidth="true" hidden="false" outlineLevel="0" max="106" min="105" style="42" width="14.01"/>
    <col collapsed="false" customWidth="true" hidden="false" outlineLevel="0" max="107" min="107" style="42" width="14.83"/>
    <col collapsed="false" customWidth="true" hidden="false" outlineLevel="0" max="108" min="108" style="42" width="12.17"/>
    <col collapsed="false" customWidth="true" hidden="false" outlineLevel="0" max="109" min="109" style="40" width="11.84"/>
    <col collapsed="false" customWidth="true" hidden="false" outlineLevel="0" max="112" min="110" style="36" width="11.84"/>
    <col collapsed="false" customWidth="true" hidden="false" outlineLevel="0" max="113" min="113" style="14" width="2.65"/>
    <col collapsed="false" customWidth="true" hidden="true" outlineLevel="0" max="114" min="114" style="1179" width="13.5"/>
    <col collapsed="false" customWidth="true" hidden="true" outlineLevel="0" max="115" min="115" style="1179" width="16.48"/>
    <col collapsed="false" customWidth="false" hidden="true" outlineLevel="0" max="116" min="116" style="1179" width="11.5"/>
    <col collapsed="false" customWidth="true" hidden="true" outlineLevel="0" max="117" min="117" style="1179" width="17.83"/>
    <col collapsed="false" customWidth="true" hidden="true" outlineLevel="0" max="119" min="118" style="36" width="17.83"/>
    <col collapsed="false" customWidth="false" hidden="true" outlineLevel="0" max="121" min="120" style="36" width="11.5"/>
    <col collapsed="false" customWidth="false" hidden="true" outlineLevel="0" max="127" min="122" style="36" width="11.52"/>
    <col collapsed="false" customWidth="false" hidden="true" outlineLevel="0" max="128" min="128" style="2" width="11.5"/>
    <col collapsed="false" customWidth="true" hidden="true" outlineLevel="0" max="129" min="129" style="2" width="20.98"/>
    <col collapsed="false" customWidth="false" hidden="true" outlineLevel="0" max="130" min="130" style="2" width="11.52"/>
    <col collapsed="false" customWidth="false" hidden="true" outlineLevel="0" max="133" min="131" style="36" width="11.52"/>
    <col collapsed="false" customWidth="false" hidden="false" outlineLevel="0" max="1024" min="134" style="36" width="11.5"/>
  </cols>
  <sheetData>
    <row r="1" customFormat="false" ht="21" hidden="false" customHeight="false" outlineLevel="0" collapsed="false">
      <c r="B1" s="44" t="s">
        <v>809</v>
      </c>
      <c r="AO1" s="632"/>
      <c r="BK1" s="632"/>
      <c r="BL1" s="632"/>
      <c r="BM1" s="632"/>
      <c r="BN1" s="632"/>
      <c r="BO1" s="632"/>
      <c r="BP1" s="632"/>
      <c r="BQ1" s="632"/>
      <c r="BR1" s="632"/>
      <c r="CQ1" s="924"/>
      <c r="CR1" s="919"/>
      <c r="CS1" s="919" t="n">
        <v>102.714099308197</v>
      </c>
      <c r="CT1" s="919"/>
      <c r="CU1" s="919"/>
      <c r="CV1" s="919"/>
      <c r="CW1" s="919" t="n">
        <v>1407.70841732627</v>
      </c>
      <c r="CX1" s="1180"/>
      <c r="CY1" s="924"/>
      <c r="CZ1" s="1181" t="n">
        <v>-234.930027599375</v>
      </c>
      <c r="DA1" s="919"/>
      <c r="DB1" s="919"/>
      <c r="DC1" s="919"/>
      <c r="DD1" s="919"/>
      <c r="DE1" s="1180"/>
      <c r="DF1" s="1182"/>
      <c r="DG1" s="1182"/>
      <c r="DH1" s="1182"/>
      <c r="DX1" s="40"/>
      <c r="DY1" s="40"/>
      <c r="DZ1" s="40"/>
    </row>
    <row r="2" customFormat="false" ht="6.75" hidden="false" customHeight="true" outlineLevel="0" collapsed="false">
      <c r="D2" s="651"/>
      <c r="E2" s="651"/>
      <c r="F2" s="1183"/>
      <c r="G2" s="651"/>
      <c r="H2" s="1184"/>
      <c r="J2" s="651"/>
      <c r="K2" s="651"/>
      <c r="L2" s="1184"/>
      <c r="M2" s="651"/>
      <c r="N2" s="653"/>
      <c r="O2" s="40"/>
      <c r="P2" s="936"/>
      <c r="Q2" s="653"/>
      <c r="R2" s="653"/>
      <c r="S2" s="653"/>
      <c r="T2" s="653"/>
      <c r="V2" s="651"/>
      <c r="W2" s="651"/>
      <c r="X2" s="651"/>
      <c r="Y2" s="1183"/>
      <c r="Z2" s="1183"/>
      <c r="AA2" s="651"/>
      <c r="AB2" s="653"/>
      <c r="AC2" s="1185"/>
      <c r="AD2" s="1186"/>
      <c r="AE2" s="1184"/>
      <c r="AF2" s="1184"/>
      <c r="AG2" s="1184"/>
      <c r="AH2" s="1184"/>
      <c r="AI2" s="1184"/>
      <c r="AJ2" s="1184"/>
      <c r="AK2" s="1185"/>
      <c r="AL2" s="1186"/>
      <c r="AM2" s="1184"/>
      <c r="AN2" s="1184"/>
      <c r="AO2" s="1184"/>
      <c r="AP2" s="1184"/>
      <c r="AQ2" s="1184"/>
      <c r="AR2" s="1184"/>
      <c r="AS2" s="937"/>
      <c r="AT2" s="1185"/>
      <c r="AU2" s="1186"/>
      <c r="AV2" s="1184"/>
      <c r="AW2" s="1184"/>
      <c r="AX2" s="1184"/>
      <c r="AY2" s="1184"/>
      <c r="AZ2" s="1184"/>
      <c r="BA2" s="653"/>
      <c r="BB2" s="652"/>
      <c r="BC2" s="936"/>
      <c r="BD2" s="653"/>
      <c r="BE2" s="653"/>
      <c r="BF2" s="653"/>
      <c r="BG2" s="653"/>
      <c r="BH2" s="653"/>
      <c r="BI2" s="937"/>
      <c r="BJ2" s="652"/>
      <c r="BK2" s="1187"/>
      <c r="BL2" s="651"/>
      <c r="BM2" s="651"/>
      <c r="BN2" s="651"/>
      <c r="BO2" s="1183"/>
      <c r="BP2" s="1183"/>
      <c r="BQ2" s="651"/>
      <c r="BR2" s="1188"/>
      <c r="BS2" s="1185"/>
      <c r="BT2" s="1186"/>
      <c r="BU2" s="1184"/>
      <c r="BV2" s="1184"/>
      <c r="BW2" s="1184"/>
      <c r="BX2" s="1184"/>
      <c r="BY2" s="1184"/>
      <c r="BZ2" s="1188"/>
      <c r="CA2" s="1185"/>
      <c r="CB2" s="1186"/>
      <c r="CC2" s="1184"/>
      <c r="CD2" s="1184"/>
      <c r="CE2" s="1184"/>
      <c r="CF2" s="1184"/>
      <c r="CG2" s="1184"/>
      <c r="CH2" s="1188"/>
      <c r="CI2" s="1185"/>
      <c r="CJ2" s="1187"/>
      <c r="CK2" s="651"/>
      <c r="CL2" s="651"/>
      <c r="CM2" s="1183"/>
      <c r="CN2" s="1183"/>
      <c r="CO2" s="651"/>
      <c r="CP2" s="1184"/>
      <c r="CY2" s="1189"/>
    </row>
    <row r="3" s="36" customFormat="true" ht="13.5" hidden="false" customHeight="false" outlineLevel="0" collapsed="false">
      <c r="D3" s="1190"/>
      <c r="E3" s="625" t="n">
        <v>0</v>
      </c>
      <c r="F3" s="1191"/>
      <c r="G3" s="1190" t="n">
        <v>0</v>
      </c>
      <c r="J3" s="42"/>
      <c r="K3" s="42"/>
      <c r="M3" s="42"/>
      <c r="N3" s="40"/>
      <c r="O3" s="40"/>
      <c r="P3" s="1192"/>
      <c r="Q3" s="40"/>
      <c r="R3" s="40"/>
      <c r="S3" s="40"/>
      <c r="T3" s="40"/>
      <c r="U3" s="40"/>
      <c r="V3" s="42"/>
      <c r="W3" s="42"/>
      <c r="X3" s="42"/>
      <c r="Y3" s="1191"/>
      <c r="Z3" s="1191"/>
      <c r="AA3" s="42"/>
      <c r="AB3" s="40"/>
      <c r="AC3" s="103"/>
      <c r="AK3" s="103"/>
      <c r="AS3" s="40"/>
      <c r="AT3" s="103"/>
      <c r="BA3" s="40"/>
      <c r="BB3" s="671"/>
      <c r="BC3" s="1192"/>
      <c r="BD3" s="40"/>
      <c r="BE3" s="40"/>
      <c r="BF3" s="40"/>
      <c r="BG3" s="40"/>
      <c r="BH3" s="40"/>
      <c r="BI3" s="1193"/>
      <c r="BJ3" s="671"/>
      <c r="BK3" s="675"/>
      <c r="BL3" s="42"/>
      <c r="BM3" s="42"/>
      <c r="BN3" s="42"/>
      <c r="BO3" s="1191"/>
      <c r="BP3" s="1191"/>
      <c r="BQ3" s="42"/>
      <c r="BR3" s="1194"/>
      <c r="BS3" s="103"/>
      <c r="BT3" s="1195"/>
      <c r="BZ3" s="1194"/>
      <c r="CA3" s="103"/>
      <c r="CB3" s="1195"/>
      <c r="CH3" s="1194"/>
      <c r="CI3" s="103"/>
      <c r="CJ3" s="675"/>
      <c r="CK3" s="42"/>
      <c r="CL3" s="42"/>
      <c r="CM3" s="1191"/>
      <c r="CN3" s="1191"/>
      <c r="CO3" s="42"/>
      <c r="CR3" s="42"/>
      <c r="CS3" s="42"/>
      <c r="CT3" s="42"/>
      <c r="CU3" s="42"/>
      <c r="CV3" s="42"/>
      <c r="CW3" s="42"/>
      <c r="CX3" s="40"/>
      <c r="CY3" s="1196"/>
      <c r="CZ3" s="625"/>
      <c r="DA3" s="42"/>
      <c r="DB3" s="42"/>
      <c r="DC3" s="42"/>
      <c r="DD3" s="1190" t="n">
        <v>0</v>
      </c>
      <c r="DE3" s="40"/>
      <c r="DI3" s="14"/>
      <c r="DJ3" s="1179"/>
      <c r="DK3" s="1179"/>
      <c r="DL3" s="1179"/>
      <c r="DM3" s="1197"/>
      <c r="DX3" s="2"/>
      <c r="DY3" s="2"/>
      <c r="DZ3" s="2"/>
    </row>
    <row r="4" s="79" customFormat="true" ht="15" hidden="false" customHeight="true" outlineLevel="0" collapsed="false">
      <c r="D4" s="1198" t="n">
        <v>45292</v>
      </c>
      <c r="E4" s="1198"/>
      <c r="F4" s="1198"/>
      <c r="G4" s="1198"/>
      <c r="H4" s="1198"/>
      <c r="J4" s="1198" t="n">
        <v>45323</v>
      </c>
      <c r="K4" s="1198"/>
      <c r="L4" s="1198"/>
      <c r="M4" s="1198"/>
      <c r="N4" s="1198"/>
      <c r="O4" s="1199"/>
      <c r="P4" s="1200" t="n">
        <v>45352</v>
      </c>
      <c r="Q4" s="1200"/>
      <c r="R4" s="1200"/>
      <c r="S4" s="1200"/>
      <c r="T4" s="1200"/>
      <c r="U4" s="76"/>
      <c r="V4" s="1198" t="n">
        <v>45383</v>
      </c>
      <c r="W4" s="1198"/>
      <c r="X4" s="1198"/>
      <c r="Y4" s="1198"/>
      <c r="Z4" s="1198"/>
      <c r="AA4" s="1198"/>
      <c r="AB4" s="1198"/>
      <c r="AC4" s="1201"/>
      <c r="AD4" s="1198" t="n">
        <v>45413</v>
      </c>
      <c r="AE4" s="1198"/>
      <c r="AF4" s="1198"/>
      <c r="AG4" s="1198"/>
      <c r="AH4" s="1198"/>
      <c r="AI4" s="1198"/>
      <c r="AJ4" s="1198"/>
      <c r="AK4" s="1201"/>
      <c r="AL4" s="1198" t="n">
        <v>45444</v>
      </c>
      <c r="AM4" s="1198"/>
      <c r="AN4" s="1198"/>
      <c r="AO4" s="1198"/>
      <c r="AP4" s="1198"/>
      <c r="AQ4" s="1198"/>
      <c r="AR4" s="1198"/>
      <c r="AS4" s="1198"/>
      <c r="AT4" s="1202"/>
      <c r="AU4" s="1198" t="n">
        <v>45474</v>
      </c>
      <c r="AV4" s="1198"/>
      <c r="AW4" s="1198"/>
      <c r="AX4" s="1198"/>
      <c r="AY4" s="1198"/>
      <c r="AZ4" s="1198"/>
      <c r="BA4" s="1198"/>
      <c r="BB4" s="1203"/>
      <c r="BC4" s="1201" t="n">
        <v>45505</v>
      </c>
      <c r="BD4" s="1201"/>
      <c r="BE4" s="1201"/>
      <c r="BF4" s="1201"/>
      <c r="BG4" s="1201"/>
      <c r="BH4" s="1201"/>
      <c r="BI4" s="1201"/>
      <c r="BJ4" s="1204"/>
      <c r="BK4" s="1201" t="n">
        <v>45536</v>
      </c>
      <c r="BL4" s="1201"/>
      <c r="BM4" s="1201"/>
      <c r="BN4" s="1201"/>
      <c r="BO4" s="1201"/>
      <c r="BP4" s="1201"/>
      <c r="BQ4" s="1201"/>
      <c r="BR4" s="1201"/>
      <c r="BS4" s="1203"/>
      <c r="BT4" s="1201" t="n">
        <v>45566</v>
      </c>
      <c r="BU4" s="1201"/>
      <c r="BV4" s="1201"/>
      <c r="BW4" s="1201"/>
      <c r="BX4" s="1201"/>
      <c r="BY4" s="1201"/>
      <c r="BZ4" s="1201"/>
      <c r="CA4" s="1203"/>
      <c r="CB4" s="1201" t="n">
        <v>45597</v>
      </c>
      <c r="CC4" s="1201"/>
      <c r="CD4" s="1201"/>
      <c r="CE4" s="1201"/>
      <c r="CF4" s="1201"/>
      <c r="CG4" s="1201"/>
      <c r="CH4" s="1201"/>
      <c r="CI4" s="1203"/>
      <c r="CJ4" s="1200" t="n">
        <v>45627</v>
      </c>
      <c r="CK4" s="1200"/>
      <c r="CL4" s="1200"/>
      <c r="CM4" s="1200"/>
      <c r="CN4" s="1200"/>
      <c r="CO4" s="1200"/>
      <c r="CP4" s="1200"/>
      <c r="CQ4" s="1199"/>
      <c r="CR4" s="1205" t="s">
        <v>3</v>
      </c>
      <c r="CS4" s="1205"/>
      <c r="CT4" s="1205"/>
      <c r="CU4" s="1205"/>
      <c r="CV4" s="1205"/>
      <c r="CW4" s="1205"/>
      <c r="CX4" s="1205"/>
      <c r="CY4" s="1206"/>
      <c r="CZ4" s="78" t="s">
        <v>4</v>
      </c>
      <c r="DA4" s="78"/>
      <c r="DB4" s="78"/>
      <c r="DC4" s="78"/>
      <c r="DD4" s="78"/>
      <c r="DE4" s="78"/>
      <c r="DF4" s="78"/>
      <c r="DG4" s="78"/>
      <c r="DH4" s="78"/>
      <c r="DJ4" s="1207"/>
      <c r="DK4" s="1208"/>
      <c r="DL4" s="1207"/>
      <c r="DM4" s="1207"/>
    </row>
    <row r="5" s="91" customFormat="true" ht="33" hidden="false" customHeight="true" outlineLevel="0" collapsed="false">
      <c r="B5" s="91" t="s">
        <v>810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1209"/>
      <c r="CZ5" s="87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210"/>
      <c r="DJ5" s="1211" t="s">
        <v>6</v>
      </c>
      <c r="DK5" s="1211" t="s">
        <v>7</v>
      </c>
      <c r="DL5" s="1211" t="s">
        <v>9</v>
      </c>
      <c r="DM5" s="1211" t="s">
        <v>102</v>
      </c>
    </row>
    <row r="6" customFormat="false" ht="12.75" hidden="false" customHeight="false" outlineLevel="0" collapsed="false">
      <c r="D6" s="42"/>
      <c r="E6" s="42"/>
      <c r="F6" s="1212"/>
      <c r="G6" s="42"/>
      <c r="J6" s="42"/>
      <c r="K6" s="42"/>
      <c r="L6" s="42"/>
      <c r="M6" s="42"/>
      <c r="N6" s="40"/>
      <c r="O6" s="40"/>
      <c r="P6" s="1213"/>
      <c r="Q6" s="37"/>
      <c r="R6" s="37"/>
      <c r="S6" s="37"/>
      <c r="U6" s="671"/>
      <c r="V6" s="42"/>
      <c r="W6" s="42"/>
      <c r="X6" s="42"/>
      <c r="Y6" s="1212"/>
      <c r="Z6" s="1212"/>
      <c r="AA6" s="42"/>
      <c r="AC6" s="103"/>
      <c r="AD6" s="42"/>
      <c r="AE6" s="42"/>
      <c r="AF6" s="42"/>
      <c r="AG6" s="1212"/>
      <c r="AH6" s="1212"/>
      <c r="AI6" s="42"/>
      <c r="AJ6" s="36"/>
      <c r="AK6" s="103"/>
      <c r="AL6" s="1213"/>
      <c r="AM6" s="37"/>
      <c r="AN6" s="37"/>
      <c r="AO6" s="37"/>
      <c r="AP6" s="37"/>
      <c r="AQ6" s="37"/>
      <c r="AR6" s="37"/>
      <c r="AS6" s="1193"/>
      <c r="AT6" s="373"/>
      <c r="AU6" s="42"/>
      <c r="AV6" s="42"/>
      <c r="AW6" s="42"/>
      <c r="AX6" s="1212"/>
      <c r="AY6" s="1212"/>
      <c r="AZ6" s="42"/>
      <c r="BA6" s="36"/>
      <c r="BB6" s="103"/>
      <c r="BC6" s="37"/>
      <c r="BD6" s="37"/>
      <c r="BE6" s="37"/>
      <c r="BF6" s="37"/>
      <c r="BG6" s="37"/>
      <c r="BH6" s="37"/>
      <c r="BJ6" s="671"/>
      <c r="BK6" s="42"/>
      <c r="BL6" s="42"/>
      <c r="BM6" s="42"/>
      <c r="BN6" s="42"/>
      <c r="BO6" s="1212"/>
      <c r="BP6" s="1212"/>
      <c r="BQ6" s="42"/>
      <c r="BR6" s="36"/>
      <c r="BS6" s="103"/>
      <c r="BT6" s="36"/>
      <c r="BU6" s="36"/>
      <c r="BV6" s="36"/>
      <c r="BW6" s="36"/>
      <c r="BX6" s="36"/>
      <c r="BY6" s="36"/>
      <c r="BZ6" s="36"/>
      <c r="CA6" s="103"/>
      <c r="CB6" s="42"/>
      <c r="CC6" s="42"/>
      <c r="CD6" s="42"/>
      <c r="CE6" s="1212"/>
      <c r="CF6" s="1212"/>
      <c r="CG6" s="42"/>
      <c r="CH6" s="36"/>
      <c r="CI6" s="103"/>
      <c r="CJ6" s="42"/>
      <c r="CK6" s="42"/>
      <c r="CL6" s="42"/>
      <c r="CM6" s="1212"/>
      <c r="CN6" s="1212"/>
      <c r="CO6" s="42"/>
      <c r="CP6" s="36"/>
      <c r="CY6" s="1196"/>
      <c r="DJ6" s="1214" t="n">
        <f aca="false">SUM(D6,J6,P6,V6,AD6,AL6,AU6,BC6,BK6,BT6,CB6,CJ6)-CR6</f>
        <v>0</v>
      </c>
      <c r="DK6" s="1214" t="n">
        <f aca="false">SUM(E6,K6,Q6,W6,AE6,AM6,AV6,BD6,BL6,BU6,CC6,CK6)-CS6</f>
        <v>0</v>
      </c>
      <c r="DL6" s="1214" t="n">
        <f aca="false">SUM(G6,M6,S6,AA6,AI6,AR6,AZ6,BH6,BQ6,BY6,CG6,CO6)-CW6</f>
        <v>0</v>
      </c>
      <c r="DM6" s="1214" t="n">
        <f aca="false">SUM(D6,J6,P6,V6,AD6,AL6,AU6,BC6,,BN6,BV6,CD6,CL6)-CT6</f>
        <v>0</v>
      </c>
    </row>
    <row r="7" customFormat="false" ht="12.75" hidden="false" customHeight="true" outlineLevel="0" collapsed="false">
      <c r="B7" s="1215" t="s">
        <v>811</v>
      </c>
      <c r="C7" s="679" t="s">
        <v>812</v>
      </c>
      <c r="D7" s="1216"/>
      <c r="E7" s="1216"/>
      <c r="F7" s="1217"/>
      <c r="G7" s="1216"/>
      <c r="H7" s="1218"/>
      <c r="I7" s="105"/>
      <c r="J7" s="1216"/>
      <c r="K7" s="1216"/>
      <c r="L7" s="1217"/>
      <c r="M7" s="1216"/>
      <c r="N7" s="1218"/>
      <c r="O7" s="1219"/>
      <c r="P7" s="1216"/>
      <c r="Q7" s="1216"/>
      <c r="R7" s="1217"/>
      <c r="S7" s="1216"/>
      <c r="T7" s="1218"/>
      <c r="U7" s="1220"/>
      <c r="V7" s="1216"/>
      <c r="W7" s="1216"/>
      <c r="X7" s="1216"/>
      <c r="Y7" s="400"/>
      <c r="Z7" s="399"/>
      <c r="AA7" s="1216"/>
      <c r="AB7" s="1221"/>
      <c r="AC7" s="1222"/>
      <c r="AD7" s="1216"/>
      <c r="AE7" s="1216"/>
      <c r="AF7" s="1216"/>
      <c r="AG7" s="400"/>
      <c r="AH7" s="399"/>
      <c r="AI7" s="1216"/>
      <c r="AJ7" s="1221"/>
      <c r="AK7" s="1222"/>
      <c r="AL7" s="1216"/>
      <c r="AM7" s="1216"/>
      <c r="AN7" s="1216"/>
      <c r="AO7" s="1216"/>
      <c r="AP7" s="400"/>
      <c r="AQ7" s="400"/>
      <c r="AR7" s="1216"/>
      <c r="AS7" s="1221"/>
      <c r="AT7" s="1223"/>
      <c r="AU7" s="1216"/>
      <c r="AV7" s="1216"/>
      <c r="AW7" s="1216"/>
      <c r="AX7" s="400"/>
      <c r="AY7" s="400"/>
      <c r="AZ7" s="1216"/>
      <c r="BA7" s="1221"/>
      <c r="BB7" s="1222"/>
      <c r="BC7" s="1216"/>
      <c r="BD7" s="1216"/>
      <c r="BE7" s="1216"/>
      <c r="BF7" s="400"/>
      <c r="BG7" s="400"/>
      <c r="BH7" s="1216"/>
      <c r="BI7" s="1221"/>
      <c r="BJ7" s="1220"/>
      <c r="BK7" s="1216"/>
      <c r="BL7" s="1216"/>
      <c r="BM7" s="1216"/>
      <c r="BN7" s="1216"/>
      <c r="BO7" s="400"/>
      <c r="BP7" s="400"/>
      <c r="BQ7" s="1216"/>
      <c r="BR7" s="1221"/>
      <c r="BS7" s="1222"/>
      <c r="BT7" s="1216"/>
      <c r="BU7" s="1216"/>
      <c r="BV7" s="1216"/>
      <c r="BW7" s="400"/>
      <c r="BX7" s="400"/>
      <c r="BY7" s="1216"/>
      <c r="BZ7" s="1221"/>
      <c r="CA7" s="1222"/>
      <c r="CB7" s="1216"/>
      <c r="CC7" s="1216"/>
      <c r="CD7" s="1216"/>
      <c r="CE7" s="400"/>
      <c r="CF7" s="400"/>
      <c r="CG7" s="1216"/>
      <c r="CH7" s="1221"/>
      <c r="CI7" s="1222"/>
      <c r="CJ7" s="1216"/>
      <c r="CK7" s="1216"/>
      <c r="CL7" s="1216"/>
      <c r="CM7" s="400"/>
      <c r="CN7" s="400"/>
      <c r="CO7" s="1216"/>
      <c r="CP7" s="1221"/>
      <c r="CQ7" s="1224"/>
      <c r="CR7" s="1225"/>
      <c r="CS7" s="1216"/>
      <c r="CT7" s="1216"/>
      <c r="CU7" s="1216" t="n">
        <f aca="false">CR7-CS7</f>
        <v>0</v>
      </c>
      <c r="CV7" s="1216" t="n">
        <f aca="false">CR7-CT7</f>
        <v>0</v>
      </c>
      <c r="CW7" s="1216"/>
      <c r="CX7" s="1216" t="str">
        <f aca="false">IFERROR(CR7/CW7-1, "-")</f>
        <v>-</v>
      </c>
      <c r="CY7" s="1226"/>
      <c r="CZ7" s="1216"/>
      <c r="DA7" s="1216"/>
      <c r="DB7" s="1216"/>
      <c r="DC7" s="1216"/>
      <c r="DD7" s="1216"/>
      <c r="DE7" s="1224" t="e">
        <f aca="false">+CZ7/DD7-1</f>
        <v>#DIV/0!</v>
      </c>
      <c r="DF7" s="1219" t="e">
        <f aca="false">+DA7/DD7-1</f>
        <v>#DIV/0!</v>
      </c>
      <c r="DG7" s="1219" t="e">
        <f aca="false">+DB7/DD7-1</f>
        <v>#DIV/0!</v>
      </c>
      <c r="DH7" s="1219" t="e">
        <f aca="false">+DC7/DD7-1</f>
        <v>#DIV/0!</v>
      </c>
      <c r="DI7" s="1227"/>
      <c r="DJ7" s="1214" t="n">
        <f aca="false">SUM(D7,J7,P7,V7,AD7,AL7,AU7,BC7,BK7,BT7,CB7,CJ7)-CR7</f>
        <v>0</v>
      </c>
      <c r="DK7" s="1214" t="n">
        <f aca="false">SUM(E7,K7,Q7,W7,AE7,AM7,AV7,BD7,BL7,BU7,CC7,CK7)-CS7</f>
        <v>0</v>
      </c>
      <c r="DL7" s="1214" t="n">
        <f aca="false">SUM(G7,M7,S7,AA7,AI7,AR7,AZ7,BH7,BQ7,BY7,CG7,CO7)-CW7</f>
        <v>0</v>
      </c>
      <c r="DM7" s="1214" t="n">
        <f aca="false">SUM(D7,J7,P7,V7,AD7,AL7,AU7,BC7,,BN7,BV7,CD7,CL7)-CT7</f>
        <v>0</v>
      </c>
    </row>
    <row r="8" customFormat="false" ht="5.25" hidden="false" customHeight="true" outlineLevel="0" collapsed="false">
      <c r="B8" s="1228"/>
      <c r="C8" s="679" t="s">
        <v>813</v>
      </c>
      <c r="D8" s="1229"/>
      <c r="E8" s="144"/>
      <c r="F8" s="421"/>
      <c r="G8" s="144"/>
      <c r="H8" s="245"/>
      <c r="I8" s="38"/>
      <c r="J8" s="1229"/>
      <c r="K8" s="144"/>
      <c r="L8" s="421"/>
      <c r="M8" s="144"/>
      <c r="N8" s="245"/>
      <c r="O8" s="245"/>
      <c r="P8" s="1229"/>
      <c r="Q8" s="144"/>
      <c r="R8" s="421"/>
      <c r="S8" s="144"/>
      <c r="T8" s="245"/>
      <c r="U8" s="422"/>
      <c r="V8" s="1229"/>
      <c r="W8" s="144"/>
      <c r="X8" s="144"/>
      <c r="Y8" s="421"/>
      <c r="Z8" s="421"/>
      <c r="AA8" s="144"/>
      <c r="AB8" s="245"/>
      <c r="AC8" s="422"/>
      <c r="AD8" s="1229"/>
      <c r="AE8" s="144"/>
      <c r="AF8" s="144"/>
      <c r="AG8" s="421"/>
      <c r="AH8" s="421"/>
      <c r="AI8" s="144"/>
      <c r="AJ8" s="245"/>
      <c r="AK8" s="422"/>
      <c r="AL8" s="1229"/>
      <c r="AM8" s="144"/>
      <c r="AN8" s="144"/>
      <c r="AO8" s="144"/>
      <c r="AP8" s="421"/>
      <c r="AQ8" s="421"/>
      <c r="AR8" s="144"/>
      <c r="AS8" s="245"/>
      <c r="AT8" s="423"/>
      <c r="AU8" s="1229"/>
      <c r="AV8" s="144"/>
      <c r="AW8" s="144"/>
      <c r="AX8" s="421"/>
      <c r="AY8" s="421"/>
      <c r="AZ8" s="144"/>
      <c r="BA8" s="245"/>
      <c r="BB8" s="422"/>
      <c r="BC8" s="1229"/>
      <c r="BD8" s="144"/>
      <c r="BE8" s="144"/>
      <c r="BF8" s="421"/>
      <c r="BG8" s="421"/>
      <c r="BH8" s="144"/>
      <c r="BI8" s="245"/>
      <c r="BJ8" s="422"/>
      <c r="BK8" s="1229"/>
      <c r="BL8" s="144"/>
      <c r="BM8" s="144"/>
      <c r="BN8" s="144"/>
      <c r="BO8" s="421"/>
      <c r="BP8" s="421"/>
      <c r="BQ8" s="144"/>
      <c r="BR8" s="245"/>
      <c r="BS8" s="422"/>
      <c r="BT8" s="1229"/>
      <c r="BU8" s="144"/>
      <c r="BV8" s="144"/>
      <c r="BW8" s="421"/>
      <c r="BX8" s="421"/>
      <c r="BY8" s="144"/>
      <c r="BZ8" s="245"/>
      <c r="CA8" s="422"/>
      <c r="CB8" s="1229"/>
      <c r="CC8" s="144"/>
      <c r="CD8" s="144"/>
      <c r="CE8" s="421"/>
      <c r="CF8" s="421"/>
      <c r="CG8" s="144"/>
      <c r="CH8" s="245"/>
      <c r="CI8" s="422"/>
      <c r="CJ8" s="1229"/>
      <c r="CK8" s="144"/>
      <c r="CL8" s="144"/>
      <c r="CM8" s="421"/>
      <c r="CN8" s="421"/>
      <c r="CO8" s="144"/>
      <c r="CP8" s="245"/>
      <c r="CQ8" s="245"/>
      <c r="CR8" s="699"/>
      <c r="CS8" s="144"/>
      <c r="CT8" s="144"/>
      <c r="CU8" s="144"/>
      <c r="CV8" s="144"/>
      <c r="CW8" s="144"/>
      <c r="CX8" s="144" t="str">
        <f aca="false">IFERROR(CR8/CW8-1, "-")</f>
        <v>-</v>
      </c>
      <c r="CY8" s="1230"/>
      <c r="CZ8" s="144"/>
      <c r="DA8" s="144"/>
      <c r="DB8" s="144"/>
      <c r="DC8" s="144"/>
      <c r="DD8" s="144"/>
      <c r="DE8" s="245"/>
      <c r="DF8" s="38"/>
      <c r="DG8" s="38"/>
      <c r="DH8" s="38"/>
      <c r="DI8" s="1227"/>
      <c r="DJ8" s="1214" t="n">
        <f aca="false">SUM(D8,J8,P8,V8,AD8,AL8,AU8,BC8,BK8,BT8,CB8,CJ8)-CR8</f>
        <v>0</v>
      </c>
      <c r="DK8" s="1214" t="n">
        <f aca="false">SUM(E8,K8,Q8,W8,AE8,AM8,AV8,BD8,BL8,BU8,CC8,CK8)-CS8</f>
        <v>0</v>
      </c>
      <c r="DL8" s="1214" t="n">
        <f aca="false">SUM(G8,M8,S8,AA8,AI8,AR8,AZ8,BH8,BQ8,BY8,CG8,CO8)-CW8</f>
        <v>0</v>
      </c>
      <c r="DM8" s="1214" t="n">
        <f aca="false">SUM(D8,J8,P8,V8,AD8,AL8,AU8,BC8,,BN8,BV8,CD8,CL8)-CT8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s="156" customFormat="true" ht="12.75" hidden="false" customHeight="true" outlineLevel="0" collapsed="false">
      <c r="B9" s="1231" t="s">
        <v>814</v>
      </c>
      <c r="C9" s="679" t="s">
        <v>815</v>
      </c>
      <c r="D9" s="708"/>
      <c r="E9" s="708"/>
      <c r="F9" s="1232"/>
      <c r="G9" s="1233"/>
      <c r="H9" s="1234"/>
      <c r="I9" s="105"/>
      <c r="J9" s="708"/>
      <c r="K9" s="708"/>
      <c r="L9" s="1232"/>
      <c r="M9" s="1233"/>
      <c r="N9" s="1234"/>
      <c r="O9" s="1034"/>
      <c r="P9" s="708"/>
      <c r="Q9" s="708"/>
      <c r="R9" s="1232"/>
      <c r="S9" s="1233"/>
      <c r="T9" s="1234"/>
      <c r="U9" s="402"/>
      <c r="V9" s="708"/>
      <c r="W9" s="708"/>
      <c r="X9" s="708"/>
      <c r="Y9" s="1232"/>
      <c r="Z9" s="1232"/>
      <c r="AA9" s="1233"/>
      <c r="AB9" s="1234"/>
      <c r="AC9" s="402"/>
      <c r="AD9" s="708"/>
      <c r="AE9" s="708"/>
      <c r="AF9" s="708"/>
      <c r="AG9" s="1232"/>
      <c r="AH9" s="1232"/>
      <c r="AI9" s="1233"/>
      <c r="AJ9" s="1234"/>
      <c r="AK9" s="402"/>
      <c r="AL9" s="708"/>
      <c r="AM9" s="708"/>
      <c r="AN9" s="708"/>
      <c r="AO9" s="708"/>
      <c r="AP9" s="1232"/>
      <c r="AQ9" s="1232"/>
      <c r="AR9" s="1233"/>
      <c r="AS9" s="1234"/>
      <c r="AT9" s="733"/>
      <c r="AU9" s="708"/>
      <c r="AV9" s="708"/>
      <c r="AW9" s="708"/>
      <c r="AX9" s="1232"/>
      <c r="AY9" s="1232"/>
      <c r="AZ9" s="1233"/>
      <c r="BA9" s="1234"/>
      <c r="BB9" s="402"/>
      <c r="BC9" s="708"/>
      <c r="BD9" s="708"/>
      <c r="BE9" s="708"/>
      <c r="BF9" s="1232"/>
      <c r="BG9" s="1232"/>
      <c r="BH9" s="1233"/>
      <c r="BI9" s="1234"/>
      <c r="BJ9" s="402"/>
      <c r="BK9" s="708"/>
      <c r="BL9" s="708"/>
      <c r="BM9" s="708"/>
      <c r="BN9" s="708"/>
      <c r="BO9" s="1232"/>
      <c r="BP9" s="1232"/>
      <c r="BQ9" s="1233"/>
      <c r="BR9" s="1234"/>
      <c r="BS9" s="402"/>
      <c r="BT9" s="708"/>
      <c r="BU9" s="708"/>
      <c r="BV9" s="708"/>
      <c r="BW9" s="1232"/>
      <c r="BX9" s="1232"/>
      <c r="BY9" s="1233"/>
      <c r="BZ9" s="1234"/>
      <c r="CA9" s="402"/>
      <c r="CB9" s="708"/>
      <c r="CC9" s="708"/>
      <c r="CD9" s="708"/>
      <c r="CE9" s="1232"/>
      <c r="CF9" s="1232"/>
      <c r="CG9" s="1233"/>
      <c r="CH9" s="1234"/>
      <c r="CI9" s="402"/>
      <c r="CJ9" s="708"/>
      <c r="CK9" s="708"/>
      <c r="CL9" s="708"/>
      <c r="CM9" s="1232"/>
      <c r="CN9" s="1232"/>
      <c r="CO9" s="1233"/>
      <c r="CP9" s="1234"/>
      <c r="CQ9" s="1034"/>
      <c r="CR9" s="1235"/>
      <c r="CS9" s="1233"/>
      <c r="CT9" s="708"/>
      <c r="CU9" s="708" t="n">
        <f aca="false">CR9-CS9</f>
        <v>0</v>
      </c>
      <c r="CV9" s="708" t="n">
        <f aca="false">CR9-CT9</f>
        <v>0</v>
      </c>
      <c r="CW9" s="708"/>
      <c r="CX9" s="708" t="str">
        <f aca="false">IFERROR(CR9/CW9-1, "-")</f>
        <v>-</v>
      </c>
      <c r="CY9" s="1236"/>
      <c r="CZ9" s="708"/>
      <c r="DA9" s="708"/>
      <c r="DB9" s="708"/>
      <c r="DC9" s="708"/>
      <c r="DD9" s="1233"/>
      <c r="DE9" s="1034" t="e">
        <f aca="false">+CZ9/DD9-1</f>
        <v>#DIV/0!</v>
      </c>
      <c r="DF9" s="1034" t="e">
        <f aca="false">+DA9/DD9-1</f>
        <v>#DIV/0!</v>
      </c>
      <c r="DG9" s="1034" t="e">
        <f aca="false">+DB9/DD9-1</f>
        <v>#DIV/0!</v>
      </c>
      <c r="DH9" s="1034" t="e">
        <f aca="false">+DC9/DD9-1</f>
        <v>#DIV/0!</v>
      </c>
      <c r="DI9" s="1237"/>
      <c r="DJ9" s="1214" t="n">
        <f aca="false">SUM(D9,J9,P9,V9,AD9,AL9,AU9,BC9,BK9,BT9,CB9,CJ9)-CR9</f>
        <v>0</v>
      </c>
      <c r="DK9" s="1214" t="n">
        <f aca="false">SUM(E9,K9,Q9,W9,AE9,AM9,AV9,BD9,BL9,BU9,CC9,CK9)-CS9</f>
        <v>0</v>
      </c>
      <c r="DL9" s="1214" t="n">
        <f aca="false">SUM(G9,M9,S9,AA9,AI9,AR9,AZ9,BH9,BQ9,BY9,CG9,CO9)-CW9</f>
        <v>0</v>
      </c>
      <c r="DM9" s="1214" t="n">
        <f aca="false">SUM(D9,J9,P9,V9,AD9,AL9,AU9,BC9,,BN9,BV9,CD9,CL9)-CT9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customFormat="false" ht="12.75" hidden="false" customHeight="true" outlineLevel="0" collapsed="false">
      <c r="B10" s="1238" t="s">
        <v>816</v>
      </c>
      <c r="C10" s="679" t="s">
        <v>817</v>
      </c>
      <c r="D10" s="421"/>
      <c r="E10" s="555"/>
      <c r="F10" s="952"/>
      <c r="G10" s="555"/>
      <c r="H10" s="1239"/>
      <c r="I10" s="206"/>
      <c r="J10" s="421"/>
      <c r="K10" s="555"/>
      <c r="L10" s="952"/>
      <c r="M10" s="555"/>
      <c r="N10" s="1239"/>
      <c r="O10" s="245"/>
      <c r="P10" s="421"/>
      <c r="Q10" s="555"/>
      <c r="R10" s="952"/>
      <c r="S10" s="555"/>
      <c r="T10" s="1239"/>
      <c r="U10" s="422"/>
      <c r="V10" s="421"/>
      <c r="W10" s="555"/>
      <c r="X10" s="555"/>
      <c r="Y10" s="952"/>
      <c r="Z10" s="952"/>
      <c r="AA10" s="555"/>
      <c r="AB10" s="1239"/>
      <c r="AC10" s="422"/>
      <c r="AD10" s="421"/>
      <c r="AE10" s="555"/>
      <c r="AF10" s="555"/>
      <c r="AG10" s="952"/>
      <c r="AH10" s="952"/>
      <c r="AI10" s="555"/>
      <c r="AJ10" s="1239"/>
      <c r="AK10" s="422"/>
      <c r="AL10" s="421"/>
      <c r="AM10" s="555"/>
      <c r="AN10" s="555"/>
      <c r="AO10" s="555"/>
      <c r="AP10" s="952"/>
      <c r="AQ10" s="952"/>
      <c r="AR10" s="555"/>
      <c r="AS10" s="1239"/>
      <c r="AT10" s="423"/>
      <c r="AU10" s="421"/>
      <c r="AV10" s="555"/>
      <c r="AW10" s="555"/>
      <c r="AX10" s="952"/>
      <c r="AY10" s="952"/>
      <c r="AZ10" s="555"/>
      <c r="BA10" s="1239"/>
      <c r="BB10" s="422"/>
      <c r="BC10" s="421"/>
      <c r="BD10" s="555"/>
      <c r="BE10" s="555"/>
      <c r="BF10" s="952"/>
      <c r="BG10" s="952"/>
      <c r="BH10" s="555"/>
      <c r="BI10" s="1239"/>
      <c r="BJ10" s="422"/>
      <c r="BK10" s="421"/>
      <c r="BL10" s="555"/>
      <c r="BM10" s="555"/>
      <c r="BN10" s="555"/>
      <c r="BO10" s="952"/>
      <c r="BP10" s="952"/>
      <c r="BQ10" s="555"/>
      <c r="BR10" s="1239"/>
      <c r="BS10" s="422"/>
      <c r="BT10" s="421"/>
      <c r="BU10" s="555"/>
      <c r="BV10" s="555"/>
      <c r="BW10" s="952"/>
      <c r="BX10" s="952"/>
      <c r="BY10" s="555"/>
      <c r="BZ10" s="1239"/>
      <c r="CA10" s="422"/>
      <c r="CB10" s="421"/>
      <c r="CC10" s="555"/>
      <c r="CD10" s="555"/>
      <c r="CE10" s="952"/>
      <c r="CF10" s="952"/>
      <c r="CG10" s="555"/>
      <c r="CH10" s="1239"/>
      <c r="CI10" s="422"/>
      <c r="CJ10" s="421"/>
      <c r="CK10" s="555"/>
      <c r="CL10" s="555"/>
      <c r="CM10" s="952"/>
      <c r="CN10" s="952"/>
      <c r="CO10" s="555"/>
      <c r="CP10" s="1239"/>
      <c r="CQ10" s="245"/>
      <c r="CR10" s="716"/>
      <c r="CS10" s="555"/>
      <c r="CT10" s="555"/>
      <c r="CU10" s="555" t="n">
        <f aca="false">CR10-CS10</f>
        <v>0</v>
      </c>
      <c r="CV10" s="555" t="n">
        <f aca="false">CR10-CT10</f>
        <v>0</v>
      </c>
      <c r="CW10" s="555"/>
      <c r="CX10" s="555" t="str">
        <f aca="false">IFERROR(CR10/CW10-1, "-")</f>
        <v>-</v>
      </c>
      <c r="CY10" s="1240"/>
      <c r="CZ10" s="555"/>
      <c r="DA10" s="555"/>
      <c r="DB10" s="555"/>
      <c r="DC10" s="555"/>
      <c r="DD10" s="555"/>
      <c r="DE10" s="556" t="e">
        <f aca="false">+CZ10/DD10-1</f>
        <v>#DIV/0!</v>
      </c>
      <c r="DF10" s="556" t="e">
        <f aca="false">+DA10/DD10-1</f>
        <v>#DIV/0!</v>
      </c>
      <c r="DG10" s="556" t="e">
        <f aca="false">+DB10/DD10-1</f>
        <v>#DIV/0!</v>
      </c>
      <c r="DH10" s="556" t="e">
        <f aca="false">+DC10/DD10-1</f>
        <v>#DIV/0!</v>
      </c>
      <c r="DI10" s="1227"/>
      <c r="DJ10" s="1214" t="n">
        <f aca="false">SUM(D10,J10,P10,V10,AD10,AL10,AU10,BC10,BK10,BT10,CB10,CJ10)-CR10</f>
        <v>0</v>
      </c>
      <c r="DK10" s="1214" t="n">
        <f aca="false">SUM(E10,K10,Q10,W10,AE10,AM10,AV10,BD10,BL10,BU10,CC10,CK10)-CS10</f>
        <v>0</v>
      </c>
      <c r="DL10" s="1214" t="n">
        <f aca="false">SUM(G10,M10,S10,AA10,AI10,AR10,AZ10,BH10,BQ10,BY10,CG10,CO10)-CW10</f>
        <v>0</v>
      </c>
      <c r="DM10" s="1214" t="n">
        <f aca="false">SUM(D10,J10,P10,V10,AD10,AL10,AU10,BC10,,BN10,BV10,CD10,CL10)-CT10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customFormat="false" ht="12.75" hidden="false" customHeight="true" outlineLevel="0" collapsed="false">
      <c r="B11" s="1241" t="s">
        <v>818</v>
      </c>
      <c r="C11" s="679" t="s">
        <v>819</v>
      </c>
      <c r="D11" s="421"/>
      <c r="E11" s="421"/>
      <c r="F11" s="421"/>
      <c r="G11" s="421"/>
      <c r="H11" s="885"/>
      <c r="I11" s="206"/>
      <c r="J11" s="421"/>
      <c r="K11" s="421"/>
      <c r="L11" s="421"/>
      <c r="M11" s="421"/>
      <c r="N11" s="885"/>
      <c r="O11" s="245"/>
      <c r="P11" s="421"/>
      <c r="Q11" s="421"/>
      <c r="R11" s="421"/>
      <c r="S11" s="421"/>
      <c r="T11" s="885"/>
      <c r="U11" s="422"/>
      <c r="V11" s="421"/>
      <c r="W11" s="421"/>
      <c r="X11" s="421"/>
      <c r="Y11" s="421"/>
      <c r="Z11" s="421"/>
      <c r="AA11" s="421"/>
      <c r="AB11" s="885"/>
      <c r="AC11" s="422"/>
      <c r="AD11" s="421"/>
      <c r="AE11" s="421"/>
      <c r="AF11" s="421"/>
      <c r="AG11" s="421"/>
      <c r="AH11" s="421"/>
      <c r="AI11" s="421"/>
      <c r="AJ11" s="885"/>
      <c r="AK11" s="422"/>
      <c r="AL11" s="421"/>
      <c r="AM11" s="421"/>
      <c r="AN11" s="421"/>
      <c r="AO11" s="421"/>
      <c r="AP11" s="421"/>
      <c r="AQ11" s="421"/>
      <c r="AR11" s="421"/>
      <c r="AS11" s="885"/>
      <c r="AT11" s="423"/>
      <c r="AU11" s="421"/>
      <c r="AV11" s="421"/>
      <c r="AW11" s="421"/>
      <c r="AX11" s="421"/>
      <c r="AY11" s="421"/>
      <c r="AZ11" s="421"/>
      <c r="BA11" s="885"/>
      <c r="BB11" s="422"/>
      <c r="BC11" s="421"/>
      <c r="BD11" s="421"/>
      <c r="BE11" s="421"/>
      <c r="BF11" s="421"/>
      <c r="BG11" s="421"/>
      <c r="BH11" s="421"/>
      <c r="BI11" s="885"/>
      <c r="BJ11" s="422"/>
      <c r="BK11" s="421"/>
      <c r="BL11" s="421"/>
      <c r="BM11" s="421"/>
      <c r="BN11" s="421"/>
      <c r="BO11" s="421"/>
      <c r="BP11" s="421"/>
      <c r="BQ11" s="421"/>
      <c r="BR11" s="885"/>
      <c r="BS11" s="422"/>
      <c r="BT11" s="421"/>
      <c r="BU11" s="421"/>
      <c r="BV11" s="421"/>
      <c r="BW11" s="421"/>
      <c r="BX11" s="421"/>
      <c r="BY11" s="421"/>
      <c r="BZ11" s="885"/>
      <c r="CA11" s="422"/>
      <c r="CB11" s="421"/>
      <c r="CC11" s="421"/>
      <c r="CD11" s="421"/>
      <c r="CE11" s="421"/>
      <c r="CF11" s="421"/>
      <c r="CG11" s="421"/>
      <c r="CH11" s="885"/>
      <c r="CI11" s="422"/>
      <c r="CJ11" s="421"/>
      <c r="CK11" s="421"/>
      <c r="CL11" s="421"/>
      <c r="CM11" s="421"/>
      <c r="CN11" s="421"/>
      <c r="CO11" s="421"/>
      <c r="CP11" s="885"/>
      <c r="CQ11" s="245"/>
      <c r="CR11" s="699"/>
      <c r="CS11" s="144"/>
      <c r="CT11" s="421"/>
      <c r="CU11" s="421" t="n">
        <f aca="false">CR11-CS11</f>
        <v>0</v>
      </c>
      <c r="CV11" s="421" t="n">
        <f aca="false">CR11-CT11</f>
        <v>0</v>
      </c>
      <c r="CW11" s="421"/>
      <c r="CX11" s="421" t="str">
        <f aca="false">IFERROR(CR11/CW11-1, "-")</f>
        <v>-</v>
      </c>
      <c r="CY11" s="1242"/>
      <c r="CZ11" s="421"/>
      <c r="DA11" s="421"/>
      <c r="DB11" s="421"/>
      <c r="DC11" s="421"/>
      <c r="DD11" s="421"/>
      <c r="DE11" s="245" t="e">
        <f aca="false">+CZ11/DD11-1</f>
        <v>#DIV/0!</v>
      </c>
      <c r="DF11" s="245" t="e">
        <f aca="false">+DA11/DD11-1</f>
        <v>#DIV/0!</v>
      </c>
      <c r="DG11" s="245" t="e">
        <f aca="false">+DB11/DD11-1</f>
        <v>#DIV/0!</v>
      </c>
      <c r="DH11" s="245" t="e">
        <f aca="false">+DC11/DD11-1</f>
        <v>#DIV/0!</v>
      </c>
      <c r="DI11" s="1227"/>
      <c r="DJ11" s="1214" t="n">
        <f aca="false">SUM(D11,J11,P11,V11,AD11,AL11,AU11,BC11,BK11,BT11,CB11,CJ11)-CR11</f>
        <v>0</v>
      </c>
      <c r="DK11" s="1214" t="n">
        <f aca="false">SUM(E11,K11,Q11,W11,AE11,AM11,AV11,BD11,BL11,BU11,CC11,CK11)-CS11</f>
        <v>0</v>
      </c>
      <c r="DL11" s="1214" t="n">
        <f aca="false">SUM(G11,M11,S11,AA11,AI11,AR11,AZ11,BH11,BQ11,BY11,CG11,CO11)-CW11</f>
        <v>0</v>
      </c>
      <c r="DM11" s="1214" t="n">
        <f aca="false">SUM(D11,J11,P11,V11,AD11,AL11,AU11,BC11,,BN11,BV11,CD11,CL11)-CT11</f>
        <v>0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customFormat="false" ht="12.75" hidden="false" customHeight="true" outlineLevel="0" collapsed="false">
      <c r="B12" s="1241" t="s">
        <v>820</v>
      </c>
      <c r="C12" s="679" t="s">
        <v>821</v>
      </c>
      <c r="D12" s="421"/>
      <c r="E12" s="144"/>
      <c r="F12" s="421"/>
      <c r="G12" s="144"/>
      <c r="H12" s="885"/>
      <c r="I12" s="206"/>
      <c r="J12" s="421"/>
      <c r="K12" s="144"/>
      <c r="L12" s="421"/>
      <c r="M12" s="144"/>
      <c r="N12" s="885"/>
      <c r="O12" s="245"/>
      <c r="P12" s="421"/>
      <c r="Q12" s="144"/>
      <c r="R12" s="421"/>
      <c r="S12" s="144"/>
      <c r="T12" s="885"/>
      <c r="U12" s="422"/>
      <c r="V12" s="421"/>
      <c r="W12" s="144"/>
      <c r="X12" s="144"/>
      <c r="Y12" s="421"/>
      <c r="Z12" s="421"/>
      <c r="AA12" s="144"/>
      <c r="AB12" s="885"/>
      <c r="AC12" s="422"/>
      <c r="AD12" s="421"/>
      <c r="AE12" s="144"/>
      <c r="AF12" s="144"/>
      <c r="AG12" s="421"/>
      <c r="AH12" s="421"/>
      <c r="AI12" s="144"/>
      <c r="AJ12" s="885"/>
      <c r="AK12" s="422"/>
      <c r="AL12" s="421"/>
      <c r="AM12" s="144"/>
      <c r="AN12" s="144"/>
      <c r="AO12" s="144"/>
      <c r="AP12" s="421"/>
      <c r="AQ12" s="421"/>
      <c r="AR12" s="144"/>
      <c r="AS12" s="885"/>
      <c r="AT12" s="423"/>
      <c r="AU12" s="421"/>
      <c r="AV12" s="144"/>
      <c r="AW12" s="144"/>
      <c r="AX12" s="421"/>
      <c r="AY12" s="421"/>
      <c r="AZ12" s="144"/>
      <c r="BA12" s="885"/>
      <c r="BB12" s="422"/>
      <c r="BC12" s="421"/>
      <c r="BD12" s="144"/>
      <c r="BE12" s="144"/>
      <c r="BF12" s="421"/>
      <c r="BG12" s="421"/>
      <c r="BH12" s="144"/>
      <c r="BI12" s="885"/>
      <c r="BJ12" s="422"/>
      <c r="BK12" s="421"/>
      <c r="BL12" s="144"/>
      <c r="BM12" s="144"/>
      <c r="BN12" s="144"/>
      <c r="BO12" s="421"/>
      <c r="BP12" s="421"/>
      <c r="BQ12" s="144"/>
      <c r="BR12" s="885"/>
      <c r="BS12" s="422"/>
      <c r="BT12" s="421"/>
      <c r="BU12" s="144"/>
      <c r="BV12" s="144"/>
      <c r="BW12" s="421"/>
      <c r="BX12" s="421"/>
      <c r="BY12" s="144"/>
      <c r="BZ12" s="885"/>
      <c r="CA12" s="422"/>
      <c r="CB12" s="421"/>
      <c r="CC12" s="144"/>
      <c r="CD12" s="144"/>
      <c r="CE12" s="421"/>
      <c r="CF12" s="421"/>
      <c r="CG12" s="144"/>
      <c r="CH12" s="885"/>
      <c r="CI12" s="422"/>
      <c r="CJ12" s="421"/>
      <c r="CK12" s="144"/>
      <c r="CL12" s="144"/>
      <c r="CM12" s="421"/>
      <c r="CN12" s="421"/>
      <c r="CO12" s="144"/>
      <c r="CP12" s="885"/>
      <c r="CQ12" s="245"/>
      <c r="CR12" s="699"/>
      <c r="CS12" s="144"/>
      <c r="CT12" s="144"/>
      <c r="CU12" s="144" t="n">
        <f aca="false">CR12-CS12</f>
        <v>0</v>
      </c>
      <c r="CV12" s="144" t="n">
        <f aca="false">CR12-CT12</f>
        <v>0</v>
      </c>
      <c r="CW12" s="144"/>
      <c r="CX12" s="144" t="str">
        <f aca="false">IFERROR(CR12/CW12-1, "-")</f>
        <v>-</v>
      </c>
      <c r="CY12" s="1230"/>
      <c r="CZ12" s="144"/>
      <c r="DA12" s="144"/>
      <c r="DB12" s="144"/>
      <c r="DC12" s="421"/>
      <c r="DD12" s="144"/>
      <c r="DE12" s="245" t="e">
        <f aca="false">+CZ12/DD12-1</f>
        <v>#DIV/0!</v>
      </c>
      <c r="DF12" s="245" t="e">
        <f aca="false">+DA12/DD12-1</f>
        <v>#DIV/0!</v>
      </c>
      <c r="DG12" s="245" t="e">
        <f aca="false">+DB12/DD12-1</f>
        <v>#DIV/0!</v>
      </c>
      <c r="DH12" s="245" t="e">
        <f aca="false">+DC12/DD12-1</f>
        <v>#DIV/0!</v>
      </c>
      <c r="DI12" s="1227"/>
      <c r="DJ12" s="1214" t="n">
        <f aca="false">SUM(D12,J12,P12,V12,AD12,AL12,AU12,BC12,BK12,BT12,CB12,CJ12)-CR12</f>
        <v>0</v>
      </c>
      <c r="DK12" s="1214" t="n">
        <f aca="false">SUM(E12,K12,Q12,W12,AE12,AM12,AV12,BD12,BL12,BU12,CC12,CK12)-CS12</f>
        <v>0</v>
      </c>
      <c r="DL12" s="1214" t="n">
        <f aca="false">SUM(G12,M12,S12,AA12,AI12,AR12,AZ12,BH12,BQ12,BY12,CG12,CO12)-CW12</f>
        <v>0</v>
      </c>
      <c r="DM12" s="1214" t="n">
        <f aca="false">SUM(D12,J12,P12,V12,AD12,AL12,AU12,BC12,,BN12,BV12,CD12,CL12)-CT12</f>
        <v>0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customFormat="false" ht="12.75" hidden="false" customHeight="true" outlineLevel="0" collapsed="false">
      <c r="B13" s="1241" t="s">
        <v>822</v>
      </c>
      <c r="C13" s="679" t="s">
        <v>823</v>
      </c>
      <c r="D13" s="421"/>
      <c r="E13" s="144"/>
      <c r="F13" s="421"/>
      <c r="G13" s="144"/>
      <c r="H13" s="885"/>
      <c r="I13" s="206"/>
      <c r="J13" s="421"/>
      <c r="K13" s="144"/>
      <c r="L13" s="421"/>
      <c r="M13" s="144"/>
      <c r="N13" s="885"/>
      <c r="O13" s="245"/>
      <c r="P13" s="421"/>
      <c r="Q13" s="144"/>
      <c r="R13" s="421"/>
      <c r="S13" s="144"/>
      <c r="T13" s="885"/>
      <c r="U13" s="422"/>
      <c r="V13" s="421"/>
      <c r="W13" s="144"/>
      <c r="X13" s="144"/>
      <c r="Y13" s="421"/>
      <c r="Z13" s="421"/>
      <c r="AA13" s="144"/>
      <c r="AB13" s="885"/>
      <c r="AC13" s="422"/>
      <c r="AD13" s="421"/>
      <c r="AE13" s="144"/>
      <c r="AF13" s="144"/>
      <c r="AG13" s="421"/>
      <c r="AH13" s="421"/>
      <c r="AI13" s="144"/>
      <c r="AJ13" s="885"/>
      <c r="AK13" s="422"/>
      <c r="AL13" s="421"/>
      <c r="AM13" s="144"/>
      <c r="AN13" s="144"/>
      <c r="AO13" s="144"/>
      <c r="AP13" s="421"/>
      <c r="AQ13" s="421"/>
      <c r="AR13" s="144"/>
      <c r="AS13" s="885"/>
      <c r="AT13" s="423"/>
      <c r="AU13" s="421"/>
      <c r="AV13" s="144"/>
      <c r="AW13" s="144"/>
      <c r="AX13" s="421"/>
      <c r="AY13" s="421"/>
      <c r="AZ13" s="144"/>
      <c r="BA13" s="885"/>
      <c r="BB13" s="422"/>
      <c r="BC13" s="421"/>
      <c r="BD13" s="144"/>
      <c r="BE13" s="144"/>
      <c r="BF13" s="421"/>
      <c r="BG13" s="421"/>
      <c r="BH13" s="144"/>
      <c r="BI13" s="885"/>
      <c r="BJ13" s="422"/>
      <c r="BK13" s="421"/>
      <c r="BL13" s="144"/>
      <c r="BM13" s="144"/>
      <c r="BN13" s="144"/>
      <c r="BO13" s="421"/>
      <c r="BP13" s="421"/>
      <c r="BQ13" s="144"/>
      <c r="BR13" s="885"/>
      <c r="BS13" s="422"/>
      <c r="BT13" s="421"/>
      <c r="BU13" s="144"/>
      <c r="BV13" s="144"/>
      <c r="BW13" s="421"/>
      <c r="BX13" s="421"/>
      <c r="BY13" s="144"/>
      <c r="BZ13" s="885"/>
      <c r="CA13" s="422"/>
      <c r="CB13" s="421"/>
      <c r="CC13" s="144"/>
      <c r="CD13" s="144"/>
      <c r="CE13" s="421"/>
      <c r="CF13" s="421"/>
      <c r="CG13" s="144"/>
      <c r="CH13" s="885"/>
      <c r="CI13" s="422"/>
      <c r="CJ13" s="421"/>
      <c r="CK13" s="144"/>
      <c r="CL13" s="144"/>
      <c r="CM13" s="421"/>
      <c r="CN13" s="421"/>
      <c r="CO13" s="144"/>
      <c r="CP13" s="885"/>
      <c r="CQ13" s="245"/>
      <c r="CR13" s="699"/>
      <c r="CS13" s="144"/>
      <c r="CT13" s="144"/>
      <c r="CU13" s="144" t="n">
        <f aca="false">CR13-CS13</f>
        <v>0</v>
      </c>
      <c r="CV13" s="144" t="n">
        <f aca="false">CR13-CT13</f>
        <v>0</v>
      </c>
      <c r="CW13" s="144"/>
      <c r="CX13" s="144" t="str">
        <f aca="false">IFERROR(CR13/CW13-1, "-")</f>
        <v>-</v>
      </c>
      <c r="CY13" s="1230"/>
      <c r="CZ13" s="144"/>
      <c r="DA13" s="144"/>
      <c r="DB13" s="144"/>
      <c r="DC13" s="144"/>
      <c r="DD13" s="144"/>
      <c r="DE13" s="245" t="e">
        <f aca="false">+CZ13/DD13-1</f>
        <v>#DIV/0!</v>
      </c>
      <c r="DF13" s="245" t="e">
        <f aca="false">+DA13/DD13-1</f>
        <v>#DIV/0!</v>
      </c>
      <c r="DG13" s="245" t="e">
        <f aca="false">+DB13/DD13-1</f>
        <v>#DIV/0!</v>
      </c>
      <c r="DH13" s="245" t="e">
        <f aca="false">+DC13/DD13-1</f>
        <v>#DIV/0!</v>
      </c>
      <c r="DI13" s="1227"/>
      <c r="DJ13" s="1214" t="n">
        <f aca="false">SUM(D13,J13,P13,V13,AD13,AL13,AU13,BC13,BK13,BT13,CB13,CJ13)-CR13</f>
        <v>0</v>
      </c>
      <c r="DK13" s="1214" t="n">
        <f aca="false">SUM(E13,K13,Q13,W13,AE13,AM13,AV13,BD13,BL13,BU13,CC13,CK13)-CS13</f>
        <v>0</v>
      </c>
      <c r="DL13" s="1214" t="n">
        <f aca="false">SUM(G13,M13,S13,AA13,AI13,AR13,AZ13,BH13,BQ13,BY13,CG13,CO13)-CW13</f>
        <v>0</v>
      </c>
      <c r="DM13" s="1214" t="n">
        <f aca="false">SUM(D13,J13,P13,V13,AD13,AL13,AU13,BC13,,BN13,BV13,CD13,CL13)-CT13</f>
        <v>0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customFormat="false" ht="12.75" hidden="false" customHeight="true" outlineLevel="0" collapsed="false">
      <c r="B14" s="1243" t="s">
        <v>824</v>
      </c>
      <c r="C14" s="679" t="s">
        <v>825</v>
      </c>
      <c r="D14" s="421"/>
      <c r="E14" s="144"/>
      <c r="F14" s="421"/>
      <c r="G14" s="144"/>
      <c r="H14" s="885"/>
      <c r="I14" s="206"/>
      <c r="J14" s="421"/>
      <c r="K14" s="144"/>
      <c r="L14" s="421"/>
      <c r="M14" s="144"/>
      <c r="N14" s="885"/>
      <c r="O14" s="245"/>
      <c r="P14" s="421"/>
      <c r="Q14" s="144"/>
      <c r="R14" s="421"/>
      <c r="S14" s="144"/>
      <c r="T14" s="885"/>
      <c r="U14" s="422"/>
      <c r="V14" s="421"/>
      <c r="W14" s="144"/>
      <c r="X14" s="144"/>
      <c r="Y14" s="421"/>
      <c r="Z14" s="421"/>
      <c r="AA14" s="144"/>
      <c r="AB14" s="885"/>
      <c r="AC14" s="422"/>
      <c r="AD14" s="421"/>
      <c r="AE14" s="144"/>
      <c r="AF14" s="144"/>
      <c r="AG14" s="421"/>
      <c r="AH14" s="421"/>
      <c r="AI14" s="144"/>
      <c r="AJ14" s="885"/>
      <c r="AK14" s="422"/>
      <c r="AL14" s="421"/>
      <c r="AM14" s="144"/>
      <c r="AN14" s="144"/>
      <c r="AO14" s="144"/>
      <c r="AP14" s="421"/>
      <c r="AQ14" s="421"/>
      <c r="AR14" s="144"/>
      <c r="AS14" s="885"/>
      <c r="AT14" s="423"/>
      <c r="AU14" s="421"/>
      <c r="AV14" s="144"/>
      <c r="AW14" s="144"/>
      <c r="AX14" s="421"/>
      <c r="AY14" s="421"/>
      <c r="AZ14" s="144"/>
      <c r="BA14" s="885"/>
      <c r="BB14" s="422"/>
      <c r="BC14" s="421"/>
      <c r="BD14" s="144"/>
      <c r="BE14" s="144"/>
      <c r="BF14" s="421"/>
      <c r="BG14" s="421"/>
      <c r="BH14" s="144"/>
      <c r="BI14" s="885"/>
      <c r="BJ14" s="422"/>
      <c r="BK14" s="421"/>
      <c r="BL14" s="144"/>
      <c r="BM14" s="144"/>
      <c r="BN14" s="144"/>
      <c r="BO14" s="421"/>
      <c r="BP14" s="421"/>
      <c r="BQ14" s="144"/>
      <c r="BR14" s="885"/>
      <c r="BS14" s="422"/>
      <c r="BT14" s="421"/>
      <c r="BU14" s="144"/>
      <c r="BV14" s="144"/>
      <c r="BW14" s="421"/>
      <c r="BX14" s="421"/>
      <c r="BY14" s="144"/>
      <c r="BZ14" s="885"/>
      <c r="CA14" s="422"/>
      <c r="CB14" s="421"/>
      <c r="CC14" s="144"/>
      <c r="CD14" s="144"/>
      <c r="CE14" s="421"/>
      <c r="CF14" s="421"/>
      <c r="CG14" s="144"/>
      <c r="CH14" s="885"/>
      <c r="CI14" s="422"/>
      <c r="CJ14" s="421"/>
      <c r="CK14" s="144"/>
      <c r="CL14" s="144"/>
      <c r="CM14" s="421"/>
      <c r="CN14" s="421"/>
      <c r="CO14" s="144"/>
      <c r="CP14" s="885"/>
      <c r="CQ14" s="245"/>
      <c r="CR14" s="699"/>
      <c r="CS14" s="144"/>
      <c r="CT14" s="144"/>
      <c r="CU14" s="144" t="n">
        <f aca="false">CR14-CS14</f>
        <v>0</v>
      </c>
      <c r="CV14" s="144" t="n">
        <f aca="false">CR14-CT14</f>
        <v>0</v>
      </c>
      <c r="CW14" s="144"/>
      <c r="CX14" s="144" t="str">
        <f aca="false">IFERROR(CR14/CW14-1, "-")</f>
        <v>-</v>
      </c>
      <c r="CY14" s="1230"/>
      <c r="CZ14" s="144"/>
      <c r="DA14" s="144"/>
      <c r="DB14" s="144"/>
      <c r="DC14" s="144"/>
      <c r="DD14" s="144"/>
      <c r="DE14" s="245"/>
      <c r="DF14" s="245"/>
      <c r="DG14" s="245"/>
      <c r="DH14" s="245"/>
      <c r="DI14" s="1227"/>
      <c r="DJ14" s="1214" t="n">
        <f aca="false">SUM(D14,J14,P14,V14,AD14,AL14,AU14,BC14,BK14,BT14,CB14,CJ14)-CR14</f>
        <v>0</v>
      </c>
      <c r="DK14" s="1214" t="n">
        <f aca="false">SUM(E14,K14,Q14,W14,AE14,AM14,AV14,BD14,BL14,BU14,CC14,CK14)-CS14</f>
        <v>0</v>
      </c>
      <c r="DL14" s="1214" t="n">
        <f aca="false">SUM(G14,M14,S14,AA14,AI14,AR14,AZ14,BH14,BQ14,BY14,CG14,CO14)-CW14</f>
        <v>0</v>
      </c>
      <c r="DM14" s="1214" t="n">
        <f aca="false">SUM(D14,J14,P14,V14,AD14,AL14,AU14,BC14,,BN14,BV14,CD14,CL14)-CT14</f>
        <v>0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</row>
    <row r="15" customFormat="false" ht="12.75" hidden="false" customHeight="true" outlineLevel="0" collapsed="false">
      <c r="B15" s="1241" t="s">
        <v>826</v>
      </c>
      <c r="C15" s="679" t="s">
        <v>827</v>
      </c>
      <c r="D15" s="421"/>
      <c r="E15" s="144"/>
      <c r="F15" s="421"/>
      <c r="G15" s="144"/>
      <c r="H15" s="885"/>
      <c r="I15" s="206"/>
      <c r="J15" s="421"/>
      <c r="K15" s="144"/>
      <c r="L15" s="421"/>
      <c r="M15" s="144"/>
      <c r="N15" s="885"/>
      <c r="O15" s="245"/>
      <c r="P15" s="421"/>
      <c r="Q15" s="144"/>
      <c r="R15" s="421"/>
      <c r="S15" s="144"/>
      <c r="T15" s="885"/>
      <c r="U15" s="422"/>
      <c r="V15" s="421"/>
      <c r="W15" s="144"/>
      <c r="X15" s="144"/>
      <c r="Y15" s="421"/>
      <c r="Z15" s="421"/>
      <c r="AA15" s="144"/>
      <c r="AB15" s="885"/>
      <c r="AC15" s="422"/>
      <c r="AD15" s="421"/>
      <c r="AE15" s="144"/>
      <c r="AF15" s="144"/>
      <c r="AG15" s="421"/>
      <c r="AH15" s="421"/>
      <c r="AI15" s="144"/>
      <c r="AJ15" s="885"/>
      <c r="AK15" s="422"/>
      <c r="AL15" s="421"/>
      <c r="AM15" s="144"/>
      <c r="AN15" s="144"/>
      <c r="AO15" s="144"/>
      <c r="AP15" s="421"/>
      <c r="AQ15" s="421"/>
      <c r="AR15" s="144"/>
      <c r="AS15" s="885"/>
      <c r="AT15" s="423"/>
      <c r="AU15" s="421"/>
      <c r="AV15" s="144"/>
      <c r="AW15" s="144"/>
      <c r="AX15" s="421"/>
      <c r="AY15" s="421"/>
      <c r="AZ15" s="144"/>
      <c r="BA15" s="885"/>
      <c r="BB15" s="422"/>
      <c r="BC15" s="421"/>
      <c r="BD15" s="144"/>
      <c r="BE15" s="144"/>
      <c r="BF15" s="421"/>
      <c r="BG15" s="421"/>
      <c r="BH15" s="144"/>
      <c r="BI15" s="885"/>
      <c r="BJ15" s="422"/>
      <c r="BK15" s="421"/>
      <c r="BL15" s="144"/>
      <c r="BM15" s="144"/>
      <c r="BN15" s="144"/>
      <c r="BO15" s="421"/>
      <c r="BP15" s="421"/>
      <c r="BQ15" s="144"/>
      <c r="BR15" s="885"/>
      <c r="BS15" s="422"/>
      <c r="BT15" s="421"/>
      <c r="BU15" s="144"/>
      <c r="BV15" s="144"/>
      <c r="BW15" s="421"/>
      <c r="BX15" s="421"/>
      <c r="BY15" s="144"/>
      <c r="BZ15" s="885"/>
      <c r="CA15" s="422"/>
      <c r="CB15" s="421"/>
      <c r="CC15" s="144"/>
      <c r="CD15" s="144"/>
      <c r="CE15" s="421"/>
      <c r="CF15" s="421"/>
      <c r="CG15" s="144"/>
      <c r="CH15" s="885"/>
      <c r="CI15" s="422"/>
      <c r="CJ15" s="421"/>
      <c r="CK15" s="144"/>
      <c r="CL15" s="144"/>
      <c r="CM15" s="421"/>
      <c r="CN15" s="421"/>
      <c r="CO15" s="144"/>
      <c r="CP15" s="885"/>
      <c r="CQ15" s="245"/>
      <c r="CR15" s="699"/>
      <c r="CS15" s="144"/>
      <c r="CT15" s="144"/>
      <c r="CU15" s="144" t="n">
        <f aca="false">CR15-CS15</f>
        <v>0</v>
      </c>
      <c r="CV15" s="144" t="n">
        <f aca="false">CR15-CT15</f>
        <v>0</v>
      </c>
      <c r="CW15" s="144"/>
      <c r="CX15" s="144" t="str">
        <f aca="false">IFERROR(CR15/CW15-1, "-")</f>
        <v>-</v>
      </c>
      <c r="CY15" s="1230"/>
      <c r="CZ15" s="144"/>
      <c r="DA15" s="144"/>
      <c r="DB15" s="144"/>
      <c r="DC15" s="144"/>
      <c r="DD15" s="144"/>
      <c r="DE15" s="245"/>
      <c r="DF15" s="245"/>
      <c r="DG15" s="245"/>
      <c r="DH15" s="245"/>
      <c r="DI15" s="1227"/>
      <c r="DJ15" s="1214" t="n">
        <f aca="false">SUM(D15,J15,P15,V15,AD15,AL15,AU15,BC15,BK15,BT15,CB15,CJ15)-CR15</f>
        <v>0</v>
      </c>
      <c r="DK15" s="1214" t="n">
        <f aca="false">SUM(E15,K15,Q15,W15,AE15,AM15,AV15,BD15,BL15,BU15,CC15,CK15)-CS15</f>
        <v>0</v>
      </c>
      <c r="DL15" s="1214" t="n">
        <f aca="false">SUM(G15,M15,S15,AA15,AI15,AR15,AZ15,BH15,BQ15,BY15,CG15,CO15)-CW15</f>
        <v>0</v>
      </c>
      <c r="DM15" s="1214" t="n">
        <f aca="false">SUM(D15,J15,P15,V15,AD15,AL15,AU15,BC15,,BN15,BV15,CD15,CL15)-CT15</f>
        <v>0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</row>
    <row r="16" customFormat="false" ht="12.75" hidden="false" customHeight="true" outlineLevel="0" collapsed="false">
      <c r="B16" s="1244" t="s">
        <v>828</v>
      </c>
      <c r="C16" s="679" t="s">
        <v>829</v>
      </c>
      <c r="D16" s="1245"/>
      <c r="E16" s="545"/>
      <c r="F16" s="1246"/>
      <c r="G16" s="545"/>
      <c r="H16" s="1247"/>
      <c r="I16" s="206"/>
      <c r="J16" s="1245"/>
      <c r="K16" s="545"/>
      <c r="L16" s="1246"/>
      <c r="M16" s="545"/>
      <c r="N16" s="1247"/>
      <c r="O16" s="546"/>
      <c r="P16" s="1245"/>
      <c r="Q16" s="545"/>
      <c r="R16" s="1246"/>
      <c r="S16" s="545"/>
      <c r="T16" s="1247"/>
      <c r="U16" s="547"/>
      <c r="V16" s="1245"/>
      <c r="W16" s="545"/>
      <c r="X16" s="545"/>
      <c r="Y16" s="1246"/>
      <c r="Z16" s="1246"/>
      <c r="AA16" s="545"/>
      <c r="AB16" s="1247"/>
      <c r="AC16" s="547"/>
      <c r="AD16" s="1245"/>
      <c r="AE16" s="545"/>
      <c r="AF16" s="545"/>
      <c r="AG16" s="1246"/>
      <c r="AH16" s="1246"/>
      <c r="AI16" s="545"/>
      <c r="AJ16" s="1247"/>
      <c r="AK16" s="547"/>
      <c r="AL16" s="1245"/>
      <c r="AM16" s="545"/>
      <c r="AN16" s="545"/>
      <c r="AO16" s="545"/>
      <c r="AP16" s="1246"/>
      <c r="AQ16" s="1246"/>
      <c r="AR16" s="545"/>
      <c r="AS16" s="1247"/>
      <c r="AT16" s="423"/>
      <c r="AU16" s="1245"/>
      <c r="AV16" s="545"/>
      <c r="AW16" s="545"/>
      <c r="AX16" s="1246"/>
      <c r="AY16" s="1246"/>
      <c r="AZ16" s="545"/>
      <c r="BA16" s="1247"/>
      <c r="BB16" s="547"/>
      <c r="BC16" s="1245"/>
      <c r="BD16" s="545"/>
      <c r="BE16" s="545"/>
      <c r="BF16" s="1246"/>
      <c r="BG16" s="1246"/>
      <c r="BH16" s="545"/>
      <c r="BI16" s="1247"/>
      <c r="BJ16" s="547"/>
      <c r="BK16" s="1245"/>
      <c r="BL16" s="545"/>
      <c r="BM16" s="545"/>
      <c r="BN16" s="545"/>
      <c r="BO16" s="1246"/>
      <c r="BP16" s="1246"/>
      <c r="BQ16" s="545"/>
      <c r="BR16" s="1247"/>
      <c r="BS16" s="547"/>
      <c r="BT16" s="1245"/>
      <c r="BU16" s="545"/>
      <c r="BV16" s="545"/>
      <c r="BW16" s="1246"/>
      <c r="BX16" s="1246"/>
      <c r="BY16" s="545"/>
      <c r="BZ16" s="1247"/>
      <c r="CA16" s="547"/>
      <c r="CB16" s="1245"/>
      <c r="CC16" s="545"/>
      <c r="CD16" s="545"/>
      <c r="CE16" s="1246"/>
      <c r="CF16" s="1246"/>
      <c r="CG16" s="545"/>
      <c r="CH16" s="1247"/>
      <c r="CI16" s="547"/>
      <c r="CJ16" s="1245"/>
      <c r="CK16" s="545"/>
      <c r="CL16" s="545"/>
      <c r="CM16" s="1246"/>
      <c r="CN16" s="1246"/>
      <c r="CO16" s="545"/>
      <c r="CP16" s="1247"/>
      <c r="CQ16" s="546"/>
      <c r="CR16" s="1248"/>
      <c r="CS16" s="545"/>
      <c r="CT16" s="545"/>
      <c r="CU16" s="545" t="n">
        <f aca="false">CR16-CS16</f>
        <v>0</v>
      </c>
      <c r="CV16" s="545" t="n">
        <f aca="false">CR16-CT16</f>
        <v>0</v>
      </c>
      <c r="CW16" s="545"/>
      <c r="CX16" s="545" t="str">
        <f aca="false">IFERROR(CR16/CW16-1, "-")</f>
        <v>-</v>
      </c>
      <c r="CY16" s="1249"/>
      <c r="CZ16" s="545"/>
      <c r="DA16" s="545"/>
      <c r="DB16" s="545"/>
      <c r="DC16" s="545"/>
      <c r="DD16" s="545"/>
      <c r="DE16" s="546" t="e">
        <f aca="false">+CZ16/DD16-1</f>
        <v>#DIV/0!</v>
      </c>
      <c r="DF16" s="546" t="e">
        <f aca="false">+DA16/DD16-1</f>
        <v>#DIV/0!</v>
      </c>
      <c r="DG16" s="546" t="e">
        <f aca="false">+DB16/DD16-1</f>
        <v>#DIV/0!</v>
      </c>
      <c r="DH16" s="546" t="e">
        <f aca="false">+DC16/DD16-1</f>
        <v>#DIV/0!</v>
      </c>
      <c r="DI16" s="1227"/>
      <c r="DJ16" s="1214" t="n">
        <f aca="false">SUM(D16,J16,P16,V16,AD16,AL16,AU16,BC16,BK16,BT16,CB16,CJ16)-CR16</f>
        <v>0</v>
      </c>
      <c r="DK16" s="1214" t="n">
        <f aca="false">SUM(E16,K16,Q16,W16,AE16,AM16,AV16,BD16,BL16,BU16,CC16,CK16)-CS16</f>
        <v>0</v>
      </c>
      <c r="DL16" s="1214" t="n">
        <f aca="false">SUM(G16,M16,S16,AA16,AI16,AR16,AZ16,BH16,BQ16,BY16,CG16,CO16)-CW16</f>
        <v>0</v>
      </c>
      <c r="DM16" s="1214" t="n">
        <f aca="false">SUM(D16,J16,P16,V16,AD16,AL16,AU16,BC16,,BN16,BV16,CD16,CL16)-CT16</f>
        <v>0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</row>
    <row r="17" customFormat="false" ht="2.25" hidden="false" customHeight="true" outlineLevel="0" collapsed="false">
      <c r="C17" s="679" t="s">
        <v>830</v>
      </c>
      <c r="D17" s="144"/>
      <c r="E17" s="144"/>
      <c r="F17" s="421"/>
      <c r="G17" s="144"/>
      <c r="H17" s="245"/>
      <c r="I17" s="38"/>
      <c r="J17" s="144"/>
      <c r="K17" s="144"/>
      <c r="L17" s="421"/>
      <c r="M17" s="144"/>
      <c r="N17" s="245"/>
      <c r="O17" s="245"/>
      <c r="P17" s="144"/>
      <c r="Q17" s="144"/>
      <c r="R17" s="421"/>
      <c r="S17" s="144"/>
      <c r="T17" s="245"/>
      <c r="U17" s="422"/>
      <c r="V17" s="144"/>
      <c r="W17" s="144"/>
      <c r="X17" s="144"/>
      <c r="Y17" s="421"/>
      <c r="Z17" s="421"/>
      <c r="AA17" s="144"/>
      <c r="AB17" s="245"/>
      <c r="AC17" s="422"/>
      <c r="AD17" s="144"/>
      <c r="AE17" s="144"/>
      <c r="AF17" s="144"/>
      <c r="AG17" s="421"/>
      <c r="AH17" s="421"/>
      <c r="AI17" s="144"/>
      <c r="AJ17" s="245"/>
      <c r="AK17" s="422"/>
      <c r="AL17" s="144"/>
      <c r="AM17" s="144"/>
      <c r="AN17" s="144"/>
      <c r="AO17" s="144"/>
      <c r="AP17" s="421"/>
      <c r="AQ17" s="421"/>
      <c r="AR17" s="144"/>
      <c r="AS17" s="245"/>
      <c r="AT17" s="423"/>
      <c r="AU17" s="144"/>
      <c r="AV17" s="144"/>
      <c r="AW17" s="144"/>
      <c r="AX17" s="421"/>
      <c r="AY17" s="421"/>
      <c r="AZ17" s="144"/>
      <c r="BA17" s="245"/>
      <c r="BB17" s="422"/>
      <c r="BC17" s="144"/>
      <c r="BD17" s="144"/>
      <c r="BE17" s="144"/>
      <c r="BF17" s="421"/>
      <c r="BG17" s="421"/>
      <c r="BH17" s="144"/>
      <c r="BI17" s="245"/>
      <c r="BJ17" s="422"/>
      <c r="BK17" s="144"/>
      <c r="BL17" s="144"/>
      <c r="BM17" s="144"/>
      <c r="BN17" s="144"/>
      <c r="BO17" s="421"/>
      <c r="BP17" s="421"/>
      <c r="BQ17" s="144"/>
      <c r="BR17" s="245"/>
      <c r="BS17" s="422"/>
      <c r="BT17" s="144"/>
      <c r="BU17" s="144"/>
      <c r="BV17" s="144"/>
      <c r="BW17" s="421"/>
      <c r="BX17" s="421"/>
      <c r="BY17" s="144"/>
      <c r="BZ17" s="245"/>
      <c r="CA17" s="422"/>
      <c r="CB17" s="144"/>
      <c r="CC17" s="144"/>
      <c r="CD17" s="144"/>
      <c r="CE17" s="421"/>
      <c r="CF17" s="421"/>
      <c r="CG17" s="144"/>
      <c r="CH17" s="245"/>
      <c r="CI17" s="422"/>
      <c r="CJ17" s="144"/>
      <c r="CK17" s="144"/>
      <c r="CL17" s="144"/>
      <c r="CM17" s="421"/>
      <c r="CN17" s="421"/>
      <c r="CO17" s="144"/>
      <c r="CP17" s="245"/>
      <c r="CQ17" s="245"/>
      <c r="CR17" s="699"/>
      <c r="CS17" s="144"/>
      <c r="CT17" s="144"/>
      <c r="CU17" s="144" t="n">
        <f aca="false">CR17-CS17</f>
        <v>0</v>
      </c>
      <c r="CV17" s="144" t="n">
        <f aca="false">CR17-CT17</f>
        <v>0</v>
      </c>
      <c r="CW17" s="144"/>
      <c r="CX17" s="144" t="str">
        <f aca="false">IFERROR(CR17/CW17-1, "-")</f>
        <v>-</v>
      </c>
      <c r="CY17" s="1230"/>
      <c r="CZ17" s="144"/>
      <c r="DA17" s="144"/>
      <c r="DB17" s="144"/>
      <c r="DC17" s="144"/>
      <c r="DD17" s="144"/>
      <c r="DE17" s="245"/>
      <c r="DF17" s="38"/>
      <c r="DG17" s="38"/>
      <c r="DH17" s="38"/>
      <c r="DJ17" s="1214" t="n">
        <f aca="false">SUM(D17,J17,P17,V17,AD17,AL17,AU17,BC17,BK17,BT17,CB17,CJ17)-CR17</f>
        <v>0</v>
      </c>
      <c r="DK17" s="1214" t="n">
        <f aca="false">SUM(E17,K17,Q17,W17,AE17,AM17,AV17,BD17,BL17,BU17,CC17,CK17)-CS17</f>
        <v>0</v>
      </c>
      <c r="DL17" s="1214" t="n">
        <f aca="false">SUM(G17,M17,S17,AA17,AI17,AR17,AZ17,BH17,BQ17,BY17,CG17,CO17)-CW17</f>
        <v>0</v>
      </c>
      <c r="DM17" s="1214" t="n">
        <f aca="false">SUM(D17,J17,P17,V17,AD17,AL17,AU17,BC17,,BN17,BV17,CD17,CL17)-CT17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s="156" customFormat="true" ht="12.75" hidden="false" customHeight="true" outlineLevel="0" collapsed="false">
      <c r="B18" s="1231" t="s">
        <v>831</v>
      </c>
      <c r="C18" s="679" t="s">
        <v>832</v>
      </c>
      <c r="D18" s="1032"/>
      <c r="E18" s="1032"/>
      <c r="F18" s="1232"/>
      <c r="G18" s="1233"/>
      <c r="H18" s="1234"/>
      <c r="I18" s="105"/>
      <c r="J18" s="1032"/>
      <c r="K18" s="1032"/>
      <c r="L18" s="1232"/>
      <c r="M18" s="1233"/>
      <c r="N18" s="1234"/>
      <c r="O18" s="1034"/>
      <c r="P18" s="1032"/>
      <c r="Q18" s="1032"/>
      <c r="R18" s="1232"/>
      <c r="S18" s="1233"/>
      <c r="T18" s="1234"/>
      <c r="U18" s="402"/>
      <c r="V18" s="1032"/>
      <c r="W18" s="1032"/>
      <c r="X18" s="1032"/>
      <c r="Y18" s="1232"/>
      <c r="Z18" s="1232"/>
      <c r="AA18" s="1233"/>
      <c r="AB18" s="1234"/>
      <c r="AC18" s="402"/>
      <c r="AD18" s="1032"/>
      <c r="AE18" s="1032"/>
      <c r="AF18" s="1032"/>
      <c r="AG18" s="1232"/>
      <c r="AH18" s="1232"/>
      <c r="AI18" s="1233"/>
      <c r="AJ18" s="1234"/>
      <c r="AK18" s="402"/>
      <c r="AL18" s="1032"/>
      <c r="AM18" s="1032"/>
      <c r="AN18" s="1032"/>
      <c r="AO18" s="1032"/>
      <c r="AP18" s="1232"/>
      <c r="AQ18" s="1232"/>
      <c r="AR18" s="1233"/>
      <c r="AS18" s="1234"/>
      <c r="AT18" s="733"/>
      <c r="AU18" s="1032"/>
      <c r="AV18" s="1032"/>
      <c r="AW18" s="1032"/>
      <c r="AX18" s="1232"/>
      <c r="AY18" s="1232"/>
      <c r="AZ18" s="1233"/>
      <c r="BA18" s="1234"/>
      <c r="BB18" s="402"/>
      <c r="BC18" s="1032"/>
      <c r="BD18" s="1032"/>
      <c r="BE18" s="1032"/>
      <c r="BF18" s="1232"/>
      <c r="BG18" s="1232"/>
      <c r="BH18" s="1233"/>
      <c r="BI18" s="1234"/>
      <c r="BJ18" s="402"/>
      <c r="BK18" s="1032"/>
      <c r="BL18" s="1032"/>
      <c r="BM18" s="1032"/>
      <c r="BN18" s="1032"/>
      <c r="BO18" s="1232"/>
      <c r="BP18" s="1232"/>
      <c r="BQ18" s="1233"/>
      <c r="BR18" s="1234"/>
      <c r="BS18" s="402"/>
      <c r="BT18" s="1032"/>
      <c r="BU18" s="1032"/>
      <c r="BV18" s="1032"/>
      <c r="BW18" s="1232"/>
      <c r="BX18" s="1232"/>
      <c r="BY18" s="1233"/>
      <c r="BZ18" s="1234"/>
      <c r="CA18" s="402"/>
      <c r="CB18" s="1032"/>
      <c r="CC18" s="1032"/>
      <c r="CD18" s="1032"/>
      <c r="CE18" s="1232"/>
      <c r="CF18" s="1232"/>
      <c r="CG18" s="1233"/>
      <c r="CH18" s="1234"/>
      <c r="CI18" s="402"/>
      <c r="CJ18" s="1032"/>
      <c r="CK18" s="1032"/>
      <c r="CL18" s="1032"/>
      <c r="CM18" s="1232"/>
      <c r="CN18" s="1232"/>
      <c r="CO18" s="1233"/>
      <c r="CP18" s="1234"/>
      <c r="CQ18" s="1034"/>
      <c r="CR18" s="1235"/>
      <c r="CS18" s="1032"/>
      <c r="CT18" s="1032"/>
      <c r="CU18" s="1032" t="n">
        <f aca="false">CR18-CS18</f>
        <v>0</v>
      </c>
      <c r="CV18" s="1032" t="n">
        <f aca="false">CR18-CT18</f>
        <v>0</v>
      </c>
      <c r="CW18" s="1032"/>
      <c r="CX18" s="1032" t="str">
        <f aca="false">IFERROR(CR18/CW18-1, "-")</f>
        <v>-</v>
      </c>
      <c r="CY18" s="1250"/>
      <c r="CZ18" s="1032"/>
      <c r="DA18" s="1032"/>
      <c r="DB18" s="1032"/>
      <c r="DC18" s="1032"/>
      <c r="DD18" s="1233"/>
      <c r="DE18" s="1034" t="e">
        <f aca="false">+CZ18/DD18-1</f>
        <v>#DIV/0!</v>
      </c>
      <c r="DF18" s="1034" t="e">
        <f aca="false">+DA18/DD18-1</f>
        <v>#DIV/0!</v>
      </c>
      <c r="DG18" s="1034" t="e">
        <f aca="false">+DB18/DD18-1</f>
        <v>#DIV/0!</v>
      </c>
      <c r="DH18" s="1034" t="e">
        <f aca="false">+DC18/DD18-1</f>
        <v>#DIV/0!</v>
      </c>
      <c r="DI18" s="1237"/>
      <c r="DJ18" s="1214" t="n">
        <f aca="false">SUM(D18,J18,P18,V18,AD18,AL18,AU18,BC18,BK18,BT18,CB18,CJ18)-CR18</f>
        <v>0</v>
      </c>
      <c r="DK18" s="1214" t="n">
        <f aca="false">SUM(E18,K18,Q18,W18,AE18,AM18,AV18,BD18,BL18,BU18,CC18,CK18)-CS18</f>
        <v>0</v>
      </c>
      <c r="DL18" s="1214" t="n">
        <f aca="false">SUM(G18,M18,S18,AA18,AI18,AR18,AZ18,BH18,BQ18,BY18,CG18,CO18)-CW18</f>
        <v>0</v>
      </c>
      <c r="DM18" s="1214" t="n">
        <f aca="false">SUM(D18,J18,P18,V18,AD18,AL18,AU18,BC18,,BN18,BV18,CD18,CL18)-CT18</f>
        <v>0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customFormat="false" ht="12.75" hidden="false" customHeight="true" outlineLevel="0" collapsed="false">
      <c r="B19" s="1241" t="s">
        <v>816</v>
      </c>
      <c r="C19" s="679" t="s">
        <v>833</v>
      </c>
      <c r="D19" s="499"/>
      <c r="E19" s="281"/>
      <c r="F19" s="421"/>
      <c r="G19" s="281"/>
      <c r="H19" s="885"/>
      <c r="I19" s="206"/>
      <c r="J19" s="499"/>
      <c r="K19" s="281"/>
      <c r="L19" s="421"/>
      <c r="M19" s="281"/>
      <c r="N19" s="885"/>
      <c r="O19" s="245"/>
      <c r="P19" s="499"/>
      <c r="Q19" s="281"/>
      <c r="R19" s="421"/>
      <c r="S19" s="281"/>
      <c r="T19" s="885"/>
      <c r="U19" s="422"/>
      <c r="V19" s="499"/>
      <c r="W19" s="281"/>
      <c r="X19" s="281"/>
      <c r="Y19" s="421"/>
      <c r="Z19" s="421"/>
      <c r="AA19" s="281"/>
      <c r="AB19" s="885"/>
      <c r="AC19" s="422"/>
      <c r="AD19" s="499"/>
      <c r="AE19" s="281"/>
      <c r="AF19" s="281"/>
      <c r="AG19" s="421"/>
      <c r="AH19" s="421"/>
      <c r="AI19" s="281"/>
      <c r="AJ19" s="885"/>
      <c r="AK19" s="422"/>
      <c r="AL19" s="499"/>
      <c r="AM19" s="281"/>
      <c r="AN19" s="281"/>
      <c r="AO19" s="281"/>
      <c r="AP19" s="421"/>
      <c r="AQ19" s="421"/>
      <c r="AR19" s="281"/>
      <c r="AS19" s="1251"/>
      <c r="AT19" s="423"/>
      <c r="AU19" s="499"/>
      <c r="AV19" s="281"/>
      <c r="AW19" s="281"/>
      <c r="AX19" s="421"/>
      <c r="AY19" s="421"/>
      <c r="AZ19" s="281"/>
      <c r="BA19" s="1251"/>
      <c r="BB19" s="422"/>
      <c r="BC19" s="499"/>
      <c r="BD19" s="281"/>
      <c r="BE19" s="281"/>
      <c r="BF19" s="421"/>
      <c r="BG19" s="421"/>
      <c r="BH19" s="281"/>
      <c r="BI19" s="1251"/>
      <c r="BJ19" s="422"/>
      <c r="BK19" s="499"/>
      <c r="BL19" s="281"/>
      <c r="BM19" s="281"/>
      <c r="BN19" s="281"/>
      <c r="BO19" s="421"/>
      <c r="BP19" s="421"/>
      <c r="BQ19" s="281"/>
      <c r="BR19" s="1251"/>
      <c r="BS19" s="422"/>
      <c r="BT19" s="499"/>
      <c r="BU19" s="281"/>
      <c r="BV19" s="281"/>
      <c r="BW19" s="421"/>
      <c r="BX19" s="421"/>
      <c r="BY19" s="281"/>
      <c r="BZ19" s="1251"/>
      <c r="CA19" s="422"/>
      <c r="CB19" s="499"/>
      <c r="CC19" s="281"/>
      <c r="CD19" s="281"/>
      <c r="CE19" s="421"/>
      <c r="CF19" s="421"/>
      <c r="CG19" s="281"/>
      <c r="CH19" s="1251"/>
      <c r="CI19" s="422"/>
      <c r="CJ19" s="499"/>
      <c r="CK19" s="281"/>
      <c r="CL19" s="281"/>
      <c r="CM19" s="421"/>
      <c r="CN19" s="421"/>
      <c r="CO19" s="281"/>
      <c r="CP19" s="1251"/>
      <c r="CQ19" s="245"/>
      <c r="CR19" s="699"/>
      <c r="CS19" s="144"/>
      <c r="CT19" s="281"/>
      <c r="CU19" s="281" t="n">
        <f aca="false">CR19-CS19</f>
        <v>0</v>
      </c>
      <c r="CV19" s="281" t="n">
        <f aca="false">CR19-CT19</f>
        <v>0</v>
      </c>
      <c r="CW19" s="281"/>
      <c r="CX19" s="281" t="str">
        <f aca="false">IFERROR(CR19/CW19-1, "-")</f>
        <v>-</v>
      </c>
      <c r="CY19" s="424"/>
      <c r="CZ19" s="281"/>
      <c r="DA19" s="281"/>
      <c r="DB19" s="281"/>
      <c r="DC19" s="281"/>
      <c r="DD19" s="281"/>
      <c r="DE19" s="245" t="e">
        <f aca="false">+CZ19/DD19-1</f>
        <v>#DIV/0!</v>
      </c>
      <c r="DF19" s="245"/>
      <c r="DG19" s="245"/>
      <c r="DH19" s="556"/>
      <c r="DI19" s="1227"/>
      <c r="DJ19" s="1214" t="n">
        <f aca="false">SUM(D19,J19,P19,V19,AD19,AL19,AU19,BC19,BK19,BT19,CB19,CJ19)-CR19</f>
        <v>0</v>
      </c>
      <c r="DK19" s="1214" t="n">
        <f aca="false">SUM(E19,K19,Q19,W19,AE19,AM19,AV19,BD19,BL19,BU19,CC19,CK19)-CS19</f>
        <v>0</v>
      </c>
      <c r="DL19" s="1214" t="n">
        <f aca="false">SUM(G19,M19,S19,AA19,AI19,AR19,AZ19,BH19,BQ19,BY19,CG19,CO19)-CW19</f>
        <v>0</v>
      </c>
      <c r="DM19" s="1214" t="n">
        <f aca="false">SUM(D19,J19,P19,V19,AD19,AL19,AU19,BC19,,BN19,BV19,CD19,CL19)-CT19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customFormat="false" ht="12.75" hidden="false" customHeight="true" outlineLevel="0" collapsed="false">
      <c r="B20" s="1241" t="s">
        <v>818</v>
      </c>
      <c r="C20" s="679" t="s">
        <v>834</v>
      </c>
      <c r="D20" s="499"/>
      <c r="E20" s="281"/>
      <c r="F20" s="421"/>
      <c r="G20" s="281"/>
      <c r="H20" s="885"/>
      <c r="I20" s="206"/>
      <c r="J20" s="499"/>
      <c r="K20" s="281"/>
      <c r="L20" s="421"/>
      <c r="M20" s="281"/>
      <c r="N20" s="885"/>
      <c r="O20" s="245"/>
      <c r="P20" s="499"/>
      <c r="Q20" s="281"/>
      <c r="R20" s="421"/>
      <c r="S20" s="281"/>
      <c r="T20" s="885"/>
      <c r="U20" s="422"/>
      <c r="V20" s="499"/>
      <c r="W20" s="281"/>
      <c r="X20" s="281"/>
      <c r="Y20" s="421"/>
      <c r="Z20" s="421"/>
      <c r="AA20" s="281"/>
      <c r="AB20" s="885"/>
      <c r="AC20" s="422"/>
      <c r="AD20" s="499"/>
      <c r="AE20" s="281"/>
      <c r="AF20" s="281"/>
      <c r="AG20" s="421"/>
      <c r="AH20" s="421"/>
      <c r="AI20" s="281"/>
      <c r="AJ20" s="885"/>
      <c r="AK20" s="422"/>
      <c r="AL20" s="499"/>
      <c r="AM20" s="281"/>
      <c r="AN20" s="281"/>
      <c r="AO20" s="281"/>
      <c r="AP20" s="421"/>
      <c r="AQ20" s="421"/>
      <c r="AR20" s="281"/>
      <c r="AS20" s="1251"/>
      <c r="AT20" s="423"/>
      <c r="AU20" s="499"/>
      <c r="AV20" s="281"/>
      <c r="AW20" s="281"/>
      <c r="AX20" s="421"/>
      <c r="AY20" s="421"/>
      <c r="AZ20" s="281"/>
      <c r="BA20" s="1251"/>
      <c r="BB20" s="422"/>
      <c r="BC20" s="499"/>
      <c r="BD20" s="281"/>
      <c r="BE20" s="281"/>
      <c r="BF20" s="421"/>
      <c r="BG20" s="421"/>
      <c r="BH20" s="281"/>
      <c r="BI20" s="1251"/>
      <c r="BJ20" s="422"/>
      <c r="BK20" s="499"/>
      <c r="BL20" s="281"/>
      <c r="BM20" s="281"/>
      <c r="BN20" s="281"/>
      <c r="BO20" s="421"/>
      <c r="BP20" s="421"/>
      <c r="BQ20" s="281"/>
      <c r="BR20" s="1251"/>
      <c r="BS20" s="422"/>
      <c r="BT20" s="499"/>
      <c r="BU20" s="281"/>
      <c r="BV20" s="281"/>
      <c r="BW20" s="421"/>
      <c r="BX20" s="421"/>
      <c r="BY20" s="281"/>
      <c r="BZ20" s="1251"/>
      <c r="CA20" s="422"/>
      <c r="CB20" s="499"/>
      <c r="CC20" s="281"/>
      <c r="CD20" s="281"/>
      <c r="CE20" s="421"/>
      <c r="CF20" s="421"/>
      <c r="CG20" s="281"/>
      <c r="CH20" s="1251"/>
      <c r="CI20" s="422"/>
      <c r="CJ20" s="499"/>
      <c r="CK20" s="281"/>
      <c r="CL20" s="281"/>
      <c r="CM20" s="421"/>
      <c r="CN20" s="421"/>
      <c r="CO20" s="281"/>
      <c r="CP20" s="1251"/>
      <c r="CQ20" s="245"/>
      <c r="CR20" s="699"/>
      <c r="CS20" s="144"/>
      <c r="CT20" s="281"/>
      <c r="CU20" s="281" t="n">
        <f aca="false">CR20-CS20</f>
        <v>0</v>
      </c>
      <c r="CV20" s="281" t="n">
        <f aca="false">CR20-CT20</f>
        <v>0</v>
      </c>
      <c r="CW20" s="281"/>
      <c r="CX20" s="281" t="str">
        <f aca="false">IFERROR(CR20/CW20-1, "-")</f>
        <v>-</v>
      </c>
      <c r="CY20" s="424"/>
      <c r="CZ20" s="281"/>
      <c r="DA20" s="281"/>
      <c r="DB20" s="281"/>
      <c r="DC20" s="281"/>
      <c r="DD20" s="281"/>
      <c r="DE20" s="245" t="e">
        <f aca="false">+CZ20/DD20-1</f>
        <v>#DIV/0!</v>
      </c>
      <c r="DF20" s="245"/>
      <c r="DG20" s="245"/>
      <c r="DH20" s="245"/>
      <c r="DI20" s="1227"/>
      <c r="DJ20" s="1214" t="n">
        <f aca="false">SUM(D20,J20,P20,V20,AD20,AL20,AU20,BC20,BK20,BT20,CB20,CJ20)-CR20</f>
        <v>0</v>
      </c>
      <c r="DK20" s="1214" t="n">
        <f aca="false">SUM(E20,K20,Q20,W20,AE20,AM20,AV20,BD20,BL20,BU20,CC20,CK20)-CS20</f>
        <v>0</v>
      </c>
      <c r="DL20" s="1214" t="n">
        <f aca="false">SUM(G20,M20,S20,AA20,AI20,AR20,AZ20,BH20,BQ20,BY20,CG20,CO20)-CW20</f>
        <v>0</v>
      </c>
      <c r="DM20" s="1214" t="n">
        <f aca="false">SUM(D20,J20,P20,V20,AD20,AL20,AU20,BC20,,BN20,BV20,CD20,CL20)-CT20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customFormat="false" ht="12.75" hidden="false" customHeight="true" outlineLevel="0" collapsed="false">
      <c r="B21" s="1241" t="s">
        <v>820</v>
      </c>
      <c r="C21" s="679" t="s">
        <v>835</v>
      </c>
      <c r="D21" s="499"/>
      <c r="E21" s="281"/>
      <c r="F21" s="421"/>
      <c r="G21" s="281"/>
      <c r="H21" s="885"/>
      <c r="I21" s="206"/>
      <c r="J21" s="499"/>
      <c r="K21" s="281"/>
      <c r="L21" s="421"/>
      <c r="M21" s="281"/>
      <c r="N21" s="885"/>
      <c r="O21" s="245"/>
      <c r="P21" s="499"/>
      <c r="Q21" s="281"/>
      <c r="R21" s="421"/>
      <c r="S21" s="281"/>
      <c r="T21" s="885"/>
      <c r="U21" s="422"/>
      <c r="V21" s="499"/>
      <c r="W21" s="281"/>
      <c r="X21" s="281"/>
      <c r="Y21" s="421"/>
      <c r="Z21" s="421"/>
      <c r="AA21" s="281"/>
      <c r="AB21" s="885"/>
      <c r="AC21" s="422"/>
      <c r="AD21" s="499"/>
      <c r="AE21" s="281"/>
      <c r="AF21" s="281"/>
      <c r="AG21" s="421"/>
      <c r="AH21" s="421"/>
      <c r="AI21" s="281"/>
      <c r="AJ21" s="885"/>
      <c r="AK21" s="422"/>
      <c r="AL21" s="499"/>
      <c r="AM21" s="281"/>
      <c r="AN21" s="281"/>
      <c r="AO21" s="281"/>
      <c r="AP21" s="421"/>
      <c r="AQ21" s="421"/>
      <c r="AR21" s="281"/>
      <c r="AS21" s="1251"/>
      <c r="AT21" s="423"/>
      <c r="AU21" s="499"/>
      <c r="AV21" s="281"/>
      <c r="AW21" s="281"/>
      <c r="AX21" s="421"/>
      <c r="AY21" s="421"/>
      <c r="AZ21" s="281"/>
      <c r="BA21" s="1251"/>
      <c r="BB21" s="422"/>
      <c r="BC21" s="499"/>
      <c r="BD21" s="281"/>
      <c r="BE21" s="281"/>
      <c r="BF21" s="421"/>
      <c r="BG21" s="421"/>
      <c r="BH21" s="281"/>
      <c r="BI21" s="1251"/>
      <c r="BJ21" s="422"/>
      <c r="BK21" s="499"/>
      <c r="BL21" s="281"/>
      <c r="BM21" s="281"/>
      <c r="BN21" s="281"/>
      <c r="BO21" s="421"/>
      <c r="BP21" s="421"/>
      <c r="BQ21" s="281"/>
      <c r="BR21" s="1251"/>
      <c r="BS21" s="422"/>
      <c r="BT21" s="499"/>
      <c r="BU21" s="281"/>
      <c r="BV21" s="281"/>
      <c r="BW21" s="421"/>
      <c r="BX21" s="421"/>
      <c r="BY21" s="281"/>
      <c r="BZ21" s="1251"/>
      <c r="CA21" s="422"/>
      <c r="CB21" s="499"/>
      <c r="CC21" s="281"/>
      <c r="CD21" s="281"/>
      <c r="CE21" s="421"/>
      <c r="CF21" s="421"/>
      <c r="CG21" s="281"/>
      <c r="CH21" s="1251"/>
      <c r="CI21" s="422"/>
      <c r="CJ21" s="499"/>
      <c r="CK21" s="281"/>
      <c r="CL21" s="281"/>
      <c r="CM21" s="421"/>
      <c r="CN21" s="421"/>
      <c r="CO21" s="281"/>
      <c r="CP21" s="1251"/>
      <c r="CQ21" s="245"/>
      <c r="CR21" s="699"/>
      <c r="CS21" s="144"/>
      <c r="CT21" s="281"/>
      <c r="CU21" s="281" t="n">
        <f aca="false">CR21-CS21</f>
        <v>0</v>
      </c>
      <c r="CV21" s="281" t="n">
        <f aca="false">CR21-CT21</f>
        <v>0</v>
      </c>
      <c r="CW21" s="281"/>
      <c r="CX21" s="281" t="str">
        <f aca="false">IFERROR(CR21/CW21-1, "-")</f>
        <v>-</v>
      </c>
      <c r="CY21" s="424"/>
      <c r="CZ21" s="281"/>
      <c r="DA21" s="281"/>
      <c r="DB21" s="281"/>
      <c r="DC21" s="281"/>
      <c r="DD21" s="281"/>
      <c r="DE21" s="245" t="e">
        <f aca="false">+CZ21/DD21-1</f>
        <v>#DIV/0!</v>
      </c>
      <c r="DF21" s="245"/>
      <c r="DG21" s="245"/>
      <c r="DH21" s="245"/>
      <c r="DI21" s="1227"/>
      <c r="DJ21" s="1214" t="n">
        <f aca="false">SUM(D21,J21,P21,V21,AD21,AL21,AU21,BC21,BK21,BT21,CB21,CJ21)-CR21</f>
        <v>0</v>
      </c>
      <c r="DK21" s="1214" t="n">
        <f aca="false">SUM(E21,K21,Q21,W21,AE21,AM21,AV21,BD21,BL21,BU21,CC21,CK21)-CS21</f>
        <v>0</v>
      </c>
      <c r="DL21" s="1214" t="n">
        <f aca="false">SUM(G21,M21,S21,AA21,AI21,AR21,AZ21,BH21,BQ21,BY21,CG21,CO21)-CW21</f>
        <v>0</v>
      </c>
      <c r="DM21" s="1214" t="n">
        <f aca="false">SUM(D21,J21,P21,V21,AD21,AL21,AU21,BC21,,BN21,BV21,CD21,CL21)-CT21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</row>
    <row r="22" customFormat="false" ht="12.75" hidden="false" customHeight="true" outlineLevel="0" collapsed="false">
      <c r="B22" s="1241" t="s">
        <v>822</v>
      </c>
      <c r="C22" s="679" t="s">
        <v>836</v>
      </c>
      <c r="D22" s="499"/>
      <c r="E22" s="281"/>
      <c r="F22" s="421"/>
      <c r="G22" s="281"/>
      <c r="H22" s="885"/>
      <c r="I22" s="206"/>
      <c r="J22" s="499"/>
      <c r="K22" s="281"/>
      <c r="L22" s="421"/>
      <c r="M22" s="281"/>
      <c r="N22" s="885"/>
      <c r="O22" s="245"/>
      <c r="P22" s="499"/>
      <c r="Q22" s="281"/>
      <c r="R22" s="421"/>
      <c r="S22" s="281"/>
      <c r="T22" s="885"/>
      <c r="U22" s="422"/>
      <c r="V22" s="499"/>
      <c r="W22" s="281"/>
      <c r="X22" s="281"/>
      <c r="Y22" s="421"/>
      <c r="Z22" s="421"/>
      <c r="AA22" s="281"/>
      <c r="AB22" s="885"/>
      <c r="AC22" s="422"/>
      <c r="AD22" s="499"/>
      <c r="AE22" s="281"/>
      <c r="AF22" s="281"/>
      <c r="AG22" s="421"/>
      <c r="AH22" s="421"/>
      <c r="AI22" s="281"/>
      <c r="AJ22" s="885"/>
      <c r="AK22" s="422"/>
      <c r="AL22" s="499"/>
      <c r="AM22" s="281"/>
      <c r="AN22" s="281"/>
      <c r="AO22" s="281"/>
      <c r="AP22" s="421"/>
      <c r="AQ22" s="421"/>
      <c r="AR22" s="281"/>
      <c r="AS22" s="1251"/>
      <c r="AT22" s="423"/>
      <c r="AU22" s="499"/>
      <c r="AV22" s="281"/>
      <c r="AW22" s="281"/>
      <c r="AX22" s="421"/>
      <c r="AY22" s="421"/>
      <c r="AZ22" s="281"/>
      <c r="BA22" s="1251"/>
      <c r="BB22" s="422"/>
      <c r="BC22" s="499"/>
      <c r="BD22" s="281"/>
      <c r="BE22" s="281"/>
      <c r="BF22" s="421"/>
      <c r="BG22" s="421"/>
      <c r="BH22" s="281"/>
      <c r="BI22" s="1251"/>
      <c r="BJ22" s="422"/>
      <c r="BK22" s="499"/>
      <c r="BL22" s="281"/>
      <c r="BM22" s="281"/>
      <c r="BN22" s="281"/>
      <c r="BO22" s="421"/>
      <c r="BP22" s="421"/>
      <c r="BQ22" s="281"/>
      <c r="BR22" s="1251"/>
      <c r="BS22" s="422"/>
      <c r="BT22" s="499"/>
      <c r="BU22" s="281"/>
      <c r="BV22" s="281"/>
      <c r="BW22" s="421"/>
      <c r="BX22" s="421"/>
      <c r="BY22" s="281"/>
      <c r="BZ22" s="1251"/>
      <c r="CA22" s="422"/>
      <c r="CB22" s="499"/>
      <c r="CC22" s="281"/>
      <c r="CD22" s="281"/>
      <c r="CE22" s="421"/>
      <c r="CF22" s="421"/>
      <c r="CG22" s="281"/>
      <c r="CH22" s="1251"/>
      <c r="CI22" s="422"/>
      <c r="CJ22" s="499"/>
      <c r="CK22" s="281"/>
      <c r="CL22" s="281"/>
      <c r="CM22" s="421"/>
      <c r="CN22" s="421"/>
      <c r="CO22" s="281"/>
      <c r="CP22" s="1251"/>
      <c r="CQ22" s="245"/>
      <c r="CR22" s="699"/>
      <c r="CS22" s="144"/>
      <c r="CT22" s="281"/>
      <c r="CU22" s="281" t="n">
        <f aca="false">CR22-CS22</f>
        <v>0</v>
      </c>
      <c r="CV22" s="281" t="n">
        <f aca="false">CR22-CT22</f>
        <v>0</v>
      </c>
      <c r="CW22" s="281"/>
      <c r="CX22" s="281" t="str">
        <f aca="false">IFERROR(CR22/CW22-1, "-")</f>
        <v>-</v>
      </c>
      <c r="CY22" s="424"/>
      <c r="CZ22" s="281"/>
      <c r="DA22" s="281"/>
      <c r="DB22" s="281"/>
      <c r="DC22" s="281"/>
      <c r="DD22" s="281"/>
      <c r="DE22" s="245" t="e">
        <f aca="false">+CZ22/DD22-1</f>
        <v>#DIV/0!</v>
      </c>
      <c r="DF22" s="245"/>
      <c r="DG22" s="245"/>
      <c r="DH22" s="245"/>
      <c r="DI22" s="1227"/>
      <c r="DJ22" s="1214" t="n">
        <f aca="false">SUM(D22,J22,P22,V22,AD22,AL22,AU22,BC22,BK22,BT22,CB22,CJ22)-CR22</f>
        <v>0</v>
      </c>
      <c r="DK22" s="1214" t="n">
        <f aca="false">SUM(E22,K22,Q22,W22,AE22,AM22,AV22,BD22,BL22,BU22,CC22,CK22)-CS22</f>
        <v>0</v>
      </c>
      <c r="DL22" s="1214" t="n">
        <f aca="false">SUM(G22,M22,S22,AA22,AI22,AR22,AZ22,BH22,BQ22,BY22,CG22,CO22)-CW22</f>
        <v>0</v>
      </c>
      <c r="DM22" s="1214" t="n">
        <f aca="false">SUM(D22,J22,P22,V22,AD22,AL22,AU22,BC22,,BN22,BV22,CD22,CL22)-CT22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customFormat="false" ht="12.75" hidden="false" customHeight="true" outlineLevel="0" collapsed="false">
      <c r="B23" s="1243" t="s">
        <v>824</v>
      </c>
      <c r="C23" s="679" t="s">
        <v>837</v>
      </c>
      <c r="D23" s="421"/>
      <c r="E23" s="281"/>
      <c r="F23" s="421"/>
      <c r="G23" s="281"/>
      <c r="H23" s="885"/>
      <c r="I23" s="206"/>
      <c r="J23" s="421"/>
      <c r="K23" s="281"/>
      <c r="L23" s="421"/>
      <c r="M23" s="281"/>
      <c r="N23" s="885"/>
      <c r="O23" s="245"/>
      <c r="P23" s="421"/>
      <c r="Q23" s="281"/>
      <c r="R23" s="421"/>
      <c r="S23" s="281"/>
      <c r="T23" s="885"/>
      <c r="U23" s="422"/>
      <c r="V23" s="421"/>
      <c r="W23" s="281"/>
      <c r="X23" s="281"/>
      <c r="Y23" s="421"/>
      <c r="Z23" s="421"/>
      <c r="AA23" s="281"/>
      <c r="AB23" s="885"/>
      <c r="AC23" s="422"/>
      <c r="AD23" s="421"/>
      <c r="AE23" s="281"/>
      <c r="AF23" s="281"/>
      <c r="AG23" s="421"/>
      <c r="AH23" s="421"/>
      <c r="AI23" s="281"/>
      <c r="AJ23" s="885"/>
      <c r="AK23" s="422"/>
      <c r="AL23" s="421"/>
      <c r="AM23" s="281"/>
      <c r="AN23" s="281"/>
      <c r="AO23" s="281"/>
      <c r="AP23" s="421"/>
      <c r="AQ23" s="421"/>
      <c r="AR23" s="281"/>
      <c r="AS23" s="885"/>
      <c r="AT23" s="423"/>
      <c r="AU23" s="421"/>
      <c r="AV23" s="281"/>
      <c r="AW23" s="281"/>
      <c r="AX23" s="421"/>
      <c r="AY23" s="421"/>
      <c r="AZ23" s="281"/>
      <c r="BA23" s="885"/>
      <c r="BB23" s="422"/>
      <c r="BC23" s="421"/>
      <c r="BD23" s="281"/>
      <c r="BE23" s="281"/>
      <c r="BF23" s="421"/>
      <c r="BG23" s="421"/>
      <c r="BH23" s="281"/>
      <c r="BI23" s="885"/>
      <c r="BJ23" s="422"/>
      <c r="BK23" s="421"/>
      <c r="BL23" s="281"/>
      <c r="BM23" s="281"/>
      <c r="BN23" s="281"/>
      <c r="BO23" s="421"/>
      <c r="BP23" s="421"/>
      <c r="BQ23" s="281"/>
      <c r="BR23" s="885"/>
      <c r="BS23" s="422"/>
      <c r="BT23" s="421"/>
      <c r="BU23" s="281"/>
      <c r="BV23" s="281"/>
      <c r="BW23" s="421"/>
      <c r="BX23" s="421"/>
      <c r="BY23" s="281"/>
      <c r="BZ23" s="885"/>
      <c r="CA23" s="422"/>
      <c r="CB23" s="421"/>
      <c r="CC23" s="281"/>
      <c r="CD23" s="281"/>
      <c r="CE23" s="421"/>
      <c r="CF23" s="421"/>
      <c r="CG23" s="281"/>
      <c r="CH23" s="885"/>
      <c r="CI23" s="422"/>
      <c r="CJ23" s="421"/>
      <c r="CK23" s="281"/>
      <c r="CL23" s="281"/>
      <c r="CM23" s="421"/>
      <c r="CN23" s="421"/>
      <c r="CO23" s="281"/>
      <c r="CP23" s="885"/>
      <c r="CQ23" s="245"/>
      <c r="CR23" s="699"/>
      <c r="CS23" s="144"/>
      <c r="CT23" s="281"/>
      <c r="CU23" s="281" t="n">
        <f aca="false">CR23-CS23</f>
        <v>0</v>
      </c>
      <c r="CV23" s="281" t="n">
        <f aca="false">CR23-CT23</f>
        <v>0</v>
      </c>
      <c r="CW23" s="281"/>
      <c r="CX23" s="281" t="str">
        <f aca="false">IFERROR(CR23/CW23-1, "-")</f>
        <v>-</v>
      </c>
      <c r="CY23" s="424"/>
      <c r="CZ23" s="281"/>
      <c r="DA23" s="281"/>
      <c r="DB23" s="281"/>
      <c r="DC23" s="281"/>
      <c r="DD23" s="281"/>
      <c r="DE23" s="245"/>
      <c r="DF23" s="245"/>
      <c r="DG23" s="245"/>
      <c r="DH23" s="245"/>
      <c r="DI23" s="1227"/>
      <c r="DJ23" s="1214" t="n">
        <f aca="false">SUM(D23,J23,P23,V23,AD23,AL23,AU23,BC23,BK23,BT23,CB23,CJ23)-CR23</f>
        <v>0</v>
      </c>
      <c r="DK23" s="1214" t="n">
        <f aca="false">SUM(E23,K23,Q23,W23,AE23,AM23,AV23,BD23,BL23,BU23,CC23,CK23)-CS23</f>
        <v>0</v>
      </c>
      <c r="DL23" s="1214" t="n">
        <f aca="false">SUM(G23,M23,S23,AA23,AI23,AR23,AZ23,BH23,BQ23,BY23,CG23,CO23)-CW23</f>
        <v>0</v>
      </c>
      <c r="DM23" s="1214" t="n">
        <f aca="false">SUM(D23,J23,P23,V23,AD23,AL23,AU23,BC23,,BN23,BV23,CD23,CL23)-CT23</f>
        <v>0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</row>
    <row r="24" customFormat="false" ht="12.75" hidden="false" customHeight="true" outlineLevel="0" collapsed="false">
      <c r="B24" s="1241" t="s">
        <v>826</v>
      </c>
      <c r="C24" s="679" t="s">
        <v>838</v>
      </c>
      <c r="D24" s="144"/>
      <c r="E24" s="281"/>
      <c r="F24" s="421"/>
      <c r="G24" s="281"/>
      <c r="H24" s="885"/>
      <c r="I24" s="206"/>
      <c r="J24" s="144"/>
      <c r="K24" s="281"/>
      <c r="L24" s="421"/>
      <c r="M24" s="281"/>
      <c r="N24" s="885"/>
      <c r="O24" s="245"/>
      <c r="P24" s="144"/>
      <c r="Q24" s="281"/>
      <c r="R24" s="421"/>
      <c r="S24" s="281"/>
      <c r="T24" s="885"/>
      <c r="U24" s="422"/>
      <c r="V24" s="144"/>
      <c r="W24" s="281"/>
      <c r="X24" s="281"/>
      <c r="Y24" s="421"/>
      <c r="Z24" s="421"/>
      <c r="AA24" s="281"/>
      <c r="AB24" s="885"/>
      <c r="AC24" s="422"/>
      <c r="AD24" s="144"/>
      <c r="AE24" s="281"/>
      <c r="AF24" s="281"/>
      <c r="AG24" s="421"/>
      <c r="AH24" s="421"/>
      <c r="AI24" s="281"/>
      <c r="AJ24" s="885"/>
      <c r="AK24" s="422"/>
      <c r="AL24" s="144"/>
      <c r="AM24" s="281"/>
      <c r="AN24" s="281"/>
      <c r="AO24" s="281"/>
      <c r="AP24" s="421"/>
      <c r="AQ24" s="421"/>
      <c r="AR24" s="281"/>
      <c r="AS24" s="885"/>
      <c r="AT24" s="423"/>
      <c r="AU24" s="144"/>
      <c r="AV24" s="281"/>
      <c r="AW24" s="281"/>
      <c r="AX24" s="421"/>
      <c r="AY24" s="421"/>
      <c r="AZ24" s="281"/>
      <c r="BA24" s="885"/>
      <c r="BB24" s="422"/>
      <c r="BC24" s="144"/>
      <c r="BD24" s="281"/>
      <c r="BE24" s="281"/>
      <c r="BF24" s="421"/>
      <c r="BG24" s="421"/>
      <c r="BH24" s="281"/>
      <c r="BI24" s="885"/>
      <c r="BJ24" s="422"/>
      <c r="BK24" s="144"/>
      <c r="BL24" s="281"/>
      <c r="BM24" s="281"/>
      <c r="BN24" s="281"/>
      <c r="BO24" s="421"/>
      <c r="BP24" s="421"/>
      <c r="BQ24" s="281"/>
      <c r="BR24" s="885"/>
      <c r="BS24" s="422"/>
      <c r="BT24" s="144"/>
      <c r="BU24" s="281"/>
      <c r="BV24" s="281"/>
      <c r="BW24" s="421"/>
      <c r="BX24" s="421"/>
      <c r="BY24" s="281"/>
      <c r="BZ24" s="885"/>
      <c r="CA24" s="422"/>
      <c r="CB24" s="144"/>
      <c r="CC24" s="281"/>
      <c r="CD24" s="281"/>
      <c r="CE24" s="421"/>
      <c r="CF24" s="421"/>
      <c r="CG24" s="281"/>
      <c r="CH24" s="885"/>
      <c r="CI24" s="422"/>
      <c r="CJ24" s="144"/>
      <c r="CK24" s="281"/>
      <c r="CL24" s="281"/>
      <c r="CM24" s="421"/>
      <c r="CN24" s="421"/>
      <c r="CO24" s="281"/>
      <c r="CP24" s="885"/>
      <c r="CQ24" s="245"/>
      <c r="CR24" s="699"/>
      <c r="CS24" s="144"/>
      <c r="CT24" s="281"/>
      <c r="CU24" s="281" t="n">
        <f aca="false">CR24-CS24</f>
        <v>0</v>
      </c>
      <c r="CV24" s="281" t="n">
        <f aca="false">CR24-CT24</f>
        <v>0</v>
      </c>
      <c r="CW24" s="281"/>
      <c r="CX24" s="281" t="str">
        <f aca="false">IFERROR(CR24/CW24-1, "-")</f>
        <v>-</v>
      </c>
      <c r="CY24" s="424"/>
      <c r="CZ24" s="281"/>
      <c r="DA24" s="281"/>
      <c r="DB24" s="281"/>
      <c r="DC24" s="281"/>
      <c r="DD24" s="281"/>
      <c r="DE24" s="245"/>
      <c r="DF24" s="245"/>
      <c r="DG24" s="245"/>
      <c r="DH24" s="245"/>
      <c r="DI24" s="1227"/>
      <c r="DJ24" s="1214" t="n">
        <f aca="false">SUM(D24,J24,P24,V24,AD24,AL24,AU24,BC24,BK24,BT24,CB24,CJ24)-CR24</f>
        <v>0</v>
      </c>
      <c r="DK24" s="1214" t="n">
        <f aca="false">SUM(E24,K24,Q24,W24,AE24,AM24,AV24,BD24,BL24,BU24,CC24,CK24)-CS24</f>
        <v>0</v>
      </c>
      <c r="DL24" s="1214" t="n">
        <f aca="false">SUM(G24,M24,S24,AA24,AI24,AR24,AZ24,BH24,BQ24,BY24,CG24,CO24)-CW24</f>
        <v>0</v>
      </c>
      <c r="DM24" s="1214" t="n">
        <f aca="false">SUM(D24,J24,P24,V24,AD24,AL24,AU24,BC24,,BN24,BV24,CD24,CL24)-CT24</f>
        <v>0</v>
      </c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customFormat="false" ht="12.75" hidden="false" customHeight="true" outlineLevel="0" collapsed="false">
      <c r="B25" s="1241" t="s">
        <v>828</v>
      </c>
      <c r="C25" s="679" t="s">
        <v>839</v>
      </c>
      <c r="D25" s="144"/>
      <c r="E25" s="281"/>
      <c r="F25" s="421"/>
      <c r="G25" s="281"/>
      <c r="H25" s="885"/>
      <c r="I25" s="206"/>
      <c r="J25" s="144"/>
      <c r="K25" s="281"/>
      <c r="L25" s="421"/>
      <c r="M25" s="281"/>
      <c r="N25" s="885"/>
      <c r="O25" s="245"/>
      <c r="P25" s="144"/>
      <c r="Q25" s="281"/>
      <c r="R25" s="421"/>
      <c r="S25" s="281"/>
      <c r="T25" s="885"/>
      <c r="U25" s="422"/>
      <c r="V25" s="144"/>
      <c r="W25" s="281"/>
      <c r="X25" s="281"/>
      <c r="Y25" s="421"/>
      <c r="Z25" s="421"/>
      <c r="AA25" s="281"/>
      <c r="AB25" s="885"/>
      <c r="AC25" s="422"/>
      <c r="AD25" s="144"/>
      <c r="AE25" s="281"/>
      <c r="AF25" s="281"/>
      <c r="AG25" s="421"/>
      <c r="AH25" s="421"/>
      <c r="AI25" s="281"/>
      <c r="AJ25" s="885"/>
      <c r="AK25" s="422"/>
      <c r="AL25" s="144"/>
      <c r="AM25" s="281"/>
      <c r="AN25" s="281"/>
      <c r="AO25" s="281"/>
      <c r="AP25" s="421"/>
      <c r="AQ25" s="421"/>
      <c r="AR25" s="281"/>
      <c r="AS25" s="885"/>
      <c r="AT25" s="423"/>
      <c r="AU25" s="144"/>
      <c r="AV25" s="281"/>
      <c r="AW25" s="281"/>
      <c r="AX25" s="421"/>
      <c r="AY25" s="421"/>
      <c r="AZ25" s="281"/>
      <c r="BA25" s="885"/>
      <c r="BB25" s="422"/>
      <c r="BC25" s="144"/>
      <c r="BD25" s="281"/>
      <c r="BE25" s="281"/>
      <c r="BF25" s="421"/>
      <c r="BG25" s="421"/>
      <c r="BH25" s="281"/>
      <c r="BI25" s="885"/>
      <c r="BJ25" s="422"/>
      <c r="BK25" s="144"/>
      <c r="BL25" s="281"/>
      <c r="BM25" s="281"/>
      <c r="BN25" s="281"/>
      <c r="BO25" s="421"/>
      <c r="BP25" s="421"/>
      <c r="BQ25" s="281"/>
      <c r="BR25" s="885"/>
      <c r="BS25" s="422"/>
      <c r="BT25" s="144"/>
      <c r="BU25" s="281"/>
      <c r="BV25" s="281"/>
      <c r="BW25" s="421"/>
      <c r="BX25" s="421"/>
      <c r="BY25" s="281"/>
      <c r="BZ25" s="885"/>
      <c r="CA25" s="422"/>
      <c r="CB25" s="144"/>
      <c r="CC25" s="281"/>
      <c r="CD25" s="281"/>
      <c r="CE25" s="421"/>
      <c r="CF25" s="421"/>
      <c r="CG25" s="281"/>
      <c r="CH25" s="885"/>
      <c r="CI25" s="422"/>
      <c r="CJ25" s="144"/>
      <c r="CK25" s="281"/>
      <c r="CL25" s="281"/>
      <c r="CM25" s="421"/>
      <c r="CN25" s="421"/>
      <c r="CO25" s="281"/>
      <c r="CP25" s="885"/>
      <c r="CQ25" s="245"/>
      <c r="CR25" s="699"/>
      <c r="CS25" s="281"/>
      <c r="CT25" s="281"/>
      <c r="CU25" s="281" t="n">
        <f aca="false">CR25-CS25</f>
        <v>0</v>
      </c>
      <c r="CV25" s="281" t="n">
        <f aca="false">CR25-CT25</f>
        <v>0</v>
      </c>
      <c r="CW25" s="281"/>
      <c r="CX25" s="281" t="str">
        <f aca="false">IFERROR(CR25/CW25-1, "-")</f>
        <v>-</v>
      </c>
      <c r="CY25" s="424"/>
      <c r="CZ25" s="281"/>
      <c r="DA25" s="281"/>
      <c r="DB25" s="281"/>
      <c r="DC25" s="281"/>
      <c r="DD25" s="281"/>
      <c r="DE25" s="245"/>
      <c r="DF25" s="245"/>
      <c r="DG25" s="245"/>
      <c r="DH25" s="245"/>
      <c r="DI25" s="1227"/>
      <c r="DJ25" s="1214" t="n">
        <f aca="false">SUM(D25,J25,P25,V25,AD25,AL25,AU25,BC25,BK25,BT25,CB25,CJ25)-CR25</f>
        <v>0</v>
      </c>
      <c r="DK25" s="1214" t="n">
        <f aca="false">SUM(E25,K25,Q25,W25,AE25,AM25,AV25,BD25,BL25,BU25,CC25,CK25)-CS25</f>
        <v>0</v>
      </c>
      <c r="DL25" s="1214" t="n">
        <f aca="false">SUM(G25,M25,S25,AA25,AI25,AR25,AZ25,BH25,BQ25,BY25,CG25,CO25)-CW25</f>
        <v>0</v>
      </c>
      <c r="DM25" s="1214" t="n">
        <f aca="false">SUM(D25,J25,P25,V25,AD25,AL25,AU25,BC25,,BN25,BV25,CD25,CL25)-CT25</f>
        <v>0</v>
      </c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</row>
    <row r="26" s="1252" customFormat="true" ht="7.5" hidden="true" customHeight="true" outlineLevel="0" collapsed="false">
      <c r="B26" s="1253"/>
      <c r="C26" s="679" t="s">
        <v>840</v>
      </c>
      <c r="D26" s="1254"/>
      <c r="E26" s="433"/>
      <c r="F26" s="1255"/>
      <c r="G26" s="433"/>
      <c r="H26" s="1256"/>
      <c r="I26" s="1257"/>
      <c r="J26" s="1254"/>
      <c r="K26" s="433"/>
      <c r="L26" s="1255"/>
      <c r="M26" s="433"/>
      <c r="N26" s="1256"/>
      <c r="O26" s="434"/>
      <c r="P26" s="1254"/>
      <c r="Q26" s="433"/>
      <c r="R26" s="1255"/>
      <c r="S26" s="433"/>
      <c r="T26" s="1256"/>
      <c r="U26" s="435"/>
      <c r="V26" s="1254"/>
      <c r="W26" s="433"/>
      <c r="X26" s="433"/>
      <c r="Y26" s="580"/>
      <c r="Z26" s="580"/>
      <c r="AA26" s="433"/>
      <c r="AB26" s="1256"/>
      <c r="AC26" s="435"/>
      <c r="AD26" s="1254"/>
      <c r="AE26" s="433"/>
      <c r="AF26" s="433"/>
      <c r="AG26" s="580"/>
      <c r="AH26" s="580"/>
      <c r="AI26" s="433"/>
      <c r="AJ26" s="1256"/>
      <c r="AK26" s="435"/>
      <c r="AL26" s="1254"/>
      <c r="AM26" s="433"/>
      <c r="AN26" s="433"/>
      <c r="AO26" s="433"/>
      <c r="AP26" s="580"/>
      <c r="AQ26" s="580"/>
      <c r="AR26" s="433"/>
      <c r="AS26" s="1256"/>
      <c r="AT26" s="436"/>
      <c r="AU26" s="1254"/>
      <c r="AV26" s="433"/>
      <c r="AW26" s="433"/>
      <c r="AX26" s="580"/>
      <c r="AY26" s="580"/>
      <c r="AZ26" s="433"/>
      <c r="BA26" s="1256"/>
      <c r="BB26" s="435"/>
      <c r="BC26" s="1254"/>
      <c r="BD26" s="433"/>
      <c r="BE26" s="433"/>
      <c r="BF26" s="580"/>
      <c r="BG26" s="580"/>
      <c r="BH26" s="433"/>
      <c r="BI26" s="1256"/>
      <c r="BJ26" s="435"/>
      <c r="BK26" s="1254"/>
      <c r="BL26" s="433"/>
      <c r="BM26" s="433"/>
      <c r="BN26" s="433"/>
      <c r="BO26" s="580"/>
      <c r="BP26" s="580"/>
      <c r="BQ26" s="433"/>
      <c r="BR26" s="1256"/>
      <c r="BS26" s="435"/>
      <c r="BT26" s="1254"/>
      <c r="BU26" s="433"/>
      <c r="BV26" s="433"/>
      <c r="BW26" s="580"/>
      <c r="BX26" s="580"/>
      <c r="BY26" s="433"/>
      <c r="BZ26" s="1256"/>
      <c r="CA26" s="435"/>
      <c r="CB26" s="1254"/>
      <c r="CC26" s="433"/>
      <c r="CD26" s="433"/>
      <c r="CE26" s="580"/>
      <c r="CF26" s="580"/>
      <c r="CG26" s="433"/>
      <c r="CH26" s="1256"/>
      <c r="CI26" s="435"/>
      <c r="CJ26" s="1254"/>
      <c r="CK26" s="433"/>
      <c r="CL26" s="433"/>
      <c r="CM26" s="580"/>
      <c r="CN26" s="580"/>
      <c r="CO26" s="433"/>
      <c r="CP26" s="1256"/>
      <c r="CQ26" s="434"/>
      <c r="CR26" s="817"/>
      <c r="CS26" s="433"/>
      <c r="CT26" s="433"/>
      <c r="CU26" s="433"/>
      <c r="CV26" s="433"/>
      <c r="CW26" s="433"/>
      <c r="CX26" s="433" t="str">
        <f aca="false">IFERROR(CR26/CW26-1, "-")</f>
        <v>-</v>
      </c>
      <c r="CY26" s="1258"/>
      <c r="CZ26" s="433"/>
      <c r="DA26" s="433"/>
      <c r="DB26" s="433"/>
      <c r="DC26" s="433"/>
      <c r="DD26" s="433"/>
      <c r="DE26" s="434"/>
      <c r="DF26" s="434"/>
      <c r="DG26" s="434"/>
      <c r="DH26" s="434"/>
      <c r="DI26" s="794"/>
      <c r="DJ26" s="1214" t="n">
        <f aca="false">SUM(D26,J26,P26,V26,AD26,AL26,AU26,BC26,BK26,BT26,CB26,CJ26)-CR26</f>
        <v>0</v>
      </c>
      <c r="DK26" s="1214" t="n">
        <f aca="false">SUM(E26,K26,Q26,W26,AE26,AM26,AV26,BD26,BL26,BU26,CC26,CK26)-CS26</f>
        <v>0</v>
      </c>
      <c r="DL26" s="1214" t="n">
        <f aca="false">SUM(G26,M26,S26,AA26,AI26,AR26,AZ26,BH26,BQ26,BY26,CG26,CO26)-CW26</f>
        <v>0</v>
      </c>
      <c r="DM26" s="1214" t="n">
        <f aca="false">SUM(D26,J26,P26,V26,AD26,AL26,AU26,BC26,,BN26,BV26,CD26,CL26)-CT26</f>
        <v>0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s="793" customFormat="true" ht="12.75" hidden="true" customHeight="true" outlineLevel="0" collapsed="false">
      <c r="B27" s="1259" t="s">
        <v>558</v>
      </c>
      <c r="C27" s="679" t="s">
        <v>841</v>
      </c>
      <c r="D27" s="1260"/>
      <c r="E27" s="1261"/>
      <c r="F27" s="1262"/>
      <c r="G27" s="1261"/>
      <c r="H27" s="1263"/>
      <c r="I27" s="1264"/>
      <c r="J27" s="1260"/>
      <c r="K27" s="1261"/>
      <c r="L27" s="1262"/>
      <c r="M27" s="1261"/>
      <c r="N27" s="1263"/>
      <c r="O27" s="1265"/>
      <c r="P27" s="1260"/>
      <c r="Q27" s="1261"/>
      <c r="R27" s="1262"/>
      <c r="S27" s="1261"/>
      <c r="T27" s="1263"/>
      <c r="U27" s="1266"/>
      <c r="V27" s="1260"/>
      <c r="W27" s="1260"/>
      <c r="X27" s="1260"/>
      <c r="Y27" s="1260"/>
      <c r="Z27" s="1260"/>
      <c r="AA27" s="1261"/>
      <c r="AB27" s="1263"/>
      <c r="AC27" s="1266"/>
      <c r="AD27" s="1260"/>
      <c r="AE27" s="1260"/>
      <c r="AF27" s="1260"/>
      <c r="AG27" s="1260"/>
      <c r="AH27" s="1260"/>
      <c r="AI27" s="1261"/>
      <c r="AJ27" s="1263"/>
      <c r="AK27" s="1266"/>
      <c r="AL27" s="1260"/>
      <c r="AM27" s="1260"/>
      <c r="AN27" s="1260"/>
      <c r="AO27" s="1260"/>
      <c r="AP27" s="1260"/>
      <c r="AQ27" s="1260"/>
      <c r="AR27" s="1261"/>
      <c r="AS27" s="1263"/>
      <c r="AT27" s="1267"/>
      <c r="AU27" s="1260"/>
      <c r="AV27" s="1260"/>
      <c r="AW27" s="1260"/>
      <c r="AX27" s="1260"/>
      <c r="AY27" s="1260"/>
      <c r="AZ27" s="1261"/>
      <c r="BA27" s="1263"/>
      <c r="BB27" s="1266"/>
      <c r="BC27" s="1260"/>
      <c r="BD27" s="1260"/>
      <c r="BE27" s="1260"/>
      <c r="BF27" s="1260"/>
      <c r="BG27" s="1260"/>
      <c r="BH27" s="1261"/>
      <c r="BI27" s="1263"/>
      <c r="BJ27" s="1266"/>
      <c r="BK27" s="1260"/>
      <c r="BL27" s="1260"/>
      <c r="BM27" s="1260"/>
      <c r="BN27" s="1260"/>
      <c r="BO27" s="1260"/>
      <c r="BP27" s="1260"/>
      <c r="BQ27" s="1261"/>
      <c r="BR27" s="1263"/>
      <c r="BS27" s="1266"/>
      <c r="BT27" s="1260"/>
      <c r="BU27" s="1260"/>
      <c r="BV27" s="1260"/>
      <c r="BW27" s="1260"/>
      <c r="BX27" s="1260"/>
      <c r="BY27" s="1261"/>
      <c r="BZ27" s="1263"/>
      <c r="CA27" s="1266"/>
      <c r="CB27" s="1260"/>
      <c r="CC27" s="1260"/>
      <c r="CD27" s="1260"/>
      <c r="CE27" s="1260"/>
      <c r="CF27" s="1260"/>
      <c r="CG27" s="1261"/>
      <c r="CH27" s="1263"/>
      <c r="CI27" s="1266"/>
      <c r="CJ27" s="1260"/>
      <c r="CK27" s="1260"/>
      <c r="CL27" s="1260"/>
      <c r="CM27" s="1260"/>
      <c r="CN27" s="1260"/>
      <c r="CO27" s="1261"/>
      <c r="CP27" s="1263"/>
      <c r="CQ27" s="1265"/>
      <c r="CR27" s="1268"/>
      <c r="CS27" s="1260"/>
      <c r="CT27" s="1260"/>
      <c r="CU27" s="1260" t="n">
        <f aca="false">CR27-CS27</f>
        <v>0</v>
      </c>
      <c r="CV27" s="1260" t="n">
        <f aca="false">CR27-CT27</f>
        <v>0</v>
      </c>
      <c r="CW27" s="1260"/>
      <c r="CX27" s="1260" t="str">
        <f aca="false">IFERROR(CR27/CW27-1, "-")</f>
        <v>-</v>
      </c>
      <c r="CY27" s="1269"/>
      <c r="CZ27" s="1260"/>
      <c r="DA27" s="1260"/>
      <c r="DB27" s="1260"/>
      <c r="DC27" s="1260"/>
      <c r="DD27" s="1261"/>
      <c r="DE27" s="1265" t="e">
        <f aca="false">+CZ27/DD27-1</f>
        <v>#DIV/0!</v>
      </c>
      <c r="DF27" s="1265" t="e">
        <f aca="false">+DA27/DD27-1</f>
        <v>#DIV/0!</v>
      </c>
      <c r="DG27" s="1265" t="e">
        <f aca="false">+DB27/DD27-1</f>
        <v>#DIV/0!</v>
      </c>
      <c r="DH27" s="1265" t="e">
        <f aca="false">+DC27/DD27-1</f>
        <v>#DIV/0!</v>
      </c>
      <c r="DI27" s="1270"/>
      <c r="DJ27" s="1214" t="n">
        <f aca="false">SUM(D27,J27,P27,V27,AD27,AL27,AU27,BC27,BK27,BT27,CB27,CJ27)-CR27</f>
        <v>0</v>
      </c>
      <c r="DK27" s="1214" t="n">
        <f aca="false">SUM(E27,K27,Q27,W27,AE27,AM27,AV27,BD27,BL27,BU27,CC27,CK27)-CS27</f>
        <v>0</v>
      </c>
      <c r="DL27" s="1214" t="n">
        <f aca="false">SUM(G27,M27,S27,AA27,AI27,AR27,AZ27,BH27,BQ27,BY27,CG27,CO27)-CW27</f>
        <v>0</v>
      </c>
      <c r="DM27" s="1214" t="n">
        <f aca="false">SUM(D27,J27,P27,V27,AD27,AL27,AU27,BC27,,BN27,BV27,CD27,CL27)-CT27</f>
        <v>0</v>
      </c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</row>
    <row r="28" s="1252" customFormat="true" ht="12.75" hidden="true" customHeight="true" outlineLevel="0" collapsed="false">
      <c r="B28" s="1253" t="s">
        <v>816</v>
      </c>
      <c r="C28" s="679" t="s">
        <v>842</v>
      </c>
      <c r="D28" s="584"/>
      <c r="E28" s="433"/>
      <c r="F28" s="1255"/>
      <c r="G28" s="433"/>
      <c r="H28" s="1256"/>
      <c r="I28" s="1257"/>
      <c r="J28" s="584"/>
      <c r="K28" s="433"/>
      <c r="L28" s="1255"/>
      <c r="M28" s="433"/>
      <c r="N28" s="1256"/>
      <c r="O28" s="434"/>
      <c r="P28" s="584"/>
      <c r="Q28" s="433"/>
      <c r="R28" s="1255"/>
      <c r="S28" s="433"/>
      <c r="T28" s="1256"/>
      <c r="U28" s="435"/>
      <c r="V28" s="584"/>
      <c r="W28" s="433"/>
      <c r="X28" s="433"/>
      <c r="Y28" s="580"/>
      <c r="Z28" s="580"/>
      <c r="AA28" s="433"/>
      <c r="AB28" s="1256"/>
      <c r="AC28" s="435"/>
      <c r="AD28" s="584"/>
      <c r="AE28" s="433"/>
      <c r="AF28" s="433"/>
      <c r="AG28" s="580"/>
      <c r="AH28" s="580"/>
      <c r="AI28" s="433"/>
      <c r="AJ28" s="1256"/>
      <c r="AK28" s="435"/>
      <c r="AL28" s="584"/>
      <c r="AM28" s="433"/>
      <c r="AN28" s="433"/>
      <c r="AO28" s="433"/>
      <c r="AP28" s="580"/>
      <c r="AQ28" s="580"/>
      <c r="AR28" s="433"/>
      <c r="AS28" s="1256"/>
      <c r="AT28" s="436"/>
      <c r="AU28" s="584"/>
      <c r="AV28" s="433"/>
      <c r="AW28" s="433"/>
      <c r="AX28" s="580"/>
      <c r="AY28" s="580"/>
      <c r="AZ28" s="433"/>
      <c r="BA28" s="1256"/>
      <c r="BB28" s="435"/>
      <c r="BC28" s="584"/>
      <c r="BD28" s="433"/>
      <c r="BE28" s="433"/>
      <c r="BF28" s="580"/>
      <c r="BG28" s="580"/>
      <c r="BH28" s="433"/>
      <c r="BI28" s="1256"/>
      <c r="BJ28" s="435"/>
      <c r="BK28" s="584"/>
      <c r="BL28" s="433"/>
      <c r="BM28" s="433"/>
      <c r="BN28" s="433"/>
      <c r="BO28" s="580"/>
      <c r="BP28" s="580"/>
      <c r="BQ28" s="433"/>
      <c r="BR28" s="1256"/>
      <c r="BS28" s="435"/>
      <c r="BT28" s="584"/>
      <c r="BU28" s="433"/>
      <c r="BV28" s="433"/>
      <c r="BW28" s="580"/>
      <c r="BX28" s="580"/>
      <c r="BY28" s="433"/>
      <c r="BZ28" s="1256"/>
      <c r="CA28" s="435"/>
      <c r="CB28" s="584"/>
      <c r="CC28" s="433"/>
      <c r="CD28" s="433"/>
      <c r="CE28" s="580"/>
      <c r="CF28" s="580"/>
      <c r="CG28" s="433"/>
      <c r="CH28" s="1256"/>
      <c r="CI28" s="435"/>
      <c r="CJ28" s="584"/>
      <c r="CK28" s="433"/>
      <c r="CL28" s="433"/>
      <c r="CM28" s="580"/>
      <c r="CN28" s="580"/>
      <c r="CO28" s="433"/>
      <c r="CP28" s="1256"/>
      <c r="CQ28" s="434"/>
      <c r="CR28" s="817"/>
      <c r="CS28" s="433"/>
      <c r="CT28" s="433"/>
      <c r="CU28" s="433" t="n">
        <f aca="false">CR28-CS28</f>
        <v>0</v>
      </c>
      <c r="CV28" s="433" t="n">
        <f aca="false">CR28-CT28</f>
        <v>0</v>
      </c>
      <c r="CW28" s="433"/>
      <c r="CX28" s="433" t="str">
        <f aca="false">IFERROR(CR28/CW28-1, "-")</f>
        <v>-</v>
      </c>
      <c r="CY28" s="1258"/>
      <c r="CZ28" s="433"/>
      <c r="DA28" s="433"/>
      <c r="DB28" s="433"/>
      <c r="DC28" s="433"/>
      <c r="DD28" s="433"/>
      <c r="DE28" s="434" t="e">
        <f aca="false">+CZ28/DD28-1</f>
        <v>#DIV/0!</v>
      </c>
      <c r="DF28" s="434" t="e">
        <f aca="false">+DA28/DD28-1</f>
        <v>#DIV/0!</v>
      </c>
      <c r="DG28" s="434" t="e">
        <f aca="false">+DB28/DD28-1</f>
        <v>#DIV/0!</v>
      </c>
      <c r="DH28" s="434" t="e">
        <f aca="false">+DC28/DD28-1</f>
        <v>#DIV/0!</v>
      </c>
      <c r="DI28" s="794"/>
      <c r="DJ28" s="1214" t="n">
        <f aca="false">SUM(D28,J28,P28,V28,AD28,AL28,AU28,BC28,BK28,BT28,CB28,CJ28)-CR28</f>
        <v>0</v>
      </c>
      <c r="DK28" s="1214" t="n">
        <f aca="false">SUM(E28,K28,Q28,W28,AE28,AM28,AV28,BD28,BL28,BU28,CC28,CK28)-CS28</f>
        <v>0</v>
      </c>
      <c r="DL28" s="1214" t="n">
        <f aca="false">SUM(G28,M28,S28,AA28,AI28,AR28,AZ28,BH28,BQ28,BY28,CG28,CO28)-CW28</f>
        <v>0</v>
      </c>
      <c r="DM28" s="1214" t="n">
        <f aca="false">SUM(D28,J28,P28,V28,AD28,AL28,AU28,BC28,,BN28,BV28,CD28,CL28)-CT28</f>
        <v>0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</row>
    <row r="29" s="1252" customFormat="true" ht="12.75" hidden="true" customHeight="true" outlineLevel="0" collapsed="false">
      <c r="B29" s="1253" t="s">
        <v>818</v>
      </c>
      <c r="C29" s="679" t="s">
        <v>843</v>
      </c>
      <c r="D29" s="584"/>
      <c r="E29" s="433"/>
      <c r="F29" s="1255"/>
      <c r="G29" s="433"/>
      <c r="H29" s="1256"/>
      <c r="I29" s="1257"/>
      <c r="J29" s="584"/>
      <c r="K29" s="433"/>
      <c r="L29" s="1255"/>
      <c r="M29" s="433"/>
      <c r="N29" s="1256"/>
      <c r="O29" s="434"/>
      <c r="P29" s="584"/>
      <c r="Q29" s="433"/>
      <c r="R29" s="1255"/>
      <c r="S29" s="433"/>
      <c r="T29" s="1256"/>
      <c r="U29" s="435"/>
      <c r="V29" s="584"/>
      <c r="W29" s="433"/>
      <c r="X29" s="433"/>
      <c r="Y29" s="580"/>
      <c r="Z29" s="580"/>
      <c r="AA29" s="433"/>
      <c r="AB29" s="1256"/>
      <c r="AC29" s="435"/>
      <c r="AD29" s="584"/>
      <c r="AE29" s="433"/>
      <c r="AF29" s="433"/>
      <c r="AG29" s="580"/>
      <c r="AH29" s="580"/>
      <c r="AI29" s="433"/>
      <c r="AJ29" s="1256"/>
      <c r="AK29" s="435"/>
      <c r="AL29" s="584"/>
      <c r="AM29" s="433"/>
      <c r="AN29" s="433"/>
      <c r="AO29" s="433"/>
      <c r="AP29" s="580"/>
      <c r="AQ29" s="580"/>
      <c r="AR29" s="433"/>
      <c r="AS29" s="1256"/>
      <c r="AT29" s="436"/>
      <c r="AU29" s="584"/>
      <c r="AV29" s="433"/>
      <c r="AW29" s="433"/>
      <c r="AX29" s="580"/>
      <c r="AY29" s="580"/>
      <c r="AZ29" s="433"/>
      <c r="BA29" s="1256"/>
      <c r="BB29" s="435"/>
      <c r="BC29" s="584"/>
      <c r="BD29" s="433"/>
      <c r="BE29" s="433"/>
      <c r="BF29" s="580"/>
      <c r="BG29" s="580"/>
      <c r="BH29" s="433"/>
      <c r="BI29" s="1256"/>
      <c r="BJ29" s="435"/>
      <c r="BK29" s="584"/>
      <c r="BL29" s="433"/>
      <c r="BM29" s="433"/>
      <c r="BN29" s="433"/>
      <c r="BO29" s="580"/>
      <c r="BP29" s="580"/>
      <c r="BQ29" s="433"/>
      <c r="BR29" s="1256"/>
      <c r="BS29" s="435"/>
      <c r="BT29" s="584"/>
      <c r="BU29" s="433"/>
      <c r="BV29" s="433"/>
      <c r="BW29" s="580"/>
      <c r="BX29" s="580"/>
      <c r="BY29" s="433"/>
      <c r="BZ29" s="1256"/>
      <c r="CA29" s="435"/>
      <c r="CB29" s="584"/>
      <c r="CC29" s="433"/>
      <c r="CD29" s="433"/>
      <c r="CE29" s="580"/>
      <c r="CF29" s="580"/>
      <c r="CG29" s="433"/>
      <c r="CH29" s="1256"/>
      <c r="CI29" s="435"/>
      <c r="CJ29" s="584"/>
      <c r="CK29" s="433"/>
      <c r="CL29" s="433"/>
      <c r="CM29" s="580"/>
      <c r="CN29" s="580"/>
      <c r="CO29" s="433"/>
      <c r="CP29" s="1256"/>
      <c r="CQ29" s="434"/>
      <c r="CR29" s="817"/>
      <c r="CS29" s="433"/>
      <c r="CT29" s="433"/>
      <c r="CU29" s="433" t="n">
        <f aca="false">CR29-CS29</f>
        <v>0</v>
      </c>
      <c r="CV29" s="433" t="n">
        <f aca="false">CR29-CT29</f>
        <v>0</v>
      </c>
      <c r="CW29" s="433"/>
      <c r="CX29" s="433" t="str">
        <f aca="false">IFERROR(CR29/CW29-1, "-")</f>
        <v>-</v>
      </c>
      <c r="CY29" s="1258"/>
      <c r="CZ29" s="433"/>
      <c r="DA29" s="433"/>
      <c r="DB29" s="433"/>
      <c r="DC29" s="433"/>
      <c r="DD29" s="433"/>
      <c r="DE29" s="434" t="e">
        <f aca="false">+CZ29/DD29-1</f>
        <v>#DIV/0!</v>
      </c>
      <c r="DF29" s="434" t="e">
        <f aca="false">+DA29/DD29-1</f>
        <v>#DIV/0!</v>
      </c>
      <c r="DG29" s="434" t="e">
        <f aca="false">+DB29/DD29-1</f>
        <v>#DIV/0!</v>
      </c>
      <c r="DH29" s="434" t="e">
        <f aca="false">+DC29/DD29-1</f>
        <v>#DIV/0!</v>
      </c>
      <c r="DI29" s="794"/>
      <c r="DJ29" s="1214" t="n">
        <f aca="false">SUM(D29,J29,P29,V29,AD29,AL29,AU29,BC29,BK29,BT29,CB29,CJ29)-CR29</f>
        <v>0</v>
      </c>
      <c r="DK29" s="1214" t="n">
        <f aca="false">SUM(E29,K29,Q29,W29,AE29,AM29,AV29,BD29,BL29,BU29,CC29,CK29)-CS29</f>
        <v>0</v>
      </c>
      <c r="DL29" s="1214" t="n">
        <f aca="false">SUM(G29,M29,S29,AA29,AI29,AR29,AZ29,BH29,BQ29,BY29,CG29,CO29)-CW29</f>
        <v>0</v>
      </c>
      <c r="DM29" s="1214" t="n">
        <f aca="false">SUM(D29,J29,P29,V29,AD29,AL29,AU29,BC29,,BN29,BV29,CD29,CL29)-CT29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s="1252" customFormat="true" ht="12.75" hidden="true" customHeight="true" outlineLevel="0" collapsed="false">
      <c r="B30" s="1253" t="s">
        <v>820</v>
      </c>
      <c r="C30" s="679" t="s">
        <v>844</v>
      </c>
      <c r="D30" s="584"/>
      <c r="E30" s="433"/>
      <c r="F30" s="1255"/>
      <c r="G30" s="433"/>
      <c r="H30" s="1256"/>
      <c r="I30" s="1257"/>
      <c r="J30" s="584"/>
      <c r="K30" s="433"/>
      <c r="L30" s="1255"/>
      <c r="M30" s="433"/>
      <c r="N30" s="1256"/>
      <c r="O30" s="434"/>
      <c r="P30" s="584"/>
      <c r="Q30" s="433"/>
      <c r="R30" s="1255"/>
      <c r="S30" s="433"/>
      <c r="T30" s="1256"/>
      <c r="U30" s="435"/>
      <c r="V30" s="584"/>
      <c r="W30" s="433"/>
      <c r="X30" s="433"/>
      <c r="Y30" s="580"/>
      <c r="Z30" s="580"/>
      <c r="AA30" s="433"/>
      <c r="AB30" s="1256"/>
      <c r="AC30" s="435"/>
      <c r="AD30" s="584"/>
      <c r="AE30" s="433"/>
      <c r="AF30" s="433"/>
      <c r="AG30" s="580"/>
      <c r="AH30" s="580"/>
      <c r="AI30" s="433"/>
      <c r="AJ30" s="1256"/>
      <c r="AK30" s="435"/>
      <c r="AL30" s="584"/>
      <c r="AM30" s="433"/>
      <c r="AN30" s="433"/>
      <c r="AO30" s="433"/>
      <c r="AP30" s="580"/>
      <c r="AQ30" s="580"/>
      <c r="AR30" s="433"/>
      <c r="AS30" s="1256"/>
      <c r="AT30" s="436"/>
      <c r="AU30" s="584"/>
      <c r="AV30" s="433"/>
      <c r="AW30" s="433"/>
      <c r="AX30" s="580"/>
      <c r="AY30" s="580"/>
      <c r="AZ30" s="433"/>
      <c r="BA30" s="1256"/>
      <c r="BB30" s="435"/>
      <c r="BC30" s="584"/>
      <c r="BD30" s="433"/>
      <c r="BE30" s="433"/>
      <c r="BF30" s="580"/>
      <c r="BG30" s="580"/>
      <c r="BH30" s="433"/>
      <c r="BI30" s="1256"/>
      <c r="BJ30" s="435"/>
      <c r="BK30" s="584"/>
      <c r="BL30" s="433"/>
      <c r="BM30" s="433"/>
      <c r="BN30" s="433"/>
      <c r="BO30" s="580"/>
      <c r="BP30" s="580"/>
      <c r="BQ30" s="433"/>
      <c r="BR30" s="1256"/>
      <c r="BS30" s="435"/>
      <c r="BT30" s="584"/>
      <c r="BU30" s="433"/>
      <c r="BV30" s="433"/>
      <c r="BW30" s="580"/>
      <c r="BX30" s="580"/>
      <c r="BY30" s="433"/>
      <c r="BZ30" s="1256"/>
      <c r="CA30" s="435"/>
      <c r="CB30" s="584"/>
      <c r="CC30" s="433"/>
      <c r="CD30" s="433"/>
      <c r="CE30" s="580"/>
      <c r="CF30" s="580"/>
      <c r="CG30" s="433"/>
      <c r="CH30" s="1256"/>
      <c r="CI30" s="435"/>
      <c r="CJ30" s="584"/>
      <c r="CK30" s="433"/>
      <c r="CL30" s="433"/>
      <c r="CM30" s="580"/>
      <c r="CN30" s="580"/>
      <c r="CO30" s="433"/>
      <c r="CP30" s="1256"/>
      <c r="CQ30" s="434"/>
      <c r="CR30" s="817"/>
      <c r="CS30" s="433"/>
      <c r="CT30" s="433"/>
      <c r="CU30" s="433" t="n">
        <f aca="false">CR30-CS30</f>
        <v>0</v>
      </c>
      <c r="CV30" s="433" t="n">
        <f aca="false">CR30-CT30</f>
        <v>0</v>
      </c>
      <c r="CW30" s="433"/>
      <c r="CX30" s="433" t="str">
        <f aca="false">IFERROR(CR30/CW30-1, "-")</f>
        <v>-</v>
      </c>
      <c r="CY30" s="1258"/>
      <c r="CZ30" s="433"/>
      <c r="DA30" s="433"/>
      <c r="DB30" s="433"/>
      <c r="DC30" s="433"/>
      <c r="DD30" s="433"/>
      <c r="DE30" s="434" t="e">
        <f aca="false">+CZ30/DD30-1</f>
        <v>#DIV/0!</v>
      </c>
      <c r="DF30" s="434" t="e">
        <f aca="false">+DA30/DD30-1</f>
        <v>#DIV/0!</v>
      </c>
      <c r="DG30" s="434" t="e">
        <f aca="false">+DB30/DD30-1</f>
        <v>#DIV/0!</v>
      </c>
      <c r="DH30" s="434" t="e">
        <f aca="false">+DC30/DD30-1</f>
        <v>#DIV/0!</v>
      </c>
      <c r="DI30" s="794"/>
      <c r="DJ30" s="1214" t="n">
        <f aca="false">SUM(D30,J30,P30,V30,AD30,AL30,AU30,BC30,BK30,BT30,CB30,CJ30)-CR30</f>
        <v>0</v>
      </c>
      <c r="DK30" s="1214" t="n">
        <f aca="false">SUM(E30,K30,Q30,W30,AE30,AM30,AV30,BD30,BL30,BU30,CC30,CK30)-CS30</f>
        <v>0</v>
      </c>
      <c r="DL30" s="1214" t="n">
        <f aca="false">SUM(G30,M30,S30,AA30,AI30,AR30,AZ30,BH30,BQ30,BY30,CG30,CO30)-CW30</f>
        <v>0</v>
      </c>
      <c r="DM30" s="1214" t="n">
        <f aca="false">SUM(D30,J30,P30,V30,AD30,AL30,AU30,BC30,,BN30,BV30,CD30,CL30)-CT30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</row>
    <row r="31" s="1252" customFormat="true" ht="12.75" hidden="true" customHeight="true" outlineLevel="0" collapsed="false">
      <c r="B31" s="1253" t="s">
        <v>822</v>
      </c>
      <c r="C31" s="679" t="s">
        <v>845</v>
      </c>
      <c r="D31" s="584"/>
      <c r="E31" s="433"/>
      <c r="F31" s="1255"/>
      <c r="G31" s="433"/>
      <c r="H31" s="1256"/>
      <c r="I31" s="1257"/>
      <c r="J31" s="584"/>
      <c r="K31" s="433"/>
      <c r="L31" s="1255"/>
      <c r="M31" s="433"/>
      <c r="N31" s="1256"/>
      <c r="O31" s="434"/>
      <c r="P31" s="584"/>
      <c r="Q31" s="433"/>
      <c r="R31" s="1255"/>
      <c r="S31" s="433"/>
      <c r="T31" s="1256"/>
      <c r="U31" s="435"/>
      <c r="V31" s="584"/>
      <c r="W31" s="433"/>
      <c r="X31" s="433"/>
      <c r="Y31" s="580"/>
      <c r="Z31" s="580"/>
      <c r="AA31" s="433"/>
      <c r="AB31" s="1256"/>
      <c r="AC31" s="435"/>
      <c r="AD31" s="584"/>
      <c r="AE31" s="433"/>
      <c r="AF31" s="433"/>
      <c r="AG31" s="580"/>
      <c r="AH31" s="580"/>
      <c r="AI31" s="433"/>
      <c r="AJ31" s="1256"/>
      <c r="AK31" s="435"/>
      <c r="AL31" s="584"/>
      <c r="AM31" s="433"/>
      <c r="AN31" s="433"/>
      <c r="AO31" s="433"/>
      <c r="AP31" s="580"/>
      <c r="AQ31" s="580"/>
      <c r="AR31" s="433"/>
      <c r="AS31" s="1256"/>
      <c r="AT31" s="436"/>
      <c r="AU31" s="584"/>
      <c r="AV31" s="433"/>
      <c r="AW31" s="433"/>
      <c r="AX31" s="580"/>
      <c r="AY31" s="580"/>
      <c r="AZ31" s="433"/>
      <c r="BA31" s="1256"/>
      <c r="BB31" s="435"/>
      <c r="BC31" s="584"/>
      <c r="BD31" s="433"/>
      <c r="BE31" s="433"/>
      <c r="BF31" s="580"/>
      <c r="BG31" s="580"/>
      <c r="BH31" s="433"/>
      <c r="BI31" s="1256"/>
      <c r="BJ31" s="435"/>
      <c r="BK31" s="584"/>
      <c r="BL31" s="433"/>
      <c r="BM31" s="433"/>
      <c r="BN31" s="433"/>
      <c r="BO31" s="580"/>
      <c r="BP31" s="580"/>
      <c r="BQ31" s="433"/>
      <c r="BR31" s="1256"/>
      <c r="BS31" s="435"/>
      <c r="BT31" s="584"/>
      <c r="BU31" s="433"/>
      <c r="BV31" s="433"/>
      <c r="BW31" s="580"/>
      <c r="BX31" s="580"/>
      <c r="BY31" s="433"/>
      <c r="BZ31" s="1256"/>
      <c r="CA31" s="435"/>
      <c r="CB31" s="584"/>
      <c r="CC31" s="433"/>
      <c r="CD31" s="433"/>
      <c r="CE31" s="580"/>
      <c r="CF31" s="580"/>
      <c r="CG31" s="433"/>
      <c r="CH31" s="1256"/>
      <c r="CI31" s="435"/>
      <c r="CJ31" s="584"/>
      <c r="CK31" s="433"/>
      <c r="CL31" s="433"/>
      <c r="CM31" s="580"/>
      <c r="CN31" s="580"/>
      <c r="CO31" s="433"/>
      <c r="CP31" s="1256"/>
      <c r="CQ31" s="434"/>
      <c r="CR31" s="817"/>
      <c r="CS31" s="433"/>
      <c r="CT31" s="433"/>
      <c r="CU31" s="433" t="n">
        <f aca="false">CR31-CS31</f>
        <v>0</v>
      </c>
      <c r="CV31" s="433" t="n">
        <f aca="false">CR31-CT31</f>
        <v>0</v>
      </c>
      <c r="CW31" s="433"/>
      <c r="CX31" s="433" t="str">
        <f aca="false">IFERROR(CR31/CW31-1, "-")</f>
        <v>-</v>
      </c>
      <c r="CY31" s="1258"/>
      <c r="CZ31" s="433"/>
      <c r="DA31" s="433"/>
      <c r="DB31" s="433"/>
      <c r="DC31" s="433"/>
      <c r="DD31" s="433"/>
      <c r="DE31" s="434" t="e">
        <f aca="false">+CZ31/DD31-1</f>
        <v>#DIV/0!</v>
      </c>
      <c r="DF31" s="434" t="e">
        <f aca="false">+DA31/DD31-1</f>
        <v>#DIV/0!</v>
      </c>
      <c r="DG31" s="434" t="e">
        <f aca="false">+DB31/DD31-1</f>
        <v>#DIV/0!</v>
      </c>
      <c r="DH31" s="434" t="e">
        <f aca="false">+DC31/DD31-1</f>
        <v>#DIV/0!</v>
      </c>
      <c r="DI31" s="794"/>
      <c r="DJ31" s="1214" t="n">
        <f aca="false">SUM(D31,J31,P31,V31,AD31,AL31,AU31,BC31,BK31,BT31,CB31,CJ31)-CR31</f>
        <v>0</v>
      </c>
      <c r="DK31" s="1214" t="n">
        <f aca="false">SUM(E31,K31,Q31,W31,AE31,AM31,AV31,BD31,BL31,BU31,CC31,CK31)-CS31</f>
        <v>0</v>
      </c>
      <c r="DL31" s="1214" t="n">
        <f aca="false">SUM(G31,M31,S31,AA31,AI31,AR31,AZ31,BH31,BQ31,BY31,CG31,CO31)-CW31</f>
        <v>0</v>
      </c>
      <c r="DM31" s="1214" t="n">
        <f aca="false">SUM(D31,J31,P31,V31,AD31,AL31,AU31,BC31,,BN31,BV31,CD31,CL31)-CT31</f>
        <v>0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</row>
    <row r="32" s="1252" customFormat="true" ht="12.75" hidden="true" customHeight="true" outlineLevel="0" collapsed="false">
      <c r="B32" s="1253" t="s">
        <v>824</v>
      </c>
      <c r="C32" s="679" t="s">
        <v>846</v>
      </c>
      <c r="D32" s="584"/>
      <c r="E32" s="433"/>
      <c r="F32" s="1255"/>
      <c r="G32" s="433"/>
      <c r="H32" s="1256"/>
      <c r="I32" s="1257"/>
      <c r="J32" s="584"/>
      <c r="K32" s="433"/>
      <c r="L32" s="1255"/>
      <c r="M32" s="433"/>
      <c r="N32" s="1256"/>
      <c r="O32" s="434"/>
      <c r="P32" s="584"/>
      <c r="Q32" s="433"/>
      <c r="R32" s="1255"/>
      <c r="S32" s="433"/>
      <c r="T32" s="1256"/>
      <c r="U32" s="435"/>
      <c r="V32" s="584"/>
      <c r="W32" s="433"/>
      <c r="X32" s="433"/>
      <c r="Y32" s="580"/>
      <c r="Z32" s="580"/>
      <c r="AA32" s="433"/>
      <c r="AB32" s="1256"/>
      <c r="AC32" s="435"/>
      <c r="AD32" s="584"/>
      <c r="AE32" s="433"/>
      <c r="AF32" s="433"/>
      <c r="AG32" s="580"/>
      <c r="AH32" s="580"/>
      <c r="AI32" s="433"/>
      <c r="AJ32" s="1256"/>
      <c r="AK32" s="435"/>
      <c r="AL32" s="584"/>
      <c r="AM32" s="433"/>
      <c r="AN32" s="433"/>
      <c r="AO32" s="433"/>
      <c r="AP32" s="580"/>
      <c r="AQ32" s="580"/>
      <c r="AR32" s="433"/>
      <c r="AS32" s="1256"/>
      <c r="AT32" s="436"/>
      <c r="AU32" s="584"/>
      <c r="AV32" s="433"/>
      <c r="AW32" s="433"/>
      <c r="AX32" s="580"/>
      <c r="AY32" s="580"/>
      <c r="AZ32" s="433"/>
      <c r="BA32" s="1256"/>
      <c r="BB32" s="435"/>
      <c r="BC32" s="584"/>
      <c r="BD32" s="433"/>
      <c r="BE32" s="433"/>
      <c r="BF32" s="580"/>
      <c r="BG32" s="580"/>
      <c r="BH32" s="433"/>
      <c r="BI32" s="1256"/>
      <c r="BJ32" s="435"/>
      <c r="BK32" s="584"/>
      <c r="BL32" s="433"/>
      <c r="BM32" s="433"/>
      <c r="BN32" s="433"/>
      <c r="BO32" s="580"/>
      <c r="BP32" s="580"/>
      <c r="BQ32" s="433"/>
      <c r="BR32" s="1256"/>
      <c r="BS32" s="435"/>
      <c r="BT32" s="584"/>
      <c r="BU32" s="433"/>
      <c r="BV32" s="433"/>
      <c r="BW32" s="580"/>
      <c r="BX32" s="580"/>
      <c r="BY32" s="433"/>
      <c r="BZ32" s="1256"/>
      <c r="CA32" s="435"/>
      <c r="CB32" s="584"/>
      <c r="CC32" s="433"/>
      <c r="CD32" s="433"/>
      <c r="CE32" s="580"/>
      <c r="CF32" s="580"/>
      <c r="CG32" s="433"/>
      <c r="CH32" s="1256"/>
      <c r="CI32" s="435"/>
      <c r="CJ32" s="584"/>
      <c r="CK32" s="433"/>
      <c r="CL32" s="433"/>
      <c r="CM32" s="580"/>
      <c r="CN32" s="580"/>
      <c r="CO32" s="433"/>
      <c r="CP32" s="1256"/>
      <c r="CQ32" s="434"/>
      <c r="CR32" s="817"/>
      <c r="CS32" s="433"/>
      <c r="CT32" s="433"/>
      <c r="CU32" s="433" t="n">
        <f aca="false">CR32-CS32</f>
        <v>0</v>
      </c>
      <c r="CV32" s="433" t="n">
        <f aca="false">CR32-CT32</f>
        <v>0</v>
      </c>
      <c r="CW32" s="433"/>
      <c r="CX32" s="433" t="str">
        <f aca="false">IFERROR(CR32/CW32-1, "-")</f>
        <v>-</v>
      </c>
      <c r="CY32" s="1258"/>
      <c r="CZ32" s="433"/>
      <c r="DA32" s="433"/>
      <c r="DB32" s="433"/>
      <c r="DC32" s="433"/>
      <c r="DD32" s="433"/>
      <c r="DE32" s="434"/>
      <c r="DF32" s="434"/>
      <c r="DG32" s="434"/>
      <c r="DH32" s="434"/>
      <c r="DI32" s="794"/>
      <c r="DJ32" s="1214" t="n">
        <f aca="false">SUM(D32,J32,P32,V32,AD32,AL32,AU32,BC32,BK32,BT32,CB32,CJ32)-CR32</f>
        <v>0</v>
      </c>
      <c r="DK32" s="1214" t="n">
        <f aca="false">SUM(E32,K32,Q32,W32,AE32,AM32,AV32,BD32,BL32,BU32,CC32,CK32)-CS32</f>
        <v>0</v>
      </c>
      <c r="DL32" s="1214" t="n">
        <f aca="false">SUM(G32,M32,S32,AA32,AI32,AR32,AZ32,BH32,BQ32,BY32,CG32,CO32)-CW32</f>
        <v>0</v>
      </c>
      <c r="DM32" s="1214" t="n">
        <f aca="false">SUM(D32,J32,P32,V32,AD32,AL32,AU32,BC32,,BN32,BV32,CD32,CL32)-CT32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</row>
    <row r="33" s="1252" customFormat="true" ht="12.75" hidden="true" customHeight="true" outlineLevel="0" collapsed="false">
      <c r="B33" s="1253" t="s">
        <v>826</v>
      </c>
      <c r="C33" s="679" t="s">
        <v>847</v>
      </c>
      <c r="D33" s="1271"/>
      <c r="E33" s="433"/>
      <c r="F33" s="1255"/>
      <c r="G33" s="433"/>
      <c r="H33" s="1256"/>
      <c r="I33" s="1257"/>
      <c r="J33" s="1271"/>
      <c r="K33" s="433"/>
      <c r="L33" s="1255"/>
      <c r="M33" s="433"/>
      <c r="N33" s="1256"/>
      <c r="O33" s="434"/>
      <c r="P33" s="1271"/>
      <c r="Q33" s="433"/>
      <c r="R33" s="1255"/>
      <c r="S33" s="433"/>
      <c r="T33" s="1256"/>
      <c r="U33" s="435"/>
      <c r="V33" s="1271"/>
      <c r="W33" s="433"/>
      <c r="X33" s="433"/>
      <c r="Y33" s="580"/>
      <c r="Z33" s="580"/>
      <c r="AA33" s="433"/>
      <c r="AB33" s="1256"/>
      <c r="AC33" s="435"/>
      <c r="AD33" s="1271"/>
      <c r="AE33" s="433"/>
      <c r="AF33" s="433"/>
      <c r="AG33" s="580"/>
      <c r="AH33" s="580"/>
      <c r="AI33" s="433"/>
      <c r="AJ33" s="1256"/>
      <c r="AK33" s="435"/>
      <c r="AL33" s="1271"/>
      <c r="AM33" s="433"/>
      <c r="AN33" s="433"/>
      <c r="AO33" s="433"/>
      <c r="AP33" s="580"/>
      <c r="AQ33" s="580"/>
      <c r="AR33" s="433"/>
      <c r="AS33" s="1256"/>
      <c r="AT33" s="436"/>
      <c r="AU33" s="1271"/>
      <c r="AV33" s="433"/>
      <c r="AW33" s="433"/>
      <c r="AX33" s="580"/>
      <c r="AY33" s="580"/>
      <c r="AZ33" s="433"/>
      <c r="BA33" s="1256"/>
      <c r="BB33" s="435"/>
      <c r="BC33" s="1271"/>
      <c r="BD33" s="433"/>
      <c r="BE33" s="433"/>
      <c r="BF33" s="580"/>
      <c r="BG33" s="580"/>
      <c r="BH33" s="433"/>
      <c r="BI33" s="1256"/>
      <c r="BJ33" s="435"/>
      <c r="BK33" s="1271"/>
      <c r="BL33" s="433"/>
      <c r="BM33" s="433"/>
      <c r="BN33" s="433"/>
      <c r="BO33" s="580"/>
      <c r="BP33" s="580"/>
      <c r="BQ33" s="433"/>
      <c r="BR33" s="1256"/>
      <c r="BS33" s="435"/>
      <c r="BT33" s="1271"/>
      <c r="BU33" s="433"/>
      <c r="BV33" s="433"/>
      <c r="BW33" s="580"/>
      <c r="BX33" s="580"/>
      <c r="BY33" s="433"/>
      <c r="BZ33" s="1256"/>
      <c r="CA33" s="435"/>
      <c r="CB33" s="1271"/>
      <c r="CC33" s="433"/>
      <c r="CD33" s="433"/>
      <c r="CE33" s="580"/>
      <c r="CF33" s="580"/>
      <c r="CG33" s="433"/>
      <c r="CH33" s="1256"/>
      <c r="CI33" s="435"/>
      <c r="CJ33" s="1271"/>
      <c r="CK33" s="433"/>
      <c r="CL33" s="433"/>
      <c r="CM33" s="580"/>
      <c r="CN33" s="580"/>
      <c r="CO33" s="433"/>
      <c r="CP33" s="1256"/>
      <c r="CQ33" s="434"/>
      <c r="CR33" s="817"/>
      <c r="CS33" s="433"/>
      <c r="CT33" s="433"/>
      <c r="CU33" s="433" t="n">
        <f aca="false">CR33-CS33</f>
        <v>0</v>
      </c>
      <c r="CV33" s="433" t="n">
        <f aca="false">CR33-CT33</f>
        <v>0</v>
      </c>
      <c r="CW33" s="433"/>
      <c r="CX33" s="433" t="str">
        <f aca="false">IFERROR(CR33/CW33-1, "-")</f>
        <v>-</v>
      </c>
      <c r="CY33" s="1258"/>
      <c r="CZ33" s="433"/>
      <c r="DA33" s="433"/>
      <c r="DB33" s="433"/>
      <c r="DC33" s="433"/>
      <c r="DD33" s="433"/>
      <c r="DE33" s="434"/>
      <c r="DF33" s="434"/>
      <c r="DG33" s="434"/>
      <c r="DH33" s="434"/>
      <c r="DI33" s="794"/>
      <c r="DJ33" s="1214" t="n">
        <f aca="false">SUM(D33,J33,P33,V33,AD33,AL33,AU33,BC33,BK33,BT33,CB33,CJ33)-CR33</f>
        <v>0</v>
      </c>
      <c r="DK33" s="1214" t="n">
        <f aca="false">SUM(E33,K33,Q33,W33,AE33,AM33,AV33,BD33,BL33,BU33,CC33,CK33)-CS33</f>
        <v>0</v>
      </c>
      <c r="DL33" s="1214" t="n">
        <f aca="false">SUM(G33,M33,S33,AA33,AI33,AR33,AZ33,BH33,BQ33,BY33,CG33,CO33)-CW33</f>
        <v>0</v>
      </c>
      <c r="DM33" s="1214" t="n">
        <f aca="false">SUM(D33,J33,P33,V33,AD33,AL33,AU33,BC33,,BN33,BV33,CD33,CL33)-CT33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</row>
    <row r="34" s="1252" customFormat="true" ht="12.75" hidden="true" customHeight="true" outlineLevel="0" collapsed="false">
      <c r="B34" s="1253" t="s">
        <v>828</v>
      </c>
      <c r="C34" s="679" t="s">
        <v>848</v>
      </c>
      <c r="D34" s="1271"/>
      <c r="E34" s="433"/>
      <c r="F34" s="1255"/>
      <c r="G34" s="433"/>
      <c r="H34" s="1256"/>
      <c r="I34" s="1257"/>
      <c r="J34" s="1271"/>
      <c r="K34" s="433"/>
      <c r="L34" s="1255"/>
      <c r="M34" s="433"/>
      <c r="N34" s="1256"/>
      <c r="O34" s="434"/>
      <c r="P34" s="1271"/>
      <c r="Q34" s="433"/>
      <c r="R34" s="1255"/>
      <c r="S34" s="433"/>
      <c r="T34" s="1256"/>
      <c r="U34" s="435"/>
      <c r="V34" s="1271"/>
      <c r="W34" s="433"/>
      <c r="X34" s="433"/>
      <c r="Y34" s="580"/>
      <c r="Z34" s="580"/>
      <c r="AA34" s="433"/>
      <c r="AB34" s="1256"/>
      <c r="AC34" s="435"/>
      <c r="AD34" s="1271"/>
      <c r="AE34" s="433"/>
      <c r="AF34" s="433"/>
      <c r="AG34" s="580"/>
      <c r="AH34" s="580"/>
      <c r="AI34" s="433"/>
      <c r="AJ34" s="1256"/>
      <c r="AK34" s="435"/>
      <c r="AL34" s="1271"/>
      <c r="AM34" s="433"/>
      <c r="AN34" s="433"/>
      <c r="AO34" s="433"/>
      <c r="AP34" s="580"/>
      <c r="AQ34" s="580"/>
      <c r="AR34" s="433"/>
      <c r="AS34" s="1256"/>
      <c r="AT34" s="436"/>
      <c r="AU34" s="1271"/>
      <c r="AV34" s="433"/>
      <c r="AW34" s="433"/>
      <c r="AX34" s="580"/>
      <c r="AY34" s="580"/>
      <c r="AZ34" s="433"/>
      <c r="BA34" s="1256"/>
      <c r="BB34" s="435"/>
      <c r="BC34" s="1271"/>
      <c r="BD34" s="433"/>
      <c r="BE34" s="433"/>
      <c r="BF34" s="580"/>
      <c r="BG34" s="580"/>
      <c r="BH34" s="433"/>
      <c r="BI34" s="1256"/>
      <c r="BJ34" s="435"/>
      <c r="BK34" s="1271"/>
      <c r="BL34" s="433"/>
      <c r="BM34" s="433"/>
      <c r="BN34" s="433"/>
      <c r="BO34" s="580"/>
      <c r="BP34" s="580"/>
      <c r="BQ34" s="433"/>
      <c r="BR34" s="1256"/>
      <c r="BS34" s="435"/>
      <c r="BT34" s="1271"/>
      <c r="BU34" s="433"/>
      <c r="BV34" s="433"/>
      <c r="BW34" s="580"/>
      <c r="BX34" s="580"/>
      <c r="BY34" s="433"/>
      <c r="BZ34" s="1256"/>
      <c r="CA34" s="435"/>
      <c r="CB34" s="1271"/>
      <c r="CC34" s="433"/>
      <c r="CD34" s="433"/>
      <c r="CE34" s="580"/>
      <c r="CF34" s="580"/>
      <c r="CG34" s="433"/>
      <c r="CH34" s="1256"/>
      <c r="CI34" s="435"/>
      <c r="CJ34" s="1271"/>
      <c r="CK34" s="433"/>
      <c r="CL34" s="433"/>
      <c r="CM34" s="580"/>
      <c r="CN34" s="580"/>
      <c r="CO34" s="433"/>
      <c r="CP34" s="1256"/>
      <c r="CQ34" s="434"/>
      <c r="CR34" s="817"/>
      <c r="CS34" s="433"/>
      <c r="CT34" s="433"/>
      <c r="CU34" s="433" t="n">
        <f aca="false">CR34-CS34</f>
        <v>0</v>
      </c>
      <c r="CV34" s="433" t="n">
        <f aca="false">CR34-CT34</f>
        <v>0</v>
      </c>
      <c r="CW34" s="433"/>
      <c r="CX34" s="433" t="str">
        <f aca="false">IFERROR(CR34/CW34-1, "-")</f>
        <v>-</v>
      </c>
      <c r="CY34" s="1258"/>
      <c r="CZ34" s="433"/>
      <c r="DA34" s="433"/>
      <c r="DB34" s="433"/>
      <c r="DC34" s="433"/>
      <c r="DD34" s="433"/>
      <c r="DE34" s="434"/>
      <c r="DF34" s="434"/>
      <c r="DG34" s="434"/>
      <c r="DH34" s="434"/>
      <c r="DI34" s="794"/>
      <c r="DJ34" s="1214" t="n">
        <f aca="false">SUM(D34,J34,P34,V34,AD34,AL34,AU34,BC34,BK34,BT34,CB34,CJ34)-CR34</f>
        <v>0</v>
      </c>
      <c r="DK34" s="1214" t="n">
        <f aca="false">SUM(E34,K34,Q34,W34,AE34,AM34,AV34,BD34,BL34,BU34,CC34,CK34)-CS34</f>
        <v>0</v>
      </c>
      <c r="DL34" s="1214" t="n">
        <f aca="false">SUM(G34,M34,S34,AA34,AI34,AR34,AZ34,BH34,BQ34,BY34,CG34,CO34)-CW34</f>
        <v>0</v>
      </c>
      <c r="DM34" s="1214" t="n">
        <f aca="false">SUM(D34,J34,P34,V34,AD34,AL34,AU34,BC34,,BN34,BV34,CD34,CL34)-CT34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</row>
    <row r="35" s="1252" customFormat="true" ht="7.5" hidden="true" customHeight="true" outlineLevel="0" collapsed="false">
      <c r="B35" s="1253"/>
      <c r="C35" s="679" t="s">
        <v>849</v>
      </c>
      <c r="D35" s="1254"/>
      <c r="E35" s="433"/>
      <c r="F35" s="1255"/>
      <c r="G35" s="433"/>
      <c r="H35" s="1256"/>
      <c r="I35" s="1257"/>
      <c r="J35" s="1254"/>
      <c r="K35" s="433"/>
      <c r="L35" s="1255"/>
      <c r="M35" s="433"/>
      <c r="N35" s="1256"/>
      <c r="O35" s="434"/>
      <c r="P35" s="1254"/>
      <c r="Q35" s="433"/>
      <c r="R35" s="1255"/>
      <c r="S35" s="433"/>
      <c r="T35" s="1256"/>
      <c r="U35" s="435"/>
      <c r="V35" s="1254"/>
      <c r="W35" s="433"/>
      <c r="X35" s="433"/>
      <c r="Y35" s="580"/>
      <c r="Z35" s="580"/>
      <c r="AA35" s="433"/>
      <c r="AB35" s="1256"/>
      <c r="AC35" s="435"/>
      <c r="AD35" s="1254"/>
      <c r="AE35" s="433"/>
      <c r="AF35" s="433"/>
      <c r="AG35" s="580"/>
      <c r="AH35" s="580"/>
      <c r="AI35" s="433"/>
      <c r="AJ35" s="1256"/>
      <c r="AK35" s="435"/>
      <c r="AL35" s="1254"/>
      <c r="AM35" s="433"/>
      <c r="AN35" s="433"/>
      <c r="AO35" s="433"/>
      <c r="AP35" s="580"/>
      <c r="AQ35" s="580"/>
      <c r="AR35" s="433"/>
      <c r="AS35" s="1256"/>
      <c r="AT35" s="436"/>
      <c r="AU35" s="1254"/>
      <c r="AV35" s="433"/>
      <c r="AW35" s="433"/>
      <c r="AX35" s="580"/>
      <c r="AY35" s="580"/>
      <c r="AZ35" s="433"/>
      <c r="BA35" s="1256"/>
      <c r="BB35" s="435"/>
      <c r="BC35" s="1254"/>
      <c r="BD35" s="433"/>
      <c r="BE35" s="433"/>
      <c r="BF35" s="580"/>
      <c r="BG35" s="580"/>
      <c r="BH35" s="433"/>
      <c r="BI35" s="1256"/>
      <c r="BJ35" s="435"/>
      <c r="BK35" s="1254"/>
      <c r="BL35" s="433"/>
      <c r="BM35" s="433"/>
      <c r="BN35" s="433"/>
      <c r="BO35" s="580"/>
      <c r="BP35" s="580"/>
      <c r="BQ35" s="433"/>
      <c r="BR35" s="1256"/>
      <c r="BS35" s="435"/>
      <c r="BT35" s="1254"/>
      <c r="BU35" s="433"/>
      <c r="BV35" s="433"/>
      <c r="BW35" s="580"/>
      <c r="BX35" s="580"/>
      <c r="BY35" s="433"/>
      <c r="BZ35" s="1256"/>
      <c r="CA35" s="435"/>
      <c r="CB35" s="1254"/>
      <c r="CC35" s="433"/>
      <c r="CD35" s="433"/>
      <c r="CE35" s="580"/>
      <c r="CF35" s="580"/>
      <c r="CG35" s="433"/>
      <c r="CH35" s="1256"/>
      <c r="CI35" s="435"/>
      <c r="CJ35" s="1254"/>
      <c r="CK35" s="433"/>
      <c r="CL35" s="433"/>
      <c r="CM35" s="580"/>
      <c r="CN35" s="580"/>
      <c r="CO35" s="433"/>
      <c r="CP35" s="1256"/>
      <c r="CQ35" s="434"/>
      <c r="CR35" s="817"/>
      <c r="CS35" s="433"/>
      <c r="CT35" s="433"/>
      <c r="CU35" s="433"/>
      <c r="CV35" s="433"/>
      <c r="CW35" s="433"/>
      <c r="CX35" s="433" t="str">
        <f aca="false">IFERROR(CR35/CW35-1, "-")</f>
        <v>-</v>
      </c>
      <c r="CY35" s="1258"/>
      <c r="CZ35" s="433"/>
      <c r="DA35" s="433"/>
      <c r="DB35" s="433"/>
      <c r="DC35" s="433"/>
      <c r="DD35" s="433"/>
      <c r="DE35" s="434"/>
      <c r="DF35" s="434"/>
      <c r="DG35" s="434"/>
      <c r="DH35" s="434"/>
      <c r="DI35" s="794"/>
      <c r="DJ35" s="1214" t="n">
        <f aca="false">SUM(D35,J35,P35,V35,AD35,AL35,AU35,BC35,BK35,BT35,CB35,CJ35)-CR35</f>
        <v>0</v>
      </c>
      <c r="DK35" s="1214" t="n">
        <f aca="false">SUM(E35,K35,Q35,W35,AE35,AM35,AV35,BD35,BL35,BU35,CC35,CK35)-CS35</f>
        <v>0</v>
      </c>
      <c r="DL35" s="1214" t="n">
        <f aca="false">SUM(G35,M35,S35,AA35,AI35,AR35,AZ35,BH35,BQ35,BY35,CG35,CO35)-CW35</f>
        <v>0</v>
      </c>
      <c r="DM35" s="1214" t="n">
        <f aca="false">SUM(D35,J35,P35,V35,AD35,AL35,AU35,BC35,,BN35,BV35,CD35,CL35)-CT35</f>
        <v>0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</row>
    <row r="36" s="793" customFormat="true" ht="12.75" hidden="true" customHeight="true" outlineLevel="0" collapsed="false">
      <c r="B36" s="1272" t="s">
        <v>560</v>
      </c>
      <c r="C36" s="679" t="s">
        <v>850</v>
      </c>
      <c r="D36" s="1273"/>
      <c r="E36" s="1273"/>
      <c r="F36" s="1274"/>
      <c r="G36" s="1273"/>
      <c r="H36" s="1275"/>
      <c r="I36" s="1264"/>
      <c r="J36" s="1273"/>
      <c r="K36" s="1273"/>
      <c r="L36" s="1274"/>
      <c r="M36" s="1273"/>
      <c r="N36" s="1275"/>
      <c r="O36" s="788"/>
      <c r="P36" s="1273"/>
      <c r="Q36" s="1273"/>
      <c r="R36" s="1274"/>
      <c r="S36" s="1273"/>
      <c r="T36" s="1275"/>
      <c r="U36" s="789"/>
      <c r="V36" s="1273"/>
      <c r="W36" s="1273"/>
      <c r="X36" s="1273"/>
      <c r="Y36" s="1276"/>
      <c r="Z36" s="1276"/>
      <c r="AA36" s="1273"/>
      <c r="AB36" s="1275"/>
      <c r="AC36" s="789"/>
      <c r="AD36" s="1273"/>
      <c r="AE36" s="1273"/>
      <c r="AF36" s="1273"/>
      <c r="AG36" s="1276"/>
      <c r="AH36" s="1276"/>
      <c r="AI36" s="1273"/>
      <c r="AJ36" s="1275"/>
      <c r="AK36" s="789"/>
      <c r="AL36" s="1273"/>
      <c r="AM36" s="1273"/>
      <c r="AN36" s="1273"/>
      <c r="AO36" s="1273"/>
      <c r="AP36" s="1276"/>
      <c r="AQ36" s="1276"/>
      <c r="AR36" s="1273"/>
      <c r="AS36" s="1275"/>
      <c r="AT36" s="1267"/>
      <c r="AU36" s="1273"/>
      <c r="AV36" s="1273"/>
      <c r="AW36" s="1273"/>
      <c r="AX36" s="1276"/>
      <c r="AY36" s="1276"/>
      <c r="AZ36" s="1273"/>
      <c r="BA36" s="1275"/>
      <c r="BB36" s="789"/>
      <c r="BC36" s="1273"/>
      <c r="BD36" s="1273"/>
      <c r="BE36" s="1273"/>
      <c r="BF36" s="1276"/>
      <c r="BG36" s="1276"/>
      <c r="BH36" s="1273"/>
      <c r="BI36" s="1275"/>
      <c r="BJ36" s="789"/>
      <c r="BK36" s="1273"/>
      <c r="BL36" s="1273"/>
      <c r="BM36" s="1273"/>
      <c r="BN36" s="1273"/>
      <c r="BO36" s="1276"/>
      <c r="BP36" s="1276"/>
      <c r="BQ36" s="1273"/>
      <c r="BR36" s="1275"/>
      <c r="BS36" s="789"/>
      <c r="BT36" s="1273"/>
      <c r="BU36" s="1273"/>
      <c r="BV36" s="1273"/>
      <c r="BW36" s="1276"/>
      <c r="BX36" s="1276"/>
      <c r="BY36" s="1273"/>
      <c r="BZ36" s="1275"/>
      <c r="CA36" s="789"/>
      <c r="CB36" s="1273"/>
      <c r="CC36" s="1273"/>
      <c r="CD36" s="1273"/>
      <c r="CE36" s="1276"/>
      <c r="CF36" s="1276"/>
      <c r="CG36" s="1273"/>
      <c r="CH36" s="1275"/>
      <c r="CI36" s="789"/>
      <c r="CJ36" s="1273"/>
      <c r="CK36" s="1273"/>
      <c r="CL36" s="1273"/>
      <c r="CM36" s="1276"/>
      <c r="CN36" s="1276"/>
      <c r="CO36" s="1273"/>
      <c r="CP36" s="1275"/>
      <c r="CQ36" s="788"/>
      <c r="CR36" s="792"/>
      <c r="CS36" s="758"/>
      <c r="CT36" s="1273"/>
      <c r="CU36" s="1273" t="n">
        <f aca="false">CR36-CS36</f>
        <v>0</v>
      </c>
      <c r="CV36" s="1273" t="n">
        <f aca="false">CR36-CT36</f>
        <v>0</v>
      </c>
      <c r="CW36" s="1273"/>
      <c r="CX36" s="1273" t="str">
        <f aca="false">IFERROR(CR36/CW36-1, "-")</f>
        <v>-</v>
      </c>
      <c r="CY36" s="1277"/>
      <c r="CZ36" s="1273"/>
      <c r="DA36" s="1273"/>
      <c r="DB36" s="1273"/>
      <c r="DC36" s="1273"/>
      <c r="DD36" s="1273"/>
      <c r="DE36" s="788" t="e">
        <f aca="false">+CZ36/DD36-1</f>
        <v>#DIV/0!</v>
      </c>
      <c r="DF36" s="788" t="e">
        <f aca="false">+DA36/DD36-1</f>
        <v>#DIV/0!</v>
      </c>
      <c r="DG36" s="788" t="e">
        <f aca="false">+DB36/DD36-1</f>
        <v>#DIV/0!</v>
      </c>
      <c r="DH36" s="788" t="e">
        <f aca="false">+DC36/DD36-1</f>
        <v>#DIV/0!</v>
      </c>
      <c r="DI36" s="1270"/>
      <c r="DJ36" s="1214" t="n">
        <f aca="false">SUM(D36,J36,P36,V36,AD36,AL36,AU36,BC36,BK36,BT36,CB36,CJ36)-CR36</f>
        <v>0</v>
      </c>
      <c r="DK36" s="1214" t="n">
        <f aca="false">SUM(E36,K36,Q36,W36,AE36,AM36,AV36,BD36,BL36,BU36,CC36,CK36)-CS36</f>
        <v>0</v>
      </c>
      <c r="DL36" s="1214" t="n">
        <f aca="false">SUM(G36,M36,S36,AA36,AI36,AR36,AZ36,BH36,BQ36,BY36,CG36,CO36)-CW36</f>
        <v>0</v>
      </c>
      <c r="DM36" s="1214" t="n">
        <f aca="false">SUM(D36,J36,P36,V36,AD36,AL36,AU36,BC36,,BN36,BV36,CD36,CL36)-CT36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s="1252" customFormat="true" ht="12.75" hidden="true" customHeight="true" outlineLevel="0" collapsed="false">
      <c r="B37" s="1253" t="s">
        <v>816</v>
      </c>
      <c r="C37" s="679" t="s">
        <v>851</v>
      </c>
      <c r="D37" s="584"/>
      <c r="E37" s="433"/>
      <c r="F37" s="1255"/>
      <c r="G37" s="433"/>
      <c r="H37" s="1256"/>
      <c r="I37" s="1257"/>
      <c r="J37" s="584"/>
      <c r="K37" s="433"/>
      <c r="L37" s="1255"/>
      <c r="M37" s="433"/>
      <c r="N37" s="1256"/>
      <c r="O37" s="434"/>
      <c r="P37" s="584"/>
      <c r="Q37" s="433"/>
      <c r="R37" s="1255"/>
      <c r="S37" s="433"/>
      <c r="T37" s="1256"/>
      <c r="U37" s="435"/>
      <c r="V37" s="584"/>
      <c r="W37" s="433"/>
      <c r="X37" s="433"/>
      <c r="Y37" s="580"/>
      <c r="Z37" s="580"/>
      <c r="AA37" s="433"/>
      <c r="AB37" s="1256"/>
      <c r="AC37" s="435"/>
      <c r="AD37" s="584"/>
      <c r="AE37" s="433"/>
      <c r="AF37" s="433"/>
      <c r="AG37" s="580"/>
      <c r="AH37" s="580"/>
      <c r="AI37" s="433"/>
      <c r="AJ37" s="1256"/>
      <c r="AK37" s="435"/>
      <c r="AL37" s="584"/>
      <c r="AM37" s="433"/>
      <c r="AN37" s="433"/>
      <c r="AO37" s="433"/>
      <c r="AP37" s="580"/>
      <c r="AQ37" s="580"/>
      <c r="AR37" s="433"/>
      <c r="AS37" s="1256"/>
      <c r="AT37" s="436"/>
      <c r="AU37" s="584"/>
      <c r="AV37" s="433"/>
      <c r="AW37" s="433"/>
      <c r="AX37" s="580"/>
      <c r="AY37" s="580"/>
      <c r="AZ37" s="433"/>
      <c r="BA37" s="1256"/>
      <c r="BB37" s="435"/>
      <c r="BC37" s="584"/>
      <c r="BD37" s="433"/>
      <c r="BE37" s="433"/>
      <c r="BF37" s="580"/>
      <c r="BG37" s="580"/>
      <c r="BH37" s="433"/>
      <c r="BI37" s="1256"/>
      <c r="BJ37" s="435"/>
      <c r="BK37" s="584"/>
      <c r="BL37" s="433"/>
      <c r="BM37" s="433"/>
      <c r="BN37" s="433"/>
      <c r="BO37" s="580"/>
      <c r="BP37" s="580"/>
      <c r="BQ37" s="433"/>
      <c r="BR37" s="1256"/>
      <c r="BS37" s="435"/>
      <c r="BT37" s="584"/>
      <c r="BU37" s="433"/>
      <c r="BV37" s="433"/>
      <c r="BW37" s="580"/>
      <c r="BX37" s="580"/>
      <c r="BY37" s="433"/>
      <c r="BZ37" s="1256"/>
      <c r="CA37" s="435"/>
      <c r="CB37" s="584"/>
      <c r="CC37" s="433"/>
      <c r="CD37" s="433"/>
      <c r="CE37" s="580"/>
      <c r="CF37" s="580"/>
      <c r="CG37" s="433"/>
      <c r="CH37" s="1256"/>
      <c r="CI37" s="435"/>
      <c r="CJ37" s="584"/>
      <c r="CK37" s="433"/>
      <c r="CL37" s="433"/>
      <c r="CM37" s="580"/>
      <c r="CN37" s="580"/>
      <c r="CO37" s="433"/>
      <c r="CP37" s="1256"/>
      <c r="CQ37" s="434"/>
      <c r="CR37" s="817"/>
      <c r="CS37" s="433"/>
      <c r="CT37" s="433"/>
      <c r="CU37" s="433" t="n">
        <f aca="false">CR37-CS37</f>
        <v>0</v>
      </c>
      <c r="CV37" s="433" t="n">
        <f aca="false">CR37-CT37</f>
        <v>0</v>
      </c>
      <c r="CW37" s="433"/>
      <c r="CX37" s="433" t="str">
        <f aca="false">IFERROR(CR37/CW37-1, "-")</f>
        <v>-</v>
      </c>
      <c r="CY37" s="1258"/>
      <c r="CZ37" s="433"/>
      <c r="DA37" s="433"/>
      <c r="DB37" s="433"/>
      <c r="DC37" s="433"/>
      <c r="DD37" s="433"/>
      <c r="DE37" s="434" t="e">
        <f aca="false">+CZ37/DD37-1</f>
        <v>#DIV/0!</v>
      </c>
      <c r="DF37" s="434" t="e">
        <f aca="false">+DA37/DD37-1</f>
        <v>#DIV/0!</v>
      </c>
      <c r="DG37" s="434" t="e">
        <f aca="false">+DB37/DD37-1</f>
        <v>#DIV/0!</v>
      </c>
      <c r="DH37" s="434" t="e">
        <f aca="false">+DC37/DD37-1</f>
        <v>#DIV/0!</v>
      </c>
      <c r="DI37" s="794"/>
      <c r="DJ37" s="1214" t="n">
        <f aca="false">SUM(D37,J37,P37,V37,AD37,AL37,AU37,BC37,BK37,BT37,CB37,CJ37)-CR37</f>
        <v>0</v>
      </c>
      <c r="DK37" s="1214" t="n">
        <f aca="false">SUM(E37,K37,Q37,W37,AE37,AM37,AV37,BD37,BL37,BU37,CC37,CK37)-CS37</f>
        <v>0</v>
      </c>
      <c r="DL37" s="1214" t="n">
        <f aca="false">SUM(G37,M37,S37,AA37,AI37,AR37,AZ37,BH37,BQ37,BY37,CG37,CO37)-CW37</f>
        <v>0</v>
      </c>
      <c r="DM37" s="1214" t="n">
        <f aca="false">SUM(D37,J37,P37,V37,AD37,AL37,AU37,BC37,,BN37,BV37,CD37,CL37)-CT37</f>
        <v>0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</row>
    <row r="38" s="1252" customFormat="true" ht="12.75" hidden="true" customHeight="true" outlineLevel="0" collapsed="false">
      <c r="B38" s="1253" t="s">
        <v>818</v>
      </c>
      <c r="C38" s="679" t="s">
        <v>852</v>
      </c>
      <c r="D38" s="584"/>
      <c r="E38" s="433"/>
      <c r="F38" s="1255"/>
      <c r="G38" s="433"/>
      <c r="H38" s="1256"/>
      <c r="I38" s="1257"/>
      <c r="J38" s="584"/>
      <c r="K38" s="433"/>
      <c r="L38" s="1255"/>
      <c r="M38" s="433"/>
      <c r="N38" s="1256"/>
      <c r="O38" s="434"/>
      <c r="P38" s="584"/>
      <c r="Q38" s="433"/>
      <c r="R38" s="1255"/>
      <c r="S38" s="433"/>
      <c r="T38" s="1256"/>
      <c r="U38" s="435"/>
      <c r="V38" s="584"/>
      <c r="W38" s="433"/>
      <c r="X38" s="433"/>
      <c r="Y38" s="580"/>
      <c r="Z38" s="580"/>
      <c r="AA38" s="433"/>
      <c r="AB38" s="1256"/>
      <c r="AC38" s="435"/>
      <c r="AD38" s="584"/>
      <c r="AE38" s="433"/>
      <c r="AF38" s="433"/>
      <c r="AG38" s="580"/>
      <c r="AH38" s="580"/>
      <c r="AI38" s="433"/>
      <c r="AJ38" s="1256"/>
      <c r="AK38" s="435"/>
      <c r="AL38" s="584"/>
      <c r="AM38" s="433"/>
      <c r="AN38" s="433"/>
      <c r="AO38" s="433"/>
      <c r="AP38" s="580"/>
      <c r="AQ38" s="580"/>
      <c r="AR38" s="433"/>
      <c r="AS38" s="1256"/>
      <c r="AT38" s="436"/>
      <c r="AU38" s="584"/>
      <c r="AV38" s="433"/>
      <c r="AW38" s="433"/>
      <c r="AX38" s="580"/>
      <c r="AY38" s="580"/>
      <c r="AZ38" s="433"/>
      <c r="BA38" s="1256"/>
      <c r="BB38" s="435"/>
      <c r="BC38" s="584"/>
      <c r="BD38" s="433"/>
      <c r="BE38" s="433"/>
      <c r="BF38" s="580"/>
      <c r="BG38" s="580"/>
      <c r="BH38" s="433"/>
      <c r="BI38" s="1256"/>
      <c r="BJ38" s="435"/>
      <c r="BK38" s="584"/>
      <c r="BL38" s="433"/>
      <c r="BM38" s="433"/>
      <c r="BN38" s="433"/>
      <c r="BO38" s="580"/>
      <c r="BP38" s="580"/>
      <c r="BQ38" s="433"/>
      <c r="BR38" s="1256"/>
      <c r="BS38" s="435"/>
      <c r="BT38" s="584"/>
      <c r="BU38" s="433"/>
      <c r="BV38" s="433"/>
      <c r="BW38" s="580"/>
      <c r="BX38" s="580"/>
      <c r="BY38" s="433"/>
      <c r="BZ38" s="1256"/>
      <c r="CA38" s="435"/>
      <c r="CB38" s="584"/>
      <c r="CC38" s="433"/>
      <c r="CD38" s="433"/>
      <c r="CE38" s="580"/>
      <c r="CF38" s="580"/>
      <c r="CG38" s="433"/>
      <c r="CH38" s="1256"/>
      <c r="CI38" s="435"/>
      <c r="CJ38" s="584"/>
      <c r="CK38" s="433"/>
      <c r="CL38" s="433"/>
      <c r="CM38" s="580"/>
      <c r="CN38" s="580"/>
      <c r="CO38" s="433"/>
      <c r="CP38" s="1256"/>
      <c r="CQ38" s="434"/>
      <c r="CR38" s="817"/>
      <c r="CS38" s="433"/>
      <c r="CT38" s="433"/>
      <c r="CU38" s="433" t="n">
        <f aca="false">CR38-CS38</f>
        <v>0</v>
      </c>
      <c r="CV38" s="433" t="n">
        <f aca="false">CR38-CT38</f>
        <v>0</v>
      </c>
      <c r="CW38" s="433"/>
      <c r="CX38" s="433" t="str">
        <f aca="false">IFERROR(CR38/CW38-1, "-")</f>
        <v>-</v>
      </c>
      <c r="CY38" s="1258"/>
      <c r="CZ38" s="433"/>
      <c r="DA38" s="433"/>
      <c r="DB38" s="433"/>
      <c r="DC38" s="433"/>
      <c r="DD38" s="433"/>
      <c r="DE38" s="434" t="e">
        <f aca="false">+CZ38/DD38-1</f>
        <v>#DIV/0!</v>
      </c>
      <c r="DF38" s="434" t="e">
        <f aca="false">+DA38/DD38-1</f>
        <v>#DIV/0!</v>
      </c>
      <c r="DG38" s="434" t="e">
        <f aca="false">+DB38/DD38-1</f>
        <v>#DIV/0!</v>
      </c>
      <c r="DH38" s="434" t="e">
        <f aca="false">+DC38/DD38-1</f>
        <v>#DIV/0!</v>
      </c>
      <c r="DI38" s="794"/>
      <c r="DJ38" s="1214" t="n">
        <f aca="false">SUM(D38,J38,P38,V38,AD38,AL38,AU38,BC38,BK38,BT38,CB38,CJ38)-CR38</f>
        <v>0</v>
      </c>
      <c r="DK38" s="1214" t="n">
        <f aca="false">SUM(E38,K38,Q38,W38,AE38,AM38,AV38,BD38,BL38,BU38,CC38,CK38)-CS38</f>
        <v>0</v>
      </c>
      <c r="DL38" s="1214" t="n">
        <f aca="false">SUM(G38,M38,S38,AA38,AI38,AR38,AZ38,BH38,BQ38,BY38,CG38,CO38)-CW38</f>
        <v>0</v>
      </c>
      <c r="DM38" s="1214" t="n">
        <f aca="false">SUM(D38,J38,P38,V38,AD38,AL38,AU38,BC38,,BN38,BV38,CD38,CL38)-CT38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</row>
    <row r="39" s="1252" customFormat="true" ht="12.75" hidden="true" customHeight="true" outlineLevel="0" collapsed="false">
      <c r="B39" s="1253" t="s">
        <v>820</v>
      </c>
      <c r="C39" s="679" t="s">
        <v>853</v>
      </c>
      <c r="D39" s="584"/>
      <c r="E39" s="433"/>
      <c r="F39" s="1255"/>
      <c r="G39" s="433"/>
      <c r="H39" s="1256"/>
      <c r="I39" s="1257"/>
      <c r="J39" s="584"/>
      <c r="K39" s="433"/>
      <c r="L39" s="1255"/>
      <c r="M39" s="433"/>
      <c r="N39" s="1256"/>
      <c r="O39" s="434"/>
      <c r="P39" s="584"/>
      <c r="Q39" s="433"/>
      <c r="R39" s="1255"/>
      <c r="S39" s="433"/>
      <c r="T39" s="1256"/>
      <c r="U39" s="435"/>
      <c r="V39" s="584"/>
      <c r="W39" s="433"/>
      <c r="X39" s="433"/>
      <c r="Y39" s="580"/>
      <c r="Z39" s="580"/>
      <c r="AA39" s="433"/>
      <c r="AB39" s="1256"/>
      <c r="AC39" s="435"/>
      <c r="AD39" s="584"/>
      <c r="AE39" s="433"/>
      <c r="AF39" s="433"/>
      <c r="AG39" s="580"/>
      <c r="AH39" s="580"/>
      <c r="AI39" s="433"/>
      <c r="AJ39" s="1256"/>
      <c r="AK39" s="435"/>
      <c r="AL39" s="584"/>
      <c r="AM39" s="433"/>
      <c r="AN39" s="433"/>
      <c r="AO39" s="433"/>
      <c r="AP39" s="580"/>
      <c r="AQ39" s="580"/>
      <c r="AR39" s="433"/>
      <c r="AS39" s="1256"/>
      <c r="AT39" s="436"/>
      <c r="AU39" s="584"/>
      <c r="AV39" s="433"/>
      <c r="AW39" s="433"/>
      <c r="AX39" s="580"/>
      <c r="AY39" s="580"/>
      <c r="AZ39" s="433"/>
      <c r="BA39" s="1256"/>
      <c r="BB39" s="435"/>
      <c r="BC39" s="584"/>
      <c r="BD39" s="433"/>
      <c r="BE39" s="433"/>
      <c r="BF39" s="580"/>
      <c r="BG39" s="580"/>
      <c r="BH39" s="433"/>
      <c r="BI39" s="1256"/>
      <c r="BJ39" s="435"/>
      <c r="BK39" s="584"/>
      <c r="BL39" s="433"/>
      <c r="BM39" s="433"/>
      <c r="BN39" s="433"/>
      <c r="BO39" s="580"/>
      <c r="BP39" s="580"/>
      <c r="BQ39" s="433"/>
      <c r="BR39" s="1256"/>
      <c r="BS39" s="435"/>
      <c r="BT39" s="584"/>
      <c r="BU39" s="433"/>
      <c r="BV39" s="433"/>
      <c r="BW39" s="580"/>
      <c r="BX39" s="580"/>
      <c r="BY39" s="433"/>
      <c r="BZ39" s="1256"/>
      <c r="CA39" s="435"/>
      <c r="CB39" s="584"/>
      <c r="CC39" s="433"/>
      <c r="CD39" s="433"/>
      <c r="CE39" s="580"/>
      <c r="CF39" s="580"/>
      <c r="CG39" s="433"/>
      <c r="CH39" s="1256"/>
      <c r="CI39" s="435"/>
      <c r="CJ39" s="584"/>
      <c r="CK39" s="433"/>
      <c r="CL39" s="433"/>
      <c r="CM39" s="580"/>
      <c r="CN39" s="580"/>
      <c r="CO39" s="433"/>
      <c r="CP39" s="1256"/>
      <c r="CQ39" s="434"/>
      <c r="CR39" s="817"/>
      <c r="CS39" s="433"/>
      <c r="CT39" s="433"/>
      <c r="CU39" s="433" t="n">
        <f aca="false">CR39-CS39</f>
        <v>0</v>
      </c>
      <c r="CV39" s="433" t="n">
        <f aca="false">CR39-CT39</f>
        <v>0</v>
      </c>
      <c r="CW39" s="433"/>
      <c r="CX39" s="433" t="str">
        <f aca="false">IFERROR(CR39/CW39-1, "-")</f>
        <v>-</v>
      </c>
      <c r="CY39" s="1258"/>
      <c r="CZ39" s="433"/>
      <c r="DA39" s="433"/>
      <c r="DB39" s="433"/>
      <c r="DC39" s="433"/>
      <c r="DD39" s="433"/>
      <c r="DE39" s="434" t="e">
        <f aca="false">+CZ39/DD39-1</f>
        <v>#DIV/0!</v>
      </c>
      <c r="DF39" s="434" t="e">
        <f aca="false">+DA39/DD39-1</f>
        <v>#DIV/0!</v>
      </c>
      <c r="DG39" s="434" t="e">
        <f aca="false">+DB39/DD39-1</f>
        <v>#DIV/0!</v>
      </c>
      <c r="DH39" s="434" t="e">
        <f aca="false">+DC39/DD39-1</f>
        <v>#DIV/0!</v>
      </c>
      <c r="DI39" s="794"/>
      <c r="DJ39" s="1214" t="n">
        <f aca="false">SUM(D39,J39,P39,V39,AD39,AL39,AU39,BC39,BK39,BT39,CB39,CJ39)-CR39</f>
        <v>0</v>
      </c>
      <c r="DK39" s="1214" t="n">
        <f aca="false">SUM(E39,K39,Q39,W39,AE39,AM39,AV39,BD39,BL39,BU39,CC39,CK39)-CS39</f>
        <v>0</v>
      </c>
      <c r="DL39" s="1214" t="n">
        <f aca="false">SUM(G39,M39,S39,AA39,AI39,AR39,AZ39,BH39,BQ39,BY39,CG39,CO39)-CW39</f>
        <v>0</v>
      </c>
      <c r="DM39" s="1214" t="n">
        <f aca="false">SUM(D39,J39,P39,V39,AD39,AL39,AU39,BC39,,BN39,BV39,CD39,CL39)-CT39</f>
        <v>0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</row>
    <row r="40" s="1252" customFormat="true" ht="12.75" hidden="true" customHeight="true" outlineLevel="0" collapsed="false">
      <c r="B40" s="1253" t="s">
        <v>822</v>
      </c>
      <c r="C40" s="679" t="s">
        <v>854</v>
      </c>
      <c r="D40" s="584"/>
      <c r="E40" s="433"/>
      <c r="F40" s="1255"/>
      <c r="G40" s="433"/>
      <c r="H40" s="1256"/>
      <c r="I40" s="1257"/>
      <c r="J40" s="584"/>
      <c r="K40" s="433"/>
      <c r="L40" s="1255"/>
      <c r="M40" s="433"/>
      <c r="N40" s="1256"/>
      <c r="O40" s="434"/>
      <c r="P40" s="584"/>
      <c r="Q40" s="433"/>
      <c r="R40" s="1255"/>
      <c r="S40" s="433"/>
      <c r="T40" s="1256"/>
      <c r="U40" s="435"/>
      <c r="V40" s="584"/>
      <c r="W40" s="433"/>
      <c r="X40" s="433"/>
      <c r="Y40" s="580"/>
      <c r="Z40" s="580"/>
      <c r="AA40" s="433"/>
      <c r="AB40" s="1256"/>
      <c r="AC40" s="435"/>
      <c r="AD40" s="584"/>
      <c r="AE40" s="433"/>
      <c r="AF40" s="433"/>
      <c r="AG40" s="580"/>
      <c r="AH40" s="580"/>
      <c r="AI40" s="433"/>
      <c r="AJ40" s="1256"/>
      <c r="AK40" s="435"/>
      <c r="AL40" s="584"/>
      <c r="AM40" s="433"/>
      <c r="AN40" s="433"/>
      <c r="AO40" s="433"/>
      <c r="AP40" s="580"/>
      <c r="AQ40" s="580"/>
      <c r="AR40" s="433"/>
      <c r="AS40" s="1256"/>
      <c r="AT40" s="436"/>
      <c r="AU40" s="584"/>
      <c r="AV40" s="433"/>
      <c r="AW40" s="433"/>
      <c r="AX40" s="580"/>
      <c r="AY40" s="580"/>
      <c r="AZ40" s="433"/>
      <c r="BA40" s="1256"/>
      <c r="BB40" s="435"/>
      <c r="BC40" s="584"/>
      <c r="BD40" s="433"/>
      <c r="BE40" s="433"/>
      <c r="BF40" s="580"/>
      <c r="BG40" s="580"/>
      <c r="BH40" s="433"/>
      <c r="BI40" s="1256"/>
      <c r="BJ40" s="435"/>
      <c r="BK40" s="584"/>
      <c r="BL40" s="433"/>
      <c r="BM40" s="433"/>
      <c r="BN40" s="433"/>
      <c r="BO40" s="580"/>
      <c r="BP40" s="580"/>
      <c r="BQ40" s="433"/>
      <c r="BR40" s="1256"/>
      <c r="BS40" s="435"/>
      <c r="BT40" s="584"/>
      <c r="BU40" s="433"/>
      <c r="BV40" s="433"/>
      <c r="BW40" s="580"/>
      <c r="BX40" s="580"/>
      <c r="BY40" s="433"/>
      <c r="BZ40" s="1256"/>
      <c r="CA40" s="435"/>
      <c r="CB40" s="584"/>
      <c r="CC40" s="433"/>
      <c r="CD40" s="433"/>
      <c r="CE40" s="580"/>
      <c r="CF40" s="580"/>
      <c r="CG40" s="433"/>
      <c r="CH40" s="1256"/>
      <c r="CI40" s="435"/>
      <c r="CJ40" s="584"/>
      <c r="CK40" s="433"/>
      <c r="CL40" s="433"/>
      <c r="CM40" s="580"/>
      <c r="CN40" s="580"/>
      <c r="CO40" s="433"/>
      <c r="CP40" s="1256"/>
      <c r="CQ40" s="434"/>
      <c r="CR40" s="817"/>
      <c r="CS40" s="433"/>
      <c r="CT40" s="433"/>
      <c r="CU40" s="433" t="n">
        <f aca="false">CR40-CS40</f>
        <v>0</v>
      </c>
      <c r="CV40" s="433" t="n">
        <f aca="false">CR40-CT40</f>
        <v>0</v>
      </c>
      <c r="CW40" s="433"/>
      <c r="CX40" s="433" t="str">
        <f aca="false">IFERROR(CR40/CW40-1, "-")</f>
        <v>-</v>
      </c>
      <c r="CY40" s="1258"/>
      <c r="CZ40" s="433"/>
      <c r="DA40" s="433"/>
      <c r="DB40" s="433"/>
      <c r="DC40" s="433"/>
      <c r="DD40" s="433"/>
      <c r="DE40" s="434" t="e">
        <f aca="false">+CZ40/DD40-1</f>
        <v>#DIV/0!</v>
      </c>
      <c r="DF40" s="434" t="e">
        <f aca="false">+DA40/DD40-1</f>
        <v>#DIV/0!</v>
      </c>
      <c r="DG40" s="434" t="e">
        <f aca="false">+DB40/DD40-1</f>
        <v>#DIV/0!</v>
      </c>
      <c r="DH40" s="434" t="e">
        <f aca="false">+DC40/DD40-1</f>
        <v>#DIV/0!</v>
      </c>
      <c r="DI40" s="794"/>
      <c r="DJ40" s="1214" t="n">
        <f aca="false">SUM(D40,J40,P40,V40,AD40,AL40,AU40,BC40,BK40,BT40,CB40,CJ40)-CR40</f>
        <v>0</v>
      </c>
      <c r="DK40" s="1214" t="n">
        <f aca="false">SUM(E40,K40,Q40,W40,AE40,AM40,AV40,BD40,BL40,BU40,CC40,CK40)-CS40</f>
        <v>0</v>
      </c>
      <c r="DL40" s="1214" t="n">
        <f aca="false">SUM(G40,M40,S40,AA40,AI40,AR40,AZ40,BH40,BQ40,BY40,CG40,CO40)-CW40</f>
        <v>0</v>
      </c>
      <c r="DM40" s="1214" t="n">
        <f aca="false">SUM(D40,J40,P40,V40,AD40,AL40,AU40,BC40,,BN40,BV40,CD40,CL40)-CT40</f>
        <v>0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s="1252" customFormat="true" ht="12.75" hidden="true" customHeight="true" outlineLevel="0" collapsed="false">
      <c r="B41" s="1253" t="s">
        <v>824</v>
      </c>
      <c r="C41" s="679" t="s">
        <v>855</v>
      </c>
      <c r="D41" s="584"/>
      <c r="E41" s="433"/>
      <c r="F41" s="1255"/>
      <c r="G41" s="433"/>
      <c r="H41" s="1256"/>
      <c r="I41" s="1257"/>
      <c r="J41" s="584"/>
      <c r="K41" s="433"/>
      <c r="L41" s="1255"/>
      <c r="M41" s="433"/>
      <c r="N41" s="1256"/>
      <c r="O41" s="434"/>
      <c r="P41" s="584"/>
      <c r="Q41" s="433"/>
      <c r="R41" s="1255"/>
      <c r="S41" s="433"/>
      <c r="T41" s="1256"/>
      <c r="U41" s="435"/>
      <c r="V41" s="584"/>
      <c r="W41" s="433"/>
      <c r="X41" s="433"/>
      <c r="Y41" s="580"/>
      <c r="Z41" s="580"/>
      <c r="AA41" s="433"/>
      <c r="AB41" s="1256"/>
      <c r="AC41" s="435"/>
      <c r="AD41" s="584"/>
      <c r="AE41" s="433"/>
      <c r="AF41" s="433"/>
      <c r="AG41" s="580"/>
      <c r="AH41" s="580"/>
      <c r="AI41" s="433"/>
      <c r="AJ41" s="1256"/>
      <c r="AK41" s="435"/>
      <c r="AL41" s="584"/>
      <c r="AM41" s="433"/>
      <c r="AN41" s="433"/>
      <c r="AO41" s="433"/>
      <c r="AP41" s="580"/>
      <c r="AQ41" s="580"/>
      <c r="AR41" s="433"/>
      <c r="AS41" s="1256"/>
      <c r="AT41" s="436"/>
      <c r="AU41" s="584"/>
      <c r="AV41" s="433"/>
      <c r="AW41" s="433"/>
      <c r="AX41" s="580"/>
      <c r="AY41" s="580"/>
      <c r="AZ41" s="433"/>
      <c r="BA41" s="1256"/>
      <c r="BB41" s="435"/>
      <c r="BC41" s="584"/>
      <c r="BD41" s="433"/>
      <c r="BE41" s="433"/>
      <c r="BF41" s="580"/>
      <c r="BG41" s="580"/>
      <c r="BH41" s="433"/>
      <c r="BI41" s="1256"/>
      <c r="BJ41" s="435"/>
      <c r="BK41" s="584"/>
      <c r="BL41" s="433"/>
      <c r="BM41" s="433"/>
      <c r="BN41" s="433"/>
      <c r="BO41" s="580"/>
      <c r="BP41" s="580"/>
      <c r="BQ41" s="433"/>
      <c r="BR41" s="1256"/>
      <c r="BS41" s="435"/>
      <c r="BT41" s="584"/>
      <c r="BU41" s="433"/>
      <c r="BV41" s="433"/>
      <c r="BW41" s="580"/>
      <c r="BX41" s="580"/>
      <c r="BY41" s="433"/>
      <c r="BZ41" s="1256"/>
      <c r="CA41" s="435"/>
      <c r="CB41" s="584"/>
      <c r="CC41" s="433"/>
      <c r="CD41" s="433"/>
      <c r="CE41" s="580"/>
      <c r="CF41" s="580"/>
      <c r="CG41" s="433"/>
      <c r="CH41" s="1256"/>
      <c r="CI41" s="435"/>
      <c r="CJ41" s="584"/>
      <c r="CK41" s="433"/>
      <c r="CL41" s="433"/>
      <c r="CM41" s="580"/>
      <c r="CN41" s="580"/>
      <c r="CO41" s="433"/>
      <c r="CP41" s="1256"/>
      <c r="CQ41" s="434"/>
      <c r="CR41" s="817"/>
      <c r="CS41" s="433"/>
      <c r="CT41" s="433"/>
      <c r="CU41" s="433" t="n">
        <f aca="false">CR41-CS41</f>
        <v>0</v>
      </c>
      <c r="CV41" s="433" t="n">
        <f aca="false">CR41-CT41</f>
        <v>0</v>
      </c>
      <c r="CW41" s="433"/>
      <c r="CX41" s="433" t="str">
        <f aca="false">IFERROR(CR41/CW41-1, "-")</f>
        <v>-</v>
      </c>
      <c r="CY41" s="1258"/>
      <c r="CZ41" s="433"/>
      <c r="DA41" s="433"/>
      <c r="DB41" s="433"/>
      <c r="DC41" s="433"/>
      <c r="DD41" s="433"/>
      <c r="DE41" s="434"/>
      <c r="DF41" s="434"/>
      <c r="DG41" s="434"/>
      <c r="DH41" s="434"/>
      <c r="DI41" s="794"/>
      <c r="DJ41" s="1214" t="n">
        <f aca="false">SUM(D41,J41,P41,V41,AD41,AL41,AU41,BC41,BK41,BT41,CB41,CJ41)-CR41</f>
        <v>0</v>
      </c>
      <c r="DK41" s="1214" t="n">
        <f aca="false">SUM(E41,K41,Q41,W41,AE41,AM41,AV41,BD41,BL41,BU41,CC41,CK41)-CS41</f>
        <v>0</v>
      </c>
      <c r="DL41" s="1214" t="n">
        <f aca="false">SUM(G41,M41,S41,AA41,AI41,AR41,AZ41,BH41,BQ41,BY41,CG41,CO41)-CW41</f>
        <v>0</v>
      </c>
      <c r="DM41" s="1214" t="n">
        <f aca="false">SUM(D41,J41,P41,V41,AD41,AL41,AU41,BC41,,BN41,BV41,CD41,CL41)-CT41</f>
        <v>0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</row>
    <row r="42" s="1252" customFormat="true" ht="12.75" hidden="true" customHeight="true" outlineLevel="0" collapsed="false">
      <c r="B42" s="1253" t="s">
        <v>826</v>
      </c>
      <c r="C42" s="679" t="s">
        <v>856</v>
      </c>
      <c r="D42" s="1271"/>
      <c r="E42" s="433"/>
      <c r="F42" s="1255"/>
      <c r="G42" s="433"/>
      <c r="H42" s="1256"/>
      <c r="I42" s="1257"/>
      <c r="J42" s="1271"/>
      <c r="K42" s="433"/>
      <c r="L42" s="1255"/>
      <c r="M42" s="433"/>
      <c r="N42" s="1256"/>
      <c r="O42" s="434"/>
      <c r="P42" s="1271"/>
      <c r="Q42" s="433"/>
      <c r="R42" s="1255"/>
      <c r="S42" s="433"/>
      <c r="T42" s="1256"/>
      <c r="U42" s="435"/>
      <c r="V42" s="1271"/>
      <c r="W42" s="433"/>
      <c r="X42" s="433"/>
      <c r="Y42" s="580"/>
      <c r="Z42" s="580"/>
      <c r="AA42" s="433"/>
      <c r="AB42" s="1256"/>
      <c r="AC42" s="435"/>
      <c r="AD42" s="1271"/>
      <c r="AE42" s="433"/>
      <c r="AF42" s="433"/>
      <c r="AG42" s="580"/>
      <c r="AH42" s="580"/>
      <c r="AI42" s="433"/>
      <c r="AJ42" s="1256"/>
      <c r="AK42" s="435"/>
      <c r="AL42" s="1271"/>
      <c r="AM42" s="433"/>
      <c r="AN42" s="433"/>
      <c r="AO42" s="433"/>
      <c r="AP42" s="580"/>
      <c r="AQ42" s="580"/>
      <c r="AR42" s="433"/>
      <c r="AS42" s="1256"/>
      <c r="AT42" s="436"/>
      <c r="AU42" s="1271"/>
      <c r="AV42" s="433"/>
      <c r="AW42" s="433"/>
      <c r="AX42" s="580"/>
      <c r="AY42" s="580"/>
      <c r="AZ42" s="433"/>
      <c r="BA42" s="1256"/>
      <c r="BB42" s="435"/>
      <c r="BC42" s="1271"/>
      <c r="BD42" s="433"/>
      <c r="BE42" s="433"/>
      <c r="BF42" s="580"/>
      <c r="BG42" s="580"/>
      <c r="BH42" s="433"/>
      <c r="BI42" s="1256"/>
      <c r="BJ42" s="435"/>
      <c r="BK42" s="1271"/>
      <c r="BL42" s="433"/>
      <c r="BM42" s="433"/>
      <c r="BN42" s="433"/>
      <c r="BO42" s="580"/>
      <c r="BP42" s="580"/>
      <c r="BQ42" s="433"/>
      <c r="BR42" s="1256"/>
      <c r="BS42" s="435"/>
      <c r="BT42" s="1271"/>
      <c r="BU42" s="433"/>
      <c r="BV42" s="433"/>
      <c r="BW42" s="580"/>
      <c r="BX42" s="580"/>
      <c r="BY42" s="433"/>
      <c r="BZ42" s="1256"/>
      <c r="CA42" s="435"/>
      <c r="CB42" s="1271"/>
      <c r="CC42" s="433"/>
      <c r="CD42" s="433"/>
      <c r="CE42" s="580"/>
      <c r="CF42" s="580"/>
      <c r="CG42" s="433"/>
      <c r="CH42" s="1256"/>
      <c r="CI42" s="435"/>
      <c r="CJ42" s="1271"/>
      <c r="CK42" s="433"/>
      <c r="CL42" s="433"/>
      <c r="CM42" s="580"/>
      <c r="CN42" s="580"/>
      <c r="CO42" s="433"/>
      <c r="CP42" s="1256"/>
      <c r="CQ42" s="434"/>
      <c r="CR42" s="817"/>
      <c r="CS42" s="433"/>
      <c r="CT42" s="433"/>
      <c r="CU42" s="433" t="n">
        <f aca="false">CR42-CS42</f>
        <v>0</v>
      </c>
      <c r="CV42" s="433" t="n">
        <f aca="false">CR42-CT42</f>
        <v>0</v>
      </c>
      <c r="CW42" s="433"/>
      <c r="CX42" s="433" t="str">
        <f aca="false">IFERROR(CR42/CW42-1, "-")</f>
        <v>-</v>
      </c>
      <c r="CY42" s="1258"/>
      <c r="CZ42" s="433"/>
      <c r="DA42" s="433"/>
      <c r="DB42" s="433"/>
      <c r="DC42" s="433"/>
      <c r="DD42" s="433"/>
      <c r="DE42" s="434"/>
      <c r="DF42" s="434"/>
      <c r="DG42" s="434"/>
      <c r="DH42" s="434"/>
      <c r="DI42" s="794"/>
      <c r="DJ42" s="1214" t="n">
        <f aca="false">SUM(D42,J42,P42,V42,AD42,AL42,AU42,BC42,BK42,BT42,CB42,CJ42)-CR42</f>
        <v>0</v>
      </c>
      <c r="DK42" s="1214" t="n">
        <f aca="false">SUM(E42,K42,Q42,W42,AE42,AM42,AV42,BD42,BL42,BU42,CC42,CK42)-CS42</f>
        <v>0</v>
      </c>
      <c r="DL42" s="1214" t="n">
        <f aca="false">SUM(G42,M42,S42,AA42,AI42,AR42,AZ42,BH42,BQ42,BY42,CG42,CO42)-CW42</f>
        <v>0</v>
      </c>
      <c r="DM42" s="1214" t="n">
        <f aca="false">SUM(D42,J42,P42,V42,AD42,AL42,AU42,BC42,,BN42,BV42,CD42,CL42)-CT42</f>
        <v>0</v>
      </c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</row>
    <row r="43" s="1252" customFormat="true" ht="12.75" hidden="true" customHeight="true" outlineLevel="0" collapsed="false">
      <c r="B43" s="1253" t="s">
        <v>828</v>
      </c>
      <c r="C43" s="679" t="s">
        <v>857</v>
      </c>
      <c r="D43" s="1271"/>
      <c r="E43" s="433"/>
      <c r="F43" s="1255"/>
      <c r="G43" s="433"/>
      <c r="H43" s="1256"/>
      <c r="I43" s="1257"/>
      <c r="J43" s="1271"/>
      <c r="K43" s="433"/>
      <c r="L43" s="1255"/>
      <c r="M43" s="433"/>
      <c r="N43" s="1256"/>
      <c r="O43" s="434"/>
      <c r="P43" s="1271"/>
      <c r="Q43" s="433"/>
      <c r="R43" s="1255"/>
      <c r="S43" s="433"/>
      <c r="T43" s="1256"/>
      <c r="U43" s="435"/>
      <c r="V43" s="1271"/>
      <c r="W43" s="433"/>
      <c r="X43" s="433"/>
      <c r="Y43" s="580"/>
      <c r="Z43" s="580"/>
      <c r="AA43" s="433"/>
      <c r="AB43" s="1256"/>
      <c r="AC43" s="435"/>
      <c r="AD43" s="1271"/>
      <c r="AE43" s="433"/>
      <c r="AF43" s="433"/>
      <c r="AG43" s="580"/>
      <c r="AH43" s="580"/>
      <c r="AI43" s="433"/>
      <c r="AJ43" s="1256"/>
      <c r="AK43" s="435"/>
      <c r="AL43" s="1271"/>
      <c r="AM43" s="433"/>
      <c r="AN43" s="433"/>
      <c r="AO43" s="433"/>
      <c r="AP43" s="580"/>
      <c r="AQ43" s="580"/>
      <c r="AR43" s="433"/>
      <c r="AS43" s="1256"/>
      <c r="AT43" s="436"/>
      <c r="AU43" s="1271"/>
      <c r="AV43" s="433"/>
      <c r="AW43" s="433"/>
      <c r="AX43" s="580"/>
      <c r="AY43" s="580"/>
      <c r="AZ43" s="433"/>
      <c r="BA43" s="1256"/>
      <c r="BB43" s="435"/>
      <c r="BC43" s="1271"/>
      <c r="BD43" s="433"/>
      <c r="BE43" s="433"/>
      <c r="BF43" s="580"/>
      <c r="BG43" s="580"/>
      <c r="BH43" s="433"/>
      <c r="BI43" s="1256"/>
      <c r="BJ43" s="435"/>
      <c r="BK43" s="1271"/>
      <c r="BL43" s="433"/>
      <c r="BM43" s="433"/>
      <c r="BN43" s="433"/>
      <c r="BO43" s="580"/>
      <c r="BP43" s="580"/>
      <c r="BQ43" s="433"/>
      <c r="BR43" s="1256"/>
      <c r="BS43" s="435"/>
      <c r="BT43" s="1271"/>
      <c r="BU43" s="433"/>
      <c r="BV43" s="433"/>
      <c r="BW43" s="580"/>
      <c r="BX43" s="580"/>
      <c r="BY43" s="433"/>
      <c r="BZ43" s="1256"/>
      <c r="CA43" s="435"/>
      <c r="CB43" s="1271"/>
      <c r="CC43" s="433"/>
      <c r="CD43" s="433"/>
      <c r="CE43" s="580"/>
      <c r="CF43" s="580"/>
      <c r="CG43" s="433"/>
      <c r="CH43" s="1256"/>
      <c r="CI43" s="435"/>
      <c r="CJ43" s="1271"/>
      <c r="CK43" s="433"/>
      <c r="CL43" s="433"/>
      <c r="CM43" s="580"/>
      <c r="CN43" s="580"/>
      <c r="CO43" s="433"/>
      <c r="CP43" s="1256"/>
      <c r="CQ43" s="434"/>
      <c r="CR43" s="817"/>
      <c r="CS43" s="433"/>
      <c r="CT43" s="433"/>
      <c r="CU43" s="433" t="n">
        <f aca="false">CR43-CS43</f>
        <v>0</v>
      </c>
      <c r="CV43" s="433" t="n">
        <f aca="false">CR43-CT43</f>
        <v>0</v>
      </c>
      <c r="CW43" s="433"/>
      <c r="CX43" s="433" t="str">
        <f aca="false">IFERROR(CR43/CW43-1, "-")</f>
        <v>-</v>
      </c>
      <c r="CY43" s="1258"/>
      <c r="CZ43" s="433"/>
      <c r="DA43" s="433"/>
      <c r="DB43" s="433"/>
      <c r="DC43" s="433"/>
      <c r="DD43" s="433"/>
      <c r="DE43" s="434"/>
      <c r="DF43" s="434"/>
      <c r="DG43" s="434"/>
      <c r="DH43" s="434"/>
      <c r="DI43" s="794"/>
      <c r="DJ43" s="1214" t="n">
        <f aca="false">SUM(D43,J43,P43,V43,AD43,AL43,AU43,BC43,BK43,BT43,CB43,CJ43)-CR43</f>
        <v>0</v>
      </c>
      <c r="DK43" s="1214" t="n">
        <f aca="false">SUM(E43,K43,Q43,W43,AE43,AM43,AV43,BD43,BL43,BU43,CC43,CK43)-CS43</f>
        <v>0</v>
      </c>
      <c r="DL43" s="1214" t="n">
        <f aca="false">SUM(G43,M43,S43,AA43,AI43,AR43,AZ43,BH43,BQ43,BY43,CG43,CO43)-CW43</f>
        <v>0</v>
      </c>
      <c r="DM43" s="1214" t="n">
        <f aca="false">SUM(D43,J43,P43,V43,AD43,AL43,AU43,BC43,,BN43,BV43,CD43,CL43)-CT43</f>
        <v>0</v>
      </c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</row>
    <row r="44" s="1252" customFormat="true" ht="7.5" hidden="true" customHeight="true" outlineLevel="0" collapsed="false">
      <c r="B44" s="1253"/>
      <c r="C44" s="679" t="s">
        <v>858</v>
      </c>
      <c r="D44" s="433"/>
      <c r="E44" s="433"/>
      <c r="F44" s="1255"/>
      <c r="G44" s="433"/>
      <c r="H44" s="1256"/>
      <c r="I44" s="1257"/>
      <c r="J44" s="433"/>
      <c r="K44" s="433"/>
      <c r="L44" s="1255"/>
      <c r="M44" s="433"/>
      <c r="N44" s="1256"/>
      <c r="O44" s="434"/>
      <c r="P44" s="433"/>
      <c r="Q44" s="433"/>
      <c r="R44" s="1255"/>
      <c r="S44" s="433"/>
      <c r="T44" s="1256"/>
      <c r="U44" s="435"/>
      <c r="V44" s="433"/>
      <c r="W44" s="433"/>
      <c r="X44" s="433"/>
      <c r="Y44" s="580"/>
      <c r="Z44" s="580"/>
      <c r="AA44" s="433"/>
      <c r="AB44" s="1256"/>
      <c r="AC44" s="435"/>
      <c r="AD44" s="433"/>
      <c r="AE44" s="433"/>
      <c r="AF44" s="433"/>
      <c r="AG44" s="580"/>
      <c r="AH44" s="580"/>
      <c r="AI44" s="433"/>
      <c r="AJ44" s="1256"/>
      <c r="AK44" s="435"/>
      <c r="AL44" s="433"/>
      <c r="AM44" s="433"/>
      <c r="AN44" s="433"/>
      <c r="AO44" s="433"/>
      <c r="AP44" s="580"/>
      <c r="AQ44" s="580"/>
      <c r="AR44" s="433"/>
      <c r="AS44" s="1256"/>
      <c r="AT44" s="436"/>
      <c r="AU44" s="433"/>
      <c r="AV44" s="433"/>
      <c r="AW44" s="433"/>
      <c r="AX44" s="580"/>
      <c r="AY44" s="580"/>
      <c r="AZ44" s="433"/>
      <c r="BA44" s="1256"/>
      <c r="BB44" s="435"/>
      <c r="BC44" s="433"/>
      <c r="BD44" s="433"/>
      <c r="BE44" s="433"/>
      <c r="BF44" s="580"/>
      <c r="BG44" s="580"/>
      <c r="BH44" s="433"/>
      <c r="BI44" s="1256"/>
      <c r="BJ44" s="435"/>
      <c r="BK44" s="433"/>
      <c r="BL44" s="433"/>
      <c r="BM44" s="433"/>
      <c r="BN44" s="433"/>
      <c r="BO44" s="580"/>
      <c r="BP44" s="580"/>
      <c r="BQ44" s="433"/>
      <c r="BR44" s="1256"/>
      <c r="BS44" s="435"/>
      <c r="BT44" s="433"/>
      <c r="BU44" s="433"/>
      <c r="BV44" s="433"/>
      <c r="BW44" s="580"/>
      <c r="BX44" s="580"/>
      <c r="BY44" s="433"/>
      <c r="BZ44" s="1256"/>
      <c r="CA44" s="435"/>
      <c r="CB44" s="433"/>
      <c r="CC44" s="433"/>
      <c r="CD44" s="433"/>
      <c r="CE44" s="580"/>
      <c r="CF44" s="580"/>
      <c r="CG44" s="433"/>
      <c r="CH44" s="1256"/>
      <c r="CI44" s="435"/>
      <c r="CJ44" s="433"/>
      <c r="CK44" s="433"/>
      <c r="CL44" s="433"/>
      <c r="CM44" s="580"/>
      <c r="CN44" s="580"/>
      <c r="CO44" s="433"/>
      <c r="CP44" s="1256"/>
      <c r="CQ44" s="434"/>
      <c r="CR44" s="817"/>
      <c r="CS44" s="433"/>
      <c r="CT44" s="433"/>
      <c r="CU44" s="433"/>
      <c r="CV44" s="433"/>
      <c r="CW44" s="433"/>
      <c r="CX44" s="433" t="str">
        <f aca="false">IFERROR(CR44/CW44-1, "-")</f>
        <v>-</v>
      </c>
      <c r="CY44" s="1258"/>
      <c r="CZ44" s="433"/>
      <c r="DA44" s="433"/>
      <c r="DB44" s="433"/>
      <c r="DC44" s="433"/>
      <c r="DD44" s="433"/>
      <c r="DE44" s="434"/>
      <c r="DF44" s="434"/>
      <c r="DG44" s="434"/>
      <c r="DH44" s="434"/>
      <c r="DI44" s="794"/>
      <c r="DJ44" s="1214" t="n">
        <f aca="false">SUM(D44,J44,P44,V44,AD44,AL44,AU44,BC44,BK44,BT44,CB44,CJ44)-CR44</f>
        <v>0</v>
      </c>
      <c r="DK44" s="1214" t="n">
        <f aca="false">SUM(E44,K44,Q44,W44,AE44,AM44,AV44,BD44,BL44,BU44,CC44,CK44)-CS44</f>
        <v>0</v>
      </c>
      <c r="DL44" s="1214" t="n">
        <f aca="false">SUM(G44,M44,S44,AA44,AI44,AR44,AZ44,BH44,BQ44,BY44,CG44,CO44)-CW44</f>
        <v>0</v>
      </c>
      <c r="DM44" s="1214" t="n">
        <f aca="false">SUM(D44,J44,P44,V44,AD44,AL44,AU44,BC44,,BN44,BV44,CD44,CL44)-CT44</f>
        <v>0</v>
      </c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</row>
    <row r="45" s="793" customFormat="true" ht="12.75" hidden="true" customHeight="true" outlineLevel="0" collapsed="false">
      <c r="B45" s="1272" t="s">
        <v>562</v>
      </c>
      <c r="C45" s="679" t="s">
        <v>859</v>
      </c>
      <c r="D45" s="1273"/>
      <c r="E45" s="1273"/>
      <c r="F45" s="1274"/>
      <c r="G45" s="1273"/>
      <c r="H45" s="1275"/>
      <c r="I45" s="1264"/>
      <c r="J45" s="1273"/>
      <c r="K45" s="1273"/>
      <c r="L45" s="1274"/>
      <c r="M45" s="1273"/>
      <c r="N45" s="1275"/>
      <c r="O45" s="788"/>
      <c r="P45" s="1273"/>
      <c r="Q45" s="1273"/>
      <c r="R45" s="1274"/>
      <c r="S45" s="1273"/>
      <c r="T45" s="1275"/>
      <c r="U45" s="789"/>
      <c r="V45" s="1273"/>
      <c r="W45" s="1273"/>
      <c r="X45" s="1273"/>
      <c r="Y45" s="1276"/>
      <c r="Z45" s="1276"/>
      <c r="AA45" s="1273"/>
      <c r="AB45" s="1275"/>
      <c r="AC45" s="789"/>
      <c r="AD45" s="1273"/>
      <c r="AE45" s="1273"/>
      <c r="AF45" s="1273"/>
      <c r="AG45" s="1276"/>
      <c r="AH45" s="1276"/>
      <c r="AI45" s="1273"/>
      <c r="AJ45" s="1275"/>
      <c r="AK45" s="789"/>
      <c r="AL45" s="1273"/>
      <c r="AM45" s="1273"/>
      <c r="AN45" s="1273"/>
      <c r="AO45" s="1273"/>
      <c r="AP45" s="1276"/>
      <c r="AQ45" s="1276"/>
      <c r="AR45" s="1273"/>
      <c r="AS45" s="1275"/>
      <c r="AT45" s="1267"/>
      <c r="AU45" s="1273"/>
      <c r="AV45" s="1273"/>
      <c r="AW45" s="1273"/>
      <c r="AX45" s="1276"/>
      <c r="AY45" s="1276"/>
      <c r="AZ45" s="1273"/>
      <c r="BA45" s="1275"/>
      <c r="BB45" s="789"/>
      <c r="BC45" s="1273"/>
      <c r="BD45" s="1273"/>
      <c r="BE45" s="1273"/>
      <c r="BF45" s="1276"/>
      <c r="BG45" s="1276"/>
      <c r="BH45" s="1273"/>
      <c r="BI45" s="1275"/>
      <c r="BJ45" s="789"/>
      <c r="BK45" s="1273"/>
      <c r="BL45" s="1273"/>
      <c r="BM45" s="1273"/>
      <c r="BN45" s="1273"/>
      <c r="BO45" s="1276"/>
      <c r="BP45" s="1276"/>
      <c r="BQ45" s="1273"/>
      <c r="BR45" s="1275"/>
      <c r="BS45" s="789"/>
      <c r="BT45" s="1273"/>
      <c r="BU45" s="1273"/>
      <c r="BV45" s="1273"/>
      <c r="BW45" s="1276"/>
      <c r="BX45" s="1276"/>
      <c r="BY45" s="1273"/>
      <c r="BZ45" s="1275"/>
      <c r="CA45" s="789"/>
      <c r="CB45" s="1273"/>
      <c r="CC45" s="1273"/>
      <c r="CD45" s="1273"/>
      <c r="CE45" s="1276"/>
      <c r="CF45" s="1276"/>
      <c r="CG45" s="1273"/>
      <c r="CH45" s="1275"/>
      <c r="CI45" s="789"/>
      <c r="CJ45" s="1273"/>
      <c r="CK45" s="1273"/>
      <c r="CL45" s="1273"/>
      <c r="CM45" s="1276"/>
      <c r="CN45" s="1276"/>
      <c r="CO45" s="1273"/>
      <c r="CP45" s="1275"/>
      <c r="CQ45" s="788"/>
      <c r="CR45" s="792"/>
      <c r="CS45" s="758"/>
      <c r="CT45" s="1273"/>
      <c r="CU45" s="1273" t="n">
        <f aca="false">CR45-CS45</f>
        <v>0</v>
      </c>
      <c r="CV45" s="1273" t="n">
        <f aca="false">CR45-CT45</f>
        <v>0</v>
      </c>
      <c r="CW45" s="1273"/>
      <c r="CX45" s="1273" t="str">
        <f aca="false">IFERROR(CR45/CW45-1, "-")</f>
        <v>-</v>
      </c>
      <c r="CY45" s="1277"/>
      <c r="CZ45" s="1273"/>
      <c r="DA45" s="1273"/>
      <c r="DB45" s="1273"/>
      <c r="DC45" s="1273"/>
      <c r="DD45" s="1273"/>
      <c r="DE45" s="788" t="e">
        <f aca="false">+CZ45/DD45-1</f>
        <v>#DIV/0!</v>
      </c>
      <c r="DF45" s="788" t="e">
        <f aca="false">+DA45/DD45-1</f>
        <v>#DIV/0!</v>
      </c>
      <c r="DG45" s="788" t="e">
        <f aca="false">+DB45/DD45-1</f>
        <v>#DIV/0!</v>
      </c>
      <c r="DH45" s="788" t="e">
        <f aca="false">+DC45/DD45-1</f>
        <v>#DIV/0!</v>
      </c>
      <c r="DI45" s="1270"/>
      <c r="DJ45" s="1214" t="n">
        <f aca="false">SUM(D45,J45,P45,V45,AD45,AL45,AU45,BC45,BK45,BT45,CB45,CJ45)-CR45</f>
        <v>0</v>
      </c>
      <c r="DK45" s="1214" t="n">
        <f aca="false">SUM(E45,K45,Q45,W45,AE45,AM45,AV45,BD45,BL45,BU45,CC45,CK45)-CS45</f>
        <v>0</v>
      </c>
      <c r="DL45" s="1214" t="n">
        <f aca="false">SUM(G45,M45,S45,AA45,AI45,AR45,AZ45,BH45,BQ45,BY45,CG45,CO45)-CW45</f>
        <v>0</v>
      </c>
      <c r="DM45" s="1214" t="n">
        <f aca="false">SUM(D45,J45,P45,V45,AD45,AL45,AU45,BC45,,BN45,BV45,CD45,CL45)-CT45</f>
        <v>0</v>
      </c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</row>
    <row r="46" s="1252" customFormat="true" ht="12.75" hidden="true" customHeight="true" outlineLevel="0" collapsed="false">
      <c r="B46" s="1253" t="s">
        <v>816</v>
      </c>
      <c r="C46" s="679" t="s">
        <v>860</v>
      </c>
      <c r="D46" s="580"/>
      <c r="E46" s="433"/>
      <c r="F46" s="1255"/>
      <c r="G46" s="433"/>
      <c r="H46" s="1256"/>
      <c r="I46" s="1257"/>
      <c r="J46" s="580"/>
      <c r="K46" s="433"/>
      <c r="L46" s="1255"/>
      <c r="M46" s="433"/>
      <c r="N46" s="1256"/>
      <c r="O46" s="434"/>
      <c r="P46" s="580"/>
      <c r="Q46" s="433"/>
      <c r="R46" s="1255"/>
      <c r="S46" s="433"/>
      <c r="T46" s="1256"/>
      <c r="U46" s="435"/>
      <c r="V46" s="580"/>
      <c r="W46" s="433"/>
      <c r="X46" s="433"/>
      <c r="Y46" s="580"/>
      <c r="Z46" s="580"/>
      <c r="AA46" s="433"/>
      <c r="AB46" s="1256"/>
      <c r="AC46" s="435"/>
      <c r="AD46" s="580"/>
      <c r="AE46" s="433"/>
      <c r="AF46" s="433"/>
      <c r="AG46" s="580"/>
      <c r="AH46" s="580"/>
      <c r="AI46" s="433"/>
      <c r="AJ46" s="1256"/>
      <c r="AK46" s="435"/>
      <c r="AL46" s="580"/>
      <c r="AM46" s="433"/>
      <c r="AN46" s="433"/>
      <c r="AO46" s="433"/>
      <c r="AP46" s="580"/>
      <c r="AQ46" s="580"/>
      <c r="AR46" s="433"/>
      <c r="AS46" s="1256"/>
      <c r="AT46" s="436"/>
      <c r="AU46" s="580"/>
      <c r="AV46" s="433"/>
      <c r="AW46" s="433"/>
      <c r="AX46" s="580"/>
      <c r="AY46" s="580"/>
      <c r="AZ46" s="433"/>
      <c r="BA46" s="1256"/>
      <c r="BB46" s="435"/>
      <c r="BC46" s="580"/>
      <c r="BD46" s="433"/>
      <c r="BE46" s="433"/>
      <c r="BF46" s="580"/>
      <c r="BG46" s="580"/>
      <c r="BH46" s="433"/>
      <c r="BI46" s="1256"/>
      <c r="BJ46" s="435"/>
      <c r="BK46" s="580"/>
      <c r="BL46" s="433"/>
      <c r="BM46" s="433"/>
      <c r="BN46" s="433"/>
      <c r="BO46" s="580"/>
      <c r="BP46" s="580"/>
      <c r="BQ46" s="433"/>
      <c r="BR46" s="1256"/>
      <c r="BS46" s="435"/>
      <c r="BT46" s="580"/>
      <c r="BU46" s="433"/>
      <c r="BV46" s="433"/>
      <c r="BW46" s="580"/>
      <c r="BX46" s="580"/>
      <c r="BY46" s="433"/>
      <c r="BZ46" s="1256"/>
      <c r="CA46" s="435"/>
      <c r="CB46" s="580"/>
      <c r="CC46" s="433"/>
      <c r="CD46" s="433"/>
      <c r="CE46" s="580"/>
      <c r="CF46" s="580"/>
      <c r="CG46" s="433"/>
      <c r="CH46" s="1256"/>
      <c r="CI46" s="435"/>
      <c r="CJ46" s="580"/>
      <c r="CK46" s="433"/>
      <c r="CL46" s="433"/>
      <c r="CM46" s="580"/>
      <c r="CN46" s="580"/>
      <c r="CO46" s="433"/>
      <c r="CP46" s="1256"/>
      <c r="CQ46" s="434"/>
      <c r="CR46" s="817"/>
      <c r="CS46" s="433"/>
      <c r="CT46" s="433"/>
      <c r="CU46" s="433" t="n">
        <f aca="false">CR46-CS46</f>
        <v>0</v>
      </c>
      <c r="CV46" s="433" t="n">
        <f aca="false">CR46-CT46</f>
        <v>0</v>
      </c>
      <c r="CW46" s="433"/>
      <c r="CX46" s="433" t="str">
        <f aca="false">IFERROR(CR46/CW46-1, "-")</f>
        <v>-</v>
      </c>
      <c r="CY46" s="1258"/>
      <c r="CZ46" s="433"/>
      <c r="DA46" s="433"/>
      <c r="DB46" s="433"/>
      <c r="DC46" s="433"/>
      <c r="DD46" s="433"/>
      <c r="DE46" s="434" t="e">
        <f aca="false">+CZ46/DD46-1</f>
        <v>#DIV/0!</v>
      </c>
      <c r="DF46" s="434" t="e">
        <f aca="false">+DA46/DD46-1</f>
        <v>#DIV/0!</v>
      </c>
      <c r="DG46" s="434" t="e">
        <f aca="false">+DB46/DD46-1</f>
        <v>#DIV/0!</v>
      </c>
      <c r="DH46" s="434" t="e">
        <f aca="false">+DC46/DD46-1</f>
        <v>#DIV/0!</v>
      </c>
      <c r="DI46" s="794"/>
      <c r="DJ46" s="1214" t="n">
        <f aca="false">SUM(D46,J46,P46,V46,AD46,AL46,AU46,BC46,BK46,BT46,CB46,CJ46)-CR46</f>
        <v>0</v>
      </c>
      <c r="DK46" s="1214" t="n">
        <f aca="false">SUM(E46,K46,Q46,W46,AE46,AM46,AV46,BD46,BL46,BU46,CC46,CK46)-CS46</f>
        <v>0</v>
      </c>
      <c r="DL46" s="1214" t="n">
        <f aca="false">SUM(G46,M46,S46,AA46,AI46,AR46,AZ46,BH46,BQ46,BY46,CG46,CO46)-CW46</f>
        <v>0</v>
      </c>
      <c r="DM46" s="1214" t="n">
        <f aca="false">SUM(D46,J46,P46,V46,AD46,AL46,AU46,BC46,,BN46,BV46,CD46,CL46)-CT46</f>
        <v>0</v>
      </c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s="1252" customFormat="true" ht="12.75" hidden="true" customHeight="true" outlineLevel="0" collapsed="false">
      <c r="B47" s="1253" t="s">
        <v>818</v>
      </c>
      <c r="C47" s="679" t="s">
        <v>861</v>
      </c>
      <c r="D47" s="580"/>
      <c r="E47" s="433"/>
      <c r="F47" s="1255"/>
      <c r="G47" s="433"/>
      <c r="H47" s="1256"/>
      <c r="I47" s="1257"/>
      <c r="J47" s="580"/>
      <c r="K47" s="433"/>
      <c r="L47" s="1255"/>
      <c r="M47" s="433"/>
      <c r="N47" s="1256"/>
      <c r="O47" s="434"/>
      <c r="P47" s="580"/>
      <c r="Q47" s="433"/>
      <c r="R47" s="1255"/>
      <c r="S47" s="433"/>
      <c r="T47" s="1256"/>
      <c r="U47" s="435"/>
      <c r="V47" s="580"/>
      <c r="W47" s="433"/>
      <c r="X47" s="433"/>
      <c r="Y47" s="580"/>
      <c r="Z47" s="580"/>
      <c r="AA47" s="433"/>
      <c r="AB47" s="1256"/>
      <c r="AC47" s="435"/>
      <c r="AD47" s="580"/>
      <c r="AE47" s="433"/>
      <c r="AF47" s="433"/>
      <c r="AG47" s="580"/>
      <c r="AH47" s="580"/>
      <c r="AI47" s="433"/>
      <c r="AJ47" s="1256"/>
      <c r="AK47" s="435"/>
      <c r="AL47" s="580"/>
      <c r="AM47" s="433"/>
      <c r="AN47" s="433"/>
      <c r="AO47" s="433"/>
      <c r="AP47" s="580"/>
      <c r="AQ47" s="580"/>
      <c r="AR47" s="433"/>
      <c r="AS47" s="1256"/>
      <c r="AT47" s="436"/>
      <c r="AU47" s="580"/>
      <c r="AV47" s="433"/>
      <c r="AW47" s="433"/>
      <c r="AX47" s="580"/>
      <c r="AY47" s="580"/>
      <c r="AZ47" s="433"/>
      <c r="BA47" s="1256"/>
      <c r="BB47" s="435"/>
      <c r="BC47" s="580"/>
      <c r="BD47" s="433"/>
      <c r="BE47" s="433"/>
      <c r="BF47" s="580"/>
      <c r="BG47" s="580"/>
      <c r="BH47" s="433"/>
      <c r="BI47" s="1256"/>
      <c r="BJ47" s="435"/>
      <c r="BK47" s="580"/>
      <c r="BL47" s="433"/>
      <c r="BM47" s="433"/>
      <c r="BN47" s="433"/>
      <c r="BO47" s="580"/>
      <c r="BP47" s="580"/>
      <c r="BQ47" s="433"/>
      <c r="BR47" s="1256"/>
      <c r="BS47" s="435"/>
      <c r="BT47" s="580"/>
      <c r="BU47" s="433"/>
      <c r="BV47" s="433"/>
      <c r="BW47" s="580"/>
      <c r="BX47" s="580"/>
      <c r="BY47" s="433"/>
      <c r="BZ47" s="1256"/>
      <c r="CA47" s="435"/>
      <c r="CB47" s="580"/>
      <c r="CC47" s="433"/>
      <c r="CD47" s="433"/>
      <c r="CE47" s="580"/>
      <c r="CF47" s="580"/>
      <c r="CG47" s="433"/>
      <c r="CH47" s="1256"/>
      <c r="CI47" s="435"/>
      <c r="CJ47" s="580"/>
      <c r="CK47" s="433"/>
      <c r="CL47" s="433"/>
      <c r="CM47" s="580"/>
      <c r="CN47" s="580"/>
      <c r="CO47" s="433"/>
      <c r="CP47" s="1256"/>
      <c r="CQ47" s="434"/>
      <c r="CR47" s="817"/>
      <c r="CS47" s="433"/>
      <c r="CT47" s="433"/>
      <c r="CU47" s="433" t="n">
        <f aca="false">CR47-CS47</f>
        <v>0</v>
      </c>
      <c r="CV47" s="433" t="n">
        <f aca="false">CR47-CT47</f>
        <v>0</v>
      </c>
      <c r="CW47" s="433"/>
      <c r="CX47" s="433" t="str">
        <f aca="false">IFERROR(CR47/CW47-1, "-")</f>
        <v>-</v>
      </c>
      <c r="CY47" s="1258"/>
      <c r="CZ47" s="433"/>
      <c r="DA47" s="433"/>
      <c r="DB47" s="433"/>
      <c r="DC47" s="433"/>
      <c r="DD47" s="433"/>
      <c r="DE47" s="434" t="e">
        <f aca="false">+CZ47/DD47-1</f>
        <v>#DIV/0!</v>
      </c>
      <c r="DF47" s="434" t="e">
        <f aca="false">+DA47/DD47-1</f>
        <v>#DIV/0!</v>
      </c>
      <c r="DG47" s="434" t="e">
        <f aca="false">+DB47/DD47-1</f>
        <v>#DIV/0!</v>
      </c>
      <c r="DH47" s="434" t="e">
        <f aca="false">+DC47/DD47-1</f>
        <v>#DIV/0!</v>
      </c>
      <c r="DI47" s="794"/>
      <c r="DJ47" s="1214" t="n">
        <f aca="false">SUM(D47,J47,P47,V47,AD47,AL47,AU47,BC47,BK47,BT47,CB47,CJ47)-CR47</f>
        <v>0</v>
      </c>
      <c r="DK47" s="1214" t="n">
        <f aca="false">SUM(E47,K47,Q47,W47,AE47,AM47,AV47,BD47,BL47,BU47,CC47,CK47)-CS47</f>
        <v>0</v>
      </c>
      <c r="DL47" s="1214" t="n">
        <f aca="false">SUM(G47,M47,S47,AA47,AI47,AR47,AZ47,BH47,BQ47,BY47,CG47,CO47)-CW47</f>
        <v>0</v>
      </c>
      <c r="DM47" s="1214" t="n">
        <f aca="false">SUM(D47,J47,P47,V47,AD47,AL47,AU47,BC47,,BN47,BV47,CD47,CL47)-CT47</f>
        <v>0</v>
      </c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</row>
    <row r="48" s="1252" customFormat="true" ht="12.75" hidden="true" customHeight="true" outlineLevel="0" collapsed="false">
      <c r="B48" s="1253" t="s">
        <v>820</v>
      </c>
      <c r="C48" s="679" t="s">
        <v>862</v>
      </c>
      <c r="D48" s="580"/>
      <c r="E48" s="433"/>
      <c r="F48" s="1255"/>
      <c r="G48" s="433"/>
      <c r="H48" s="1256"/>
      <c r="I48" s="1257"/>
      <c r="J48" s="580"/>
      <c r="K48" s="433"/>
      <c r="L48" s="1255"/>
      <c r="M48" s="433"/>
      <c r="N48" s="1256"/>
      <c r="O48" s="434"/>
      <c r="P48" s="580"/>
      <c r="Q48" s="433"/>
      <c r="R48" s="1255"/>
      <c r="S48" s="433"/>
      <c r="T48" s="1256"/>
      <c r="U48" s="435"/>
      <c r="V48" s="580"/>
      <c r="W48" s="433"/>
      <c r="X48" s="433"/>
      <c r="Y48" s="580"/>
      <c r="Z48" s="580"/>
      <c r="AA48" s="433"/>
      <c r="AB48" s="1256"/>
      <c r="AC48" s="435"/>
      <c r="AD48" s="580"/>
      <c r="AE48" s="433"/>
      <c r="AF48" s="433"/>
      <c r="AG48" s="580"/>
      <c r="AH48" s="580"/>
      <c r="AI48" s="433"/>
      <c r="AJ48" s="1256"/>
      <c r="AK48" s="435"/>
      <c r="AL48" s="580"/>
      <c r="AM48" s="433"/>
      <c r="AN48" s="433"/>
      <c r="AO48" s="433"/>
      <c r="AP48" s="580"/>
      <c r="AQ48" s="580"/>
      <c r="AR48" s="433"/>
      <c r="AS48" s="1256"/>
      <c r="AT48" s="436"/>
      <c r="AU48" s="580"/>
      <c r="AV48" s="433"/>
      <c r="AW48" s="433"/>
      <c r="AX48" s="580"/>
      <c r="AY48" s="580"/>
      <c r="AZ48" s="433"/>
      <c r="BA48" s="1256"/>
      <c r="BB48" s="435"/>
      <c r="BC48" s="580"/>
      <c r="BD48" s="433"/>
      <c r="BE48" s="433"/>
      <c r="BF48" s="580"/>
      <c r="BG48" s="580"/>
      <c r="BH48" s="433"/>
      <c r="BI48" s="1256"/>
      <c r="BJ48" s="435"/>
      <c r="BK48" s="580"/>
      <c r="BL48" s="433"/>
      <c r="BM48" s="433"/>
      <c r="BN48" s="433"/>
      <c r="BO48" s="580"/>
      <c r="BP48" s="580"/>
      <c r="BQ48" s="433"/>
      <c r="BR48" s="1256"/>
      <c r="BS48" s="435"/>
      <c r="BT48" s="580"/>
      <c r="BU48" s="433"/>
      <c r="BV48" s="433"/>
      <c r="BW48" s="580"/>
      <c r="BX48" s="580"/>
      <c r="BY48" s="433"/>
      <c r="BZ48" s="1256"/>
      <c r="CA48" s="435"/>
      <c r="CB48" s="580"/>
      <c r="CC48" s="433"/>
      <c r="CD48" s="433"/>
      <c r="CE48" s="580"/>
      <c r="CF48" s="580"/>
      <c r="CG48" s="433"/>
      <c r="CH48" s="1256"/>
      <c r="CI48" s="435"/>
      <c r="CJ48" s="580"/>
      <c r="CK48" s="433"/>
      <c r="CL48" s="433"/>
      <c r="CM48" s="580"/>
      <c r="CN48" s="580"/>
      <c r="CO48" s="433"/>
      <c r="CP48" s="1256"/>
      <c r="CQ48" s="434"/>
      <c r="CR48" s="817"/>
      <c r="CS48" s="433"/>
      <c r="CT48" s="433"/>
      <c r="CU48" s="433" t="n">
        <f aca="false">CR48-CS48</f>
        <v>0</v>
      </c>
      <c r="CV48" s="433" t="n">
        <f aca="false">CR48-CT48</f>
        <v>0</v>
      </c>
      <c r="CW48" s="433"/>
      <c r="CX48" s="433" t="str">
        <f aca="false">IFERROR(CR48/CW48-1, "-")</f>
        <v>-</v>
      </c>
      <c r="CY48" s="1258"/>
      <c r="CZ48" s="433"/>
      <c r="DA48" s="433"/>
      <c r="DB48" s="433"/>
      <c r="DC48" s="433"/>
      <c r="DD48" s="433"/>
      <c r="DE48" s="434" t="e">
        <f aca="false">+CZ48/DD48-1</f>
        <v>#DIV/0!</v>
      </c>
      <c r="DF48" s="434" t="e">
        <f aca="false">+DA48/DD48-1</f>
        <v>#DIV/0!</v>
      </c>
      <c r="DG48" s="434" t="e">
        <f aca="false">+DB48/DD48-1</f>
        <v>#DIV/0!</v>
      </c>
      <c r="DH48" s="434" t="e">
        <f aca="false">+DC48/DD48-1</f>
        <v>#DIV/0!</v>
      </c>
      <c r="DI48" s="794"/>
      <c r="DJ48" s="1214" t="n">
        <f aca="false">SUM(D48,J48,P48,V48,AD48,AL48,AU48,BC48,BK48,BT48,CB48,CJ48)-CR48</f>
        <v>0</v>
      </c>
      <c r="DK48" s="1214" t="n">
        <f aca="false">SUM(E48,K48,Q48,W48,AE48,AM48,AV48,BD48,BL48,BU48,CC48,CK48)-CS48</f>
        <v>0</v>
      </c>
      <c r="DL48" s="1214" t="n">
        <f aca="false">SUM(G48,M48,S48,AA48,AI48,AR48,AZ48,BH48,BQ48,BY48,CG48,CO48)-CW48</f>
        <v>0</v>
      </c>
      <c r="DM48" s="1214" t="n">
        <f aca="false">SUM(D48,J48,P48,V48,AD48,AL48,AU48,BC48,,BN48,BV48,CD48,CL48)-CT48</f>
        <v>0</v>
      </c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s="1252" customFormat="true" ht="12.75" hidden="true" customHeight="true" outlineLevel="0" collapsed="false">
      <c r="B49" s="1253" t="s">
        <v>822</v>
      </c>
      <c r="C49" s="679" t="s">
        <v>863</v>
      </c>
      <c r="D49" s="580"/>
      <c r="E49" s="433"/>
      <c r="F49" s="1255"/>
      <c r="G49" s="433"/>
      <c r="H49" s="1256"/>
      <c r="I49" s="1257"/>
      <c r="J49" s="580"/>
      <c r="K49" s="433"/>
      <c r="L49" s="1255"/>
      <c r="M49" s="433"/>
      <c r="N49" s="1256"/>
      <c r="O49" s="434"/>
      <c r="P49" s="580"/>
      <c r="Q49" s="433"/>
      <c r="R49" s="1255"/>
      <c r="S49" s="433"/>
      <c r="T49" s="1256"/>
      <c r="U49" s="435"/>
      <c r="V49" s="580"/>
      <c r="W49" s="433"/>
      <c r="X49" s="433"/>
      <c r="Y49" s="580"/>
      <c r="Z49" s="580"/>
      <c r="AA49" s="433"/>
      <c r="AB49" s="1256"/>
      <c r="AC49" s="435"/>
      <c r="AD49" s="580"/>
      <c r="AE49" s="433"/>
      <c r="AF49" s="433"/>
      <c r="AG49" s="580"/>
      <c r="AH49" s="580"/>
      <c r="AI49" s="433"/>
      <c r="AJ49" s="1256"/>
      <c r="AK49" s="435"/>
      <c r="AL49" s="580"/>
      <c r="AM49" s="433"/>
      <c r="AN49" s="433"/>
      <c r="AO49" s="433"/>
      <c r="AP49" s="580"/>
      <c r="AQ49" s="580"/>
      <c r="AR49" s="433"/>
      <c r="AS49" s="1256"/>
      <c r="AT49" s="436"/>
      <c r="AU49" s="580"/>
      <c r="AV49" s="433"/>
      <c r="AW49" s="433"/>
      <c r="AX49" s="580"/>
      <c r="AY49" s="580"/>
      <c r="AZ49" s="433"/>
      <c r="BA49" s="1256"/>
      <c r="BB49" s="435"/>
      <c r="BC49" s="580"/>
      <c r="BD49" s="433"/>
      <c r="BE49" s="433"/>
      <c r="BF49" s="580"/>
      <c r="BG49" s="580"/>
      <c r="BH49" s="433"/>
      <c r="BI49" s="1256"/>
      <c r="BJ49" s="435"/>
      <c r="BK49" s="580"/>
      <c r="BL49" s="433"/>
      <c r="BM49" s="433"/>
      <c r="BN49" s="433"/>
      <c r="BO49" s="580"/>
      <c r="BP49" s="580"/>
      <c r="BQ49" s="433"/>
      <c r="BR49" s="1256"/>
      <c r="BS49" s="435"/>
      <c r="BT49" s="580"/>
      <c r="BU49" s="433"/>
      <c r="BV49" s="433"/>
      <c r="BW49" s="580"/>
      <c r="BX49" s="580"/>
      <c r="BY49" s="433"/>
      <c r="BZ49" s="1256"/>
      <c r="CA49" s="435"/>
      <c r="CB49" s="580"/>
      <c r="CC49" s="433"/>
      <c r="CD49" s="433"/>
      <c r="CE49" s="580"/>
      <c r="CF49" s="580"/>
      <c r="CG49" s="433"/>
      <c r="CH49" s="1256"/>
      <c r="CI49" s="435"/>
      <c r="CJ49" s="580"/>
      <c r="CK49" s="433"/>
      <c r="CL49" s="433"/>
      <c r="CM49" s="580"/>
      <c r="CN49" s="580"/>
      <c r="CO49" s="433"/>
      <c r="CP49" s="1256"/>
      <c r="CQ49" s="434"/>
      <c r="CR49" s="817"/>
      <c r="CS49" s="433"/>
      <c r="CT49" s="433"/>
      <c r="CU49" s="433" t="n">
        <f aca="false">CR49-CS49</f>
        <v>0</v>
      </c>
      <c r="CV49" s="433" t="n">
        <f aca="false">CR49-CT49</f>
        <v>0</v>
      </c>
      <c r="CW49" s="433"/>
      <c r="CX49" s="433" t="str">
        <f aca="false">IFERROR(CR49/CW49-1, "-")</f>
        <v>-</v>
      </c>
      <c r="CY49" s="1258"/>
      <c r="CZ49" s="433"/>
      <c r="DA49" s="433"/>
      <c r="DB49" s="433"/>
      <c r="DC49" s="433"/>
      <c r="DD49" s="433"/>
      <c r="DE49" s="434" t="e">
        <f aca="false">+CZ49/DD49-1</f>
        <v>#DIV/0!</v>
      </c>
      <c r="DF49" s="434" t="e">
        <f aca="false">+DA49/DD49-1</f>
        <v>#DIV/0!</v>
      </c>
      <c r="DG49" s="434" t="e">
        <f aca="false">+DB49/DD49-1</f>
        <v>#DIV/0!</v>
      </c>
      <c r="DH49" s="434" t="e">
        <f aca="false">+DC49/DD49-1</f>
        <v>#DIV/0!</v>
      </c>
      <c r="DI49" s="794"/>
      <c r="DJ49" s="1214" t="n">
        <f aca="false">SUM(D49,J49,P49,V49,AD49,AL49,AU49,BC49,BK49,BT49,CB49,CJ49)-CR49</f>
        <v>0</v>
      </c>
      <c r="DK49" s="1214" t="n">
        <f aca="false">SUM(E49,K49,Q49,W49,AE49,AM49,AV49,BD49,BL49,BU49,CC49,CK49)-CS49</f>
        <v>0</v>
      </c>
      <c r="DL49" s="1214" t="n">
        <f aca="false">SUM(G49,M49,S49,AA49,AI49,AR49,AZ49,BH49,BQ49,BY49,CG49,CO49)-CW49</f>
        <v>0</v>
      </c>
      <c r="DM49" s="1214" t="n">
        <f aca="false">SUM(D49,J49,P49,V49,AD49,AL49,AU49,BC49,,BN49,BV49,CD49,CL49)-CT49</f>
        <v>0</v>
      </c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s="1252" customFormat="true" ht="12.75" hidden="true" customHeight="true" outlineLevel="0" collapsed="false">
      <c r="B50" s="1253" t="s">
        <v>824</v>
      </c>
      <c r="C50" s="679" t="s">
        <v>864</v>
      </c>
      <c r="D50" s="456"/>
      <c r="E50" s="433"/>
      <c r="F50" s="1255"/>
      <c r="G50" s="433"/>
      <c r="H50" s="1256"/>
      <c r="I50" s="1257"/>
      <c r="J50" s="456"/>
      <c r="K50" s="433"/>
      <c r="L50" s="1255"/>
      <c r="M50" s="433"/>
      <c r="N50" s="1256"/>
      <c r="O50" s="434"/>
      <c r="P50" s="456"/>
      <c r="Q50" s="433"/>
      <c r="R50" s="1255"/>
      <c r="S50" s="433"/>
      <c r="T50" s="1256"/>
      <c r="U50" s="435"/>
      <c r="V50" s="456"/>
      <c r="W50" s="433"/>
      <c r="X50" s="433"/>
      <c r="Y50" s="580"/>
      <c r="Z50" s="580"/>
      <c r="AA50" s="433"/>
      <c r="AB50" s="1256"/>
      <c r="AC50" s="435"/>
      <c r="AD50" s="456"/>
      <c r="AE50" s="433"/>
      <c r="AF50" s="433"/>
      <c r="AG50" s="580"/>
      <c r="AH50" s="580"/>
      <c r="AI50" s="433"/>
      <c r="AJ50" s="1256"/>
      <c r="AK50" s="435"/>
      <c r="AL50" s="456"/>
      <c r="AM50" s="433"/>
      <c r="AN50" s="433"/>
      <c r="AO50" s="433"/>
      <c r="AP50" s="580"/>
      <c r="AQ50" s="580"/>
      <c r="AR50" s="433"/>
      <c r="AS50" s="1256"/>
      <c r="AT50" s="436"/>
      <c r="AU50" s="456"/>
      <c r="AV50" s="433"/>
      <c r="AW50" s="433"/>
      <c r="AX50" s="580"/>
      <c r="AY50" s="580"/>
      <c r="AZ50" s="433"/>
      <c r="BA50" s="1256"/>
      <c r="BB50" s="435"/>
      <c r="BC50" s="456"/>
      <c r="BD50" s="433"/>
      <c r="BE50" s="433"/>
      <c r="BF50" s="580"/>
      <c r="BG50" s="580"/>
      <c r="BH50" s="433"/>
      <c r="BI50" s="1256"/>
      <c r="BJ50" s="435"/>
      <c r="BK50" s="456"/>
      <c r="BL50" s="433"/>
      <c r="BM50" s="433"/>
      <c r="BN50" s="433"/>
      <c r="BO50" s="580"/>
      <c r="BP50" s="580"/>
      <c r="BQ50" s="433"/>
      <c r="BR50" s="1256"/>
      <c r="BS50" s="435"/>
      <c r="BT50" s="456"/>
      <c r="BU50" s="433"/>
      <c r="BV50" s="433"/>
      <c r="BW50" s="580"/>
      <c r="BX50" s="580"/>
      <c r="BY50" s="433"/>
      <c r="BZ50" s="1256"/>
      <c r="CA50" s="435"/>
      <c r="CB50" s="456"/>
      <c r="CC50" s="433"/>
      <c r="CD50" s="433"/>
      <c r="CE50" s="580"/>
      <c r="CF50" s="580"/>
      <c r="CG50" s="433"/>
      <c r="CH50" s="1256"/>
      <c r="CI50" s="435"/>
      <c r="CJ50" s="456"/>
      <c r="CK50" s="433"/>
      <c r="CL50" s="433"/>
      <c r="CM50" s="580"/>
      <c r="CN50" s="580"/>
      <c r="CO50" s="433"/>
      <c r="CP50" s="1256"/>
      <c r="CQ50" s="434"/>
      <c r="CR50" s="817"/>
      <c r="CS50" s="433"/>
      <c r="CT50" s="433"/>
      <c r="CU50" s="433" t="n">
        <f aca="false">CR50-CS50</f>
        <v>0</v>
      </c>
      <c r="CV50" s="433" t="n">
        <f aca="false">CR50-CT50</f>
        <v>0</v>
      </c>
      <c r="CW50" s="433"/>
      <c r="CX50" s="433" t="str">
        <f aca="false">IFERROR(CR50/CW50-1, "-")</f>
        <v>-</v>
      </c>
      <c r="CY50" s="1258"/>
      <c r="CZ50" s="433"/>
      <c r="DA50" s="433"/>
      <c r="DB50" s="433"/>
      <c r="DC50" s="433"/>
      <c r="DD50" s="433"/>
      <c r="DE50" s="434"/>
      <c r="DF50" s="434"/>
      <c r="DG50" s="434"/>
      <c r="DH50" s="434"/>
      <c r="DI50" s="794"/>
      <c r="DJ50" s="1214" t="n">
        <f aca="false">SUM(D50,J50,P50,V50,AD50,AL50,AU50,BC50,BK50,BT50,CB50,CJ50)-CR50</f>
        <v>0</v>
      </c>
      <c r="DK50" s="1214" t="n">
        <f aca="false">SUM(E50,K50,Q50,W50,AE50,AM50,AV50,BD50,BL50,BU50,CC50,CK50)-CS50</f>
        <v>0</v>
      </c>
      <c r="DL50" s="1214" t="n">
        <f aca="false">SUM(G50,M50,S50,AA50,AI50,AR50,AZ50,BH50,BQ50,BY50,CG50,CO50)-CW50</f>
        <v>0</v>
      </c>
      <c r="DM50" s="1214" t="n">
        <f aca="false">SUM(D50,J50,P50,V50,AD50,AL50,AU50,BC50,,BN50,BV50,CD50,CL50)-CT50</f>
        <v>0</v>
      </c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s="1252" customFormat="true" ht="12.75" hidden="true" customHeight="true" outlineLevel="0" collapsed="false">
      <c r="B51" s="1253" t="s">
        <v>826</v>
      </c>
      <c r="C51" s="679" t="s">
        <v>865</v>
      </c>
      <c r="D51" s="433"/>
      <c r="E51" s="433"/>
      <c r="F51" s="1255"/>
      <c r="G51" s="433"/>
      <c r="H51" s="1256"/>
      <c r="I51" s="1257"/>
      <c r="J51" s="433"/>
      <c r="K51" s="433"/>
      <c r="L51" s="1255"/>
      <c r="M51" s="433"/>
      <c r="N51" s="1256"/>
      <c r="O51" s="434"/>
      <c r="P51" s="433"/>
      <c r="Q51" s="433"/>
      <c r="R51" s="1255"/>
      <c r="S51" s="433"/>
      <c r="T51" s="1256"/>
      <c r="U51" s="435"/>
      <c r="V51" s="433"/>
      <c r="W51" s="433"/>
      <c r="X51" s="433"/>
      <c r="Y51" s="580"/>
      <c r="Z51" s="580"/>
      <c r="AA51" s="433"/>
      <c r="AB51" s="1256"/>
      <c r="AC51" s="435"/>
      <c r="AD51" s="433"/>
      <c r="AE51" s="433"/>
      <c r="AF51" s="433"/>
      <c r="AG51" s="580"/>
      <c r="AH51" s="580"/>
      <c r="AI51" s="433"/>
      <c r="AJ51" s="1256"/>
      <c r="AK51" s="435"/>
      <c r="AL51" s="433"/>
      <c r="AM51" s="433"/>
      <c r="AN51" s="433"/>
      <c r="AO51" s="433"/>
      <c r="AP51" s="580"/>
      <c r="AQ51" s="580"/>
      <c r="AR51" s="433"/>
      <c r="AS51" s="1256"/>
      <c r="AT51" s="436"/>
      <c r="AU51" s="433"/>
      <c r="AV51" s="433"/>
      <c r="AW51" s="433"/>
      <c r="AX51" s="580"/>
      <c r="AY51" s="580"/>
      <c r="AZ51" s="433"/>
      <c r="BA51" s="1256"/>
      <c r="BB51" s="435"/>
      <c r="BC51" s="433"/>
      <c r="BD51" s="433"/>
      <c r="BE51" s="433"/>
      <c r="BF51" s="580"/>
      <c r="BG51" s="580"/>
      <c r="BH51" s="433"/>
      <c r="BI51" s="1256"/>
      <c r="BJ51" s="435"/>
      <c r="BK51" s="433"/>
      <c r="BL51" s="433"/>
      <c r="BM51" s="433"/>
      <c r="BN51" s="433"/>
      <c r="BO51" s="580"/>
      <c r="BP51" s="580"/>
      <c r="BQ51" s="433"/>
      <c r="BR51" s="1256"/>
      <c r="BS51" s="435"/>
      <c r="BT51" s="433"/>
      <c r="BU51" s="433"/>
      <c r="BV51" s="433"/>
      <c r="BW51" s="580"/>
      <c r="BX51" s="580"/>
      <c r="BY51" s="433"/>
      <c r="BZ51" s="1256"/>
      <c r="CA51" s="435"/>
      <c r="CB51" s="433"/>
      <c r="CC51" s="433"/>
      <c r="CD51" s="433"/>
      <c r="CE51" s="580"/>
      <c r="CF51" s="580"/>
      <c r="CG51" s="433"/>
      <c r="CH51" s="1256"/>
      <c r="CI51" s="435"/>
      <c r="CJ51" s="433"/>
      <c r="CK51" s="433"/>
      <c r="CL51" s="433"/>
      <c r="CM51" s="580"/>
      <c r="CN51" s="580"/>
      <c r="CO51" s="433"/>
      <c r="CP51" s="1256"/>
      <c r="CQ51" s="434"/>
      <c r="CR51" s="817"/>
      <c r="CS51" s="433"/>
      <c r="CT51" s="433"/>
      <c r="CU51" s="433" t="n">
        <f aca="false">CR51-CS51</f>
        <v>0</v>
      </c>
      <c r="CV51" s="433" t="n">
        <f aca="false">CR51-CT51</f>
        <v>0</v>
      </c>
      <c r="CW51" s="433"/>
      <c r="CX51" s="433" t="str">
        <f aca="false">IFERROR(CR51/CW51-1, "-")</f>
        <v>-</v>
      </c>
      <c r="CY51" s="1258"/>
      <c r="CZ51" s="433"/>
      <c r="DA51" s="433"/>
      <c r="DB51" s="433"/>
      <c r="DC51" s="433"/>
      <c r="DD51" s="433"/>
      <c r="DE51" s="434"/>
      <c r="DF51" s="434"/>
      <c r="DG51" s="434"/>
      <c r="DH51" s="434"/>
      <c r="DI51" s="794"/>
      <c r="DJ51" s="1214" t="n">
        <f aca="false">SUM(D51,J51,P51,V51,AD51,AL51,AU51,BC51,BK51,BT51,CB51,CJ51)-CR51</f>
        <v>0</v>
      </c>
      <c r="DK51" s="1214" t="n">
        <f aca="false">SUM(E51,K51,Q51,W51,AE51,AM51,AV51,BD51,BL51,BU51,CC51,CK51)-CS51</f>
        <v>0</v>
      </c>
      <c r="DL51" s="1214" t="n">
        <f aca="false">SUM(G51,M51,S51,AA51,AI51,AR51,AZ51,BH51,BQ51,BY51,CG51,CO51)-CW51</f>
        <v>0</v>
      </c>
      <c r="DM51" s="1214" t="n">
        <f aca="false">SUM(D51,J51,P51,V51,AD51,AL51,AU51,BC51,,BN51,BV51,CD51,CL51)-CT51</f>
        <v>0</v>
      </c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s="1252" customFormat="true" ht="12.75" hidden="true" customHeight="true" outlineLevel="0" collapsed="false">
      <c r="B52" s="1253" t="s">
        <v>828</v>
      </c>
      <c r="C52" s="679" t="s">
        <v>866</v>
      </c>
      <c r="D52" s="433"/>
      <c r="E52" s="433"/>
      <c r="F52" s="1255"/>
      <c r="G52" s="433"/>
      <c r="H52" s="1256"/>
      <c r="I52" s="1257"/>
      <c r="J52" s="433"/>
      <c r="K52" s="433"/>
      <c r="L52" s="1255"/>
      <c r="M52" s="433"/>
      <c r="N52" s="1256"/>
      <c r="O52" s="434"/>
      <c r="P52" s="433"/>
      <c r="Q52" s="433"/>
      <c r="R52" s="1255"/>
      <c r="S52" s="433"/>
      <c r="T52" s="1256"/>
      <c r="U52" s="435"/>
      <c r="V52" s="433"/>
      <c r="W52" s="433"/>
      <c r="X52" s="433"/>
      <c r="Y52" s="580"/>
      <c r="Z52" s="580"/>
      <c r="AA52" s="433"/>
      <c r="AB52" s="1256"/>
      <c r="AC52" s="435"/>
      <c r="AD52" s="433"/>
      <c r="AE52" s="433"/>
      <c r="AF52" s="433"/>
      <c r="AG52" s="580"/>
      <c r="AH52" s="580"/>
      <c r="AI52" s="433"/>
      <c r="AJ52" s="1256"/>
      <c r="AK52" s="435"/>
      <c r="AL52" s="433"/>
      <c r="AM52" s="433"/>
      <c r="AN52" s="433"/>
      <c r="AO52" s="433"/>
      <c r="AP52" s="580"/>
      <c r="AQ52" s="580"/>
      <c r="AR52" s="433"/>
      <c r="AS52" s="1256"/>
      <c r="AT52" s="436"/>
      <c r="AU52" s="433"/>
      <c r="AV52" s="433"/>
      <c r="AW52" s="433"/>
      <c r="AX52" s="580"/>
      <c r="AY52" s="580"/>
      <c r="AZ52" s="433"/>
      <c r="BA52" s="1256"/>
      <c r="BB52" s="435"/>
      <c r="BC52" s="433"/>
      <c r="BD52" s="433"/>
      <c r="BE52" s="433"/>
      <c r="BF52" s="580"/>
      <c r="BG52" s="580"/>
      <c r="BH52" s="433"/>
      <c r="BI52" s="1256"/>
      <c r="BJ52" s="435"/>
      <c r="BK52" s="433"/>
      <c r="BL52" s="433"/>
      <c r="BM52" s="433"/>
      <c r="BN52" s="433"/>
      <c r="BO52" s="580"/>
      <c r="BP52" s="580"/>
      <c r="BQ52" s="433"/>
      <c r="BR52" s="1256"/>
      <c r="BS52" s="435"/>
      <c r="BT52" s="433"/>
      <c r="BU52" s="433"/>
      <c r="BV52" s="433"/>
      <c r="BW52" s="580"/>
      <c r="BX52" s="580"/>
      <c r="BY52" s="433"/>
      <c r="BZ52" s="1256"/>
      <c r="CA52" s="435"/>
      <c r="CB52" s="433"/>
      <c r="CC52" s="433"/>
      <c r="CD52" s="433"/>
      <c r="CE52" s="580"/>
      <c r="CF52" s="580"/>
      <c r="CG52" s="433"/>
      <c r="CH52" s="1256"/>
      <c r="CI52" s="435"/>
      <c r="CJ52" s="433"/>
      <c r="CK52" s="433"/>
      <c r="CL52" s="433"/>
      <c r="CM52" s="580"/>
      <c r="CN52" s="580"/>
      <c r="CO52" s="433"/>
      <c r="CP52" s="1256"/>
      <c r="CQ52" s="434"/>
      <c r="CR52" s="817"/>
      <c r="CS52" s="433"/>
      <c r="CT52" s="433"/>
      <c r="CU52" s="433" t="n">
        <f aca="false">CR52-CS52</f>
        <v>0</v>
      </c>
      <c r="CV52" s="433" t="n">
        <f aca="false">CR52-CT52</f>
        <v>0</v>
      </c>
      <c r="CW52" s="433"/>
      <c r="CX52" s="433" t="str">
        <f aca="false">IFERROR(CR52/CW52-1, "-")</f>
        <v>-</v>
      </c>
      <c r="CY52" s="1258"/>
      <c r="CZ52" s="433"/>
      <c r="DA52" s="433"/>
      <c r="DB52" s="433"/>
      <c r="DC52" s="433"/>
      <c r="DD52" s="433"/>
      <c r="DE52" s="434" t="e">
        <f aca="false">+CZ52/DD52-1</f>
        <v>#DIV/0!</v>
      </c>
      <c r="DF52" s="434" t="e">
        <f aca="false">+DA52/DD52-1</f>
        <v>#DIV/0!</v>
      </c>
      <c r="DG52" s="434" t="e">
        <f aca="false">+DB52/DD52-1</f>
        <v>#DIV/0!</v>
      </c>
      <c r="DH52" s="434" t="e">
        <f aca="false">+DC52/DD52-1</f>
        <v>#DIV/0!</v>
      </c>
      <c r="DI52" s="794"/>
      <c r="DJ52" s="1214" t="n">
        <f aca="false">SUM(D52,J52,P52,V52,AD52,AL52,AU52,BC52,BK52,BT52,CB52,CJ52)-CR52</f>
        <v>0</v>
      </c>
      <c r="DK52" s="1214" t="n">
        <f aca="false">SUM(E52,K52,Q52,W52,AE52,AM52,AV52,BD52,BL52,BU52,CC52,CK52)-CS52</f>
        <v>0</v>
      </c>
      <c r="DL52" s="1214" t="n">
        <f aca="false">SUM(G52,M52,S52,AA52,AI52,AR52,AZ52,BH52,BQ52,BY52,CG52,CO52)-CW52</f>
        <v>0</v>
      </c>
      <c r="DM52" s="1214" t="n">
        <f aca="false">SUM(D52,J52,P52,V52,AD52,AL52,AU52,BC52,,BN52,BV52,CD52,CL52)-CT52</f>
        <v>0</v>
      </c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3.75" hidden="true" customHeight="true" outlineLevel="0" collapsed="false">
      <c r="B53" s="1244"/>
      <c r="C53" s="679" t="s">
        <v>867</v>
      </c>
      <c r="D53" s="545"/>
      <c r="E53" s="545"/>
      <c r="F53" s="1246"/>
      <c r="G53" s="545"/>
      <c r="H53" s="1247"/>
      <c r="I53" s="206"/>
      <c r="J53" s="545"/>
      <c r="K53" s="545"/>
      <c r="L53" s="1246"/>
      <c r="M53" s="545"/>
      <c r="N53" s="1247"/>
      <c r="O53" s="546"/>
      <c r="P53" s="545"/>
      <c r="Q53" s="545"/>
      <c r="R53" s="1246"/>
      <c r="S53" s="545"/>
      <c r="T53" s="1247"/>
      <c r="U53" s="547"/>
      <c r="V53" s="545"/>
      <c r="W53" s="545"/>
      <c r="X53" s="545"/>
      <c r="Y53" s="1246"/>
      <c r="Z53" s="1246"/>
      <c r="AA53" s="545"/>
      <c r="AB53" s="1247"/>
      <c r="AC53" s="547"/>
      <c r="AD53" s="545"/>
      <c r="AE53" s="545"/>
      <c r="AF53" s="545"/>
      <c r="AG53" s="1246"/>
      <c r="AH53" s="1246"/>
      <c r="AI53" s="545"/>
      <c r="AJ53" s="1247"/>
      <c r="AK53" s="547"/>
      <c r="AL53" s="545"/>
      <c r="AM53" s="545"/>
      <c r="AN53" s="545"/>
      <c r="AO53" s="545"/>
      <c r="AP53" s="1246"/>
      <c r="AQ53" s="1246"/>
      <c r="AR53" s="545"/>
      <c r="AS53" s="1247"/>
      <c r="AT53" s="423"/>
      <c r="AU53" s="545"/>
      <c r="AV53" s="545"/>
      <c r="AW53" s="545"/>
      <c r="AX53" s="1246"/>
      <c r="AY53" s="1246"/>
      <c r="AZ53" s="545"/>
      <c r="BA53" s="1247"/>
      <c r="BB53" s="547"/>
      <c r="BC53" s="545"/>
      <c r="BD53" s="545"/>
      <c r="BE53" s="545"/>
      <c r="BF53" s="1246"/>
      <c r="BG53" s="1246"/>
      <c r="BH53" s="545"/>
      <c r="BI53" s="1247"/>
      <c r="BJ53" s="547"/>
      <c r="BK53" s="545"/>
      <c r="BL53" s="545"/>
      <c r="BM53" s="545"/>
      <c r="BN53" s="545"/>
      <c r="BO53" s="1246"/>
      <c r="BP53" s="1246"/>
      <c r="BQ53" s="545"/>
      <c r="BR53" s="1247"/>
      <c r="BS53" s="547"/>
      <c r="BT53" s="545"/>
      <c r="BU53" s="545"/>
      <c r="BV53" s="545"/>
      <c r="BW53" s="1246"/>
      <c r="BX53" s="1246"/>
      <c r="BY53" s="545"/>
      <c r="BZ53" s="1247"/>
      <c r="CA53" s="547"/>
      <c r="CB53" s="545"/>
      <c r="CC53" s="545"/>
      <c r="CD53" s="545"/>
      <c r="CE53" s="1246"/>
      <c r="CF53" s="1246"/>
      <c r="CG53" s="545"/>
      <c r="CH53" s="1247"/>
      <c r="CI53" s="547"/>
      <c r="CJ53" s="545"/>
      <c r="CK53" s="545"/>
      <c r="CL53" s="545"/>
      <c r="CM53" s="1246"/>
      <c r="CN53" s="1246"/>
      <c r="CO53" s="545"/>
      <c r="CP53" s="1247"/>
      <c r="CQ53" s="546"/>
      <c r="CR53" s="1278"/>
      <c r="CS53" s="545"/>
      <c r="CT53" s="545"/>
      <c r="CU53" s="545" t="n">
        <f aca="false">CR53-CS53</f>
        <v>0</v>
      </c>
      <c r="CV53" s="545" t="n">
        <f aca="false">CR53-CT53</f>
        <v>0</v>
      </c>
      <c r="CW53" s="545"/>
      <c r="CX53" s="545" t="str">
        <f aca="false">IFERROR(CR53/CW53-1, "-")</f>
        <v>-</v>
      </c>
      <c r="CY53" s="1249"/>
      <c r="CZ53" s="545"/>
      <c r="DA53" s="545"/>
      <c r="DB53" s="545"/>
      <c r="DC53" s="545"/>
      <c r="DD53" s="545"/>
      <c r="DE53" s="546"/>
      <c r="DF53" s="546"/>
      <c r="DG53" s="1097"/>
      <c r="DH53" s="1097"/>
      <c r="DI53" s="1227"/>
      <c r="DJ53" s="1214" t="n">
        <f aca="false">SUM(D53,J53,P53,V53,AD53,AL53,AU53,BC53,BK53,BT53,CB53,CJ53)-CR53</f>
        <v>0</v>
      </c>
      <c r="DK53" s="1214" t="n">
        <f aca="false">SUM(E53,K53,Q53,W53,AE53,AM53,AV53,BD53,BL53,BU53,CC53,CK53)-CS53</f>
        <v>0</v>
      </c>
      <c r="DL53" s="1214" t="n">
        <f aca="false">SUM(G53,M53,S53,AA53,AI53,AR53,AZ53,BH53,BQ53,BY53,CG53,CO53)-CW53</f>
        <v>0</v>
      </c>
      <c r="DM53" s="1214" t="n">
        <f aca="false">SUM(D53,J53,P53,V53,AD53,AL53,AU53,BC53,,BN53,BV53,CD53,CL53)-CT53</f>
        <v>0</v>
      </c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4.5" hidden="false" customHeight="true" outlineLevel="0" collapsed="false">
      <c r="C54" s="679" t="s">
        <v>868</v>
      </c>
      <c r="D54" s="144"/>
      <c r="E54" s="144"/>
      <c r="F54" s="421"/>
      <c r="G54" s="144"/>
      <c r="H54" s="245"/>
      <c r="I54" s="38"/>
      <c r="J54" s="144"/>
      <c r="K54" s="144"/>
      <c r="L54" s="421"/>
      <c r="M54" s="144"/>
      <c r="N54" s="245"/>
      <c r="O54" s="245"/>
      <c r="P54" s="144"/>
      <c r="Q54" s="144"/>
      <c r="R54" s="421"/>
      <c r="S54" s="144"/>
      <c r="T54" s="245"/>
      <c r="U54" s="422"/>
      <c r="V54" s="144"/>
      <c r="W54" s="144"/>
      <c r="X54" s="144"/>
      <c r="Y54" s="421"/>
      <c r="Z54" s="421"/>
      <c r="AA54" s="144"/>
      <c r="AB54" s="245"/>
      <c r="AC54" s="422"/>
      <c r="AD54" s="144"/>
      <c r="AE54" s="144"/>
      <c r="AF54" s="144"/>
      <c r="AG54" s="421"/>
      <c r="AH54" s="421"/>
      <c r="AI54" s="144"/>
      <c r="AJ54" s="245"/>
      <c r="AK54" s="422"/>
      <c r="AL54" s="144"/>
      <c r="AM54" s="144"/>
      <c r="AN54" s="144"/>
      <c r="AO54" s="144"/>
      <c r="AP54" s="421"/>
      <c r="AQ54" s="421"/>
      <c r="AR54" s="144"/>
      <c r="AS54" s="245"/>
      <c r="AT54" s="423"/>
      <c r="AU54" s="144"/>
      <c r="AV54" s="144"/>
      <c r="AW54" s="144"/>
      <c r="AX54" s="421"/>
      <c r="AY54" s="421"/>
      <c r="AZ54" s="144"/>
      <c r="BA54" s="245"/>
      <c r="BB54" s="422"/>
      <c r="BC54" s="144"/>
      <c r="BD54" s="144"/>
      <c r="BE54" s="144"/>
      <c r="BF54" s="421"/>
      <c r="BG54" s="421"/>
      <c r="BH54" s="144"/>
      <c r="BI54" s="245"/>
      <c r="BJ54" s="422"/>
      <c r="BK54" s="144"/>
      <c r="BL54" s="144"/>
      <c r="BM54" s="144"/>
      <c r="BN54" s="144"/>
      <c r="BO54" s="421"/>
      <c r="BP54" s="421"/>
      <c r="BQ54" s="144"/>
      <c r="BR54" s="245"/>
      <c r="BS54" s="422"/>
      <c r="BT54" s="144"/>
      <c r="BU54" s="144"/>
      <c r="BV54" s="144"/>
      <c r="BW54" s="421"/>
      <c r="BX54" s="421"/>
      <c r="BY54" s="144"/>
      <c r="BZ54" s="245"/>
      <c r="CA54" s="422"/>
      <c r="CB54" s="144"/>
      <c r="CC54" s="144"/>
      <c r="CD54" s="144"/>
      <c r="CE54" s="421"/>
      <c r="CF54" s="421"/>
      <c r="CG54" s="144"/>
      <c r="CH54" s="245"/>
      <c r="CI54" s="422"/>
      <c r="CJ54" s="144"/>
      <c r="CK54" s="144"/>
      <c r="CL54" s="144"/>
      <c r="CM54" s="421"/>
      <c r="CN54" s="421"/>
      <c r="CO54" s="144"/>
      <c r="CP54" s="245"/>
      <c r="CQ54" s="245"/>
      <c r="CR54" s="699"/>
      <c r="CS54" s="144"/>
      <c r="CT54" s="144"/>
      <c r="CU54" s="144" t="n">
        <f aca="false">CR54-CS54</f>
        <v>0</v>
      </c>
      <c r="CV54" s="144" t="n">
        <f aca="false">CR54-CT54</f>
        <v>0</v>
      </c>
      <c r="CW54" s="144"/>
      <c r="CX54" s="144" t="str">
        <f aca="false">IFERROR(CR54/CW54-1, "-")</f>
        <v>-</v>
      </c>
      <c r="CY54" s="1230"/>
      <c r="CZ54" s="144"/>
      <c r="DA54" s="144"/>
      <c r="DB54" s="144"/>
      <c r="DC54" s="144"/>
      <c r="DD54" s="144"/>
      <c r="DE54" s="245"/>
      <c r="DF54" s="38"/>
      <c r="DG54" s="38"/>
      <c r="DH54" s="38"/>
      <c r="DJ54" s="1214" t="n">
        <f aca="false">SUM(D54,J54,P54,V54,AD54,AL54,AU54,BC54,BK54,BT54,CB54,CJ54)-CR54</f>
        <v>0</v>
      </c>
      <c r="DK54" s="1214" t="n">
        <f aca="false">SUM(E54,K54,Q54,W54,AE54,AM54,AV54,BD54,BL54,BU54,CC54,CK54)-CS54</f>
        <v>0</v>
      </c>
      <c r="DL54" s="1214" t="n">
        <f aca="false">SUM(G54,M54,S54,AA54,AI54,AR54,AZ54,BH54,BQ54,BY54,CG54,CO54)-CW54</f>
        <v>0</v>
      </c>
      <c r="DM54" s="1214" t="n">
        <f aca="false">SUM(D54,J54,P54,V54,AD54,AL54,AU54,BC54,,BN54,BV54,CD54,CL54)-CT54</f>
        <v>0</v>
      </c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2.75" hidden="false" customHeight="true" outlineLevel="0" collapsed="false">
      <c r="B55" s="1215" t="s">
        <v>869</v>
      </c>
      <c r="C55" s="679" t="s">
        <v>870</v>
      </c>
      <c r="D55" s="1217"/>
      <c r="E55" s="1217"/>
      <c r="F55" s="1217"/>
      <c r="G55" s="1217"/>
      <c r="H55" s="705"/>
      <c r="I55" s="105"/>
      <c r="J55" s="1217"/>
      <c r="K55" s="1217"/>
      <c r="L55" s="1217"/>
      <c r="M55" s="1217"/>
      <c r="N55" s="705"/>
      <c r="O55" s="401"/>
      <c r="P55" s="1217"/>
      <c r="Q55" s="1217"/>
      <c r="R55" s="1217"/>
      <c r="S55" s="1217"/>
      <c r="T55" s="705"/>
      <c r="U55" s="403"/>
      <c r="V55" s="1217"/>
      <c r="W55" s="1217"/>
      <c r="X55" s="1217"/>
      <c r="Y55" s="1217"/>
      <c r="Z55" s="1217"/>
      <c r="AA55" s="1217"/>
      <c r="AB55" s="705"/>
      <c r="AC55" s="403"/>
      <c r="AD55" s="1217"/>
      <c r="AE55" s="1217"/>
      <c r="AF55" s="1217"/>
      <c r="AG55" s="1217"/>
      <c r="AH55" s="1217"/>
      <c r="AI55" s="1217"/>
      <c r="AJ55" s="705"/>
      <c r="AK55" s="403"/>
      <c r="AL55" s="1217"/>
      <c r="AM55" s="1217"/>
      <c r="AN55" s="1217"/>
      <c r="AO55" s="1217"/>
      <c r="AP55" s="1217"/>
      <c r="AQ55" s="1217"/>
      <c r="AR55" s="1217"/>
      <c r="AS55" s="705"/>
      <c r="AT55" s="1279"/>
      <c r="AU55" s="1217"/>
      <c r="AV55" s="1217"/>
      <c r="AW55" s="1217"/>
      <c r="AX55" s="1217"/>
      <c r="AY55" s="1217"/>
      <c r="AZ55" s="1217"/>
      <c r="BA55" s="705"/>
      <c r="BB55" s="403"/>
      <c r="BC55" s="1217"/>
      <c r="BD55" s="1217"/>
      <c r="BE55" s="1217"/>
      <c r="BF55" s="1217"/>
      <c r="BG55" s="1217"/>
      <c r="BH55" s="1217"/>
      <c r="BI55" s="705"/>
      <c r="BJ55" s="403"/>
      <c r="BK55" s="1217"/>
      <c r="BL55" s="1217"/>
      <c r="BM55" s="1217"/>
      <c r="BN55" s="1217"/>
      <c r="BO55" s="1217"/>
      <c r="BP55" s="1217"/>
      <c r="BQ55" s="1217"/>
      <c r="BR55" s="705"/>
      <c r="BS55" s="403"/>
      <c r="BT55" s="1217"/>
      <c r="BU55" s="1217"/>
      <c r="BV55" s="1217"/>
      <c r="BW55" s="1217"/>
      <c r="BX55" s="1217"/>
      <c r="BY55" s="1217"/>
      <c r="BZ55" s="705"/>
      <c r="CA55" s="403"/>
      <c r="CB55" s="1217"/>
      <c r="CC55" s="1217"/>
      <c r="CD55" s="1217"/>
      <c r="CE55" s="1217"/>
      <c r="CF55" s="1217"/>
      <c r="CG55" s="1217"/>
      <c r="CH55" s="705"/>
      <c r="CI55" s="403"/>
      <c r="CJ55" s="1217"/>
      <c r="CK55" s="1217"/>
      <c r="CL55" s="1217"/>
      <c r="CM55" s="1217"/>
      <c r="CN55" s="1217"/>
      <c r="CO55" s="1217"/>
      <c r="CP55" s="705"/>
      <c r="CQ55" s="401"/>
      <c r="CR55" s="1225"/>
      <c r="CS55" s="1216"/>
      <c r="CT55" s="1217"/>
      <c r="CU55" s="1217" t="n">
        <f aca="false">CR55-CS55</f>
        <v>0</v>
      </c>
      <c r="CV55" s="1217" t="n">
        <f aca="false">CR55-CT55</f>
        <v>0</v>
      </c>
      <c r="CW55" s="1217"/>
      <c r="CX55" s="1217" t="str">
        <f aca="false">IFERROR(CR55/CW55-1, "-")</f>
        <v>-</v>
      </c>
      <c r="CY55" s="1280"/>
      <c r="CZ55" s="1217"/>
      <c r="DA55" s="1217"/>
      <c r="DB55" s="1217"/>
      <c r="DC55" s="1217"/>
      <c r="DD55" s="1217"/>
      <c r="DE55" s="401" t="e">
        <f aca="false">+CZ55/DD55-1</f>
        <v>#DIV/0!</v>
      </c>
      <c r="DF55" s="401" t="e">
        <f aca="false">+DA55/DD55-1</f>
        <v>#DIV/0!</v>
      </c>
      <c r="DG55" s="401" t="e">
        <f aca="false">+DB55/DD55-1</f>
        <v>#DIV/0!</v>
      </c>
      <c r="DH55" s="401" t="e">
        <f aca="false">+DC55/DD55-1</f>
        <v>#DIV/0!</v>
      </c>
      <c r="DI55" s="1227"/>
      <c r="DJ55" s="1214" t="n">
        <f aca="false">SUM(D55,J55,P55,V55,AD55,AL55,AU55,BC55,BK55,BT55,CB55,CJ55)-CR55</f>
        <v>0</v>
      </c>
      <c r="DK55" s="1214" t="n">
        <f aca="false">SUM(E55,K55,Q55,W55,AE55,AM55,AV55,BD55,BL55,BU55,CC55,CK55)-CS55</f>
        <v>0</v>
      </c>
      <c r="DL55" s="1214" t="n">
        <f aca="false">SUM(G55,M55,S55,AA55,AI55,AR55,AZ55,BH55,BQ55,BY55,CG55,CO55)-CW55</f>
        <v>0</v>
      </c>
      <c r="DM55" s="1214" t="n">
        <f aca="false">SUM(D55,J55,P55,V55,AD55,AL55,AU55,BC55,,BN55,BV55,CD55,CL55)-CT55</f>
        <v>0</v>
      </c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6" hidden="false" customHeight="true" outlineLevel="0" collapsed="false">
      <c r="C56" s="679" t="s">
        <v>871</v>
      </c>
      <c r="D56" s="144"/>
      <c r="E56" s="144"/>
      <c r="F56" s="421"/>
      <c r="G56" s="144"/>
      <c r="H56" s="245"/>
      <c r="I56" s="38"/>
      <c r="J56" s="144"/>
      <c r="K56" s="144"/>
      <c r="L56" s="421"/>
      <c r="M56" s="144"/>
      <c r="N56" s="245"/>
      <c r="O56" s="245"/>
      <c r="P56" s="144"/>
      <c r="Q56" s="144"/>
      <c r="R56" s="421"/>
      <c r="S56" s="144"/>
      <c r="T56" s="245"/>
      <c r="U56" s="422"/>
      <c r="V56" s="144"/>
      <c r="W56" s="144"/>
      <c r="X56" s="144"/>
      <c r="Y56" s="421"/>
      <c r="Z56" s="421"/>
      <c r="AA56" s="144"/>
      <c r="AB56" s="245"/>
      <c r="AC56" s="422"/>
      <c r="AD56" s="144"/>
      <c r="AE56" s="144"/>
      <c r="AF56" s="144"/>
      <c r="AG56" s="421"/>
      <c r="AH56" s="421"/>
      <c r="AI56" s="144"/>
      <c r="AJ56" s="245"/>
      <c r="AK56" s="422"/>
      <c r="AL56" s="144"/>
      <c r="AM56" s="144"/>
      <c r="AN56" s="144"/>
      <c r="AO56" s="144"/>
      <c r="AP56" s="421"/>
      <c r="AQ56" s="421"/>
      <c r="AR56" s="144"/>
      <c r="AS56" s="245"/>
      <c r="AT56" s="423"/>
      <c r="AU56" s="144"/>
      <c r="AV56" s="144"/>
      <c r="AW56" s="144"/>
      <c r="AX56" s="421"/>
      <c r="AY56" s="421"/>
      <c r="AZ56" s="144"/>
      <c r="BA56" s="245"/>
      <c r="BB56" s="422"/>
      <c r="BC56" s="144"/>
      <c r="BD56" s="144"/>
      <c r="BE56" s="144"/>
      <c r="BF56" s="421"/>
      <c r="BG56" s="421"/>
      <c r="BH56" s="144"/>
      <c r="BI56" s="245"/>
      <c r="BJ56" s="422"/>
      <c r="BK56" s="144"/>
      <c r="BL56" s="144"/>
      <c r="BM56" s="144"/>
      <c r="BN56" s="144"/>
      <c r="BO56" s="421"/>
      <c r="BP56" s="421"/>
      <c r="BQ56" s="144"/>
      <c r="BR56" s="245"/>
      <c r="BS56" s="422"/>
      <c r="BT56" s="144"/>
      <c r="BU56" s="144"/>
      <c r="BV56" s="144"/>
      <c r="BW56" s="421"/>
      <c r="BX56" s="421"/>
      <c r="BY56" s="144"/>
      <c r="BZ56" s="245"/>
      <c r="CA56" s="422"/>
      <c r="CB56" s="144"/>
      <c r="CC56" s="144"/>
      <c r="CD56" s="144"/>
      <c r="CE56" s="421"/>
      <c r="CF56" s="421"/>
      <c r="CG56" s="144"/>
      <c r="CH56" s="245"/>
      <c r="CI56" s="422"/>
      <c r="CJ56" s="144"/>
      <c r="CK56" s="144"/>
      <c r="CL56" s="144"/>
      <c r="CM56" s="421"/>
      <c r="CN56" s="421"/>
      <c r="CO56" s="144"/>
      <c r="CP56" s="245"/>
      <c r="CQ56" s="245"/>
      <c r="CR56" s="699"/>
      <c r="CS56" s="144"/>
      <c r="CT56" s="144"/>
      <c r="CU56" s="144" t="n">
        <f aca="false">CR56-CS56</f>
        <v>0</v>
      </c>
      <c r="CV56" s="144" t="n">
        <f aca="false">CR56-CT56</f>
        <v>0</v>
      </c>
      <c r="CW56" s="144"/>
      <c r="CX56" s="144" t="str">
        <f aca="false">IFERROR(CR56/CW56-1, "-")</f>
        <v>-</v>
      </c>
      <c r="CY56" s="1230"/>
      <c r="CZ56" s="144"/>
      <c r="DA56" s="144"/>
      <c r="DB56" s="144"/>
      <c r="DC56" s="144"/>
      <c r="DD56" s="144"/>
      <c r="DE56" s="245"/>
      <c r="DF56" s="245"/>
      <c r="DG56" s="245"/>
      <c r="DH56" s="245"/>
      <c r="DJ56" s="1214" t="n">
        <f aca="false">SUM(D56,J56,P56,V56,AD56,AL56,AU56,BC56,BK56,BT56,CB56,CJ56)-CR56</f>
        <v>0</v>
      </c>
      <c r="DK56" s="1214" t="n">
        <f aca="false">SUM(E56,K56,Q56,W56,AE56,AM56,AV56,BD56,BL56,BU56,CC56,CK56)-CS56</f>
        <v>0</v>
      </c>
      <c r="DL56" s="1214" t="n">
        <f aca="false">SUM(G56,M56,S56,AA56,AI56,AR56,AZ56,BH56,BQ56,BY56,CG56,CO56)-CW56</f>
        <v>0</v>
      </c>
      <c r="DM56" s="1214" t="n">
        <f aca="false">SUM(D56,J56,P56,V56,AD56,AL56,AU56,BC56,,BN56,BV56,CD56,CL56)-CT56</f>
        <v>0</v>
      </c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s="156" customFormat="true" ht="12.75" hidden="false" customHeight="true" outlineLevel="0" collapsed="false">
      <c r="B57" s="1231" t="s">
        <v>872</v>
      </c>
      <c r="C57" s="679" t="s">
        <v>873</v>
      </c>
      <c r="D57" s="1032"/>
      <c r="E57" s="1032"/>
      <c r="F57" s="1232"/>
      <c r="G57" s="1032"/>
      <c r="H57" s="1234"/>
      <c r="I57" s="105"/>
      <c r="J57" s="1032"/>
      <c r="K57" s="1032"/>
      <c r="L57" s="1232"/>
      <c r="M57" s="1032"/>
      <c r="N57" s="1234"/>
      <c r="O57" s="1034"/>
      <c r="P57" s="1032"/>
      <c r="Q57" s="1032"/>
      <c r="R57" s="1232"/>
      <c r="S57" s="1032"/>
      <c r="T57" s="1234"/>
      <c r="U57" s="402"/>
      <c r="V57" s="1032"/>
      <c r="W57" s="1032"/>
      <c r="X57" s="1032"/>
      <c r="Y57" s="1232"/>
      <c r="Z57" s="1232"/>
      <c r="AA57" s="1032"/>
      <c r="AB57" s="1234"/>
      <c r="AC57" s="402"/>
      <c r="AD57" s="1032"/>
      <c r="AE57" s="1032"/>
      <c r="AF57" s="1032"/>
      <c r="AG57" s="1232"/>
      <c r="AH57" s="1232"/>
      <c r="AI57" s="1032"/>
      <c r="AJ57" s="1234"/>
      <c r="AK57" s="402"/>
      <c r="AL57" s="1032"/>
      <c r="AM57" s="1032"/>
      <c r="AN57" s="1032"/>
      <c r="AO57" s="1032"/>
      <c r="AP57" s="1232"/>
      <c r="AQ57" s="1232"/>
      <c r="AR57" s="1032"/>
      <c r="AS57" s="1234"/>
      <c r="AT57" s="733"/>
      <c r="AU57" s="1032"/>
      <c r="AV57" s="1032"/>
      <c r="AW57" s="1032"/>
      <c r="AX57" s="1232"/>
      <c r="AY57" s="1232"/>
      <c r="AZ57" s="1032"/>
      <c r="BA57" s="1234"/>
      <c r="BB57" s="402"/>
      <c r="BC57" s="1032"/>
      <c r="BD57" s="1032"/>
      <c r="BE57" s="1032"/>
      <c r="BF57" s="1232"/>
      <c r="BG57" s="1232"/>
      <c r="BH57" s="1032"/>
      <c r="BI57" s="1234"/>
      <c r="BJ57" s="402"/>
      <c r="BK57" s="1032"/>
      <c r="BL57" s="1032"/>
      <c r="BM57" s="1032"/>
      <c r="BN57" s="1032"/>
      <c r="BO57" s="1232"/>
      <c r="BP57" s="1232"/>
      <c r="BQ57" s="1032"/>
      <c r="BR57" s="1234"/>
      <c r="BS57" s="402"/>
      <c r="BT57" s="1032"/>
      <c r="BU57" s="1032"/>
      <c r="BV57" s="1032"/>
      <c r="BW57" s="1232"/>
      <c r="BX57" s="1232"/>
      <c r="BY57" s="1032"/>
      <c r="BZ57" s="1234"/>
      <c r="CA57" s="402"/>
      <c r="CB57" s="1032"/>
      <c r="CC57" s="1032"/>
      <c r="CD57" s="1032"/>
      <c r="CE57" s="1232"/>
      <c r="CF57" s="1232"/>
      <c r="CG57" s="1032"/>
      <c r="CH57" s="1234"/>
      <c r="CI57" s="402"/>
      <c r="CJ57" s="1032"/>
      <c r="CK57" s="1032"/>
      <c r="CL57" s="1032"/>
      <c r="CM57" s="1232"/>
      <c r="CN57" s="1232"/>
      <c r="CO57" s="1032"/>
      <c r="CP57" s="1234"/>
      <c r="CQ57" s="1034"/>
      <c r="CR57" s="1235"/>
      <c r="CS57" s="1233"/>
      <c r="CT57" s="1032"/>
      <c r="CU57" s="1032" t="n">
        <f aca="false">CR57-CS57</f>
        <v>0</v>
      </c>
      <c r="CV57" s="1032" t="n">
        <f aca="false">CR57-CT57</f>
        <v>0</v>
      </c>
      <c r="CW57" s="1032"/>
      <c r="CX57" s="1032" t="str">
        <f aca="false">IFERROR(CR57/CW57-1, "-")</f>
        <v>-</v>
      </c>
      <c r="CY57" s="1250"/>
      <c r="CZ57" s="1032"/>
      <c r="DA57" s="1032"/>
      <c r="DB57" s="1032"/>
      <c r="DC57" s="1032"/>
      <c r="DD57" s="1032"/>
      <c r="DE57" s="1034" t="e">
        <f aca="false">+CZ57/DD57-1</f>
        <v>#DIV/0!</v>
      </c>
      <c r="DF57" s="1034" t="e">
        <f aca="false">+DA57/DD57-1</f>
        <v>#DIV/0!</v>
      </c>
      <c r="DG57" s="1034" t="e">
        <f aca="false">+DB57/DD57-1</f>
        <v>#DIV/0!</v>
      </c>
      <c r="DH57" s="1034" t="e">
        <f aca="false">+DC57/DD57-1</f>
        <v>#DIV/0!</v>
      </c>
      <c r="DI57" s="1237"/>
      <c r="DJ57" s="1214" t="n">
        <f aca="false">SUM(D57,J57,P57,V57,AD57,AL57,AU57,BC57,BK57,BT57,CB57,CJ57)-CR57</f>
        <v>0</v>
      </c>
      <c r="DK57" s="1214" t="n">
        <f aca="false">SUM(E57,K57,Q57,W57,AE57,AM57,AV57,BD57,BL57,BU57,CC57,CK57)-CS57</f>
        <v>0</v>
      </c>
      <c r="DL57" s="1214" t="n">
        <f aca="false">SUM(G57,M57,S57,AA57,AI57,AR57,AZ57,BH57,BQ57,BY57,CG57,CO57)-CW57</f>
        <v>0</v>
      </c>
      <c r="DM57" s="1214" t="n">
        <f aca="false">SUM(D57,J57,P57,V57,AD57,AL57,AU57,BC57,,BN57,BV57,CD57,CL57)-CT57</f>
        <v>0</v>
      </c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2.75" hidden="false" customHeight="true" outlineLevel="0" collapsed="false">
      <c r="B58" s="1238" t="s">
        <v>874</v>
      </c>
      <c r="C58" s="679" t="s">
        <v>875</v>
      </c>
      <c r="D58" s="1281"/>
      <c r="E58" s="555"/>
      <c r="F58" s="1282"/>
      <c r="G58" s="555"/>
      <c r="H58" s="1239"/>
      <c r="I58" s="38"/>
      <c r="J58" s="1281"/>
      <c r="K58" s="555"/>
      <c r="L58" s="1282"/>
      <c r="M58" s="555"/>
      <c r="N58" s="1239"/>
      <c r="O58" s="556"/>
      <c r="P58" s="1281"/>
      <c r="Q58" s="555"/>
      <c r="R58" s="1282"/>
      <c r="S58" s="555"/>
      <c r="T58" s="1239"/>
      <c r="U58" s="557"/>
      <c r="V58" s="1281"/>
      <c r="W58" s="555"/>
      <c r="X58" s="555"/>
      <c r="Y58" s="952"/>
      <c r="Z58" s="952"/>
      <c r="AA58" s="555"/>
      <c r="AB58" s="1239"/>
      <c r="AC58" s="557"/>
      <c r="AD58" s="1281"/>
      <c r="AE58" s="555"/>
      <c r="AF58" s="555"/>
      <c r="AG58" s="952"/>
      <c r="AH58" s="952"/>
      <c r="AI58" s="555"/>
      <c r="AJ58" s="1239"/>
      <c r="AK58" s="557"/>
      <c r="AL58" s="1281"/>
      <c r="AM58" s="555"/>
      <c r="AN58" s="555"/>
      <c r="AO58" s="555"/>
      <c r="AP58" s="952"/>
      <c r="AQ58" s="952"/>
      <c r="AR58" s="555"/>
      <c r="AS58" s="1239"/>
      <c r="AT58" s="423"/>
      <c r="AU58" s="1281"/>
      <c r="AV58" s="555"/>
      <c r="AW58" s="555"/>
      <c r="AX58" s="952"/>
      <c r="AY58" s="952"/>
      <c r="AZ58" s="555"/>
      <c r="BA58" s="1239"/>
      <c r="BB58" s="557"/>
      <c r="BC58" s="1281"/>
      <c r="BD58" s="555"/>
      <c r="BE58" s="555"/>
      <c r="BF58" s="952"/>
      <c r="BG58" s="952"/>
      <c r="BH58" s="555"/>
      <c r="BI58" s="1239"/>
      <c r="BJ58" s="557"/>
      <c r="BK58" s="1281"/>
      <c r="BL58" s="555"/>
      <c r="BM58" s="555"/>
      <c r="BN58" s="555"/>
      <c r="BO58" s="952"/>
      <c r="BP58" s="952"/>
      <c r="BQ58" s="555"/>
      <c r="BR58" s="1239"/>
      <c r="BS58" s="557"/>
      <c r="BT58" s="1281"/>
      <c r="BU58" s="555"/>
      <c r="BV58" s="555"/>
      <c r="BW58" s="952"/>
      <c r="BX58" s="952"/>
      <c r="BY58" s="555"/>
      <c r="BZ58" s="1239"/>
      <c r="CA58" s="557"/>
      <c r="CB58" s="1281"/>
      <c r="CC58" s="555"/>
      <c r="CD58" s="555"/>
      <c r="CE58" s="952"/>
      <c r="CF58" s="952"/>
      <c r="CG58" s="555"/>
      <c r="CH58" s="1239"/>
      <c r="CI58" s="557"/>
      <c r="CJ58" s="1281"/>
      <c r="CK58" s="555"/>
      <c r="CL58" s="555"/>
      <c r="CM58" s="952"/>
      <c r="CN58" s="952"/>
      <c r="CO58" s="555"/>
      <c r="CP58" s="1239"/>
      <c r="CQ58" s="556"/>
      <c r="CR58" s="716"/>
      <c r="CS58" s="555"/>
      <c r="CT58" s="555"/>
      <c r="CU58" s="555" t="n">
        <f aca="false">CR58-CS58</f>
        <v>0</v>
      </c>
      <c r="CV58" s="555" t="n">
        <f aca="false">CR58-CT58</f>
        <v>0</v>
      </c>
      <c r="CW58" s="555"/>
      <c r="CX58" s="555" t="str">
        <f aca="false">IFERROR(CR58/CW58-1, "-")</f>
        <v>-</v>
      </c>
      <c r="CY58" s="1240"/>
      <c r="CZ58" s="555"/>
      <c r="DA58" s="555"/>
      <c r="DB58" s="555"/>
      <c r="DC58" s="555"/>
      <c r="DD58" s="555"/>
      <c r="DE58" s="556" t="e">
        <f aca="false">+CZ58/DD58-1</f>
        <v>#DIV/0!</v>
      </c>
      <c r="DF58" s="556" t="e">
        <f aca="false">+DA58/DD58-1</f>
        <v>#DIV/0!</v>
      </c>
      <c r="DG58" s="556" t="e">
        <f aca="false">+DB58/DD58-1</f>
        <v>#DIV/0!</v>
      </c>
      <c r="DH58" s="556" t="e">
        <f aca="false">+DC58/DD58-1</f>
        <v>#DIV/0!</v>
      </c>
      <c r="DI58" s="1227"/>
      <c r="DJ58" s="1214" t="n">
        <f aca="false">SUM(D58,J58,P58,V58,AD58,AL58,AU58,BC58,BK58,BT58,CB58,CJ58)-CR58</f>
        <v>0</v>
      </c>
      <c r="DK58" s="1214" t="n">
        <f aca="false">SUM(E58,K58,Q58,W58,AE58,AM58,AV58,BD58,BL58,BU58,CC58,CK58)-CS58</f>
        <v>0</v>
      </c>
      <c r="DL58" s="1214" t="n">
        <f aca="false">SUM(G58,M58,S58,AA58,AI58,AR58,AZ58,BH58,BQ58,BY58,CG58,CO58)-CW58</f>
        <v>0</v>
      </c>
      <c r="DM58" s="1214" t="n">
        <f aca="false">SUM(D58,J58,P58,V58,AD58,AL58,AU58,BC58,,BN58,BV58,CD58,CL58)-CT58</f>
        <v>0</v>
      </c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2.75" hidden="false" customHeight="true" outlineLevel="0" collapsed="false">
      <c r="B59" s="1241" t="s">
        <v>876</v>
      </c>
      <c r="C59" s="679" t="s">
        <v>877</v>
      </c>
      <c r="D59" s="144"/>
      <c r="E59" s="144"/>
      <c r="F59" s="1283"/>
      <c r="G59" s="144"/>
      <c r="H59" s="885"/>
      <c r="I59" s="38"/>
      <c r="J59" s="144"/>
      <c r="K59" s="144"/>
      <c r="L59" s="1283"/>
      <c r="M59" s="144"/>
      <c r="N59" s="885"/>
      <c r="O59" s="245"/>
      <c r="P59" s="144"/>
      <c r="Q59" s="144"/>
      <c r="R59" s="1283"/>
      <c r="S59" s="144"/>
      <c r="T59" s="885"/>
      <c r="U59" s="422"/>
      <c r="V59" s="144"/>
      <c r="W59" s="144"/>
      <c r="X59" s="144"/>
      <c r="Y59" s="421"/>
      <c r="Z59" s="421"/>
      <c r="AA59" s="144"/>
      <c r="AB59" s="885"/>
      <c r="AC59" s="422"/>
      <c r="AD59" s="144"/>
      <c r="AE59" s="144"/>
      <c r="AF59" s="144"/>
      <c r="AG59" s="421"/>
      <c r="AH59" s="421"/>
      <c r="AI59" s="144"/>
      <c r="AJ59" s="885"/>
      <c r="AK59" s="422"/>
      <c r="AL59" s="144"/>
      <c r="AM59" s="144"/>
      <c r="AN59" s="144"/>
      <c r="AO59" s="144"/>
      <c r="AP59" s="421"/>
      <c r="AQ59" s="421"/>
      <c r="AR59" s="144"/>
      <c r="AS59" s="885"/>
      <c r="AT59" s="423"/>
      <c r="AU59" s="144"/>
      <c r="AV59" s="144"/>
      <c r="AW59" s="144"/>
      <c r="AX59" s="421"/>
      <c r="AY59" s="421"/>
      <c r="AZ59" s="144"/>
      <c r="BA59" s="885"/>
      <c r="BB59" s="422"/>
      <c r="BC59" s="144"/>
      <c r="BD59" s="144"/>
      <c r="BE59" s="144"/>
      <c r="BF59" s="421"/>
      <c r="BG59" s="421"/>
      <c r="BH59" s="144"/>
      <c r="BI59" s="885"/>
      <c r="BJ59" s="422"/>
      <c r="BK59" s="144"/>
      <c r="BL59" s="144"/>
      <c r="BM59" s="144"/>
      <c r="BN59" s="144"/>
      <c r="BO59" s="421"/>
      <c r="BP59" s="421"/>
      <c r="BQ59" s="144"/>
      <c r="BR59" s="885"/>
      <c r="BS59" s="422"/>
      <c r="BT59" s="144"/>
      <c r="BU59" s="144"/>
      <c r="BV59" s="144"/>
      <c r="BW59" s="421"/>
      <c r="BX59" s="421"/>
      <c r="BY59" s="144"/>
      <c r="BZ59" s="885"/>
      <c r="CA59" s="422"/>
      <c r="CB59" s="144"/>
      <c r="CC59" s="144"/>
      <c r="CD59" s="144"/>
      <c r="CE59" s="421"/>
      <c r="CF59" s="421"/>
      <c r="CG59" s="144"/>
      <c r="CH59" s="885"/>
      <c r="CI59" s="422"/>
      <c r="CJ59" s="144"/>
      <c r="CK59" s="144"/>
      <c r="CL59" s="144"/>
      <c r="CM59" s="421"/>
      <c r="CN59" s="421"/>
      <c r="CO59" s="144"/>
      <c r="CP59" s="885"/>
      <c r="CQ59" s="245"/>
      <c r="CR59" s="699"/>
      <c r="CS59" s="144"/>
      <c r="CT59" s="144"/>
      <c r="CU59" s="144" t="n">
        <f aca="false">CR59-CS59</f>
        <v>0</v>
      </c>
      <c r="CV59" s="144" t="n">
        <f aca="false">CR59-CT59</f>
        <v>0</v>
      </c>
      <c r="CW59" s="144"/>
      <c r="CX59" s="144" t="str">
        <f aca="false">IFERROR(CR59/CW59-1, "-")</f>
        <v>-</v>
      </c>
      <c r="CY59" s="1230"/>
      <c r="CZ59" s="144"/>
      <c r="DA59" s="144"/>
      <c r="DB59" s="144"/>
      <c r="DC59" s="144"/>
      <c r="DD59" s="144"/>
      <c r="DE59" s="245" t="e">
        <f aca="false">+CZ59/DD59-1</f>
        <v>#DIV/0!</v>
      </c>
      <c r="DF59" s="245" t="e">
        <f aca="false">+DA59/DD59-1</f>
        <v>#DIV/0!</v>
      </c>
      <c r="DG59" s="245" t="e">
        <f aca="false">+DB59/DD59-1</f>
        <v>#DIV/0!</v>
      </c>
      <c r="DH59" s="245" t="e">
        <f aca="false">+DC59/DD59-1</f>
        <v>#DIV/0!</v>
      </c>
      <c r="DI59" s="1227"/>
      <c r="DJ59" s="1214" t="n">
        <f aca="false">SUM(D59,J59,P59,V59,AD59,AL59,AU59,BC59,BK59,BT59,CB59,CJ59)-CR59</f>
        <v>0</v>
      </c>
      <c r="DK59" s="1214" t="n">
        <f aca="false">SUM(E59,K59,Q59,W59,AE59,AM59,AV59,BD59,BL59,BU59,CC59,CK59)-CS59</f>
        <v>0</v>
      </c>
      <c r="DL59" s="1214" t="n">
        <f aca="false">SUM(G59,M59,S59,AA59,AI59,AR59,AZ59,BH59,BQ59,BY59,CG59,CO59)-CW59</f>
        <v>0</v>
      </c>
      <c r="DM59" s="1214" t="n">
        <f aca="false">SUM(D59,J59,P59,V59,AD59,AL59,AU59,BC59,,BN59,BV59,CD59,CL59)-CT59</f>
        <v>0</v>
      </c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2.75" hidden="false" customHeight="true" outlineLevel="0" collapsed="false">
      <c r="B60" s="1241" t="s">
        <v>878</v>
      </c>
      <c r="C60" s="679" t="s">
        <v>879</v>
      </c>
      <c r="D60" s="144"/>
      <c r="E60" s="144"/>
      <c r="F60" s="1283"/>
      <c r="G60" s="144"/>
      <c r="H60" s="885"/>
      <c r="I60" s="38"/>
      <c r="J60" s="144"/>
      <c r="K60" s="144"/>
      <c r="L60" s="1283"/>
      <c r="M60" s="144"/>
      <c r="N60" s="885"/>
      <c r="O60" s="245"/>
      <c r="P60" s="144"/>
      <c r="Q60" s="144"/>
      <c r="R60" s="1283"/>
      <c r="S60" s="144"/>
      <c r="T60" s="885"/>
      <c r="U60" s="422"/>
      <c r="V60" s="144"/>
      <c r="W60" s="144"/>
      <c r="X60" s="144"/>
      <c r="Y60" s="421"/>
      <c r="Z60" s="421"/>
      <c r="AA60" s="144"/>
      <c r="AB60" s="885"/>
      <c r="AC60" s="422"/>
      <c r="AD60" s="144"/>
      <c r="AE60" s="144"/>
      <c r="AF60" s="144"/>
      <c r="AG60" s="421"/>
      <c r="AH60" s="421"/>
      <c r="AI60" s="144"/>
      <c r="AJ60" s="885"/>
      <c r="AK60" s="422"/>
      <c r="AL60" s="144"/>
      <c r="AM60" s="144"/>
      <c r="AN60" s="144"/>
      <c r="AO60" s="144"/>
      <c r="AP60" s="421"/>
      <c r="AQ60" s="421"/>
      <c r="AR60" s="144"/>
      <c r="AS60" s="885"/>
      <c r="AT60" s="423"/>
      <c r="AU60" s="144"/>
      <c r="AV60" s="144"/>
      <c r="AW60" s="144"/>
      <c r="AX60" s="421"/>
      <c r="AY60" s="421"/>
      <c r="AZ60" s="144"/>
      <c r="BA60" s="885"/>
      <c r="BB60" s="422"/>
      <c r="BC60" s="144"/>
      <c r="BD60" s="144"/>
      <c r="BE60" s="144"/>
      <c r="BF60" s="421"/>
      <c r="BG60" s="421"/>
      <c r="BH60" s="144"/>
      <c r="BI60" s="885"/>
      <c r="BJ60" s="422"/>
      <c r="BK60" s="144"/>
      <c r="BL60" s="144"/>
      <c r="BM60" s="144"/>
      <c r="BN60" s="144"/>
      <c r="BO60" s="421"/>
      <c r="BP60" s="421"/>
      <c r="BQ60" s="144"/>
      <c r="BR60" s="885"/>
      <c r="BS60" s="422"/>
      <c r="BT60" s="144"/>
      <c r="BU60" s="144"/>
      <c r="BV60" s="144"/>
      <c r="BW60" s="421"/>
      <c r="BX60" s="421"/>
      <c r="BY60" s="144"/>
      <c r="BZ60" s="885"/>
      <c r="CA60" s="422"/>
      <c r="CB60" s="144"/>
      <c r="CC60" s="144"/>
      <c r="CD60" s="144"/>
      <c r="CE60" s="421"/>
      <c r="CF60" s="421"/>
      <c r="CG60" s="144"/>
      <c r="CH60" s="885"/>
      <c r="CI60" s="422"/>
      <c r="CJ60" s="144"/>
      <c r="CK60" s="144"/>
      <c r="CL60" s="144"/>
      <c r="CM60" s="421"/>
      <c r="CN60" s="421"/>
      <c r="CO60" s="144"/>
      <c r="CP60" s="885"/>
      <c r="CQ60" s="245"/>
      <c r="CR60" s="699"/>
      <c r="CS60" s="144"/>
      <c r="CT60" s="144"/>
      <c r="CU60" s="144" t="n">
        <f aca="false">CR60-CS60</f>
        <v>0</v>
      </c>
      <c r="CV60" s="144" t="n">
        <f aca="false">CR60-CT60</f>
        <v>0</v>
      </c>
      <c r="CW60" s="144"/>
      <c r="CX60" s="144" t="str">
        <f aca="false">IFERROR(CR60/CW60-1, "-")</f>
        <v>-</v>
      </c>
      <c r="CY60" s="1230"/>
      <c r="CZ60" s="144"/>
      <c r="DA60" s="144"/>
      <c r="DB60" s="144"/>
      <c r="DC60" s="144"/>
      <c r="DD60" s="144"/>
      <c r="DE60" s="245" t="e">
        <f aca="false">+CZ60/DD60-1</f>
        <v>#DIV/0!</v>
      </c>
      <c r="DF60" s="245" t="e">
        <f aca="false">+DA60/DD60-1</f>
        <v>#DIV/0!</v>
      </c>
      <c r="DG60" s="245" t="e">
        <f aca="false">+DB60/DD60-1</f>
        <v>#DIV/0!</v>
      </c>
      <c r="DH60" s="245" t="e">
        <f aca="false">+DC60/DD60-1</f>
        <v>#DIV/0!</v>
      </c>
      <c r="DI60" s="1227"/>
      <c r="DJ60" s="1214" t="n">
        <f aca="false">SUM(D60,J60,P60,V60,AD60,AL60,AU60,BC60,BK60,BT60,CB60,CJ60)-CR60</f>
        <v>0</v>
      </c>
      <c r="DK60" s="1214" t="n">
        <f aca="false">SUM(E60,K60,Q60,W60,AE60,AM60,AV60,BD60,BL60,BU60,CC60,CK60)-CS60</f>
        <v>0</v>
      </c>
      <c r="DL60" s="1214" t="n">
        <f aca="false">SUM(G60,M60,S60,AA60,AI60,AR60,AZ60,BH60,BQ60,BY60,CG60,CO60)-CW60</f>
        <v>0</v>
      </c>
      <c r="DM60" s="1214" t="n">
        <f aca="false">SUM(D60,J60,P60,V60,AD60,AL60,AU60,BC60,,BN60,BV60,CD60,CL60)-CT60</f>
        <v>0</v>
      </c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2.75" hidden="false" customHeight="true" outlineLevel="0" collapsed="false">
      <c r="B61" s="1243" t="s">
        <v>880</v>
      </c>
      <c r="C61" s="679" t="s">
        <v>881</v>
      </c>
      <c r="D61" s="499"/>
      <c r="E61" s="144"/>
      <c r="F61" s="1283"/>
      <c r="G61" s="144"/>
      <c r="H61" s="885"/>
      <c r="I61" s="38"/>
      <c r="J61" s="499"/>
      <c r="K61" s="144"/>
      <c r="L61" s="1283"/>
      <c r="M61" s="144"/>
      <c r="N61" s="885"/>
      <c r="O61" s="245"/>
      <c r="P61" s="499"/>
      <c r="Q61" s="144"/>
      <c r="R61" s="1283"/>
      <c r="S61" s="144"/>
      <c r="T61" s="885"/>
      <c r="U61" s="422"/>
      <c r="V61" s="499"/>
      <c r="W61" s="144"/>
      <c r="X61" s="144"/>
      <c r="Y61" s="421"/>
      <c r="Z61" s="421"/>
      <c r="AA61" s="144"/>
      <c r="AB61" s="885"/>
      <c r="AC61" s="422"/>
      <c r="AD61" s="499"/>
      <c r="AE61" s="144"/>
      <c r="AF61" s="144"/>
      <c r="AG61" s="421"/>
      <c r="AH61" s="421"/>
      <c r="AI61" s="144"/>
      <c r="AJ61" s="885"/>
      <c r="AK61" s="422"/>
      <c r="AL61" s="499"/>
      <c r="AM61" s="144"/>
      <c r="AN61" s="144"/>
      <c r="AO61" s="144"/>
      <c r="AP61" s="421"/>
      <c r="AQ61" s="421"/>
      <c r="AR61" s="144"/>
      <c r="AS61" s="885"/>
      <c r="AT61" s="423"/>
      <c r="AU61" s="499"/>
      <c r="AV61" s="144"/>
      <c r="AW61" s="144"/>
      <c r="AX61" s="421"/>
      <c r="AY61" s="421"/>
      <c r="AZ61" s="144"/>
      <c r="BA61" s="885"/>
      <c r="BB61" s="422"/>
      <c r="BC61" s="499"/>
      <c r="BD61" s="144"/>
      <c r="BE61" s="144"/>
      <c r="BF61" s="421"/>
      <c r="BG61" s="421"/>
      <c r="BH61" s="144"/>
      <c r="BI61" s="885"/>
      <c r="BJ61" s="422"/>
      <c r="BK61" s="499"/>
      <c r="BL61" s="144"/>
      <c r="BM61" s="144"/>
      <c r="BN61" s="144"/>
      <c r="BO61" s="421"/>
      <c r="BP61" s="421"/>
      <c r="BQ61" s="144"/>
      <c r="BR61" s="885"/>
      <c r="BS61" s="422"/>
      <c r="BT61" s="499"/>
      <c r="BU61" s="144"/>
      <c r="BV61" s="144"/>
      <c r="BW61" s="421"/>
      <c r="BX61" s="421"/>
      <c r="BY61" s="144"/>
      <c r="BZ61" s="885"/>
      <c r="CA61" s="422"/>
      <c r="CB61" s="499"/>
      <c r="CC61" s="144"/>
      <c r="CD61" s="144"/>
      <c r="CE61" s="421"/>
      <c r="CF61" s="421"/>
      <c r="CG61" s="144"/>
      <c r="CH61" s="885"/>
      <c r="CI61" s="422"/>
      <c r="CJ61" s="499"/>
      <c r="CK61" s="144"/>
      <c r="CL61" s="144"/>
      <c r="CM61" s="421"/>
      <c r="CN61" s="421"/>
      <c r="CO61" s="144"/>
      <c r="CP61" s="885"/>
      <c r="CQ61" s="245"/>
      <c r="CR61" s="699"/>
      <c r="CS61" s="144"/>
      <c r="CT61" s="144"/>
      <c r="CU61" s="144" t="n">
        <f aca="false">CR61-CS61</f>
        <v>0</v>
      </c>
      <c r="CV61" s="144" t="n">
        <f aca="false">CR61-CT61</f>
        <v>0</v>
      </c>
      <c r="CW61" s="144"/>
      <c r="CX61" s="144" t="str">
        <f aca="false">IFERROR(CR61/CW61-1, "-")</f>
        <v>-</v>
      </c>
      <c r="CY61" s="1230"/>
      <c r="CZ61" s="144"/>
      <c r="DA61" s="144"/>
      <c r="DB61" s="144"/>
      <c r="DC61" s="144"/>
      <c r="DD61" s="144"/>
      <c r="DE61" s="245"/>
      <c r="DF61" s="245"/>
      <c r="DG61" s="245"/>
      <c r="DH61" s="245"/>
      <c r="DI61" s="1227"/>
      <c r="DJ61" s="1214" t="n">
        <f aca="false">SUM(D61,J61,P61,V61,AD61,AL61,AU61,BC61,BK61,BT61,CB61,CJ61)-CR61</f>
        <v>0</v>
      </c>
      <c r="DK61" s="1214" t="n">
        <f aca="false">SUM(E61,K61,Q61,W61,AE61,AM61,AV61,BD61,BL61,BU61,CC61,CK61)-CS61</f>
        <v>0</v>
      </c>
      <c r="DL61" s="1214" t="n">
        <f aca="false">SUM(G61,M61,S61,AA61,AI61,AR61,AZ61,BH61,BQ61,BY61,CG61,CO61)-CW61</f>
        <v>0</v>
      </c>
      <c r="DM61" s="1214" t="n">
        <f aca="false">SUM(D61,J61,P61,V61,AD61,AL61,AU61,BC61,,BN61,BV61,CD61,CL61)-CT61</f>
        <v>0</v>
      </c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2.75" hidden="false" customHeight="true" outlineLevel="0" collapsed="false">
      <c r="B62" s="1244" t="s">
        <v>882</v>
      </c>
      <c r="C62" s="679" t="s">
        <v>883</v>
      </c>
      <c r="D62" s="544"/>
      <c r="E62" s="545"/>
      <c r="F62" s="1284"/>
      <c r="G62" s="545"/>
      <c r="H62" s="1247"/>
      <c r="I62" s="38"/>
      <c r="J62" s="544"/>
      <c r="K62" s="545"/>
      <c r="L62" s="1284"/>
      <c r="M62" s="545"/>
      <c r="N62" s="1247"/>
      <c r="O62" s="546"/>
      <c r="P62" s="544"/>
      <c r="Q62" s="545"/>
      <c r="R62" s="1284"/>
      <c r="S62" s="545"/>
      <c r="T62" s="1247"/>
      <c r="U62" s="547"/>
      <c r="V62" s="544"/>
      <c r="W62" s="545"/>
      <c r="X62" s="545"/>
      <c r="Y62" s="1246"/>
      <c r="Z62" s="1246"/>
      <c r="AA62" s="545"/>
      <c r="AB62" s="1247"/>
      <c r="AC62" s="547"/>
      <c r="AD62" s="544"/>
      <c r="AE62" s="545"/>
      <c r="AF62" s="545"/>
      <c r="AG62" s="1246"/>
      <c r="AH62" s="1246"/>
      <c r="AI62" s="545"/>
      <c r="AJ62" s="1247"/>
      <c r="AK62" s="547"/>
      <c r="AL62" s="544"/>
      <c r="AM62" s="545"/>
      <c r="AN62" s="545"/>
      <c r="AO62" s="545"/>
      <c r="AP62" s="1246"/>
      <c r="AQ62" s="1246"/>
      <c r="AR62" s="545"/>
      <c r="AS62" s="1247"/>
      <c r="AT62" s="423"/>
      <c r="AU62" s="544"/>
      <c r="AV62" s="545"/>
      <c r="AW62" s="545"/>
      <c r="AX62" s="1246"/>
      <c r="AY62" s="1246"/>
      <c r="AZ62" s="545"/>
      <c r="BA62" s="1247"/>
      <c r="BB62" s="547"/>
      <c r="BC62" s="544"/>
      <c r="BD62" s="545"/>
      <c r="BE62" s="545"/>
      <c r="BF62" s="1246"/>
      <c r="BG62" s="1246"/>
      <c r="BH62" s="545"/>
      <c r="BI62" s="1247"/>
      <c r="BJ62" s="547"/>
      <c r="BK62" s="544"/>
      <c r="BL62" s="545"/>
      <c r="BM62" s="545"/>
      <c r="BN62" s="545"/>
      <c r="BO62" s="1246"/>
      <c r="BP62" s="1246"/>
      <c r="BQ62" s="545"/>
      <c r="BR62" s="1247"/>
      <c r="BS62" s="547"/>
      <c r="BT62" s="544"/>
      <c r="BU62" s="545"/>
      <c r="BV62" s="545"/>
      <c r="BW62" s="1246"/>
      <c r="BX62" s="1246"/>
      <c r="BY62" s="545"/>
      <c r="BZ62" s="1247"/>
      <c r="CA62" s="547"/>
      <c r="CB62" s="544"/>
      <c r="CC62" s="545"/>
      <c r="CD62" s="545"/>
      <c r="CE62" s="1246"/>
      <c r="CF62" s="1246"/>
      <c r="CG62" s="545"/>
      <c r="CH62" s="1247"/>
      <c r="CI62" s="547"/>
      <c r="CJ62" s="544"/>
      <c r="CK62" s="545"/>
      <c r="CL62" s="545"/>
      <c r="CM62" s="1246"/>
      <c r="CN62" s="1246"/>
      <c r="CO62" s="545"/>
      <c r="CP62" s="1247"/>
      <c r="CQ62" s="546"/>
      <c r="CR62" s="1278"/>
      <c r="CS62" s="545"/>
      <c r="CT62" s="545"/>
      <c r="CU62" s="545" t="n">
        <f aca="false">CR62-CS62</f>
        <v>0</v>
      </c>
      <c r="CV62" s="545" t="n">
        <f aca="false">CR62-CT62</f>
        <v>0</v>
      </c>
      <c r="CW62" s="545"/>
      <c r="CX62" s="545" t="str">
        <f aca="false">IFERROR(CR62/CW62-1, "-")</f>
        <v>-</v>
      </c>
      <c r="CY62" s="1249"/>
      <c r="CZ62" s="545"/>
      <c r="DA62" s="545"/>
      <c r="DB62" s="545"/>
      <c r="DC62" s="545"/>
      <c r="DD62" s="545"/>
      <c r="DE62" s="546"/>
      <c r="DF62" s="546"/>
      <c r="DG62" s="546"/>
      <c r="DH62" s="546"/>
      <c r="DI62" s="1227"/>
      <c r="DJ62" s="1214" t="n">
        <f aca="false">SUM(D62,J62,P62,V62,AD62,AL62,AU62,BC62,BK62,BT62,CB62,CJ62)-CR62</f>
        <v>0</v>
      </c>
      <c r="DK62" s="1214" t="n">
        <f aca="false">SUM(E62,K62,Q62,W62,AE62,AM62,AV62,BD62,BL62,BU62,CC62,CK62)-CS62</f>
        <v>0</v>
      </c>
      <c r="DL62" s="1214" t="n">
        <f aca="false">SUM(G62,M62,S62,AA62,AI62,AR62,AZ62,BH62,BQ62,BY62,CG62,CO62)-CW62</f>
        <v>0</v>
      </c>
      <c r="DM62" s="1214" t="n">
        <f aca="false">SUM(D62,J62,P62,V62,AD62,AL62,AU62,BC62,,BN62,BV62,CD62,CL62)-CT62</f>
        <v>0</v>
      </c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6" hidden="false" customHeight="true" outlineLevel="0" collapsed="false">
      <c r="C63" s="679" t="s">
        <v>884</v>
      </c>
      <c r="D63" s="144"/>
      <c r="E63" s="144"/>
      <c r="F63" s="421"/>
      <c r="G63" s="144"/>
      <c r="H63" s="245"/>
      <c r="I63" s="38"/>
      <c r="J63" s="144"/>
      <c r="K63" s="144"/>
      <c r="L63" s="421"/>
      <c r="M63" s="144"/>
      <c r="N63" s="245"/>
      <c r="O63" s="245"/>
      <c r="P63" s="144"/>
      <c r="Q63" s="144"/>
      <c r="R63" s="421"/>
      <c r="S63" s="144"/>
      <c r="T63" s="245"/>
      <c r="U63" s="422"/>
      <c r="V63" s="144"/>
      <c r="W63" s="144"/>
      <c r="X63" s="144"/>
      <c r="Y63" s="421"/>
      <c r="Z63" s="421"/>
      <c r="AA63" s="144"/>
      <c r="AB63" s="245"/>
      <c r="AC63" s="422"/>
      <c r="AD63" s="144"/>
      <c r="AE63" s="144"/>
      <c r="AF63" s="144"/>
      <c r="AG63" s="421"/>
      <c r="AH63" s="421"/>
      <c r="AI63" s="144"/>
      <c r="AJ63" s="245"/>
      <c r="AK63" s="422"/>
      <c r="AL63" s="144"/>
      <c r="AM63" s="144"/>
      <c r="AN63" s="144"/>
      <c r="AO63" s="144"/>
      <c r="AP63" s="421"/>
      <c r="AQ63" s="421"/>
      <c r="AR63" s="144"/>
      <c r="AS63" s="245"/>
      <c r="AT63" s="423"/>
      <c r="AU63" s="144"/>
      <c r="AV63" s="144"/>
      <c r="AW63" s="144"/>
      <c r="AX63" s="421"/>
      <c r="AY63" s="421"/>
      <c r="AZ63" s="144"/>
      <c r="BA63" s="245"/>
      <c r="BB63" s="422"/>
      <c r="BC63" s="144"/>
      <c r="BD63" s="144"/>
      <c r="BE63" s="144"/>
      <c r="BF63" s="421"/>
      <c r="BG63" s="421"/>
      <c r="BH63" s="144"/>
      <c r="BI63" s="245"/>
      <c r="BJ63" s="422"/>
      <c r="BK63" s="144"/>
      <c r="BL63" s="144"/>
      <c r="BM63" s="144"/>
      <c r="BN63" s="144"/>
      <c r="BO63" s="421"/>
      <c r="BP63" s="421"/>
      <c r="BQ63" s="144"/>
      <c r="BR63" s="245"/>
      <c r="BS63" s="422"/>
      <c r="BT63" s="144"/>
      <c r="BU63" s="144"/>
      <c r="BV63" s="144"/>
      <c r="BW63" s="421"/>
      <c r="BX63" s="421"/>
      <c r="BY63" s="144"/>
      <c r="BZ63" s="245"/>
      <c r="CA63" s="422"/>
      <c r="CB63" s="144"/>
      <c r="CC63" s="144"/>
      <c r="CD63" s="144"/>
      <c r="CE63" s="421"/>
      <c r="CF63" s="421"/>
      <c r="CG63" s="144"/>
      <c r="CH63" s="245"/>
      <c r="CI63" s="422"/>
      <c r="CJ63" s="144"/>
      <c r="CK63" s="144"/>
      <c r="CL63" s="144"/>
      <c r="CM63" s="421"/>
      <c r="CN63" s="421"/>
      <c r="CO63" s="144"/>
      <c r="CP63" s="245"/>
      <c r="CQ63" s="245"/>
      <c r="CR63" s="699"/>
      <c r="CS63" s="144"/>
      <c r="CT63" s="144"/>
      <c r="CU63" s="144" t="n">
        <f aca="false">CR63-CS63</f>
        <v>0</v>
      </c>
      <c r="CV63" s="144" t="n">
        <f aca="false">CR63-CT63</f>
        <v>0</v>
      </c>
      <c r="CW63" s="144"/>
      <c r="CX63" s="144" t="str">
        <f aca="false">IFERROR(CR63/CW63-1, "-")</f>
        <v>-</v>
      </c>
      <c r="CY63" s="1230"/>
      <c r="CZ63" s="144"/>
      <c r="DA63" s="144"/>
      <c r="DB63" s="144"/>
      <c r="DC63" s="144"/>
      <c r="DD63" s="144"/>
      <c r="DE63" s="245"/>
      <c r="DF63" s="38"/>
      <c r="DG63" s="38"/>
      <c r="DH63" s="38"/>
      <c r="DJ63" s="1214" t="n">
        <f aca="false">SUM(D63,J63,P63,V63,AD63,AL63,AU63,BC63,BK63,BT63,CB63,CJ63)-CR63</f>
        <v>0</v>
      </c>
      <c r="DK63" s="1214" t="n">
        <f aca="false">SUM(E63,K63,Q63,W63,AE63,AM63,AV63,BD63,BL63,BU63,CC63,CK63)-CS63</f>
        <v>0</v>
      </c>
      <c r="DL63" s="1214" t="n">
        <f aca="false">SUM(G63,M63,S63,AA63,AI63,AR63,AZ63,BH63,BQ63,BY63,CG63,CO63)-CW63</f>
        <v>0</v>
      </c>
      <c r="DM63" s="1214" t="n">
        <f aca="false">SUM(D63,J63,P63,V63,AD63,AL63,AU63,BC63,,BN63,BV63,CD63,CL63)-CT63</f>
        <v>0</v>
      </c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s="156" customFormat="true" ht="12.75" hidden="false" customHeight="true" outlineLevel="0" collapsed="false">
      <c r="B64" s="1231" t="s">
        <v>885</v>
      </c>
      <c r="C64" s="679" t="s">
        <v>886</v>
      </c>
      <c r="D64" s="1285"/>
      <c r="E64" s="1285"/>
      <c r="F64" s="1232"/>
      <c r="G64" s="1285"/>
      <c r="H64" s="1234"/>
      <c r="I64" s="105"/>
      <c r="J64" s="1285"/>
      <c r="K64" s="1285"/>
      <c r="L64" s="1232"/>
      <c r="M64" s="1285"/>
      <c r="N64" s="1234"/>
      <c r="O64" s="1034"/>
      <c r="P64" s="1285"/>
      <c r="Q64" s="1285"/>
      <c r="R64" s="1232"/>
      <c r="S64" s="1285"/>
      <c r="T64" s="1234"/>
      <c r="U64" s="402"/>
      <c r="V64" s="1285"/>
      <c r="W64" s="1285"/>
      <c r="X64" s="1285"/>
      <c r="Y64" s="1232"/>
      <c r="Z64" s="1232"/>
      <c r="AA64" s="1285"/>
      <c r="AB64" s="1234"/>
      <c r="AC64" s="402"/>
      <c r="AD64" s="1285"/>
      <c r="AE64" s="1285"/>
      <c r="AF64" s="1285"/>
      <c r="AG64" s="1232"/>
      <c r="AH64" s="1232"/>
      <c r="AI64" s="1285"/>
      <c r="AJ64" s="1234"/>
      <c r="AK64" s="402"/>
      <c r="AL64" s="1285"/>
      <c r="AM64" s="1285"/>
      <c r="AN64" s="1285"/>
      <c r="AO64" s="1285"/>
      <c r="AP64" s="1232"/>
      <c r="AQ64" s="1232"/>
      <c r="AR64" s="1285"/>
      <c r="AS64" s="1234"/>
      <c r="AT64" s="733"/>
      <c r="AU64" s="1285"/>
      <c r="AV64" s="1285"/>
      <c r="AW64" s="1285"/>
      <c r="AX64" s="1232"/>
      <c r="AY64" s="1232"/>
      <c r="AZ64" s="1285"/>
      <c r="BA64" s="1234"/>
      <c r="BB64" s="402"/>
      <c r="BC64" s="1285"/>
      <c r="BD64" s="1285"/>
      <c r="BE64" s="1285"/>
      <c r="BF64" s="1232"/>
      <c r="BG64" s="1232"/>
      <c r="BH64" s="1285"/>
      <c r="BI64" s="1234"/>
      <c r="BJ64" s="402"/>
      <c r="BK64" s="1285"/>
      <c r="BL64" s="1285"/>
      <c r="BM64" s="1285"/>
      <c r="BN64" s="1285"/>
      <c r="BO64" s="1232"/>
      <c r="BP64" s="1232"/>
      <c r="BQ64" s="1285"/>
      <c r="BR64" s="1234"/>
      <c r="BS64" s="402"/>
      <c r="BT64" s="1285"/>
      <c r="BU64" s="1285"/>
      <c r="BV64" s="1285"/>
      <c r="BW64" s="1232"/>
      <c r="BX64" s="1232"/>
      <c r="BY64" s="1285"/>
      <c r="BZ64" s="1234"/>
      <c r="CA64" s="402"/>
      <c r="CB64" s="1285"/>
      <c r="CC64" s="1285"/>
      <c r="CD64" s="1285"/>
      <c r="CE64" s="1232"/>
      <c r="CF64" s="1232"/>
      <c r="CG64" s="1285"/>
      <c r="CH64" s="1234"/>
      <c r="CI64" s="402"/>
      <c r="CJ64" s="1285"/>
      <c r="CK64" s="1285"/>
      <c r="CL64" s="1285"/>
      <c r="CM64" s="1232"/>
      <c r="CN64" s="1232"/>
      <c r="CO64" s="1285"/>
      <c r="CP64" s="1234"/>
      <c r="CQ64" s="1034"/>
      <c r="CR64" s="1235"/>
      <c r="CS64" s="1233"/>
      <c r="CT64" s="1285"/>
      <c r="CU64" s="1285" t="n">
        <f aca="false">CR64-CS64</f>
        <v>0</v>
      </c>
      <c r="CV64" s="1285" t="n">
        <f aca="false">CR64-CT64</f>
        <v>0</v>
      </c>
      <c r="CW64" s="1285"/>
      <c r="CX64" s="1285" t="str">
        <f aca="false">IFERROR(CR64/CW64-1, "-")</f>
        <v>-</v>
      </c>
      <c r="CY64" s="1286"/>
      <c r="CZ64" s="1285"/>
      <c r="DA64" s="1285"/>
      <c r="DB64" s="1285"/>
      <c r="DC64" s="1285"/>
      <c r="DD64" s="1285"/>
      <c r="DE64" s="1034" t="e">
        <f aca="false">+CZ64/DD64-1</f>
        <v>#DIV/0!</v>
      </c>
      <c r="DF64" s="1034" t="e">
        <f aca="false">+DA64/DD64-1</f>
        <v>#DIV/0!</v>
      </c>
      <c r="DG64" s="1034" t="e">
        <f aca="false">+DB64/DD64-1</f>
        <v>#DIV/0!</v>
      </c>
      <c r="DH64" s="1034" t="e">
        <f aca="false">+DC64/DD64-1</f>
        <v>#DIV/0!</v>
      </c>
      <c r="DI64" s="1237"/>
      <c r="DJ64" s="1214" t="n">
        <f aca="false">SUM(D64,J64,P64,V64,AD64,AL64,AU64,BC64,BK64,BT64,CB64,CJ64)-CR64</f>
        <v>0</v>
      </c>
      <c r="DK64" s="1214" t="n">
        <f aca="false">SUM(E64,K64,Q64,W64,AE64,AM64,AV64,BD64,BL64,BU64,CC64,CK64)-CS64</f>
        <v>0</v>
      </c>
      <c r="DL64" s="1214" t="n">
        <f aca="false">SUM(G64,M64,S64,AA64,AI64,AR64,AZ64,BH64,BQ64,BY64,CG64,CO64)-CW64</f>
        <v>0</v>
      </c>
      <c r="DM64" s="1214" t="n">
        <f aca="false">SUM(D64,J64,P64,V64,AD64,AL64,AU64,BC64,,BN64,BV64,CD64,CL64)-CT64</f>
        <v>0</v>
      </c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2.75" hidden="false" customHeight="true" outlineLevel="0" collapsed="false">
      <c r="B65" s="1241" t="s">
        <v>874</v>
      </c>
      <c r="C65" s="679" t="s">
        <v>887</v>
      </c>
      <c r="D65" s="421"/>
      <c r="E65" s="421"/>
      <c r="F65" s="1283"/>
      <c r="G65" s="421"/>
      <c r="H65" s="885"/>
      <c r="I65" s="38"/>
      <c r="J65" s="421"/>
      <c r="K65" s="421"/>
      <c r="L65" s="1283"/>
      <c r="M65" s="421"/>
      <c r="N65" s="885"/>
      <c r="O65" s="245"/>
      <c r="P65" s="421"/>
      <c r="Q65" s="421"/>
      <c r="R65" s="1283"/>
      <c r="S65" s="421"/>
      <c r="T65" s="885"/>
      <c r="U65" s="422"/>
      <c r="V65" s="421"/>
      <c r="W65" s="421"/>
      <c r="X65" s="421"/>
      <c r="Y65" s="421"/>
      <c r="Z65" s="421"/>
      <c r="AA65" s="421"/>
      <c r="AB65" s="885"/>
      <c r="AC65" s="422"/>
      <c r="AD65" s="421"/>
      <c r="AE65" s="421"/>
      <c r="AF65" s="421"/>
      <c r="AG65" s="421"/>
      <c r="AH65" s="421"/>
      <c r="AI65" s="421"/>
      <c r="AJ65" s="885"/>
      <c r="AK65" s="422"/>
      <c r="AL65" s="421"/>
      <c r="AM65" s="421"/>
      <c r="AN65" s="421"/>
      <c r="AO65" s="421"/>
      <c r="AP65" s="421"/>
      <c r="AQ65" s="421"/>
      <c r="AR65" s="421"/>
      <c r="AS65" s="885"/>
      <c r="AT65" s="423"/>
      <c r="AU65" s="421"/>
      <c r="AV65" s="421"/>
      <c r="AW65" s="421"/>
      <c r="AX65" s="421"/>
      <c r="AY65" s="421"/>
      <c r="AZ65" s="421"/>
      <c r="BA65" s="885"/>
      <c r="BB65" s="422"/>
      <c r="BC65" s="421"/>
      <c r="BD65" s="421"/>
      <c r="BE65" s="421"/>
      <c r="BF65" s="421"/>
      <c r="BG65" s="421"/>
      <c r="BH65" s="421"/>
      <c r="BI65" s="885"/>
      <c r="BJ65" s="422"/>
      <c r="BK65" s="421"/>
      <c r="BL65" s="421"/>
      <c r="BM65" s="421"/>
      <c r="BN65" s="421"/>
      <c r="BO65" s="421"/>
      <c r="BP65" s="421"/>
      <c r="BQ65" s="421"/>
      <c r="BR65" s="885"/>
      <c r="BS65" s="422"/>
      <c r="BT65" s="421"/>
      <c r="BU65" s="421"/>
      <c r="BV65" s="421"/>
      <c r="BW65" s="421"/>
      <c r="BX65" s="421"/>
      <c r="BY65" s="421"/>
      <c r="BZ65" s="885"/>
      <c r="CA65" s="422"/>
      <c r="CB65" s="421"/>
      <c r="CC65" s="421"/>
      <c r="CD65" s="421"/>
      <c r="CE65" s="421"/>
      <c r="CF65" s="421"/>
      <c r="CG65" s="421"/>
      <c r="CH65" s="885"/>
      <c r="CI65" s="422"/>
      <c r="CJ65" s="421"/>
      <c r="CK65" s="421"/>
      <c r="CL65" s="421"/>
      <c r="CM65" s="421"/>
      <c r="CN65" s="421"/>
      <c r="CO65" s="421"/>
      <c r="CP65" s="885"/>
      <c r="CQ65" s="245"/>
      <c r="CR65" s="699"/>
      <c r="CS65" s="144"/>
      <c r="CT65" s="421"/>
      <c r="CU65" s="421" t="n">
        <f aca="false">CR65-CS65</f>
        <v>0</v>
      </c>
      <c r="CV65" s="421" t="n">
        <f aca="false">CR65-CT65</f>
        <v>0</v>
      </c>
      <c r="CW65" s="421"/>
      <c r="CX65" s="421" t="str">
        <f aca="false">IFERROR(CR65/CW65-1, "-")</f>
        <v>-</v>
      </c>
      <c r="CY65" s="1242"/>
      <c r="CZ65" s="421"/>
      <c r="DA65" s="421"/>
      <c r="DB65" s="421"/>
      <c r="DC65" s="421"/>
      <c r="DD65" s="421"/>
      <c r="DE65" s="245" t="e">
        <f aca="false">+CZ65/DD65-1</f>
        <v>#DIV/0!</v>
      </c>
      <c r="DF65" s="245" t="e">
        <f aca="false">+DA65/DD65-1</f>
        <v>#DIV/0!</v>
      </c>
      <c r="DG65" s="245" t="e">
        <f aca="false">+DB65/DD65-1</f>
        <v>#DIV/0!</v>
      </c>
      <c r="DH65" s="245"/>
      <c r="DI65" s="1227"/>
      <c r="DJ65" s="1214" t="n">
        <f aca="false">SUM(D65,J65,P65,V65,AD65,AL65,AU65,BC65,BK65,BT65,CB65,CJ65)-CR65</f>
        <v>0</v>
      </c>
      <c r="DK65" s="1214" t="n">
        <f aca="false">SUM(E65,K65,Q65,W65,AE65,AM65,AV65,BD65,BL65,BU65,CC65,CK65)-CS65</f>
        <v>0</v>
      </c>
      <c r="DL65" s="1214" t="n">
        <f aca="false">SUM(G65,M65,S65,AA65,AI65,AR65,AZ65,BH65,BQ65,BY65,CG65,CO65)-CW65</f>
        <v>0</v>
      </c>
      <c r="DM65" s="1214" t="n">
        <f aca="false">SUM(D65,J65,P65,V65,AD65,AL65,AU65,BC65,,BN65,BV65,CD65,CL65)-CT65</f>
        <v>0</v>
      </c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2.75" hidden="false" customHeight="true" outlineLevel="0" collapsed="false">
      <c r="B66" s="1241" t="s">
        <v>876</v>
      </c>
      <c r="C66" s="679" t="s">
        <v>888</v>
      </c>
      <c r="D66" s="421"/>
      <c r="E66" s="421"/>
      <c r="F66" s="1283"/>
      <c r="G66" s="421"/>
      <c r="H66" s="885"/>
      <c r="I66" s="38"/>
      <c r="J66" s="421"/>
      <c r="K66" s="421"/>
      <c r="L66" s="1283"/>
      <c r="M66" s="421"/>
      <c r="N66" s="885"/>
      <c r="O66" s="245"/>
      <c r="P66" s="421"/>
      <c r="Q66" s="421"/>
      <c r="R66" s="1283"/>
      <c r="S66" s="421"/>
      <c r="T66" s="885"/>
      <c r="U66" s="422"/>
      <c r="V66" s="421"/>
      <c r="W66" s="421"/>
      <c r="X66" s="421"/>
      <c r="Y66" s="421"/>
      <c r="Z66" s="421"/>
      <c r="AA66" s="421"/>
      <c r="AB66" s="885"/>
      <c r="AC66" s="422"/>
      <c r="AD66" s="421"/>
      <c r="AE66" s="421"/>
      <c r="AF66" s="421"/>
      <c r="AG66" s="421"/>
      <c r="AH66" s="421"/>
      <c r="AI66" s="421"/>
      <c r="AJ66" s="885"/>
      <c r="AK66" s="422"/>
      <c r="AL66" s="421"/>
      <c r="AM66" s="421"/>
      <c r="AN66" s="421"/>
      <c r="AO66" s="421"/>
      <c r="AP66" s="421"/>
      <c r="AQ66" s="421"/>
      <c r="AR66" s="421"/>
      <c r="AS66" s="885"/>
      <c r="AT66" s="423"/>
      <c r="AU66" s="421"/>
      <c r="AV66" s="421"/>
      <c r="AW66" s="421"/>
      <c r="AX66" s="421"/>
      <c r="AY66" s="421"/>
      <c r="AZ66" s="421"/>
      <c r="BA66" s="885"/>
      <c r="BB66" s="422"/>
      <c r="BC66" s="421"/>
      <c r="BD66" s="421"/>
      <c r="BE66" s="421"/>
      <c r="BF66" s="421"/>
      <c r="BG66" s="421"/>
      <c r="BH66" s="421"/>
      <c r="BI66" s="885"/>
      <c r="BJ66" s="422"/>
      <c r="BK66" s="421"/>
      <c r="BL66" s="421"/>
      <c r="BM66" s="421"/>
      <c r="BN66" s="421"/>
      <c r="BO66" s="421"/>
      <c r="BP66" s="421"/>
      <c r="BQ66" s="421"/>
      <c r="BR66" s="885"/>
      <c r="BS66" s="422"/>
      <c r="BT66" s="421"/>
      <c r="BU66" s="421"/>
      <c r="BV66" s="421"/>
      <c r="BW66" s="421"/>
      <c r="BX66" s="421"/>
      <c r="BY66" s="421"/>
      <c r="BZ66" s="885"/>
      <c r="CA66" s="422"/>
      <c r="CB66" s="421"/>
      <c r="CC66" s="421"/>
      <c r="CD66" s="421"/>
      <c r="CE66" s="421"/>
      <c r="CF66" s="421"/>
      <c r="CG66" s="421"/>
      <c r="CH66" s="885"/>
      <c r="CI66" s="422"/>
      <c r="CJ66" s="421"/>
      <c r="CK66" s="421"/>
      <c r="CL66" s="421"/>
      <c r="CM66" s="421"/>
      <c r="CN66" s="421"/>
      <c r="CO66" s="421"/>
      <c r="CP66" s="885"/>
      <c r="CQ66" s="245"/>
      <c r="CR66" s="699"/>
      <c r="CS66" s="144"/>
      <c r="CT66" s="421"/>
      <c r="CU66" s="421" t="n">
        <f aca="false">CR66-CS66</f>
        <v>0</v>
      </c>
      <c r="CV66" s="421" t="n">
        <f aca="false">CR66-CT66</f>
        <v>0</v>
      </c>
      <c r="CW66" s="421"/>
      <c r="CX66" s="421" t="str">
        <f aca="false">IFERROR(CR66/CW66-1, "-")</f>
        <v>-</v>
      </c>
      <c r="CY66" s="1242"/>
      <c r="CZ66" s="421"/>
      <c r="DA66" s="421"/>
      <c r="DB66" s="421"/>
      <c r="DC66" s="421"/>
      <c r="DD66" s="421"/>
      <c r="DE66" s="245" t="e">
        <f aca="false">+CZ66/DD66-1</f>
        <v>#DIV/0!</v>
      </c>
      <c r="DF66" s="245" t="e">
        <f aca="false">+DA66/DD66-1</f>
        <v>#DIV/0!</v>
      </c>
      <c r="DG66" s="245" t="e">
        <f aca="false">+DB66/DD66-1</f>
        <v>#DIV/0!</v>
      </c>
      <c r="DH66" s="245"/>
      <c r="DI66" s="1227"/>
      <c r="DJ66" s="1214" t="n">
        <f aca="false">SUM(D66,J66,P66,V66,AD66,AL66,AU66,BC66,BK66,BT66,CB66,CJ66)-CR66</f>
        <v>0</v>
      </c>
      <c r="DK66" s="1214" t="n">
        <f aca="false">SUM(E66,K66,Q66,W66,AE66,AM66,AV66,BD66,BL66,BU66,CC66,CK66)-CS66</f>
        <v>0</v>
      </c>
      <c r="DL66" s="1214" t="n">
        <f aca="false">SUM(G66,M66,S66,AA66,AI66,AR66,AZ66,BH66,BQ66,BY66,CG66,CO66)-CW66</f>
        <v>0</v>
      </c>
      <c r="DM66" s="1214" t="n">
        <f aca="false">SUM(D66,J66,P66,V66,AD66,AL66,AU66,BC66,,BN66,BV66,CD66,CL66)-CT66</f>
        <v>0</v>
      </c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2.75" hidden="false" customHeight="true" outlineLevel="0" collapsed="false">
      <c r="B67" s="1241" t="s">
        <v>878</v>
      </c>
      <c r="C67" s="679" t="s">
        <v>889</v>
      </c>
      <c r="D67" s="421"/>
      <c r="E67" s="421"/>
      <c r="F67" s="1283"/>
      <c r="G67" s="421"/>
      <c r="H67" s="885"/>
      <c r="I67" s="38"/>
      <c r="J67" s="421"/>
      <c r="K67" s="421"/>
      <c r="L67" s="1283"/>
      <c r="M67" s="421"/>
      <c r="N67" s="885"/>
      <c r="O67" s="245"/>
      <c r="P67" s="421"/>
      <c r="Q67" s="421"/>
      <c r="R67" s="1283"/>
      <c r="S67" s="421"/>
      <c r="T67" s="885"/>
      <c r="U67" s="422"/>
      <c r="V67" s="421"/>
      <c r="W67" s="421"/>
      <c r="X67" s="421"/>
      <c r="Y67" s="421"/>
      <c r="Z67" s="421"/>
      <c r="AA67" s="421"/>
      <c r="AB67" s="885"/>
      <c r="AC67" s="422"/>
      <c r="AD67" s="421"/>
      <c r="AE67" s="421"/>
      <c r="AF67" s="421"/>
      <c r="AG67" s="421"/>
      <c r="AH67" s="421"/>
      <c r="AI67" s="421"/>
      <c r="AJ67" s="885"/>
      <c r="AK67" s="422"/>
      <c r="AL67" s="421"/>
      <c r="AM67" s="421"/>
      <c r="AN67" s="421"/>
      <c r="AO67" s="421"/>
      <c r="AP67" s="421"/>
      <c r="AQ67" s="421"/>
      <c r="AR67" s="421"/>
      <c r="AS67" s="885"/>
      <c r="AT67" s="423"/>
      <c r="AU67" s="421"/>
      <c r="AV67" s="421"/>
      <c r="AW67" s="421"/>
      <c r="AX67" s="421"/>
      <c r="AY67" s="421"/>
      <c r="AZ67" s="421"/>
      <c r="BA67" s="885"/>
      <c r="BB67" s="422"/>
      <c r="BC67" s="421"/>
      <c r="BD67" s="421"/>
      <c r="BE67" s="421"/>
      <c r="BF67" s="421"/>
      <c r="BG67" s="421"/>
      <c r="BH67" s="421"/>
      <c r="BI67" s="885"/>
      <c r="BJ67" s="422"/>
      <c r="BK67" s="421"/>
      <c r="BL67" s="421"/>
      <c r="BM67" s="421"/>
      <c r="BN67" s="421"/>
      <c r="BO67" s="421"/>
      <c r="BP67" s="421"/>
      <c r="BQ67" s="421"/>
      <c r="BR67" s="885"/>
      <c r="BS67" s="422"/>
      <c r="BT67" s="421"/>
      <c r="BU67" s="421"/>
      <c r="BV67" s="421"/>
      <c r="BW67" s="421"/>
      <c r="BX67" s="421"/>
      <c r="BY67" s="421"/>
      <c r="BZ67" s="885"/>
      <c r="CA67" s="422"/>
      <c r="CB67" s="421"/>
      <c r="CC67" s="421"/>
      <c r="CD67" s="421"/>
      <c r="CE67" s="421"/>
      <c r="CF67" s="421"/>
      <c r="CG67" s="421"/>
      <c r="CH67" s="885"/>
      <c r="CI67" s="422"/>
      <c r="CJ67" s="421"/>
      <c r="CK67" s="421"/>
      <c r="CL67" s="421"/>
      <c r="CM67" s="421"/>
      <c r="CN67" s="421"/>
      <c r="CO67" s="421"/>
      <c r="CP67" s="885"/>
      <c r="CQ67" s="245"/>
      <c r="CR67" s="699"/>
      <c r="CS67" s="144"/>
      <c r="CT67" s="421"/>
      <c r="CU67" s="421" t="n">
        <f aca="false">CR67-CS67</f>
        <v>0</v>
      </c>
      <c r="CV67" s="421" t="n">
        <f aca="false">CR67-CT67</f>
        <v>0</v>
      </c>
      <c r="CW67" s="421"/>
      <c r="CX67" s="421" t="str">
        <f aca="false">IFERROR(CR67/CW67-1, "-")</f>
        <v>-</v>
      </c>
      <c r="CY67" s="1242"/>
      <c r="CZ67" s="421"/>
      <c r="DA67" s="421"/>
      <c r="DB67" s="421"/>
      <c r="DC67" s="421"/>
      <c r="DD67" s="421"/>
      <c r="DE67" s="245" t="e">
        <f aca="false">+CZ67/DD67-1</f>
        <v>#DIV/0!</v>
      </c>
      <c r="DF67" s="245" t="e">
        <f aca="false">+DA67/DD67-1</f>
        <v>#DIV/0!</v>
      </c>
      <c r="DG67" s="245" t="e">
        <f aca="false">+DB67/DD67-1</f>
        <v>#DIV/0!</v>
      </c>
      <c r="DH67" s="245"/>
      <c r="DI67" s="1227"/>
      <c r="DJ67" s="1214" t="n">
        <f aca="false">SUM(D67,J67,P67,V67,AD67,AL67,AU67,BC67,BK67,BT67,CB67,CJ67)-CR67</f>
        <v>0</v>
      </c>
      <c r="DK67" s="1214" t="n">
        <f aca="false">SUM(E67,K67,Q67,W67,AE67,AM67,AV67,BD67,BL67,BU67,CC67,CK67)-CS67</f>
        <v>0</v>
      </c>
      <c r="DL67" s="1214" t="n">
        <f aca="false">SUM(G67,M67,S67,AA67,AI67,AR67,AZ67,BH67,BQ67,BY67,CG67,CO67)-CW67</f>
        <v>0</v>
      </c>
      <c r="DM67" s="1214" t="n">
        <f aca="false">SUM(D67,J67,P67,V67,AD67,AL67,AU67,BC67,,BN67,BV67,CD67,CL67)-CT67</f>
        <v>0</v>
      </c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2.75" hidden="false" customHeight="true" outlineLevel="0" collapsed="false">
      <c r="B68" s="1243" t="s">
        <v>880</v>
      </c>
      <c r="C68" s="679" t="s">
        <v>890</v>
      </c>
      <c r="D68" s="421"/>
      <c r="E68" s="421"/>
      <c r="F68" s="1283"/>
      <c r="G68" s="421"/>
      <c r="H68" s="885"/>
      <c r="I68" s="38"/>
      <c r="J68" s="421"/>
      <c r="K68" s="421"/>
      <c r="L68" s="1283"/>
      <c r="M68" s="421"/>
      <c r="N68" s="885"/>
      <c r="O68" s="245"/>
      <c r="P68" s="421"/>
      <c r="Q68" s="421"/>
      <c r="R68" s="1283"/>
      <c r="S68" s="421"/>
      <c r="T68" s="885"/>
      <c r="U68" s="422"/>
      <c r="V68" s="421"/>
      <c r="W68" s="421"/>
      <c r="X68" s="421"/>
      <c r="Y68" s="421"/>
      <c r="Z68" s="421"/>
      <c r="AA68" s="421"/>
      <c r="AB68" s="885"/>
      <c r="AC68" s="422"/>
      <c r="AD68" s="421"/>
      <c r="AE68" s="421"/>
      <c r="AF68" s="421"/>
      <c r="AG68" s="421"/>
      <c r="AH68" s="421"/>
      <c r="AI68" s="421"/>
      <c r="AJ68" s="885"/>
      <c r="AK68" s="422"/>
      <c r="AL68" s="421"/>
      <c r="AM68" s="421"/>
      <c r="AN68" s="421"/>
      <c r="AO68" s="421"/>
      <c r="AP68" s="421"/>
      <c r="AQ68" s="421"/>
      <c r="AR68" s="421"/>
      <c r="AS68" s="885"/>
      <c r="AT68" s="423"/>
      <c r="AU68" s="421"/>
      <c r="AV68" s="421"/>
      <c r="AW68" s="421"/>
      <c r="AX68" s="421"/>
      <c r="AY68" s="421"/>
      <c r="AZ68" s="421"/>
      <c r="BA68" s="885"/>
      <c r="BB68" s="422"/>
      <c r="BC68" s="421"/>
      <c r="BD68" s="421"/>
      <c r="BE68" s="421"/>
      <c r="BF68" s="421"/>
      <c r="BG68" s="421"/>
      <c r="BH68" s="421"/>
      <c r="BI68" s="885"/>
      <c r="BJ68" s="422"/>
      <c r="BK68" s="421"/>
      <c r="BL68" s="421"/>
      <c r="BM68" s="421"/>
      <c r="BN68" s="421"/>
      <c r="BO68" s="421"/>
      <c r="BP68" s="421"/>
      <c r="BQ68" s="421"/>
      <c r="BR68" s="885"/>
      <c r="BS68" s="422"/>
      <c r="BT68" s="421"/>
      <c r="BU68" s="421"/>
      <c r="BV68" s="421"/>
      <c r="BW68" s="421"/>
      <c r="BX68" s="421"/>
      <c r="BY68" s="421"/>
      <c r="BZ68" s="885"/>
      <c r="CA68" s="422"/>
      <c r="CB68" s="421"/>
      <c r="CC68" s="421"/>
      <c r="CD68" s="421"/>
      <c r="CE68" s="421"/>
      <c r="CF68" s="421"/>
      <c r="CG68" s="421"/>
      <c r="CH68" s="885"/>
      <c r="CI68" s="422"/>
      <c r="CJ68" s="421"/>
      <c r="CK68" s="421"/>
      <c r="CL68" s="421"/>
      <c r="CM68" s="421"/>
      <c r="CN68" s="421"/>
      <c r="CO68" s="421"/>
      <c r="CP68" s="885"/>
      <c r="CQ68" s="245"/>
      <c r="CR68" s="699"/>
      <c r="CS68" s="144"/>
      <c r="CT68" s="421"/>
      <c r="CU68" s="421" t="n">
        <f aca="false">CR68-CS68</f>
        <v>0</v>
      </c>
      <c r="CV68" s="421" t="n">
        <f aca="false">CR68-CT68</f>
        <v>0</v>
      </c>
      <c r="CW68" s="421"/>
      <c r="CX68" s="421" t="str">
        <f aca="false">IFERROR(CR68/CW68-1, "-")</f>
        <v>-</v>
      </c>
      <c r="CY68" s="1242"/>
      <c r="CZ68" s="421"/>
      <c r="DA68" s="421"/>
      <c r="DB68" s="421"/>
      <c r="DC68" s="421"/>
      <c r="DD68" s="421"/>
      <c r="DE68" s="245"/>
      <c r="DF68" s="245"/>
      <c r="DG68" s="245"/>
      <c r="DH68" s="245"/>
      <c r="DI68" s="1227"/>
      <c r="DJ68" s="1214" t="n">
        <f aca="false">SUM(D68,J68,P68,V68,AD68,AL68,AU68,BC68,BK68,BT68,CB68,CJ68)-CR68</f>
        <v>0</v>
      </c>
      <c r="DK68" s="1214" t="n">
        <f aca="false">SUM(E68,K68,Q68,W68,AE68,AM68,AV68,BD68,BL68,BU68,CC68,CK68)-CS68</f>
        <v>0</v>
      </c>
      <c r="DL68" s="1214" t="n">
        <f aca="false">SUM(G68,M68,S68,AA68,AI68,AR68,AZ68,BH68,BQ68,BY68,CG68,CO68)-CW68</f>
        <v>0</v>
      </c>
      <c r="DM68" s="1214" t="n">
        <f aca="false">SUM(D68,J68,P68,V68,AD68,AL68,AU68,BC68,,BN68,BV68,CD68,CL68)-CT68</f>
        <v>0</v>
      </c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true" outlineLevel="0" collapsed="false">
      <c r="B69" s="1241" t="s">
        <v>882</v>
      </c>
      <c r="C69" s="679" t="s">
        <v>891</v>
      </c>
      <c r="D69" s="1287"/>
      <c r="E69" s="1287"/>
      <c r="F69" s="1283"/>
      <c r="G69" s="1287"/>
      <c r="H69" s="885"/>
      <c r="I69" s="38"/>
      <c r="J69" s="1287"/>
      <c r="K69" s="1287"/>
      <c r="L69" s="1283"/>
      <c r="M69" s="1287"/>
      <c r="N69" s="885"/>
      <c r="O69" s="245"/>
      <c r="P69" s="1287"/>
      <c r="Q69" s="1287"/>
      <c r="R69" s="1283"/>
      <c r="S69" s="1287"/>
      <c r="T69" s="885"/>
      <c r="U69" s="422"/>
      <c r="V69" s="1287"/>
      <c r="W69" s="1287"/>
      <c r="X69" s="1287"/>
      <c r="Y69" s="421"/>
      <c r="Z69" s="421"/>
      <c r="AA69" s="1287"/>
      <c r="AB69" s="885"/>
      <c r="AC69" s="422"/>
      <c r="AD69" s="1287"/>
      <c r="AE69" s="1287"/>
      <c r="AF69" s="1287"/>
      <c r="AG69" s="421"/>
      <c r="AH69" s="421"/>
      <c r="AI69" s="1287"/>
      <c r="AJ69" s="885"/>
      <c r="AK69" s="422"/>
      <c r="AL69" s="1287"/>
      <c r="AM69" s="1287"/>
      <c r="AN69" s="1287"/>
      <c r="AO69" s="1287"/>
      <c r="AP69" s="421"/>
      <c r="AQ69" s="421"/>
      <c r="AR69" s="1287"/>
      <c r="AS69" s="885"/>
      <c r="AT69" s="423"/>
      <c r="AU69" s="1287"/>
      <c r="AV69" s="1287"/>
      <c r="AW69" s="1287"/>
      <c r="AX69" s="421"/>
      <c r="AY69" s="421"/>
      <c r="AZ69" s="1287"/>
      <c r="BA69" s="885"/>
      <c r="BB69" s="422"/>
      <c r="BC69" s="1287"/>
      <c r="BD69" s="1287"/>
      <c r="BE69" s="1287"/>
      <c r="BF69" s="421"/>
      <c r="BG69" s="421"/>
      <c r="BH69" s="1287"/>
      <c r="BI69" s="885"/>
      <c r="BJ69" s="422"/>
      <c r="BK69" s="1287"/>
      <c r="BL69" s="1287"/>
      <c r="BM69" s="1287"/>
      <c r="BN69" s="1287"/>
      <c r="BO69" s="421"/>
      <c r="BP69" s="421"/>
      <c r="BQ69" s="1287"/>
      <c r="BR69" s="885"/>
      <c r="BS69" s="422"/>
      <c r="BT69" s="1287"/>
      <c r="BU69" s="1287"/>
      <c r="BV69" s="1287"/>
      <c r="BW69" s="421"/>
      <c r="BX69" s="421"/>
      <c r="BY69" s="1287"/>
      <c r="BZ69" s="885"/>
      <c r="CA69" s="422"/>
      <c r="CB69" s="1287"/>
      <c r="CC69" s="1287"/>
      <c r="CD69" s="1287"/>
      <c r="CE69" s="421"/>
      <c r="CF69" s="421"/>
      <c r="CG69" s="1287"/>
      <c r="CH69" s="885"/>
      <c r="CI69" s="422"/>
      <c r="CJ69" s="1287"/>
      <c r="CK69" s="1287"/>
      <c r="CL69" s="1287"/>
      <c r="CM69" s="421"/>
      <c r="CN69" s="421"/>
      <c r="CO69" s="1287"/>
      <c r="CP69" s="885"/>
      <c r="CQ69" s="245"/>
      <c r="CR69" s="699"/>
      <c r="CS69" s="144"/>
      <c r="CT69" s="1287"/>
      <c r="CU69" s="1287" t="n">
        <f aca="false">CR69-CS69</f>
        <v>0</v>
      </c>
      <c r="CV69" s="1287" t="n">
        <f aca="false">CR69-CT69</f>
        <v>0</v>
      </c>
      <c r="CW69" s="1287"/>
      <c r="CX69" s="1287" t="str">
        <f aca="false">IFERROR(CR69/CW69-1, "-")</f>
        <v>-</v>
      </c>
      <c r="CY69" s="1288"/>
      <c r="CZ69" s="1287"/>
      <c r="DA69" s="1287"/>
      <c r="DB69" s="1287"/>
      <c r="DC69" s="1287"/>
      <c r="DD69" s="1287"/>
      <c r="DE69" s="245"/>
      <c r="DF69" s="245"/>
      <c r="DG69" s="245"/>
      <c r="DH69" s="245"/>
      <c r="DI69" s="1227"/>
      <c r="DJ69" s="1214" t="n">
        <f aca="false">SUM(D69,J69,P69,V69,AD69,AL69,AU69,BC69,BK69,BT69,CB69,CJ69)-CR69</f>
        <v>0</v>
      </c>
      <c r="DK69" s="1214" t="n">
        <f aca="false">SUM(E69,K69,Q69,W69,AE69,AM69,AV69,BD69,BL69,BU69,CC69,CK69)-CS69</f>
        <v>0</v>
      </c>
      <c r="DL69" s="1214" t="n">
        <f aca="false">SUM(G69,M69,S69,AA69,AI69,AR69,AZ69,BH69,BQ69,BY69,CG69,CO69)-CW69</f>
        <v>0</v>
      </c>
      <c r="DM69" s="1214" t="n">
        <f aca="false">SUM(D69,J69,P69,V69,AD69,AL69,AU69,BC69,,BN69,BV69,CD69,CL69)-CT69</f>
        <v>0</v>
      </c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7.5" hidden="false" customHeight="true" outlineLevel="0" collapsed="false">
      <c r="B70" s="1241"/>
      <c r="C70" s="679" t="s">
        <v>892</v>
      </c>
      <c r="D70" s="1287"/>
      <c r="E70" s="1287"/>
      <c r="F70" s="1283"/>
      <c r="G70" s="1287"/>
      <c r="H70" s="885"/>
      <c r="I70" s="38"/>
      <c r="J70" s="1287"/>
      <c r="K70" s="1287"/>
      <c r="L70" s="1283"/>
      <c r="M70" s="1287"/>
      <c r="N70" s="885"/>
      <c r="O70" s="245"/>
      <c r="P70" s="1287"/>
      <c r="Q70" s="1287"/>
      <c r="R70" s="1283"/>
      <c r="S70" s="1287"/>
      <c r="T70" s="885"/>
      <c r="U70" s="422"/>
      <c r="V70" s="1287"/>
      <c r="W70" s="1287"/>
      <c r="X70" s="1287"/>
      <c r="Y70" s="421"/>
      <c r="Z70" s="421"/>
      <c r="AA70" s="1287"/>
      <c r="AB70" s="885"/>
      <c r="AC70" s="422"/>
      <c r="AD70" s="1287"/>
      <c r="AE70" s="1287"/>
      <c r="AF70" s="1287"/>
      <c r="AG70" s="421"/>
      <c r="AH70" s="421"/>
      <c r="AI70" s="1287"/>
      <c r="AJ70" s="885"/>
      <c r="AK70" s="422"/>
      <c r="AL70" s="1287"/>
      <c r="AM70" s="1287"/>
      <c r="AN70" s="1287"/>
      <c r="AO70" s="1287"/>
      <c r="AP70" s="421"/>
      <c r="AQ70" s="421"/>
      <c r="AR70" s="1287"/>
      <c r="AS70" s="885"/>
      <c r="AT70" s="423"/>
      <c r="AU70" s="1287"/>
      <c r="AV70" s="1287"/>
      <c r="AW70" s="1287"/>
      <c r="AX70" s="421"/>
      <c r="AY70" s="421"/>
      <c r="AZ70" s="1287"/>
      <c r="BA70" s="885"/>
      <c r="BB70" s="422"/>
      <c r="BC70" s="1287"/>
      <c r="BD70" s="1287"/>
      <c r="BE70" s="1287"/>
      <c r="BF70" s="421"/>
      <c r="BG70" s="421"/>
      <c r="BH70" s="1287"/>
      <c r="BI70" s="885"/>
      <c r="BJ70" s="422"/>
      <c r="BK70" s="1287"/>
      <c r="BL70" s="1287"/>
      <c r="BM70" s="1287"/>
      <c r="BN70" s="1287"/>
      <c r="BO70" s="421"/>
      <c r="BP70" s="421"/>
      <c r="BQ70" s="1287"/>
      <c r="BR70" s="885"/>
      <c r="BS70" s="422"/>
      <c r="BT70" s="1287"/>
      <c r="BU70" s="1287"/>
      <c r="BV70" s="1287"/>
      <c r="BW70" s="421"/>
      <c r="BX70" s="421"/>
      <c r="BY70" s="1287"/>
      <c r="BZ70" s="885"/>
      <c r="CA70" s="422"/>
      <c r="CB70" s="1287"/>
      <c r="CC70" s="1287"/>
      <c r="CD70" s="1287"/>
      <c r="CE70" s="421"/>
      <c r="CF70" s="421"/>
      <c r="CG70" s="1287"/>
      <c r="CH70" s="885"/>
      <c r="CI70" s="422"/>
      <c r="CJ70" s="1287"/>
      <c r="CK70" s="1287"/>
      <c r="CL70" s="1287"/>
      <c r="CM70" s="421"/>
      <c r="CN70" s="421"/>
      <c r="CO70" s="1287"/>
      <c r="CP70" s="885"/>
      <c r="CQ70" s="245"/>
      <c r="CR70" s="699"/>
      <c r="CS70" s="144"/>
      <c r="CT70" s="1287"/>
      <c r="CU70" s="1287" t="n">
        <f aca="false">CR70-CS70</f>
        <v>0</v>
      </c>
      <c r="CV70" s="1287" t="n">
        <f aca="false">CR70-CT70</f>
        <v>0</v>
      </c>
      <c r="CW70" s="1287"/>
      <c r="CX70" s="1287" t="str">
        <f aca="false">IFERROR(CR70/CW70-1, "-")</f>
        <v>-</v>
      </c>
      <c r="CY70" s="1289"/>
      <c r="CZ70" s="1287"/>
      <c r="DA70" s="1287"/>
      <c r="DB70" s="1287"/>
      <c r="DC70" s="1287"/>
      <c r="DD70" s="1287"/>
      <c r="DE70" s="245"/>
      <c r="DF70" s="245"/>
      <c r="DG70" s="245"/>
      <c r="DH70" s="245"/>
      <c r="DI70" s="1227"/>
      <c r="DJ70" s="1214" t="n">
        <f aca="false">SUM(D70,J70,P70,V70,AD70,AL70,AU70,BC70,BK70,BT70,CB70,CJ70)-CR70</f>
        <v>0</v>
      </c>
      <c r="DK70" s="1214" t="n">
        <f aca="false">SUM(E70,K70,Q70,W70,AE70,AM70,AV70,BD70,BL70,BU70,CC70,CK70)-CS70</f>
        <v>0</v>
      </c>
      <c r="DL70" s="1214" t="n">
        <f aca="false">SUM(G70,M70,S70,AA70,AI70,AR70,AZ70,BH70,BQ70,BY70,CG70,CO70)-CW70</f>
        <v>0</v>
      </c>
      <c r="DM70" s="1214" t="n">
        <f aca="false">SUM(D70,J70,P70,V70,AD70,AL70,AU70,BC70,,BN70,BV70,CD70,CL70)-CT70</f>
        <v>0</v>
      </c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s="793" customFormat="true" ht="12.75" hidden="true" customHeight="true" outlineLevel="0" collapsed="false">
      <c r="B71" s="1259" t="s">
        <v>558</v>
      </c>
      <c r="C71" s="679" t="s">
        <v>893</v>
      </c>
      <c r="D71" s="1260"/>
      <c r="E71" s="1260"/>
      <c r="F71" s="1262"/>
      <c r="G71" s="1260"/>
      <c r="H71" s="1263"/>
      <c r="I71" s="1264"/>
      <c r="J71" s="1260"/>
      <c r="K71" s="1260"/>
      <c r="L71" s="1262"/>
      <c r="M71" s="1260"/>
      <c r="N71" s="1263"/>
      <c r="O71" s="1265"/>
      <c r="P71" s="1260"/>
      <c r="Q71" s="1260"/>
      <c r="R71" s="1262"/>
      <c r="S71" s="1260"/>
      <c r="T71" s="1263"/>
      <c r="U71" s="1266"/>
      <c r="V71" s="1260"/>
      <c r="W71" s="1260"/>
      <c r="X71" s="1260"/>
      <c r="Y71" s="1262"/>
      <c r="Z71" s="1262"/>
      <c r="AA71" s="1260"/>
      <c r="AB71" s="1263"/>
      <c r="AC71" s="1266"/>
      <c r="AD71" s="1260"/>
      <c r="AE71" s="1260"/>
      <c r="AF71" s="1260"/>
      <c r="AG71" s="1262"/>
      <c r="AH71" s="1262"/>
      <c r="AI71" s="1260"/>
      <c r="AJ71" s="1263"/>
      <c r="AK71" s="1266"/>
      <c r="AL71" s="1260"/>
      <c r="AM71" s="1260"/>
      <c r="AN71" s="1260"/>
      <c r="AO71" s="1260"/>
      <c r="AP71" s="1262"/>
      <c r="AQ71" s="1262"/>
      <c r="AR71" s="1260"/>
      <c r="AS71" s="1263"/>
      <c r="AT71" s="1267"/>
      <c r="AU71" s="1260"/>
      <c r="AV71" s="1260"/>
      <c r="AW71" s="1260"/>
      <c r="AX71" s="1262"/>
      <c r="AY71" s="1262"/>
      <c r="AZ71" s="1260"/>
      <c r="BA71" s="1263"/>
      <c r="BB71" s="1266"/>
      <c r="BC71" s="1260"/>
      <c r="BD71" s="1260"/>
      <c r="BE71" s="1260"/>
      <c r="BF71" s="1262"/>
      <c r="BG71" s="1262"/>
      <c r="BH71" s="1260"/>
      <c r="BI71" s="1263"/>
      <c r="BJ71" s="1266"/>
      <c r="BK71" s="1260"/>
      <c r="BL71" s="1260"/>
      <c r="BM71" s="1260"/>
      <c r="BN71" s="1260"/>
      <c r="BO71" s="1262"/>
      <c r="BP71" s="1262"/>
      <c r="BQ71" s="1260"/>
      <c r="BR71" s="1263"/>
      <c r="BS71" s="1266"/>
      <c r="BT71" s="1260"/>
      <c r="BU71" s="1260"/>
      <c r="BV71" s="1260"/>
      <c r="BW71" s="1262"/>
      <c r="BX71" s="1262"/>
      <c r="BY71" s="1260"/>
      <c r="BZ71" s="1263"/>
      <c r="CA71" s="1266"/>
      <c r="CB71" s="1260"/>
      <c r="CC71" s="1260"/>
      <c r="CD71" s="1260"/>
      <c r="CE71" s="1262"/>
      <c r="CF71" s="1262"/>
      <c r="CG71" s="1260"/>
      <c r="CH71" s="1263"/>
      <c r="CI71" s="1266"/>
      <c r="CJ71" s="1260"/>
      <c r="CK71" s="1260"/>
      <c r="CL71" s="1260"/>
      <c r="CM71" s="1262"/>
      <c r="CN71" s="1262"/>
      <c r="CO71" s="1260"/>
      <c r="CP71" s="1263"/>
      <c r="CQ71" s="1265"/>
      <c r="CR71" s="1290" t="n">
        <f aca="false">+SUMIF($J$5:$CQ$5,CR$5,$J71:$CQ71)</f>
        <v>0</v>
      </c>
      <c r="CS71" s="1291" t="n">
        <f aca="false">+SUMIF($D$5:$CQ$5,CS$5,$D71:$CQ71)</f>
        <v>0</v>
      </c>
      <c r="CT71" s="1260" t="n">
        <f aca="false">SUM(CT72:CT76)</f>
        <v>0.761579879906989</v>
      </c>
      <c r="CU71" s="1260" t="n">
        <f aca="false">CR71-CS71</f>
        <v>0</v>
      </c>
      <c r="CV71" s="1260" t="n">
        <f aca="false">CR71-CT71</f>
        <v>-0.761579879906989</v>
      </c>
      <c r="CW71" s="1260"/>
      <c r="CX71" s="1260" t="str">
        <f aca="false">IFERROR(CR71/CW71-1, "-")</f>
        <v>-</v>
      </c>
      <c r="CY71" s="1292"/>
      <c r="CZ71" s="1260"/>
      <c r="DA71" s="1260"/>
      <c r="DB71" s="1260"/>
      <c r="DC71" s="1260"/>
      <c r="DD71" s="1260"/>
      <c r="DE71" s="1265" t="e">
        <f aca="false">+CZ71/DD71-1</f>
        <v>#DIV/0!</v>
      </c>
      <c r="DF71" s="1265" t="e">
        <f aca="false">+DA71/DD71-1</f>
        <v>#DIV/0!</v>
      </c>
      <c r="DG71" s="1265" t="e">
        <f aca="false">+DB71/DD71-1</f>
        <v>#DIV/0!</v>
      </c>
      <c r="DH71" s="1265" t="e">
        <f aca="false">+DC71/DD71-1</f>
        <v>#DIV/0!</v>
      </c>
      <c r="DI71" s="1270"/>
      <c r="DJ71" s="1214" t="n">
        <f aca="false">SUM(D71,J71,P71,V71,AD71,AL71,AU71,BC71,BK71,BT71,CB71,CJ71)-CR71</f>
        <v>0</v>
      </c>
      <c r="DK71" s="1214" t="n">
        <f aca="false">SUM(E71,K71,Q71,W71,AE71,AM71,AV71,BD71,BL71,BU71,CC71,CK71)-CS71</f>
        <v>0</v>
      </c>
      <c r="DL71" s="1214" t="n">
        <f aca="false">SUM(G71,M71,S71,AA71,AI71,AR71,AZ71,BH71,BQ71,BY71,CG71,CO71)-CW71</f>
        <v>0</v>
      </c>
      <c r="DM71" s="1214" t="n">
        <f aca="false">SUM(D71,J71,P71,V71,AD71,AL71,AU71,BC71,,BN71,BV71,CD71,CL71)-CT71</f>
        <v>-0.761579879906989</v>
      </c>
      <c r="DX71" s="400" t="n">
        <f aca="false">(CS71-CZ71)*10^6</f>
        <v>0</v>
      </c>
      <c r="DY71" s="400" t="n">
        <f aca="false">(CT71-DC71)*10^6</f>
        <v>761579.879906989</v>
      </c>
      <c r="DZ71" s="400" t="n">
        <f aca="false">(CW71-DD71)*10^6</f>
        <v>0</v>
      </c>
    </row>
    <row r="72" s="818" customFormat="true" ht="12.75" hidden="true" customHeight="true" outlineLevel="0" collapsed="false">
      <c r="B72" s="1253" t="s">
        <v>874</v>
      </c>
      <c r="C72" s="679" t="s">
        <v>894</v>
      </c>
      <c r="D72" s="1293"/>
      <c r="E72" s="433"/>
      <c r="F72" s="1255"/>
      <c r="G72" s="433"/>
      <c r="H72" s="1256"/>
      <c r="I72" s="1294"/>
      <c r="J72" s="1293"/>
      <c r="K72" s="433"/>
      <c r="L72" s="1255"/>
      <c r="M72" s="433"/>
      <c r="N72" s="1256"/>
      <c r="O72" s="434"/>
      <c r="P72" s="1293"/>
      <c r="Q72" s="433"/>
      <c r="R72" s="1255"/>
      <c r="S72" s="433"/>
      <c r="T72" s="1256"/>
      <c r="U72" s="435"/>
      <c r="V72" s="1293"/>
      <c r="W72" s="433"/>
      <c r="X72" s="433"/>
      <c r="Y72" s="580"/>
      <c r="Z72" s="580"/>
      <c r="AA72" s="433"/>
      <c r="AB72" s="1256"/>
      <c r="AC72" s="435"/>
      <c r="AD72" s="1293"/>
      <c r="AE72" s="433"/>
      <c r="AF72" s="433"/>
      <c r="AG72" s="580"/>
      <c r="AH72" s="580"/>
      <c r="AI72" s="433"/>
      <c r="AJ72" s="1256"/>
      <c r="AK72" s="435"/>
      <c r="AL72" s="1293"/>
      <c r="AM72" s="433"/>
      <c r="AN72" s="433"/>
      <c r="AO72" s="433"/>
      <c r="AP72" s="580"/>
      <c r="AQ72" s="580"/>
      <c r="AR72" s="433"/>
      <c r="AS72" s="1256"/>
      <c r="AT72" s="436"/>
      <c r="AU72" s="1293"/>
      <c r="AV72" s="433"/>
      <c r="AW72" s="433"/>
      <c r="AX72" s="580"/>
      <c r="AY72" s="580"/>
      <c r="AZ72" s="433"/>
      <c r="BA72" s="1256"/>
      <c r="BB72" s="435"/>
      <c r="BC72" s="1293"/>
      <c r="BD72" s="433"/>
      <c r="BE72" s="433"/>
      <c r="BF72" s="580"/>
      <c r="BG72" s="580"/>
      <c r="BH72" s="433"/>
      <c r="BI72" s="1256"/>
      <c r="BJ72" s="435"/>
      <c r="BK72" s="1293"/>
      <c r="BL72" s="433"/>
      <c r="BM72" s="433"/>
      <c r="BN72" s="433"/>
      <c r="BO72" s="580"/>
      <c r="BP72" s="580"/>
      <c r="BQ72" s="433"/>
      <c r="BR72" s="1256"/>
      <c r="BS72" s="435"/>
      <c r="BT72" s="1293"/>
      <c r="BU72" s="433"/>
      <c r="BV72" s="433"/>
      <c r="BW72" s="580"/>
      <c r="BX72" s="580"/>
      <c r="BY72" s="433"/>
      <c r="BZ72" s="1256"/>
      <c r="CA72" s="435"/>
      <c r="CB72" s="1293"/>
      <c r="CC72" s="433"/>
      <c r="CD72" s="433"/>
      <c r="CE72" s="580"/>
      <c r="CF72" s="580"/>
      <c r="CG72" s="433"/>
      <c r="CH72" s="1256"/>
      <c r="CI72" s="435"/>
      <c r="CJ72" s="1293"/>
      <c r="CK72" s="433"/>
      <c r="CL72" s="433"/>
      <c r="CM72" s="580"/>
      <c r="CN72" s="580"/>
      <c r="CO72" s="433"/>
      <c r="CP72" s="1256"/>
      <c r="CQ72" s="434"/>
      <c r="CR72" s="1295" t="n">
        <f aca="false">+SUMIF($J$5:$CQ$5,CR$5,$J72:$CQ72)</f>
        <v>0</v>
      </c>
      <c r="CS72" s="433" t="n">
        <f aca="false">+SUMIF($D$5:$CQ$5,CS$5,$D72:$CQ72)</f>
        <v>0</v>
      </c>
      <c r="CT72" s="433" t="n">
        <v>0.000916213975076239</v>
      </c>
      <c r="CU72" s="433" t="n">
        <f aca="false">CR72-CS72</f>
        <v>0</v>
      </c>
      <c r="CV72" s="433" t="n">
        <f aca="false">CR72-CT72</f>
        <v>-0.000916213975076239</v>
      </c>
      <c r="CW72" s="433"/>
      <c r="CX72" s="433" t="str">
        <f aca="false">IFERROR(CR72/CW72-1, "-")</f>
        <v>-</v>
      </c>
      <c r="CY72" s="433"/>
      <c r="CZ72" s="433"/>
      <c r="DA72" s="433"/>
      <c r="DB72" s="433"/>
      <c r="DC72" s="433"/>
      <c r="DD72" s="433"/>
      <c r="DE72" s="434" t="e">
        <f aca="false">+CZ72/DD72-1</f>
        <v>#DIV/0!</v>
      </c>
      <c r="DF72" s="434" t="e">
        <f aca="false">+DA72/DD72-1</f>
        <v>#DIV/0!</v>
      </c>
      <c r="DG72" s="434" t="e">
        <f aca="false">+DB72/DD72-1</f>
        <v>#DIV/0!</v>
      </c>
      <c r="DH72" s="434" t="e">
        <f aca="false">+DC72/DD72-1</f>
        <v>#DIV/0!</v>
      </c>
      <c r="DI72" s="794"/>
      <c r="DJ72" s="1214" t="n">
        <f aca="false">SUM(D72,J72,P72,V72,AD72,AL72,AU72,BC72,BK72,BT72,CB72,CJ72)-CR72</f>
        <v>0</v>
      </c>
      <c r="DK72" s="1214" t="n">
        <f aca="false">SUM(E72,K72,Q72,W72,AE72,AM72,AV72,BD72,BL72,BU72,CC72,CK72)-CS72</f>
        <v>0</v>
      </c>
      <c r="DL72" s="1214" t="n">
        <f aca="false">SUM(G72,M72,S72,AA72,AI72,AR72,AZ72,BH72,BQ72,BY72,CG72,CO72)-CW72</f>
        <v>0</v>
      </c>
      <c r="DM72" s="1214" t="n">
        <f aca="false">SUM(D72,J72,P72,V72,AD72,AL72,AU72,BC72,,BN72,BV72,CD72,CL72)-CT72</f>
        <v>-0.000916213975076239</v>
      </c>
      <c r="DX72" s="400" t="n">
        <f aca="false">(CS72-CZ72)*10^6</f>
        <v>0</v>
      </c>
      <c r="DY72" s="400" t="n">
        <f aca="false">(CT72-DC72)*10^6</f>
        <v>916.21397507624</v>
      </c>
      <c r="DZ72" s="400" t="n">
        <f aca="false">(CW72-DD72)*10^6</f>
        <v>0</v>
      </c>
    </row>
    <row r="73" s="818" customFormat="true" ht="12.75" hidden="true" customHeight="true" outlineLevel="0" collapsed="false">
      <c r="B73" s="1253" t="s">
        <v>876</v>
      </c>
      <c r="C73" s="679" t="s">
        <v>895</v>
      </c>
      <c r="D73" s="1293"/>
      <c r="E73" s="433"/>
      <c r="F73" s="1255"/>
      <c r="G73" s="433"/>
      <c r="H73" s="1256"/>
      <c r="I73" s="1294"/>
      <c r="J73" s="1293"/>
      <c r="K73" s="433"/>
      <c r="L73" s="1255"/>
      <c r="M73" s="433"/>
      <c r="N73" s="1256"/>
      <c r="O73" s="434"/>
      <c r="P73" s="1293"/>
      <c r="Q73" s="433"/>
      <c r="R73" s="1255"/>
      <c r="S73" s="433"/>
      <c r="T73" s="1256"/>
      <c r="U73" s="435"/>
      <c r="V73" s="1293"/>
      <c r="W73" s="433"/>
      <c r="X73" s="433"/>
      <c r="Y73" s="580"/>
      <c r="Z73" s="580"/>
      <c r="AA73" s="433"/>
      <c r="AB73" s="1256"/>
      <c r="AC73" s="435"/>
      <c r="AD73" s="1293"/>
      <c r="AE73" s="433"/>
      <c r="AF73" s="433"/>
      <c r="AG73" s="580"/>
      <c r="AH73" s="580"/>
      <c r="AI73" s="433"/>
      <c r="AJ73" s="1256"/>
      <c r="AK73" s="435"/>
      <c r="AL73" s="1293"/>
      <c r="AM73" s="433"/>
      <c r="AN73" s="433"/>
      <c r="AO73" s="433"/>
      <c r="AP73" s="580"/>
      <c r="AQ73" s="580"/>
      <c r="AR73" s="433"/>
      <c r="AS73" s="1256"/>
      <c r="AT73" s="436"/>
      <c r="AU73" s="1293"/>
      <c r="AV73" s="433"/>
      <c r="AW73" s="433"/>
      <c r="AX73" s="580"/>
      <c r="AY73" s="580"/>
      <c r="AZ73" s="433"/>
      <c r="BA73" s="1256"/>
      <c r="BB73" s="435"/>
      <c r="BC73" s="1293"/>
      <c r="BD73" s="433"/>
      <c r="BE73" s="433"/>
      <c r="BF73" s="580"/>
      <c r="BG73" s="580"/>
      <c r="BH73" s="433"/>
      <c r="BI73" s="1256"/>
      <c r="BJ73" s="435"/>
      <c r="BK73" s="1293"/>
      <c r="BL73" s="433"/>
      <c r="BM73" s="433"/>
      <c r="BN73" s="433"/>
      <c r="BO73" s="580"/>
      <c r="BP73" s="580"/>
      <c r="BQ73" s="433"/>
      <c r="BR73" s="1256"/>
      <c r="BS73" s="435"/>
      <c r="BT73" s="1293"/>
      <c r="BU73" s="433"/>
      <c r="BV73" s="433"/>
      <c r="BW73" s="580"/>
      <c r="BX73" s="580"/>
      <c r="BY73" s="433"/>
      <c r="BZ73" s="1256"/>
      <c r="CA73" s="435"/>
      <c r="CB73" s="1293"/>
      <c r="CC73" s="433"/>
      <c r="CD73" s="433"/>
      <c r="CE73" s="580"/>
      <c r="CF73" s="580"/>
      <c r="CG73" s="433"/>
      <c r="CH73" s="1256"/>
      <c r="CI73" s="435"/>
      <c r="CJ73" s="1293"/>
      <c r="CK73" s="433"/>
      <c r="CL73" s="433"/>
      <c r="CM73" s="580"/>
      <c r="CN73" s="580"/>
      <c r="CO73" s="433"/>
      <c r="CP73" s="1256"/>
      <c r="CQ73" s="434"/>
      <c r="CR73" s="1295" t="n">
        <f aca="false">+SUMIF($J$5:$CQ$5,CR$5,$J73:$CQ73)</f>
        <v>0</v>
      </c>
      <c r="CS73" s="433" t="n">
        <f aca="false">+SUMIF($D$5:$CQ$5,CS$5,$D73:$CQ73)</f>
        <v>0</v>
      </c>
      <c r="CT73" s="433" t="n">
        <v>0.0495445012672412</v>
      </c>
      <c r="CU73" s="433" t="n">
        <f aca="false">CR73-CS73</f>
        <v>0</v>
      </c>
      <c r="CV73" s="433" t="n">
        <f aca="false">CR73-CT73</f>
        <v>-0.0495445012672412</v>
      </c>
      <c r="CW73" s="433"/>
      <c r="CX73" s="433" t="str">
        <f aca="false">IFERROR(CR73/CW73-1, "-")</f>
        <v>-</v>
      </c>
      <c r="CY73" s="433"/>
      <c r="CZ73" s="433"/>
      <c r="DA73" s="433"/>
      <c r="DB73" s="433"/>
      <c r="DC73" s="433"/>
      <c r="DD73" s="433"/>
      <c r="DE73" s="434" t="e">
        <f aca="false">+CZ73/DD73-1</f>
        <v>#DIV/0!</v>
      </c>
      <c r="DF73" s="434" t="e">
        <f aca="false">+DA73/DD73-1</f>
        <v>#DIV/0!</v>
      </c>
      <c r="DG73" s="434" t="e">
        <f aca="false">+DB73/DD73-1</f>
        <v>#DIV/0!</v>
      </c>
      <c r="DH73" s="434" t="e">
        <f aca="false">+DC73/DD73-1</f>
        <v>#DIV/0!</v>
      </c>
      <c r="DI73" s="794"/>
      <c r="DJ73" s="1214" t="n">
        <f aca="false">SUM(D73,J73,P73,V73,AD73,AL73,AU73,BC73,BK73,BT73,CB73,CJ73)-CR73</f>
        <v>0</v>
      </c>
      <c r="DK73" s="1214" t="n">
        <f aca="false">SUM(E73,K73,Q73,W73,AE73,AM73,AV73,BD73,BL73,BU73,CC73,CK73)-CS73</f>
        <v>0</v>
      </c>
      <c r="DL73" s="1214" t="n">
        <f aca="false">SUM(G73,M73,S73,AA73,AI73,AR73,AZ73,BH73,BQ73,BY73,CG73,CO73)-CW73</f>
        <v>0</v>
      </c>
      <c r="DM73" s="1214" t="n">
        <f aca="false">SUM(D73,J73,P73,V73,AD73,AL73,AU73,BC73,,BN73,BV73,CD73,CL73)-CT73</f>
        <v>-0.0495445012672412</v>
      </c>
      <c r="DX73" s="400" t="n">
        <f aca="false">(CS73-CZ73)*10^6</f>
        <v>0</v>
      </c>
      <c r="DY73" s="400" t="n">
        <f aca="false">(CT73-DC73)*10^6</f>
        <v>49544.5012672412</v>
      </c>
      <c r="DZ73" s="400" t="n">
        <f aca="false">(CW73-DD73)*10^6</f>
        <v>0</v>
      </c>
    </row>
    <row r="74" s="818" customFormat="true" ht="12.75" hidden="true" customHeight="true" outlineLevel="0" collapsed="false">
      <c r="B74" s="1253" t="s">
        <v>878</v>
      </c>
      <c r="C74" s="679" t="s">
        <v>896</v>
      </c>
      <c r="D74" s="1293"/>
      <c r="E74" s="580"/>
      <c r="F74" s="1255"/>
      <c r="G74" s="580"/>
      <c r="H74" s="1256"/>
      <c r="I74" s="1294"/>
      <c r="J74" s="1293"/>
      <c r="K74" s="580"/>
      <c r="L74" s="1255"/>
      <c r="M74" s="580"/>
      <c r="N74" s="1256"/>
      <c r="O74" s="434"/>
      <c r="P74" s="1293"/>
      <c r="Q74" s="580"/>
      <c r="R74" s="1255"/>
      <c r="S74" s="580"/>
      <c r="T74" s="1256"/>
      <c r="U74" s="435"/>
      <c r="V74" s="1293"/>
      <c r="W74" s="580"/>
      <c r="X74" s="580"/>
      <c r="Y74" s="580"/>
      <c r="Z74" s="580"/>
      <c r="AA74" s="580"/>
      <c r="AB74" s="1256"/>
      <c r="AC74" s="435"/>
      <c r="AD74" s="1293"/>
      <c r="AE74" s="580"/>
      <c r="AF74" s="580"/>
      <c r="AG74" s="580"/>
      <c r="AH74" s="580"/>
      <c r="AI74" s="580"/>
      <c r="AJ74" s="1256"/>
      <c r="AK74" s="435"/>
      <c r="AL74" s="1293"/>
      <c r="AM74" s="580"/>
      <c r="AN74" s="580"/>
      <c r="AO74" s="580"/>
      <c r="AP74" s="580"/>
      <c r="AQ74" s="580"/>
      <c r="AR74" s="580"/>
      <c r="AS74" s="1256"/>
      <c r="AT74" s="436"/>
      <c r="AU74" s="1293"/>
      <c r="AV74" s="580"/>
      <c r="AW74" s="580"/>
      <c r="AX74" s="580"/>
      <c r="AY74" s="580"/>
      <c r="AZ74" s="580"/>
      <c r="BA74" s="1256"/>
      <c r="BB74" s="435"/>
      <c r="BC74" s="1293"/>
      <c r="BD74" s="580"/>
      <c r="BE74" s="580"/>
      <c r="BF74" s="580"/>
      <c r="BG74" s="580"/>
      <c r="BH74" s="580"/>
      <c r="BI74" s="1256"/>
      <c r="BJ74" s="435"/>
      <c r="BK74" s="1293"/>
      <c r="BL74" s="580"/>
      <c r="BM74" s="580"/>
      <c r="BN74" s="580"/>
      <c r="BO74" s="580"/>
      <c r="BP74" s="580"/>
      <c r="BQ74" s="580"/>
      <c r="BR74" s="1256"/>
      <c r="BS74" s="435"/>
      <c r="BT74" s="1293"/>
      <c r="BU74" s="580"/>
      <c r="BV74" s="580"/>
      <c r="BW74" s="580"/>
      <c r="BX74" s="580"/>
      <c r="BY74" s="580"/>
      <c r="BZ74" s="1256"/>
      <c r="CA74" s="435"/>
      <c r="CB74" s="1293"/>
      <c r="CC74" s="580"/>
      <c r="CD74" s="580"/>
      <c r="CE74" s="580"/>
      <c r="CF74" s="580"/>
      <c r="CG74" s="580"/>
      <c r="CH74" s="1256"/>
      <c r="CI74" s="435"/>
      <c r="CJ74" s="1293"/>
      <c r="CK74" s="580"/>
      <c r="CL74" s="580"/>
      <c r="CM74" s="580"/>
      <c r="CN74" s="580"/>
      <c r="CO74" s="580"/>
      <c r="CP74" s="1256"/>
      <c r="CQ74" s="434"/>
      <c r="CR74" s="1295" t="n">
        <f aca="false">+SUMIF($J$5:$CQ$5,CR$5,$J74:$CQ74)</f>
        <v>0</v>
      </c>
      <c r="CS74" s="433" t="n">
        <f aca="false">+SUMIF($D$5:$CQ$5,CS$5,$D74:$CQ74)</f>
        <v>0</v>
      </c>
      <c r="CT74" s="580" t="n">
        <v>0.171410590858629</v>
      </c>
      <c r="CU74" s="580" t="n">
        <f aca="false">CR74-CS74</f>
        <v>0</v>
      </c>
      <c r="CV74" s="580" t="n">
        <f aca="false">CR74-CT74</f>
        <v>-0.171410590858629</v>
      </c>
      <c r="CW74" s="580"/>
      <c r="CX74" s="580" t="str">
        <f aca="false">IFERROR(CR74/CW74-1, "-")</f>
        <v>-</v>
      </c>
      <c r="CY74" s="580"/>
      <c r="CZ74" s="580"/>
      <c r="DA74" s="580"/>
      <c r="DB74" s="580"/>
      <c r="DC74" s="580"/>
      <c r="DD74" s="580"/>
      <c r="DE74" s="434" t="e">
        <f aca="false">+CZ74/DD74-1</f>
        <v>#DIV/0!</v>
      </c>
      <c r="DF74" s="434" t="e">
        <f aca="false">+DA74/DD74-1</f>
        <v>#DIV/0!</v>
      </c>
      <c r="DG74" s="434" t="e">
        <f aca="false">+DB74/DD74-1</f>
        <v>#DIV/0!</v>
      </c>
      <c r="DH74" s="434" t="e">
        <f aca="false">+DC74/DD74-1</f>
        <v>#DIV/0!</v>
      </c>
      <c r="DI74" s="794"/>
      <c r="DJ74" s="1214" t="n">
        <f aca="false">SUM(D74,J74,P74,V74,AD74,AL74,AU74,BC74,BK74,BT74,CB74,CJ74)-CR74</f>
        <v>0</v>
      </c>
      <c r="DK74" s="1214" t="n">
        <f aca="false">SUM(E74,K74,Q74,W74,AE74,AM74,AV74,BD74,BL74,BU74,CC74,CK74)-CS74</f>
        <v>0</v>
      </c>
      <c r="DL74" s="1214" t="n">
        <f aca="false">SUM(G74,M74,S74,AA74,AI74,AR74,AZ74,BH74,BQ74,BY74,CG74,CO74)-CW74</f>
        <v>0</v>
      </c>
      <c r="DM74" s="1214" t="n">
        <f aca="false">SUM(D74,J74,P74,V74,AD74,AL74,AU74,BC74,,BN74,BV74,CD74,CL74)-CT74</f>
        <v>-0.171410590858629</v>
      </c>
      <c r="DX74" s="400" t="n">
        <f aca="false">(CS74-CZ74)*10^6</f>
        <v>0</v>
      </c>
      <c r="DY74" s="400" t="n">
        <f aca="false">(CT74-DC74)*10^6</f>
        <v>171410.590858629</v>
      </c>
      <c r="DZ74" s="400" t="n">
        <f aca="false">(CW74-DD74)*10^6</f>
        <v>0</v>
      </c>
    </row>
    <row r="75" s="818" customFormat="true" ht="12.75" hidden="true" customHeight="true" outlineLevel="0" collapsed="false">
      <c r="B75" s="1253" t="s">
        <v>880</v>
      </c>
      <c r="C75" s="679" t="s">
        <v>897</v>
      </c>
      <c r="D75" s="1296"/>
      <c r="E75" s="433"/>
      <c r="F75" s="1255"/>
      <c r="G75" s="433"/>
      <c r="H75" s="1256"/>
      <c r="I75" s="1294"/>
      <c r="J75" s="1296"/>
      <c r="K75" s="433"/>
      <c r="L75" s="1255"/>
      <c r="M75" s="433"/>
      <c r="N75" s="1256"/>
      <c r="O75" s="434"/>
      <c r="P75" s="1296"/>
      <c r="Q75" s="433"/>
      <c r="R75" s="1255"/>
      <c r="S75" s="433"/>
      <c r="T75" s="1256"/>
      <c r="U75" s="435"/>
      <c r="V75" s="1296"/>
      <c r="W75" s="433"/>
      <c r="X75" s="433"/>
      <c r="Y75" s="580"/>
      <c r="Z75" s="580"/>
      <c r="AA75" s="433"/>
      <c r="AB75" s="1256"/>
      <c r="AC75" s="435"/>
      <c r="AD75" s="1296"/>
      <c r="AE75" s="433"/>
      <c r="AF75" s="433"/>
      <c r="AG75" s="580"/>
      <c r="AH75" s="580"/>
      <c r="AI75" s="433"/>
      <c r="AJ75" s="1256"/>
      <c r="AK75" s="435"/>
      <c r="AL75" s="1296"/>
      <c r="AM75" s="433"/>
      <c r="AN75" s="433"/>
      <c r="AO75" s="433"/>
      <c r="AP75" s="580"/>
      <c r="AQ75" s="580"/>
      <c r="AR75" s="433"/>
      <c r="AS75" s="1256"/>
      <c r="AT75" s="436"/>
      <c r="AU75" s="1296"/>
      <c r="AV75" s="433"/>
      <c r="AW75" s="433"/>
      <c r="AX75" s="580"/>
      <c r="AY75" s="580"/>
      <c r="AZ75" s="433"/>
      <c r="BA75" s="1256"/>
      <c r="BB75" s="435"/>
      <c r="BC75" s="1296"/>
      <c r="BD75" s="433"/>
      <c r="BE75" s="433"/>
      <c r="BF75" s="580"/>
      <c r="BG75" s="580"/>
      <c r="BH75" s="433"/>
      <c r="BI75" s="1256"/>
      <c r="BJ75" s="435"/>
      <c r="BK75" s="1296"/>
      <c r="BL75" s="433"/>
      <c r="BM75" s="433"/>
      <c r="BN75" s="433"/>
      <c r="BO75" s="580"/>
      <c r="BP75" s="580"/>
      <c r="BQ75" s="433"/>
      <c r="BR75" s="1256"/>
      <c r="BS75" s="435"/>
      <c r="BT75" s="1296"/>
      <c r="BU75" s="433"/>
      <c r="BV75" s="433"/>
      <c r="BW75" s="580"/>
      <c r="BX75" s="580"/>
      <c r="BY75" s="433"/>
      <c r="BZ75" s="1256"/>
      <c r="CA75" s="435"/>
      <c r="CB75" s="1296"/>
      <c r="CC75" s="433"/>
      <c r="CD75" s="433"/>
      <c r="CE75" s="580"/>
      <c r="CF75" s="580"/>
      <c r="CG75" s="433"/>
      <c r="CH75" s="1256"/>
      <c r="CI75" s="435"/>
      <c r="CJ75" s="1296"/>
      <c r="CK75" s="433"/>
      <c r="CL75" s="433"/>
      <c r="CM75" s="580"/>
      <c r="CN75" s="580"/>
      <c r="CO75" s="433"/>
      <c r="CP75" s="1256"/>
      <c r="CQ75" s="434"/>
      <c r="CR75" s="1295" t="n">
        <f aca="false">+SUMIF($J$5:$CQ$5,CR$5,$J75:$CQ75)</f>
        <v>0</v>
      </c>
      <c r="CS75" s="433" t="n">
        <f aca="false">+SUMIF($D$5:$CQ$5,CS$5,$D75:$CQ75)</f>
        <v>0</v>
      </c>
      <c r="CT75" s="433" t="n">
        <v>0.539437514918388</v>
      </c>
      <c r="CU75" s="433" t="n">
        <f aca="false">CR75-CS75</f>
        <v>0</v>
      </c>
      <c r="CV75" s="433" t="n">
        <f aca="false">CR75-CT75</f>
        <v>-0.539437514918388</v>
      </c>
      <c r="CW75" s="433"/>
      <c r="CX75" s="433" t="str">
        <f aca="false">IFERROR(CR75/CW75-1, "-")</f>
        <v>-</v>
      </c>
      <c r="CY75" s="433"/>
      <c r="CZ75" s="433"/>
      <c r="DA75" s="433"/>
      <c r="DB75" s="433"/>
      <c r="DC75" s="433"/>
      <c r="DD75" s="433"/>
      <c r="DE75" s="434"/>
      <c r="DF75" s="434"/>
      <c r="DG75" s="434"/>
      <c r="DH75" s="434"/>
      <c r="DI75" s="794"/>
      <c r="DJ75" s="1214" t="n">
        <f aca="false">SUM(D75,J75,P75,V75,AD75,AL75,AU75,BC75,BK75,BT75,CB75,CJ75)-CR75</f>
        <v>0</v>
      </c>
      <c r="DK75" s="1214" t="n">
        <f aca="false">SUM(E75,K75,Q75,W75,AE75,AM75,AV75,BD75,BL75,BU75,CC75,CK75)-CS75</f>
        <v>0</v>
      </c>
      <c r="DL75" s="1214" t="n">
        <f aca="false">SUM(G75,M75,S75,AA75,AI75,AR75,AZ75,BH75,BQ75,BY75,CG75,CO75)-CW75</f>
        <v>0</v>
      </c>
      <c r="DM75" s="1214" t="n">
        <f aca="false">SUM(D75,J75,P75,V75,AD75,AL75,AU75,BC75,,BN75,BV75,CD75,CL75)-CT75</f>
        <v>-0.539437514918388</v>
      </c>
      <c r="DX75" s="400" t="n">
        <f aca="false">(CS75-CZ75)*10^6</f>
        <v>0</v>
      </c>
      <c r="DY75" s="400" t="n">
        <f aca="false">(CT75-DC75)*10^6</f>
        <v>539437.514918388</v>
      </c>
      <c r="DZ75" s="400" t="n">
        <f aca="false">(CW75-DD75)*10^6</f>
        <v>0</v>
      </c>
    </row>
    <row r="76" s="818" customFormat="true" ht="12.75" hidden="true" customHeight="true" outlineLevel="0" collapsed="false">
      <c r="B76" s="1253" t="s">
        <v>882</v>
      </c>
      <c r="C76" s="679" t="s">
        <v>898</v>
      </c>
      <c r="D76" s="1297"/>
      <c r="E76" s="433"/>
      <c r="F76" s="1255"/>
      <c r="G76" s="433"/>
      <c r="H76" s="1256"/>
      <c r="I76" s="1294"/>
      <c r="J76" s="1297"/>
      <c r="K76" s="433"/>
      <c r="L76" s="1255"/>
      <c r="M76" s="433"/>
      <c r="N76" s="1256"/>
      <c r="O76" s="434"/>
      <c r="P76" s="1297"/>
      <c r="Q76" s="433"/>
      <c r="R76" s="1255"/>
      <c r="S76" s="433"/>
      <c r="T76" s="1256"/>
      <c r="U76" s="435"/>
      <c r="V76" s="1297"/>
      <c r="W76" s="433"/>
      <c r="X76" s="433"/>
      <c r="Y76" s="580"/>
      <c r="Z76" s="580"/>
      <c r="AA76" s="433"/>
      <c r="AB76" s="1256"/>
      <c r="AC76" s="435"/>
      <c r="AD76" s="1297"/>
      <c r="AE76" s="433"/>
      <c r="AF76" s="433"/>
      <c r="AG76" s="580"/>
      <c r="AH76" s="580"/>
      <c r="AI76" s="433"/>
      <c r="AJ76" s="1256"/>
      <c r="AK76" s="435"/>
      <c r="AL76" s="1297"/>
      <c r="AM76" s="433"/>
      <c r="AN76" s="433"/>
      <c r="AO76" s="433"/>
      <c r="AP76" s="580"/>
      <c r="AQ76" s="580"/>
      <c r="AR76" s="433"/>
      <c r="AS76" s="1256"/>
      <c r="AT76" s="436"/>
      <c r="AU76" s="1297"/>
      <c r="AV76" s="433"/>
      <c r="AW76" s="433"/>
      <c r="AX76" s="580"/>
      <c r="AY76" s="580"/>
      <c r="AZ76" s="433"/>
      <c r="BA76" s="1256"/>
      <c r="BB76" s="435"/>
      <c r="BC76" s="1297"/>
      <c r="BD76" s="433"/>
      <c r="BE76" s="433"/>
      <c r="BF76" s="580"/>
      <c r="BG76" s="580"/>
      <c r="BH76" s="433"/>
      <c r="BI76" s="1256"/>
      <c r="BJ76" s="435"/>
      <c r="BK76" s="1297"/>
      <c r="BL76" s="433"/>
      <c r="BM76" s="433"/>
      <c r="BN76" s="433"/>
      <c r="BO76" s="580"/>
      <c r="BP76" s="580"/>
      <c r="BQ76" s="433"/>
      <c r="BR76" s="1256"/>
      <c r="BS76" s="435"/>
      <c r="BT76" s="1297"/>
      <c r="BU76" s="433"/>
      <c r="BV76" s="433"/>
      <c r="BW76" s="580"/>
      <c r="BX76" s="580"/>
      <c r="BY76" s="433"/>
      <c r="BZ76" s="1256"/>
      <c r="CA76" s="435"/>
      <c r="CB76" s="1297"/>
      <c r="CC76" s="433"/>
      <c r="CD76" s="433"/>
      <c r="CE76" s="580"/>
      <c r="CF76" s="580"/>
      <c r="CG76" s="433"/>
      <c r="CH76" s="1256"/>
      <c r="CI76" s="435"/>
      <c r="CJ76" s="1297"/>
      <c r="CK76" s="433"/>
      <c r="CL76" s="433"/>
      <c r="CM76" s="580"/>
      <c r="CN76" s="580"/>
      <c r="CO76" s="433"/>
      <c r="CP76" s="1256"/>
      <c r="CQ76" s="434"/>
      <c r="CR76" s="1295" t="n">
        <f aca="false">+SUMIF($J$5:$CQ$5,CR$5,$J76:$CQ76)</f>
        <v>0</v>
      </c>
      <c r="CS76" s="433" t="n">
        <f aca="false">+SUMIF($D$5:$CQ$5,CS$5,$D76:$CQ76)</f>
        <v>0</v>
      </c>
      <c r="CT76" s="433" t="n">
        <v>0.000271058887654841</v>
      </c>
      <c r="CU76" s="433" t="n">
        <f aca="false">CR76-CS76</f>
        <v>0</v>
      </c>
      <c r="CV76" s="433" t="n">
        <f aca="false">CR76-CT76</f>
        <v>-0.000271058887654841</v>
      </c>
      <c r="CW76" s="433"/>
      <c r="CX76" s="433" t="str">
        <f aca="false">IFERROR(CR76/CW76-1, "-")</f>
        <v>-</v>
      </c>
      <c r="CY76" s="433"/>
      <c r="CZ76" s="433"/>
      <c r="DA76" s="433"/>
      <c r="DB76" s="433"/>
      <c r="DC76" s="433"/>
      <c r="DD76" s="433"/>
      <c r="DE76" s="434"/>
      <c r="DF76" s="434"/>
      <c r="DG76" s="434"/>
      <c r="DH76" s="434"/>
      <c r="DI76" s="794"/>
      <c r="DJ76" s="1214" t="n">
        <f aca="false">SUM(D76,J76,P76,V76,AD76,AL76,AU76,BC76,BK76,BT76,CB76,CJ76)-CR76</f>
        <v>0</v>
      </c>
      <c r="DK76" s="1214" t="n">
        <f aca="false">SUM(E76,K76,Q76,W76,AE76,AM76,AV76,BD76,BL76,BU76,CC76,CK76)-CS76</f>
        <v>0</v>
      </c>
      <c r="DL76" s="1214" t="n">
        <f aca="false">SUM(G76,M76,S76,AA76,AI76,AR76,AZ76,BH76,BQ76,BY76,CG76,CO76)-CW76</f>
        <v>0</v>
      </c>
      <c r="DM76" s="1214" t="n">
        <f aca="false">SUM(D76,J76,P76,V76,AD76,AL76,AU76,BC76,,BN76,BV76,CD76,CL76)-CT76</f>
        <v>-0.000271058887654841</v>
      </c>
      <c r="DX76" s="400" t="n">
        <f aca="false">(CS76-CZ76)*10^6</f>
        <v>0</v>
      </c>
      <c r="DY76" s="400" t="n">
        <f aca="false">(CT76-DC76)*10^6</f>
        <v>271.058887654841</v>
      </c>
      <c r="DZ76" s="400" t="n">
        <f aca="false">(CW76-DD76)*10^6</f>
        <v>0</v>
      </c>
    </row>
    <row r="77" s="1252" customFormat="true" ht="12" hidden="true" customHeight="true" outlineLevel="0" collapsed="false">
      <c r="B77" s="1253"/>
      <c r="C77" s="679" t="s">
        <v>899</v>
      </c>
      <c r="D77" s="1297"/>
      <c r="E77" s="1297"/>
      <c r="F77" s="1255"/>
      <c r="G77" s="1297"/>
      <c r="H77" s="1256"/>
      <c r="I77" s="1257"/>
      <c r="J77" s="1297"/>
      <c r="K77" s="1297"/>
      <c r="L77" s="1255"/>
      <c r="M77" s="1297"/>
      <c r="N77" s="1256"/>
      <c r="O77" s="434"/>
      <c r="P77" s="1297"/>
      <c r="Q77" s="1297"/>
      <c r="R77" s="1255"/>
      <c r="S77" s="1297"/>
      <c r="T77" s="1256"/>
      <c r="U77" s="435"/>
      <c r="V77" s="1297"/>
      <c r="W77" s="1297"/>
      <c r="X77" s="1297"/>
      <c r="Y77" s="580"/>
      <c r="Z77" s="580"/>
      <c r="AA77" s="1297"/>
      <c r="AB77" s="1256"/>
      <c r="AC77" s="435"/>
      <c r="AD77" s="1297"/>
      <c r="AE77" s="1297"/>
      <c r="AF77" s="1297"/>
      <c r="AG77" s="580"/>
      <c r="AH77" s="580"/>
      <c r="AI77" s="1297"/>
      <c r="AJ77" s="1256"/>
      <c r="AK77" s="435"/>
      <c r="AL77" s="1297"/>
      <c r="AM77" s="1297"/>
      <c r="AN77" s="1297"/>
      <c r="AO77" s="1297"/>
      <c r="AP77" s="580"/>
      <c r="AQ77" s="580"/>
      <c r="AR77" s="1297"/>
      <c r="AS77" s="1256"/>
      <c r="AT77" s="436"/>
      <c r="AU77" s="1297"/>
      <c r="AV77" s="1297"/>
      <c r="AW77" s="1297"/>
      <c r="AX77" s="580"/>
      <c r="AY77" s="580"/>
      <c r="AZ77" s="1297"/>
      <c r="BA77" s="1256"/>
      <c r="BB77" s="435"/>
      <c r="BC77" s="1297"/>
      <c r="BD77" s="1297"/>
      <c r="BE77" s="1297"/>
      <c r="BF77" s="580"/>
      <c r="BG77" s="580"/>
      <c r="BH77" s="1297"/>
      <c r="BI77" s="1256"/>
      <c r="BJ77" s="435"/>
      <c r="BK77" s="1297"/>
      <c r="BL77" s="1297"/>
      <c r="BM77" s="1297"/>
      <c r="BN77" s="1297"/>
      <c r="BO77" s="580"/>
      <c r="BP77" s="580"/>
      <c r="BQ77" s="1297"/>
      <c r="BR77" s="1256"/>
      <c r="BS77" s="435"/>
      <c r="BT77" s="1297"/>
      <c r="BU77" s="1297"/>
      <c r="BV77" s="1297"/>
      <c r="BW77" s="580"/>
      <c r="BX77" s="580"/>
      <c r="BY77" s="1297"/>
      <c r="BZ77" s="1256"/>
      <c r="CA77" s="435"/>
      <c r="CB77" s="1297"/>
      <c r="CC77" s="1297"/>
      <c r="CD77" s="1297"/>
      <c r="CE77" s="580"/>
      <c r="CF77" s="580"/>
      <c r="CG77" s="1297"/>
      <c r="CH77" s="1256"/>
      <c r="CI77" s="435"/>
      <c r="CJ77" s="1297"/>
      <c r="CK77" s="1297"/>
      <c r="CL77" s="1297"/>
      <c r="CM77" s="580"/>
      <c r="CN77" s="580"/>
      <c r="CO77" s="1297"/>
      <c r="CP77" s="1256"/>
      <c r="CQ77" s="434"/>
      <c r="CR77" s="1295" t="n">
        <f aca="false">+SUMIF($J$5:$CQ$5,CR$5,$J77:$CQ77)</f>
        <v>0</v>
      </c>
      <c r="CS77" s="433" t="n">
        <f aca="false">+SUMIF($D$5:$CQ$5,CS$5,$D77:$CQ77)</f>
        <v>0</v>
      </c>
      <c r="CT77" s="1297" t="n">
        <f aca="false">+SUMIF($D$5:$CO$5,CT$5,$D77:$CO77)+SUMIF($D$5:$BI$5,CR$5,$D77:$BI77)</f>
        <v>0</v>
      </c>
      <c r="CU77" s="1297" t="n">
        <f aca="false">CR77-CS77</f>
        <v>0</v>
      </c>
      <c r="CV77" s="1297" t="n">
        <f aca="false">CR77-CT77</f>
        <v>0</v>
      </c>
      <c r="CW77" s="1297"/>
      <c r="CX77" s="1297" t="str">
        <f aca="false">IFERROR(CR77/CW77-1, "-")</f>
        <v>-</v>
      </c>
      <c r="CY77" s="1297"/>
      <c r="CZ77" s="1297"/>
      <c r="DA77" s="1297"/>
      <c r="DB77" s="1297"/>
      <c r="DC77" s="1297"/>
      <c r="DD77" s="1297"/>
      <c r="DE77" s="434"/>
      <c r="DF77" s="434"/>
      <c r="DG77" s="434"/>
      <c r="DH77" s="434"/>
      <c r="DI77" s="794"/>
      <c r="DJ77" s="1214" t="n">
        <f aca="false">SUM(D77,J77,P77,V77,AD77,AL77,AU77,BC77,BK77,BT77,CB77,CJ77)-CR77</f>
        <v>0</v>
      </c>
      <c r="DK77" s="1214" t="n">
        <f aca="false">SUM(E77,K77,Q77,W77,AE77,AM77,AV77,BD77,BL77,BU77,CC77,CK77)-CS77</f>
        <v>0</v>
      </c>
      <c r="DL77" s="1214" t="n">
        <f aca="false">SUM(G77,M77,S77,AA77,AI77,AR77,AZ77,BH77,BQ77,BY77,CG77,CO77)-CW77</f>
        <v>0</v>
      </c>
      <c r="DM77" s="1214" t="n">
        <f aca="false">SUM(D77,J77,P77,V77,AD77,AL77,AU77,BC77,,BN77,BV77,CD77,CL77)-CT77</f>
        <v>0</v>
      </c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s="793" customFormat="true" ht="12.75" hidden="true" customHeight="true" outlineLevel="0" collapsed="false">
      <c r="B78" s="1272" t="s">
        <v>560</v>
      </c>
      <c r="C78" s="679" t="s">
        <v>900</v>
      </c>
      <c r="D78" s="1298"/>
      <c r="E78" s="1298"/>
      <c r="F78" s="1274"/>
      <c r="G78" s="1298"/>
      <c r="H78" s="1275"/>
      <c r="I78" s="1264"/>
      <c r="J78" s="1298"/>
      <c r="K78" s="1298"/>
      <c r="L78" s="1274"/>
      <c r="M78" s="1298"/>
      <c r="N78" s="1275"/>
      <c r="O78" s="788"/>
      <c r="P78" s="1298"/>
      <c r="Q78" s="1298"/>
      <c r="R78" s="1274"/>
      <c r="S78" s="1298"/>
      <c r="T78" s="1275"/>
      <c r="U78" s="789"/>
      <c r="V78" s="1298"/>
      <c r="W78" s="1298"/>
      <c r="X78" s="1298"/>
      <c r="Y78" s="1276"/>
      <c r="Z78" s="1276"/>
      <c r="AA78" s="1298"/>
      <c r="AB78" s="1275"/>
      <c r="AC78" s="789"/>
      <c r="AD78" s="1298"/>
      <c r="AE78" s="1298"/>
      <c r="AF78" s="1298"/>
      <c r="AG78" s="1276"/>
      <c r="AH78" s="1276"/>
      <c r="AI78" s="1298"/>
      <c r="AJ78" s="1275"/>
      <c r="AK78" s="789"/>
      <c r="AL78" s="1298"/>
      <c r="AM78" s="1298"/>
      <c r="AN78" s="1298"/>
      <c r="AO78" s="1298"/>
      <c r="AP78" s="1276"/>
      <c r="AQ78" s="1276"/>
      <c r="AR78" s="1298"/>
      <c r="AS78" s="1275"/>
      <c r="AT78" s="1267"/>
      <c r="AU78" s="1298"/>
      <c r="AV78" s="1298"/>
      <c r="AW78" s="1298"/>
      <c r="AX78" s="1276"/>
      <c r="AY78" s="1276"/>
      <c r="AZ78" s="1298"/>
      <c r="BA78" s="1275"/>
      <c r="BB78" s="789"/>
      <c r="BC78" s="1298"/>
      <c r="BD78" s="1298"/>
      <c r="BE78" s="1298"/>
      <c r="BF78" s="1276"/>
      <c r="BG78" s="1276"/>
      <c r="BH78" s="1298"/>
      <c r="BI78" s="1275"/>
      <c r="BJ78" s="789"/>
      <c r="BK78" s="1298"/>
      <c r="BL78" s="1298"/>
      <c r="BM78" s="1298"/>
      <c r="BN78" s="1298"/>
      <c r="BO78" s="1276"/>
      <c r="BP78" s="1276"/>
      <c r="BQ78" s="1298"/>
      <c r="BR78" s="1275"/>
      <c r="BS78" s="789"/>
      <c r="BT78" s="1298"/>
      <c r="BU78" s="1298"/>
      <c r="BV78" s="1298"/>
      <c r="BW78" s="1276"/>
      <c r="BX78" s="1276"/>
      <c r="BY78" s="1298"/>
      <c r="BZ78" s="1275"/>
      <c r="CA78" s="789"/>
      <c r="CB78" s="1298"/>
      <c r="CC78" s="1298"/>
      <c r="CD78" s="1298"/>
      <c r="CE78" s="1276"/>
      <c r="CF78" s="1276"/>
      <c r="CG78" s="1298"/>
      <c r="CH78" s="1275"/>
      <c r="CI78" s="789"/>
      <c r="CJ78" s="1298"/>
      <c r="CK78" s="1298"/>
      <c r="CL78" s="1298"/>
      <c r="CM78" s="1276"/>
      <c r="CN78" s="1276"/>
      <c r="CO78" s="1298"/>
      <c r="CP78" s="1275"/>
      <c r="CQ78" s="788"/>
      <c r="CR78" s="1299" t="n">
        <f aca="false">+SUMIF($J$5:$CQ$5,CR$5,$J78:$CQ78)</f>
        <v>0</v>
      </c>
      <c r="CS78" s="758" t="n">
        <f aca="false">+SUMIF($D$5:$CQ$5,CS$5,$D78:$CQ78)</f>
        <v>0</v>
      </c>
      <c r="CT78" s="1298" t="n">
        <f aca="false">SUM(CT79:CT83)</f>
        <v>4.45932882529811</v>
      </c>
      <c r="CU78" s="1298" t="n">
        <f aca="false">CR78-CS78</f>
        <v>0</v>
      </c>
      <c r="CV78" s="1298" t="n">
        <f aca="false">CR78-CT78</f>
        <v>-4.45932882529811</v>
      </c>
      <c r="CW78" s="1298"/>
      <c r="CX78" s="1298" t="str">
        <f aca="false">IFERROR(CR78/CW78-1, "-")</f>
        <v>-</v>
      </c>
      <c r="CY78" s="1298"/>
      <c r="CZ78" s="1298"/>
      <c r="DA78" s="1298"/>
      <c r="DB78" s="1298"/>
      <c r="DC78" s="1298"/>
      <c r="DD78" s="1298"/>
      <c r="DE78" s="788" t="e">
        <f aca="false">+CZ78/DD78-1</f>
        <v>#DIV/0!</v>
      </c>
      <c r="DF78" s="788" t="e">
        <f aca="false">+DA78/DD78-1</f>
        <v>#DIV/0!</v>
      </c>
      <c r="DG78" s="788" t="e">
        <f aca="false">+DB78/DD78-1</f>
        <v>#DIV/0!</v>
      </c>
      <c r="DH78" s="788" t="e">
        <f aca="false">+DC78/DD78-1</f>
        <v>#DIV/0!</v>
      </c>
      <c r="DI78" s="1270"/>
      <c r="DJ78" s="1214" t="n">
        <f aca="false">SUM(D78,J78,P78,V78,AD78,AL78,AU78,BC78,BK78,BT78,CB78,CJ78)-CR78</f>
        <v>0</v>
      </c>
      <c r="DK78" s="1214" t="n">
        <f aca="false">SUM(E78,K78,Q78,W78,AE78,AM78,AV78,BD78,BL78,BU78,CC78,CK78)-CS78</f>
        <v>0</v>
      </c>
      <c r="DL78" s="1214" t="n">
        <f aca="false">SUM(G78,M78,S78,AA78,AI78,AR78,AZ78,BH78,BQ78,BY78,CG78,CO78)-CW78</f>
        <v>0</v>
      </c>
      <c r="DM78" s="1214" t="n">
        <f aca="false">SUM(D78,J78,P78,V78,AD78,AL78,AU78,BC78,,BN78,BV78,CD78,CL78)-CT78</f>
        <v>-4.45932882529811</v>
      </c>
      <c r="DX78" s="400" t="n">
        <f aca="false">(CS78-CZ78)*10^6</f>
        <v>0</v>
      </c>
      <c r="DY78" s="400" t="n">
        <f aca="false">(CT78-DC78)*10^6</f>
        <v>4459328.82529811</v>
      </c>
      <c r="DZ78" s="400" t="n">
        <f aca="false">(CW78-DD78)*10^6</f>
        <v>0</v>
      </c>
    </row>
    <row r="79" s="818" customFormat="true" ht="12.75" hidden="true" customHeight="true" outlineLevel="0" collapsed="false">
      <c r="B79" s="1253" t="s">
        <v>874</v>
      </c>
      <c r="C79" s="679" t="s">
        <v>901</v>
      </c>
      <c r="D79" s="1271"/>
      <c r="E79" s="433"/>
      <c r="F79" s="1255"/>
      <c r="G79" s="433"/>
      <c r="H79" s="1256"/>
      <c r="I79" s="1294"/>
      <c r="J79" s="1271"/>
      <c r="K79" s="433"/>
      <c r="L79" s="1255"/>
      <c r="M79" s="433"/>
      <c r="N79" s="1256"/>
      <c r="O79" s="434"/>
      <c r="P79" s="1271"/>
      <c r="Q79" s="433"/>
      <c r="R79" s="1255"/>
      <c r="S79" s="433"/>
      <c r="T79" s="1256"/>
      <c r="U79" s="435"/>
      <c r="V79" s="1271"/>
      <c r="W79" s="433"/>
      <c r="X79" s="433"/>
      <c r="Y79" s="580"/>
      <c r="Z79" s="580"/>
      <c r="AA79" s="433"/>
      <c r="AB79" s="1256"/>
      <c r="AC79" s="435"/>
      <c r="AD79" s="1271"/>
      <c r="AE79" s="433"/>
      <c r="AF79" s="433"/>
      <c r="AG79" s="580"/>
      <c r="AH79" s="580"/>
      <c r="AI79" s="433"/>
      <c r="AJ79" s="1256"/>
      <c r="AK79" s="435"/>
      <c r="AL79" s="1271"/>
      <c r="AM79" s="433"/>
      <c r="AN79" s="433"/>
      <c r="AO79" s="433"/>
      <c r="AP79" s="580"/>
      <c r="AQ79" s="580"/>
      <c r="AR79" s="433"/>
      <c r="AS79" s="1256"/>
      <c r="AT79" s="436"/>
      <c r="AU79" s="1271"/>
      <c r="AV79" s="433"/>
      <c r="AW79" s="433"/>
      <c r="AX79" s="580"/>
      <c r="AY79" s="580"/>
      <c r="AZ79" s="433"/>
      <c r="BA79" s="1256"/>
      <c r="BB79" s="435"/>
      <c r="BC79" s="1271"/>
      <c r="BD79" s="433"/>
      <c r="BE79" s="433"/>
      <c r="BF79" s="580"/>
      <c r="BG79" s="580"/>
      <c r="BH79" s="433"/>
      <c r="BI79" s="1256"/>
      <c r="BJ79" s="435"/>
      <c r="BK79" s="1271"/>
      <c r="BL79" s="433"/>
      <c r="BM79" s="433"/>
      <c r="BN79" s="433"/>
      <c r="BO79" s="580"/>
      <c r="BP79" s="580"/>
      <c r="BQ79" s="433"/>
      <c r="BR79" s="1256"/>
      <c r="BS79" s="435"/>
      <c r="BT79" s="1271"/>
      <c r="BU79" s="433"/>
      <c r="BV79" s="433"/>
      <c r="BW79" s="580"/>
      <c r="BX79" s="580"/>
      <c r="BY79" s="433"/>
      <c r="BZ79" s="1256"/>
      <c r="CA79" s="435"/>
      <c r="CB79" s="1271"/>
      <c r="CC79" s="433"/>
      <c r="CD79" s="433"/>
      <c r="CE79" s="580"/>
      <c r="CF79" s="580"/>
      <c r="CG79" s="433"/>
      <c r="CH79" s="1256"/>
      <c r="CI79" s="435"/>
      <c r="CJ79" s="1271"/>
      <c r="CK79" s="433"/>
      <c r="CL79" s="433"/>
      <c r="CM79" s="580"/>
      <c r="CN79" s="580"/>
      <c r="CO79" s="433"/>
      <c r="CP79" s="1256"/>
      <c r="CQ79" s="434"/>
      <c r="CR79" s="1295" t="n">
        <f aca="false">+SUMIF($J$5:$CQ$5,CR$5,$J79:$CQ79)</f>
        <v>0</v>
      </c>
      <c r="CS79" s="433" t="n">
        <f aca="false">+SUMIF($D$5:$CQ$5,CS$5,$D79:$CQ79)</f>
        <v>0</v>
      </c>
      <c r="CT79" s="433" t="n">
        <v>0.00431593881878606</v>
      </c>
      <c r="CU79" s="433" t="n">
        <f aca="false">CR79-CS79</f>
        <v>0</v>
      </c>
      <c r="CV79" s="433" t="n">
        <f aca="false">CR79-CT79</f>
        <v>-0.00431593881878606</v>
      </c>
      <c r="CW79" s="433"/>
      <c r="CX79" s="433" t="str">
        <f aca="false">IFERROR(CR79/CW79-1, "-")</f>
        <v>-</v>
      </c>
      <c r="CY79" s="433"/>
      <c r="CZ79" s="433"/>
      <c r="DA79" s="433"/>
      <c r="DB79" s="433"/>
      <c r="DC79" s="433"/>
      <c r="DD79" s="433"/>
      <c r="DE79" s="434" t="e">
        <f aca="false">+CZ79/DD79-1</f>
        <v>#DIV/0!</v>
      </c>
      <c r="DF79" s="434" t="e">
        <f aca="false">+DA79/DD79-1</f>
        <v>#DIV/0!</v>
      </c>
      <c r="DG79" s="434" t="e">
        <f aca="false">+DB79/DD79-1</f>
        <v>#DIV/0!</v>
      </c>
      <c r="DH79" s="434" t="e">
        <f aca="false">+DC79/DD79-1</f>
        <v>#DIV/0!</v>
      </c>
      <c r="DI79" s="794"/>
      <c r="DJ79" s="1214" t="n">
        <f aca="false">SUM(D79,J79,P79,V79,AD79,AL79,AU79,BC79,BK79,BT79,CB79,CJ79)-CR79</f>
        <v>0</v>
      </c>
      <c r="DK79" s="1214" t="n">
        <f aca="false">SUM(E79,K79,Q79,W79,AE79,AM79,AV79,BD79,BL79,BU79,CC79,CK79)-CS79</f>
        <v>0</v>
      </c>
      <c r="DL79" s="1214" t="n">
        <f aca="false">SUM(G79,M79,S79,AA79,AI79,AR79,AZ79,BH79,BQ79,BY79,CG79,CO79)-CW79</f>
        <v>0</v>
      </c>
      <c r="DM79" s="1214" t="n">
        <f aca="false">SUM(D79,J79,P79,V79,AD79,AL79,AU79,BC79,,BN79,BV79,CD79,CL79)-CT79</f>
        <v>-0.00431593881878606</v>
      </c>
      <c r="DX79" s="400" t="n">
        <f aca="false">(CS79-CZ79)*10^6</f>
        <v>0</v>
      </c>
      <c r="DY79" s="400" t="n">
        <f aca="false">(CT79-DC79)*10^6</f>
        <v>4315.93881878606</v>
      </c>
      <c r="DZ79" s="400" t="n">
        <f aca="false">(CW79-DD79)*10^6</f>
        <v>0</v>
      </c>
    </row>
    <row r="80" s="818" customFormat="true" ht="12.75" hidden="true" customHeight="true" outlineLevel="0" collapsed="false">
      <c r="B80" s="1253" t="s">
        <v>876</v>
      </c>
      <c r="C80" s="679" t="s">
        <v>902</v>
      </c>
      <c r="D80" s="1271"/>
      <c r="E80" s="433"/>
      <c r="F80" s="1255"/>
      <c r="G80" s="433"/>
      <c r="H80" s="1256"/>
      <c r="I80" s="1294"/>
      <c r="J80" s="1271"/>
      <c r="K80" s="433"/>
      <c r="L80" s="1255"/>
      <c r="M80" s="433"/>
      <c r="N80" s="1256"/>
      <c r="O80" s="434"/>
      <c r="P80" s="1271"/>
      <c r="Q80" s="433"/>
      <c r="R80" s="1255"/>
      <c r="S80" s="433"/>
      <c r="T80" s="1256"/>
      <c r="U80" s="435"/>
      <c r="V80" s="1271"/>
      <c r="W80" s="433"/>
      <c r="X80" s="433"/>
      <c r="Y80" s="580"/>
      <c r="Z80" s="580"/>
      <c r="AA80" s="433"/>
      <c r="AB80" s="1256"/>
      <c r="AC80" s="435"/>
      <c r="AD80" s="1271"/>
      <c r="AE80" s="433"/>
      <c r="AF80" s="433"/>
      <c r="AG80" s="580"/>
      <c r="AH80" s="580"/>
      <c r="AI80" s="433"/>
      <c r="AJ80" s="1256"/>
      <c r="AK80" s="435"/>
      <c r="AL80" s="1271"/>
      <c r="AM80" s="433"/>
      <c r="AN80" s="433"/>
      <c r="AO80" s="433"/>
      <c r="AP80" s="580"/>
      <c r="AQ80" s="580"/>
      <c r="AR80" s="433"/>
      <c r="AS80" s="1256"/>
      <c r="AT80" s="436"/>
      <c r="AU80" s="1271"/>
      <c r="AV80" s="433"/>
      <c r="AW80" s="433"/>
      <c r="AX80" s="580"/>
      <c r="AY80" s="580"/>
      <c r="AZ80" s="433"/>
      <c r="BA80" s="1256"/>
      <c r="BB80" s="435"/>
      <c r="BC80" s="1271"/>
      <c r="BD80" s="433"/>
      <c r="BE80" s="433"/>
      <c r="BF80" s="580"/>
      <c r="BG80" s="580"/>
      <c r="BH80" s="433"/>
      <c r="BI80" s="1256"/>
      <c r="BJ80" s="435"/>
      <c r="BK80" s="1271"/>
      <c r="BL80" s="433"/>
      <c r="BM80" s="433"/>
      <c r="BN80" s="433"/>
      <c r="BO80" s="580"/>
      <c r="BP80" s="580"/>
      <c r="BQ80" s="433"/>
      <c r="BR80" s="1256"/>
      <c r="BS80" s="435"/>
      <c r="BT80" s="1271"/>
      <c r="BU80" s="433"/>
      <c r="BV80" s="433"/>
      <c r="BW80" s="580"/>
      <c r="BX80" s="580"/>
      <c r="BY80" s="433"/>
      <c r="BZ80" s="1256"/>
      <c r="CA80" s="435"/>
      <c r="CB80" s="1271"/>
      <c r="CC80" s="433"/>
      <c r="CD80" s="433"/>
      <c r="CE80" s="580"/>
      <c r="CF80" s="580"/>
      <c r="CG80" s="433"/>
      <c r="CH80" s="1256"/>
      <c r="CI80" s="435"/>
      <c r="CJ80" s="1271"/>
      <c r="CK80" s="433"/>
      <c r="CL80" s="433"/>
      <c r="CM80" s="580"/>
      <c r="CN80" s="580"/>
      <c r="CO80" s="433"/>
      <c r="CP80" s="1256"/>
      <c r="CQ80" s="434"/>
      <c r="CR80" s="1295" t="n">
        <f aca="false">+SUMIF($J$5:$CQ$5,CR$5,$J80:$CQ80)</f>
        <v>0</v>
      </c>
      <c r="CS80" s="433" t="n">
        <f aca="false">+SUMIF($D$5:$CQ$5,CS$5,$D80:$CQ80)</f>
        <v>0</v>
      </c>
      <c r="CT80" s="433" t="n">
        <v>0.0725921937396076</v>
      </c>
      <c r="CU80" s="433" t="n">
        <f aca="false">CR80-CS80</f>
        <v>0</v>
      </c>
      <c r="CV80" s="433" t="n">
        <f aca="false">CR80-CT80</f>
        <v>-0.0725921937396076</v>
      </c>
      <c r="CW80" s="433"/>
      <c r="CX80" s="433" t="str">
        <f aca="false">IFERROR(CR80/CW80-1, "-")</f>
        <v>-</v>
      </c>
      <c r="CY80" s="433"/>
      <c r="CZ80" s="433"/>
      <c r="DA80" s="433"/>
      <c r="DB80" s="433"/>
      <c r="DC80" s="433"/>
      <c r="DD80" s="433"/>
      <c r="DE80" s="434" t="e">
        <f aca="false">+CZ80/DD80-1</f>
        <v>#DIV/0!</v>
      </c>
      <c r="DF80" s="434" t="e">
        <f aca="false">+DA80/DD80-1</f>
        <v>#DIV/0!</v>
      </c>
      <c r="DG80" s="434" t="e">
        <f aca="false">+DB80/DD80-1</f>
        <v>#DIV/0!</v>
      </c>
      <c r="DH80" s="434" t="e">
        <f aca="false">+DC80/DD80-1</f>
        <v>#DIV/0!</v>
      </c>
      <c r="DI80" s="794"/>
      <c r="DJ80" s="1214" t="n">
        <f aca="false">SUM(D80,J80,P80,V80,AD80,AL80,AU80,BC80,BK80,BT80,CB80,CJ80)-CR80</f>
        <v>0</v>
      </c>
      <c r="DK80" s="1214" t="n">
        <f aca="false">SUM(E80,K80,Q80,W80,AE80,AM80,AV80,BD80,BL80,BU80,CC80,CK80)-CS80</f>
        <v>0</v>
      </c>
      <c r="DL80" s="1214" t="n">
        <f aca="false">SUM(G80,M80,S80,AA80,AI80,AR80,AZ80,BH80,BQ80,BY80,CG80,CO80)-CW80</f>
        <v>0</v>
      </c>
      <c r="DM80" s="1214" t="n">
        <f aca="false">SUM(D80,J80,P80,V80,AD80,AL80,AU80,BC80,,BN80,BV80,CD80,CL80)-CT80</f>
        <v>-0.0725921937396076</v>
      </c>
      <c r="DX80" s="400" t="n">
        <f aca="false">(CS80-CZ80)*10^6</f>
        <v>0</v>
      </c>
      <c r="DY80" s="400" t="n">
        <f aca="false">(CT80-DC80)*10^6</f>
        <v>72592.1937396076</v>
      </c>
      <c r="DZ80" s="400" t="n">
        <f aca="false">(CW80-DD80)*10^6</f>
        <v>0</v>
      </c>
    </row>
    <row r="81" s="818" customFormat="true" ht="12.75" hidden="true" customHeight="true" outlineLevel="0" collapsed="false">
      <c r="B81" s="1253" t="s">
        <v>878</v>
      </c>
      <c r="C81" s="679" t="s">
        <v>903</v>
      </c>
      <c r="D81" s="1271"/>
      <c r="E81" s="433"/>
      <c r="F81" s="1255"/>
      <c r="G81" s="433"/>
      <c r="H81" s="1256"/>
      <c r="I81" s="1294"/>
      <c r="J81" s="1271"/>
      <c r="K81" s="433"/>
      <c r="L81" s="1255"/>
      <c r="M81" s="433"/>
      <c r="N81" s="1256"/>
      <c r="O81" s="434"/>
      <c r="P81" s="1271"/>
      <c r="Q81" s="433"/>
      <c r="R81" s="1255"/>
      <c r="S81" s="433"/>
      <c r="T81" s="1256"/>
      <c r="U81" s="435"/>
      <c r="V81" s="1271"/>
      <c r="W81" s="433"/>
      <c r="X81" s="433"/>
      <c r="Y81" s="580"/>
      <c r="Z81" s="580"/>
      <c r="AA81" s="433"/>
      <c r="AB81" s="1256"/>
      <c r="AC81" s="435"/>
      <c r="AD81" s="1271"/>
      <c r="AE81" s="433"/>
      <c r="AF81" s="433"/>
      <c r="AG81" s="580"/>
      <c r="AH81" s="580"/>
      <c r="AI81" s="433"/>
      <c r="AJ81" s="1256"/>
      <c r="AK81" s="435"/>
      <c r="AL81" s="1271"/>
      <c r="AM81" s="433"/>
      <c r="AN81" s="433"/>
      <c r="AO81" s="433"/>
      <c r="AP81" s="580"/>
      <c r="AQ81" s="580"/>
      <c r="AR81" s="433"/>
      <c r="AS81" s="1256"/>
      <c r="AT81" s="436"/>
      <c r="AU81" s="1271"/>
      <c r="AV81" s="433"/>
      <c r="AW81" s="433"/>
      <c r="AX81" s="580"/>
      <c r="AY81" s="580"/>
      <c r="AZ81" s="433"/>
      <c r="BA81" s="1256"/>
      <c r="BB81" s="435"/>
      <c r="BC81" s="1271"/>
      <c r="BD81" s="433"/>
      <c r="BE81" s="433"/>
      <c r="BF81" s="580"/>
      <c r="BG81" s="580"/>
      <c r="BH81" s="433"/>
      <c r="BI81" s="1256"/>
      <c r="BJ81" s="435"/>
      <c r="BK81" s="1271"/>
      <c r="BL81" s="433"/>
      <c r="BM81" s="433"/>
      <c r="BN81" s="433"/>
      <c r="BO81" s="580"/>
      <c r="BP81" s="580"/>
      <c r="BQ81" s="433"/>
      <c r="BR81" s="1256"/>
      <c r="BS81" s="435"/>
      <c r="BT81" s="1271"/>
      <c r="BU81" s="433"/>
      <c r="BV81" s="433"/>
      <c r="BW81" s="580"/>
      <c r="BX81" s="580"/>
      <c r="BY81" s="433"/>
      <c r="BZ81" s="1256"/>
      <c r="CA81" s="435"/>
      <c r="CB81" s="1271"/>
      <c r="CC81" s="433"/>
      <c r="CD81" s="433"/>
      <c r="CE81" s="580"/>
      <c r="CF81" s="580"/>
      <c r="CG81" s="433"/>
      <c r="CH81" s="1256"/>
      <c r="CI81" s="435"/>
      <c r="CJ81" s="1271"/>
      <c r="CK81" s="433"/>
      <c r="CL81" s="433"/>
      <c r="CM81" s="580"/>
      <c r="CN81" s="580"/>
      <c r="CO81" s="433"/>
      <c r="CP81" s="1256"/>
      <c r="CQ81" s="434"/>
      <c r="CR81" s="1295" t="n">
        <f aca="false">+SUMIF($J$5:$CQ$5,CR$5,$J81:$CQ81)</f>
        <v>0</v>
      </c>
      <c r="CS81" s="433" t="n">
        <f aca="false">+SUMIF($D$5:$CQ$5,CS$5,$D81:$CQ81)</f>
        <v>0</v>
      </c>
      <c r="CT81" s="433" t="n">
        <v>1.50787021541539</v>
      </c>
      <c r="CU81" s="433" t="n">
        <f aca="false">CR81-CS81</f>
        <v>0</v>
      </c>
      <c r="CV81" s="433" t="n">
        <f aca="false">CR81-CT81</f>
        <v>-1.50787021541539</v>
      </c>
      <c r="CW81" s="433"/>
      <c r="CX81" s="433" t="str">
        <f aca="false">IFERROR(CR81/CW81-1, "-")</f>
        <v>-</v>
      </c>
      <c r="CY81" s="433"/>
      <c r="CZ81" s="433"/>
      <c r="DA81" s="433"/>
      <c r="DB81" s="433"/>
      <c r="DC81" s="433"/>
      <c r="DD81" s="433"/>
      <c r="DE81" s="434" t="e">
        <f aca="false">+CZ81/DD81-1</f>
        <v>#DIV/0!</v>
      </c>
      <c r="DF81" s="434" t="e">
        <f aca="false">+DA81/DD81-1</f>
        <v>#DIV/0!</v>
      </c>
      <c r="DG81" s="434" t="e">
        <f aca="false">+DB81/DD81-1</f>
        <v>#DIV/0!</v>
      </c>
      <c r="DH81" s="434" t="e">
        <f aca="false">+DC81/DD81-1</f>
        <v>#DIV/0!</v>
      </c>
      <c r="DI81" s="794"/>
      <c r="DJ81" s="1214" t="n">
        <f aca="false">SUM(D81,J81,P81,V81,AD81,AL81,AU81,BC81,BK81,BT81,CB81,CJ81)-CR81</f>
        <v>0</v>
      </c>
      <c r="DK81" s="1214" t="n">
        <f aca="false">SUM(E81,K81,Q81,W81,AE81,AM81,AV81,BD81,BL81,BU81,CC81,CK81)-CS81</f>
        <v>0</v>
      </c>
      <c r="DL81" s="1214" t="n">
        <f aca="false">SUM(G81,M81,S81,AA81,AI81,AR81,AZ81,BH81,BQ81,BY81,CG81,CO81)-CW81</f>
        <v>0</v>
      </c>
      <c r="DM81" s="1214" t="n">
        <f aca="false">SUM(D81,J81,P81,V81,AD81,AL81,AU81,BC81,,BN81,BV81,CD81,CL81)-CT81</f>
        <v>-1.50787021541539</v>
      </c>
      <c r="DX81" s="400" t="n">
        <f aca="false">(CS81-CZ81)*10^6</f>
        <v>0</v>
      </c>
      <c r="DY81" s="400" t="n">
        <f aca="false">(CT81-DC81)*10^6</f>
        <v>1507870.21541539</v>
      </c>
      <c r="DZ81" s="400" t="n">
        <f aca="false">(CW81-DD81)*10^6</f>
        <v>0</v>
      </c>
    </row>
    <row r="82" s="818" customFormat="true" ht="12.75" hidden="true" customHeight="true" outlineLevel="0" collapsed="false">
      <c r="B82" s="1253" t="s">
        <v>880</v>
      </c>
      <c r="C82" s="679" t="s">
        <v>904</v>
      </c>
      <c r="D82" s="1297"/>
      <c r="E82" s="433"/>
      <c r="F82" s="1255"/>
      <c r="G82" s="433"/>
      <c r="H82" s="1256"/>
      <c r="I82" s="1294"/>
      <c r="J82" s="1297"/>
      <c r="K82" s="433"/>
      <c r="L82" s="1255"/>
      <c r="M82" s="433"/>
      <c r="N82" s="1256"/>
      <c r="O82" s="434"/>
      <c r="P82" s="1297"/>
      <c r="Q82" s="433"/>
      <c r="R82" s="1255"/>
      <c r="S82" s="433"/>
      <c r="T82" s="1256"/>
      <c r="U82" s="435"/>
      <c r="V82" s="1297"/>
      <c r="W82" s="433"/>
      <c r="X82" s="433"/>
      <c r="Y82" s="580"/>
      <c r="Z82" s="580"/>
      <c r="AA82" s="433"/>
      <c r="AB82" s="1256"/>
      <c r="AC82" s="435"/>
      <c r="AD82" s="1297"/>
      <c r="AE82" s="433"/>
      <c r="AF82" s="433"/>
      <c r="AG82" s="580"/>
      <c r="AH82" s="580"/>
      <c r="AI82" s="433"/>
      <c r="AJ82" s="1256"/>
      <c r="AK82" s="435"/>
      <c r="AL82" s="1297"/>
      <c r="AM82" s="433"/>
      <c r="AN82" s="433"/>
      <c r="AO82" s="433"/>
      <c r="AP82" s="580"/>
      <c r="AQ82" s="580"/>
      <c r="AR82" s="433"/>
      <c r="AS82" s="1256"/>
      <c r="AT82" s="436"/>
      <c r="AU82" s="1297"/>
      <c r="AV82" s="433"/>
      <c r="AW82" s="433"/>
      <c r="AX82" s="580"/>
      <c r="AY82" s="580"/>
      <c r="AZ82" s="433"/>
      <c r="BA82" s="1256"/>
      <c r="BB82" s="435"/>
      <c r="BC82" s="1297"/>
      <c r="BD82" s="433"/>
      <c r="BE82" s="433"/>
      <c r="BF82" s="580"/>
      <c r="BG82" s="580"/>
      <c r="BH82" s="433"/>
      <c r="BI82" s="1256"/>
      <c r="BJ82" s="435"/>
      <c r="BK82" s="1297"/>
      <c r="BL82" s="433"/>
      <c r="BM82" s="433"/>
      <c r="BN82" s="433"/>
      <c r="BO82" s="580"/>
      <c r="BP82" s="580"/>
      <c r="BQ82" s="433"/>
      <c r="BR82" s="1256"/>
      <c r="BS82" s="435"/>
      <c r="BT82" s="1297"/>
      <c r="BU82" s="433"/>
      <c r="BV82" s="433"/>
      <c r="BW82" s="580"/>
      <c r="BX82" s="580"/>
      <c r="BY82" s="433"/>
      <c r="BZ82" s="1256"/>
      <c r="CA82" s="435"/>
      <c r="CB82" s="1297"/>
      <c r="CC82" s="433"/>
      <c r="CD82" s="433"/>
      <c r="CE82" s="580"/>
      <c r="CF82" s="580"/>
      <c r="CG82" s="433"/>
      <c r="CH82" s="1256"/>
      <c r="CI82" s="435"/>
      <c r="CJ82" s="1297"/>
      <c r="CK82" s="433"/>
      <c r="CL82" s="433"/>
      <c r="CM82" s="580"/>
      <c r="CN82" s="580"/>
      <c r="CO82" s="433"/>
      <c r="CP82" s="1256"/>
      <c r="CQ82" s="434"/>
      <c r="CR82" s="1295" t="n">
        <f aca="false">+SUMIF($J$5:$CQ$5,CR$5,$J82:$CQ82)</f>
        <v>0</v>
      </c>
      <c r="CS82" s="433" t="n">
        <f aca="false">+SUMIF($D$5:$CQ$5,CS$5,$D82:$CQ82)</f>
        <v>0</v>
      </c>
      <c r="CT82" s="433" t="n">
        <v>2.87169076955087</v>
      </c>
      <c r="CU82" s="433" t="n">
        <f aca="false">CR82-CS82</f>
        <v>0</v>
      </c>
      <c r="CV82" s="433" t="n">
        <f aca="false">CR82-CT82</f>
        <v>-2.87169076955087</v>
      </c>
      <c r="CW82" s="433"/>
      <c r="CX82" s="433" t="str">
        <f aca="false">IFERROR(CR82/CW82-1, "-")</f>
        <v>-</v>
      </c>
      <c r="CY82" s="433"/>
      <c r="CZ82" s="433"/>
      <c r="DA82" s="433"/>
      <c r="DB82" s="433"/>
      <c r="DC82" s="433"/>
      <c r="DD82" s="433"/>
      <c r="DE82" s="434"/>
      <c r="DF82" s="434"/>
      <c r="DG82" s="434"/>
      <c r="DH82" s="434"/>
      <c r="DI82" s="794"/>
      <c r="DJ82" s="1214" t="n">
        <f aca="false">SUM(D82,J82,P82,V82,AD82,AL82,AU82,BC82,BK82,BT82,CB82,CJ82)-CR82</f>
        <v>0</v>
      </c>
      <c r="DK82" s="1214" t="n">
        <f aca="false">SUM(E82,K82,Q82,W82,AE82,AM82,AV82,BD82,BL82,BU82,CC82,CK82)-CS82</f>
        <v>0</v>
      </c>
      <c r="DL82" s="1214" t="n">
        <f aca="false">SUM(G82,M82,S82,AA82,AI82,AR82,AZ82,BH82,BQ82,BY82,CG82,CO82)-CW82</f>
        <v>0</v>
      </c>
      <c r="DM82" s="1214" t="n">
        <f aca="false">SUM(D82,J82,P82,V82,AD82,AL82,AU82,BC82,,BN82,BV82,CD82,CL82)-CT82</f>
        <v>-2.87169076955087</v>
      </c>
      <c r="DX82" s="400" t="n">
        <f aca="false">(CS82-CZ82)*10^6</f>
        <v>0</v>
      </c>
      <c r="DY82" s="400" t="n">
        <f aca="false">(CT82-DC82)*10^6</f>
        <v>2871690.76955087</v>
      </c>
      <c r="DZ82" s="400" t="n">
        <f aca="false">(CW82-DD82)*10^6</f>
        <v>0</v>
      </c>
    </row>
    <row r="83" s="818" customFormat="true" ht="12.75" hidden="true" customHeight="true" outlineLevel="0" collapsed="false">
      <c r="B83" s="1253" t="s">
        <v>882</v>
      </c>
      <c r="C83" s="679" t="s">
        <v>905</v>
      </c>
      <c r="D83" s="1297"/>
      <c r="E83" s="433"/>
      <c r="F83" s="1255"/>
      <c r="G83" s="433"/>
      <c r="H83" s="1256"/>
      <c r="I83" s="1294"/>
      <c r="J83" s="1297"/>
      <c r="K83" s="433"/>
      <c r="L83" s="1255"/>
      <c r="M83" s="433"/>
      <c r="N83" s="1256"/>
      <c r="O83" s="434"/>
      <c r="P83" s="1297"/>
      <c r="Q83" s="433"/>
      <c r="R83" s="1255"/>
      <c r="S83" s="433"/>
      <c r="T83" s="1256"/>
      <c r="U83" s="435"/>
      <c r="V83" s="1297"/>
      <c r="W83" s="433"/>
      <c r="X83" s="433"/>
      <c r="Y83" s="580"/>
      <c r="Z83" s="580"/>
      <c r="AA83" s="433"/>
      <c r="AB83" s="1256"/>
      <c r="AC83" s="435"/>
      <c r="AD83" s="1297"/>
      <c r="AE83" s="433"/>
      <c r="AF83" s="433"/>
      <c r="AG83" s="580"/>
      <c r="AH83" s="580"/>
      <c r="AI83" s="433"/>
      <c r="AJ83" s="1256"/>
      <c r="AK83" s="435"/>
      <c r="AL83" s="1297"/>
      <c r="AM83" s="433"/>
      <c r="AN83" s="433"/>
      <c r="AO83" s="433"/>
      <c r="AP83" s="580"/>
      <c r="AQ83" s="580"/>
      <c r="AR83" s="433"/>
      <c r="AS83" s="1256"/>
      <c r="AT83" s="436"/>
      <c r="AU83" s="1297"/>
      <c r="AV83" s="433"/>
      <c r="AW83" s="433"/>
      <c r="AX83" s="580"/>
      <c r="AY83" s="580"/>
      <c r="AZ83" s="433"/>
      <c r="BA83" s="1256"/>
      <c r="BB83" s="435"/>
      <c r="BC83" s="1297"/>
      <c r="BD83" s="433"/>
      <c r="BE83" s="433"/>
      <c r="BF83" s="580"/>
      <c r="BG83" s="580"/>
      <c r="BH83" s="433"/>
      <c r="BI83" s="1256"/>
      <c r="BJ83" s="435"/>
      <c r="BK83" s="1297"/>
      <c r="BL83" s="433"/>
      <c r="BM83" s="433"/>
      <c r="BN83" s="433"/>
      <c r="BO83" s="580"/>
      <c r="BP83" s="580"/>
      <c r="BQ83" s="433"/>
      <c r="BR83" s="1256"/>
      <c r="BS83" s="435"/>
      <c r="BT83" s="1297"/>
      <c r="BU83" s="433"/>
      <c r="BV83" s="433"/>
      <c r="BW83" s="580"/>
      <c r="BX83" s="580"/>
      <c r="BY83" s="433"/>
      <c r="BZ83" s="1256"/>
      <c r="CA83" s="435"/>
      <c r="CB83" s="1297"/>
      <c r="CC83" s="433"/>
      <c r="CD83" s="433"/>
      <c r="CE83" s="580"/>
      <c r="CF83" s="580"/>
      <c r="CG83" s="433"/>
      <c r="CH83" s="1256"/>
      <c r="CI83" s="435"/>
      <c r="CJ83" s="1297"/>
      <c r="CK83" s="433"/>
      <c r="CL83" s="433"/>
      <c r="CM83" s="580"/>
      <c r="CN83" s="580"/>
      <c r="CO83" s="433"/>
      <c r="CP83" s="1256"/>
      <c r="CQ83" s="434"/>
      <c r="CR83" s="1295" t="n">
        <f aca="false">+SUMIF($J$5:$CQ$5,CR$5,$J83:$CQ83)</f>
        <v>0</v>
      </c>
      <c r="CS83" s="433" t="n">
        <f aca="false">+SUMIF($D$5:$CQ$5,CS$5,$D83:$CQ83)</f>
        <v>0</v>
      </c>
      <c r="CT83" s="433" t="n">
        <v>0.00285970777346516</v>
      </c>
      <c r="CU83" s="433" t="n">
        <f aca="false">CR83-CS83</f>
        <v>0</v>
      </c>
      <c r="CV83" s="433" t="n">
        <f aca="false">CR83-CT83</f>
        <v>-0.00285970777346516</v>
      </c>
      <c r="CW83" s="433"/>
      <c r="CX83" s="433" t="str">
        <f aca="false">IFERROR(CR83/CW83-1, "-")</f>
        <v>-</v>
      </c>
      <c r="CY83" s="433"/>
      <c r="CZ83" s="433"/>
      <c r="DA83" s="433"/>
      <c r="DB83" s="433"/>
      <c r="DC83" s="433"/>
      <c r="DD83" s="433"/>
      <c r="DE83" s="434"/>
      <c r="DF83" s="434"/>
      <c r="DG83" s="434"/>
      <c r="DH83" s="434"/>
      <c r="DI83" s="794"/>
      <c r="DJ83" s="1214" t="n">
        <f aca="false">SUM(D83,J83,P83,V83,AD83,AL83,AU83,BC83,BK83,BT83,CB83,CJ83)-CR83</f>
        <v>0</v>
      </c>
      <c r="DK83" s="1214" t="n">
        <f aca="false">SUM(E83,K83,Q83,W83,AE83,AM83,AV83,BD83,BL83,BU83,CC83,CK83)-CS83</f>
        <v>0</v>
      </c>
      <c r="DL83" s="1214" t="n">
        <f aca="false">SUM(G83,M83,S83,AA83,AI83,AR83,AZ83,BH83,BQ83,BY83,CG83,CO83)-CW83</f>
        <v>0</v>
      </c>
      <c r="DM83" s="1214" t="n">
        <f aca="false">SUM(D83,J83,P83,V83,AD83,AL83,AU83,BC83,,BN83,BV83,CD83,CL83)-CT83</f>
        <v>-0.00285970777346516</v>
      </c>
      <c r="DX83" s="400" t="n">
        <f aca="false">(CS83-CZ83)*10^6</f>
        <v>0</v>
      </c>
      <c r="DY83" s="400" t="n">
        <f aca="false">(CT83-DC83)*10^6</f>
        <v>2859.70777346516</v>
      </c>
      <c r="DZ83" s="400" t="n">
        <f aca="false">(CW83-DD83)*10^6</f>
        <v>0</v>
      </c>
    </row>
    <row r="84" s="1252" customFormat="true" ht="12.75" hidden="true" customHeight="true" outlineLevel="0" collapsed="false">
      <c r="B84" s="1253"/>
      <c r="C84" s="679" t="s">
        <v>906</v>
      </c>
      <c r="D84" s="1297"/>
      <c r="E84" s="1297"/>
      <c r="F84" s="1255"/>
      <c r="G84" s="1297"/>
      <c r="H84" s="1256"/>
      <c r="I84" s="1257"/>
      <c r="J84" s="1297"/>
      <c r="K84" s="1297"/>
      <c r="L84" s="1255"/>
      <c r="M84" s="1297"/>
      <c r="N84" s="1256"/>
      <c r="O84" s="434"/>
      <c r="P84" s="1297"/>
      <c r="Q84" s="1297"/>
      <c r="R84" s="1255"/>
      <c r="S84" s="1297"/>
      <c r="T84" s="1256"/>
      <c r="U84" s="435"/>
      <c r="V84" s="1297"/>
      <c r="W84" s="1297"/>
      <c r="X84" s="1297"/>
      <c r="Y84" s="580"/>
      <c r="Z84" s="580"/>
      <c r="AA84" s="1297"/>
      <c r="AB84" s="1256"/>
      <c r="AC84" s="435"/>
      <c r="AD84" s="1297"/>
      <c r="AE84" s="1297"/>
      <c r="AF84" s="1297"/>
      <c r="AG84" s="580"/>
      <c r="AH84" s="580"/>
      <c r="AI84" s="1297"/>
      <c r="AJ84" s="1256"/>
      <c r="AK84" s="435"/>
      <c r="AL84" s="1297"/>
      <c r="AM84" s="1297"/>
      <c r="AN84" s="1297"/>
      <c r="AO84" s="1297"/>
      <c r="AP84" s="580"/>
      <c r="AQ84" s="580"/>
      <c r="AR84" s="1297"/>
      <c r="AS84" s="1256"/>
      <c r="AT84" s="436"/>
      <c r="AU84" s="1297"/>
      <c r="AV84" s="1297"/>
      <c r="AW84" s="1297"/>
      <c r="AX84" s="580"/>
      <c r="AY84" s="580"/>
      <c r="AZ84" s="1297"/>
      <c r="BA84" s="1256"/>
      <c r="BB84" s="435"/>
      <c r="BC84" s="1297"/>
      <c r="BD84" s="1297"/>
      <c r="BE84" s="1297"/>
      <c r="BF84" s="580"/>
      <c r="BG84" s="580"/>
      <c r="BH84" s="1297"/>
      <c r="BI84" s="1256"/>
      <c r="BJ84" s="435"/>
      <c r="BK84" s="1297"/>
      <c r="BL84" s="1297"/>
      <c r="BM84" s="1297"/>
      <c r="BN84" s="1297"/>
      <c r="BO84" s="580"/>
      <c r="BP84" s="580"/>
      <c r="BQ84" s="1297"/>
      <c r="BR84" s="1256"/>
      <c r="BS84" s="435"/>
      <c r="BT84" s="1297"/>
      <c r="BU84" s="1297"/>
      <c r="BV84" s="1297"/>
      <c r="BW84" s="580"/>
      <c r="BX84" s="580"/>
      <c r="BY84" s="1297"/>
      <c r="BZ84" s="1256"/>
      <c r="CA84" s="435"/>
      <c r="CB84" s="1297"/>
      <c r="CC84" s="1297"/>
      <c r="CD84" s="1297"/>
      <c r="CE84" s="580"/>
      <c r="CF84" s="580"/>
      <c r="CG84" s="1297"/>
      <c r="CH84" s="1256"/>
      <c r="CI84" s="435"/>
      <c r="CJ84" s="1297"/>
      <c r="CK84" s="1297"/>
      <c r="CL84" s="1297"/>
      <c r="CM84" s="580"/>
      <c r="CN84" s="580"/>
      <c r="CO84" s="1297"/>
      <c r="CP84" s="1256"/>
      <c r="CQ84" s="434"/>
      <c r="CR84" s="1295" t="n">
        <f aca="false">+SUMIF($J$5:$CQ$5,CR$5,$J84:$CQ84)</f>
        <v>0</v>
      </c>
      <c r="CS84" s="433" t="n">
        <f aca="false">+SUMIF($D$5:$CQ$5,CS$5,$D84:$CQ84)</f>
        <v>0</v>
      </c>
      <c r="CT84" s="1297" t="n">
        <f aca="false">+SUMIF($D$5:$CO$5,CT$5,$D84:$CO84)+SUMIF($D$5:$BI$5,CR$5,$D84:$BI84)</f>
        <v>0</v>
      </c>
      <c r="CU84" s="1297" t="n">
        <f aca="false">CR84-CS84</f>
        <v>0</v>
      </c>
      <c r="CV84" s="1297" t="n">
        <f aca="false">CR84-CT84</f>
        <v>0</v>
      </c>
      <c r="CW84" s="1297"/>
      <c r="CX84" s="1297" t="str">
        <f aca="false">IFERROR(CR84/CW84-1, "-")</f>
        <v>-</v>
      </c>
      <c r="CY84" s="1297"/>
      <c r="CZ84" s="1297"/>
      <c r="DA84" s="1297"/>
      <c r="DB84" s="1297"/>
      <c r="DC84" s="1297"/>
      <c r="DD84" s="1297"/>
      <c r="DE84" s="434"/>
      <c r="DF84" s="434"/>
      <c r="DG84" s="434"/>
      <c r="DH84" s="434"/>
      <c r="DI84" s="794"/>
      <c r="DJ84" s="1214" t="n">
        <f aca="false">SUM(D84,J84,P84,V84,AD84,AL84,AU84,BC84,BK84,BT84,CB84,CJ84)-CR84</f>
        <v>0</v>
      </c>
      <c r="DK84" s="1214" t="n">
        <f aca="false">SUM(E84,K84,Q84,W84,AE84,AM84,AV84,BD84,BL84,BU84,CC84,CK84)-CS84</f>
        <v>0</v>
      </c>
      <c r="DL84" s="1214" t="n">
        <f aca="false">SUM(G84,M84,S84,AA84,AI84,AR84,AZ84,BH84,BQ84,BY84,CG84,CO84)-CW84</f>
        <v>0</v>
      </c>
      <c r="DM84" s="1214" t="n">
        <f aca="false">SUM(D84,J84,P84,V84,AD84,AL84,AU84,BC84,,BN84,BV84,CD84,CL84)-CT84</f>
        <v>0</v>
      </c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s="793" customFormat="true" ht="12.75" hidden="true" customHeight="true" outlineLevel="0" collapsed="false">
      <c r="B85" s="1272" t="s">
        <v>562</v>
      </c>
      <c r="C85" s="679" t="s">
        <v>907</v>
      </c>
      <c r="D85" s="1298"/>
      <c r="E85" s="1298"/>
      <c r="F85" s="1274"/>
      <c r="G85" s="1298"/>
      <c r="H85" s="1275"/>
      <c r="I85" s="1264"/>
      <c r="J85" s="1298"/>
      <c r="K85" s="1298"/>
      <c r="L85" s="1274"/>
      <c r="M85" s="1298"/>
      <c r="N85" s="1275"/>
      <c r="O85" s="788"/>
      <c r="P85" s="1298"/>
      <c r="Q85" s="1298"/>
      <c r="R85" s="1274"/>
      <c r="S85" s="1298"/>
      <c r="T85" s="1275"/>
      <c r="U85" s="789"/>
      <c r="V85" s="1298"/>
      <c r="W85" s="1298"/>
      <c r="X85" s="1298"/>
      <c r="Y85" s="1276"/>
      <c r="Z85" s="1276"/>
      <c r="AA85" s="1298"/>
      <c r="AB85" s="1275"/>
      <c r="AC85" s="789"/>
      <c r="AD85" s="1298"/>
      <c r="AE85" s="1298"/>
      <c r="AF85" s="1298"/>
      <c r="AG85" s="1276"/>
      <c r="AH85" s="1276"/>
      <c r="AI85" s="1298"/>
      <c r="AJ85" s="1275"/>
      <c r="AK85" s="789"/>
      <c r="AL85" s="1298"/>
      <c r="AM85" s="1298"/>
      <c r="AN85" s="1298"/>
      <c r="AO85" s="1298"/>
      <c r="AP85" s="1276"/>
      <c r="AQ85" s="1276"/>
      <c r="AR85" s="1298"/>
      <c r="AS85" s="1275"/>
      <c r="AT85" s="1267"/>
      <c r="AU85" s="1298"/>
      <c r="AV85" s="1298"/>
      <c r="AW85" s="1298"/>
      <c r="AX85" s="1276"/>
      <c r="AY85" s="1276"/>
      <c r="AZ85" s="1298"/>
      <c r="BA85" s="1275"/>
      <c r="BB85" s="789"/>
      <c r="BC85" s="1298"/>
      <c r="BD85" s="1298"/>
      <c r="BE85" s="1298"/>
      <c r="BF85" s="1276"/>
      <c r="BG85" s="1276"/>
      <c r="BH85" s="1298"/>
      <c r="BI85" s="1275"/>
      <c r="BJ85" s="789"/>
      <c r="BK85" s="1298"/>
      <c r="BL85" s="1298"/>
      <c r="BM85" s="1298"/>
      <c r="BN85" s="1298"/>
      <c r="BO85" s="1276"/>
      <c r="BP85" s="1276"/>
      <c r="BQ85" s="1298"/>
      <c r="BR85" s="1275"/>
      <c r="BS85" s="789"/>
      <c r="BT85" s="1298"/>
      <c r="BU85" s="1298"/>
      <c r="BV85" s="1298"/>
      <c r="BW85" s="1276"/>
      <c r="BX85" s="1276"/>
      <c r="BY85" s="1298"/>
      <c r="BZ85" s="1275"/>
      <c r="CA85" s="789"/>
      <c r="CB85" s="1298"/>
      <c r="CC85" s="1298"/>
      <c r="CD85" s="1298"/>
      <c r="CE85" s="1276"/>
      <c r="CF85" s="1276"/>
      <c r="CG85" s="1298"/>
      <c r="CH85" s="1275"/>
      <c r="CI85" s="789"/>
      <c r="CJ85" s="1298"/>
      <c r="CK85" s="1298"/>
      <c r="CL85" s="1298"/>
      <c r="CM85" s="1276"/>
      <c r="CN85" s="1276"/>
      <c r="CO85" s="1298"/>
      <c r="CP85" s="1275"/>
      <c r="CQ85" s="788"/>
      <c r="CR85" s="1299" t="n">
        <f aca="false">+SUMIF($J$5:$CQ$5,CR$5,$J85:$CQ85)</f>
        <v>0</v>
      </c>
      <c r="CS85" s="758" t="n">
        <f aca="false">+SUMIF($D$5:$CQ$5,CS$5,$D85:$CQ85)</f>
        <v>0</v>
      </c>
      <c r="CT85" s="1298" t="n">
        <f aca="false">SUM(CT86:CT90)</f>
        <v>55.6117568846025</v>
      </c>
      <c r="CU85" s="1298" t="n">
        <f aca="false">CR85-CS85</f>
        <v>0</v>
      </c>
      <c r="CV85" s="1298" t="n">
        <f aca="false">CR85-CT85</f>
        <v>-55.6117568846025</v>
      </c>
      <c r="CW85" s="1298"/>
      <c r="CX85" s="1298" t="str">
        <f aca="false">IFERROR(CR85/CW85-1, "-")</f>
        <v>-</v>
      </c>
      <c r="CY85" s="1298"/>
      <c r="CZ85" s="1298"/>
      <c r="DA85" s="1298"/>
      <c r="DB85" s="1298"/>
      <c r="DC85" s="1298"/>
      <c r="DD85" s="1298"/>
      <c r="DE85" s="788" t="e">
        <f aca="false">+CZ85/DD85-1</f>
        <v>#DIV/0!</v>
      </c>
      <c r="DF85" s="788" t="e">
        <f aca="false">+DA85/DD85-1</f>
        <v>#DIV/0!</v>
      </c>
      <c r="DG85" s="788" t="e">
        <f aca="false">+DB85/DD85-1</f>
        <v>#DIV/0!</v>
      </c>
      <c r="DH85" s="788" t="e">
        <f aca="false">+DC85/DD85-1</f>
        <v>#DIV/0!</v>
      </c>
      <c r="DI85" s="1270"/>
      <c r="DJ85" s="1214" t="n">
        <f aca="false">SUM(D85,J85,P85,V85,AD85,AL85,AU85,BC85,BK85,BT85,CB85,CJ85)-CR85</f>
        <v>0</v>
      </c>
      <c r="DK85" s="1214" t="n">
        <f aca="false">SUM(E85,K85,Q85,W85,AE85,AM85,AV85,BD85,BL85,BU85,CC85,CK85)-CS85</f>
        <v>0</v>
      </c>
      <c r="DL85" s="1214" t="n">
        <f aca="false">SUM(G85,M85,S85,AA85,AI85,AR85,AZ85,BH85,BQ85,BY85,CG85,CO85)-CW85</f>
        <v>0</v>
      </c>
      <c r="DM85" s="1214" t="n">
        <f aca="false">SUM(D85,J85,P85,V85,AD85,AL85,AU85,BC85,,BN85,BV85,CD85,CL85)-CT85</f>
        <v>-55.6117568846025</v>
      </c>
      <c r="DX85" s="400" t="n">
        <f aca="false">(CS85-CZ85)*10^6</f>
        <v>0</v>
      </c>
      <c r="DY85" s="400" t="n">
        <f aca="false">(CT85-DC85)*10^6</f>
        <v>55611756.8846025</v>
      </c>
      <c r="DZ85" s="400" t="n">
        <f aca="false">(CW85-DD85)*10^6</f>
        <v>0</v>
      </c>
    </row>
    <row r="86" s="1252" customFormat="true" ht="12.75" hidden="true" customHeight="true" outlineLevel="0" collapsed="false">
      <c r="B86" s="1253" t="s">
        <v>874</v>
      </c>
      <c r="C86" s="679" t="s">
        <v>908</v>
      </c>
      <c r="D86" s="1271"/>
      <c r="E86" s="433"/>
      <c r="F86" s="1255"/>
      <c r="G86" s="433"/>
      <c r="H86" s="1256"/>
      <c r="I86" s="1257"/>
      <c r="J86" s="1271"/>
      <c r="K86" s="433"/>
      <c r="L86" s="1255"/>
      <c r="M86" s="433"/>
      <c r="N86" s="1256"/>
      <c r="O86" s="434"/>
      <c r="P86" s="1271"/>
      <c r="Q86" s="433"/>
      <c r="R86" s="1255"/>
      <c r="S86" s="433"/>
      <c r="T86" s="1256"/>
      <c r="U86" s="435"/>
      <c r="V86" s="1271"/>
      <c r="W86" s="433"/>
      <c r="X86" s="433"/>
      <c r="Y86" s="580"/>
      <c r="Z86" s="580"/>
      <c r="AA86" s="433"/>
      <c r="AB86" s="1256"/>
      <c r="AC86" s="435"/>
      <c r="AD86" s="1271"/>
      <c r="AE86" s="433"/>
      <c r="AF86" s="433"/>
      <c r="AG86" s="580"/>
      <c r="AH86" s="580"/>
      <c r="AI86" s="433"/>
      <c r="AJ86" s="1256"/>
      <c r="AK86" s="435"/>
      <c r="AL86" s="1271"/>
      <c r="AM86" s="433"/>
      <c r="AN86" s="433"/>
      <c r="AO86" s="433"/>
      <c r="AP86" s="580"/>
      <c r="AQ86" s="580"/>
      <c r="AR86" s="433"/>
      <c r="AS86" s="1256"/>
      <c r="AT86" s="436"/>
      <c r="AU86" s="1271"/>
      <c r="AV86" s="433"/>
      <c r="AW86" s="433"/>
      <c r="AX86" s="580"/>
      <c r="AY86" s="580"/>
      <c r="AZ86" s="433"/>
      <c r="BA86" s="1256"/>
      <c r="BB86" s="435"/>
      <c r="BC86" s="1271"/>
      <c r="BD86" s="433"/>
      <c r="BE86" s="433"/>
      <c r="BF86" s="580"/>
      <c r="BG86" s="580"/>
      <c r="BH86" s="433"/>
      <c r="BI86" s="1256"/>
      <c r="BJ86" s="435"/>
      <c r="BK86" s="1271"/>
      <c r="BL86" s="433"/>
      <c r="BM86" s="433"/>
      <c r="BN86" s="433"/>
      <c r="BO86" s="580"/>
      <c r="BP86" s="580"/>
      <c r="BQ86" s="433"/>
      <c r="BR86" s="1256"/>
      <c r="BS86" s="435"/>
      <c r="BT86" s="1271"/>
      <c r="BU86" s="433"/>
      <c r="BV86" s="433"/>
      <c r="BW86" s="580"/>
      <c r="BX86" s="580"/>
      <c r="BY86" s="433"/>
      <c r="BZ86" s="1256"/>
      <c r="CA86" s="435"/>
      <c r="CB86" s="1271"/>
      <c r="CC86" s="433"/>
      <c r="CD86" s="433"/>
      <c r="CE86" s="580"/>
      <c r="CF86" s="580"/>
      <c r="CG86" s="433"/>
      <c r="CH86" s="1256"/>
      <c r="CI86" s="435"/>
      <c r="CJ86" s="1271"/>
      <c r="CK86" s="433"/>
      <c r="CL86" s="433"/>
      <c r="CM86" s="580"/>
      <c r="CN86" s="580"/>
      <c r="CO86" s="433"/>
      <c r="CP86" s="1256"/>
      <c r="CQ86" s="434"/>
      <c r="CR86" s="1295" t="n">
        <f aca="false">+SUMIF($J$5:$CQ$5,CR$5,$J86:$CQ86)</f>
        <v>0</v>
      </c>
      <c r="CS86" s="433" t="n">
        <f aca="false">+SUMIF($D$5:$CQ$5,CS$5,$D86:$CQ86)</f>
        <v>0</v>
      </c>
      <c r="CT86" s="433" t="n">
        <v>0.0517137296866722</v>
      </c>
      <c r="CU86" s="433" t="n">
        <f aca="false">CR86-CS86</f>
        <v>0</v>
      </c>
      <c r="CV86" s="433" t="n">
        <f aca="false">CR86-CT86</f>
        <v>-0.0517137296866722</v>
      </c>
      <c r="CW86" s="433"/>
      <c r="CX86" s="433" t="str">
        <f aca="false">IFERROR(CR86/CW86-1, "-")</f>
        <v>-</v>
      </c>
      <c r="CY86" s="433"/>
      <c r="CZ86" s="433"/>
      <c r="DA86" s="433"/>
      <c r="DB86" s="433"/>
      <c r="DC86" s="433"/>
      <c r="DD86" s="433"/>
      <c r="DE86" s="434" t="e">
        <f aca="false">+CZ86/DD86-1</f>
        <v>#DIV/0!</v>
      </c>
      <c r="DF86" s="434" t="e">
        <f aca="false">+DA86/DD86-1</f>
        <v>#DIV/0!</v>
      </c>
      <c r="DG86" s="434" t="e">
        <f aca="false">+DB86/DD86-1</f>
        <v>#DIV/0!</v>
      </c>
      <c r="DH86" s="434" t="e">
        <f aca="false">+DC86/DD86-1</f>
        <v>#DIV/0!</v>
      </c>
      <c r="DI86" s="794"/>
      <c r="DJ86" s="1214" t="n">
        <f aca="false">SUM(D86,J86,P86,V86,AD86,AL86,AU86,BC86,BK86,BT86,CB86,CJ86)-CR86</f>
        <v>0</v>
      </c>
      <c r="DK86" s="1214" t="n">
        <f aca="false">SUM(E86,K86,Q86,W86,AE86,AM86,AV86,BD86,BL86,BU86,CC86,CK86)-CS86</f>
        <v>0</v>
      </c>
      <c r="DL86" s="1214" t="n">
        <f aca="false">SUM(G86,M86,S86,AA86,AI86,AR86,AZ86,BH86,BQ86,BY86,CG86,CO86)-CW86</f>
        <v>0</v>
      </c>
      <c r="DM86" s="1214" t="n">
        <f aca="false">SUM(D86,J86,P86,V86,AD86,AL86,AU86,BC86,,BN86,BV86,CD86,CL86)-CT86</f>
        <v>-0.0517137296866722</v>
      </c>
      <c r="DX86" s="400" t="n">
        <f aca="false">(CS86-CZ86)*10^6</f>
        <v>0</v>
      </c>
      <c r="DY86" s="400" t="n">
        <f aca="false">(CT86-DC86)*10^6</f>
        <v>51713.7296866722</v>
      </c>
      <c r="DZ86" s="400" t="n">
        <f aca="false">(CW86-DD86)*10^6</f>
        <v>0</v>
      </c>
    </row>
    <row r="87" s="1252" customFormat="true" ht="12.75" hidden="true" customHeight="true" outlineLevel="0" collapsed="false">
      <c r="B87" s="1253" t="s">
        <v>876</v>
      </c>
      <c r="C87" s="679" t="s">
        <v>909</v>
      </c>
      <c r="D87" s="1271"/>
      <c r="E87" s="433"/>
      <c r="F87" s="1255"/>
      <c r="G87" s="433"/>
      <c r="H87" s="1256"/>
      <c r="I87" s="1257"/>
      <c r="J87" s="1271"/>
      <c r="K87" s="433"/>
      <c r="L87" s="1255"/>
      <c r="M87" s="433"/>
      <c r="N87" s="1256"/>
      <c r="O87" s="434"/>
      <c r="P87" s="1271"/>
      <c r="Q87" s="433"/>
      <c r="R87" s="1255"/>
      <c r="S87" s="433"/>
      <c r="T87" s="1256"/>
      <c r="U87" s="435"/>
      <c r="V87" s="1271"/>
      <c r="W87" s="433"/>
      <c r="X87" s="433"/>
      <c r="Y87" s="580"/>
      <c r="Z87" s="580"/>
      <c r="AA87" s="433"/>
      <c r="AB87" s="1256"/>
      <c r="AC87" s="435"/>
      <c r="AD87" s="1271"/>
      <c r="AE87" s="433"/>
      <c r="AF87" s="433"/>
      <c r="AG87" s="580"/>
      <c r="AH87" s="580"/>
      <c r="AI87" s="433"/>
      <c r="AJ87" s="1256"/>
      <c r="AK87" s="435"/>
      <c r="AL87" s="1271"/>
      <c r="AM87" s="433"/>
      <c r="AN87" s="433"/>
      <c r="AO87" s="433"/>
      <c r="AP87" s="580"/>
      <c r="AQ87" s="580"/>
      <c r="AR87" s="433"/>
      <c r="AS87" s="1256"/>
      <c r="AT87" s="436"/>
      <c r="AU87" s="1271"/>
      <c r="AV87" s="433"/>
      <c r="AW87" s="433"/>
      <c r="AX87" s="580"/>
      <c r="AY87" s="580"/>
      <c r="AZ87" s="433"/>
      <c r="BA87" s="1256"/>
      <c r="BB87" s="435"/>
      <c r="BC87" s="1271"/>
      <c r="BD87" s="433"/>
      <c r="BE87" s="433"/>
      <c r="BF87" s="580"/>
      <c r="BG87" s="580"/>
      <c r="BH87" s="433"/>
      <c r="BI87" s="1256"/>
      <c r="BJ87" s="435"/>
      <c r="BK87" s="1271"/>
      <c r="BL87" s="433"/>
      <c r="BM87" s="433"/>
      <c r="BN87" s="433"/>
      <c r="BO87" s="580"/>
      <c r="BP87" s="580"/>
      <c r="BQ87" s="433"/>
      <c r="BR87" s="1256"/>
      <c r="BS87" s="435"/>
      <c r="BT87" s="1271"/>
      <c r="BU87" s="433"/>
      <c r="BV87" s="433"/>
      <c r="BW87" s="580"/>
      <c r="BX87" s="580"/>
      <c r="BY87" s="433"/>
      <c r="BZ87" s="1256"/>
      <c r="CA87" s="435"/>
      <c r="CB87" s="1271"/>
      <c r="CC87" s="433"/>
      <c r="CD87" s="433"/>
      <c r="CE87" s="580"/>
      <c r="CF87" s="580"/>
      <c r="CG87" s="433"/>
      <c r="CH87" s="1256"/>
      <c r="CI87" s="435"/>
      <c r="CJ87" s="1271"/>
      <c r="CK87" s="433"/>
      <c r="CL87" s="433"/>
      <c r="CM87" s="580"/>
      <c r="CN87" s="580"/>
      <c r="CO87" s="433"/>
      <c r="CP87" s="1256"/>
      <c r="CQ87" s="434"/>
      <c r="CR87" s="1295" t="n">
        <f aca="false">+SUMIF($J$5:$CQ$5,CR$5,$J87:$CQ87)</f>
        <v>0</v>
      </c>
      <c r="CS87" s="433" t="n">
        <f aca="false">+SUMIF($D$5:$CQ$5,CS$5,$D87:$CQ87)</f>
        <v>0</v>
      </c>
      <c r="CT87" s="433" t="n">
        <v>0.230198881227854</v>
      </c>
      <c r="CU87" s="433" t="n">
        <f aca="false">CR87-CS87</f>
        <v>0</v>
      </c>
      <c r="CV87" s="433" t="n">
        <f aca="false">CR87-CT87</f>
        <v>-0.230198881227854</v>
      </c>
      <c r="CW87" s="433"/>
      <c r="CX87" s="433" t="str">
        <f aca="false">IFERROR(CR87/CW87-1, "-")</f>
        <v>-</v>
      </c>
      <c r="CY87" s="433"/>
      <c r="CZ87" s="433"/>
      <c r="DA87" s="433"/>
      <c r="DB87" s="433"/>
      <c r="DC87" s="433"/>
      <c r="DD87" s="433"/>
      <c r="DE87" s="434" t="e">
        <f aca="false">+CZ87/DD87-1</f>
        <v>#DIV/0!</v>
      </c>
      <c r="DF87" s="434" t="e">
        <f aca="false">+DA87/DD87-1</f>
        <v>#DIV/0!</v>
      </c>
      <c r="DG87" s="434" t="e">
        <f aca="false">+DB87/DD87-1</f>
        <v>#DIV/0!</v>
      </c>
      <c r="DH87" s="434" t="e">
        <f aca="false">+DC87/DD87-1</f>
        <v>#DIV/0!</v>
      </c>
      <c r="DI87" s="794"/>
      <c r="DJ87" s="1214" t="n">
        <f aca="false">SUM(D87,J87,P87,V87,AD87,AL87,AU87,BC87,BK87,BT87,CB87,CJ87)-CR87</f>
        <v>0</v>
      </c>
      <c r="DK87" s="1214" t="n">
        <f aca="false">SUM(E87,K87,Q87,W87,AE87,AM87,AV87,BD87,BL87,BU87,CC87,CK87)-CS87</f>
        <v>0</v>
      </c>
      <c r="DL87" s="1214" t="n">
        <f aca="false">SUM(G87,M87,S87,AA87,AI87,AR87,AZ87,BH87,BQ87,BY87,CG87,CO87)-CW87</f>
        <v>0</v>
      </c>
      <c r="DM87" s="1214" t="n">
        <f aca="false">SUM(D87,J87,P87,V87,AD87,AL87,AU87,BC87,,BN87,BV87,CD87,CL87)-CT87</f>
        <v>-0.230198881227854</v>
      </c>
      <c r="DX87" s="400" t="n">
        <f aca="false">(CS87-CZ87)*10^6</f>
        <v>0</v>
      </c>
      <c r="DY87" s="400" t="n">
        <f aca="false">(CT87-DC87)*10^6</f>
        <v>230198.881227854</v>
      </c>
      <c r="DZ87" s="400" t="n">
        <f aca="false">(CW87-DD87)*10^6</f>
        <v>0</v>
      </c>
    </row>
    <row r="88" s="1252" customFormat="true" ht="12.75" hidden="true" customHeight="true" outlineLevel="0" collapsed="false">
      <c r="B88" s="1253" t="s">
        <v>878</v>
      </c>
      <c r="C88" s="679" t="s">
        <v>910</v>
      </c>
      <c r="D88" s="1271"/>
      <c r="E88" s="433"/>
      <c r="F88" s="1255"/>
      <c r="G88" s="433"/>
      <c r="H88" s="1256"/>
      <c r="I88" s="1257"/>
      <c r="J88" s="1271"/>
      <c r="K88" s="433"/>
      <c r="L88" s="1255"/>
      <c r="M88" s="433"/>
      <c r="N88" s="1256"/>
      <c r="O88" s="434"/>
      <c r="P88" s="1271"/>
      <c r="Q88" s="433"/>
      <c r="R88" s="1255"/>
      <c r="S88" s="433"/>
      <c r="T88" s="1256"/>
      <c r="U88" s="435"/>
      <c r="V88" s="1271"/>
      <c r="W88" s="433"/>
      <c r="X88" s="433"/>
      <c r="Y88" s="580"/>
      <c r="Z88" s="580"/>
      <c r="AA88" s="433"/>
      <c r="AB88" s="1256"/>
      <c r="AC88" s="435"/>
      <c r="AD88" s="1271"/>
      <c r="AE88" s="433"/>
      <c r="AF88" s="433"/>
      <c r="AG88" s="580"/>
      <c r="AH88" s="580"/>
      <c r="AI88" s="433"/>
      <c r="AJ88" s="1256"/>
      <c r="AK88" s="435"/>
      <c r="AL88" s="1271"/>
      <c r="AM88" s="433"/>
      <c r="AN88" s="433"/>
      <c r="AO88" s="433"/>
      <c r="AP88" s="580"/>
      <c r="AQ88" s="580"/>
      <c r="AR88" s="433"/>
      <c r="AS88" s="1256"/>
      <c r="AT88" s="436"/>
      <c r="AU88" s="1271"/>
      <c r="AV88" s="433"/>
      <c r="AW88" s="433"/>
      <c r="AX88" s="580"/>
      <c r="AY88" s="580"/>
      <c r="AZ88" s="433"/>
      <c r="BA88" s="1256"/>
      <c r="BB88" s="435"/>
      <c r="BC88" s="1271"/>
      <c r="BD88" s="433"/>
      <c r="BE88" s="433"/>
      <c r="BF88" s="580"/>
      <c r="BG88" s="580"/>
      <c r="BH88" s="433"/>
      <c r="BI88" s="1256"/>
      <c r="BJ88" s="435"/>
      <c r="BK88" s="1271"/>
      <c r="BL88" s="433"/>
      <c r="BM88" s="433"/>
      <c r="BN88" s="433"/>
      <c r="BO88" s="580"/>
      <c r="BP88" s="580"/>
      <c r="BQ88" s="433"/>
      <c r="BR88" s="1256"/>
      <c r="BS88" s="435"/>
      <c r="BT88" s="1271"/>
      <c r="BU88" s="433"/>
      <c r="BV88" s="433"/>
      <c r="BW88" s="580"/>
      <c r="BX88" s="580"/>
      <c r="BY88" s="433"/>
      <c r="BZ88" s="1256"/>
      <c r="CA88" s="435"/>
      <c r="CB88" s="1271"/>
      <c r="CC88" s="433"/>
      <c r="CD88" s="433"/>
      <c r="CE88" s="580"/>
      <c r="CF88" s="580"/>
      <c r="CG88" s="433"/>
      <c r="CH88" s="1256"/>
      <c r="CI88" s="435"/>
      <c r="CJ88" s="1271"/>
      <c r="CK88" s="433"/>
      <c r="CL88" s="433"/>
      <c r="CM88" s="580"/>
      <c r="CN88" s="580"/>
      <c r="CO88" s="433"/>
      <c r="CP88" s="1256"/>
      <c r="CQ88" s="434"/>
      <c r="CR88" s="1295" t="n">
        <f aca="false">+SUMIF($J$5:$CQ$5,CR$5,$J88:$CQ88)</f>
        <v>0</v>
      </c>
      <c r="CS88" s="433" t="n">
        <f aca="false">+SUMIF($D$5:$CQ$5,CS$5,$D88:$CQ88)</f>
        <v>0</v>
      </c>
      <c r="CT88" s="433" t="n">
        <v>18.6011450715057</v>
      </c>
      <c r="CU88" s="433" t="n">
        <f aca="false">CR88-CS88</f>
        <v>0</v>
      </c>
      <c r="CV88" s="433" t="n">
        <f aca="false">CR88-CT88</f>
        <v>-18.6011450715057</v>
      </c>
      <c r="CW88" s="433"/>
      <c r="CX88" s="433" t="str">
        <f aca="false">IFERROR(CR88/CW88-1, "-")</f>
        <v>-</v>
      </c>
      <c r="CY88" s="433"/>
      <c r="CZ88" s="433"/>
      <c r="DA88" s="433"/>
      <c r="DB88" s="433"/>
      <c r="DC88" s="433"/>
      <c r="DD88" s="433"/>
      <c r="DE88" s="434" t="e">
        <f aca="false">+CZ88/DD88-1</f>
        <v>#DIV/0!</v>
      </c>
      <c r="DF88" s="434" t="e">
        <f aca="false">+DA88/DD88-1</f>
        <v>#DIV/0!</v>
      </c>
      <c r="DG88" s="434" t="e">
        <f aca="false">+DB88/DD88-1</f>
        <v>#DIV/0!</v>
      </c>
      <c r="DH88" s="434" t="e">
        <f aca="false">+DC88/DD88-1</f>
        <v>#DIV/0!</v>
      </c>
      <c r="DI88" s="794"/>
      <c r="DJ88" s="1214" t="n">
        <f aca="false">SUM(D88,J88,P88,V88,AD88,AL88,AU88,BC88,BK88,BT88,CB88,CJ88)-CR88</f>
        <v>0</v>
      </c>
      <c r="DK88" s="1214" t="n">
        <f aca="false">SUM(E88,K88,Q88,W88,AE88,AM88,AV88,BD88,BL88,BU88,CC88,CK88)-CS88</f>
        <v>0</v>
      </c>
      <c r="DL88" s="1214" t="n">
        <f aca="false">SUM(G88,M88,S88,AA88,AI88,AR88,AZ88,BH88,BQ88,BY88,CG88,CO88)-CW88</f>
        <v>0</v>
      </c>
      <c r="DM88" s="1214" t="n">
        <f aca="false">SUM(D88,J88,P88,V88,AD88,AL88,AU88,BC88,,BN88,BV88,CD88,CL88)-CT88</f>
        <v>-18.6011450715057</v>
      </c>
      <c r="DX88" s="400" t="n">
        <f aca="false">(CS88-CZ88)*10^6</f>
        <v>0</v>
      </c>
      <c r="DY88" s="400" t="n">
        <f aca="false">(CT88-DC88)*10^6</f>
        <v>18601145.0715057</v>
      </c>
      <c r="DZ88" s="400" t="n">
        <f aca="false">(CW88-DD88)*10^6</f>
        <v>0</v>
      </c>
    </row>
    <row r="89" s="1252" customFormat="true" ht="12.75" hidden="true" customHeight="true" outlineLevel="0" collapsed="false">
      <c r="B89" s="1253" t="s">
        <v>880</v>
      </c>
      <c r="C89" s="679" t="s">
        <v>911</v>
      </c>
      <c r="D89" s="1297"/>
      <c r="E89" s="433"/>
      <c r="F89" s="1255"/>
      <c r="G89" s="433"/>
      <c r="H89" s="1256"/>
      <c r="I89" s="1257"/>
      <c r="J89" s="1297"/>
      <c r="K89" s="433"/>
      <c r="L89" s="1255"/>
      <c r="M89" s="433"/>
      <c r="N89" s="1256"/>
      <c r="O89" s="434"/>
      <c r="P89" s="1297"/>
      <c r="Q89" s="433"/>
      <c r="R89" s="1255"/>
      <c r="S89" s="433"/>
      <c r="T89" s="1256"/>
      <c r="U89" s="435"/>
      <c r="V89" s="1297"/>
      <c r="W89" s="433"/>
      <c r="X89" s="433"/>
      <c r="Y89" s="580"/>
      <c r="Z89" s="580"/>
      <c r="AA89" s="433"/>
      <c r="AB89" s="1256"/>
      <c r="AC89" s="435"/>
      <c r="AD89" s="1297"/>
      <c r="AE89" s="433"/>
      <c r="AF89" s="433"/>
      <c r="AG89" s="580"/>
      <c r="AH89" s="580"/>
      <c r="AI89" s="433"/>
      <c r="AJ89" s="1256"/>
      <c r="AK89" s="435"/>
      <c r="AL89" s="1297"/>
      <c r="AM89" s="433"/>
      <c r="AN89" s="433"/>
      <c r="AO89" s="433"/>
      <c r="AP89" s="580"/>
      <c r="AQ89" s="580"/>
      <c r="AR89" s="433"/>
      <c r="AS89" s="1256"/>
      <c r="AT89" s="436"/>
      <c r="AU89" s="1297"/>
      <c r="AV89" s="433"/>
      <c r="AW89" s="433"/>
      <c r="AX89" s="580"/>
      <c r="AY89" s="580"/>
      <c r="AZ89" s="433"/>
      <c r="BA89" s="1256"/>
      <c r="BB89" s="435"/>
      <c r="BC89" s="1297"/>
      <c r="BD89" s="433"/>
      <c r="BE89" s="433"/>
      <c r="BF89" s="580"/>
      <c r="BG89" s="580"/>
      <c r="BH89" s="433"/>
      <c r="BI89" s="1256"/>
      <c r="BJ89" s="435"/>
      <c r="BK89" s="1297"/>
      <c r="BL89" s="433"/>
      <c r="BM89" s="433"/>
      <c r="BN89" s="433"/>
      <c r="BO89" s="580"/>
      <c r="BP89" s="580"/>
      <c r="BQ89" s="433"/>
      <c r="BR89" s="1256"/>
      <c r="BS89" s="435"/>
      <c r="BT89" s="1297"/>
      <c r="BU89" s="433"/>
      <c r="BV89" s="433"/>
      <c r="BW89" s="580"/>
      <c r="BX89" s="580"/>
      <c r="BY89" s="433"/>
      <c r="BZ89" s="1256"/>
      <c r="CA89" s="435"/>
      <c r="CB89" s="1297"/>
      <c r="CC89" s="433"/>
      <c r="CD89" s="433"/>
      <c r="CE89" s="580"/>
      <c r="CF89" s="580"/>
      <c r="CG89" s="433"/>
      <c r="CH89" s="1256"/>
      <c r="CI89" s="435"/>
      <c r="CJ89" s="1297"/>
      <c r="CK89" s="433"/>
      <c r="CL89" s="433"/>
      <c r="CM89" s="580"/>
      <c r="CN89" s="580"/>
      <c r="CO89" s="433"/>
      <c r="CP89" s="1256"/>
      <c r="CQ89" s="434"/>
      <c r="CR89" s="1295" t="n">
        <f aca="false">+SUMIF($J$5:$CQ$5,CR$5,$J89:$CQ89)</f>
        <v>0</v>
      </c>
      <c r="CS89" s="433" t="n">
        <f aca="false">+SUMIF($D$5:$CQ$5,CS$5,$D89:$CQ89)</f>
        <v>0</v>
      </c>
      <c r="CT89" s="433" t="n">
        <v>36.7286992021823</v>
      </c>
      <c r="CU89" s="433" t="n">
        <f aca="false">CR89-CS89</f>
        <v>0</v>
      </c>
      <c r="CV89" s="433" t="n">
        <f aca="false">CR89-CT89</f>
        <v>-36.7286992021823</v>
      </c>
      <c r="CW89" s="433"/>
      <c r="CX89" s="433" t="str">
        <f aca="false">IFERROR(CR89/CW89-1, "-")</f>
        <v>-</v>
      </c>
      <c r="CY89" s="433"/>
      <c r="CZ89" s="433"/>
      <c r="DA89" s="433"/>
      <c r="DB89" s="433"/>
      <c r="DC89" s="433"/>
      <c r="DD89" s="433"/>
      <c r="DE89" s="434"/>
      <c r="DF89" s="434"/>
      <c r="DG89" s="434"/>
      <c r="DH89" s="434"/>
      <c r="DI89" s="794"/>
      <c r="DJ89" s="1214" t="n">
        <f aca="false">SUM(D89,J89,P89,V89,AD89,AL89,AU89,BC89,BK89,BT89,CB89,CJ89)-CR89</f>
        <v>0</v>
      </c>
      <c r="DK89" s="1214" t="n">
        <f aca="false">SUM(E89,K89,Q89,W89,AE89,AM89,AV89,BD89,BL89,BU89,CC89,CK89)-CS89</f>
        <v>0</v>
      </c>
      <c r="DL89" s="1214" t="n">
        <f aca="false">SUM(G89,M89,S89,AA89,AI89,AR89,AZ89,BH89,BQ89,BY89,CG89,CO89)-CW89</f>
        <v>0</v>
      </c>
      <c r="DM89" s="1214" t="n">
        <f aca="false">SUM(D89,J89,P89,V89,AD89,AL89,AU89,BC89,,BN89,BV89,CD89,CL89)-CT89</f>
        <v>-36.7286992021823</v>
      </c>
      <c r="DX89" s="400" t="n">
        <f aca="false">(CS89-CZ89)*10^6</f>
        <v>0</v>
      </c>
      <c r="DY89" s="400" t="n">
        <f aca="false">(CT89-DC89)*10^6</f>
        <v>36728699.2021823</v>
      </c>
      <c r="DZ89" s="400" t="n">
        <f aca="false">(CW89-DD89)*10^6</f>
        <v>0</v>
      </c>
    </row>
    <row r="90" s="1252" customFormat="true" ht="12.75" hidden="true" customHeight="true" outlineLevel="0" collapsed="false">
      <c r="B90" s="1253" t="s">
        <v>882</v>
      </c>
      <c r="C90" s="679" t="s">
        <v>912</v>
      </c>
      <c r="D90" s="1297"/>
      <c r="E90" s="433"/>
      <c r="F90" s="1255"/>
      <c r="G90" s="433"/>
      <c r="H90" s="1256"/>
      <c r="I90" s="1257"/>
      <c r="J90" s="1297"/>
      <c r="K90" s="433"/>
      <c r="L90" s="1255"/>
      <c r="M90" s="433"/>
      <c r="N90" s="1256"/>
      <c r="O90" s="434"/>
      <c r="P90" s="1300"/>
      <c r="Q90" s="433"/>
      <c r="R90" s="1255"/>
      <c r="S90" s="433"/>
      <c r="T90" s="1256"/>
      <c r="U90" s="1301"/>
      <c r="V90" s="1300"/>
      <c r="W90" s="433"/>
      <c r="X90" s="433"/>
      <c r="Y90" s="580"/>
      <c r="Z90" s="580"/>
      <c r="AA90" s="433"/>
      <c r="AB90" s="1256"/>
      <c r="AC90" s="435"/>
      <c r="AD90" s="1300"/>
      <c r="AE90" s="433"/>
      <c r="AF90" s="433"/>
      <c r="AG90" s="580"/>
      <c r="AH90" s="580"/>
      <c r="AI90" s="433"/>
      <c r="AJ90" s="1256"/>
      <c r="AK90" s="435"/>
      <c r="AL90" s="1300"/>
      <c r="AM90" s="433"/>
      <c r="AN90" s="433"/>
      <c r="AO90" s="433"/>
      <c r="AP90" s="580"/>
      <c r="AQ90" s="580"/>
      <c r="AR90" s="433"/>
      <c r="AS90" s="1256"/>
      <c r="AT90" s="436"/>
      <c r="AU90" s="1300"/>
      <c r="AV90" s="433"/>
      <c r="AW90" s="433"/>
      <c r="AX90" s="580"/>
      <c r="AY90" s="580"/>
      <c r="AZ90" s="433"/>
      <c r="BA90" s="1256"/>
      <c r="BB90" s="435"/>
      <c r="BC90" s="1300"/>
      <c r="BD90" s="433"/>
      <c r="BE90" s="433"/>
      <c r="BF90" s="580"/>
      <c r="BG90" s="580"/>
      <c r="BH90" s="433"/>
      <c r="BI90" s="1256"/>
      <c r="BJ90" s="435"/>
      <c r="BK90" s="1300"/>
      <c r="BL90" s="433"/>
      <c r="BM90" s="433"/>
      <c r="BN90" s="433"/>
      <c r="BO90" s="580"/>
      <c r="BP90" s="580"/>
      <c r="BQ90" s="433"/>
      <c r="BR90" s="1256"/>
      <c r="BS90" s="435"/>
      <c r="BT90" s="1300"/>
      <c r="BU90" s="433"/>
      <c r="BV90" s="433"/>
      <c r="BW90" s="580"/>
      <c r="BX90" s="580"/>
      <c r="BY90" s="433"/>
      <c r="BZ90" s="1256"/>
      <c r="CA90" s="435"/>
      <c r="CB90" s="1300"/>
      <c r="CC90" s="433"/>
      <c r="CD90" s="433"/>
      <c r="CE90" s="580"/>
      <c r="CF90" s="580"/>
      <c r="CG90" s="433"/>
      <c r="CH90" s="1256"/>
      <c r="CI90" s="435"/>
      <c r="CJ90" s="1300"/>
      <c r="CK90" s="433"/>
      <c r="CL90" s="433"/>
      <c r="CM90" s="580"/>
      <c r="CN90" s="580"/>
      <c r="CO90" s="433"/>
      <c r="CP90" s="1256"/>
      <c r="CQ90" s="434"/>
      <c r="CR90" s="1295" t="n">
        <f aca="false">+SUMIF($J$5:$CQ$5,CR$5,$J90:$CQ90)</f>
        <v>0</v>
      </c>
      <c r="CS90" s="433" t="n">
        <f aca="false">+SUMIF($D$5:$CQ$5,CS$5,$D90:$CQ90)</f>
        <v>0</v>
      </c>
      <c r="CT90" s="433" t="n">
        <v>0</v>
      </c>
      <c r="CU90" s="433" t="n">
        <f aca="false">CR90-CS90</f>
        <v>0</v>
      </c>
      <c r="CV90" s="433" t="n">
        <f aca="false">CR90-CT90</f>
        <v>0</v>
      </c>
      <c r="CW90" s="433"/>
      <c r="CX90" s="433" t="str">
        <f aca="false">IFERROR(CR90/CW90-1, "-")</f>
        <v>-</v>
      </c>
      <c r="CY90" s="433"/>
      <c r="CZ90" s="433"/>
      <c r="DA90" s="433"/>
      <c r="DB90" s="433"/>
      <c r="DC90" s="433"/>
      <c r="DD90" s="433"/>
      <c r="DE90" s="434"/>
      <c r="DF90" s="434"/>
      <c r="DG90" s="434"/>
      <c r="DH90" s="434"/>
      <c r="DI90" s="794"/>
      <c r="DJ90" s="1214" t="n">
        <f aca="false">SUM(D90,J90,P90,V90,AD90,AL90,AU90,BC90,BK90,BT90,CB90,CJ90)-CR90</f>
        <v>0</v>
      </c>
      <c r="DK90" s="1214" t="n">
        <f aca="false">SUM(E90,K90,Q90,W90,AE90,AM90,AV90,BD90,BL90,BU90,CC90,CK90)-CS90</f>
        <v>0</v>
      </c>
      <c r="DL90" s="1214" t="n">
        <f aca="false">SUM(G90,M90,S90,AA90,AI90,AR90,AZ90,BH90,BQ90,BY90,CG90,CO90)-CW90</f>
        <v>0</v>
      </c>
      <c r="DM90" s="1214" t="n">
        <f aca="false">SUM(D90,J90,P90,V90,AD90,AL90,AU90,BC90,,BN90,BV90,CD90,CL90)-CT90</f>
        <v>0</v>
      </c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3.75" hidden="false" customHeight="true" outlineLevel="0" collapsed="false">
      <c r="B91" s="1244"/>
      <c r="C91" s="620"/>
      <c r="D91" s="545"/>
      <c r="E91" s="545"/>
      <c r="F91" s="1246"/>
      <c r="G91" s="545"/>
      <c r="H91" s="1247"/>
      <c r="I91" s="38"/>
      <c r="J91" s="545"/>
      <c r="K91" s="545"/>
      <c r="L91" s="1246"/>
      <c r="M91" s="545"/>
      <c r="N91" s="546"/>
      <c r="O91" s="546"/>
      <c r="P91" s="1302"/>
      <c r="Q91" s="545"/>
      <c r="R91" s="546"/>
      <c r="S91" s="545"/>
      <c r="T91" s="546"/>
      <c r="U91" s="546"/>
      <c r="V91" s="1303"/>
      <c r="W91" s="545"/>
      <c r="X91" s="545"/>
      <c r="Y91" s="1246"/>
      <c r="Z91" s="1246"/>
      <c r="AA91" s="545"/>
      <c r="AB91" s="546"/>
      <c r="AC91" s="1091"/>
      <c r="AD91" s="546"/>
      <c r="AE91" s="545"/>
      <c r="AF91" s="546"/>
      <c r="AG91" s="546"/>
      <c r="AH91" s="546"/>
      <c r="AI91" s="546"/>
      <c r="AJ91" s="546"/>
      <c r="AK91" s="1091"/>
      <c r="AL91" s="1304"/>
      <c r="AM91" s="545"/>
      <c r="AN91" s="1305"/>
      <c r="AO91" s="1305"/>
      <c r="AP91" s="546"/>
      <c r="AQ91" s="546"/>
      <c r="AR91" s="1305"/>
      <c r="AS91" s="1090"/>
      <c r="AT91" s="1306"/>
      <c r="AU91" s="1304"/>
      <c r="AV91" s="545"/>
      <c r="AW91" s="1305"/>
      <c r="AX91" s="1246"/>
      <c r="AY91" s="1246"/>
      <c r="AZ91" s="545"/>
      <c r="BA91" s="546"/>
      <c r="BB91" s="1091"/>
      <c r="BC91" s="1304"/>
      <c r="BD91" s="545"/>
      <c r="BE91" s="1305"/>
      <c r="BF91" s="1246"/>
      <c r="BG91" s="1246"/>
      <c r="BH91" s="545"/>
      <c r="BI91" s="546"/>
      <c r="BJ91" s="1091"/>
      <c r="BK91" s="245"/>
      <c r="BL91" s="545"/>
      <c r="BM91" s="245"/>
      <c r="BN91" s="1307"/>
      <c r="BO91" s="245"/>
      <c r="BP91" s="245"/>
      <c r="BQ91" s="245"/>
      <c r="BR91" s="245"/>
      <c r="BS91" s="422"/>
      <c r="BT91" s="1308"/>
      <c r="BU91" s="545"/>
      <c r="BV91" s="1307"/>
      <c r="BW91" s="1307"/>
      <c r="BX91" s="1307"/>
      <c r="BY91" s="1307"/>
      <c r="BZ91" s="1309"/>
      <c r="CA91" s="1091"/>
      <c r="CB91" s="1310"/>
      <c r="CC91" s="545"/>
      <c r="CD91" s="236"/>
      <c r="CE91" s="236"/>
      <c r="CF91" s="236"/>
      <c r="CG91" s="236"/>
      <c r="CH91" s="1090"/>
      <c r="CI91" s="1091"/>
      <c r="CJ91" s="545"/>
      <c r="CK91" s="545"/>
      <c r="CL91" s="545"/>
      <c r="CM91" s="1246"/>
      <c r="CN91" s="1246"/>
      <c r="CO91" s="545"/>
      <c r="CP91" s="1247"/>
      <c r="CQ91" s="245"/>
      <c r="CR91" s="1311"/>
      <c r="CS91" s="545"/>
      <c r="CT91" s="545"/>
      <c r="CU91" s="1312"/>
      <c r="CV91" s="1312"/>
      <c r="CW91" s="1312"/>
      <c r="CX91" s="1247" t="str">
        <f aca="false">IFERROR(CR91/CW91-1, "-")</f>
        <v>-</v>
      </c>
      <c r="CY91" s="38"/>
      <c r="CZ91" s="545"/>
      <c r="DA91" s="545"/>
      <c r="DB91" s="545"/>
      <c r="DC91" s="1312"/>
      <c r="DD91" s="545"/>
      <c r="DE91" s="546"/>
      <c r="DF91" s="546"/>
      <c r="DG91" s="1097"/>
      <c r="DH91" s="1097"/>
      <c r="DI91" s="1227"/>
      <c r="DJ91" s="1214" t="n">
        <f aca="false">SUM(D91,J91,P91,V91,AD91,AL91,AU91,BC91,BK91,BT91,CB91,CJ91)-CR91</f>
        <v>0</v>
      </c>
      <c r="DK91" s="1214" t="n">
        <f aca="false">SUM(E91,K91,Q91,W91,AE91,AM91,AV91,BD91,BL91,BU91,CC91,CK91)-CS91</f>
        <v>0</v>
      </c>
      <c r="DL91" s="1214" t="n">
        <f aca="false">SUM(G91,M91,S91,AA91,AI91,AR91,AZ91,BH91,BQ91,BY91,CG91,CO91)-CW91</f>
        <v>0</v>
      </c>
      <c r="DM91" s="1214" t="n">
        <f aca="false">SUM(D91,J91,P91,V91,AD91,AL91,AU91,BC91,,BN91,BV91,CD91,CL91)-CT91</f>
        <v>0</v>
      </c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3.75" hidden="false" customHeight="true" outlineLevel="0" collapsed="false">
      <c r="C92" s="620"/>
      <c r="BS92" s="1313"/>
      <c r="DD92" s="36"/>
      <c r="DJ92" s="1214" t="n">
        <f aca="false">SUM(D92,J92,P92,V92,AD92,AL92,AU92,BC92,BK92,BT92,CB92,CJ92)-CR92</f>
        <v>0</v>
      </c>
      <c r="DK92" s="1214" t="n">
        <f aca="false">SUM(E92,K92,Q92,W92,AE92,AM92,AV92,BD92,BL92,BU92,CC92,CK92)-CS92</f>
        <v>0</v>
      </c>
      <c r="DL92" s="1214" t="n">
        <f aca="false">SUM(G92,M92,S92,AA92,AI92,AR92,AZ92,BH92,BQ92,BY92,CG92,CO92)-CW92</f>
        <v>0</v>
      </c>
      <c r="DM92" s="1214" t="n">
        <f aca="false">SUM(D92,J92,P92,V92,AD92,AL92,AU92,BC92,,BN92,BV92,CD92,CL92)-CT92</f>
        <v>0</v>
      </c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3.75" hidden="false" customHeight="true" outlineLevel="0" collapsed="false">
      <c r="C93" s="620"/>
      <c r="CS93" s="36"/>
      <c r="CT93" s="36"/>
      <c r="DJ93" s="1214" t="n">
        <f aca="false">SUM(D93,J93,P93,V93,AD93,AL93,AU93,BC93,BK93,BT93,CB93,CJ93)-CR93</f>
        <v>0</v>
      </c>
      <c r="DK93" s="1214" t="n">
        <f aca="false">SUM(E93,K93,Q93,W93,AE93,AM93,AV93,BD93,BL93,BU93,CC93,CK93)-CS93</f>
        <v>0</v>
      </c>
      <c r="DL93" s="1214" t="n">
        <f aca="false">SUM(G93,M93,S93,AA93,AI93,AR93,AZ93,BH93,BQ93,BY93,CG93,CO93)-CW93</f>
        <v>0</v>
      </c>
      <c r="DM93" s="1214" t="n">
        <f aca="false">SUM(D93,J93,P93,V93,AD93,AL93,AU93,BC93,,BN93,BV93,CD93,CL93)-CT93</f>
        <v>0</v>
      </c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s="620" customFormat="true" ht="19.5" hidden="false" customHeight="true" outlineLevel="0" collapsed="false"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R94" s="1314"/>
      <c r="CS94" s="1315"/>
      <c r="CT94" s="1316"/>
      <c r="CU94" s="1316"/>
      <c r="CV94" s="1316"/>
      <c r="CZ94" s="287"/>
      <c r="DI94" s="644"/>
      <c r="DJ94" s="1317"/>
      <c r="DK94" s="1317"/>
      <c r="DL94" s="1317"/>
      <c r="DM94" s="1317"/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CS96" s="1318"/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G83"/>
  <sheetViews>
    <sheetView showFormulas="false" showGridLines="true" showRowColHeaders="true" showZeros="true" rightToLeft="false" tabSelected="false" showOutlineSymbols="true" defaultGridColor="true" view="pageBreakPreview" topLeftCell="CL1" colorId="64" zoomScale="100" zoomScaleNormal="60" zoomScalePageLayoutView="100" workbookViewId="0">
      <selection pane="topLeft" activeCell="CU14" activeCellId="0" sqref="CU14"/>
    </sheetView>
  </sheetViews>
  <sheetFormatPr defaultColWidth="10.90234375" defaultRowHeight="15.75" zeroHeight="false" outlineLevelRow="0" outlineLevelCol="0"/>
  <cols>
    <col collapsed="false" customWidth="true" hidden="false" outlineLevel="0" max="2" min="2" style="2" width="42.16"/>
    <col collapsed="false" customWidth="true" hidden="false" outlineLevel="0" max="3" min="3" style="1" width="0.33"/>
    <col collapsed="false" customWidth="true" hidden="false" outlineLevel="0" max="4" min="4" style="2" width="17.83"/>
    <col collapsed="false" customWidth="true" hidden="false" outlineLevel="0" max="5" min="5" style="2" width="16.83"/>
    <col collapsed="false" customWidth="true" hidden="false" outlineLevel="0" max="6" min="6" style="2" width="17.52"/>
    <col collapsed="false" customWidth="true" hidden="false" outlineLevel="0" max="7" min="7" style="2" width="17"/>
    <col collapsed="false" customWidth="true" hidden="false" outlineLevel="0" max="8" min="8" style="1319" width="9.16"/>
    <col collapsed="false" customWidth="true" hidden="false" outlineLevel="0" max="9" min="9" style="1" width="0.16"/>
    <col collapsed="false" customWidth="true" hidden="false" outlineLevel="0" max="10" min="10" style="2" width="17"/>
    <col collapsed="false" customWidth="true" hidden="false" outlineLevel="0" max="11" min="11" style="2" width="17.52"/>
    <col collapsed="false" customWidth="true" hidden="false" outlineLevel="0" max="12" min="12" style="2" width="17"/>
    <col collapsed="false" customWidth="true" hidden="false" outlineLevel="0" max="13" min="13" style="2" width="15.83"/>
    <col collapsed="false" customWidth="true" hidden="false" outlineLevel="0" max="14" min="14" style="2" width="13.5"/>
    <col collapsed="false" customWidth="true" hidden="false" outlineLevel="0" max="15" min="15" style="1" width="0.33"/>
    <col collapsed="false" customWidth="true" hidden="false" outlineLevel="0" max="17" min="16" style="2" width="17.52"/>
    <col collapsed="false" customWidth="true" hidden="false" outlineLevel="0" max="18" min="18" style="2" width="16.48"/>
    <col collapsed="false" customWidth="true" hidden="false" outlineLevel="0" max="19" min="19" style="2" width="17.83"/>
    <col collapsed="false" customWidth="true" hidden="false" outlineLevel="0" max="20" min="20" style="2" width="11.5"/>
    <col collapsed="false" customWidth="true" hidden="false" outlineLevel="0" max="21" min="21" style="1320" width="0.33"/>
    <col collapsed="false" customWidth="true" hidden="false" outlineLevel="0" max="25" min="22" style="1" width="22.83"/>
    <col collapsed="false" customWidth="true" hidden="false" outlineLevel="0" max="27" min="26" style="2" width="18"/>
    <col collapsed="false" customWidth="true" hidden="false" outlineLevel="0" max="28" min="28" style="1319" width="12.5"/>
    <col collapsed="false" customWidth="true" hidden="false" outlineLevel="0" max="29" min="29" style="2" width="0.16"/>
    <col collapsed="false" customWidth="true" hidden="false" outlineLevel="0" max="31" min="30" style="1" width="16"/>
    <col collapsed="false" customWidth="true" hidden="false" outlineLevel="0" max="32" min="32" style="1" width="17.52"/>
    <col collapsed="false" customWidth="true" hidden="false" outlineLevel="0" max="33" min="33" style="1" width="14.5"/>
    <col collapsed="false" customWidth="true" hidden="false" outlineLevel="0" max="34" min="34" style="2" width="18.16"/>
    <col collapsed="false" customWidth="true" hidden="false" outlineLevel="0" max="35" min="35" style="2" width="15.83"/>
    <col collapsed="false" customWidth="true" hidden="false" outlineLevel="0" max="36" min="36" style="1319" width="10.65"/>
    <col collapsed="false" customWidth="true" hidden="false" outlineLevel="0" max="37" min="37" style="248" width="0.52"/>
    <col collapsed="false" customWidth="true" hidden="false" outlineLevel="0" max="38" min="38" style="1" width="17"/>
    <col collapsed="false" customWidth="true" hidden="false" outlineLevel="0" max="39" min="39" style="1" width="16.48"/>
    <col collapsed="false" customWidth="true" hidden="false" outlineLevel="0" max="40" min="40" style="1" width="17.83"/>
    <col collapsed="false" customWidth="true" hidden="false" outlineLevel="0" max="41" min="41" style="1" width="11.5"/>
    <col collapsed="false" customWidth="true" hidden="false" outlineLevel="0" max="42" min="42" style="2" width="17"/>
    <col collapsed="false" customWidth="true" hidden="false" outlineLevel="0" max="43" min="43" style="2" width="17.16"/>
    <col collapsed="false" customWidth="true" hidden="false" outlineLevel="0" max="44" min="44" style="1319" width="10.65"/>
    <col collapsed="false" customWidth="true" hidden="false" outlineLevel="0" max="45" min="45" style="2" width="0.52"/>
    <col collapsed="false" customWidth="true" hidden="false" outlineLevel="0" max="46" min="46" style="1321" width="16.83"/>
    <col collapsed="false" customWidth="true" hidden="false" outlineLevel="0" max="47" min="47" style="1322" width="16.14"/>
    <col collapsed="false" customWidth="true" hidden="false" outlineLevel="0" max="48" min="48" style="1323" width="17.52"/>
    <col collapsed="false" customWidth="true" hidden="false" outlineLevel="0" max="49" min="49" style="1323" width="16.83"/>
    <col collapsed="false" customWidth="true" hidden="false" outlineLevel="0" max="50" min="50" style="2" width="18"/>
    <col collapsed="false" customWidth="true" hidden="false" outlineLevel="0" max="51" min="51" style="2" width="17"/>
    <col collapsed="false" customWidth="true" hidden="false" outlineLevel="0" max="52" min="52" style="1319" width="10"/>
    <col collapsed="false" customWidth="true" hidden="false" outlineLevel="0" max="53" min="53" style="2" width="0.52"/>
    <col collapsed="false" customWidth="true" hidden="false" outlineLevel="0" max="54" min="54" style="1" width="17.83"/>
    <col collapsed="false" customWidth="true" hidden="false" outlineLevel="0" max="55" min="55" style="1" width="16.14"/>
    <col collapsed="false" customWidth="true" hidden="false" outlineLevel="0" max="56" min="56" style="1" width="17.52"/>
    <col collapsed="false" customWidth="true" hidden="false" outlineLevel="0" max="57" min="57" style="1" width="1.51"/>
    <col collapsed="false" customWidth="true" hidden="false" outlineLevel="0" max="58" min="58" style="2" width="16.14"/>
    <col collapsed="false" customWidth="true" hidden="false" outlineLevel="0" max="59" min="59" style="2" width="17"/>
    <col collapsed="false" customWidth="true" hidden="false" outlineLevel="0" max="60" min="60" style="1319" width="9.51"/>
    <col collapsed="false" customWidth="true" hidden="false" outlineLevel="0" max="61" min="61" style="2" width="0.16"/>
    <col collapsed="false" customWidth="true" hidden="false" outlineLevel="0" max="64" min="62" style="1" width="17.52"/>
    <col collapsed="false" customWidth="true" hidden="false" outlineLevel="0" max="65" min="65" style="1" width="17.83"/>
    <col collapsed="false" customWidth="true" hidden="false" outlineLevel="0" max="66" min="66" style="1" width="2.99"/>
    <col collapsed="false" customWidth="true" hidden="false" outlineLevel="0" max="67" min="67" style="2" width="16.83"/>
    <col collapsed="false" customWidth="true" hidden="false" outlineLevel="0" max="68" min="68" style="2" width="17"/>
    <col collapsed="false" customWidth="true" hidden="false" outlineLevel="0" max="69" min="69" style="1319" width="9.83"/>
    <col collapsed="false" customWidth="true" hidden="false" outlineLevel="0" max="70" min="70" style="2" width="0.16"/>
    <col collapsed="false" customWidth="true" hidden="false" outlineLevel="0" max="72" min="71" style="1" width="17"/>
    <col collapsed="false" customWidth="true" hidden="false" outlineLevel="0" max="73" min="73" style="1" width="17.52"/>
    <col collapsed="false" customWidth="true" hidden="false" outlineLevel="0" max="74" min="74" style="1" width="16.14"/>
    <col collapsed="false" customWidth="true" hidden="false" outlineLevel="0" max="75" min="75" style="2" width="17.33"/>
    <col collapsed="false" customWidth="true" hidden="false" outlineLevel="0" max="76" min="76" style="2" width="17"/>
    <col collapsed="false" customWidth="true" hidden="false" outlineLevel="0" max="77" min="77" style="1319" width="10"/>
    <col collapsed="false" customWidth="true" hidden="false" outlineLevel="0" max="78" min="78" style="2" width="1.51"/>
    <col collapsed="false" customWidth="true" hidden="false" outlineLevel="0" max="79" min="79" style="1" width="16.83"/>
    <col collapsed="false" customWidth="true" hidden="false" outlineLevel="0" max="80" min="80" style="1" width="17"/>
    <col collapsed="false" customWidth="true" hidden="false" outlineLevel="0" max="82" min="81" style="1" width="17.16"/>
    <col collapsed="false" customWidth="true" hidden="false" outlineLevel="0" max="83" min="83" style="2" width="17.83"/>
    <col collapsed="false" customWidth="true" hidden="false" outlineLevel="0" max="84" min="84" style="2" width="17"/>
    <col collapsed="false" customWidth="true" hidden="false" outlineLevel="0" max="85" min="85" style="1319" width="11.5"/>
    <col collapsed="false" customWidth="true" hidden="false" outlineLevel="0" max="86" min="86" style="2" width="0.33"/>
    <col collapsed="false" customWidth="true" hidden="false" outlineLevel="0" max="87" min="87" style="1" width="17.52"/>
    <col collapsed="false" customWidth="true" hidden="false" outlineLevel="0" max="89" min="88" style="1" width="17.83"/>
    <col collapsed="false" customWidth="true" hidden="false" outlineLevel="0" max="90" min="90" style="1" width="17"/>
    <col collapsed="false" customWidth="true" hidden="false" outlineLevel="0" max="91" min="91" style="2" width="18.16"/>
    <col collapsed="false" customWidth="true" hidden="false" outlineLevel="0" max="92" min="92" style="2" width="17"/>
    <col collapsed="false" customWidth="true" hidden="false" outlineLevel="0" max="93" min="93" style="1319" width="10"/>
    <col collapsed="false" customWidth="true" hidden="false" outlineLevel="0" max="94" min="94" style="2" width="0.16"/>
    <col collapsed="false" customWidth="true" hidden="false" outlineLevel="0" max="95" min="95" style="2" width="18.85"/>
    <col collapsed="false" customWidth="true" hidden="false" outlineLevel="0" max="96" min="96" style="2" width="18.33"/>
    <col collapsed="false" customWidth="true" hidden="false" outlineLevel="0" max="97" min="97" style="2" width="19.5"/>
    <col collapsed="false" customWidth="true" hidden="true" outlineLevel="0" max="98" min="98" style="2" width="18.16"/>
    <col collapsed="false" customWidth="true" hidden="false" outlineLevel="0" max="99" min="99" style="2" width="17.52"/>
    <col collapsed="false" customWidth="true" hidden="true" outlineLevel="0" max="100" min="100" style="2" width="17.52"/>
    <col collapsed="false" customWidth="true" hidden="false" outlineLevel="0" max="101" min="101" style="2" width="11.5"/>
    <col collapsed="false" customWidth="true" hidden="false" outlineLevel="0" max="102" min="102" style="2" width="3.33"/>
    <col collapsed="false" customWidth="true" hidden="false" outlineLevel="0" max="103" min="103" style="2" width="16.83"/>
    <col collapsed="false" customWidth="true" hidden="false" outlineLevel="0" max="104" min="104" style="2" width="17.16"/>
    <col collapsed="false" customWidth="true" hidden="false" outlineLevel="0" max="105" min="105" style="2" width="16.48"/>
    <col collapsed="false" customWidth="true" hidden="false" outlineLevel="0" max="106" min="106" style="2" width="17.16"/>
    <col collapsed="false" customWidth="true" hidden="false" outlineLevel="0" max="107" min="107" style="2" width="15.66"/>
    <col collapsed="false" customWidth="true" hidden="false" outlineLevel="0" max="109" min="108" style="2" width="16.48"/>
    <col collapsed="false" customWidth="true" hidden="false" outlineLevel="0" max="110" min="110" style="2" width="15.66"/>
    <col collapsed="false" customWidth="true" hidden="false" outlineLevel="0" max="111" min="111" style="2" width="17.52"/>
  </cols>
  <sheetData>
    <row r="1" customFormat="false" ht="15.75" hidden="false" customHeight="false" outlineLevel="0" collapsed="false">
      <c r="B1" s="37"/>
      <c r="D1" s="248"/>
      <c r="E1" s="1324"/>
      <c r="J1" s="248"/>
      <c r="K1" s="1324"/>
      <c r="N1" s="248"/>
      <c r="P1" s="248"/>
      <c r="Q1" s="1324"/>
      <c r="R1" s="1324"/>
      <c r="U1" s="1325"/>
      <c r="V1" s="248"/>
      <c r="W1" s="1324"/>
      <c r="X1" s="1326"/>
      <c r="Y1" s="1326"/>
      <c r="AD1" s="248"/>
      <c r="AE1" s="1324"/>
      <c r="AF1" s="1326"/>
      <c r="AG1" s="1326"/>
      <c r="AK1" s="31"/>
      <c r="AL1" s="248"/>
      <c r="AM1" s="37"/>
      <c r="AN1" s="1326"/>
      <c r="AO1" s="1326"/>
      <c r="AS1" s="1"/>
      <c r="AT1" s="1327"/>
      <c r="AU1" s="250"/>
      <c r="AV1" s="1328"/>
      <c r="AW1" s="1328"/>
      <c r="AX1" s="249"/>
      <c r="AY1" s="249"/>
      <c r="AZ1" s="1329"/>
      <c r="BA1" s="1330"/>
      <c r="BB1" s="1327"/>
      <c r="BC1" s="250"/>
      <c r="BD1" s="1328"/>
      <c r="BE1" s="1328"/>
      <c r="BF1" s="249"/>
      <c r="BG1" s="249"/>
      <c r="BH1" s="250"/>
      <c r="BI1" s="1331"/>
      <c r="BJ1" s="37"/>
      <c r="BK1" s="37"/>
      <c r="BL1" s="37"/>
      <c r="BM1" s="37"/>
      <c r="BN1" s="37"/>
      <c r="BO1" s="1327"/>
      <c r="BP1" s="1327"/>
      <c r="BQ1" s="1327" t="n">
        <v>-0.0848202751626559</v>
      </c>
      <c r="BS1" s="248"/>
      <c r="BT1" s="248"/>
      <c r="BU1" s="248"/>
      <c r="CQ1" s="1332"/>
      <c r="CR1" s="1332"/>
      <c r="CS1" s="1323"/>
      <c r="CT1" s="1"/>
      <c r="CW1" s="1319"/>
    </row>
    <row r="2" customFormat="false" ht="15.75" hidden="false" customHeight="false" outlineLevel="0" collapsed="false">
      <c r="A2" s="1333"/>
      <c r="B2" s="1333"/>
      <c r="C2" s="1333"/>
      <c r="D2" s="1334" t="n">
        <v>45292</v>
      </c>
      <c r="E2" s="1334"/>
      <c r="F2" s="1334"/>
      <c r="G2" s="1334"/>
      <c r="H2" s="1334"/>
      <c r="I2" s="1333"/>
      <c r="J2" s="1334" t="n">
        <v>45323</v>
      </c>
      <c r="K2" s="1334"/>
      <c r="L2" s="1334"/>
      <c r="M2" s="1334"/>
      <c r="N2" s="1334"/>
      <c r="O2" s="1333"/>
      <c r="P2" s="1334" t="n">
        <v>45352</v>
      </c>
      <c r="Q2" s="1334"/>
      <c r="R2" s="1334"/>
      <c r="S2" s="1334"/>
      <c r="T2" s="1334"/>
      <c r="U2" s="1325"/>
      <c r="V2" s="1334" t="n">
        <v>45383</v>
      </c>
      <c r="W2" s="1334"/>
      <c r="X2" s="1334"/>
      <c r="Y2" s="1334"/>
      <c r="Z2" s="1334"/>
      <c r="AA2" s="1334"/>
      <c r="AB2" s="1334"/>
      <c r="AD2" s="1334" t="n">
        <v>45413</v>
      </c>
      <c r="AE2" s="1334"/>
      <c r="AF2" s="1334"/>
      <c r="AG2" s="1334"/>
      <c r="AH2" s="1334"/>
      <c r="AI2" s="1334"/>
      <c r="AJ2" s="1334"/>
      <c r="AK2" s="1335"/>
      <c r="AL2" s="1334" t="n">
        <v>45444</v>
      </c>
      <c r="AM2" s="1334"/>
      <c r="AN2" s="1334"/>
      <c r="AO2" s="1334"/>
      <c r="AP2" s="1334"/>
      <c r="AQ2" s="1334"/>
      <c r="AR2" s="1334"/>
      <c r="AS2" s="1333"/>
      <c r="AT2" s="1334" t="n">
        <v>45474</v>
      </c>
      <c r="AU2" s="1334"/>
      <c r="AV2" s="1334"/>
      <c r="AW2" s="1334"/>
      <c r="AX2" s="1334"/>
      <c r="AY2" s="1334"/>
      <c r="AZ2" s="1334"/>
      <c r="BA2" s="1333"/>
      <c r="BB2" s="1334" t="n">
        <v>45505</v>
      </c>
      <c r="BC2" s="1334"/>
      <c r="BD2" s="1334"/>
      <c r="BE2" s="1334"/>
      <c r="BF2" s="1334"/>
      <c r="BG2" s="1334"/>
      <c r="BH2" s="1334"/>
      <c r="BI2" s="1333"/>
      <c r="BJ2" s="1334" t="n">
        <v>45536</v>
      </c>
      <c r="BK2" s="1334"/>
      <c r="BL2" s="1334"/>
      <c r="BM2" s="1334"/>
      <c r="BN2" s="1334"/>
      <c r="BO2" s="1334"/>
      <c r="BP2" s="1334"/>
      <c r="BQ2" s="1334"/>
      <c r="BS2" s="1334" t="n">
        <v>45566</v>
      </c>
      <c r="BT2" s="1334"/>
      <c r="BU2" s="1334"/>
      <c r="BV2" s="1334"/>
      <c r="BW2" s="1334"/>
      <c r="BX2" s="1334"/>
      <c r="BY2" s="1334"/>
      <c r="CA2" s="1334" t="n">
        <v>45597</v>
      </c>
      <c r="CB2" s="1334"/>
      <c r="CC2" s="1334"/>
      <c r="CD2" s="1334"/>
      <c r="CE2" s="1334"/>
      <c r="CF2" s="1334"/>
      <c r="CG2" s="1334"/>
      <c r="CI2" s="1334" t="n">
        <v>45627</v>
      </c>
      <c r="CJ2" s="1334"/>
      <c r="CK2" s="1334"/>
      <c r="CL2" s="1334"/>
      <c r="CM2" s="1334"/>
      <c r="CN2" s="1334"/>
      <c r="CO2" s="1334"/>
      <c r="CQ2" s="1336" t="s">
        <v>913</v>
      </c>
      <c r="CR2" s="1336"/>
      <c r="CS2" s="1336"/>
      <c r="CT2" s="1336"/>
      <c r="CU2" s="1336"/>
      <c r="CV2" s="1336"/>
      <c r="CW2" s="1336"/>
      <c r="CY2" s="1337" t="s">
        <v>914</v>
      </c>
      <c r="CZ2" s="1337"/>
      <c r="DA2" s="1337"/>
      <c r="DB2" s="1337"/>
      <c r="DC2" s="1337"/>
      <c r="DD2" s="1337"/>
      <c r="DE2" s="1337"/>
      <c r="DF2" s="1337"/>
      <c r="DG2" s="1337"/>
    </row>
    <row r="3" customFormat="false" ht="44.25" hidden="false" customHeight="true" outlineLevel="0" collapsed="false">
      <c r="A3" s="1333"/>
      <c r="B3" s="1333"/>
      <c r="C3" s="1333"/>
      <c r="D3" s="1338" t="s">
        <v>915</v>
      </c>
      <c r="E3" s="1339" t="s">
        <v>915</v>
      </c>
      <c r="F3" s="1339" t="s">
        <v>916</v>
      </c>
      <c r="G3" s="1339" t="s">
        <v>917</v>
      </c>
      <c r="H3" s="1340" t="s">
        <v>918</v>
      </c>
      <c r="I3" s="1333"/>
      <c r="J3" s="1338" t="s">
        <v>915</v>
      </c>
      <c r="K3" s="1339" t="s">
        <v>915</v>
      </c>
      <c r="L3" s="1339" t="s">
        <v>916</v>
      </c>
      <c r="M3" s="1339" t="s">
        <v>917</v>
      </c>
      <c r="N3" s="1340" t="s">
        <v>918</v>
      </c>
      <c r="O3" s="1333"/>
      <c r="P3" s="1338" t="s">
        <v>915</v>
      </c>
      <c r="Q3" s="1339" t="s">
        <v>915</v>
      </c>
      <c r="R3" s="1339" t="s">
        <v>916</v>
      </c>
      <c r="S3" s="1339" t="s">
        <v>917</v>
      </c>
      <c r="T3" s="1340" t="s">
        <v>918</v>
      </c>
      <c r="U3" s="1325"/>
      <c r="V3" s="1338" t="s">
        <v>915</v>
      </c>
      <c r="W3" s="1339" t="s">
        <v>915</v>
      </c>
      <c r="X3" s="1339" t="s">
        <v>916</v>
      </c>
      <c r="Y3" s="1339" t="s">
        <v>916</v>
      </c>
      <c r="Z3" s="1339" t="s">
        <v>917</v>
      </c>
      <c r="AA3" s="1339" t="s">
        <v>917</v>
      </c>
      <c r="AB3" s="1340" t="s">
        <v>918</v>
      </c>
      <c r="AD3" s="1338" t="s">
        <v>915</v>
      </c>
      <c r="AE3" s="1339" t="s">
        <v>915</v>
      </c>
      <c r="AF3" s="1339" t="s">
        <v>916</v>
      </c>
      <c r="AG3" s="1339" t="s">
        <v>916</v>
      </c>
      <c r="AH3" s="1339" t="s">
        <v>917</v>
      </c>
      <c r="AI3" s="1339" t="s">
        <v>917</v>
      </c>
      <c r="AJ3" s="1340" t="s">
        <v>918</v>
      </c>
      <c r="AK3" s="1335"/>
      <c r="AL3" s="1338" t="s">
        <v>915</v>
      </c>
      <c r="AM3" s="1339" t="s">
        <v>915</v>
      </c>
      <c r="AN3" s="1339" t="s">
        <v>916</v>
      </c>
      <c r="AO3" s="1339" t="s">
        <v>916</v>
      </c>
      <c r="AP3" s="1339" t="s">
        <v>917</v>
      </c>
      <c r="AQ3" s="1339" t="s">
        <v>917</v>
      </c>
      <c r="AR3" s="1340" t="s">
        <v>918</v>
      </c>
      <c r="AS3" s="1333"/>
      <c r="AT3" s="1338" t="s">
        <v>915</v>
      </c>
      <c r="AU3" s="1341" t="s">
        <v>915</v>
      </c>
      <c r="AV3" s="1342" t="s">
        <v>916</v>
      </c>
      <c r="AW3" s="1342" t="s">
        <v>916</v>
      </c>
      <c r="AX3" s="1339" t="s">
        <v>917</v>
      </c>
      <c r="AY3" s="1339" t="s">
        <v>917</v>
      </c>
      <c r="AZ3" s="1340" t="s">
        <v>918</v>
      </c>
      <c r="BA3" s="1333"/>
      <c r="BB3" s="1338" t="s">
        <v>915</v>
      </c>
      <c r="BC3" s="1339" t="s">
        <v>915</v>
      </c>
      <c r="BD3" s="1339" t="s">
        <v>916</v>
      </c>
      <c r="BE3" s="1339" t="s">
        <v>916</v>
      </c>
      <c r="BF3" s="1339" t="s">
        <v>917</v>
      </c>
      <c r="BG3" s="1339" t="s">
        <v>917</v>
      </c>
      <c r="BH3" s="1340" t="s">
        <v>918</v>
      </c>
      <c r="BI3" s="1333"/>
      <c r="BJ3" s="1338" t="s">
        <v>915</v>
      </c>
      <c r="BK3" s="1339" t="s">
        <v>915</v>
      </c>
      <c r="BL3" s="1339" t="s">
        <v>916</v>
      </c>
      <c r="BM3" s="1339" t="s">
        <v>916</v>
      </c>
      <c r="BN3" s="1339" t="s">
        <v>916</v>
      </c>
      <c r="BO3" s="1339" t="s">
        <v>917</v>
      </c>
      <c r="BP3" s="1339" t="s">
        <v>917</v>
      </c>
      <c r="BQ3" s="1340" t="s">
        <v>918</v>
      </c>
      <c r="BS3" s="1338" t="s">
        <v>915</v>
      </c>
      <c r="BT3" s="1339" t="s">
        <v>915</v>
      </c>
      <c r="BU3" s="1339" t="s">
        <v>916</v>
      </c>
      <c r="BV3" s="1339" t="s">
        <v>916</v>
      </c>
      <c r="BW3" s="1339" t="s">
        <v>917</v>
      </c>
      <c r="BX3" s="1339" t="s">
        <v>917</v>
      </c>
      <c r="BY3" s="1340" t="s">
        <v>918</v>
      </c>
      <c r="CA3" s="1338" t="s">
        <v>915</v>
      </c>
      <c r="CB3" s="1339" t="s">
        <v>915</v>
      </c>
      <c r="CC3" s="1339" t="s">
        <v>916</v>
      </c>
      <c r="CD3" s="1339" t="s">
        <v>916</v>
      </c>
      <c r="CE3" s="1339" t="s">
        <v>917</v>
      </c>
      <c r="CF3" s="1339" t="s">
        <v>917</v>
      </c>
      <c r="CG3" s="1340" t="s">
        <v>918</v>
      </c>
      <c r="CI3" s="1338" t="s">
        <v>915</v>
      </c>
      <c r="CJ3" s="1339" t="s">
        <v>915</v>
      </c>
      <c r="CK3" s="1339" t="s">
        <v>916</v>
      </c>
      <c r="CL3" s="1339" t="s">
        <v>916</v>
      </c>
      <c r="CM3" s="1339" t="s">
        <v>917</v>
      </c>
      <c r="CN3" s="1339" t="s">
        <v>917</v>
      </c>
      <c r="CO3" s="1340" t="s">
        <v>918</v>
      </c>
      <c r="CQ3" s="1343" t="s">
        <v>915</v>
      </c>
      <c r="CR3" s="1343" t="s">
        <v>915</v>
      </c>
      <c r="CS3" s="1343" t="s">
        <v>916</v>
      </c>
      <c r="CT3" s="1343" t="s">
        <v>916</v>
      </c>
      <c r="CU3" s="1344" t="s">
        <v>917</v>
      </c>
      <c r="CV3" s="1344" t="s">
        <v>917</v>
      </c>
      <c r="CW3" s="1345" t="s">
        <v>918</v>
      </c>
      <c r="CY3" s="1343" t="s">
        <v>916</v>
      </c>
      <c r="CZ3" s="1343" t="s">
        <v>919</v>
      </c>
      <c r="DA3" s="1343" t="s">
        <v>920</v>
      </c>
      <c r="DB3" s="1343" t="s">
        <v>921</v>
      </c>
      <c r="DC3" s="1343" t="s">
        <v>915</v>
      </c>
      <c r="DD3" s="1343" t="s">
        <v>922</v>
      </c>
      <c r="DE3" s="1343" t="s">
        <v>923</v>
      </c>
      <c r="DF3" s="1343" t="s">
        <v>924</v>
      </c>
      <c r="DG3" s="1343" t="s">
        <v>925</v>
      </c>
    </row>
    <row r="4" customFormat="false" ht="37.5" hidden="false" customHeight="true" outlineLevel="0" collapsed="false">
      <c r="A4" s="1333"/>
      <c r="B4" s="1346" t="s">
        <v>926</v>
      </c>
      <c r="C4" s="1347"/>
      <c r="D4" s="1348" t="n">
        <v>2024</v>
      </c>
      <c r="E4" s="1348" t="n">
        <v>2023</v>
      </c>
      <c r="F4" s="1348" t="n">
        <v>2024</v>
      </c>
      <c r="G4" s="1348" t="s">
        <v>916</v>
      </c>
      <c r="H4" s="1349" t="n">
        <v>2023</v>
      </c>
      <c r="I4" s="1333"/>
      <c r="J4" s="1348" t="n">
        <v>2024</v>
      </c>
      <c r="K4" s="1348" t="n">
        <v>2023</v>
      </c>
      <c r="L4" s="1348" t="n">
        <v>2024</v>
      </c>
      <c r="M4" s="1348" t="s">
        <v>916</v>
      </c>
      <c r="N4" s="1349" t="n">
        <v>2023</v>
      </c>
      <c r="O4" s="1333"/>
      <c r="P4" s="1348" t="n">
        <v>2024</v>
      </c>
      <c r="Q4" s="1348" t="n">
        <v>2023</v>
      </c>
      <c r="R4" s="1348" t="n">
        <v>2024</v>
      </c>
      <c r="S4" s="1348" t="s">
        <v>916</v>
      </c>
      <c r="T4" s="1349" t="n">
        <v>2023</v>
      </c>
      <c r="U4" s="1325"/>
      <c r="V4" s="1348" t="n">
        <v>2024</v>
      </c>
      <c r="W4" s="1348" t="n">
        <v>2023</v>
      </c>
      <c r="X4" s="1348" t="n">
        <v>2024</v>
      </c>
      <c r="Y4" s="1348" t="s">
        <v>927</v>
      </c>
      <c r="Z4" s="1348" t="s">
        <v>916</v>
      </c>
      <c r="AA4" s="1348" t="s">
        <v>927</v>
      </c>
      <c r="AB4" s="1349" t="n">
        <v>2023</v>
      </c>
      <c r="AD4" s="1348" t="n">
        <v>2024</v>
      </c>
      <c r="AE4" s="1348" t="n">
        <v>2023</v>
      </c>
      <c r="AF4" s="1348" t="n">
        <v>2024</v>
      </c>
      <c r="AG4" s="1348" t="s">
        <v>927</v>
      </c>
      <c r="AH4" s="1348" t="s">
        <v>916</v>
      </c>
      <c r="AI4" s="1348" t="s">
        <v>927</v>
      </c>
      <c r="AJ4" s="1349" t="n">
        <v>2023</v>
      </c>
      <c r="AK4" s="1335"/>
      <c r="AL4" s="1348" t="n">
        <v>2024</v>
      </c>
      <c r="AM4" s="1348" t="n">
        <v>2023</v>
      </c>
      <c r="AN4" s="1348" t="n">
        <v>2024</v>
      </c>
      <c r="AO4" s="1348" t="s">
        <v>927</v>
      </c>
      <c r="AP4" s="1348" t="s">
        <v>916</v>
      </c>
      <c r="AQ4" s="1348" t="s">
        <v>927</v>
      </c>
      <c r="AR4" s="1349" t="n">
        <v>2023</v>
      </c>
      <c r="AS4" s="1350"/>
      <c r="AT4" s="1348" t="n">
        <v>2024</v>
      </c>
      <c r="AU4" s="1348" t="n">
        <v>2023</v>
      </c>
      <c r="AV4" s="1348" t="n">
        <v>2024</v>
      </c>
      <c r="AW4" s="1351" t="s">
        <v>928</v>
      </c>
      <c r="AX4" s="1348" t="s">
        <v>916</v>
      </c>
      <c r="AY4" s="1348" t="s">
        <v>928</v>
      </c>
      <c r="AZ4" s="1349" t="n">
        <v>2023</v>
      </c>
      <c r="BA4" s="1350"/>
      <c r="BB4" s="1348" t="n">
        <v>2024</v>
      </c>
      <c r="BC4" s="1348" t="n">
        <v>2023</v>
      </c>
      <c r="BD4" s="1348" t="n">
        <v>2024</v>
      </c>
      <c r="BE4" s="1348" t="s">
        <v>928</v>
      </c>
      <c r="BF4" s="1348" t="s">
        <v>916</v>
      </c>
      <c r="BG4" s="1348" t="s">
        <v>928</v>
      </c>
      <c r="BH4" s="1349" t="n">
        <v>2023</v>
      </c>
      <c r="BI4" s="1350"/>
      <c r="BJ4" s="1348" t="n">
        <v>2024</v>
      </c>
      <c r="BK4" s="1348" t="n">
        <v>2023</v>
      </c>
      <c r="BL4" s="1348" t="n">
        <v>2024</v>
      </c>
      <c r="BM4" s="1348" t="s">
        <v>928</v>
      </c>
      <c r="BN4" s="1348" t="s">
        <v>929</v>
      </c>
      <c r="BO4" s="1348" t="s">
        <v>916</v>
      </c>
      <c r="BP4" s="1348" t="s">
        <v>928</v>
      </c>
      <c r="BQ4" s="1349" t="n">
        <v>2023</v>
      </c>
      <c r="BS4" s="1348" t="n">
        <v>2024</v>
      </c>
      <c r="BT4" s="1348" t="n">
        <v>2023</v>
      </c>
      <c r="BU4" s="1348" t="n">
        <v>2024</v>
      </c>
      <c r="BV4" s="1348" t="s">
        <v>929</v>
      </c>
      <c r="BW4" s="1348" t="s">
        <v>916</v>
      </c>
      <c r="BX4" s="1348" t="s">
        <v>929</v>
      </c>
      <c r="BY4" s="1349" t="n">
        <v>2023</v>
      </c>
      <c r="CA4" s="1348" t="n">
        <v>2024</v>
      </c>
      <c r="CB4" s="1348" t="n">
        <v>2023</v>
      </c>
      <c r="CC4" s="1348" t="n">
        <v>2024</v>
      </c>
      <c r="CD4" s="1348" t="s">
        <v>929</v>
      </c>
      <c r="CE4" s="1348" t="s">
        <v>916</v>
      </c>
      <c r="CF4" s="1348" t="s">
        <v>929</v>
      </c>
      <c r="CG4" s="1349" t="n">
        <v>2023</v>
      </c>
      <c r="CI4" s="1348" t="n">
        <v>2024</v>
      </c>
      <c r="CJ4" s="1348" t="n">
        <v>2023</v>
      </c>
      <c r="CK4" s="1348" t="n">
        <v>2024</v>
      </c>
      <c r="CL4" s="1348" t="s">
        <v>929</v>
      </c>
      <c r="CM4" s="1348" t="s">
        <v>916</v>
      </c>
      <c r="CN4" s="1348" t="s">
        <v>929</v>
      </c>
      <c r="CO4" s="1349" t="n">
        <v>2023</v>
      </c>
      <c r="CQ4" s="1352" t="n">
        <v>2024</v>
      </c>
      <c r="CR4" s="1352" t="n">
        <v>2023</v>
      </c>
      <c r="CS4" s="1352" t="n">
        <v>2024</v>
      </c>
      <c r="CT4" s="1352" t="s">
        <v>929</v>
      </c>
      <c r="CU4" s="1353" t="s">
        <v>916</v>
      </c>
      <c r="CV4" s="1353" t="s">
        <v>929</v>
      </c>
      <c r="CW4" s="1354" t="n">
        <v>2023</v>
      </c>
      <c r="CY4" s="1355" t="n">
        <v>2024</v>
      </c>
      <c r="CZ4" s="1352" t="n">
        <v>2024</v>
      </c>
      <c r="DA4" s="1352" t="n">
        <v>2024</v>
      </c>
      <c r="DB4" s="1352" t="n">
        <v>2024</v>
      </c>
      <c r="DC4" s="1352" t="n">
        <v>2023</v>
      </c>
      <c r="DD4" s="1352" t="n">
        <v>2023</v>
      </c>
      <c r="DE4" s="1352" t="n">
        <v>2024</v>
      </c>
      <c r="DF4" s="1352" t="n">
        <v>2024</v>
      </c>
      <c r="DG4" s="1352" t="n">
        <v>2024</v>
      </c>
    </row>
    <row r="5" s="1" customFormat="true" ht="15.75" hidden="false" customHeight="false" outlineLevel="0" collapsed="false">
      <c r="A5" s="1333"/>
      <c r="B5" s="1333"/>
      <c r="C5" s="1333"/>
      <c r="D5" s="1356"/>
      <c r="E5" s="1356"/>
      <c r="F5" s="1356"/>
      <c r="G5" s="1356"/>
      <c r="H5" s="1357"/>
      <c r="I5" s="1333"/>
      <c r="J5" s="1356"/>
      <c r="K5" s="1356"/>
      <c r="L5" s="1356"/>
      <c r="M5" s="1356"/>
      <c r="N5" s="1357"/>
      <c r="O5" s="1333"/>
      <c r="P5" s="1356"/>
      <c r="Q5" s="1356"/>
      <c r="R5" s="1356"/>
      <c r="S5" s="1356"/>
      <c r="T5" s="1357"/>
      <c r="U5" s="1358"/>
      <c r="V5" s="1356"/>
      <c r="W5" s="1356"/>
      <c r="X5" s="1356"/>
      <c r="Y5" s="1356"/>
      <c r="Z5" s="1356"/>
      <c r="AA5" s="1356"/>
      <c r="AB5" s="1357"/>
      <c r="AD5" s="1356"/>
      <c r="AE5" s="1356"/>
      <c r="AF5" s="1356"/>
      <c r="AG5" s="1356"/>
      <c r="AH5" s="1356"/>
      <c r="AI5" s="1356"/>
      <c r="AJ5" s="1357"/>
      <c r="AK5" s="1335"/>
      <c r="AL5" s="1356"/>
      <c r="AM5" s="1356"/>
      <c r="AN5" s="1356"/>
      <c r="AO5" s="1356"/>
      <c r="AP5" s="1356"/>
      <c r="AQ5" s="1356"/>
      <c r="AR5" s="1357"/>
      <c r="AS5" s="1333"/>
      <c r="AT5" s="1359"/>
      <c r="AU5" s="1360"/>
      <c r="AV5" s="1361"/>
      <c r="AW5" s="1361"/>
      <c r="AX5" s="1356"/>
      <c r="AY5" s="1356"/>
      <c r="AZ5" s="1357"/>
      <c r="BA5" s="1333"/>
      <c r="BB5" s="1356"/>
      <c r="BC5" s="1356"/>
      <c r="BD5" s="1356"/>
      <c r="BE5" s="1356"/>
      <c r="BF5" s="1356"/>
      <c r="BG5" s="1356"/>
      <c r="BH5" s="1357"/>
      <c r="BI5" s="1333"/>
      <c r="BJ5" s="1356"/>
      <c r="BK5" s="1356"/>
      <c r="BL5" s="1356"/>
      <c r="BM5" s="1356"/>
      <c r="BN5" s="1356"/>
      <c r="BO5" s="1356"/>
      <c r="BP5" s="1356"/>
      <c r="BQ5" s="1357"/>
      <c r="BS5" s="1356"/>
      <c r="BT5" s="1356"/>
      <c r="BU5" s="1356"/>
      <c r="BV5" s="1356"/>
      <c r="BW5" s="1356"/>
      <c r="BX5" s="1356"/>
      <c r="BY5" s="1357"/>
      <c r="CA5" s="1356"/>
      <c r="CB5" s="1356"/>
      <c r="CC5" s="1356"/>
      <c r="CD5" s="1356"/>
      <c r="CE5" s="1356"/>
      <c r="CF5" s="1356"/>
      <c r="CG5" s="1357"/>
      <c r="CI5" s="1356"/>
      <c r="CJ5" s="1356"/>
      <c r="CK5" s="1356"/>
      <c r="CL5" s="1356"/>
      <c r="CM5" s="1356"/>
      <c r="CN5" s="1356"/>
      <c r="CO5" s="1357"/>
      <c r="CQ5" s="1356"/>
      <c r="CR5" s="1356"/>
      <c r="CS5" s="1356"/>
      <c r="CT5" s="1356"/>
      <c r="CU5" s="1356"/>
      <c r="CV5" s="1356"/>
      <c r="CW5" s="1357"/>
      <c r="CY5" s="1356"/>
      <c r="CZ5" s="1356"/>
      <c r="DA5" s="1356"/>
      <c r="DB5" s="1356"/>
      <c r="DC5" s="1356"/>
      <c r="DD5" s="1356"/>
      <c r="DE5" s="1356"/>
      <c r="DF5" s="1356"/>
      <c r="DG5" s="1356"/>
    </row>
    <row r="6" customFormat="false" ht="15" hidden="false" customHeight="false" outlineLevel="0" collapsed="false">
      <c r="A6" s="1362" t="s">
        <v>930</v>
      </c>
      <c r="B6" s="1362"/>
      <c r="C6" s="1333"/>
      <c r="D6" s="1363"/>
      <c r="E6" s="1364"/>
      <c r="F6" s="1364"/>
      <c r="G6" s="1365"/>
      <c r="H6" s="1366"/>
      <c r="I6" s="1333"/>
      <c r="J6" s="1363"/>
      <c r="K6" s="1364"/>
      <c r="L6" s="1364"/>
      <c r="M6" s="1365"/>
      <c r="N6" s="1366"/>
      <c r="O6" s="1335"/>
      <c r="P6" s="1363"/>
      <c r="Q6" s="1364"/>
      <c r="R6" s="1367"/>
      <c r="S6" s="1365"/>
      <c r="T6" s="1366"/>
      <c r="U6" s="1368"/>
      <c r="V6" s="1363"/>
      <c r="W6" s="1364"/>
      <c r="X6" s="1364"/>
      <c r="Y6" s="1364"/>
      <c r="Z6" s="1365"/>
      <c r="AA6" s="1369"/>
      <c r="AB6" s="1366"/>
      <c r="AC6" s="248"/>
      <c r="AD6" s="1363"/>
      <c r="AE6" s="1364"/>
      <c r="AF6" s="1364"/>
      <c r="AG6" s="1364"/>
      <c r="AH6" s="1365"/>
      <c r="AI6" s="1369"/>
      <c r="AJ6" s="1366"/>
      <c r="AK6" s="1335"/>
      <c r="AL6" s="1363"/>
      <c r="AM6" s="1364"/>
      <c r="AN6" s="1364"/>
      <c r="AO6" s="1367"/>
      <c r="AP6" s="1365"/>
      <c r="AQ6" s="1369"/>
      <c r="AR6" s="1366"/>
      <c r="AS6" s="1333"/>
      <c r="AT6" s="1363"/>
      <c r="AU6" s="1364"/>
      <c r="AV6" s="1364"/>
      <c r="AW6" s="1367"/>
      <c r="AX6" s="1365"/>
      <c r="AY6" s="1369"/>
      <c r="AZ6" s="1366"/>
      <c r="BA6" s="1333"/>
      <c r="BB6" s="1363"/>
      <c r="BC6" s="1364"/>
      <c r="BD6" s="1364"/>
      <c r="BE6" s="1367"/>
      <c r="BF6" s="1365"/>
      <c r="BG6" s="1369"/>
      <c r="BH6" s="1366"/>
      <c r="BI6" s="1333"/>
      <c r="BJ6" s="1363"/>
      <c r="BK6" s="1364"/>
      <c r="BL6" s="1364"/>
      <c r="BM6" s="1364"/>
      <c r="BN6" s="1364"/>
      <c r="BO6" s="1365"/>
      <c r="BP6" s="1369"/>
      <c r="BQ6" s="1366"/>
      <c r="BS6" s="1363"/>
      <c r="BT6" s="1364"/>
      <c r="BU6" s="1364"/>
      <c r="BV6" s="1364"/>
      <c r="BW6" s="1365"/>
      <c r="BX6" s="1369"/>
      <c r="BY6" s="1366"/>
      <c r="CA6" s="1363"/>
      <c r="CB6" s="1364"/>
      <c r="CC6" s="1364"/>
      <c r="CD6" s="1364"/>
      <c r="CE6" s="1365"/>
      <c r="CF6" s="1369"/>
      <c r="CG6" s="1366"/>
      <c r="CI6" s="1363"/>
      <c r="CJ6" s="1364"/>
      <c r="CK6" s="1364"/>
      <c r="CL6" s="1364"/>
      <c r="CM6" s="1365"/>
      <c r="CN6" s="1369"/>
      <c r="CO6" s="1366"/>
      <c r="CP6" s="1370"/>
      <c r="CQ6" s="1371"/>
      <c r="CR6" s="1371"/>
      <c r="CS6" s="1371"/>
      <c r="CT6" s="1371"/>
      <c r="CU6" s="1372" t="n">
        <f aca="false">CQ6-CS6</f>
        <v>0</v>
      </c>
      <c r="CV6" s="1372"/>
      <c r="CW6" s="1373" t="str">
        <f aca="false">IFERROR(CQ6/CR6-1,"-")</f>
        <v>-</v>
      </c>
      <c r="CY6" s="1371"/>
      <c r="CZ6" s="1371"/>
      <c r="DA6" s="1371"/>
      <c r="DB6" s="1371"/>
      <c r="DC6" s="1371"/>
      <c r="DD6" s="1374" t="e">
        <f aca="false">CY6/$DC6-1</f>
        <v>#DIV/0!</v>
      </c>
      <c r="DE6" s="1372" t="e">
        <f aca="false">CZ6/$DC6-1</f>
        <v>#DIV/0!</v>
      </c>
      <c r="DF6" s="1372" t="e">
        <f aca="false">DA6/$DC6-1</f>
        <v>#DIV/0!</v>
      </c>
      <c r="DG6" s="1372" t="e">
        <f aca="false">DB6/$DC6-1</f>
        <v>#DIV/0!</v>
      </c>
    </row>
    <row r="7" customFormat="false" ht="15" hidden="false" customHeight="false" outlineLevel="0" collapsed="false">
      <c r="A7" s="1375"/>
      <c r="B7" s="1375"/>
      <c r="C7" s="1368"/>
      <c r="D7" s="1376"/>
      <c r="E7" s="1376"/>
      <c r="F7" s="1376"/>
      <c r="G7" s="1376"/>
      <c r="H7" s="1377"/>
      <c r="I7" s="1368"/>
      <c r="J7" s="1376"/>
      <c r="K7" s="1376"/>
      <c r="L7" s="1376"/>
      <c r="M7" s="1376"/>
      <c r="N7" s="1377"/>
      <c r="O7" s="1368"/>
      <c r="P7" s="1376"/>
      <c r="Q7" s="1376"/>
      <c r="R7" s="1378"/>
      <c r="S7" s="1376"/>
      <c r="T7" s="1377"/>
      <c r="U7" s="1325"/>
      <c r="V7" s="1376"/>
      <c r="W7" s="1376"/>
      <c r="X7" s="1376"/>
      <c r="Y7" s="1376"/>
      <c r="Z7" s="1376"/>
      <c r="AA7" s="1376"/>
      <c r="AB7" s="1377"/>
      <c r="AD7" s="1376"/>
      <c r="AE7" s="1376"/>
      <c r="AF7" s="1376"/>
      <c r="AG7" s="1376"/>
      <c r="AH7" s="1376"/>
      <c r="AI7" s="1376"/>
      <c r="AJ7" s="1377"/>
      <c r="AK7" s="1379"/>
      <c r="AL7" s="1376"/>
      <c r="AM7" s="1376"/>
      <c r="AN7" s="1376"/>
      <c r="AO7" s="1378"/>
      <c r="AP7" s="1376"/>
      <c r="AQ7" s="1376"/>
      <c r="AR7" s="1377"/>
      <c r="AS7" s="1368"/>
      <c r="AT7" s="1376"/>
      <c r="AU7" s="1376"/>
      <c r="AV7" s="1376"/>
      <c r="AW7" s="1378"/>
      <c r="AX7" s="1376"/>
      <c r="AY7" s="1376"/>
      <c r="AZ7" s="1377"/>
      <c r="BA7" s="1368"/>
      <c r="BB7" s="1376"/>
      <c r="BC7" s="1376"/>
      <c r="BD7" s="1376"/>
      <c r="BE7" s="1378"/>
      <c r="BF7" s="1376"/>
      <c r="BG7" s="1376"/>
      <c r="BH7" s="1377"/>
      <c r="BI7" s="1368"/>
      <c r="BJ7" s="1376"/>
      <c r="BK7" s="1376"/>
      <c r="BL7" s="1376"/>
      <c r="BM7" s="1376"/>
      <c r="BN7" s="1376"/>
      <c r="BO7" s="1376"/>
      <c r="BP7" s="1376"/>
      <c r="BQ7" s="1377"/>
      <c r="BS7" s="1376"/>
      <c r="BT7" s="1376"/>
      <c r="BU7" s="1376"/>
      <c r="BV7" s="1376"/>
      <c r="BW7" s="1376"/>
      <c r="BX7" s="1376"/>
      <c r="BY7" s="1377"/>
      <c r="CA7" s="1376"/>
      <c r="CB7" s="1376"/>
      <c r="CC7" s="1376"/>
      <c r="CD7" s="1376"/>
      <c r="CE7" s="1376"/>
      <c r="CF7" s="1376"/>
      <c r="CG7" s="1377"/>
      <c r="CI7" s="1376"/>
      <c r="CJ7" s="1376"/>
      <c r="CK7" s="1376"/>
      <c r="CL7" s="1376"/>
      <c r="CM7" s="1376"/>
      <c r="CN7" s="1376"/>
      <c r="CO7" s="1377"/>
      <c r="CP7" s="1370"/>
      <c r="CQ7" s="1376"/>
      <c r="CR7" s="1376"/>
      <c r="CS7" s="1376"/>
      <c r="CT7" s="1376"/>
      <c r="CU7" s="1376"/>
      <c r="CV7" s="1376"/>
      <c r="CW7" s="1377"/>
      <c r="CY7" s="1376"/>
      <c r="CZ7" s="1376"/>
      <c r="DA7" s="1376"/>
      <c r="DB7" s="1376"/>
      <c r="DC7" s="1376"/>
      <c r="DD7" s="1380"/>
      <c r="DE7" s="1376"/>
      <c r="DF7" s="1376"/>
      <c r="DG7" s="1376"/>
    </row>
    <row r="8" customFormat="false" ht="15" hidden="false" customHeight="false" outlineLevel="0" collapsed="false">
      <c r="A8" s="1362" t="s">
        <v>931</v>
      </c>
      <c r="B8" s="1362"/>
      <c r="C8" s="1333"/>
      <c r="D8" s="1363"/>
      <c r="E8" s="1364"/>
      <c r="F8" s="1364"/>
      <c r="G8" s="1365"/>
      <c r="H8" s="1366"/>
      <c r="I8" s="1333"/>
      <c r="J8" s="1363"/>
      <c r="K8" s="1364"/>
      <c r="L8" s="1364"/>
      <c r="M8" s="1365"/>
      <c r="N8" s="1366"/>
      <c r="O8" s="1333"/>
      <c r="P8" s="1363"/>
      <c r="Q8" s="1364"/>
      <c r="R8" s="1367"/>
      <c r="S8" s="1365"/>
      <c r="T8" s="1366"/>
      <c r="U8" s="1368"/>
      <c r="V8" s="1363"/>
      <c r="W8" s="1364"/>
      <c r="X8" s="1364"/>
      <c r="Y8" s="1364"/>
      <c r="Z8" s="1365"/>
      <c r="AA8" s="1365"/>
      <c r="AB8" s="1366"/>
      <c r="AD8" s="1363"/>
      <c r="AE8" s="1364"/>
      <c r="AF8" s="1364"/>
      <c r="AG8" s="1364"/>
      <c r="AH8" s="1365"/>
      <c r="AI8" s="1365"/>
      <c r="AJ8" s="1366"/>
      <c r="AK8" s="1335"/>
      <c r="AL8" s="1363"/>
      <c r="AM8" s="1364"/>
      <c r="AN8" s="1364"/>
      <c r="AO8" s="1367"/>
      <c r="AP8" s="1365"/>
      <c r="AQ8" s="1365"/>
      <c r="AR8" s="1366"/>
      <c r="AS8" s="1333"/>
      <c r="AT8" s="1363"/>
      <c r="AU8" s="1364"/>
      <c r="AV8" s="1364"/>
      <c r="AW8" s="1367"/>
      <c r="AX8" s="1365"/>
      <c r="AY8" s="1365"/>
      <c r="AZ8" s="1366"/>
      <c r="BA8" s="1333"/>
      <c r="BB8" s="1363"/>
      <c r="BC8" s="1364"/>
      <c r="BD8" s="1364"/>
      <c r="BE8" s="1367"/>
      <c r="BF8" s="1365"/>
      <c r="BG8" s="1365"/>
      <c r="BH8" s="1366"/>
      <c r="BI8" s="1333"/>
      <c r="BJ8" s="1363"/>
      <c r="BK8" s="1364"/>
      <c r="BL8" s="1364"/>
      <c r="BM8" s="1364"/>
      <c r="BN8" s="1364"/>
      <c r="BO8" s="1365"/>
      <c r="BP8" s="1365"/>
      <c r="BQ8" s="1366"/>
      <c r="BS8" s="1363"/>
      <c r="BT8" s="1364"/>
      <c r="BU8" s="1364"/>
      <c r="BV8" s="1364"/>
      <c r="BW8" s="1365"/>
      <c r="BX8" s="1365"/>
      <c r="BY8" s="1366"/>
      <c r="CA8" s="1363"/>
      <c r="CB8" s="1364"/>
      <c r="CC8" s="1364"/>
      <c r="CD8" s="1364"/>
      <c r="CE8" s="1365"/>
      <c r="CF8" s="1365"/>
      <c r="CG8" s="1366"/>
      <c r="CI8" s="1363"/>
      <c r="CJ8" s="1364"/>
      <c r="CK8" s="1364"/>
      <c r="CL8" s="1364"/>
      <c r="CM8" s="1365"/>
      <c r="CN8" s="1365"/>
      <c r="CO8" s="1366"/>
      <c r="CP8" s="1370"/>
      <c r="CQ8" s="1371"/>
      <c r="CR8" s="1371"/>
      <c r="CS8" s="1371"/>
      <c r="CT8" s="1371"/>
      <c r="CU8" s="1372" t="n">
        <f aca="false">CQ8-CS8</f>
        <v>0</v>
      </c>
      <c r="CV8" s="1372"/>
      <c r="CW8" s="1373" t="str">
        <f aca="false">IFERROR(CQ8/CR8-1,"-")</f>
        <v>-</v>
      </c>
      <c r="CY8" s="1371"/>
      <c r="CZ8" s="1371"/>
      <c r="DA8" s="1371"/>
      <c r="DB8" s="1371"/>
      <c r="DC8" s="1371"/>
      <c r="DD8" s="1374" t="e">
        <f aca="false">CY8/$DC8-1</f>
        <v>#DIV/0!</v>
      </c>
      <c r="DE8" s="1372" t="e">
        <f aca="false">CZ8/$DC8-1</f>
        <v>#DIV/0!</v>
      </c>
      <c r="DF8" s="1372" t="e">
        <f aca="false">DA8/$DC8-1</f>
        <v>#DIV/0!</v>
      </c>
      <c r="DG8" s="1372" t="e">
        <f aca="false">DB8/$DC8-1</f>
        <v>#DIV/0!</v>
      </c>
    </row>
    <row r="9" customFormat="false" ht="15" hidden="false" customHeight="false" outlineLevel="0" collapsed="false">
      <c r="A9" s="1375"/>
      <c r="B9" s="1375"/>
      <c r="C9" s="1368"/>
      <c r="D9" s="1376"/>
      <c r="E9" s="1376"/>
      <c r="F9" s="1376"/>
      <c r="G9" s="1376"/>
      <c r="H9" s="1377"/>
      <c r="I9" s="1368"/>
      <c r="J9" s="1376"/>
      <c r="K9" s="1376"/>
      <c r="L9" s="1376"/>
      <c r="M9" s="1376"/>
      <c r="N9" s="1377"/>
      <c r="O9" s="1368"/>
      <c r="P9" s="1376"/>
      <c r="Q9" s="1376"/>
      <c r="R9" s="1378"/>
      <c r="S9" s="1376"/>
      <c r="T9" s="1377"/>
      <c r="U9" s="1325"/>
      <c r="V9" s="1376"/>
      <c r="W9" s="1376"/>
      <c r="X9" s="1376"/>
      <c r="Y9" s="1376"/>
      <c r="Z9" s="1376"/>
      <c r="AA9" s="1376"/>
      <c r="AB9" s="1377"/>
      <c r="AD9" s="1376"/>
      <c r="AE9" s="1376"/>
      <c r="AF9" s="1376"/>
      <c r="AG9" s="1376"/>
      <c r="AH9" s="1376"/>
      <c r="AI9" s="1376"/>
      <c r="AJ9" s="1377"/>
      <c r="AK9" s="1379"/>
      <c r="AL9" s="1376"/>
      <c r="AM9" s="1376"/>
      <c r="AN9" s="1376"/>
      <c r="AO9" s="1378"/>
      <c r="AP9" s="1376"/>
      <c r="AQ9" s="1376"/>
      <c r="AR9" s="1377"/>
      <c r="AS9" s="1368"/>
      <c r="AT9" s="1376"/>
      <c r="AU9" s="1376"/>
      <c r="AV9" s="1376"/>
      <c r="AW9" s="1378"/>
      <c r="AX9" s="1376"/>
      <c r="AY9" s="1376"/>
      <c r="AZ9" s="1377"/>
      <c r="BA9" s="1368"/>
      <c r="BB9" s="1376"/>
      <c r="BC9" s="1376"/>
      <c r="BD9" s="1376"/>
      <c r="BE9" s="1378"/>
      <c r="BF9" s="1376"/>
      <c r="BG9" s="1376"/>
      <c r="BH9" s="1377"/>
      <c r="BI9" s="1368"/>
      <c r="BJ9" s="1376"/>
      <c r="BK9" s="1376"/>
      <c r="BL9" s="1376"/>
      <c r="BM9" s="1376"/>
      <c r="BN9" s="1376"/>
      <c r="BO9" s="1376"/>
      <c r="BP9" s="1376"/>
      <c r="BQ9" s="1377"/>
      <c r="BS9" s="1376"/>
      <c r="BT9" s="1376"/>
      <c r="BU9" s="1376"/>
      <c r="BV9" s="1376"/>
      <c r="BW9" s="1376"/>
      <c r="BX9" s="1376"/>
      <c r="BY9" s="1377"/>
      <c r="CA9" s="1376"/>
      <c r="CB9" s="1376"/>
      <c r="CC9" s="1376"/>
      <c r="CD9" s="1376"/>
      <c r="CE9" s="1376"/>
      <c r="CF9" s="1376"/>
      <c r="CG9" s="1377"/>
      <c r="CI9" s="1376"/>
      <c r="CJ9" s="1376"/>
      <c r="CK9" s="1376"/>
      <c r="CL9" s="1376"/>
      <c r="CM9" s="1376"/>
      <c r="CN9" s="1376"/>
      <c r="CO9" s="1377"/>
      <c r="CP9" s="1370"/>
      <c r="CQ9" s="1376"/>
      <c r="CR9" s="1376"/>
      <c r="CS9" s="1376"/>
      <c r="CT9" s="1376"/>
      <c r="CU9" s="1376"/>
      <c r="CV9" s="1376"/>
      <c r="CW9" s="1377"/>
      <c r="CY9" s="1376"/>
      <c r="CZ9" s="1376"/>
      <c r="DA9" s="1376"/>
      <c r="DB9" s="1376"/>
      <c r="DC9" s="1376"/>
      <c r="DD9" s="1380"/>
      <c r="DE9" s="1376"/>
      <c r="DF9" s="1376"/>
      <c r="DG9" s="1376"/>
    </row>
    <row r="10" customFormat="false" ht="15" hidden="false" customHeight="false" outlineLevel="0" collapsed="false">
      <c r="A10" s="1362" t="s">
        <v>932</v>
      </c>
      <c r="B10" s="1362"/>
      <c r="C10" s="1333"/>
      <c r="D10" s="1381"/>
      <c r="E10" s="1364"/>
      <c r="F10" s="1364"/>
      <c r="G10" s="1365"/>
      <c r="H10" s="1366"/>
      <c r="I10" s="1333"/>
      <c r="J10" s="1363"/>
      <c r="K10" s="1364"/>
      <c r="L10" s="1364"/>
      <c r="M10" s="1365"/>
      <c r="N10" s="1366"/>
      <c r="O10" s="1333"/>
      <c r="P10" s="1363"/>
      <c r="Q10" s="1364"/>
      <c r="R10" s="1367"/>
      <c r="S10" s="1365"/>
      <c r="T10" s="1366"/>
      <c r="U10" s="1325"/>
      <c r="V10" s="1363"/>
      <c r="W10" s="1364"/>
      <c r="X10" s="1364"/>
      <c r="Y10" s="1364"/>
      <c r="Z10" s="1365"/>
      <c r="AA10" s="1365"/>
      <c r="AB10" s="1366"/>
      <c r="AC10" s="248"/>
      <c r="AD10" s="1363"/>
      <c r="AE10" s="1364"/>
      <c r="AF10" s="1364"/>
      <c r="AG10" s="1364"/>
      <c r="AH10" s="1365"/>
      <c r="AI10" s="1365"/>
      <c r="AJ10" s="1366"/>
      <c r="AK10" s="1335"/>
      <c r="AL10" s="1363"/>
      <c r="AM10" s="1364"/>
      <c r="AN10" s="1364"/>
      <c r="AO10" s="1367"/>
      <c r="AP10" s="1365"/>
      <c r="AQ10" s="1365"/>
      <c r="AR10" s="1366"/>
      <c r="AS10" s="1333"/>
      <c r="AT10" s="1363"/>
      <c r="AU10" s="1364"/>
      <c r="AV10" s="1364"/>
      <c r="AW10" s="1367"/>
      <c r="AX10" s="1365"/>
      <c r="AY10" s="1365"/>
      <c r="AZ10" s="1366"/>
      <c r="BA10" s="1333"/>
      <c r="BB10" s="1363"/>
      <c r="BC10" s="1364"/>
      <c r="BD10" s="1364"/>
      <c r="BE10" s="1367"/>
      <c r="BF10" s="1365"/>
      <c r="BG10" s="1365"/>
      <c r="BH10" s="1366"/>
      <c r="BI10" s="1333"/>
      <c r="BJ10" s="1363"/>
      <c r="BK10" s="1364"/>
      <c r="BL10" s="1364"/>
      <c r="BM10" s="1364"/>
      <c r="BN10" s="1364"/>
      <c r="BO10" s="1365"/>
      <c r="BP10" s="1365"/>
      <c r="BQ10" s="1366"/>
      <c r="BS10" s="1363"/>
      <c r="BT10" s="1364"/>
      <c r="BU10" s="1364"/>
      <c r="BV10" s="1364"/>
      <c r="BW10" s="1365"/>
      <c r="BX10" s="1365"/>
      <c r="BY10" s="1366"/>
      <c r="CA10" s="1363"/>
      <c r="CB10" s="1364"/>
      <c r="CC10" s="1364"/>
      <c r="CD10" s="1364"/>
      <c r="CE10" s="1365"/>
      <c r="CF10" s="1365"/>
      <c r="CG10" s="1366"/>
      <c r="CI10" s="1363"/>
      <c r="CJ10" s="1364"/>
      <c r="CK10" s="1364"/>
      <c r="CL10" s="1364"/>
      <c r="CM10" s="1365"/>
      <c r="CN10" s="1365"/>
      <c r="CO10" s="1366"/>
      <c r="CP10" s="1370"/>
      <c r="CQ10" s="1371"/>
      <c r="CR10" s="1371"/>
      <c r="CS10" s="1371"/>
      <c r="CT10" s="1371"/>
      <c r="CU10" s="1372" t="n">
        <f aca="false">CQ10-CS10</f>
        <v>0</v>
      </c>
      <c r="CV10" s="1372"/>
      <c r="CW10" s="1373" t="str">
        <f aca="false">IFERROR(CQ10/CR10-1,"-")</f>
        <v>-</v>
      </c>
      <c r="CY10" s="1371"/>
      <c r="CZ10" s="1371"/>
      <c r="DA10" s="1371"/>
      <c r="DB10" s="1371"/>
      <c r="DC10" s="1371"/>
      <c r="DD10" s="1374" t="e">
        <f aca="false">CY10/$DC10-1</f>
        <v>#DIV/0!</v>
      </c>
      <c r="DE10" s="1372" t="e">
        <f aca="false">CZ10/$DC10-1</f>
        <v>#DIV/0!</v>
      </c>
      <c r="DF10" s="1372" t="e">
        <f aca="false">DA10/$DC10-1</f>
        <v>#DIV/0!</v>
      </c>
      <c r="DG10" s="1372" t="e">
        <f aca="false">DB10/$DC10-1</f>
        <v>#DIV/0!</v>
      </c>
    </row>
    <row r="11" customFormat="false" ht="15" hidden="false" customHeight="false" outlineLevel="0" collapsed="false">
      <c r="A11" s="1375"/>
      <c r="B11" s="1375"/>
      <c r="C11" s="1368"/>
      <c r="D11" s="1376"/>
      <c r="E11" s="1376"/>
      <c r="F11" s="1376"/>
      <c r="G11" s="1376"/>
      <c r="H11" s="1377"/>
      <c r="I11" s="1368"/>
      <c r="J11" s="1376"/>
      <c r="K11" s="1376"/>
      <c r="L11" s="1376"/>
      <c r="M11" s="1376"/>
      <c r="N11" s="1377"/>
      <c r="O11" s="1368"/>
      <c r="P11" s="1376"/>
      <c r="Q11" s="1376"/>
      <c r="R11" s="1378"/>
      <c r="S11" s="1376"/>
      <c r="T11" s="1377"/>
      <c r="U11" s="1325"/>
      <c r="V11" s="1376"/>
      <c r="W11" s="1376"/>
      <c r="X11" s="1376"/>
      <c r="Y11" s="1376"/>
      <c r="Z11" s="1376"/>
      <c r="AA11" s="1376"/>
      <c r="AB11" s="1377"/>
      <c r="AD11" s="1376"/>
      <c r="AE11" s="1376"/>
      <c r="AF11" s="1376"/>
      <c r="AG11" s="1376"/>
      <c r="AH11" s="1376"/>
      <c r="AI11" s="1376"/>
      <c r="AJ11" s="1377"/>
      <c r="AK11" s="1379"/>
      <c r="AL11" s="1376"/>
      <c r="AM11" s="1376"/>
      <c r="AN11" s="1376"/>
      <c r="AO11" s="1378"/>
      <c r="AP11" s="1376"/>
      <c r="AQ11" s="1376"/>
      <c r="AR11" s="1377"/>
      <c r="AS11" s="1368"/>
      <c r="AT11" s="1376"/>
      <c r="AU11" s="1376"/>
      <c r="AV11" s="1376"/>
      <c r="AW11" s="1378"/>
      <c r="AX11" s="1376"/>
      <c r="AY11" s="1376"/>
      <c r="AZ11" s="1377"/>
      <c r="BA11" s="1368"/>
      <c r="BB11" s="1376"/>
      <c r="BC11" s="1376"/>
      <c r="BD11" s="1376"/>
      <c r="BE11" s="1378"/>
      <c r="BF11" s="1376"/>
      <c r="BG11" s="1376"/>
      <c r="BH11" s="1377"/>
      <c r="BI11" s="1368"/>
      <c r="BJ11" s="1376"/>
      <c r="BK11" s="1376"/>
      <c r="BL11" s="1376"/>
      <c r="BM11" s="1376"/>
      <c r="BN11" s="1376"/>
      <c r="BO11" s="1376"/>
      <c r="BP11" s="1376"/>
      <c r="BQ11" s="1377"/>
      <c r="BS11" s="1376"/>
      <c r="BT11" s="1376"/>
      <c r="BU11" s="1376"/>
      <c r="BV11" s="1376"/>
      <c r="BW11" s="1376"/>
      <c r="BX11" s="1376"/>
      <c r="BY11" s="1377"/>
      <c r="CA11" s="1376"/>
      <c r="CB11" s="1376"/>
      <c r="CC11" s="1376"/>
      <c r="CD11" s="1376"/>
      <c r="CE11" s="1376"/>
      <c r="CF11" s="1376"/>
      <c r="CG11" s="1377"/>
      <c r="CI11" s="1376"/>
      <c r="CJ11" s="1376"/>
      <c r="CK11" s="1376"/>
      <c r="CL11" s="1376"/>
      <c r="CM11" s="1376"/>
      <c r="CN11" s="1376"/>
      <c r="CO11" s="1377"/>
      <c r="CP11" s="1370"/>
      <c r="CQ11" s="1376"/>
      <c r="CR11" s="1376"/>
      <c r="CS11" s="1376"/>
      <c r="CT11" s="1376"/>
      <c r="CU11" s="1376"/>
      <c r="CV11" s="1376"/>
      <c r="CW11" s="1377"/>
      <c r="CY11" s="1376"/>
      <c r="CZ11" s="1376"/>
      <c r="DA11" s="1376"/>
      <c r="DB11" s="1376"/>
      <c r="DC11" s="1376"/>
      <c r="DD11" s="1380"/>
      <c r="DE11" s="1376"/>
      <c r="DF11" s="1376"/>
      <c r="DG11" s="1376"/>
    </row>
    <row r="12" customFormat="false" ht="15" hidden="false" customHeight="false" outlineLevel="0" collapsed="false">
      <c r="A12" s="1362" t="s">
        <v>933</v>
      </c>
      <c r="B12" s="1362"/>
      <c r="C12" s="1333"/>
      <c r="D12" s="1381"/>
      <c r="E12" s="1364"/>
      <c r="F12" s="1364"/>
      <c r="G12" s="1365"/>
      <c r="H12" s="1366"/>
      <c r="I12" s="1333"/>
      <c r="J12" s="1363"/>
      <c r="K12" s="1364"/>
      <c r="L12" s="1364"/>
      <c r="M12" s="1365"/>
      <c r="N12" s="1366"/>
      <c r="O12" s="1333"/>
      <c r="P12" s="1363"/>
      <c r="Q12" s="1364"/>
      <c r="R12" s="1367"/>
      <c r="S12" s="1365"/>
      <c r="T12" s="1366"/>
      <c r="U12" s="1325"/>
      <c r="V12" s="1363"/>
      <c r="W12" s="1364"/>
      <c r="X12" s="1364"/>
      <c r="Y12" s="1364"/>
      <c r="Z12" s="1365"/>
      <c r="AA12" s="1365"/>
      <c r="AB12" s="1366"/>
      <c r="AC12" s="248"/>
      <c r="AD12" s="1363"/>
      <c r="AE12" s="1364"/>
      <c r="AF12" s="1364"/>
      <c r="AG12" s="1364"/>
      <c r="AH12" s="1365"/>
      <c r="AI12" s="1365"/>
      <c r="AJ12" s="1366"/>
      <c r="AK12" s="1335"/>
      <c r="AL12" s="1363"/>
      <c r="AM12" s="1364"/>
      <c r="AN12" s="1364"/>
      <c r="AO12" s="1367"/>
      <c r="AP12" s="1365"/>
      <c r="AQ12" s="1365"/>
      <c r="AR12" s="1366"/>
      <c r="AS12" s="1333"/>
      <c r="AT12" s="1363"/>
      <c r="AU12" s="1364"/>
      <c r="AV12" s="1364"/>
      <c r="AW12" s="1367"/>
      <c r="AX12" s="1365"/>
      <c r="AY12" s="1365"/>
      <c r="AZ12" s="1366"/>
      <c r="BA12" s="1333"/>
      <c r="BB12" s="1363"/>
      <c r="BC12" s="1364"/>
      <c r="BD12" s="1364"/>
      <c r="BE12" s="1367"/>
      <c r="BF12" s="1365"/>
      <c r="BG12" s="1365"/>
      <c r="BH12" s="1366"/>
      <c r="BI12" s="1333"/>
      <c r="BJ12" s="1363"/>
      <c r="BK12" s="1364"/>
      <c r="BL12" s="1364"/>
      <c r="BM12" s="1364"/>
      <c r="BN12" s="1364"/>
      <c r="BO12" s="1365"/>
      <c r="BP12" s="1365"/>
      <c r="BQ12" s="1366"/>
      <c r="BS12" s="1363"/>
      <c r="BT12" s="1364"/>
      <c r="BU12" s="1364"/>
      <c r="BV12" s="1364"/>
      <c r="BW12" s="1365"/>
      <c r="BX12" s="1365"/>
      <c r="BY12" s="1366"/>
      <c r="CA12" s="1363"/>
      <c r="CB12" s="1364"/>
      <c r="CC12" s="1364"/>
      <c r="CD12" s="1364"/>
      <c r="CE12" s="1365"/>
      <c r="CF12" s="1365"/>
      <c r="CG12" s="1366"/>
      <c r="CI12" s="1363"/>
      <c r="CJ12" s="1364"/>
      <c r="CK12" s="1364"/>
      <c r="CL12" s="1364"/>
      <c r="CM12" s="1365"/>
      <c r="CN12" s="1365"/>
      <c r="CO12" s="1366"/>
      <c r="CP12" s="1370"/>
      <c r="CQ12" s="1371"/>
      <c r="CR12" s="1371"/>
      <c r="CS12" s="1371"/>
      <c r="CT12" s="1371"/>
      <c r="CU12" s="1372" t="n">
        <f aca="false">CQ12-CS12</f>
        <v>0</v>
      </c>
      <c r="CV12" s="1372"/>
      <c r="CW12" s="1373" t="str">
        <f aca="false">IFERROR(CQ12/CR12-1,"-")</f>
        <v>-</v>
      </c>
      <c r="CY12" s="1371"/>
      <c r="CZ12" s="1371"/>
      <c r="DA12" s="1371"/>
      <c r="DB12" s="1371"/>
      <c r="DC12" s="1371"/>
      <c r="DD12" s="1374" t="e">
        <f aca="false">CY12/$DC12-1</f>
        <v>#DIV/0!</v>
      </c>
      <c r="DE12" s="1372" t="e">
        <f aca="false">CZ12/$DC12-1</f>
        <v>#DIV/0!</v>
      </c>
      <c r="DF12" s="1372" t="e">
        <f aca="false">DA12/$DC12-1</f>
        <v>#DIV/0!</v>
      </c>
      <c r="DG12" s="1372" t="e">
        <f aca="false">DB12/$DC12-1</f>
        <v>#DIV/0!</v>
      </c>
    </row>
    <row r="13" customFormat="false" ht="15" hidden="false" customHeight="false" outlineLevel="0" collapsed="false">
      <c r="A13" s="1382"/>
      <c r="B13" s="1382"/>
      <c r="C13" s="1333"/>
      <c r="D13" s="1383"/>
      <c r="E13" s="1383"/>
      <c r="F13" s="1383"/>
      <c r="G13" s="1383"/>
      <c r="H13" s="1384"/>
      <c r="I13" s="1333"/>
      <c r="J13" s="1383"/>
      <c r="K13" s="1383"/>
      <c r="L13" s="1383"/>
      <c r="M13" s="1383"/>
      <c r="N13" s="1384"/>
      <c r="O13" s="1333"/>
      <c r="P13" s="1383"/>
      <c r="Q13" s="1383"/>
      <c r="R13" s="1385"/>
      <c r="S13" s="1383"/>
      <c r="T13" s="1384"/>
      <c r="U13" s="1325"/>
      <c r="V13" s="1383"/>
      <c r="W13" s="1383"/>
      <c r="X13" s="1383"/>
      <c r="Y13" s="1383"/>
      <c r="Z13" s="1383"/>
      <c r="AA13" s="1383"/>
      <c r="AB13" s="1384"/>
      <c r="AD13" s="1383"/>
      <c r="AE13" s="1383"/>
      <c r="AF13" s="1383"/>
      <c r="AG13" s="1383"/>
      <c r="AH13" s="1383"/>
      <c r="AI13" s="1383"/>
      <c r="AJ13" s="1384"/>
      <c r="AK13" s="1335"/>
      <c r="AL13" s="1383"/>
      <c r="AM13" s="1383"/>
      <c r="AN13" s="1383"/>
      <c r="AO13" s="1385"/>
      <c r="AP13" s="1383"/>
      <c r="AQ13" s="1383"/>
      <c r="AR13" s="1384"/>
      <c r="AS13" s="1333"/>
      <c r="AT13" s="1383"/>
      <c r="AU13" s="1383"/>
      <c r="AV13" s="1383"/>
      <c r="AW13" s="1385"/>
      <c r="AX13" s="1383"/>
      <c r="AY13" s="1383"/>
      <c r="AZ13" s="1384"/>
      <c r="BA13" s="1333"/>
      <c r="BB13" s="1383"/>
      <c r="BC13" s="1383"/>
      <c r="BD13" s="1383"/>
      <c r="BE13" s="1385"/>
      <c r="BF13" s="1383"/>
      <c r="BG13" s="1383"/>
      <c r="BH13" s="1384"/>
      <c r="BI13" s="1333"/>
      <c r="BJ13" s="1383"/>
      <c r="BK13" s="1383"/>
      <c r="BL13" s="1383"/>
      <c r="BM13" s="1383"/>
      <c r="BN13" s="1383"/>
      <c r="BO13" s="1383"/>
      <c r="BP13" s="1383"/>
      <c r="BQ13" s="1384"/>
      <c r="BS13" s="1386"/>
      <c r="BT13" s="1383"/>
      <c r="BU13" s="1383"/>
      <c r="BV13" s="1383"/>
      <c r="BW13" s="1383"/>
      <c r="BX13" s="1383"/>
      <c r="BY13" s="1384"/>
      <c r="CA13" s="1386"/>
      <c r="CB13" s="1383"/>
      <c r="CC13" s="1383"/>
      <c r="CD13" s="1383"/>
      <c r="CE13" s="1383"/>
      <c r="CF13" s="1383"/>
      <c r="CG13" s="1384"/>
      <c r="CI13" s="1386"/>
      <c r="CJ13" s="1383"/>
      <c r="CK13" s="1383"/>
      <c r="CL13" s="1383"/>
      <c r="CM13" s="1383"/>
      <c r="CN13" s="1383"/>
      <c r="CO13" s="1384"/>
      <c r="CP13" s="1370"/>
      <c r="CQ13" s="1383"/>
      <c r="CR13" s="1383"/>
      <c r="CS13" s="1383"/>
      <c r="CT13" s="1383"/>
      <c r="CU13" s="1383"/>
      <c r="CV13" s="1383"/>
      <c r="CW13" s="1384"/>
      <c r="CY13" s="1383"/>
      <c r="CZ13" s="1383"/>
      <c r="DA13" s="1383"/>
      <c r="DB13" s="1383"/>
      <c r="DC13" s="1383"/>
      <c r="DD13" s="1387"/>
      <c r="DE13" s="1383"/>
      <c r="DF13" s="1383"/>
      <c r="DG13" s="1383"/>
    </row>
    <row r="14" customFormat="false" ht="15" hidden="false" customHeight="false" outlineLevel="0" collapsed="false">
      <c r="A14" s="1362" t="s">
        <v>934</v>
      </c>
      <c r="B14" s="1362"/>
      <c r="C14" s="1333"/>
      <c r="D14" s="1363"/>
      <c r="E14" s="1363"/>
      <c r="F14" s="1363"/>
      <c r="G14" s="1364"/>
      <c r="H14" s="1388"/>
      <c r="I14" s="1333"/>
      <c r="J14" s="1363"/>
      <c r="K14" s="1364"/>
      <c r="L14" s="1364"/>
      <c r="M14" s="1364"/>
      <c r="N14" s="1388"/>
      <c r="O14" s="1333"/>
      <c r="P14" s="1363"/>
      <c r="Q14" s="1364"/>
      <c r="R14" s="1367"/>
      <c r="S14" s="1364"/>
      <c r="T14" s="1388"/>
      <c r="U14" s="1325"/>
      <c r="V14" s="1363"/>
      <c r="W14" s="1364"/>
      <c r="X14" s="1367"/>
      <c r="Y14" s="1367"/>
      <c r="Z14" s="1364"/>
      <c r="AA14" s="1364"/>
      <c r="AB14" s="1388"/>
      <c r="AD14" s="1363"/>
      <c r="AE14" s="1364"/>
      <c r="AF14" s="1367"/>
      <c r="AG14" s="1367"/>
      <c r="AH14" s="1364"/>
      <c r="AI14" s="1364"/>
      <c r="AJ14" s="1388"/>
      <c r="AK14" s="1335"/>
      <c r="AL14" s="1363"/>
      <c r="AM14" s="1364"/>
      <c r="AN14" s="1367"/>
      <c r="AO14" s="1367"/>
      <c r="AP14" s="1364"/>
      <c r="AQ14" s="1364"/>
      <c r="AR14" s="1388"/>
      <c r="AS14" s="1333"/>
      <c r="AT14" s="1363"/>
      <c r="AU14" s="1364"/>
      <c r="AV14" s="1367"/>
      <c r="AW14" s="1367"/>
      <c r="AX14" s="1364"/>
      <c r="AY14" s="1364"/>
      <c r="AZ14" s="1388"/>
      <c r="BA14" s="1335"/>
      <c r="BB14" s="1363"/>
      <c r="BC14" s="1364"/>
      <c r="BD14" s="1367"/>
      <c r="BE14" s="1367"/>
      <c r="BF14" s="1364"/>
      <c r="BG14" s="1364"/>
      <c r="BH14" s="1388"/>
      <c r="BI14" s="1333"/>
      <c r="BJ14" s="1363"/>
      <c r="BK14" s="1364"/>
      <c r="BL14" s="1367"/>
      <c r="BM14" s="1367"/>
      <c r="BN14" s="1367"/>
      <c r="BO14" s="1364"/>
      <c r="BP14" s="1364"/>
      <c r="BQ14" s="1388"/>
      <c r="BS14" s="1363"/>
      <c r="BT14" s="1364"/>
      <c r="BU14" s="1367"/>
      <c r="BV14" s="1367"/>
      <c r="BW14" s="1364"/>
      <c r="BX14" s="1364"/>
      <c r="BY14" s="1388"/>
      <c r="CA14" s="1363"/>
      <c r="CB14" s="1364"/>
      <c r="CC14" s="1367"/>
      <c r="CD14" s="1367"/>
      <c r="CE14" s="1364"/>
      <c r="CF14" s="1364"/>
      <c r="CG14" s="1388"/>
      <c r="CI14" s="1363"/>
      <c r="CJ14" s="1364"/>
      <c r="CK14" s="1367"/>
      <c r="CL14" s="1367"/>
      <c r="CM14" s="1364"/>
      <c r="CN14" s="1364"/>
      <c r="CO14" s="1388"/>
      <c r="CP14" s="1370"/>
      <c r="CQ14" s="1389"/>
      <c r="CR14" s="1389"/>
      <c r="CS14" s="1389"/>
      <c r="CT14" s="1389"/>
      <c r="CU14" s="1390" t="n">
        <f aca="false">CQ14-CS14</f>
        <v>0</v>
      </c>
      <c r="CV14" s="1390"/>
      <c r="CW14" s="1391" t="str">
        <f aca="false">IFERROR(CQ14/CR14-1,"-")</f>
        <v>-</v>
      </c>
      <c r="CY14" s="1389"/>
      <c r="CZ14" s="1389"/>
      <c r="DA14" s="1389"/>
      <c r="DB14" s="1389"/>
      <c r="DC14" s="1389"/>
      <c r="DD14" s="1392" t="e">
        <f aca="false">CY14/$DC14-1</f>
        <v>#DIV/0!</v>
      </c>
      <c r="DE14" s="1390" t="e">
        <f aca="false">CZ14/$DC14-1</f>
        <v>#DIV/0!</v>
      </c>
      <c r="DF14" s="1390" t="e">
        <f aca="false">DA14/$DC14-1</f>
        <v>#DIV/0!</v>
      </c>
      <c r="DG14" s="1390" t="e">
        <f aca="false">DB14/$DC14-1</f>
        <v>#DIV/0!</v>
      </c>
    </row>
    <row r="15" customFormat="false" ht="15" hidden="false" customHeight="false" outlineLevel="0" collapsed="false">
      <c r="A15" s="1393"/>
      <c r="B15" s="1394" t="s">
        <v>935</v>
      </c>
      <c r="C15" s="1333"/>
      <c r="D15" s="1395"/>
      <c r="E15" s="1376"/>
      <c r="F15" s="1376"/>
      <c r="G15" s="1396"/>
      <c r="H15" s="1397"/>
      <c r="I15" s="1333"/>
      <c r="J15" s="1395"/>
      <c r="K15" s="1376"/>
      <c r="L15" s="1376"/>
      <c r="M15" s="1396"/>
      <c r="N15" s="1397"/>
      <c r="O15" s="1333"/>
      <c r="P15" s="1395"/>
      <c r="Q15" s="1376"/>
      <c r="R15" s="1378"/>
      <c r="S15" s="1396"/>
      <c r="T15" s="1397"/>
      <c r="U15" s="1325"/>
      <c r="V15" s="1395"/>
      <c r="W15" s="1376"/>
      <c r="X15" s="1376"/>
      <c r="Y15" s="1376"/>
      <c r="Z15" s="1396"/>
      <c r="AA15" s="1396"/>
      <c r="AB15" s="1397"/>
      <c r="AC15" s="1398"/>
      <c r="AD15" s="1395"/>
      <c r="AE15" s="1376"/>
      <c r="AF15" s="1376"/>
      <c r="AG15" s="1376"/>
      <c r="AH15" s="1396"/>
      <c r="AI15" s="1396"/>
      <c r="AJ15" s="1397"/>
      <c r="AK15" s="1335"/>
      <c r="AL15" s="1395"/>
      <c r="AM15" s="1376"/>
      <c r="AN15" s="1376"/>
      <c r="AO15" s="1378"/>
      <c r="AP15" s="1396"/>
      <c r="AQ15" s="1396"/>
      <c r="AR15" s="1397"/>
      <c r="AS15" s="1399"/>
      <c r="AT15" s="1395"/>
      <c r="AU15" s="1376"/>
      <c r="AV15" s="1376"/>
      <c r="AW15" s="1378"/>
      <c r="AX15" s="1396"/>
      <c r="AY15" s="1396"/>
      <c r="AZ15" s="1397"/>
      <c r="BA15" s="1333"/>
      <c r="BB15" s="1395"/>
      <c r="BC15" s="1376"/>
      <c r="BD15" s="1376"/>
      <c r="BE15" s="1378"/>
      <c r="BF15" s="1396"/>
      <c r="BG15" s="1396"/>
      <c r="BH15" s="1397"/>
      <c r="BI15" s="1333"/>
      <c r="BJ15" s="1395"/>
      <c r="BK15" s="1376"/>
      <c r="BL15" s="1376"/>
      <c r="BM15" s="1376"/>
      <c r="BN15" s="1376"/>
      <c r="BO15" s="1396"/>
      <c r="BP15" s="1396"/>
      <c r="BQ15" s="1397"/>
      <c r="BR15" s="248"/>
      <c r="BS15" s="1395"/>
      <c r="BT15" s="1376"/>
      <c r="BU15" s="1376"/>
      <c r="BV15" s="1376"/>
      <c r="BW15" s="1396"/>
      <c r="BX15" s="1396"/>
      <c r="BY15" s="1397"/>
      <c r="CA15" s="1395"/>
      <c r="CB15" s="1376"/>
      <c r="CC15" s="1376"/>
      <c r="CD15" s="1376"/>
      <c r="CE15" s="1396"/>
      <c r="CF15" s="1396"/>
      <c r="CG15" s="1397"/>
      <c r="CI15" s="1395"/>
      <c r="CJ15" s="1376"/>
      <c r="CK15" s="1376"/>
      <c r="CL15" s="1376"/>
      <c r="CM15" s="1396"/>
      <c r="CN15" s="1396"/>
      <c r="CO15" s="1397"/>
      <c r="CP15" s="1370"/>
      <c r="CQ15" s="1400"/>
      <c r="CR15" s="1400"/>
      <c r="CS15" s="1400"/>
      <c r="CT15" s="1400"/>
      <c r="CU15" s="1401" t="n">
        <f aca="false">CQ15-CS15</f>
        <v>0</v>
      </c>
      <c r="CV15" s="1401"/>
      <c r="CW15" s="1402" t="str">
        <f aca="false">IFERROR(CQ15/CR15-1,"-")</f>
        <v>-</v>
      </c>
      <c r="CY15" s="1400"/>
      <c r="CZ15" s="1400"/>
      <c r="DA15" s="1400"/>
      <c r="DB15" s="1400"/>
      <c r="DC15" s="1400"/>
      <c r="DD15" s="1403" t="e">
        <f aca="false">CY15/$DC15-1</f>
        <v>#DIV/0!</v>
      </c>
      <c r="DE15" s="1401" t="e">
        <f aca="false">CZ15/$DC15-1</f>
        <v>#DIV/0!</v>
      </c>
      <c r="DF15" s="1401" t="e">
        <f aca="false">DA15/$DC15-1</f>
        <v>#DIV/0!</v>
      </c>
      <c r="DG15" s="1401" t="e">
        <f aca="false">DB15/$DC15-1</f>
        <v>#DIV/0!</v>
      </c>
    </row>
    <row r="16" customFormat="false" ht="15" hidden="false" customHeight="false" outlineLevel="0" collapsed="false">
      <c r="A16" s="1393"/>
      <c r="B16" s="1394" t="s">
        <v>936</v>
      </c>
      <c r="C16" s="1333"/>
      <c r="D16" s="1395"/>
      <c r="E16" s="1383"/>
      <c r="F16" s="1383"/>
      <c r="G16" s="1396"/>
      <c r="H16" s="1397"/>
      <c r="I16" s="1333"/>
      <c r="J16" s="1395"/>
      <c r="K16" s="1383"/>
      <c r="L16" s="1383"/>
      <c r="M16" s="1396"/>
      <c r="N16" s="1397"/>
      <c r="O16" s="1333"/>
      <c r="P16" s="1395"/>
      <c r="Q16" s="1376"/>
      <c r="R16" s="1385"/>
      <c r="S16" s="1396"/>
      <c r="T16" s="1397"/>
      <c r="U16" s="1325"/>
      <c r="V16" s="1395"/>
      <c r="W16" s="1376"/>
      <c r="X16" s="1376"/>
      <c r="Y16" s="1376"/>
      <c r="Z16" s="1396"/>
      <c r="AA16" s="1396"/>
      <c r="AB16" s="1397"/>
      <c r="AC16" s="1404"/>
      <c r="AD16" s="1395"/>
      <c r="AE16" s="1376"/>
      <c r="AF16" s="1376"/>
      <c r="AG16" s="1376"/>
      <c r="AH16" s="1396"/>
      <c r="AI16" s="1396"/>
      <c r="AJ16" s="1397"/>
      <c r="AK16" s="1335"/>
      <c r="AL16" s="1395"/>
      <c r="AM16" s="1376"/>
      <c r="AN16" s="1383"/>
      <c r="AO16" s="1385"/>
      <c r="AP16" s="1396"/>
      <c r="AQ16" s="1396"/>
      <c r="AR16" s="1397"/>
      <c r="AS16" s="1399"/>
      <c r="AT16" s="1395"/>
      <c r="AU16" s="1376"/>
      <c r="AV16" s="1383"/>
      <c r="AW16" s="1385"/>
      <c r="AX16" s="1396"/>
      <c r="AY16" s="1396"/>
      <c r="AZ16" s="1397"/>
      <c r="BA16" s="1333"/>
      <c r="BB16" s="1395"/>
      <c r="BC16" s="1376"/>
      <c r="BD16" s="1383"/>
      <c r="BE16" s="1385"/>
      <c r="BF16" s="1396"/>
      <c r="BG16" s="1396"/>
      <c r="BH16" s="1397"/>
      <c r="BI16" s="1333"/>
      <c r="BJ16" s="1395"/>
      <c r="BK16" s="1376"/>
      <c r="BL16" s="1383"/>
      <c r="BM16" s="1383"/>
      <c r="BN16" s="1383"/>
      <c r="BO16" s="1396"/>
      <c r="BP16" s="1396"/>
      <c r="BQ16" s="1397"/>
      <c r="BR16" s="248"/>
      <c r="BS16" s="1395"/>
      <c r="BT16" s="1376"/>
      <c r="BU16" s="1383"/>
      <c r="BV16" s="1383"/>
      <c r="BW16" s="1396"/>
      <c r="BX16" s="1396"/>
      <c r="BY16" s="1397"/>
      <c r="CA16" s="1395"/>
      <c r="CB16" s="1376"/>
      <c r="CC16" s="1383"/>
      <c r="CD16" s="1383"/>
      <c r="CE16" s="1396"/>
      <c r="CF16" s="1396"/>
      <c r="CG16" s="1397"/>
      <c r="CI16" s="1395"/>
      <c r="CJ16" s="1376"/>
      <c r="CK16" s="1383"/>
      <c r="CL16" s="1383"/>
      <c r="CM16" s="1396"/>
      <c r="CN16" s="1396"/>
      <c r="CO16" s="1397"/>
      <c r="CP16" s="1370"/>
      <c r="CQ16" s="1400"/>
      <c r="CR16" s="1400"/>
      <c r="CS16" s="1400"/>
      <c r="CT16" s="1400"/>
      <c r="CU16" s="1401" t="n">
        <f aca="false">CQ16-CS16</f>
        <v>0</v>
      </c>
      <c r="CV16" s="1401"/>
      <c r="CW16" s="1402" t="str">
        <f aca="false">IFERROR(CQ16/CR16-1,"-")</f>
        <v>-</v>
      </c>
      <c r="CY16" s="1400"/>
      <c r="CZ16" s="1400"/>
      <c r="DA16" s="1400"/>
      <c r="DB16" s="1400"/>
      <c r="DC16" s="1400"/>
      <c r="DD16" s="1403" t="e">
        <f aca="false">CY16/$DC16-1</f>
        <v>#DIV/0!</v>
      </c>
      <c r="DE16" s="1401" t="e">
        <f aca="false">CZ16/$DC16-1</f>
        <v>#DIV/0!</v>
      </c>
      <c r="DF16" s="1401" t="e">
        <f aca="false">DA16/$DC16-1</f>
        <v>#DIV/0!</v>
      </c>
      <c r="DG16" s="1401" t="e">
        <f aca="false">DB16/$DC16-1</f>
        <v>#DIV/0!</v>
      </c>
    </row>
    <row r="17" customFormat="false" ht="15" hidden="false" customHeight="false" outlineLevel="0" collapsed="false">
      <c r="A17" s="1393"/>
      <c r="B17" s="1394" t="s">
        <v>937</v>
      </c>
      <c r="C17" s="1333"/>
      <c r="D17" s="1395"/>
      <c r="E17" s="1383"/>
      <c r="F17" s="1383"/>
      <c r="G17" s="1396"/>
      <c r="H17" s="1397"/>
      <c r="I17" s="1333"/>
      <c r="J17" s="1395"/>
      <c r="K17" s="1383"/>
      <c r="L17" s="1383"/>
      <c r="M17" s="1396"/>
      <c r="N17" s="1397"/>
      <c r="O17" s="1333"/>
      <c r="P17" s="1395"/>
      <c r="Q17" s="1376"/>
      <c r="R17" s="1385"/>
      <c r="S17" s="1396"/>
      <c r="T17" s="1397"/>
      <c r="U17" s="1325"/>
      <c r="V17" s="1395"/>
      <c r="W17" s="1376"/>
      <c r="X17" s="1376"/>
      <c r="Y17" s="1376"/>
      <c r="Z17" s="1396"/>
      <c r="AA17" s="1396"/>
      <c r="AB17" s="1397"/>
      <c r="AD17" s="1395"/>
      <c r="AE17" s="1376"/>
      <c r="AF17" s="1376"/>
      <c r="AG17" s="1376"/>
      <c r="AH17" s="1396"/>
      <c r="AI17" s="1396"/>
      <c r="AJ17" s="1397"/>
      <c r="AK17" s="1335"/>
      <c r="AL17" s="1395"/>
      <c r="AM17" s="1376"/>
      <c r="AN17" s="1383"/>
      <c r="AO17" s="1385"/>
      <c r="AP17" s="1396"/>
      <c r="AQ17" s="1396"/>
      <c r="AR17" s="1397"/>
      <c r="AS17" s="1399"/>
      <c r="AT17" s="1395"/>
      <c r="AU17" s="1376"/>
      <c r="AV17" s="1383"/>
      <c r="AW17" s="1385"/>
      <c r="AX17" s="1396"/>
      <c r="AY17" s="1396"/>
      <c r="AZ17" s="1397"/>
      <c r="BA17" s="1333"/>
      <c r="BB17" s="1395"/>
      <c r="BC17" s="1376"/>
      <c r="BD17" s="1383"/>
      <c r="BE17" s="1385"/>
      <c r="BF17" s="1396"/>
      <c r="BG17" s="1396"/>
      <c r="BH17" s="1397"/>
      <c r="BI17" s="1333"/>
      <c r="BJ17" s="1395"/>
      <c r="BK17" s="1376"/>
      <c r="BL17" s="1383"/>
      <c r="BM17" s="1383"/>
      <c r="BN17" s="1383"/>
      <c r="BO17" s="1396"/>
      <c r="BP17" s="1396"/>
      <c r="BQ17" s="1397"/>
      <c r="BR17" s="248"/>
      <c r="BS17" s="1395"/>
      <c r="BT17" s="1376"/>
      <c r="BU17" s="1383"/>
      <c r="BV17" s="1383"/>
      <c r="BW17" s="1396"/>
      <c r="BX17" s="1396"/>
      <c r="BY17" s="1397"/>
      <c r="CA17" s="1395"/>
      <c r="CB17" s="1376"/>
      <c r="CC17" s="1383"/>
      <c r="CD17" s="1383"/>
      <c r="CE17" s="1396"/>
      <c r="CF17" s="1396"/>
      <c r="CG17" s="1397"/>
      <c r="CI17" s="1395"/>
      <c r="CJ17" s="1376"/>
      <c r="CK17" s="1383"/>
      <c r="CL17" s="1383"/>
      <c r="CM17" s="1396"/>
      <c r="CN17" s="1396"/>
      <c r="CO17" s="1397"/>
      <c r="CP17" s="1370"/>
      <c r="CQ17" s="1400"/>
      <c r="CR17" s="1400"/>
      <c r="CS17" s="1400"/>
      <c r="CT17" s="1400"/>
      <c r="CU17" s="1401" t="n">
        <f aca="false">CQ17-CS17</f>
        <v>0</v>
      </c>
      <c r="CV17" s="1401"/>
      <c r="CW17" s="1402" t="str">
        <f aca="false">IFERROR(CQ17/CR17-1,"-")</f>
        <v>-</v>
      </c>
      <c r="CY17" s="1400"/>
      <c r="CZ17" s="1400"/>
      <c r="DA17" s="1400"/>
      <c r="DB17" s="1400"/>
      <c r="DC17" s="1400"/>
      <c r="DD17" s="1403" t="e">
        <f aca="false">CY17/$DC17-1</f>
        <v>#DIV/0!</v>
      </c>
      <c r="DE17" s="1401" t="e">
        <f aca="false">CZ17/$DC17-1</f>
        <v>#DIV/0!</v>
      </c>
      <c r="DF17" s="1401" t="e">
        <f aca="false">DA17/$DC17-1</f>
        <v>#DIV/0!</v>
      </c>
      <c r="DG17" s="1401" t="e">
        <f aca="false">DB17/$DC17-1</f>
        <v>#DIV/0!</v>
      </c>
    </row>
    <row r="18" customFormat="false" ht="15" hidden="false" customHeight="false" outlineLevel="0" collapsed="false">
      <c r="A18" s="1393"/>
      <c r="B18" s="1394" t="s">
        <v>938</v>
      </c>
      <c r="C18" s="1333"/>
      <c r="D18" s="1395"/>
      <c r="E18" s="1383"/>
      <c r="F18" s="1383"/>
      <c r="G18" s="1396"/>
      <c r="H18" s="1397"/>
      <c r="I18" s="1333"/>
      <c r="J18" s="1395"/>
      <c r="K18" s="1383"/>
      <c r="L18" s="1383"/>
      <c r="M18" s="1396"/>
      <c r="N18" s="1397"/>
      <c r="O18" s="1333"/>
      <c r="P18" s="1395"/>
      <c r="Q18" s="1376"/>
      <c r="R18" s="1385"/>
      <c r="S18" s="1396"/>
      <c r="T18" s="1397"/>
      <c r="U18" s="1325"/>
      <c r="V18" s="1395"/>
      <c r="W18" s="1376"/>
      <c r="X18" s="1376"/>
      <c r="Y18" s="1376"/>
      <c r="Z18" s="1396"/>
      <c r="AA18" s="1396"/>
      <c r="AB18" s="1397"/>
      <c r="AD18" s="1395"/>
      <c r="AE18" s="1376"/>
      <c r="AF18" s="1376"/>
      <c r="AG18" s="1376"/>
      <c r="AH18" s="1396"/>
      <c r="AI18" s="1396"/>
      <c r="AJ18" s="1397"/>
      <c r="AL18" s="1395"/>
      <c r="AM18" s="1376"/>
      <c r="AN18" s="1383"/>
      <c r="AO18" s="1385"/>
      <c r="AP18" s="1396"/>
      <c r="AQ18" s="1396"/>
      <c r="AR18" s="1397"/>
      <c r="AS18" s="1399"/>
      <c r="AT18" s="1395"/>
      <c r="AU18" s="1376"/>
      <c r="AV18" s="1383"/>
      <c r="AW18" s="1385"/>
      <c r="AX18" s="1396"/>
      <c r="AY18" s="1396"/>
      <c r="AZ18" s="1397"/>
      <c r="BA18" s="1333"/>
      <c r="BB18" s="1395"/>
      <c r="BC18" s="1376"/>
      <c r="BD18" s="1383"/>
      <c r="BE18" s="1385"/>
      <c r="BF18" s="1396"/>
      <c r="BG18" s="1396"/>
      <c r="BH18" s="1397"/>
      <c r="BI18" s="1333"/>
      <c r="BJ18" s="1395"/>
      <c r="BK18" s="1376"/>
      <c r="BL18" s="1383"/>
      <c r="BM18" s="1383"/>
      <c r="BN18" s="1383"/>
      <c r="BO18" s="1396"/>
      <c r="BP18" s="1396"/>
      <c r="BQ18" s="1397"/>
      <c r="BR18" s="248"/>
      <c r="BS18" s="1395"/>
      <c r="BT18" s="1376"/>
      <c r="BU18" s="1383"/>
      <c r="BV18" s="1383"/>
      <c r="BW18" s="1396"/>
      <c r="BX18" s="1396"/>
      <c r="BY18" s="1397"/>
      <c r="CA18" s="1395"/>
      <c r="CB18" s="1376"/>
      <c r="CC18" s="1383"/>
      <c r="CD18" s="1383"/>
      <c r="CE18" s="1396"/>
      <c r="CF18" s="1396"/>
      <c r="CG18" s="1397"/>
      <c r="CI18" s="1395"/>
      <c r="CJ18" s="1376"/>
      <c r="CK18" s="1383"/>
      <c r="CL18" s="1383"/>
      <c r="CM18" s="1396"/>
      <c r="CN18" s="1396"/>
      <c r="CO18" s="1397"/>
      <c r="CP18" s="1370"/>
      <c r="CQ18" s="1400"/>
      <c r="CR18" s="1400"/>
      <c r="CS18" s="1400"/>
      <c r="CT18" s="1400"/>
      <c r="CU18" s="1401" t="n">
        <f aca="false">CQ18-CS18</f>
        <v>0</v>
      </c>
      <c r="CV18" s="1401"/>
      <c r="CW18" s="1402" t="str">
        <f aca="false">IFERROR(CQ18/CR18-1,"-")</f>
        <v>-</v>
      </c>
      <c r="CY18" s="1400"/>
      <c r="CZ18" s="1400"/>
      <c r="DA18" s="1400"/>
      <c r="DB18" s="1400"/>
      <c r="DC18" s="1400"/>
      <c r="DD18" s="1403" t="e">
        <f aca="false">CY18/$DC18-1</f>
        <v>#DIV/0!</v>
      </c>
      <c r="DE18" s="1401" t="e">
        <f aca="false">CZ18/$DC18-1</f>
        <v>#DIV/0!</v>
      </c>
      <c r="DF18" s="1401" t="e">
        <f aca="false">DA18/$DC18-1</f>
        <v>#DIV/0!</v>
      </c>
      <c r="DG18" s="1401" t="e">
        <f aca="false">DB18/$DC18-1</f>
        <v>#DIV/0!</v>
      </c>
    </row>
    <row r="19" customFormat="false" ht="15" hidden="false" customHeight="false" outlineLevel="0" collapsed="false">
      <c r="A19" s="1393"/>
      <c r="B19" s="1394" t="s">
        <v>939</v>
      </c>
      <c r="C19" s="1333"/>
      <c r="D19" s="1395"/>
      <c r="E19" s="1383"/>
      <c r="F19" s="1383"/>
      <c r="G19" s="1396"/>
      <c r="H19" s="1397"/>
      <c r="I19" s="1333"/>
      <c r="J19" s="1395"/>
      <c r="K19" s="1383"/>
      <c r="L19" s="1383"/>
      <c r="M19" s="1396"/>
      <c r="N19" s="1397"/>
      <c r="O19" s="1333"/>
      <c r="P19" s="1395"/>
      <c r="Q19" s="1376"/>
      <c r="R19" s="1385"/>
      <c r="S19" s="1396"/>
      <c r="T19" s="1397"/>
      <c r="U19" s="1325"/>
      <c r="V19" s="1395"/>
      <c r="W19" s="1376"/>
      <c r="X19" s="1376"/>
      <c r="Y19" s="1376"/>
      <c r="Z19" s="1396"/>
      <c r="AA19" s="1396"/>
      <c r="AB19" s="1397"/>
      <c r="AD19" s="1395"/>
      <c r="AE19" s="1376"/>
      <c r="AF19" s="1376"/>
      <c r="AG19" s="1376"/>
      <c r="AH19" s="1396"/>
      <c r="AI19" s="1396"/>
      <c r="AJ19" s="1397"/>
      <c r="AK19" s="1335"/>
      <c r="AL19" s="1395"/>
      <c r="AM19" s="1376"/>
      <c r="AN19" s="1383"/>
      <c r="AO19" s="1385"/>
      <c r="AP19" s="1396"/>
      <c r="AQ19" s="1396"/>
      <c r="AR19" s="1397"/>
      <c r="AS19" s="1399"/>
      <c r="AT19" s="1395"/>
      <c r="AU19" s="1376"/>
      <c r="AV19" s="1383"/>
      <c r="AW19" s="1385"/>
      <c r="AX19" s="1396"/>
      <c r="AY19" s="1396"/>
      <c r="AZ19" s="1397"/>
      <c r="BA19" s="1333"/>
      <c r="BB19" s="1395"/>
      <c r="BC19" s="1376"/>
      <c r="BD19" s="1383"/>
      <c r="BE19" s="1385"/>
      <c r="BF19" s="1396"/>
      <c r="BG19" s="1396"/>
      <c r="BH19" s="1397"/>
      <c r="BI19" s="1333"/>
      <c r="BJ19" s="1395"/>
      <c r="BK19" s="1376"/>
      <c r="BL19" s="1383"/>
      <c r="BM19" s="1383"/>
      <c r="BN19" s="1383"/>
      <c r="BO19" s="1396"/>
      <c r="BP19" s="1396"/>
      <c r="BQ19" s="1397"/>
      <c r="BR19" s="248"/>
      <c r="BS19" s="1395"/>
      <c r="BT19" s="1376"/>
      <c r="BU19" s="1383"/>
      <c r="BV19" s="1383"/>
      <c r="BW19" s="1396"/>
      <c r="BX19" s="1396"/>
      <c r="BY19" s="1397"/>
      <c r="CA19" s="1395"/>
      <c r="CB19" s="1376"/>
      <c r="CC19" s="1383"/>
      <c r="CD19" s="1383"/>
      <c r="CE19" s="1396"/>
      <c r="CF19" s="1396"/>
      <c r="CG19" s="1397"/>
      <c r="CI19" s="1395"/>
      <c r="CJ19" s="1376"/>
      <c r="CK19" s="1383"/>
      <c r="CL19" s="1383"/>
      <c r="CM19" s="1396"/>
      <c r="CN19" s="1396"/>
      <c r="CO19" s="1397"/>
      <c r="CP19" s="1370"/>
      <c r="CQ19" s="1400"/>
      <c r="CR19" s="1400"/>
      <c r="CS19" s="1400"/>
      <c r="CT19" s="1400"/>
      <c r="CU19" s="1401" t="n">
        <f aca="false">CQ19-CS19</f>
        <v>0</v>
      </c>
      <c r="CV19" s="1401"/>
      <c r="CW19" s="1402" t="str">
        <f aca="false">IFERROR(CQ19/CR19-1,"-")</f>
        <v>-</v>
      </c>
      <c r="CY19" s="1400"/>
      <c r="CZ19" s="1400"/>
      <c r="DA19" s="1400"/>
      <c r="DB19" s="1400"/>
      <c r="DC19" s="1400"/>
      <c r="DD19" s="1403" t="e">
        <f aca="false">CY19/$DC19-1</f>
        <v>#DIV/0!</v>
      </c>
      <c r="DE19" s="1401" t="e">
        <f aca="false">CZ19/$DC19-1</f>
        <v>#DIV/0!</v>
      </c>
      <c r="DF19" s="1401" t="e">
        <f aca="false">DA19/$DC19-1</f>
        <v>#DIV/0!</v>
      </c>
      <c r="DG19" s="1401" t="e">
        <f aca="false">DB19/$DC19-1</f>
        <v>#DIV/0!</v>
      </c>
    </row>
    <row r="20" customFormat="false" ht="15" hidden="false" customHeight="false" outlineLevel="0" collapsed="false">
      <c r="A20" s="1393"/>
      <c r="B20" s="1394" t="s">
        <v>940</v>
      </c>
      <c r="C20" s="1333"/>
      <c r="D20" s="1395"/>
      <c r="E20" s="1383"/>
      <c r="F20" s="1383"/>
      <c r="G20" s="1396"/>
      <c r="H20" s="1397"/>
      <c r="I20" s="1333"/>
      <c r="J20" s="1395"/>
      <c r="K20" s="1383"/>
      <c r="L20" s="1383"/>
      <c r="M20" s="1396"/>
      <c r="N20" s="1397"/>
      <c r="O20" s="1333"/>
      <c r="P20" s="1395"/>
      <c r="Q20" s="1376"/>
      <c r="R20" s="1385"/>
      <c r="S20" s="1396"/>
      <c r="T20" s="1397"/>
      <c r="U20" s="1325"/>
      <c r="V20" s="1395"/>
      <c r="W20" s="1376"/>
      <c r="X20" s="1376"/>
      <c r="Y20" s="1376"/>
      <c r="Z20" s="1396"/>
      <c r="AA20" s="1396"/>
      <c r="AB20" s="1397"/>
      <c r="AD20" s="1395"/>
      <c r="AE20" s="1376"/>
      <c r="AF20" s="1376"/>
      <c r="AG20" s="1376"/>
      <c r="AH20" s="1396"/>
      <c r="AI20" s="1396"/>
      <c r="AJ20" s="1397"/>
      <c r="AK20" s="1335"/>
      <c r="AL20" s="1395"/>
      <c r="AM20" s="1376"/>
      <c r="AN20" s="1383"/>
      <c r="AO20" s="1385"/>
      <c r="AP20" s="1396"/>
      <c r="AQ20" s="1396"/>
      <c r="AR20" s="1397"/>
      <c r="AS20" s="1399"/>
      <c r="AT20" s="1395"/>
      <c r="AU20" s="1376"/>
      <c r="AV20" s="1383"/>
      <c r="AW20" s="1385"/>
      <c r="AX20" s="1396"/>
      <c r="AY20" s="1396"/>
      <c r="AZ20" s="1397"/>
      <c r="BA20" s="1333"/>
      <c r="BB20" s="1395"/>
      <c r="BC20" s="1376"/>
      <c r="BD20" s="1383"/>
      <c r="BE20" s="1385"/>
      <c r="BF20" s="1396"/>
      <c r="BG20" s="1396"/>
      <c r="BH20" s="1397"/>
      <c r="BI20" s="1333"/>
      <c r="BJ20" s="1395"/>
      <c r="BK20" s="1376"/>
      <c r="BL20" s="1383"/>
      <c r="BM20" s="1383"/>
      <c r="BN20" s="1383"/>
      <c r="BO20" s="1396"/>
      <c r="BP20" s="1396"/>
      <c r="BQ20" s="1397"/>
      <c r="BR20" s="248"/>
      <c r="BS20" s="1395"/>
      <c r="BT20" s="1376"/>
      <c r="BU20" s="1383"/>
      <c r="BV20" s="1383"/>
      <c r="BW20" s="1396"/>
      <c r="BX20" s="1396"/>
      <c r="BY20" s="1397"/>
      <c r="CA20" s="1395"/>
      <c r="CB20" s="1376"/>
      <c r="CC20" s="1383"/>
      <c r="CD20" s="1383"/>
      <c r="CE20" s="1396"/>
      <c r="CF20" s="1396"/>
      <c r="CG20" s="1397"/>
      <c r="CI20" s="1395"/>
      <c r="CJ20" s="1376"/>
      <c r="CK20" s="1383"/>
      <c r="CL20" s="1383"/>
      <c r="CM20" s="1396"/>
      <c r="CN20" s="1396"/>
      <c r="CO20" s="1397"/>
      <c r="CP20" s="1370"/>
      <c r="CQ20" s="1400"/>
      <c r="CR20" s="1400"/>
      <c r="CS20" s="1400"/>
      <c r="CT20" s="1400"/>
      <c r="CU20" s="1401" t="n">
        <f aca="false">CQ20-CS20</f>
        <v>0</v>
      </c>
      <c r="CV20" s="1401"/>
      <c r="CW20" s="1402" t="str">
        <f aca="false">IFERROR(CQ20/CR20-1,"-")</f>
        <v>-</v>
      </c>
      <c r="CY20" s="1400"/>
      <c r="CZ20" s="1400"/>
      <c r="DA20" s="1400"/>
      <c r="DB20" s="1400"/>
      <c r="DC20" s="1400"/>
      <c r="DD20" s="1403" t="e">
        <f aca="false">CY20/$DC20-1</f>
        <v>#DIV/0!</v>
      </c>
      <c r="DE20" s="1401" t="e">
        <f aca="false">CZ20/$DC20-1</f>
        <v>#DIV/0!</v>
      </c>
      <c r="DF20" s="1401" t="e">
        <f aca="false">DA20/$DC20-1</f>
        <v>#DIV/0!</v>
      </c>
      <c r="DG20" s="1401" t="e">
        <f aca="false">DB20/$DC20-1</f>
        <v>#DIV/0!</v>
      </c>
    </row>
    <row r="21" customFormat="false" ht="15" hidden="false" customHeight="false" outlineLevel="0" collapsed="false">
      <c r="A21" s="1393"/>
      <c r="B21" s="1394" t="s">
        <v>941</v>
      </c>
      <c r="C21" s="1333"/>
      <c r="D21" s="1395"/>
      <c r="E21" s="1383"/>
      <c r="F21" s="1383"/>
      <c r="G21" s="1396"/>
      <c r="H21" s="1397"/>
      <c r="I21" s="1333"/>
      <c r="J21" s="1395"/>
      <c r="K21" s="1383"/>
      <c r="L21" s="1383"/>
      <c r="M21" s="1396"/>
      <c r="N21" s="1397"/>
      <c r="O21" s="1333"/>
      <c r="P21" s="1395"/>
      <c r="Q21" s="1376"/>
      <c r="R21" s="1385"/>
      <c r="S21" s="1396"/>
      <c r="T21" s="1397"/>
      <c r="U21" s="1325"/>
      <c r="V21" s="1395"/>
      <c r="W21" s="1376"/>
      <c r="X21" s="1376"/>
      <c r="Y21" s="1376"/>
      <c r="Z21" s="1396"/>
      <c r="AA21" s="1396"/>
      <c r="AB21" s="1397"/>
      <c r="AD21" s="1395"/>
      <c r="AE21" s="1376"/>
      <c r="AF21" s="1376"/>
      <c r="AG21" s="1376"/>
      <c r="AH21" s="1396"/>
      <c r="AI21" s="1396"/>
      <c r="AJ21" s="1397"/>
      <c r="AK21" s="1335"/>
      <c r="AL21" s="1395"/>
      <c r="AM21" s="1376"/>
      <c r="AN21" s="1383"/>
      <c r="AO21" s="1385"/>
      <c r="AP21" s="1396"/>
      <c r="AQ21" s="1396"/>
      <c r="AR21" s="1397"/>
      <c r="AS21" s="1399"/>
      <c r="AT21" s="1395"/>
      <c r="AU21" s="1376"/>
      <c r="AV21" s="1383"/>
      <c r="AW21" s="1385"/>
      <c r="AX21" s="1396"/>
      <c r="AY21" s="1396"/>
      <c r="AZ21" s="1397"/>
      <c r="BA21" s="1333"/>
      <c r="BB21" s="1395"/>
      <c r="BC21" s="1376"/>
      <c r="BD21" s="1383"/>
      <c r="BE21" s="1385"/>
      <c r="BF21" s="1396"/>
      <c r="BG21" s="1396"/>
      <c r="BH21" s="1397"/>
      <c r="BI21" s="1333"/>
      <c r="BJ21" s="1395"/>
      <c r="BK21" s="1376"/>
      <c r="BL21" s="1383"/>
      <c r="BM21" s="1383"/>
      <c r="BN21" s="1383"/>
      <c r="BO21" s="1396"/>
      <c r="BP21" s="1396"/>
      <c r="BQ21" s="1397"/>
      <c r="BR21" s="248"/>
      <c r="BS21" s="1395"/>
      <c r="BT21" s="1376"/>
      <c r="BU21" s="1383"/>
      <c r="BV21" s="1383"/>
      <c r="BW21" s="1396"/>
      <c r="BX21" s="1396"/>
      <c r="BY21" s="1397"/>
      <c r="CA21" s="1395"/>
      <c r="CB21" s="1376"/>
      <c r="CC21" s="1383"/>
      <c r="CD21" s="1383"/>
      <c r="CE21" s="1396"/>
      <c r="CF21" s="1396"/>
      <c r="CG21" s="1397"/>
      <c r="CI21" s="1395"/>
      <c r="CJ21" s="1376"/>
      <c r="CK21" s="1383"/>
      <c r="CL21" s="1383"/>
      <c r="CM21" s="1396"/>
      <c r="CN21" s="1396"/>
      <c r="CO21" s="1397"/>
      <c r="CP21" s="1370"/>
      <c r="CQ21" s="1400"/>
      <c r="CR21" s="1400"/>
      <c r="CS21" s="1400"/>
      <c r="CT21" s="1400"/>
      <c r="CU21" s="1401" t="n">
        <f aca="false">CQ21-CS21</f>
        <v>0</v>
      </c>
      <c r="CV21" s="1401"/>
      <c r="CW21" s="1402" t="str">
        <f aca="false">IFERROR(CQ21/CR21-1,"-")</f>
        <v>-</v>
      </c>
      <c r="CY21" s="1400"/>
      <c r="CZ21" s="1400"/>
      <c r="DA21" s="1400"/>
      <c r="DB21" s="1400"/>
      <c r="DC21" s="1400"/>
      <c r="DD21" s="1403" t="e">
        <f aca="false">CY21/$DC21-1</f>
        <v>#DIV/0!</v>
      </c>
      <c r="DE21" s="1401" t="e">
        <f aca="false">CZ21/$DC21-1</f>
        <v>#DIV/0!</v>
      </c>
      <c r="DF21" s="1401" t="e">
        <f aca="false">DA21/$DC21-1</f>
        <v>#DIV/0!</v>
      </c>
      <c r="DG21" s="1401" t="e">
        <f aca="false">DB21/$DC21-1</f>
        <v>#DIV/0!</v>
      </c>
    </row>
    <row r="22" customFormat="false" ht="15" hidden="false" customHeight="false" outlineLevel="0" collapsed="false">
      <c r="A22" s="1393"/>
      <c r="B22" s="1394" t="s">
        <v>942</v>
      </c>
      <c r="C22" s="1333"/>
      <c r="D22" s="1395"/>
      <c r="E22" s="1383"/>
      <c r="F22" s="1383"/>
      <c r="G22" s="1396"/>
      <c r="H22" s="1397"/>
      <c r="I22" s="1333"/>
      <c r="J22" s="1395"/>
      <c r="K22" s="1383"/>
      <c r="L22" s="1383"/>
      <c r="M22" s="1396"/>
      <c r="N22" s="1397"/>
      <c r="O22" s="1333"/>
      <c r="P22" s="1395"/>
      <c r="Q22" s="1376"/>
      <c r="R22" s="1385"/>
      <c r="S22" s="1396"/>
      <c r="T22" s="1397"/>
      <c r="U22" s="1325"/>
      <c r="V22" s="1395"/>
      <c r="W22" s="1376"/>
      <c r="X22" s="1376"/>
      <c r="Y22" s="1376"/>
      <c r="Z22" s="1396"/>
      <c r="AA22" s="1396"/>
      <c r="AB22" s="1397"/>
      <c r="AD22" s="1395"/>
      <c r="AE22" s="1376"/>
      <c r="AF22" s="1376"/>
      <c r="AG22" s="1376"/>
      <c r="AH22" s="1396"/>
      <c r="AI22" s="1396"/>
      <c r="AJ22" s="1397"/>
      <c r="AK22" s="1335"/>
      <c r="AL22" s="1395"/>
      <c r="AM22" s="1376"/>
      <c r="AN22" s="1383"/>
      <c r="AO22" s="1385"/>
      <c r="AP22" s="1396"/>
      <c r="AQ22" s="1396"/>
      <c r="AR22" s="1397"/>
      <c r="AS22" s="1399"/>
      <c r="AT22" s="1395"/>
      <c r="AU22" s="1376"/>
      <c r="AV22" s="1383"/>
      <c r="AW22" s="1385"/>
      <c r="AX22" s="1396"/>
      <c r="AY22" s="1396"/>
      <c r="AZ22" s="1397"/>
      <c r="BA22" s="1333"/>
      <c r="BB22" s="1395"/>
      <c r="BC22" s="1376"/>
      <c r="BD22" s="1383"/>
      <c r="BE22" s="1385"/>
      <c r="BF22" s="1396"/>
      <c r="BG22" s="1396"/>
      <c r="BH22" s="1397"/>
      <c r="BI22" s="1333"/>
      <c r="BJ22" s="1395"/>
      <c r="BK22" s="1376"/>
      <c r="BL22" s="1383"/>
      <c r="BM22" s="1383"/>
      <c r="BN22" s="1383"/>
      <c r="BO22" s="1396"/>
      <c r="BP22" s="1396"/>
      <c r="BQ22" s="1397"/>
      <c r="BR22" s="248"/>
      <c r="BS22" s="1395"/>
      <c r="BT22" s="1376"/>
      <c r="BU22" s="1383"/>
      <c r="BV22" s="1383"/>
      <c r="BW22" s="1396"/>
      <c r="BX22" s="1396"/>
      <c r="BY22" s="1397"/>
      <c r="CA22" s="1395"/>
      <c r="CB22" s="1376"/>
      <c r="CC22" s="1383"/>
      <c r="CD22" s="1383"/>
      <c r="CE22" s="1396"/>
      <c r="CF22" s="1396"/>
      <c r="CG22" s="1397"/>
      <c r="CI22" s="1395"/>
      <c r="CJ22" s="1376"/>
      <c r="CK22" s="1383"/>
      <c r="CL22" s="1383"/>
      <c r="CM22" s="1396"/>
      <c r="CN22" s="1396"/>
      <c r="CO22" s="1397"/>
      <c r="CP22" s="1370"/>
      <c r="CQ22" s="1400"/>
      <c r="CR22" s="1400"/>
      <c r="CS22" s="1400"/>
      <c r="CT22" s="1400"/>
      <c r="CU22" s="1401" t="n">
        <f aca="false">CQ22-CS22</f>
        <v>0</v>
      </c>
      <c r="CV22" s="1401"/>
      <c r="CW22" s="1402" t="str">
        <f aca="false">IFERROR(CQ22/CR22-1,"-")</f>
        <v>-</v>
      </c>
      <c r="CY22" s="1400"/>
      <c r="CZ22" s="1400"/>
      <c r="DA22" s="1400"/>
      <c r="DB22" s="1400"/>
      <c r="DC22" s="1400"/>
      <c r="DD22" s="1403" t="e">
        <f aca="false">CY22/$DC22-1</f>
        <v>#DIV/0!</v>
      </c>
      <c r="DE22" s="1401" t="e">
        <f aca="false">CZ22/$DC22-1</f>
        <v>#DIV/0!</v>
      </c>
      <c r="DF22" s="1401" t="e">
        <f aca="false">DA22/$DC22-1</f>
        <v>#DIV/0!</v>
      </c>
      <c r="DG22" s="1401" t="e">
        <f aca="false">DB22/$DC22-1</f>
        <v>#DIV/0!</v>
      </c>
    </row>
    <row r="23" customFormat="false" ht="15" hidden="false" customHeight="false" outlineLevel="0" collapsed="false">
      <c r="A23" s="1393"/>
      <c r="B23" s="1394" t="s">
        <v>943</v>
      </c>
      <c r="C23" s="1333"/>
      <c r="D23" s="1395"/>
      <c r="E23" s="1383"/>
      <c r="F23" s="1383"/>
      <c r="G23" s="1396"/>
      <c r="H23" s="1397"/>
      <c r="I23" s="1333"/>
      <c r="J23" s="1395"/>
      <c r="K23" s="1383"/>
      <c r="L23" s="1383"/>
      <c r="M23" s="1396"/>
      <c r="N23" s="1397"/>
      <c r="O23" s="1333"/>
      <c r="P23" s="1395"/>
      <c r="Q23" s="1376"/>
      <c r="R23" s="1385"/>
      <c r="S23" s="1396"/>
      <c r="T23" s="1397"/>
      <c r="U23" s="1325"/>
      <c r="V23" s="1395"/>
      <c r="W23" s="1376"/>
      <c r="X23" s="1376"/>
      <c r="Y23" s="1376"/>
      <c r="Z23" s="1396"/>
      <c r="AA23" s="1396"/>
      <c r="AB23" s="1397"/>
      <c r="AD23" s="1395"/>
      <c r="AE23" s="1376"/>
      <c r="AF23" s="1376"/>
      <c r="AG23" s="1376"/>
      <c r="AH23" s="1396"/>
      <c r="AI23" s="1396"/>
      <c r="AJ23" s="1397"/>
      <c r="AK23" s="1335"/>
      <c r="AL23" s="1395"/>
      <c r="AM23" s="1376"/>
      <c r="AN23" s="1383"/>
      <c r="AO23" s="1385"/>
      <c r="AP23" s="1396"/>
      <c r="AQ23" s="1396"/>
      <c r="AR23" s="1397"/>
      <c r="AS23" s="1399"/>
      <c r="AT23" s="1395"/>
      <c r="AU23" s="1376"/>
      <c r="AV23" s="1383"/>
      <c r="AW23" s="1385"/>
      <c r="AX23" s="1396"/>
      <c r="AY23" s="1396"/>
      <c r="AZ23" s="1397"/>
      <c r="BA23" s="1333"/>
      <c r="BB23" s="1395"/>
      <c r="BC23" s="1376"/>
      <c r="BD23" s="1383"/>
      <c r="BE23" s="1385"/>
      <c r="BF23" s="1396"/>
      <c r="BG23" s="1396"/>
      <c r="BH23" s="1397"/>
      <c r="BI23" s="1333"/>
      <c r="BJ23" s="1395"/>
      <c r="BK23" s="1376"/>
      <c r="BL23" s="1383"/>
      <c r="BM23" s="1383"/>
      <c r="BN23" s="1383"/>
      <c r="BO23" s="1396"/>
      <c r="BP23" s="1396"/>
      <c r="BQ23" s="1397"/>
      <c r="BR23" s="248"/>
      <c r="BS23" s="1395"/>
      <c r="BT23" s="1376"/>
      <c r="BU23" s="1383"/>
      <c r="BV23" s="1383"/>
      <c r="BW23" s="1396"/>
      <c r="BX23" s="1396"/>
      <c r="BY23" s="1397"/>
      <c r="CA23" s="1395"/>
      <c r="CB23" s="1376"/>
      <c r="CC23" s="1383"/>
      <c r="CD23" s="1383"/>
      <c r="CE23" s="1396"/>
      <c r="CF23" s="1396"/>
      <c r="CG23" s="1397"/>
      <c r="CI23" s="1395"/>
      <c r="CJ23" s="1376"/>
      <c r="CK23" s="1383"/>
      <c r="CL23" s="1383"/>
      <c r="CM23" s="1396"/>
      <c r="CN23" s="1396"/>
      <c r="CO23" s="1397"/>
      <c r="CP23" s="1370"/>
      <c r="CQ23" s="1400"/>
      <c r="CR23" s="1400"/>
      <c r="CS23" s="1400"/>
      <c r="CT23" s="1400"/>
      <c r="CU23" s="1401" t="n">
        <f aca="false">CQ23-CS23</f>
        <v>0</v>
      </c>
      <c r="CV23" s="1401"/>
      <c r="CW23" s="1402" t="str">
        <f aca="false">IFERROR(CQ23/CR23-1,"-")</f>
        <v>-</v>
      </c>
      <c r="CY23" s="1400"/>
      <c r="CZ23" s="1400"/>
      <c r="DA23" s="1400"/>
      <c r="DB23" s="1400"/>
      <c r="DC23" s="1400"/>
      <c r="DD23" s="1403" t="e">
        <f aca="false">CY23/$DC23-1</f>
        <v>#DIV/0!</v>
      </c>
      <c r="DE23" s="1401" t="e">
        <f aca="false">CZ23/$DC23-1</f>
        <v>#DIV/0!</v>
      </c>
      <c r="DF23" s="1401" t="e">
        <f aca="false">DA23/$DC23-1</f>
        <v>#DIV/0!</v>
      </c>
      <c r="DG23" s="1401" t="e">
        <f aca="false">DB23/$DC23-1</f>
        <v>#DIV/0!</v>
      </c>
    </row>
    <row r="24" customFormat="false" ht="15" hidden="false" customHeight="false" outlineLevel="0" collapsed="false">
      <c r="A24" s="1393"/>
      <c r="B24" s="1394" t="s">
        <v>944</v>
      </c>
      <c r="C24" s="1333"/>
      <c r="D24" s="1395"/>
      <c r="E24" s="1383"/>
      <c r="F24" s="1383"/>
      <c r="G24" s="1396"/>
      <c r="H24" s="1397"/>
      <c r="I24" s="1333"/>
      <c r="J24" s="1395"/>
      <c r="K24" s="1383"/>
      <c r="L24" s="1383"/>
      <c r="M24" s="1396"/>
      <c r="N24" s="1397"/>
      <c r="O24" s="1333"/>
      <c r="P24" s="1395"/>
      <c r="Q24" s="1376"/>
      <c r="R24" s="1385"/>
      <c r="S24" s="1396"/>
      <c r="T24" s="1397"/>
      <c r="U24" s="1325"/>
      <c r="V24" s="1395"/>
      <c r="W24" s="1376"/>
      <c r="X24" s="1376"/>
      <c r="Y24" s="1376"/>
      <c r="Z24" s="1396"/>
      <c r="AA24" s="1396"/>
      <c r="AB24" s="1397"/>
      <c r="AD24" s="1395"/>
      <c r="AE24" s="1376"/>
      <c r="AF24" s="1376"/>
      <c r="AG24" s="1376"/>
      <c r="AH24" s="1396"/>
      <c r="AI24" s="1396"/>
      <c r="AJ24" s="1397"/>
      <c r="AK24" s="1335"/>
      <c r="AL24" s="1395"/>
      <c r="AM24" s="1376"/>
      <c r="AN24" s="1383"/>
      <c r="AO24" s="1385"/>
      <c r="AP24" s="1396"/>
      <c r="AQ24" s="1396"/>
      <c r="AR24" s="1397"/>
      <c r="AS24" s="1399"/>
      <c r="AT24" s="1395"/>
      <c r="AU24" s="1376"/>
      <c r="AV24" s="1383"/>
      <c r="AW24" s="1385"/>
      <c r="AX24" s="1396"/>
      <c r="AY24" s="1396"/>
      <c r="AZ24" s="1397"/>
      <c r="BA24" s="1333"/>
      <c r="BB24" s="1395"/>
      <c r="BC24" s="1376"/>
      <c r="BD24" s="1383"/>
      <c r="BE24" s="1385"/>
      <c r="BF24" s="1396"/>
      <c r="BG24" s="1396"/>
      <c r="BH24" s="1397"/>
      <c r="BI24" s="1333"/>
      <c r="BJ24" s="1395"/>
      <c r="BK24" s="1376"/>
      <c r="BL24" s="1383"/>
      <c r="BM24" s="1383"/>
      <c r="BN24" s="1383"/>
      <c r="BO24" s="1396"/>
      <c r="BP24" s="1396"/>
      <c r="BQ24" s="1397"/>
      <c r="BR24" s="248"/>
      <c r="BS24" s="1395"/>
      <c r="BT24" s="1376"/>
      <c r="BU24" s="1383"/>
      <c r="BV24" s="1383"/>
      <c r="BW24" s="1396"/>
      <c r="BX24" s="1396"/>
      <c r="BY24" s="1397"/>
      <c r="CA24" s="1395"/>
      <c r="CB24" s="1376"/>
      <c r="CC24" s="1383"/>
      <c r="CD24" s="1383"/>
      <c r="CE24" s="1396"/>
      <c r="CF24" s="1396"/>
      <c r="CG24" s="1397"/>
      <c r="CI24" s="1395"/>
      <c r="CJ24" s="1376"/>
      <c r="CK24" s="1383"/>
      <c r="CL24" s="1383"/>
      <c r="CM24" s="1396"/>
      <c r="CN24" s="1396"/>
      <c r="CO24" s="1397"/>
      <c r="CP24" s="1370"/>
      <c r="CQ24" s="1400"/>
      <c r="CR24" s="1400"/>
      <c r="CS24" s="1400"/>
      <c r="CT24" s="1400"/>
      <c r="CU24" s="1401" t="n">
        <f aca="false">CQ24-CS24</f>
        <v>0</v>
      </c>
      <c r="CV24" s="1401"/>
      <c r="CW24" s="1402" t="str">
        <f aca="false">IFERROR(CQ24/CR24-1,"-")</f>
        <v>-</v>
      </c>
      <c r="CY24" s="1400"/>
      <c r="CZ24" s="1400"/>
      <c r="DA24" s="1400"/>
      <c r="DB24" s="1400"/>
      <c r="DC24" s="1400"/>
      <c r="DD24" s="1403" t="e">
        <f aca="false">CY24/$DC24-1</f>
        <v>#DIV/0!</v>
      </c>
      <c r="DE24" s="1401" t="e">
        <f aca="false">CZ24/$DC24-1</f>
        <v>#DIV/0!</v>
      </c>
      <c r="DF24" s="1401" t="e">
        <f aca="false">DA24/$DC24-1</f>
        <v>#DIV/0!</v>
      </c>
      <c r="DG24" s="1401" t="e">
        <f aca="false">DB24/$DC24-1</f>
        <v>#DIV/0!</v>
      </c>
    </row>
    <row r="25" customFormat="false" ht="15" hidden="false" customHeight="false" outlineLevel="0" collapsed="false">
      <c r="A25" s="1405"/>
      <c r="B25" s="1406" t="s">
        <v>945</v>
      </c>
      <c r="C25" s="1333"/>
      <c r="D25" s="1407"/>
      <c r="E25" s="1408"/>
      <c r="F25" s="1408"/>
      <c r="G25" s="1409"/>
      <c r="H25" s="1410"/>
      <c r="I25" s="1333"/>
      <c r="J25" s="1407"/>
      <c r="K25" s="1408"/>
      <c r="L25" s="1408"/>
      <c r="M25" s="1409"/>
      <c r="N25" s="1410"/>
      <c r="O25" s="1333"/>
      <c r="P25" s="1407"/>
      <c r="Q25" s="1408"/>
      <c r="R25" s="1411"/>
      <c r="S25" s="1409"/>
      <c r="T25" s="1410"/>
      <c r="U25" s="1325"/>
      <c r="V25" s="1407"/>
      <c r="W25" s="1408"/>
      <c r="X25" s="1408"/>
      <c r="Y25" s="1408"/>
      <c r="Z25" s="1409"/>
      <c r="AA25" s="1409"/>
      <c r="AB25" s="1410"/>
      <c r="AD25" s="1407"/>
      <c r="AE25" s="1408"/>
      <c r="AF25" s="1408"/>
      <c r="AG25" s="1408"/>
      <c r="AH25" s="1409"/>
      <c r="AI25" s="1409"/>
      <c r="AJ25" s="1410"/>
      <c r="AK25" s="1335"/>
      <c r="AL25" s="1407"/>
      <c r="AM25" s="1408"/>
      <c r="AN25" s="1408"/>
      <c r="AO25" s="1411"/>
      <c r="AP25" s="1409"/>
      <c r="AQ25" s="1409"/>
      <c r="AR25" s="1410"/>
      <c r="AS25" s="1399"/>
      <c r="AT25" s="1407"/>
      <c r="AU25" s="1408"/>
      <c r="AV25" s="1408"/>
      <c r="AW25" s="1411"/>
      <c r="AX25" s="1409"/>
      <c r="AY25" s="1409"/>
      <c r="AZ25" s="1410"/>
      <c r="BA25" s="1333"/>
      <c r="BB25" s="1407"/>
      <c r="BC25" s="1408"/>
      <c r="BD25" s="1408"/>
      <c r="BE25" s="1411"/>
      <c r="BF25" s="1409"/>
      <c r="BG25" s="1409"/>
      <c r="BH25" s="1410"/>
      <c r="BI25" s="1333"/>
      <c r="BJ25" s="1407"/>
      <c r="BK25" s="1408"/>
      <c r="BL25" s="1408"/>
      <c r="BM25" s="1408"/>
      <c r="BN25" s="1408"/>
      <c r="BO25" s="1409"/>
      <c r="BP25" s="1409"/>
      <c r="BQ25" s="1410"/>
      <c r="BR25" s="248"/>
      <c r="BS25" s="1407"/>
      <c r="BT25" s="1408"/>
      <c r="BU25" s="1408"/>
      <c r="BV25" s="1408"/>
      <c r="BW25" s="1409"/>
      <c r="BX25" s="1409"/>
      <c r="BY25" s="1410"/>
      <c r="CA25" s="1407"/>
      <c r="CB25" s="1408"/>
      <c r="CC25" s="1408"/>
      <c r="CD25" s="1408"/>
      <c r="CE25" s="1409"/>
      <c r="CF25" s="1409"/>
      <c r="CG25" s="1410"/>
      <c r="CI25" s="1407"/>
      <c r="CJ25" s="1408"/>
      <c r="CK25" s="1408"/>
      <c r="CL25" s="1408"/>
      <c r="CM25" s="1409"/>
      <c r="CN25" s="1409"/>
      <c r="CO25" s="1410"/>
      <c r="CP25" s="1370"/>
      <c r="CQ25" s="1412"/>
      <c r="CR25" s="1412"/>
      <c r="CS25" s="1412"/>
      <c r="CT25" s="1412"/>
      <c r="CU25" s="1413" t="n">
        <f aca="false">CQ25-CS25</f>
        <v>0</v>
      </c>
      <c r="CV25" s="1413"/>
      <c r="CW25" s="1414" t="str">
        <f aca="false">IFERROR(CQ25/CR25-1,"-")</f>
        <v>-</v>
      </c>
      <c r="CY25" s="1412"/>
      <c r="CZ25" s="1412"/>
      <c r="DA25" s="1412"/>
      <c r="DB25" s="1412"/>
      <c r="DC25" s="1412"/>
      <c r="DD25" s="1415" t="e">
        <f aca="false">CY25/$DC25-1</f>
        <v>#DIV/0!</v>
      </c>
      <c r="DE25" s="1413" t="e">
        <f aca="false">CZ25/$DC25-1</f>
        <v>#DIV/0!</v>
      </c>
      <c r="DF25" s="1413" t="e">
        <f aca="false">DA25/$DC25-1</f>
        <v>#DIV/0!</v>
      </c>
      <c r="DG25" s="1413" t="e">
        <f aca="false">DB25/$DC25-1</f>
        <v>#DIV/0!</v>
      </c>
    </row>
    <row r="26" s="1422" customFormat="true" ht="15" hidden="false" customHeight="false" outlineLevel="0" collapsed="false">
      <c r="A26" s="1416"/>
      <c r="B26" s="1416"/>
      <c r="C26" s="1416"/>
      <c r="D26" s="1417"/>
      <c r="E26" s="1417"/>
      <c r="F26" s="1417"/>
      <c r="G26" s="1417"/>
      <c r="H26" s="1417"/>
      <c r="I26" s="1416"/>
      <c r="J26" s="1417"/>
      <c r="K26" s="1417"/>
      <c r="L26" s="1417"/>
      <c r="M26" s="1417"/>
      <c r="N26" s="1417"/>
      <c r="O26" s="1416"/>
      <c r="P26" s="1417"/>
      <c r="Q26" s="1417"/>
      <c r="R26" s="1417"/>
      <c r="S26" s="1417"/>
      <c r="T26" s="1417"/>
      <c r="U26" s="1418"/>
      <c r="V26" s="1417"/>
      <c r="W26" s="1417"/>
      <c r="X26" s="1417"/>
      <c r="Y26" s="1417"/>
      <c r="Z26" s="1417"/>
      <c r="AA26" s="1417"/>
      <c r="AB26" s="1417"/>
      <c r="AC26" s="297"/>
      <c r="AD26" s="1417"/>
      <c r="AE26" s="1417"/>
      <c r="AF26" s="1417"/>
      <c r="AG26" s="1417"/>
      <c r="AH26" s="1417"/>
      <c r="AI26" s="1417"/>
      <c r="AJ26" s="1417"/>
      <c r="AK26" s="1416"/>
      <c r="AL26" s="1417"/>
      <c r="AM26" s="1417"/>
      <c r="AN26" s="1417"/>
      <c r="AO26" s="1419"/>
      <c r="AP26" s="1417"/>
      <c r="AQ26" s="1417"/>
      <c r="AR26" s="1417"/>
      <c r="AS26" s="1420"/>
      <c r="AT26" s="1417"/>
      <c r="AU26" s="1417"/>
      <c r="AV26" s="1417"/>
      <c r="AW26" s="1419"/>
      <c r="AX26" s="1417"/>
      <c r="AY26" s="1417"/>
      <c r="AZ26" s="1417"/>
      <c r="BA26" s="1416"/>
      <c r="BB26" s="1417"/>
      <c r="BC26" s="1417"/>
      <c r="BD26" s="1417"/>
      <c r="BE26" s="1419"/>
      <c r="BF26" s="1417"/>
      <c r="BG26" s="1417"/>
      <c r="BH26" s="1417"/>
      <c r="BI26" s="1416"/>
      <c r="BJ26" s="1417"/>
      <c r="BK26" s="1417"/>
      <c r="BL26" s="1417"/>
      <c r="BM26" s="1417"/>
      <c r="BN26" s="1417"/>
      <c r="BO26" s="1417"/>
      <c r="BP26" s="1417"/>
      <c r="BQ26" s="1417"/>
      <c r="BR26" s="297"/>
      <c r="BS26" s="1417"/>
      <c r="BT26" s="1417"/>
      <c r="BU26" s="1417"/>
      <c r="BV26" s="1417"/>
      <c r="BW26" s="1417"/>
      <c r="BX26" s="1417"/>
      <c r="BY26" s="1417"/>
      <c r="BZ26" s="297"/>
      <c r="CA26" s="1417"/>
      <c r="CB26" s="1417"/>
      <c r="CC26" s="1417"/>
      <c r="CD26" s="1417"/>
      <c r="CE26" s="1417"/>
      <c r="CF26" s="1417"/>
      <c r="CG26" s="1417"/>
      <c r="CH26" s="297"/>
      <c r="CI26" s="1417"/>
      <c r="CJ26" s="1417"/>
      <c r="CK26" s="1417"/>
      <c r="CL26" s="1417"/>
      <c r="CM26" s="1417"/>
      <c r="CN26" s="1417"/>
      <c r="CO26" s="1417"/>
      <c r="CP26" s="1421"/>
      <c r="CQ26" s="1417"/>
      <c r="CR26" s="1417"/>
      <c r="CS26" s="1417"/>
      <c r="CT26" s="1417"/>
      <c r="CU26" s="1417"/>
      <c r="CV26" s="1417"/>
      <c r="CW26" s="1417" t="str">
        <f aca="false">IFERROR(CQ26/CR26-1,"-")</f>
        <v>-</v>
      </c>
      <c r="CY26" s="1417"/>
      <c r="CZ26" s="1417"/>
      <c r="DA26" s="1417"/>
      <c r="DB26" s="1417"/>
      <c r="DC26" s="1417"/>
      <c r="DD26" s="1423"/>
      <c r="DE26" s="1417"/>
      <c r="DF26" s="1417"/>
      <c r="DG26" s="1417"/>
    </row>
    <row r="27" customFormat="false" ht="15" hidden="false" customHeight="false" outlineLevel="0" collapsed="false">
      <c r="A27" s="1362" t="s">
        <v>21</v>
      </c>
      <c r="B27" s="1362"/>
      <c r="C27" s="1333"/>
      <c r="D27" s="1363"/>
      <c r="E27" s="1363"/>
      <c r="F27" s="1363"/>
      <c r="G27" s="1365"/>
      <c r="H27" s="1366"/>
      <c r="I27" s="1333"/>
      <c r="J27" s="1363"/>
      <c r="K27" s="1364"/>
      <c r="L27" s="1364"/>
      <c r="M27" s="1365"/>
      <c r="N27" s="1366"/>
      <c r="O27" s="1404"/>
      <c r="P27" s="1363"/>
      <c r="Q27" s="1364"/>
      <c r="R27" s="1367"/>
      <c r="S27" s="1365"/>
      <c r="T27" s="1366"/>
      <c r="U27" s="1358"/>
      <c r="V27" s="1363"/>
      <c r="W27" s="1364"/>
      <c r="X27" s="1367"/>
      <c r="Y27" s="1367"/>
      <c r="Z27" s="1365"/>
      <c r="AA27" s="1365"/>
      <c r="AB27" s="1366"/>
      <c r="AD27" s="1363"/>
      <c r="AE27" s="1364"/>
      <c r="AF27" s="1367"/>
      <c r="AG27" s="1367"/>
      <c r="AH27" s="1365"/>
      <c r="AI27" s="1365"/>
      <c r="AJ27" s="1366"/>
      <c r="AK27" s="1424"/>
      <c r="AL27" s="1363"/>
      <c r="AM27" s="1367"/>
      <c r="AN27" s="1367"/>
      <c r="AO27" s="1367"/>
      <c r="AP27" s="1365"/>
      <c r="AQ27" s="1365"/>
      <c r="AR27" s="1366"/>
      <c r="AS27" s="1404"/>
      <c r="AT27" s="1363"/>
      <c r="AU27" s="1367"/>
      <c r="AV27" s="1367"/>
      <c r="AW27" s="1367"/>
      <c r="AX27" s="1365"/>
      <c r="AY27" s="1365"/>
      <c r="AZ27" s="1366"/>
      <c r="BA27" s="1404"/>
      <c r="BB27" s="1363"/>
      <c r="BC27" s="1367"/>
      <c r="BD27" s="1367"/>
      <c r="BE27" s="1367"/>
      <c r="BF27" s="1365"/>
      <c r="BG27" s="1365"/>
      <c r="BH27" s="1366"/>
      <c r="BI27" s="1404"/>
      <c r="BJ27" s="1363"/>
      <c r="BK27" s="1367"/>
      <c r="BL27" s="1367"/>
      <c r="BM27" s="1367"/>
      <c r="BN27" s="1367"/>
      <c r="BO27" s="1365"/>
      <c r="BP27" s="1365"/>
      <c r="BQ27" s="1366"/>
      <c r="BR27" s="1398"/>
      <c r="BS27" s="1363"/>
      <c r="BT27" s="1367"/>
      <c r="BU27" s="1367"/>
      <c r="BV27" s="1367"/>
      <c r="BW27" s="1365"/>
      <c r="BX27" s="1365"/>
      <c r="BY27" s="1366"/>
      <c r="BZ27" s="1425"/>
      <c r="CA27" s="1363"/>
      <c r="CB27" s="1367"/>
      <c r="CC27" s="1367"/>
      <c r="CD27" s="1367"/>
      <c r="CE27" s="1365"/>
      <c r="CF27" s="1365"/>
      <c r="CG27" s="1366"/>
      <c r="CI27" s="1363"/>
      <c r="CJ27" s="1367"/>
      <c r="CK27" s="1367"/>
      <c r="CL27" s="1367"/>
      <c r="CM27" s="1365"/>
      <c r="CN27" s="1365"/>
      <c r="CO27" s="1366"/>
      <c r="CP27" s="1370"/>
      <c r="CQ27" s="1371"/>
      <c r="CR27" s="1371"/>
      <c r="CS27" s="1371"/>
      <c r="CT27" s="1371"/>
      <c r="CU27" s="1372" t="n">
        <f aca="false">CQ27-CS27</f>
        <v>0</v>
      </c>
      <c r="CV27" s="1372"/>
      <c r="CW27" s="1373" t="str">
        <f aca="false">IFERROR(CQ27/CR27-1,"-")</f>
        <v>-</v>
      </c>
      <c r="CY27" s="1371"/>
      <c r="CZ27" s="1371"/>
      <c r="DA27" s="1371"/>
      <c r="DB27" s="1371"/>
      <c r="DC27" s="1371"/>
      <c r="DD27" s="1374" t="e">
        <f aca="false">CY27/$DC27-1</f>
        <v>#DIV/0!</v>
      </c>
      <c r="DE27" s="1372" t="e">
        <f aca="false">CZ27/$DC27-1</f>
        <v>#DIV/0!</v>
      </c>
      <c r="DF27" s="1372" t="e">
        <f aca="false">DA27/$DC27-1</f>
        <v>#DIV/0!</v>
      </c>
      <c r="DG27" s="1372" t="e">
        <f aca="false">DB27/$DC27-1</f>
        <v>#DIV/0!</v>
      </c>
    </row>
    <row r="28" customFormat="false" ht="15" hidden="false" customHeight="false" outlineLevel="0" collapsed="false">
      <c r="A28" s="1426"/>
      <c r="B28" s="1427" t="s">
        <v>935</v>
      </c>
      <c r="C28" s="1333"/>
      <c r="D28" s="1428"/>
      <c r="E28" s="1429"/>
      <c r="F28" s="1376"/>
      <c r="G28" s="1430"/>
      <c r="H28" s="1431"/>
      <c r="I28" s="1333"/>
      <c r="J28" s="1428"/>
      <c r="K28" s="1429"/>
      <c r="L28" s="1376"/>
      <c r="M28" s="1430"/>
      <c r="N28" s="1431"/>
      <c r="O28" s="1333"/>
      <c r="P28" s="1428"/>
      <c r="Q28" s="1429"/>
      <c r="R28" s="1378"/>
      <c r="S28" s="1430"/>
      <c r="T28" s="1431"/>
      <c r="U28" s="1432"/>
      <c r="V28" s="1428"/>
      <c r="W28" s="1429"/>
      <c r="X28" s="1429"/>
      <c r="Y28" s="1429"/>
      <c r="Z28" s="1430"/>
      <c r="AA28" s="1430"/>
      <c r="AB28" s="1431"/>
      <c r="AD28" s="1428"/>
      <c r="AE28" s="1429"/>
      <c r="AF28" s="1429"/>
      <c r="AG28" s="1429"/>
      <c r="AH28" s="1430"/>
      <c r="AI28" s="1430"/>
      <c r="AJ28" s="1431"/>
      <c r="AK28" s="1335"/>
      <c r="AL28" s="1428"/>
      <c r="AM28" s="1429"/>
      <c r="AN28" s="1376"/>
      <c r="AO28" s="1378"/>
      <c r="AP28" s="1430"/>
      <c r="AQ28" s="1430"/>
      <c r="AR28" s="1431"/>
      <c r="AS28" s="1399"/>
      <c r="AT28" s="1428"/>
      <c r="AU28" s="1429"/>
      <c r="AV28" s="1376"/>
      <c r="AW28" s="1378"/>
      <c r="AX28" s="1430"/>
      <c r="AY28" s="1430"/>
      <c r="AZ28" s="1431"/>
      <c r="BB28" s="1428"/>
      <c r="BC28" s="1429"/>
      <c r="BD28" s="1376"/>
      <c r="BE28" s="1378"/>
      <c r="BF28" s="1430"/>
      <c r="BG28" s="1430"/>
      <c r="BH28" s="1431"/>
      <c r="BJ28" s="1428"/>
      <c r="BK28" s="1429"/>
      <c r="BL28" s="1376"/>
      <c r="BM28" s="1376"/>
      <c r="BN28" s="1376"/>
      <c r="BO28" s="1430"/>
      <c r="BP28" s="1430"/>
      <c r="BQ28" s="1431"/>
      <c r="BR28" s="248"/>
      <c r="BS28" s="1428"/>
      <c r="BT28" s="1429"/>
      <c r="BU28" s="1376"/>
      <c r="BV28" s="1376"/>
      <c r="BW28" s="1430"/>
      <c r="BX28" s="1430"/>
      <c r="BY28" s="1431"/>
      <c r="BZ28" s="1433"/>
      <c r="CA28" s="1428"/>
      <c r="CB28" s="1429"/>
      <c r="CC28" s="1376"/>
      <c r="CD28" s="1376"/>
      <c r="CE28" s="1430"/>
      <c r="CF28" s="1430"/>
      <c r="CG28" s="1431"/>
      <c r="CI28" s="1428"/>
      <c r="CJ28" s="1429"/>
      <c r="CK28" s="1376"/>
      <c r="CL28" s="1376"/>
      <c r="CM28" s="1430"/>
      <c r="CN28" s="1430"/>
      <c r="CO28" s="1431"/>
      <c r="CP28" s="1370"/>
      <c r="CQ28" s="1434"/>
      <c r="CR28" s="1434"/>
      <c r="CS28" s="1434"/>
      <c r="CT28" s="1434"/>
      <c r="CU28" s="1435" t="n">
        <f aca="false">CQ28-CS28</f>
        <v>0</v>
      </c>
      <c r="CV28" s="1435"/>
      <c r="CW28" s="1436" t="str">
        <f aca="false">IFERROR(CQ28/CR28-1,"-")</f>
        <v>-</v>
      </c>
      <c r="CY28" s="1434"/>
      <c r="CZ28" s="1434"/>
      <c r="DA28" s="1434"/>
      <c r="DB28" s="1434"/>
      <c r="DC28" s="1434"/>
      <c r="DD28" s="1437" t="e">
        <f aca="false">CY28/$DC28-1</f>
        <v>#DIV/0!</v>
      </c>
      <c r="DE28" s="1435" t="e">
        <f aca="false">CZ28/$DC28-1</f>
        <v>#DIV/0!</v>
      </c>
      <c r="DF28" s="1435" t="e">
        <f aca="false">DA28/$DC28-1</f>
        <v>#DIV/0!</v>
      </c>
      <c r="DG28" s="1435" t="e">
        <f aca="false">DB28/$DC28-1</f>
        <v>#DIV/0!</v>
      </c>
    </row>
    <row r="29" customFormat="false" ht="15" hidden="false" customHeight="false" outlineLevel="0" collapsed="false">
      <c r="A29" s="1393"/>
      <c r="B29" s="1394" t="s">
        <v>936</v>
      </c>
      <c r="C29" s="1333"/>
      <c r="D29" s="1395"/>
      <c r="E29" s="1376"/>
      <c r="F29" s="1376"/>
      <c r="G29" s="1396"/>
      <c r="H29" s="1397"/>
      <c r="I29" s="1333"/>
      <c r="J29" s="1395"/>
      <c r="K29" s="1376"/>
      <c r="L29" s="1376"/>
      <c r="M29" s="1396"/>
      <c r="N29" s="1397"/>
      <c r="O29" s="1404"/>
      <c r="P29" s="1395"/>
      <c r="Q29" s="1376"/>
      <c r="R29" s="1378"/>
      <c r="S29" s="1396"/>
      <c r="T29" s="1397"/>
      <c r="U29" s="1325"/>
      <c r="V29" s="1395"/>
      <c r="W29" s="1376"/>
      <c r="X29" s="1376"/>
      <c r="Y29" s="1376"/>
      <c r="Z29" s="1396"/>
      <c r="AA29" s="1396"/>
      <c r="AB29" s="1397"/>
      <c r="AC29" s="1438"/>
      <c r="AD29" s="1395"/>
      <c r="AE29" s="1376"/>
      <c r="AF29" s="1376"/>
      <c r="AG29" s="1376"/>
      <c r="AH29" s="1396"/>
      <c r="AI29" s="1396"/>
      <c r="AJ29" s="1397"/>
      <c r="AK29" s="1335"/>
      <c r="AL29" s="1395"/>
      <c r="AM29" s="1376"/>
      <c r="AN29" s="1376"/>
      <c r="AO29" s="1378"/>
      <c r="AP29" s="1396"/>
      <c r="AQ29" s="1396"/>
      <c r="AR29" s="1397"/>
      <c r="AS29" s="1399"/>
      <c r="AT29" s="1395"/>
      <c r="AU29" s="1376"/>
      <c r="AV29" s="1376"/>
      <c r="AW29" s="1378"/>
      <c r="AX29" s="1396"/>
      <c r="AY29" s="1396"/>
      <c r="AZ29" s="1397"/>
      <c r="BB29" s="1395"/>
      <c r="BC29" s="1376"/>
      <c r="BD29" s="1376"/>
      <c r="BE29" s="1378"/>
      <c r="BF29" s="1396"/>
      <c r="BG29" s="1396"/>
      <c r="BH29" s="1397"/>
      <c r="BI29" s="248"/>
      <c r="BJ29" s="1395"/>
      <c r="BK29" s="1376"/>
      <c r="BL29" s="1376"/>
      <c r="BM29" s="1376"/>
      <c r="BN29" s="1376"/>
      <c r="BO29" s="1396"/>
      <c r="BP29" s="1396"/>
      <c r="BQ29" s="1397"/>
      <c r="BR29" s="248"/>
      <c r="BS29" s="1395"/>
      <c r="BT29" s="1376"/>
      <c r="BU29" s="1376"/>
      <c r="BV29" s="1376"/>
      <c r="BW29" s="1396"/>
      <c r="BX29" s="1396"/>
      <c r="BY29" s="1397"/>
      <c r="CA29" s="1395"/>
      <c r="CB29" s="1376"/>
      <c r="CC29" s="1376"/>
      <c r="CD29" s="1376"/>
      <c r="CE29" s="1396"/>
      <c r="CF29" s="1396"/>
      <c r="CG29" s="1397"/>
      <c r="CI29" s="1395"/>
      <c r="CJ29" s="1378"/>
      <c r="CK29" s="1376"/>
      <c r="CL29" s="1376"/>
      <c r="CM29" s="1396"/>
      <c r="CN29" s="1396"/>
      <c r="CO29" s="1397"/>
      <c r="CP29" s="1370"/>
      <c r="CQ29" s="1434"/>
      <c r="CR29" s="1434"/>
      <c r="CS29" s="1434"/>
      <c r="CT29" s="1434"/>
      <c r="CU29" s="1401" t="n">
        <f aca="false">CQ29-CS29</f>
        <v>0</v>
      </c>
      <c r="CV29" s="1401"/>
      <c r="CW29" s="1402" t="str">
        <f aca="false">IFERROR(CQ29/CR29-1,"-")</f>
        <v>-</v>
      </c>
      <c r="CY29" s="1434"/>
      <c r="CZ29" s="1434"/>
      <c r="DA29" s="1434"/>
      <c r="DB29" s="1434"/>
      <c r="DC29" s="1434"/>
      <c r="DD29" s="1403" t="e">
        <f aca="false">CY29/$DC29-1</f>
        <v>#DIV/0!</v>
      </c>
      <c r="DE29" s="1401" t="e">
        <f aca="false">CZ29/$DC29-1</f>
        <v>#DIV/0!</v>
      </c>
      <c r="DF29" s="1401" t="e">
        <f aca="false">DA29/$DC29-1</f>
        <v>#DIV/0!</v>
      </c>
      <c r="DG29" s="1401" t="e">
        <f aca="false">DB29/$DC29-1</f>
        <v>#DIV/0!</v>
      </c>
    </row>
    <row r="30" customFormat="false" ht="15" hidden="false" customHeight="false" outlineLevel="0" collapsed="false">
      <c r="A30" s="1393"/>
      <c r="B30" s="1394" t="s">
        <v>937</v>
      </c>
      <c r="C30" s="1333"/>
      <c r="D30" s="1395"/>
      <c r="E30" s="1376"/>
      <c r="F30" s="1376"/>
      <c r="G30" s="1396"/>
      <c r="H30" s="1397"/>
      <c r="I30" s="1333"/>
      <c r="J30" s="1395"/>
      <c r="K30" s="1376"/>
      <c r="L30" s="1376"/>
      <c r="M30" s="1396"/>
      <c r="N30" s="1397"/>
      <c r="O30" s="1333"/>
      <c r="P30" s="1395"/>
      <c r="Q30" s="1376"/>
      <c r="R30" s="1378"/>
      <c r="S30" s="1396"/>
      <c r="T30" s="1397"/>
      <c r="U30" s="1325"/>
      <c r="V30" s="1395"/>
      <c r="W30" s="1376"/>
      <c r="X30" s="1376"/>
      <c r="Y30" s="1376"/>
      <c r="Z30" s="1396"/>
      <c r="AA30" s="1396"/>
      <c r="AB30" s="1397"/>
      <c r="AD30" s="1395"/>
      <c r="AE30" s="1376"/>
      <c r="AF30" s="1376"/>
      <c r="AG30" s="1376"/>
      <c r="AH30" s="1396"/>
      <c r="AI30" s="1396"/>
      <c r="AJ30" s="1397"/>
      <c r="AK30" s="1335"/>
      <c r="AL30" s="1395"/>
      <c r="AM30" s="1376"/>
      <c r="AN30" s="1376"/>
      <c r="AO30" s="1378"/>
      <c r="AP30" s="1396"/>
      <c r="AQ30" s="1396"/>
      <c r="AR30" s="1397"/>
      <c r="AS30" s="1399"/>
      <c r="AT30" s="1395"/>
      <c r="AU30" s="1376"/>
      <c r="AV30" s="1376"/>
      <c r="AW30" s="1378"/>
      <c r="AX30" s="1396"/>
      <c r="AY30" s="1396"/>
      <c r="AZ30" s="1397"/>
      <c r="BA30" s="1333"/>
      <c r="BB30" s="1395"/>
      <c r="BC30" s="1376"/>
      <c r="BD30" s="1376"/>
      <c r="BE30" s="1378"/>
      <c r="BF30" s="1396"/>
      <c r="BG30" s="1396"/>
      <c r="BH30" s="1397"/>
      <c r="BI30" s="248"/>
      <c r="BJ30" s="1395"/>
      <c r="BK30" s="1376"/>
      <c r="BL30" s="1376"/>
      <c r="BM30" s="1376"/>
      <c r="BN30" s="1376"/>
      <c r="BO30" s="1396"/>
      <c r="BP30" s="1396"/>
      <c r="BQ30" s="1397"/>
      <c r="BR30" s="248"/>
      <c r="BS30" s="1395"/>
      <c r="BT30" s="1376"/>
      <c r="BU30" s="1376"/>
      <c r="BV30" s="1376"/>
      <c r="BW30" s="1396"/>
      <c r="BX30" s="1396"/>
      <c r="BY30" s="1397"/>
      <c r="CA30" s="1395"/>
      <c r="CB30" s="1376"/>
      <c r="CC30" s="1376"/>
      <c r="CD30" s="1376"/>
      <c r="CE30" s="1396"/>
      <c r="CF30" s="1396"/>
      <c r="CG30" s="1397"/>
      <c r="CI30" s="1395"/>
      <c r="CJ30" s="1378"/>
      <c r="CK30" s="1376"/>
      <c r="CL30" s="1376"/>
      <c r="CM30" s="1396"/>
      <c r="CN30" s="1396"/>
      <c r="CO30" s="1397"/>
      <c r="CP30" s="1370"/>
      <c r="CQ30" s="1434"/>
      <c r="CR30" s="1434"/>
      <c r="CS30" s="1434"/>
      <c r="CT30" s="1434"/>
      <c r="CU30" s="1401" t="n">
        <f aca="false">CQ30-CS30</f>
        <v>0</v>
      </c>
      <c r="CV30" s="1401"/>
      <c r="CW30" s="1402" t="str">
        <f aca="false">IFERROR(CQ30/CR30-1,"-")</f>
        <v>-</v>
      </c>
      <c r="CY30" s="1434"/>
      <c r="CZ30" s="1434"/>
      <c r="DA30" s="1434"/>
      <c r="DB30" s="1434"/>
      <c r="DC30" s="1434"/>
      <c r="DD30" s="1403" t="e">
        <f aca="false">CY30/$DC30-1</f>
        <v>#DIV/0!</v>
      </c>
      <c r="DE30" s="1401" t="e">
        <f aca="false">CZ30/$DC30-1</f>
        <v>#DIV/0!</v>
      </c>
      <c r="DF30" s="1401" t="e">
        <f aca="false">DA30/$DC30-1</f>
        <v>#DIV/0!</v>
      </c>
      <c r="DG30" s="1401" t="e">
        <f aca="false">DB30/$DC30-1</f>
        <v>#DIV/0!</v>
      </c>
    </row>
    <row r="31" customFormat="false" ht="15" hidden="false" customHeight="false" outlineLevel="0" collapsed="false">
      <c r="A31" s="1393"/>
      <c r="B31" s="1394" t="s">
        <v>938</v>
      </c>
      <c r="C31" s="1333"/>
      <c r="D31" s="1395"/>
      <c r="E31" s="1376"/>
      <c r="F31" s="1376"/>
      <c r="G31" s="1396"/>
      <c r="H31" s="1397"/>
      <c r="I31" s="1333"/>
      <c r="J31" s="1395"/>
      <c r="K31" s="1376"/>
      <c r="L31" s="1376"/>
      <c r="M31" s="1396"/>
      <c r="N31" s="1397"/>
      <c r="O31" s="1333"/>
      <c r="P31" s="1395"/>
      <c r="Q31" s="1376"/>
      <c r="R31" s="1378"/>
      <c r="S31" s="1396"/>
      <c r="T31" s="1397"/>
      <c r="U31" s="1325"/>
      <c r="V31" s="1395"/>
      <c r="W31" s="1376"/>
      <c r="X31" s="1376"/>
      <c r="Y31" s="1376"/>
      <c r="Z31" s="1396"/>
      <c r="AA31" s="1396"/>
      <c r="AB31" s="1397"/>
      <c r="AD31" s="1395"/>
      <c r="AE31" s="1376"/>
      <c r="AF31" s="1376"/>
      <c r="AG31" s="1376"/>
      <c r="AH31" s="1396"/>
      <c r="AI31" s="1396"/>
      <c r="AJ31" s="1397"/>
      <c r="AK31" s="1335"/>
      <c r="AL31" s="1395"/>
      <c r="AM31" s="1376"/>
      <c r="AN31" s="1376"/>
      <c r="AO31" s="1378"/>
      <c r="AP31" s="1396"/>
      <c r="AQ31" s="1396"/>
      <c r="AR31" s="1397"/>
      <c r="AS31" s="1399"/>
      <c r="AT31" s="1395"/>
      <c r="AU31" s="1376"/>
      <c r="AV31" s="1376"/>
      <c r="AW31" s="1378"/>
      <c r="AX31" s="1396"/>
      <c r="AY31" s="1396"/>
      <c r="AZ31" s="1397"/>
      <c r="BA31" s="1333"/>
      <c r="BB31" s="1395"/>
      <c r="BC31" s="1376"/>
      <c r="BD31" s="1376"/>
      <c r="BE31" s="1378"/>
      <c r="BF31" s="1396"/>
      <c r="BG31" s="1396"/>
      <c r="BH31" s="1397"/>
      <c r="BI31" s="248"/>
      <c r="BJ31" s="1395"/>
      <c r="BK31" s="1376"/>
      <c r="BL31" s="1376"/>
      <c r="BM31" s="1376"/>
      <c r="BN31" s="1376"/>
      <c r="BO31" s="1396"/>
      <c r="BP31" s="1396"/>
      <c r="BQ31" s="1397"/>
      <c r="BR31" s="248"/>
      <c r="BS31" s="1395"/>
      <c r="BT31" s="1376"/>
      <c r="BU31" s="1376"/>
      <c r="BV31" s="1376"/>
      <c r="BW31" s="1396"/>
      <c r="BX31" s="1396"/>
      <c r="BY31" s="1397"/>
      <c r="CA31" s="1439"/>
      <c r="CB31" s="1376"/>
      <c r="CC31" s="1376"/>
      <c r="CD31" s="1376"/>
      <c r="CE31" s="1396"/>
      <c r="CF31" s="1396"/>
      <c r="CG31" s="1397"/>
      <c r="CI31" s="1439"/>
      <c r="CJ31" s="1378"/>
      <c r="CK31" s="1376"/>
      <c r="CL31" s="1376"/>
      <c r="CM31" s="1396"/>
      <c r="CN31" s="1396"/>
      <c r="CO31" s="1397"/>
      <c r="CP31" s="1370"/>
      <c r="CQ31" s="1434"/>
      <c r="CR31" s="1434"/>
      <c r="CS31" s="1434"/>
      <c r="CT31" s="1434"/>
      <c r="CU31" s="1401" t="n">
        <f aca="false">CQ31-CS31</f>
        <v>0</v>
      </c>
      <c r="CV31" s="1401"/>
      <c r="CW31" s="1402" t="str">
        <f aca="false">IFERROR(CQ31/CR31-1,"-")</f>
        <v>-</v>
      </c>
      <c r="CY31" s="1434"/>
      <c r="CZ31" s="1434"/>
      <c r="DA31" s="1434"/>
      <c r="DB31" s="1434"/>
      <c r="DC31" s="1434"/>
      <c r="DD31" s="1403" t="e">
        <f aca="false">CY31/$DC31-1</f>
        <v>#DIV/0!</v>
      </c>
      <c r="DE31" s="1401" t="e">
        <f aca="false">CZ31/$DC31-1</f>
        <v>#DIV/0!</v>
      </c>
      <c r="DF31" s="1401" t="e">
        <f aca="false">DA31/$DC31-1</f>
        <v>#DIV/0!</v>
      </c>
      <c r="DG31" s="1401" t="e">
        <f aca="false">DB31/$DC31-1</f>
        <v>#DIV/0!</v>
      </c>
    </row>
    <row r="32" customFormat="false" ht="15" hidden="false" customHeight="false" outlineLevel="0" collapsed="false">
      <c r="A32" s="1393"/>
      <c r="B32" s="1394" t="s">
        <v>946</v>
      </c>
      <c r="C32" s="1333"/>
      <c r="D32" s="1395"/>
      <c r="E32" s="1376"/>
      <c r="F32" s="1376"/>
      <c r="G32" s="1396"/>
      <c r="H32" s="1397"/>
      <c r="I32" s="1333"/>
      <c r="J32" s="1395"/>
      <c r="K32" s="1376"/>
      <c r="L32" s="1376"/>
      <c r="M32" s="1396"/>
      <c r="N32" s="1397"/>
      <c r="O32" s="1333"/>
      <c r="P32" s="1395"/>
      <c r="Q32" s="1376"/>
      <c r="R32" s="1378"/>
      <c r="S32" s="1396"/>
      <c r="T32" s="1397"/>
      <c r="U32" s="1325"/>
      <c r="V32" s="1395"/>
      <c r="W32" s="1376"/>
      <c r="X32" s="1376"/>
      <c r="Y32" s="1376"/>
      <c r="Z32" s="1396"/>
      <c r="AA32" s="1396"/>
      <c r="AB32" s="1397"/>
      <c r="AD32" s="1395"/>
      <c r="AE32" s="1376"/>
      <c r="AF32" s="1376"/>
      <c r="AG32" s="1376"/>
      <c r="AH32" s="1396"/>
      <c r="AI32" s="1396"/>
      <c r="AJ32" s="1397"/>
      <c r="AK32" s="1335"/>
      <c r="AL32" s="1395"/>
      <c r="AM32" s="1376"/>
      <c r="AN32" s="1376"/>
      <c r="AO32" s="1378"/>
      <c r="AP32" s="1396"/>
      <c r="AQ32" s="1396"/>
      <c r="AR32" s="1397"/>
      <c r="AS32" s="1399"/>
      <c r="AT32" s="1395"/>
      <c r="AU32" s="1376"/>
      <c r="AV32" s="1376"/>
      <c r="AW32" s="1378"/>
      <c r="AX32" s="1396"/>
      <c r="AY32" s="1396"/>
      <c r="AZ32" s="1397"/>
      <c r="BA32" s="1333"/>
      <c r="BB32" s="1395"/>
      <c r="BC32" s="1376"/>
      <c r="BD32" s="1376"/>
      <c r="BE32" s="1378"/>
      <c r="BF32" s="1396"/>
      <c r="BG32" s="1396"/>
      <c r="BH32" s="1397"/>
      <c r="BI32" s="248"/>
      <c r="BJ32" s="1395"/>
      <c r="BK32" s="1376"/>
      <c r="BL32" s="1376"/>
      <c r="BM32" s="1376"/>
      <c r="BN32" s="1376"/>
      <c r="BO32" s="1396"/>
      <c r="BP32" s="1396"/>
      <c r="BQ32" s="1397"/>
      <c r="BR32" s="248"/>
      <c r="BS32" s="1395"/>
      <c r="BT32" s="1376"/>
      <c r="BU32" s="1376"/>
      <c r="BV32" s="1376"/>
      <c r="BW32" s="1396"/>
      <c r="BX32" s="1396"/>
      <c r="BY32" s="1397"/>
      <c r="CA32" s="1439"/>
      <c r="CB32" s="1376"/>
      <c r="CC32" s="1376"/>
      <c r="CD32" s="1376"/>
      <c r="CE32" s="1396"/>
      <c r="CF32" s="1396"/>
      <c r="CG32" s="1397"/>
      <c r="CI32" s="1439"/>
      <c r="CJ32" s="1378"/>
      <c r="CK32" s="1376"/>
      <c r="CL32" s="1376"/>
      <c r="CM32" s="1396"/>
      <c r="CN32" s="1396"/>
      <c r="CO32" s="1397"/>
      <c r="CP32" s="1370"/>
      <c r="CQ32" s="1434"/>
      <c r="CR32" s="1434"/>
      <c r="CS32" s="1434"/>
      <c r="CT32" s="1434"/>
      <c r="CU32" s="1401" t="n">
        <f aca="false">CQ32-CS32</f>
        <v>0</v>
      </c>
      <c r="CV32" s="1401"/>
      <c r="CW32" s="1402" t="str">
        <f aca="false">IFERROR(CQ32/CR32-1,"-")</f>
        <v>-</v>
      </c>
      <c r="CY32" s="1434"/>
      <c r="CZ32" s="1434"/>
      <c r="DA32" s="1434"/>
      <c r="DB32" s="1434"/>
      <c r="DC32" s="1434"/>
      <c r="DD32" s="1403" t="e">
        <f aca="false">CY32/$DC32-1</f>
        <v>#DIV/0!</v>
      </c>
      <c r="DE32" s="1401" t="e">
        <f aca="false">CZ32/$DC32-1</f>
        <v>#DIV/0!</v>
      </c>
      <c r="DF32" s="1401" t="e">
        <f aca="false">DA32/$DC32-1</f>
        <v>#DIV/0!</v>
      </c>
      <c r="DG32" s="1401" t="e">
        <f aca="false">DB32/$DC32-1</f>
        <v>#DIV/0!</v>
      </c>
    </row>
    <row r="33" customFormat="false" ht="15" hidden="false" customHeight="false" outlineLevel="0" collapsed="false">
      <c r="A33" s="1393"/>
      <c r="B33" s="1394" t="s">
        <v>941</v>
      </c>
      <c r="C33" s="1333"/>
      <c r="D33" s="1395"/>
      <c r="E33" s="1376"/>
      <c r="F33" s="1376"/>
      <c r="G33" s="1396"/>
      <c r="H33" s="1397"/>
      <c r="I33" s="1333"/>
      <c r="J33" s="1395"/>
      <c r="K33" s="1376"/>
      <c r="L33" s="1376"/>
      <c r="M33" s="1396"/>
      <c r="N33" s="1397"/>
      <c r="O33" s="1333"/>
      <c r="P33" s="1395"/>
      <c r="Q33" s="1376"/>
      <c r="R33" s="1378"/>
      <c r="S33" s="1396"/>
      <c r="T33" s="1397"/>
      <c r="U33" s="1325"/>
      <c r="V33" s="1395"/>
      <c r="W33" s="1376"/>
      <c r="X33" s="1376"/>
      <c r="Y33" s="1376"/>
      <c r="Z33" s="1396"/>
      <c r="AA33" s="1396"/>
      <c r="AB33" s="1397"/>
      <c r="AD33" s="1395"/>
      <c r="AE33" s="1376"/>
      <c r="AF33" s="1376"/>
      <c r="AG33" s="1376"/>
      <c r="AH33" s="1396"/>
      <c r="AI33" s="1396"/>
      <c r="AJ33" s="1397"/>
      <c r="AK33" s="1335"/>
      <c r="AL33" s="1395"/>
      <c r="AM33" s="1376"/>
      <c r="AN33" s="1376"/>
      <c r="AO33" s="1378"/>
      <c r="AP33" s="1396"/>
      <c r="AQ33" s="1396"/>
      <c r="AR33" s="1397"/>
      <c r="AS33" s="1399"/>
      <c r="AT33" s="1395"/>
      <c r="AU33" s="1376"/>
      <c r="AV33" s="1376"/>
      <c r="AW33" s="1378"/>
      <c r="AX33" s="1396"/>
      <c r="AY33" s="1396"/>
      <c r="AZ33" s="1397"/>
      <c r="BA33" s="1333"/>
      <c r="BB33" s="1395"/>
      <c r="BC33" s="1376"/>
      <c r="BD33" s="1376"/>
      <c r="BE33" s="1378"/>
      <c r="BF33" s="1396"/>
      <c r="BG33" s="1396"/>
      <c r="BH33" s="1397"/>
      <c r="BI33" s="248"/>
      <c r="BJ33" s="1395"/>
      <c r="BK33" s="1376"/>
      <c r="BL33" s="1376"/>
      <c r="BM33" s="1376"/>
      <c r="BN33" s="1376"/>
      <c r="BO33" s="1396"/>
      <c r="BP33" s="1396"/>
      <c r="BQ33" s="1397"/>
      <c r="BR33" s="248"/>
      <c r="BS33" s="1395"/>
      <c r="BT33" s="1376"/>
      <c r="BU33" s="1376"/>
      <c r="BV33" s="1376"/>
      <c r="BW33" s="1396"/>
      <c r="BX33" s="1396"/>
      <c r="BY33" s="1397"/>
      <c r="CA33" s="1439"/>
      <c r="CB33" s="1376"/>
      <c r="CC33" s="1376"/>
      <c r="CD33" s="1376"/>
      <c r="CE33" s="1396"/>
      <c r="CF33" s="1396"/>
      <c r="CG33" s="1397"/>
      <c r="CI33" s="1439"/>
      <c r="CJ33" s="1378"/>
      <c r="CK33" s="1376"/>
      <c r="CL33" s="1376"/>
      <c r="CM33" s="1396"/>
      <c r="CN33" s="1396"/>
      <c r="CO33" s="1397"/>
      <c r="CP33" s="1370"/>
      <c r="CQ33" s="1434"/>
      <c r="CR33" s="1434"/>
      <c r="CS33" s="1434"/>
      <c r="CT33" s="1434"/>
      <c r="CU33" s="1401" t="n">
        <f aca="false">CQ33-CS33</f>
        <v>0</v>
      </c>
      <c r="CV33" s="1401"/>
      <c r="CW33" s="1402" t="str">
        <f aca="false">IFERROR(CQ33/CR33-1,"-")</f>
        <v>-</v>
      </c>
      <c r="CY33" s="1434"/>
      <c r="CZ33" s="1434"/>
      <c r="DA33" s="1434"/>
      <c r="DB33" s="1434"/>
      <c r="DC33" s="1434"/>
      <c r="DD33" s="1403" t="e">
        <f aca="false">CY33/$DC33-1</f>
        <v>#DIV/0!</v>
      </c>
      <c r="DE33" s="1401" t="e">
        <f aca="false">CZ33/$DC33-1</f>
        <v>#DIV/0!</v>
      </c>
      <c r="DF33" s="1401" t="e">
        <f aca="false">DA33/$DC33-1</f>
        <v>#DIV/0!</v>
      </c>
      <c r="DG33" s="1401" t="e">
        <f aca="false">DB33/$DC33-1</f>
        <v>#DIV/0!</v>
      </c>
    </row>
    <row r="34" customFormat="false" ht="15" hidden="false" customHeight="false" outlineLevel="0" collapsed="false">
      <c r="A34" s="1393"/>
      <c r="B34" s="1394" t="s">
        <v>947</v>
      </c>
      <c r="C34" s="1333"/>
      <c r="D34" s="1395"/>
      <c r="E34" s="1376"/>
      <c r="F34" s="1376"/>
      <c r="G34" s="1396"/>
      <c r="H34" s="1397"/>
      <c r="I34" s="1333"/>
      <c r="J34" s="1395"/>
      <c r="K34" s="1376"/>
      <c r="L34" s="1376"/>
      <c r="M34" s="1396"/>
      <c r="N34" s="1397"/>
      <c r="O34" s="1333"/>
      <c r="P34" s="1395"/>
      <c r="Q34" s="1376"/>
      <c r="R34" s="1378"/>
      <c r="S34" s="1396"/>
      <c r="T34" s="1397"/>
      <c r="U34" s="1325"/>
      <c r="V34" s="1395"/>
      <c r="W34" s="1376"/>
      <c r="X34" s="1376"/>
      <c r="Y34" s="1376"/>
      <c r="Z34" s="1396"/>
      <c r="AA34" s="1396"/>
      <c r="AB34" s="1397"/>
      <c r="AD34" s="1395"/>
      <c r="AE34" s="1376"/>
      <c r="AF34" s="1376"/>
      <c r="AG34" s="1376"/>
      <c r="AH34" s="1396"/>
      <c r="AI34" s="1396"/>
      <c r="AJ34" s="1397"/>
      <c r="AK34" s="1335"/>
      <c r="AL34" s="1395"/>
      <c r="AM34" s="1376"/>
      <c r="AN34" s="1376"/>
      <c r="AO34" s="1378"/>
      <c r="AP34" s="1396"/>
      <c r="AQ34" s="1396"/>
      <c r="AR34" s="1397"/>
      <c r="AS34" s="1399"/>
      <c r="AT34" s="1395"/>
      <c r="AU34" s="1376"/>
      <c r="AV34" s="1376"/>
      <c r="AW34" s="1378"/>
      <c r="AX34" s="1396"/>
      <c r="AY34" s="1396"/>
      <c r="AZ34" s="1397"/>
      <c r="BA34" s="1333"/>
      <c r="BB34" s="1395"/>
      <c r="BC34" s="1376"/>
      <c r="BD34" s="1376"/>
      <c r="BE34" s="1378"/>
      <c r="BF34" s="1396"/>
      <c r="BG34" s="1396"/>
      <c r="BH34" s="1397"/>
      <c r="BI34" s="248"/>
      <c r="BJ34" s="1395"/>
      <c r="BK34" s="1376"/>
      <c r="BL34" s="1376"/>
      <c r="BM34" s="1376"/>
      <c r="BN34" s="1376"/>
      <c r="BO34" s="1396"/>
      <c r="BP34" s="1396"/>
      <c r="BQ34" s="1397"/>
      <c r="BR34" s="248"/>
      <c r="BS34" s="1395"/>
      <c r="BT34" s="1376"/>
      <c r="BU34" s="1376"/>
      <c r="BV34" s="1376"/>
      <c r="BW34" s="1396"/>
      <c r="BX34" s="1396"/>
      <c r="BY34" s="1397"/>
      <c r="CA34" s="1439"/>
      <c r="CB34" s="1376"/>
      <c r="CC34" s="1376"/>
      <c r="CD34" s="1376"/>
      <c r="CE34" s="1396"/>
      <c r="CF34" s="1396"/>
      <c r="CG34" s="1397"/>
      <c r="CI34" s="1439"/>
      <c r="CJ34" s="1378"/>
      <c r="CK34" s="1376"/>
      <c r="CL34" s="1376"/>
      <c r="CM34" s="1396"/>
      <c r="CN34" s="1396"/>
      <c r="CO34" s="1397"/>
      <c r="CP34" s="1370"/>
      <c r="CQ34" s="1434"/>
      <c r="CR34" s="1434"/>
      <c r="CS34" s="1434"/>
      <c r="CT34" s="1434"/>
      <c r="CU34" s="1401" t="n">
        <f aca="false">CQ34-CS34</f>
        <v>0</v>
      </c>
      <c r="CV34" s="1401"/>
      <c r="CW34" s="1402" t="str">
        <f aca="false">IFERROR(CQ34/CR34-1,"-")</f>
        <v>-</v>
      </c>
      <c r="CY34" s="1434"/>
      <c r="CZ34" s="1434"/>
      <c r="DA34" s="1434"/>
      <c r="DB34" s="1434"/>
      <c r="DC34" s="1434"/>
      <c r="DD34" s="1403" t="e">
        <f aca="false">CY34/$DC34-1</f>
        <v>#DIV/0!</v>
      </c>
      <c r="DE34" s="1401" t="e">
        <f aca="false">CZ34/$DC34-1</f>
        <v>#DIV/0!</v>
      </c>
      <c r="DF34" s="1401" t="e">
        <f aca="false">DA34/$DC34-1</f>
        <v>#DIV/0!</v>
      </c>
      <c r="DG34" s="1401" t="e">
        <f aca="false">DB34/$DC34-1</f>
        <v>#DIV/0!</v>
      </c>
    </row>
    <row r="35" customFormat="false" ht="15" hidden="false" customHeight="false" outlineLevel="0" collapsed="false">
      <c r="A35" s="1393"/>
      <c r="B35" s="1394" t="s">
        <v>943</v>
      </c>
      <c r="C35" s="1333"/>
      <c r="D35" s="1395"/>
      <c r="E35" s="1376"/>
      <c r="F35" s="1376"/>
      <c r="G35" s="1396"/>
      <c r="H35" s="1397"/>
      <c r="I35" s="1333"/>
      <c r="J35" s="1395"/>
      <c r="K35" s="1376"/>
      <c r="L35" s="1376"/>
      <c r="M35" s="1396"/>
      <c r="N35" s="1397"/>
      <c r="O35" s="1333"/>
      <c r="P35" s="1395"/>
      <c r="Q35" s="1376"/>
      <c r="R35" s="1378"/>
      <c r="S35" s="1396"/>
      <c r="T35" s="1397"/>
      <c r="U35" s="1325"/>
      <c r="V35" s="1395"/>
      <c r="W35" s="1376"/>
      <c r="X35" s="1376"/>
      <c r="Y35" s="1376"/>
      <c r="Z35" s="1396"/>
      <c r="AA35" s="1396"/>
      <c r="AB35" s="1397"/>
      <c r="AD35" s="1395"/>
      <c r="AE35" s="1376"/>
      <c r="AF35" s="1376"/>
      <c r="AG35" s="1376"/>
      <c r="AH35" s="1396"/>
      <c r="AI35" s="1396"/>
      <c r="AJ35" s="1397"/>
      <c r="AK35" s="1335"/>
      <c r="AL35" s="1395"/>
      <c r="AM35" s="1376"/>
      <c r="AN35" s="1376"/>
      <c r="AO35" s="1378"/>
      <c r="AP35" s="1396"/>
      <c r="AQ35" s="1396"/>
      <c r="AR35" s="1397"/>
      <c r="AS35" s="1399"/>
      <c r="AT35" s="1395"/>
      <c r="AU35" s="1376"/>
      <c r="AV35" s="1376"/>
      <c r="AW35" s="1378"/>
      <c r="AX35" s="1396"/>
      <c r="AY35" s="1396"/>
      <c r="AZ35" s="1397"/>
      <c r="BA35" s="1333"/>
      <c r="BB35" s="1395"/>
      <c r="BC35" s="1376"/>
      <c r="BD35" s="1376"/>
      <c r="BE35" s="1378"/>
      <c r="BF35" s="1396"/>
      <c r="BG35" s="1396"/>
      <c r="BH35" s="1397"/>
      <c r="BI35" s="248"/>
      <c r="BJ35" s="1395"/>
      <c r="BK35" s="1376"/>
      <c r="BL35" s="1376"/>
      <c r="BM35" s="1376"/>
      <c r="BN35" s="1376"/>
      <c r="BO35" s="1396"/>
      <c r="BP35" s="1396"/>
      <c r="BQ35" s="1397"/>
      <c r="BR35" s="248"/>
      <c r="BS35" s="1395"/>
      <c r="BT35" s="1376"/>
      <c r="BU35" s="1376"/>
      <c r="BV35" s="1376"/>
      <c r="BW35" s="1396"/>
      <c r="BX35" s="1396"/>
      <c r="BY35" s="1397"/>
      <c r="CA35" s="1439"/>
      <c r="CB35" s="1376"/>
      <c r="CC35" s="1376"/>
      <c r="CD35" s="1376"/>
      <c r="CE35" s="1396"/>
      <c r="CF35" s="1396"/>
      <c r="CG35" s="1397"/>
      <c r="CI35" s="1439"/>
      <c r="CJ35" s="1378"/>
      <c r="CK35" s="1376"/>
      <c r="CL35" s="1376"/>
      <c r="CM35" s="1396"/>
      <c r="CN35" s="1396"/>
      <c r="CO35" s="1397"/>
      <c r="CP35" s="1370"/>
      <c r="CQ35" s="1434"/>
      <c r="CR35" s="1434"/>
      <c r="CS35" s="1434"/>
      <c r="CT35" s="1434"/>
      <c r="CU35" s="1401" t="n">
        <f aca="false">CQ35-CS35</f>
        <v>0</v>
      </c>
      <c r="CV35" s="1401"/>
      <c r="CW35" s="1402" t="str">
        <f aca="false">IFERROR(CQ35/CR35-1,"-")</f>
        <v>-</v>
      </c>
      <c r="CY35" s="1434"/>
      <c r="CZ35" s="1434"/>
      <c r="DA35" s="1434"/>
      <c r="DB35" s="1434"/>
      <c r="DC35" s="1434"/>
      <c r="DD35" s="1403" t="e">
        <f aca="false">CY35/$DC35-1</f>
        <v>#DIV/0!</v>
      </c>
      <c r="DE35" s="1401" t="e">
        <f aca="false">CZ35/$DC35-1</f>
        <v>#DIV/0!</v>
      </c>
      <c r="DF35" s="1401" t="e">
        <f aca="false">DA35/$DC35-1</f>
        <v>#DIV/0!</v>
      </c>
      <c r="DG35" s="1401" t="e">
        <f aca="false">DB35/$DC35-1</f>
        <v>#DIV/0!</v>
      </c>
    </row>
    <row r="36" customFormat="false" ht="15" hidden="false" customHeight="false" outlineLevel="0" collapsed="false">
      <c r="A36" s="1393"/>
      <c r="B36" s="1394" t="s">
        <v>944</v>
      </c>
      <c r="C36" s="1333"/>
      <c r="D36" s="1395"/>
      <c r="E36" s="1376"/>
      <c r="F36" s="1376"/>
      <c r="G36" s="1396"/>
      <c r="H36" s="1397"/>
      <c r="I36" s="1333"/>
      <c r="J36" s="1395"/>
      <c r="K36" s="1376"/>
      <c r="L36" s="1376"/>
      <c r="M36" s="1396"/>
      <c r="N36" s="1397"/>
      <c r="O36" s="1333"/>
      <c r="P36" s="1395"/>
      <c r="Q36" s="1376"/>
      <c r="R36" s="1378"/>
      <c r="S36" s="1396"/>
      <c r="T36" s="1397"/>
      <c r="U36" s="1325"/>
      <c r="V36" s="1395"/>
      <c r="W36" s="1376"/>
      <c r="X36" s="1376"/>
      <c r="Y36" s="1376"/>
      <c r="Z36" s="1396"/>
      <c r="AA36" s="1396"/>
      <c r="AB36" s="1397"/>
      <c r="AD36" s="1395"/>
      <c r="AE36" s="1376"/>
      <c r="AF36" s="1376"/>
      <c r="AG36" s="1376"/>
      <c r="AH36" s="1396"/>
      <c r="AI36" s="1396"/>
      <c r="AJ36" s="1397"/>
      <c r="AK36" s="1335"/>
      <c r="AL36" s="1395"/>
      <c r="AM36" s="1376"/>
      <c r="AN36" s="1376"/>
      <c r="AO36" s="1378"/>
      <c r="AP36" s="1396"/>
      <c r="AQ36" s="1396"/>
      <c r="AR36" s="1397"/>
      <c r="AS36" s="1399"/>
      <c r="AT36" s="1395"/>
      <c r="AU36" s="1376"/>
      <c r="AV36" s="1376"/>
      <c r="AW36" s="1378"/>
      <c r="AX36" s="1396"/>
      <c r="AY36" s="1396"/>
      <c r="AZ36" s="1397"/>
      <c r="BA36" s="1333"/>
      <c r="BB36" s="1395"/>
      <c r="BC36" s="1376"/>
      <c r="BD36" s="1376"/>
      <c r="BE36" s="1378"/>
      <c r="BF36" s="1396"/>
      <c r="BG36" s="1396"/>
      <c r="BH36" s="1397"/>
      <c r="BI36" s="248"/>
      <c r="BJ36" s="1395"/>
      <c r="BK36" s="1376"/>
      <c r="BL36" s="1376"/>
      <c r="BM36" s="1376"/>
      <c r="BN36" s="1376"/>
      <c r="BO36" s="1396"/>
      <c r="BP36" s="1396"/>
      <c r="BQ36" s="1397"/>
      <c r="BR36" s="248"/>
      <c r="BS36" s="1395"/>
      <c r="BT36" s="1376"/>
      <c r="BU36" s="1376"/>
      <c r="BV36" s="1376"/>
      <c r="BW36" s="1396"/>
      <c r="BX36" s="1396"/>
      <c r="BY36" s="1397"/>
      <c r="CA36" s="1439"/>
      <c r="CB36" s="1376"/>
      <c r="CC36" s="1376"/>
      <c r="CD36" s="1376"/>
      <c r="CE36" s="1396"/>
      <c r="CF36" s="1396"/>
      <c r="CG36" s="1397"/>
      <c r="CI36" s="1439"/>
      <c r="CJ36" s="1378"/>
      <c r="CK36" s="1376"/>
      <c r="CL36" s="1376"/>
      <c r="CM36" s="1396"/>
      <c r="CN36" s="1396"/>
      <c r="CO36" s="1397"/>
      <c r="CP36" s="1370"/>
      <c r="CQ36" s="1434"/>
      <c r="CR36" s="1434"/>
      <c r="CS36" s="1434"/>
      <c r="CT36" s="1434"/>
      <c r="CU36" s="1401" t="n">
        <f aca="false">CQ36-CS36</f>
        <v>0</v>
      </c>
      <c r="CV36" s="1401"/>
      <c r="CW36" s="1402" t="str">
        <f aca="false">IFERROR(CQ36/CR36-1,"-")</f>
        <v>-</v>
      </c>
      <c r="CY36" s="1434"/>
      <c r="CZ36" s="1434"/>
      <c r="DA36" s="1434"/>
      <c r="DB36" s="1434"/>
      <c r="DC36" s="1434"/>
      <c r="DD36" s="1403" t="e">
        <f aca="false">CY36/$DC36-1</f>
        <v>#DIV/0!</v>
      </c>
      <c r="DE36" s="1401" t="e">
        <f aca="false">CZ36/$DC36-1</f>
        <v>#DIV/0!</v>
      </c>
      <c r="DF36" s="1401" t="e">
        <f aca="false">DA36/$DC36-1</f>
        <v>#DIV/0!</v>
      </c>
      <c r="DG36" s="1401" t="e">
        <f aca="false">DB36/$DC36-1</f>
        <v>#DIV/0!</v>
      </c>
    </row>
    <row r="37" customFormat="false" ht="15" hidden="false" customHeight="false" outlineLevel="0" collapsed="false">
      <c r="A37" s="1393"/>
      <c r="B37" s="1394" t="s">
        <v>948</v>
      </c>
      <c r="C37" s="1333"/>
      <c r="D37" s="1395"/>
      <c r="E37" s="1376"/>
      <c r="F37" s="1376"/>
      <c r="G37" s="1396"/>
      <c r="H37" s="1397"/>
      <c r="I37" s="1333"/>
      <c r="J37" s="1395"/>
      <c r="K37" s="1376"/>
      <c r="L37" s="1376"/>
      <c r="M37" s="1396"/>
      <c r="N37" s="1397"/>
      <c r="O37" s="1333"/>
      <c r="P37" s="1395"/>
      <c r="Q37" s="1376"/>
      <c r="R37" s="1378"/>
      <c r="S37" s="1396"/>
      <c r="T37" s="1397"/>
      <c r="U37" s="1325"/>
      <c r="V37" s="1395"/>
      <c r="W37" s="1376"/>
      <c r="X37" s="1376"/>
      <c r="Y37" s="1376"/>
      <c r="Z37" s="1396"/>
      <c r="AA37" s="1396"/>
      <c r="AB37" s="1397"/>
      <c r="AD37" s="1395"/>
      <c r="AE37" s="1376"/>
      <c r="AF37" s="1376"/>
      <c r="AG37" s="1376"/>
      <c r="AH37" s="1396"/>
      <c r="AI37" s="1396"/>
      <c r="AJ37" s="1397"/>
      <c r="AK37" s="1335"/>
      <c r="AL37" s="1395"/>
      <c r="AM37" s="1376"/>
      <c r="AN37" s="1376"/>
      <c r="AO37" s="1378"/>
      <c r="AP37" s="1396"/>
      <c r="AQ37" s="1396"/>
      <c r="AR37" s="1397"/>
      <c r="AS37" s="1399"/>
      <c r="AT37" s="1395"/>
      <c r="AU37" s="1376"/>
      <c r="AV37" s="1376"/>
      <c r="AW37" s="1378"/>
      <c r="AX37" s="1396"/>
      <c r="AY37" s="1396"/>
      <c r="AZ37" s="1397"/>
      <c r="BA37" s="1333"/>
      <c r="BB37" s="1395"/>
      <c r="BC37" s="1376"/>
      <c r="BD37" s="1376"/>
      <c r="BE37" s="1378"/>
      <c r="BF37" s="1396"/>
      <c r="BG37" s="1396"/>
      <c r="BH37" s="1397"/>
      <c r="BI37" s="248"/>
      <c r="BJ37" s="1395"/>
      <c r="BK37" s="1376"/>
      <c r="BL37" s="1376"/>
      <c r="BM37" s="1376"/>
      <c r="BN37" s="1376"/>
      <c r="BO37" s="1396"/>
      <c r="BP37" s="1396"/>
      <c r="BQ37" s="1397"/>
      <c r="BR37" s="248"/>
      <c r="BS37" s="1395"/>
      <c r="BT37" s="1376"/>
      <c r="BU37" s="1376"/>
      <c r="BV37" s="1376"/>
      <c r="BW37" s="1396"/>
      <c r="BX37" s="1396"/>
      <c r="BY37" s="1397"/>
      <c r="CA37" s="1439"/>
      <c r="CB37" s="1376"/>
      <c r="CC37" s="1376"/>
      <c r="CD37" s="1376"/>
      <c r="CE37" s="1396"/>
      <c r="CF37" s="1396"/>
      <c r="CG37" s="1397"/>
      <c r="CI37" s="1439"/>
      <c r="CJ37" s="1378"/>
      <c r="CK37" s="1376"/>
      <c r="CL37" s="1376"/>
      <c r="CM37" s="1396"/>
      <c r="CN37" s="1396"/>
      <c r="CO37" s="1397"/>
      <c r="CP37" s="1370"/>
      <c r="CQ37" s="1434"/>
      <c r="CR37" s="1434"/>
      <c r="CS37" s="1434"/>
      <c r="CT37" s="1434"/>
      <c r="CU37" s="1401" t="n">
        <f aca="false">CQ37-CS37</f>
        <v>0</v>
      </c>
      <c r="CV37" s="1401"/>
      <c r="CW37" s="1402" t="str">
        <f aca="false">IFERROR(CQ37/CR37-1,"-")</f>
        <v>-</v>
      </c>
      <c r="CY37" s="1434"/>
      <c r="CZ37" s="1434"/>
      <c r="DA37" s="1434"/>
      <c r="DB37" s="1434"/>
      <c r="DC37" s="1434"/>
      <c r="DD37" s="1403" t="e">
        <f aca="false">CY37/$DC37-1</f>
        <v>#DIV/0!</v>
      </c>
      <c r="DE37" s="1401" t="e">
        <f aca="false">CZ37/$DC37-1</f>
        <v>#DIV/0!</v>
      </c>
      <c r="DF37" s="1401" t="e">
        <f aca="false">DA37/$DC37-1</f>
        <v>#DIV/0!</v>
      </c>
      <c r="DG37" s="1401" t="e">
        <f aca="false">DB37/$DC37-1</f>
        <v>#DIV/0!</v>
      </c>
    </row>
    <row r="38" customFormat="false" ht="15" hidden="false" customHeight="false" outlineLevel="0" collapsed="false">
      <c r="A38" s="1393"/>
      <c r="B38" s="1394" t="s">
        <v>949</v>
      </c>
      <c r="C38" s="1333"/>
      <c r="D38" s="1395"/>
      <c r="E38" s="1376"/>
      <c r="F38" s="1376"/>
      <c r="G38" s="1396"/>
      <c r="H38" s="1397"/>
      <c r="I38" s="1333"/>
      <c r="J38" s="1395"/>
      <c r="K38" s="1376"/>
      <c r="L38" s="1376"/>
      <c r="M38" s="1396"/>
      <c r="N38" s="1397"/>
      <c r="O38" s="1333"/>
      <c r="P38" s="1395"/>
      <c r="Q38" s="1376"/>
      <c r="R38" s="1378"/>
      <c r="S38" s="1396"/>
      <c r="T38" s="1397"/>
      <c r="U38" s="1325"/>
      <c r="V38" s="1395"/>
      <c r="W38" s="1376"/>
      <c r="X38" s="1376"/>
      <c r="Y38" s="1376"/>
      <c r="Z38" s="1396"/>
      <c r="AA38" s="1396"/>
      <c r="AB38" s="1397"/>
      <c r="AD38" s="1395"/>
      <c r="AE38" s="1376"/>
      <c r="AF38" s="1376"/>
      <c r="AG38" s="1376"/>
      <c r="AH38" s="1396"/>
      <c r="AI38" s="1396"/>
      <c r="AJ38" s="1397"/>
      <c r="AK38" s="1335"/>
      <c r="AL38" s="1395"/>
      <c r="AM38" s="1376"/>
      <c r="AN38" s="1376"/>
      <c r="AO38" s="1378"/>
      <c r="AP38" s="1396"/>
      <c r="AQ38" s="1396"/>
      <c r="AR38" s="1397"/>
      <c r="AS38" s="1399"/>
      <c r="AT38" s="1395"/>
      <c r="AU38" s="1376"/>
      <c r="AV38" s="1376"/>
      <c r="AW38" s="1378"/>
      <c r="AX38" s="1396"/>
      <c r="AY38" s="1396"/>
      <c r="AZ38" s="1397"/>
      <c r="BA38" s="1333"/>
      <c r="BB38" s="1395"/>
      <c r="BC38" s="1376"/>
      <c r="BD38" s="1376"/>
      <c r="BE38" s="1378"/>
      <c r="BF38" s="1396"/>
      <c r="BG38" s="1396"/>
      <c r="BH38" s="1397"/>
      <c r="BI38" s="248"/>
      <c r="BJ38" s="1395"/>
      <c r="BK38" s="1376"/>
      <c r="BL38" s="1376"/>
      <c r="BM38" s="1376"/>
      <c r="BN38" s="1376"/>
      <c r="BO38" s="1396"/>
      <c r="BP38" s="1396"/>
      <c r="BQ38" s="1397"/>
      <c r="BR38" s="248"/>
      <c r="BS38" s="1395"/>
      <c r="BT38" s="1376"/>
      <c r="BU38" s="1376"/>
      <c r="BV38" s="1376"/>
      <c r="BW38" s="1396"/>
      <c r="BX38" s="1396"/>
      <c r="BY38" s="1397"/>
      <c r="CA38" s="1439"/>
      <c r="CB38" s="1376"/>
      <c r="CC38" s="1376"/>
      <c r="CD38" s="1376"/>
      <c r="CE38" s="1396"/>
      <c r="CF38" s="1396"/>
      <c r="CG38" s="1397"/>
      <c r="CI38" s="1439"/>
      <c r="CJ38" s="1378"/>
      <c r="CK38" s="1376"/>
      <c r="CL38" s="1376"/>
      <c r="CM38" s="1396"/>
      <c r="CN38" s="1396"/>
      <c r="CO38" s="1397"/>
      <c r="CP38" s="1370"/>
      <c r="CQ38" s="1434"/>
      <c r="CR38" s="1434"/>
      <c r="CS38" s="1434"/>
      <c r="CT38" s="1434"/>
      <c r="CU38" s="1401" t="n">
        <f aca="false">CQ38-CS38</f>
        <v>0</v>
      </c>
      <c r="CV38" s="1401"/>
      <c r="CW38" s="1402" t="str">
        <f aca="false">IFERROR(CQ38/CR38-1,"-")</f>
        <v>-</v>
      </c>
      <c r="CY38" s="1434"/>
      <c r="CZ38" s="1434"/>
      <c r="DA38" s="1434"/>
      <c r="DB38" s="1434"/>
      <c r="DC38" s="1434"/>
      <c r="DD38" s="1403" t="e">
        <f aca="false">CY38/$DC38-1</f>
        <v>#DIV/0!</v>
      </c>
      <c r="DE38" s="1401" t="e">
        <f aca="false">CZ38/$DC38-1</f>
        <v>#DIV/0!</v>
      </c>
      <c r="DF38" s="1401" t="e">
        <f aca="false">DA38/$DC38-1</f>
        <v>#DIV/0!</v>
      </c>
      <c r="DG38" s="1401" t="e">
        <f aca="false">DB38/$DC38-1</f>
        <v>#DIV/0!</v>
      </c>
    </row>
    <row r="39" customFormat="false" ht="18.75" hidden="false" customHeight="true" outlineLevel="0" collapsed="false">
      <c r="A39" s="1405"/>
      <c r="B39" s="1406" t="s">
        <v>950</v>
      </c>
      <c r="C39" s="1333"/>
      <c r="D39" s="1407"/>
      <c r="E39" s="1408"/>
      <c r="F39" s="1408"/>
      <c r="G39" s="1409"/>
      <c r="H39" s="1410"/>
      <c r="I39" s="1333"/>
      <c r="J39" s="1407"/>
      <c r="K39" s="1408"/>
      <c r="L39" s="1408"/>
      <c r="M39" s="1409"/>
      <c r="N39" s="1410"/>
      <c r="O39" s="1333"/>
      <c r="P39" s="1407"/>
      <c r="Q39" s="1408"/>
      <c r="R39" s="1411"/>
      <c r="S39" s="1409"/>
      <c r="T39" s="1410"/>
      <c r="U39" s="1325"/>
      <c r="V39" s="1407"/>
      <c r="W39" s="1408"/>
      <c r="X39" s="1408"/>
      <c r="Y39" s="1408"/>
      <c r="Z39" s="1409"/>
      <c r="AA39" s="1409"/>
      <c r="AB39" s="1410"/>
      <c r="AD39" s="1407"/>
      <c r="AE39" s="1408"/>
      <c r="AF39" s="1408"/>
      <c r="AG39" s="1408"/>
      <c r="AH39" s="1409"/>
      <c r="AI39" s="1409"/>
      <c r="AJ39" s="1410"/>
      <c r="AK39" s="1335"/>
      <c r="AL39" s="1407"/>
      <c r="AM39" s="1408"/>
      <c r="AN39" s="1408"/>
      <c r="AO39" s="1411"/>
      <c r="AP39" s="1409"/>
      <c r="AQ39" s="1409"/>
      <c r="AR39" s="1410"/>
      <c r="AS39" s="1399"/>
      <c r="AT39" s="1407"/>
      <c r="AU39" s="1408"/>
      <c r="AV39" s="1408"/>
      <c r="AW39" s="1411"/>
      <c r="AX39" s="1409"/>
      <c r="AY39" s="1409"/>
      <c r="AZ39" s="1410"/>
      <c r="BA39" s="1333"/>
      <c r="BB39" s="1407"/>
      <c r="BC39" s="1408"/>
      <c r="BD39" s="1408"/>
      <c r="BE39" s="1411"/>
      <c r="BF39" s="1409"/>
      <c r="BG39" s="1409"/>
      <c r="BH39" s="1410"/>
      <c r="BI39" s="248"/>
      <c r="BJ39" s="1407"/>
      <c r="BK39" s="1408"/>
      <c r="BL39" s="1408"/>
      <c r="BM39" s="1408"/>
      <c r="BN39" s="1408"/>
      <c r="BO39" s="1409"/>
      <c r="BP39" s="1409"/>
      <c r="BQ39" s="1410"/>
      <c r="BR39" s="248"/>
      <c r="BS39" s="1407"/>
      <c r="BT39" s="1408"/>
      <c r="BU39" s="1408"/>
      <c r="BV39" s="1408"/>
      <c r="BW39" s="1409"/>
      <c r="BX39" s="1409"/>
      <c r="BY39" s="1410"/>
      <c r="CA39" s="1407"/>
      <c r="CB39" s="1408"/>
      <c r="CC39" s="1408"/>
      <c r="CD39" s="1408"/>
      <c r="CE39" s="1409"/>
      <c r="CF39" s="1409"/>
      <c r="CG39" s="1410"/>
      <c r="CI39" s="1407"/>
      <c r="CJ39" s="1408"/>
      <c r="CK39" s="1408"/>
      <c r="CL39" s="1408"/>
      <c r="CM39" s="1409"/>
      <c r="CN39" s="1409"/>
      <c r="CO39" s="1410"/>
      <c r="CP39" s="1370"/>
      <c r="CQ39" s="1440"/>
      <c r="CR39" s="1440"/>
      <c r="CS39" s="1440"/>
      <c r="CT39" s="1440"/>
      <c r="CU39" s="1413" t="n">
        <f aca="false">CQ39-CS39</f>
        <v>0</v>
      </c>
      <c r="CV39" s="1413"/>
      <c r="CW39" s="1414" t="str">
        <f aca="false">IFERROR(CQ39/CR39-1,"-")</f>
        <v>-</v>
      </c>
      <c r="CY39" s="1440"/>
      <c r="CZ39" s="1440"/>
      <c r="DA39" s="1440"/>
      <c r="DB39" s="1440"/>
      <c r="DC39" s="1440"/>
      <c r="DD39" s="1415" t="e">
        <f aca="false">CY39/$DC39-1</f>
        <v>#DIV/0!</v>
      </c>
      <c r="DE39" s="1413" t="e">
        <f aca="false">CZ39/$DC39-1</f>
        <v>#DIV/0!</v>
      </c>
      <c r="DF39" s="1413" t="e">
        <f aca="false">DA39/$DC39-1</f>
        <v>#DIV/0!</v>
      </c>
      <c r="DG39" s="1413" t="e">
        <f aca="false">DB39/$DC39-1</f>
        <v>#DIV/0!</v>
      </c>
    </row>
    <row r="40" s="14" customFormat="true" ht="15" hidden="false" customHeight="false" outlineLevel="0" collapsed="false">
      <c r="A40" s="1441"/>
      <c r="B40" s="1442"/>
      <c r="C40" s="1443"/>
      <c r="D40" s="1442"/>
      <c r="E40" s="1442"/>
      <c r="F40" s="1442"/>
      <c r="G40" s="1386"/>
      <c r="H40" s="1444"/>
      <c r="I40" s="1443"/>
      <c r="J40" s="1442"/>
      <c r="K40" s="1442"/>
      <c r="L40" s="1442"/>
      <c r="M40" s="1386"/>
      <c r="N40" s="1444"/>
      <c r="O40" s="1445"/>
      <c r="P40" s="1442"/>
      <c r="Q40" s="1442"/>
      <c r="R40" s="1442"/>
      <c r="S40" s="1386"/>
      <c r="T40" s="1444"/>
      <c r="U40" s="1446"/>
      <c r="V40" s="1442"/>
      <c r="W40" s="1442"/>
      <c r="X40" s="1442"/>
      <c r="Y40" s="1442"/>
      <c r="Z40" s="1386"/>
      <c r="AA40" s="1386"/>
      <c r="AB40" s="1444"/>
      <c r="AD40" s="1442"/>
      <c r="AE40" s="1442"/>
      <c r="AF40" s="1442"/>
      <c r="AG40" s="1442"/>
      <c r="AH40" s="1386"/>
      <c r="AI40" s="1386"/>
      <c r="AJ40" s="1444"/>
      <c r="AK40" s="1447"/>
      <c r="AL40" s="1442"/>
      <c r="AM40" s="1386"/>
      <c r="AN40" s="1442"/>
      <c r="AO40" s="1448"/>
      <c r="AP40" s="1386"/>
      <c r="AQ40" s="1386"/>
      <c r="AR40" s="1444"/>
      <c r="AS40" s="1443"/>
      <c r="AT40" s="1442"/>
      <c r="AU40" s="1386"/>
      <c r="AV40" s="1442"/>
      <c r="AW40" s="1448"/>
      <c r="AX40" s="1386"/>
      <c r="AY40" s="1386"/>
      <c r="AZ40" s="1444"/>
      <c r="BA40" s="1443"/>
      <c r="BB40" s="1442"/>
      <c r="BC40" s="1386"/>
      <c r="BD40" s="1442"/>
      <c r="BE40" s="1448"/>
      <c r="BF40" s="1386"/>
      <c r="BG40" s="1386"/>
      <c r="BH40" s="1444"/>
      <c r="BI40" s="1443"/>
      <c r="BJ40" s="1442"/>
      <c r="BK40" s="1386"/>
      <c r="BL40" s="1442"/>
      <c r="BM40" s="1442"/>
      <c r="BN40" s="1442"/>
      <c r="BO40" s="1386"/>
      <c r="BP40" s="1386"/>
      <c r="BQ40" s="1444"/>
      <c r="BS40" s="1442"/>
      <c r="BT40" s="1386"/>
      <c r="BU40" s="1442"/>
      <c r="BV40" s="1442"/>
      <c r="BW40" s="1386"/>
      <c r="BX40" s="1386"/>
      <c r="BY40" s="1444"/>
      <c r="CA40" s="1442"/>
      <c r="CB40" s="1386"/>
      <c r="CC40" s="1442"/>
      <c r="CD40" s="1442"/>
      <c r="CE40" s="1386"/>
      <c r="CF40" s="1386"/>
      <c r="CG40" s="1444"/>
      <c r="CI40" s="1442"/>
      <c r="CJ40" s="1442"/>
      <c r="CK40" s="1442"/>
      <c r="CL40" s="1442"/>
      <c r="CM40" s="1386"/>
      <c r="CN40" s="1386"/>
      <c r="CO40" s="1444"/>
      <c r="CP40" s="1449"/>
      <c r="CQ40" s="1442"/>
      <c r="CR40" s="1450"/>
      <c r="CS40" s="1450"/>
      <c r="CT40" s="1450"/>
      <c r="CU40" s="1450"/>
      <c r="CV40" s="1450"/>
      <c r="CW40" s="1444"/>
      <c r="CY40" s="1450"/>
      <c r="CZ40" s="1442"/>
      <c r="DA40" s="1442"/>
      <c r="DB40" s="1442"/>
      <c r="DC40" s="1450"/>
      <c r="DD40" s="1451"/>
      <c r="DE40" s="1450"/>
      <c r="DF40" s="1450"/>
      <c r="DG40" s="1450"/>
    </row>
    <row r="41" customFormat="false" ht="15" hidden="false" customHeight="false" outlineLevel="0" collapsed="false">
      <c r="A41" s="1362" t="s">
        <v>951</v>
      </c>
      <c r="B41" s="1362"/>
      <c r="C41" s="1333"/>
      <c r="D41" s="1363"/>
      <c r="E41" s="1364"/>
      <c r="F41" s="1364"/>
      <c r="G41" s="1364"/>
      <c r="H41" s="1388"/>
      <c r="I41" s="1333"/>
      <c r="J41" s="1363"/>
      <c r="K41" s="1364"/>
      <c r="L41" s="1364"/>
      <c r="M41" s="1364"/>
      <c r="N41" s="1388"/>
      <c r="O41" s="1452"/>
      <c r="P41" s="1363"/>
      <c r="Q41" s="1364"/>
      <c r="R41" s="1364"/>
      <c r="S41" s="1364"/>
      <c r="T41" s="1388"/>
      <c r="U41" s="1325"/>
      <c r="V41" s="1363"/>
      <c r="W41" s="1364"/>
      <c r="X41" s="1364"/>
      <c r="Y41" s="1364"/>
      <c r="Z41" s="1364"/>
      <c r="AA41" s="1364"/>
      <c r="AB41" s="1388"/>
      <c r="AD41" s="1363"/>
      <c r="AE41" s="1364"/>
      <c r="AF41" s="1364"/>
      <c r="AG41" s="1364"/>
      <c r="AH41" s="1364"/>
      <c r="AI41" s="1364"/>
      <c r="AJ41" s="1388"/>
      <c r="AK41" s="1335"/>
      <c r="AL41" s="1363"/>
      <c r="AM41" s="1364"/>
      <c r="AN41" s="1364"/>
      <c r="AO41" s="1364"/>
      <c r="AP41" s="1364"/>
      <c r="AQ41" s="1364"/>
      <c r="AR41" s="1388"/>
      <c r="AS41" s="1333"/>
      <c r="AT41" s="1363"/>
      <c r="AU41" s="1364"/>
      <c r="AV41" s="1364"/>
      <c r="AW41" s="1364"/>
      <c r="AX41" s="1364"/>
      <c r="AY41" s="1364"/>
      <c r="AZ41" s="1388"/>
      <c r="BA41" s="1333"/>
      <c r="BB41" s="1363"/>
      <c r="BC41" s="1364"/>
      <c r="BD41" s="1364"/>
      <c r="BE41" s="1364"/>
      <c r="BF41" s="1364"/>
      <c r="BG41" s="1364"/>
      <c r="BH41" s="1388"/>
      <c r="BI41" s="1333"/>
      <c r="BJ41" s="1363"/>
      <c r="BK41" s="1364"/>
      <c r="BL41" s="1364"/>
      <c r="BM41" s="1364"/>
      <c r="BN41" s="1364"/>
      <c r="BO41" s="1364"/>
      <c r="BP41" s="1364"/>
      <c r="BQ41" s="1388"/>
      <c r="BS41" s="1363"/>
      <c r="BT41" s="1364"/>
      <c r="BU41" s="1364"/>
      <c r="BV41" s="1364"/>
      <c r="BW41" s="1364"/>
      <c r="BX41" s="1364"/>
      <c r="BY41" s="1388"/>
      <c r="CA41" s="1363"/>
      <c r="CB41" s="1364"/>
      <c r="CC41" s="1364"/>
      <c r="CD41" s="1364"/>
      <c r="CE41" s="1364"/>
      <c r="CF41" s="1364"/>
      <c r="CG41" s="1388"/>
      <c r="CI41" s="1363"/>
      <c r="CJ41" s="1364"/>
      <c r="CK41" s="1364"/>
      <c r="CL41" s="1364"/>
      <c r="CM41" s="1364"/>
      <c r="CN41" s="1364"/>
      <c r="CO41" s="1388"/>
      <c r="CP41" s="1370"/>
      <c r="CQ41" s="1371"/>
      <c r="CR41" s="1371"/>
      <c r="CS41" s="1371"/>
      <c r="CT41" s="1371"/>
      <c r="CU41" s="1390" t="n">
        <f aca="false">CQ41-CS41</f>
        <v>0</v>
      </c>
      <c r="CV41" s="1390"/>
      <c r="CW41" s="1391" t="str">
        <f aca="false">IFERROR(CQ41/CR41-1,"-")</f>
        <v>-</v>
      </c>
      <c r="CY41" s="1371"/>
      <c r="CZ41" s="1371"/>
      <c r="DA41" s="1371"/>
      <c r="DB41" s="1371"/>
      <c r="DC41" s="1371"/>
      <c r="DD41" s="1392" t="e">
        <f aca="false">CY41/$DC41-1</f>
        <v>#DIV/0!</v>
      </c>
      <c r="DE41" s="1390" t="e">
        <f aca="false">CZ41/$DC41-1</f>
        <v>#DIV/0!</v>
      </c>
      <c r="DF41" s="1390" t="e">
        <f aca="false">DA41/$DC41-1</f>
        <v>#DIV/0!</v>
      </c>
      <c r="DG41" s="1390" t="e">
        <f aca="false">DB41/$DC41-1</f>
        <v>#DIV/0!</v>
      </c>
    </row>
    <row r="42" customFormat="false" ht="15" hidden="false" customHeight="false" outlineLevel="0" collapsed="false">
      <c r="A42" s="1405"/>
      <c r="B42" s="1406" t="s">
        <v>952</v>
      </c>
      <c r="C42" s="1333"/>
      <c r="D42" s="1363"/>
      <c r="E42" s="1453"/>
      <c r="F42" s="1453"/>
      <c r="G42" s="1365"/>
      <c r="H42" s="1366"/>
      <c r="I42" s="1454"/>
      <c r="J42" s="1363"/>
      <c r="K42" s="1453"/>
      <c r="L42" s="1453"/>
      <c r="M42" s="1365"/>
      <c r="N42" s="1366"/>
      <c r="O42" s="1454"/>
      <c r="P42" s="1363"/>
      <c r="Q42" s="1453"/>
      <c r="R42" s="1453"/>
      <c r="S42" s="1365"/>
      <c r="T42" s="1366"/>
      <c r="U42" s="1432"/>
      <c r="V42" s="1363"/>
      <c r="W42" s="1453"/>
      <c r="X42" s="1453"/>
      <c r="Y42" s="1453"/>
      <c r="Z42" s="1365"/>
      <c r="AA42" s="1365"/>
      <c r="AB42" s="1366"/>
      <c r="AC42" s="1398"/>
      <c r="AD42" s="1363"/>
      <c r="AE42" s="1453"/>
      <c r="AF42" s="1453"/>
      <c r="AG42" s="1453"/>
      <c r="AH42" s="1365"/>
      <c r="AI42" s="1365"/>
      <c r="AJ42" s="1366"/>
      <c r="AK42" s="1455"/>
      <c r="AL42" s="1363"/>
      <c r="AM42" s="1367"/>
      <c r="AN42" s="1367"/>
      <c r="AO42" s="1367"/>
      <c r="AP42" s="1365"/>
      <c r="AQ42" s="1365"/>
      <c r="AR42" s="1366"/>
      <c r="AS42" s="1452"/>
      <c r="AT42" s="1363"/>
      <c r="AU42" s="1367"/>
      <c r="AV42" s="1367"/>
      <c r="AW42" s="1367"/>
      <c r="AX42" s="1365"/>
      <c r="AY42" s="1365"/>
      <c r="AZ42" s="1366"/>
      <c r="BA42" s="1452"/>
      <c r="BB42" s="1363"/>
      <c r="BC42" s="1367"/>
      <c r="BD42" s="1367"/>
      <c r="BE42" s="1367"/>
      <c r="BF42" s="1365"/>
      <c r="BG42" s="1365"/>
      <c r="BH42" s="1366"/>
      <c r="BI42" s="248"/>
      <c r="BJ42" s="1363"/>
      <c r="BK42" s="1367"/>
      <c r="BL42" s="1367"/>
      <c r="BM42" s="1367"/>
      <c r="BN42" s="1367"/>
      <c r="BO42" s="1365"/>
      <c r="BP42" s="1365"/>
      <c r="BQ42" s="1366"/>
      <c r="BS42" s="1363"/>
      <c r="BT42" s="1367"/>
      <c r="BU42" s="1367"/>
      <c r="BV42" s="1367"/>
      <c r="BW42" s="1365"/>
      <c r="BX42" s="1365"/>
      <c r="BY42" s="1366"/>
      <c r="CA42" s="1363"/>
      <c r="CB42" s="1367"/>
      <c r="CC42" s="1367"/>
      <c r="CD42" s="1367"/>
      <c r="CE42" s="1365"/>
      <c r="CF42" s="1365"/>
      <c r="CG42" s="1366"/>
      <c r="CI42" s="1363"/>
      <c r="CJ42" s="1367"/>
      <c r="CK42" s="1367"/>
      <c r="CL42" s="1367"/>
      <c r="CM42" s="1365"/>
      <c r="CN42" s="1365"/>
      <c r="CO42" s="1366"/>
      <c r="CP42" s="1370"/>
      <c r="CQ42" s="1371"/>
      <c r="CR42" s="1371"/>
      <c r="CS42" s="1371"/>
      <c r="CT42" s="1371"/>
      <c r="CU42" s="1372" t="n">
        <f aca="false">CQ42-CS42</f>
        <v>0</v>
      </c>
      <c r="CV42" s="1372"/>
      <c r="CW42" s="1373" t="str">
        <f aca="false">IFERROR(CQ42/CR42-1,"-")</f>
        <v>-</v>
      </c>
      <c r="CY42" s="1371"/>
      <c r="CZ42" s="1371"/>
      <c r="DA42" s="1371"/>
      <c r="DB42" s="1371"/>
      <c r="DC42" s="1371"/>
      <c r="DD42" s="1374" t="e">
        <f aca="false">CY42/$DC42-1</f>
        <v>#DIV/0!</v>
      </c>
      <c r="DE42" s="1372" t="e">
        <f aca="false">CZ42/$DC42-1</f>
        <v>#DIV/0!</v>
      </c>
      <c r="DF42" s="1372" t="e">
        <f aca="false">DA42/$DC42-1</f>
        <v>#DIV/0!</v>
      </c>
      <c r="DG42" s="1372" t="e">
        <f aca="false">DB42/$DC42-1</f>
        <v>#DIV/0!</v>
      </c>
    </row>
    <row r="43" customFormat="false" ht="15" hidden="false" customHeight="false" outlineLevel="0" collapsed="false">
      <c r="A43" s="1393"/>
      <c r="B43" s="1456" t="s">
        <v>935</v>
      </c>
      <c r="C43" s="1333"/>
      <c r="D43" s="1395"/>
      <c r="E43" s="1383"/>
      <c r="F43" s="1383"/>
      <c r="G43" s="1396"/>
      <c r="H43" s="1397"/>
      <c r="I43" s="1457"/>
      <c r="J43" s="1395"/>
      <c r="K43" s="1383"/>
      <c r="L43" s="1383"/>
      <c r="M43" s="1396"/>
      <c r="N43" s="1397"/>
      <c r="O43" s="1452"/>
      <c r="P43" s="1395"/>
      <c r="Q43" s="1376"/>
      <c r="R43" s="1385"/>
      <c r="S43" s="1396"/>
      <c r="T43" s="1397"/>
      <c r="U43" s="1325"/>
      <c r="V43" s="1395"/>
      <c r="W43" s="1376"/>
      <c r="X43" s="1376"/>
      <c r="Y43" s="1376"/>
      <c r="Z43" s="1396"/>
      <c r="AA43" s="1396"/>
      <c r="AB43" s="1397"/>
      <c r="AC43" s="1458"/>
      <c r="AD43" s="1395"/>
      <c r="AE43" s="1376"/>
      <c r="AF43" s="1376"/>
      <c r="AG43" s="1376"/>
      <c r="AH43" s="1396"/>
      <c r="AI43" s="1396"/>
      <c r="AJ43" s="1397"/>
      <c r="AL43" s="1395"/>
      <c r="AM43" s="1376"/>
      <c r="AN43" s="1383"/>
      <c r="AO43" s="1385"/>
      <c r="AP43" s="1396"/>
      <c r="AQ43" s="1396"/>
      <c r="AR43" s="1397"/>
      <c r="AS43" s="1399"/>
      <c r="AT43" s="1395"/>
      <c r="AU43" s="1376"/>
      <c r="AV43" s="1383"/>
      <c r="AW43" s="1385"/>
      <c r="AX43" s="1396"/>
      <c r="AY43" s="1396"/>
      <c r="AZ43" s="1397"/>
      <c r="BA43" s="1333"/>
      <c r="BB43" s="1395"/>
      <c r="BC43" s="1376"/>
      <c r="BD43" s="1383"/>
      <c r="BE43" s="1385"/>
      <c r="BF43" s="1396"/>
      <c r="BG43" s="1396"/>
      <c r="BH43" s="1397"/>
      <c r="BI43" s="1335"/>
      <c r="BJ43" s="1395"/>
      <c r="BK43" s="1376"/>
      <c r="BL43" s="1383"/>
      <c r="BM43" s="1383"/>
      <c r="BN43" s="1383"/>
      <c r="BO43" s="1396"/>
      <c r="BP43" s="1396"/>
      <c r="BQ43" s="1397"/>
      <c r="BR43" s="248"/>
      <c r="BS43" s="1395"/>
      <c r="BT43" s="1376"/>
      <c r="BU43" s="1383"/>
      <c r="BV43" s="1383"/>
      <c r="BW43" s="1396"/>
      <c r="BX43" s="1396"/>
      <c r="BY43" s="1397"/>
      <c r="BZ43" s="248"/>
      <c r="CA43" s="1395"/>
      <c r="CB43" s="1376"/>
      <c r="CC43" s="1383"/>
      <c r="CD43" s="1383"/>
      <c r="CE43" s="1396"/>
      <c r="CF43" s="1396"/>
      <c r="CG43" s="1397"/>
      <c r="CI43" s="1395"/>
      <c r="CJ43" s="1376"/>
      <c r="CK43" s="1383"/>
      <c r="CL43" s="1383"/>
      <c r="CM43" s="1396"/>
      <c r="CN43" s="1396"/>
      <c r="CO43" s="1397"/>
      <c r="CP43" s="1370"/>
      <c r="CQ43" s="1434"/>
      <c r="CR43" s="1434"/>
      <c r="CS43" s="1434"/>
      <c r="CT43" s="1434"/>
      <c r="CU43" s="1401" t="n">
        <f aca="false">CQ43-CS43</f>
        <v>0</v>
      </c>
      <c r="CV43" s="1401"/>
      <c r="CW43" s="1402" t="str">
        <f aca="false">IFERROR(CQ43/CR43-1,"-")</f>
        <v>-</v>
      </c>
      <c r="CY43" s="1434"/>
      <c r="CZ43" s="1434"/>
      <c r="DA43" s="1434"/>
      <c r="DB43" s="1434"/>
      <c r="DC43" s="1434"/>
      <c r="DD43" s="1403" t="e">
        <f aca="false">CY43/$DC43-1</f>
        <v>#DIV/0!</v>
      </c>
      <c r="DE43" s="1401" t="e">
        <f aca="false">CZ43/$DC43-1</f>
        <v>#DIV/0!</v>
      </c>
      <c r="DF43" s="1401" t="e">
        <f aca="false">DA43/$DC43-1</f>
        <v>#DIV/0!</v>
      </c>
      <c r="DG43" s="1401" t="e">
        <f aca="false">DB43/$DC43-1</f>
        <v>#DIV/0!</v>
      </c>
    </row>
    <row r="44" customFormat="false" ht="15" hidden="false" customHeight="false" outlineLevel="0" collapsed="false">
      <c r="A44" s="1393"/>
      <c r="B44" s="1456" t="s">
        <v>936</v>
      </c>
      <c r="C44" s="1333"/>
      <c r="D44" s="1439"/>
      <c r="E44" s="1383"/>
      <c r="F44" s="1383"/>
      <c r="G44" s="1396"/>
      <c r="H44" s="1397"/>
      <c r="I44" s="1457"/>
      <c r="J44" s="1395"/>
      <c r="K44" s="1383"/>
      <c r="L44" s="1383"/>
      <c r="M44" s="1396"/>
      <c r="N44" s="1397"/>
      <c r="O44" s="1452"/>
      <c r="P44" s="1395"/>
      <c r="Q44" s="1376"/>
      <c r="R44" s="1385"/>
      <c r="S44" s="1396"/>
      <c r="T44" s="1397"/>
      <c r="U44" s="1432"/>
      <c r="V44" s="1395"/>
      <c r="W44" s="1376"/>
      <c r="X44" s="1376"/>
      <c r="Y44" s="1376"/>
      <c r="Z44" s="1396"/>
      <c r="AA44" s="1396"/>
      <c r="AB44" s="1397"/>
      <c r="AC44" s="1458"/>
      <c r="AD44" s="1395"/>
      <c r="AE44" s="1376"/>
      <c r="AF44" s="1376"/>
      <c r="AG44" s="1376"/>
      <c r="AH44" s="1396"/>
      <c r="AI44" s="1396"/>
      <c r="AJ44" s="1397"/>
      <c r="AK44" s="1335"/>
      <c r="AL44" s="1395"/>
      <c r="AM44" s="1376"/>
      <c r="AN44" s="1383"/>
      <c r="AO44" s="1383"/>
      <c r="AP44" s="1396"/>
      <c r="AQ44" s="1396"/>
      <c r="AR44" s="1397"/>
      <c r="AS44" s="1399"/>
      <c r="AT44" s="1395"/>
      <c r="AU44" s="1376"/>
      <c r="AV44" s="1383"/>
      <c r="AW44" s="1383"/>
      <c r="AX44" s="1396"/>
      <c r="AY44" s="1396"/>
      <c r="AZ44" s="1397"/>
      <c r="BA44" s="1333"/>
      <c r="BB44" s="1395"/>
      <c r="BC44" s="1376"/>
      <c r="BD44" s="1383"/>
      <c r="BE44" s="1383"/>
      <c r="BF44" s="1396"/>
      <c r="BG44" s="1396"/>
      <c r="BH44" s="1397"/>
      <c r="BI44" s="1452"/>
      <c r="BJ44" s="1395"/>
      <c r="BK44" s="1376"/>
      <c r="BL44" s="1383"/>
      <c r="BM44" s="1383"/>
      <c r="BN44" s="1383"/>
      <c r="BO44" s="1396"/>
      <c r="BP44" s="1396"/>
      <c r="BQ44" s="1397"/>
      <c r="BR44" s="248"/>
      <c r="BS44" s="1395"/>
      <c r="BT44" s="1376"/>
      <c r="BU44" s="1383"/>
      <c r="BV44" s="1383"/>
      <c r="BW44" s="1396"/>
      <c r="BX44" s="1396"/>
      <c r="BY44" s="1397"/>
      <c r="BZ44" s="248"/>
      <c r="CA44" s="1395"/>
      <c r="CB44" s="1376"/>
      <c r="CC44" s="1383"/>
      <c r="CD44" s="1383"/>
      <c r="CE44" s="1396"/>
      <c r="CF44" s="1396"/>
      <c r="CG44" s="1397"/>
      <c r="CI44" s="1395"/>
      <c r="CJ44" s="1376"/>
      <c r="CK44" s="1383"/>
      <c r="CL44" s="1383"/>
      <c r="CM44" s="1396"/>
      <c r="CN44" s="1396"/>
      <c r="CO44" s="1397"/>
      <c r="CP44" s="1370"/>
      <c r="CQ44" s="1434"/>
      <c r="CR44" s="1434"/>
      <c r="CS44" s="1434"/>
      <c r="CT44" s="1434"/>
      <c r="CU44" s="1401" t="n">
        <f aca="false">CQ44-CS44</f>
        <v>0</v>
      </c>
      <c r="CV44" s="1401"/>
      <c r="CW44" s="1402" t="str">
        <f aca="false">IFERROR(CQ44/CR44-1,"-")</f>
        <v>-</v>
      </c>
      <c r="CY44" s="1434"/>
      <c r="CZ44" s="1434"/>
      <c r="DA44" s="1434"/>
      <c r="DB44" s="1434"/>
      <c r="DC44" s="1434"/>
      <c r="DD44" s="1403" t="e">
        <f aca="false">CY44/$DC44-1</f>
        <v>#DIV/0!</v>
      </c>
      <c r="DE44" s="1401" t="e">
        <f aca="false">CZ44/$DC44-1</f>
        <v>#DIV/0!</v>
      </c>
      <c r="DF44" s="1401" t="e">
        <f aca="false">DA44/$DC44-1</f>
        <v>#DIV/0!</v>
      </c>
      <c r="DG44" s="1401" t="e">
        <f aca="false">DB44/$DC44-1</f>
        <v>#DIV/0!</v>
      </c>
    </row>
    <row r="45" customFormat="false" ht="15" hidden="false" customHeight="false" outlineLevel="0" collapsed="false">
      <c r="A45" s="1393"/>
      <c r="B45" s="1456" t="s">
        <v>937</v>
      </c>
      <c r="C45" s="1333"/>
      <c r="D45" s="1395"/>
      <c r="E45" s="1383"/>
      <c r="F45" s="1383"/>
      <c r="G45" s="1396"/>
      <c r="H45" s="1397"/>
      <c r="I45" s="1333"/>
      <c r="J45" s="1395"/>
      <c r="K45" s="1383"/>
      <c r="L45" s="1383"/>
      <c r="M45" s="1396"/>
      <c r="N45" s="1397"/>
      <c r="O45" s="1333"/>
      <c r="P45" s="1395"/>
      <c r="Q45" s="1376"/>
      <c r="R45" s="1385"/>
      <c r="S45" s="1396"/>
      <c r="T45" s="1397"/>
      <c r="U45" s="1325"/>
      <c r="V45" s="1395"/>
      <c r="W45" s="1376"/>
      <c r="X45" s="1376"/>
      <c r="Y45" s="1376"/>
      <c r="Z45" s="1396"/>
      <c r="AA45" s="1396"/>
      <c r="AB45" s="1397"/>
      <c r="AD45" s="1395"/>
      <c r="AE45" s="1376"/>
      <c r="AF45" s="1376"/>
      <c r="AG45" s="1376"/>
      <c r="AH45" s="1396"/>
      <c r="AI45" s="1396"/>
      <c r="AJ45" s="1397"/>
      <c r="AK45" s="1335"/>
      <c r="AL45" s="1395"/>
      <c r="AM45" s="1376"/>
      <c r="AN45" s="1383"/>
      <c r="AO45" s="1385"/>
      <c r="AP45" s="1396"/>
      <c r="AQ45" s="1396"/>
      <c r="AR45" s="1397"/>
      <c r="AS45" s="1399"/>
      <c r="AT45" s="1395"/>
      <c r="AU45" s="1376"/>
      <c r="AV45" s="1383"/>
      <c r="AW45" s="1385"/>
      <c r="AX45" s="1396"/>
      <c r="AY45" s="1396"/>
      <c r="AZ45" s="1397"/>
      <c r="BA45" s="1452"/>
      <c r="BB45" s="1395"/>
      <c r="BC45" s="1376"/>
      <c r="BD45" s="1383"/>
      <c r="BE45" s="1385"/>
      <c r="BF45" s="1396"/>
      <c r="BG45" s="1396"/>
      <c r="BH45" s="1397"/>
      <c r="BJ45" s="1395"/>
      <c r="BK45" s="1376"/>
      <c r="BL45" s="1383"/>
      <c r="BM45" s="1383"/>
      <c r="BN45" s="1383"/>
      <c r="BO45" s="1396"/>
      <c r="BP45" s="1396"/>
      <c r="BQ45" s="1397"/>
      <c r="BS45" s="1395"/>
      <c r="BT45" s="1376"/>
      <c r="BU45" s="1383"/>
      <c r="BV45" s="1383"/>
      <c r="BW45" s="1396"/>
      <c r="BX45" s="1396"/>
      <c r="BY45" s="1397"/>
      <c r="CA45" s="1395"/>
      <c r="CB45" s="1376"/>
      <c r="CC45" s="1383"/>
      <c r="CD45" s="1383"/>
      <c r="CE45" s="1396"/>
      <c r="CF45" s="1396"/>
      <c r="CG45" s="1397"/>
      <c r="CI45" s="1395"/>
      <c r="CJ45" s="1376"/>
      <c r="CK45" s="1383"/>
      <c r="CL45" s="1383"/>
      <c r="CM45" s="1396"/>
      <c r="CN45" s="1396"/>
      <c r="CO45" s="1397"/>
      <c r="CP45" s="1370"/>
      <c r="CQ45" s="1434"/>
      <c r="CR45" s="1434"/>
      <c r="CS45" s="1434"/>
      <c r="CT45" s="1434"/>
      <c r="CU45" s="1401" t="n">
        <f aca="false">CQ45-CS45</f>
        <v>0</v>
      </c>
      <c r="CV45" s="1401"/>
      <c r="CW45" s="1402" t="str">
        <f aca="false">IFERROR(CQ45/CR45-1,"-")</f>
        <v>-</v>
      </c>
      <c r="CY45" s="1434"/>
      <c r="CZ45" s="1434"/>
      <c r="DA45" s="1434"/>
      <c r="DB45" s="1434"/>
      <c r="DC45" s="1434"/>
      <c r="DD45" s="1403" t="e">
        <f aca="false">CY45/$DC45-1</f>
        <v>#DIV/0!</v>
      </c>
      <c r="DE45" s="1401" t="e">
        <f aca="false">CZ45/$DC45-1</f>
        <v>#DIV/0!</v>
      </c>
      <c r="DF45" s="1401" t="e">
        <f aca="false">DA45/$DC45-1</f>
        <v>#DIV/0!</v>
      </c>
      <c r="DG45" s="1401" t="e">
        <f aca="false">DB45/$DC45-1</f>
        <v>#DIV/0!</v>
      </c>
    </row>
    <row r="46" customFormat="false" ht="15" hidden="false" customHeight="false" outlineLevel="0" collapsed="false">
      <c r="A46" s="1393"/>
      <c r="B46" s="1456" t="s">
        <v>938</v>
      </c>
      <c r="C46" s="1333"/>
      <c r="D46" s="1395"/>
      <c r="E46" s="1383"/>
      <c r="F46" s="1383"/>
      <c r="G46" s="1396"/>
      <c r="H46" s="1397"/>
      <c r="I46" s="1333"/>
      <c r="J46" s="1395"/>
      <c r="K46" s="1383"/>
      <c r="L46" s="1383"/>
      <c r="M46" s="1396"/>
      <c r="N46" s="1397"/>
      <c r="O46" s="1333"/>
      <c r="P46" s="1395"/>
      <c r="Q46" s="1376"/>
      <c r="R46" s="1385"/>
      <c r="S46" s="1396"/>
      <c r="T46" s="1397"/>
      <c r="U46" s="1325"/>
      <c r="V46" s="1395"/>
      <c r="W46" s="1376"/>
      <c r="X46" s="1376"/>
      <c r="Y46" s="1376"/>
      <c r="Z46" s="1396"/>
      <c r="AA46" s="1396"/>
      <c r="AB46" s="1397"/>
      <c r="AD46" s="1395"/>
      <c r="AE46" s="1376"/>
      <c r="AF46" s="1376"/>
      <c r="AG46" s="1376"/>
      <c r="AH46" s="1396"/>
      <c r="AI46" s="1396"/>
      <c r="AJ46" s="1397"/>
      <c r="AK46" s="1335"/>
      <c r="AL46" s="1395"/>
      <c r="AM46" s="1376"/>
      <c r="AN46" s="1383"/>
      <c r="AO46" s="1385"/>
      <c r="AP46" s="1396"/>
      <c r="AQ46" s="1396"/>
      <c r="AR46" s="1397"/>
      <c r="AS46" s="1399"/>
      <c r="AT46" s="1395"/>
      <c r="AU46" s="1376"/>
      <c r="AV46" s="1383"/>
      <c r="AW46" s="1385"/>
      <c r="AX46" s="1396"/>
      <c r="AY46" s="1396"/>
      <c r="AZ46" s="1397"/>
      <c r="BA46" s="1333"/>
      <c r="BB46" s="1395"/>
      <c r="BC46" s="1376"/>
      <c r="BD46" s="1383"/>
      <c r="BE46" s="1385"/>
      <c r="BF46" s="1396"/>
      <c r="BG46" s="1396"/>
      <c r="BH46" s="1397"/>
      <c r="BI46" s="1333"/>
      <c r="BJ46" s="1395"/>
      <c r="BK46" s="1376"/>
      <c r="BL46" s="1383"/>
      <c r="BM46" s="1383"/>
      <c r="BN46" s="1383"/>
      <c r="BO46" s="1396"/>
      <c r="BP46" s="1396"/>
      <c r="BQ46" s="1397"/>
      <c r="BS46" s="1395"/>
      <c r="BT46" s="1376"/>
      <c r="BU46" s="1383"/>
      <c r="BV46" s="1383"/>
      <c r="BW46" s="1396"/>
      <c r="BX46" s="1396"/>
      <c r="BY46" s="1397"/>
      <c r="BZ46" s="248"/>
      <c r="CA46" s="1395"/>
      <c r="CB46" s="1376"/>
      <c r="CC46" s="1383"/>
      <c r="CD46" s="1383"/>
      <c r="CE46" s="1396"/>
      <c r="CF46" s="1396"/>
      <c r="CG46" s="1397"/>
      <c r="CI46" s="1395"/>
      <c r="CJ46" s="1376"/>
      <c r="CK46" s="1383"/>
      <c r="CL46" s="1383"/>
      <c r="CM46" s="1396"/>
      <c r="CN46" s="1396"/>
      <c r="CO46" s="1397"/>
      <c r="CP46" s="1370"/>
      <c r="CQ46" s="1434"/>
      <c r="CR46" s="1434"/>
      <c r="CS46" s="1434"/>
      <c r="CT46" s="1434"/>
      <c r="CU46" s="1401" t="n">
        <f aca="false">CQ46-CS46</f>
        <v>0</v>
      </c>
      <c r="CV46" s="1401"/>
      <c r="CW46" s="1402" t="str">
        <f aca="false">IFERROR(CQ46/CR46-1,"-")</f>
        <v>-</v>
      </c>
      <c r="CY46" s="1434"/>
      <c r="CZ46" s="1434"/>
      <c r="DA46" s="1434"/>
      <c r="DB46" s="1434"/>
      <c r="DC46" s="1434"/>
      <c r="DD46" s="1403" t="e">
        <f aca="false">CY46/$DC46-1</f>
        <v>#DIV/0!</v>
      </c>
      <c r="DE46" s="1401" t="e">
        <f aca="false">CZ46/$DC46-1</f>
        <v>#DIV/0!</v>
      </c>
      <c r="DF46" s="1401" t="e">
        <f aca="false">DA46/$DC46-1</f>
        <v>#DIV/0!</v>
      </c>
      <c r="DG46" s="1401" t="e">
        <f aca="false">DB46/$DC46-1</f>
        <v>#DIV/0!</v>
      </c>
    </row>
    <row r="47" customFormat="false" ht="15" hidden="false" customHeight="false" outlineLevel="0" collapsed="false">
      <c r="A47" s="1393"/>
      <c r="B47" s="1456" t="s">
        <v>939</v>
      </c>
      <c r="C47" s="1333"/>
      <c r="D47" s="1395"/>
      <c r="E47" s="1383"/>
      <c r="F47" s="1383"/>
      <c r="G47" s="1396"/>
      <c r="H47" s="1397"/>
      <c r="I47" s="1333"/>
      <c r="J47" s="1395"/>
      <c r="K47" s="1383"/>
      <c r="L47" s="1383"/>
      <c r="M47" s="1396"/>
      <c r="N47" s="1397"/>
      <c r="O47" s="1333"/>
      <c r="P47" s="1395"/>
      <c r="Q47" s="1376"/>
      <c r="R47" s="1385"/>
      <c r="S47" s="1396"/>
      <c r="T47" s="1397"/>
      <c r="U47" s="1325"/>
      <c r="V47" s="1395"/>
      <c r="W47" s="1376"/>
      <c r="X47" s="1376"/>
      <c r="Y47" s="1376"/>
      <c r="Z47" s="1396"/>
      <c r="AA47" s="1396"/>
      <c r="AB47" s="1397"/>
      <c r="AD47" s="1395"/>
      <c r="AE47" s="1376"/>
      <c r="AF47" s="1376"/>
      <c r="AG47" s="1376"/>
      <c r="AH47" s="1396"/>
      <c r="AI47" s="1396"/>
      <c r="AJ47" s="1397"/>
      <c r="AK47" s="1335"/>
      <c r="AL47" s="1395"/>
      <c r="AM47" s="1376"/>
      <c r="AN47" s="1383"/>
      <c r="AO47" s="1385"/>
      <c r="AP47" s="1396"/>
      <c r="AQ47" s="1396"/>
      <c r="AR47" s="1397"/>
      <c r="AS47" s="1399"/>
      <c r="AT47" s="1395"/>
      <c r="AU47" s="1376"/>
      <c r="AV47" s="1383"/>
      <c r="AW47" s="1385"/>
      <c r="AX47" s="1396"/>
      <c r="AY47" s="1396"/>
      <c r="AZ47" s="1397"/>
      <c r="BA47" s="1333"/>
      <c r="BB47" s="1395"/>
      <c r="BC47" s="1376"/>
      <c r="BD47" s="1383"/>
      <c r="BE47" s="1385"/>
      <c r="BF47" s="1396"/>
      <c r="BG47" s="1396"/>
      <c r="BH47" s="1397"/>
      <c r="BI47" s="1333"/>
      <c r="BJ47" s="1395"/>
      <c r="BK47" s="1376"/>
      <c r="BL47" s="1383"/>
      <c r="BM47" s="1383"/>
      <c r="BN47" s="1383"/>
      <c r="BO47" s="1396"/>
      <c r="BP47" s="1396"/>
      <c r="BQ47" s="1397"/>
      <c r="BS47" s="1395"/>
      <c r="BT47" s="1376"/>
      <c r="BU47" s="1383"/>
      <c r="BV47" s="1383"/>
      <c r="BW47" s="1396"/>
      <c r="BX47" s="1396"/>
      <c r="BY47" s="1397"/>
      <c r="BZ47" s="248"/>
      <c r="CA47" s="1395"/>
      <c r="CB47" s="1376"/>
      <c r="CC47" s="1383"/>
      <c r="CD47" s="1383"/>
      <c r="CE47" s="1396"/>
      <c r="CF47" s="1396"/>
      <c r="CG47" s="1397"/>
      <c r="CI47" s="1395"/>
      <c r="CJ47" s="1376"/>
      <c r="CK47" s="1383"/>
      <c r="CL47" s="1383"/>
      <c r="CM47" s="1396"/>
      <c r="CN47" s="1396"/>
      <c r="CO47" s="1397"/>
      <c r="CP47" s="1370"/>
      <c r="CQ47" s="1434"/>
      <c r="CR47" s="1434"/>
      <c r="CS47" s="1434"/>
      <c r="CT47" s="1434"/>
      <c r="CU47" s="1401" t="n">
        <f aca="false">CQ47-CS47</f>
        <v>0</v>
      </c>
      <c r="CV47" s="1401"/>
      <c r="CW47" s="1402" t="str">
        <f aca="false">IFERROR(CQ47/CR47-1,"-")</f>
        <v>-</v>
      </c>
      <c r="CY47" s="1434"/>
      <c r="CZ47" s="1434"/>
      <c r="DA47" s="1434"/>
      <c r="DB47" s="1434"/>
      <c r="DC47" s="1434"/>
      <c r="DD47" s="1403" t="e">
        <f aca="false">CY47/$DC47-1</f>
        <v>#DIV/0!</v>
      </c>
      <c r="DE47" s="1401" t="e">
        <f aca="false">CZ47/$DC47-1</f>
        <v>#DIV/0!</v>
      </c>
      <c r="DF47" s="1401" t="e">
        <f aca="false">DA47/$DC47-1</f>
        <v>#DIV/0!</v>
      </c>
      <c r="DG47" s="1401" t="e">
        <f aca="false">DB47/$DC47-1</f>
        <v>#DIV/0!</v>
      </c>
    </row>
    <row r="48" customFormat="false" ht="15" hidden="false" customHeight="false" outlineLevel="0" collapsed="false">
      <c r="A48" s="1393"/>
      <c r="B48" s="1456" t="s">
        <v>941</v>
      </c>
      <c r="C48" s="1333"/>
      <c r="D48" s="1395"/>
      <c r="E48" s="1383"/>
      <c r="F48" s="1383"/>
      <c r="G48" s="1396"/>
      <c r="H48" s="1397"/>
      <c r="I48" s="1333"/>
      <c r="J48" s="1395"/>
      <c r="K48" s="1383"/>
      <c r="L48" s="1383"/>
      <c r="M48" s="1396"/>
      <c r="N48" s="1397"/>
      <c r="O48" s="1333"/>
      <c r="P48" s="1395"/>
      <c r="Q48" s="1376"/>
      <c r="R48" s="1385"/>
      <c r="S48" s="1396"/>
      <c r="T48" s="1397"/>
      <c r="U48" s="1325"/>
      <c r="V48" s="1395"/>
      <c r="W48" s="1376"/>
      <c r="X48" s="1376"/>
      <c r="Y48" s="1376"/>
      <c r="Z48" s="1396"/>
      <c r="AA48" s="1396"/>
      <c r="AB48" s="1397"/>
      <c r="AD48" s="1395"/>
      <c r="AE48" s="1376"/>
      <c r="AF48" s="1376"/>
      <c r="AG48" s="1376"/>
      <c r="AH48" s="1396"/>
      <c r="AI48" s="1396"/>
      <c r="AJ48" s="1397"/>
      <c r="AK48" s="1335"/>
      <c r="AL48" s="1395"/>
      <c r="AM48" s="1376"/>
      <c r="AN48" s="1383"/>
      <c r="AO48" s="1385"/>
      <c r="AP48" s="1396"/>
      <c r="AQ48" s="1396"/>
      <c r="AR48" s="1397"/>
      <c r="AS48" s="1399"/>
      <c r="AT48" s="1395"/>
      <c r="AU48" s="1376"/>
      <c r="AV48" s="1383"/>
      <c r="AW48" s="1385"/>
      <c r="AX48" s="1396"/>
      <c r="AY48" s="1396"/>
      <c r="AZ48" s="1397"/>
      <c r="BA48" s="1333"/>
      <c r="BB48" s="1395"/>
      <c r="BC48" s="1376"/>
      <c r="BD48" s="1383"/>
      <c r="BE48" s="1385"/>
      <c r="BF48" s="1396"/>
      <c r="BG48" s="1396"/>
      <c r="BH48" s="1397"/>
      <c r="BI48" s="1333"/>
      <c r="BJ48" s="1395"/>
      <c r="BK48" s="1376"/>
      <c r="BL48" s="1383"/>
      <c r="BM48" s="1383"/>
      <c r="BN48" s="1383"/>
      <c r="BO48" s="1396"/>
      <c r="BP48" s="1396"/>
      <c r="BQ48" s="1397"/>
      <c r="BS48" s="1395"/>
      <c r="BT48" s="1376"/>
      <c r="BU48" s="1383"/>
      <c r="BV48" s="1383"/>
      <c r="BW48" s="1396"/>
      <c r="BX48" s="1396"/>
      <c r="BY48" s="1397"/>
      <c r="CA48" s="1395"/>
      <c r="CB48" s="1376"/>
      <c r="CC48" s="1383"/>
      <c r="CD48" s="1383"/>
      <c r="CE48" s="1396"/>
      <c r="CF48" s="1396"/>
      <c r="CG48" s="1397"/>
      <c r="CI48" s="1395"/>
      <c r="CJ48" s="1376"/>
      <c r="CK48" s="1383"/>
      <c r="CL48" s="1383"/>
      <c r="CM48" s="1396"/>
      <c r="CN48" s="1396"/>
      <c r="CO48" s="1397"/>
      <c r="CP48" s="1370"/>
      <c r="CQ48" s="1434"/>
      <c r="CR48" s="1434"/>
      <c r="CS48" s="1434"/>
      <c r="CT48" s="1434"/>
      <c r="CU48" s="1401" t="n">
        <f aca="false">CQ48-CS48</f>
        <v>0</v>
      </c>
      <c r="CV48" s="1401"/>
      <c r="CW48" s="1402" t="str">
        <f aca="false">IFERROR(CQ48/CR48-1,"-")</f>
        <v>-</v>
      </c>
      <c r="CY48" s="1434"/>
      <c r="CZ48" s="1434"/>
      <c r="DA48" s="1434"/>
      <c r="DB48" s="1434"/>
      <c r="DC48" s="1434"/>
      <c r="DD48" s="1403" t="e">
        <f aca="false">CY48/$DC48-1</f>
        <v>#DIV/0!</v>
      </c>
      <c r="DE48" s="1401" t="e">
        <f aca="false">CZ48/$DC48-1</f>
        <v>#DIV/0!</v>
      </c>
      <c r="DF48" s="1401" t="e">
        <f aca="false">DA48/$DC48-1</f>
        <v>#DIV/0!</v>
      </c>
      <c r="DG48" s="1401" t="e">
        <f aca="false">DB48/$DC48-1</f>
        <v>#DIV/0!</v>
      </c>
    </row>
    <row r="49" customFormat="false" ht="15" hidden="false" customHeight="false" outlineLevel="0" collapsed="false">
      <c r="A49" s="1393"/>
      <c r="B49" s="1456" t="s">
        <v>943</v>
      </c>
      <c r="C49" s="1333"/>
      <c r="D49" s="1395"/>
      <c r="E49" s="1383"/>
      <c r="F49" s="1383"/>
      <c r="G49" s="1396"/>
      <c r="H49" s="1397"/>
      <c r="I49" s="1333"/>
      <c r="J49" s="1395"/>
      <c r="K49" s="1383"/>
      <c r="L49" s="1383"/>
      <c r="M49" s="1396"/>
      <c r="N49" s="1397"/>
      <c r="O49" s="1333"/>
      <c r="P49" s="1395"/>
      <c r="Q49" s="1376"/>
      <c r="R49" s="1385"/>
      <c r="S49" s="1396"/>
      <c r="T49" s="1397"/>
      <c r="U49" s="1325"/>
      <c r="V49" s="1395"/>
      <c r="W49" s="1376"/>
      <c r="X49" s="1376"/>
      <c r="Y49" s="1376"/>
      <c r="Z49" s="1396"/>
      <c r="AA49" s="1396"/>
      <c r="AB49" s="1397"/>
      <c r="AD49" s="1395"/>
      <c r="AE49" s="1376"/>
      <c r="AF49" s="1376"/>
      <c r="AG49" s="1376"/>
      <c r="AH49" s="1396"/>
      <c r="AI49" s="1396"/>
      <c r="AJ49" s="1397"/>
      <c r="AK49" s="1335"/>
      <c r="AL49" s="1395"/>
      <c r="AM49" s="1376"/>
      <c r="AN49" s="1383"/>
      <c r="AO49" s="1385"/>
      <c r="AP49" s="1396"/>
      <c r="AQ49" s="1396"/>
      <c r="AR49" s="1397"/>
      <c r="AS49" s="1399"/>
      <c r="AT49" s="1395"/>
      <c r="AU49" s="1376"/>
      <c r="AV49" s="1383"/>
      <c r="AW49" s="1385"/>
      <c r="AX49" s="1396"/>
      <c r="AY49" s="1396"/>
      <c r="AZ49" s="1397"/>
      <c r="BA49" s="1333"/>
      <c r="BB49" s="1395"/>
      <c r="BC49" s="1376"/>
      <c r="BD49" s="1383"/>
      <c r="BE49" s="1385"/>
      <c r="BF49" s="1396"/>
      <c r="BG49" s="1396"/>
      <c r="BH49" s="1397"/>
      <c r="BI49" s="1333"/>
      <c r="BJ49" s="1395"/>
      <c r="BK49" s="1376"/>
      <c r="BL49" s="1383"/>
      <c r="BM49" s="1383"/>
      <c r="BN49" s="1383"/>
      <c r="BO49" s="1396"/>
      <c r="BP49" s="1396"/>
      <c r="BQ49" s="1397"/>
      <c r="BR49" s="248"/>
      <c r="BS49" s="1395"/>
      <c r="BT49" s="1376"/>
      <c r="BU49" s="1383"/>
      <c r="BV49" s="1383"/>
      <c r="BW49" s="1396"/>
      <c r="BX49" s="1396"/>
      <c r="BY49" s="1397"/>
      <c r="CA49" s="1395"/>
      <c r="CB49" s="1376"/>
      <c r="CC49" s="1383"/>
      <c r="CD49" s="1383"/>
      <c r="CE49" s="1396"/>
      <c r="CF49" s="1396"/>
      <c r="CG49" s="1397"/>
      <c r="CI49" s="1395"/>
      <c r="CJ49" s="1376"/>
      <c r="CK49" s="1383"/>
      <c r="CL49" s="1383"/>
      <c r="CM49" s="1396"/>
      <c r="CN49" s="1396"/>
      <c r="CO49" s="1397"/>
      <c r="CP49" s="1370"/>
      <c r="CQ49" s="1434"/>
      <c r="CR49" s="1434"/>
      <c r="CS49" s="1434"/>
      <c r="CT49" s="1434"/>
      <c r="CU49" s="1401" t="n">
        <f aca="false">CQ49-CS49</f>
        <v>0</v>
      </c>
      <c r="CV49" s="1401"/>
      <c r="CW49" s="1402" t="str">
        <f aca="false">IFERROR(CQ49/CR49-1,"-")</f>
        <v>-</v>
      </c>
      <c r="CY49" s="1434"/>
      <c r="CZ49" s="1434"/>
      <c r="DA49" s="1434"/>
      <c r="DB49" s="1434"/>
      <c r="DC49" s="1434"/>
      <c r="DD49" s="1403" t="e">
        <f aca="false">CY49/$DC49-1</f>
        <v>#DIV/0!</v>
      </c>
      <c r="DE49" s="1401" t="e">
        <f aca="false">CZ49/$DC49-1</f>
        <v>#DIV/0!</v>
      </c>
      <c r="DF49" s="1401" t="e">
        <f aca="false">DA49/$DC49-1</f>
        <v>#DIV/0!</v>
      </c>
      <c r="DG49" s="1401" t="e">
        <f aca="false">DB49/$DC49-1</f>
        <v>#DIV/0!</v>
      </c>
    </row>
    <row r="50" customFormat="false" ht="15" hidden="false" customHeight="false" outlineLevel="0" collapsed="false">
      <c r="A50" s="1393"/>
      <c r="B50" s="1456" t="s">
        <v>944</v>
      </c>
      <c r="C50" s="1333"/>
      <c r="D50" s="1395"/>
      <c r="E50" s="1383"/>
      <c r="F50" s="1383"/>
      <c r="G50" s="1396"/>
      <c r="H50" s="1397"/>
      <c r="I50" s="1333"/>
      <c r="J50" s="1395"/>
      <c r="K50" s="1383"/>
      <c r="L50" s="1383"/>
      <c r="M50" s="1396"/>
      <c r="N50" s="1397"/>
      <c r="O50" s="1333"/>
      <c r="P50" s="1395"/>
      <c r="Q50" s="1376"/>
      <c r="R50" s="1385"/>
      <c r="S50" s="1396"/>
      <c r="T50" s="1397"/>
      <c r="U50" s="1325"/>
      <c r="V50" s="1395"/>
      <c r="W50" s="1376"/>
      <c r="X50" s="1376"/>
      <c r="Y50" s="1376"/>
      <c r="Z50" s="1396"/>
      <c r="AA50" s="1396"/>
      <c r="AB50" s="1397"/>
      <c r="AD50" s="1395"/>
      <c r="AE50" s="1376"/>
      <c r="AF50" s="1376"/>
      <c r="AG50" s="1376"/>
      <c r="AH50" s="1396"/>
      <c r="AI50" s="1396"/>
      <c r="AJ50" s="1397"/>
      <c r="AK50" s="1335"/>
      <c r="AL50" s="1395"/>
      <c r="AM50" s="1376"/>
      <c r="AN50" s="1383"/>
      <c r="AO50" s="1385"/>
      <c r="AP50" s="1396"/>
      <c r="AQ50" s="1396"/>
      <c r="AR50" s="1397"/>
      <c r="AS50" s="1399"/>
      <c r="AT50" s="1395"/>
      <c r="AU50" s="1376"/>
      <c r="AV50" s="1383"/>
      <c r="AW50" s="1385"/>
      <c r="AX50" s="1396"/>
      <c r="AY50" s="1396"/>
      <c r="AZ50" s="1397"/>
      <c r="BA50" s="1333"/>
      <c r="BB50" s="1395"/>
      <c r="BC50" s="1376"/>
      <c r="BD50" s="1383"/>
      <c r="BE50" s="1385"/>
      <c r="BF50" s="1396"/>
      <c r="BG50" s="1396"/>
      <c r="BH50" s="1397"/>
      <c r="BI50" s="1333"/>
      <c r="BJ50" s="1395"/>
      <c r="BK50" s="1376"/>
      <c r="BL50" s="1383"/>
      <c r="BM50" s="1383"/>
      <c r="BN50" s="1383"/>
      <c r="BO50" s="1396"/>
      <c r="BP50" s="1396"/>
      <c r="BQ50" s="1397"/>
      <c r="BS50" s="1395"/>
      <c r="BT50" s="1376"/>
      <c r="BU50" s="1383"/>
      <c r="BV50" s="1383"/>
      <c r="BW50" s="1396"/>
      <c r="BX50" s="1396"/>
      <c r="BY50" s="1397"/>
      <c r="CA50" s="1395"/>
      <c r="CB50" s="1376"/>
      <c r="CC50" s="1383"/>
      <c r="CD50" s="1383"/>
      <c r="CE50" s="1396"/>
      <c r="CF50" s="1396"/>
      <c r="CG50" s="1397"/>
      <c r="CI50" s="1395"/>
      <c r="CJ50" s="1376"/>
      <c r="CK50" s="1383"/>
      <c r="CL50" s="1383"/>
      <c r="CM50" s="1396"/>
      <c r="CN50" s="1396"/>
      <c r="CO50" s="1397"/>
      <c r="CP50" s="1370"/>
      <c r="CQ50" s="1434"/>
      <c r="CR50" s="1434"/>
      <c r="CS50" s="1434"/>
      <c r="CT50" s="1434"/>
      <c r="CU50" s="1401" t="n">
        <f aca="false">CQ50-CS50</f>
        <v>0</v>
      </c>
      <c r="CV50" s="1401"/>
      <c r="CW50" s="1402" t="str">
        <f aca="false">IFERROR(CQ50/CR50-1,"-")</f>
        <v>-</v>
      </c>
      <c r="CY50" s="1434"/>
      <c r="CZ50" s="1434"/>
      <c r="DA50" s="1434"/>
      <c r="DB50" s="1434"/>
      <c r="DC50" s="1434"/>
      <c r="DD50" s="1403" t="e">
        <f aca="false">CY50/$DC50-1</f>
        <v>#DIV/0!</v>
      </c>
      <c r="DE50" s="1401" t="e">
        <f aca="false">CZ50/$DC50-1</f>
        <v>#DIV/0!</v>
      </c>
      <c r="DF50" s="1401" t="e">
        <f aca="false">DA50/$DC50-1</f>
        <v>#DIV/0!</v>
      </c>
      <c r="DG50" s="1401" t="e">
        <f aca="false">DB50/$DC50-1</f>
        <v>#DIV/0!</v>
      </c>
    </row>
    <row r="51" customFormat="false" ht="15" hidden="false" customHeight="false" outlineLevel="0" collapsed="false">
      <c r="A51" s="1393"/>
      <c r="B51" s="1456" t="s">
        <v>953</v>
      </c>
      <c r="C51" s="1333"/>
      <c r="D51" s="1395"/>
      <c r="E51" s="1383"/>
      <c r="F51" s="1383"/>
      <c r="G51" s="1396"/>
      <c r="H51" s="1397"/>
      <c r="I51" s="1333"/>
      <c r="J51" s="1395"/>
      <c r="K51" s="1383"/>
      <c r="L51" s="1383"/>
      <c r="M51" s="1396"/>
      <c r="N51" s="1397"/>
      <c r="O51" s="1333"/>
      <c r="P51" s="1395"/>
      <c r="Q51" s="1376"/>
      <c r="R51" s="1385"/>
      <c r="S51" s="1396"/>
      <c r="T51" s="1397"/>
      <c r="U51" s="1459"/>
      <c r="V51" s="1395"/>
      <c r="W51" s="1376"/>
      <c r="X51" s="1376"/>
      <c r="Y51" s="1376"/>
      <c r="Z51" s="1396"/>
      <c r="AA51" s="1396"/>
      <c r="AB51" s="1397"/>
      <c r="AD51" s="1395"/>
      <c r="AE51" s="1376"/>
      <c r="AF51" s="1376"/>
      <c r="AG51" s="1376"/>
      <c r="AH51" s="1396"/>
      <c r="AI51" s="1396"/>
      <c r="AJ51" s="1397"/>
      <c r="AK51" s="1335"/>
      <c r="AL51" s="1395"/>
      <c r="AM51" s="1376"/>
      <c r="AN51" s="1383"/>
      <c r="AO51" s="1385"/>
      <c r="AP51" s="1396"/>
      <c r="AQ51" s="1396"/>
      <c r="AR51" s="1397"/>
      <c r="AS51" s="1399"/>
      <c r="AT51" s="1395"/>
      <c r="AU51" s="1376"/>
      <c r="AV51" s="1383"/>
      <c r="AW51" s="1385"/>
      <c r="AX51" s="1396"/>
      <c r="AY51" s="1396"/>
      <c r="AZ51" s="1397"/>
      <c r="BA51" s="1333"/>
      <c r="BB51" s="1395"/>
      <c r="BC51" s="1376"/>
      <c r="BD51" s="1383"/>
      <c r="BE51" s="1385"/>
      <c r="BF51" s="1396"/>
      <c r="BG51" s="1396"/>
      <c r="BH51" s="1397"/>
      <c r="BI51" s="1333"/>
      <c r="BJ51" s="1395"/>
      <c r="BK51" s="1376"/>
      <c r="BL51" s="1383"/>
      <c r="BM51" s="1383"/>
      <c r="BN51" s="1383"/>
      <c r="BO51" s="1396"/>
      <c r="BP51" s="1396"/>
      <c r="BQ51" s="1397"/>
      <c r="BS51" s="1395"/>
      <c r="BT51" s="1376"/>
      <c r="BU51" s="1383"/>
      <c r="BV51" s="1383"/>
      <c r="BW51" s="1396"/>
      <c r="BX51" s="1396"/>
      <c r="BY51" s="1397"/>
      <c r="CA51" s="1395"/>
      <c r="CB51" s="1376"/>
      <c r="CC51" s="1383"/>
      <c r="CD51" s="1383"/>
      <c r="CE51" s="1396"/>
      <c r="CF51" s="1396"/>
      <c r="CG51" s="1397"/>
      <c r="CI51" s="1395"/>
      <c r="CJ51" s="1376"/>
      <c r="CK51" s="1383"/>
      <c r="CL51" s="1383"/>
      <c r="CM51" s="1396"/>
      <c r="CN51" s="1396"/>
      <c r="CO51" s="1397"/>
      <c r="CP51" s="1370"/>
      <c r="CQ51" s="1440"/>
      <c r="CR51" s="1440"/>
      <c r="CS51" s="1440"/>
      <c r="CT51" s="1440"/>
      <c r="CU51" s="1401" t="n">
        <f aca="false">CQ51-CS51</f>
        <v>0</v>
      </c>
      <c r="CV51" s="1401"/>
      <c r="CW51" s="1402" t="str">
        <f aca="false">IFERROR(CQ51/CR51-1,"-")</f>
        <v>-</v>
      </c>
      <c r="CY51" s="1440"/>
      <c r="CZ51" s="1440"/>
      <c r="DA51" s="1440"/>
      <c r="DB51" s="1440"/>
      <c r="DC51" s="1440"/>
      <c r="DD51" s="1403" t="e">
        <f aca="false">CY51/$DC51-1</f>
        <v>#DIV/0!</v>
      </c>
      <c r="DE51" s="1401" t="e">
        <f aca="false">CZ51/$DC51-1</f>
        <v>#DIV/0!</v>
      </c>
      <c r="DF51" s="1401" t="e">
        <f aca="false">DA51/$DC51-1</f>
        <v>#DIV/0!</v>
      </c>
      <c r="DG51" s="1401" t="e">
        <f aca="false">DB51/$DC51-1</f>
        <v>#DIV/0!</v>
      </c>
    </row>
    <row r="52" customFormat="false" ht="15" hidden="false" customHeight="false" outlineLevel="0" collapsed="false">
      <c r="A52" s="1460"/>
      <c r="B52" s="1461" t="s">
        <v>954</v>
      </c>
      <c r="C52" s="1333"/>
      <c r="D52" s="1363"/>
      <c r="E52" s="1453"/>
      <c r="F52" s="1453"/>
      <c r="G52" s="1365"/>
      <c r="H52" s="1366"/>
      <c r="I52" s="1454"/>
      <c r="J52" s="1363"/>
      <c r="K52" s="1453"/>
      <c r="L52" s="1453"/>
      <c r="M52" s="1365"/>
      <c r="N52" s="1366"/>
      <c r="O52" s="1454"/>
      <c r="P52" s="1363"/>
      <c r="Q52" s="1364"/>
      <c r="R52" s="1462"/>
      <c r="S52" s="1365"/>
      <c r="T52" s="1366"/>
      <c r="U52" s="1459"/>
      <c r="V52" s="1363"/>
      <c r="W52" s="1364"/>
      <c r="X52" s="1462"/>
      <c r="Y52" s="1462"/>
      <c r="Z52" s="1365"/>
      <c r="AA52" s="1365"/>
      <c r="AB52" s="1366"/>
      <c r="AC52" s="1398"/>
      <c r="AD52" s="1363"/>
      <c r="AE52" s="1364"/>
      <c r="AF52" s="1462"/>
      <c r="AG52" s="1462"/>
      <c r="AH52" s="1365"/>
      <c r="AI52" s="1365"/>
      <c r="AJ52" s="1366"/>
      <c r="AK52" s="1463"/>
      <c r="AL52" s="1363"/>
      <c r="AM52" s="1364"/>
      <c r="AN52" s="1453"/>
      <c r="AO52" s="1462"/>
      <c r="AP52" s="1365"/>
      <c r="AQ52" s="1365"/>
      <c r="AR52" s="1366"/>
      <c r="AS52" s="1333"/>
      <c r="AT52" s="1363"/>
      <c r="AU52" s="1364"/>
      <c r="AV52" s="1453"/>
      <c r="AW52" s="1462"/>
      <c r="AX52" s="1365"/>
      <c r="AY52" s="1365"/>
      <c r="AZ52" s="1366"/>
      <c r="BA52" s="1333"/>
      <c r="BB52" s="1363"/>
      <c r="BC52" s="1364"/>
      <c r="BD52" s="1453"/>
      <c r="BE52" s="1462"/>
      <c r="BF52" s="1365"/>
      <c r="BG52" s="1365"/>
      <c r="BH52" s="1366"/>
      <c r="BI52" s="1333"/>
      <c r="BJ52" s="1363"/>
      <c r="BK52" s="1364"/>
      <c r="BL52" s="1453"/>
      <c r="BM52" s="1453"/>
      <c r="BN52" s="1453"/>
      <c r="BO52" s="1365"/>
      <c r="BP52" s="1365"/>
      <c r="BQ52" s="1366"/>
      <c r="BS52" s="1363"/>
      <c r="BT52" s="1364"/>
      <c r="BU52" s="1453"/>
      <c r="BV52" s="1453"/>
      <c r="BW52" s="1365"/>
      <c r="BX52" s="1365"/>
      <c r="BY52" s="1366"/>
      <c r="CA52" s="1363"/>
      <c r="CB52" s="1364"/>
      <c r="CC52" s="1453"/>
      <c r="CD52" s="1453"/>
      <c r="CE52" s="1365"/>
      <c r="CF52" s="1365"/>
      <c r="CG52" s="1366"/>
      <c r="CI52" s="1363"/>
      <c r="CJ52" s="1364"/>
      <c r="CK52" s="1453"/>
      <c r="CL52" s="1453"/>
      <c r="CM52" s="1365"/>
      <c r="CN52" s="1365"/>
      <c r="CO52" s="1366"/>
      <c r="CP52" s="1370"/>
      <c r="CQ52" s="1440"/>
      <c r="CR52" s="1440"/>
      <c r="CS52" s="1440"/>
      <c r="CT52" s="1440"/>
      <c r="CU52" s="1372" t="n">
        <f aca="false">CQ52-CS52</f>
        <v>0</v>
      </c>
      <c r="CV52" s="1372"/>
      <c r="CW52" s="1373" t="str">
        <f aca="false">IFERROR(CQ52/CR52-1,"-")</f>
        <v>-</v>
      </c>
      <c r="CY52" s="1440"/>
      <c r="CZ52" s="1440"/>
      <c r="DA52" s="1440"/>
      <c r="DB52" s="1440"/>
      <c r="DC52" s="1440"/>
      <c r="DD52" s="1374" t="e">
        <f aca="false">CY52/$DC52-1</f>
        <v>#DIV/0!</v>
      </c>
      <c r="DE52" s="1372" t="e">
        <f aca="false">CZ52/$DC52-1</f>
        <v>#DIV/0!</v>
      </c>
      <c r="DF52" s="1372" t="e">
        <f aca="false">DA52/$DC52-1</f>
        <v>#DIV/0!</v>
      </c>
      <c r="DG52" s="1372" t="e">
        <f aca="false">DB52/$DC52-1</f>
        <v>#DIV/0!</v>
      </c>
    </row>
    <row r="53" customFormat="false" ht="15" hidden="false" customHeight="false" outlineLevel="0" collapsed="false">
      <c r="A53" s="1375"/>
      <c r="B53" s="1456" t="s">
        <v>935</v>
      </c>
      <c r="C53" s="1333"/>
      <c r="D53" s="1395"/>
      <c r="E53" s="1383"/>
      <c r="F53" s="1383"/>
      <c r="G53" s="1396"/>
      <c r="H53" s="1397"/>
      <c r="I53" s="1464"/>
      <c r="J53" s="1395"/>
      <c r="K53" s="1383"/>
      <c r="L53" s="1383"/>
      <c r="M53" s="1396"/>
      <c r="N53" s="1397"/>
      <c r="O53" s="1454"/>
      <c r="P53" s="1395"/>
      <c r="Q53" s="1376"/>
      <c r="R53" s="1385"/>
      <c r="S53" s="1396"/>
      <c r="T53" s="1397"/>
      <c r="U53" s="1459"/>
      <c r="V53" s="1395"/>
      <c r="W53" s="1376"/>
      <c r="X53" s="1376"/>
      <c r="Y53" s="1376"/>
      <c r="Z53" s="1396"/>
      <c r="AA53" s="1396"/>
      <c r="AB53" s="1397"/>
      <c r="AD53" s="1395"/>
      <c r="AE53" s="1376"/>
      <c r="AF53" s="1376"/>
      <c r="AG53" s="1376"/>
      <c r="AH53" s="1396"/>
      <c r="AI53" s="1396"/>
      <c r="AJ53" s="1397"/>
      <c r="AL53" s="1395"/>
      <c r="AM53" s="1376"/>
      <c r="AN53" s="1383"/>
      <c r="AO53" s="1385"/>
      <c r="AP53" s="1396"/>
      <c r="AQ53" s="1396"/>
      <c r="AR53" s="1397"/>
      <c r="AS53" s="1399"/>
      <c r="AT53" s="1395"/>
      <c r="AU53" s="1376"/>
      <c r="AV53" s="1383"/>
      <c r="AW53" s="1385"/>
      <c r="AX53" s="1396"/>
      <c r="AY53" s="1396"/>
      <c r="AZ53" s="1397"/>
      <c r="BA53" s="1333"/>
      <c r="BB53" s="1395"/>
      <c r="BC53" s="1376"/>
      <c r="BD53" s="1383"/>
      <c r="BE53" s="1385"/>
      <c r="BF53" s="1396"/>
      <c r="BG53" s="1396"/>
      <c r="BH53" s="1397"/>
      <c r="BI53" s="1333"/>
      <c r="BJ53" s="1395"/>
      <c r="BK53" s="1376"/>
      <c r="BL53" s="1383"/>
      <c r="BM53" s="1383"/>
      <c r="BN53" s="1383"/>
      <c r="BO53" s="1396"/>
      <c r="BP53" s="1396"/>
      <c r="BQ53" s="1397"/>
      <c r="BR53" s="248"/>
      <c r="BS53" s="1395"/>
      <c r="BT53" s="1376"/>
      <c r="BU53" s="1383"/>
      <c r="BV53" s="1383"/>
      <c r="BW53" s="1396"/>
      <c r="BX53" s="1396"/>
      <c r="BY53" s="1397"/>
      <c r="CA53" s="1395"/>
      <c r="CB53" s="1376"/>
      <c r="CC53" s="1383"/>
      <c r="CD53" s="1383"/>
      <c r="CE53" s="1396"/>
      <c r="CF53" s="1396"/>
      <c r="CG53" s="1397"/>
      <c r="CI53" s="1395"/>
      <c r="CJ53" s="1376"/>
      <c r="CK53" s="1383"/>
      <c r="CL53" s="1383"/>
      <c r="CM53" s="1396"/>
      <c r="CN53" s="1396"/>
      <c r="CO53" s="1397"/>
      <c r="CP53" s="1370"/>
      <c r="CQ53" s="1434"/>
      <c r="CR53" s="1434"/>
      <c r="CS53" s="1434"/>
      <c r="CT53" s="1434"/>
      <c r="CU53" s="1401" t="n">
        <f aca="false">CQ53-CS53</f>
        <v>0</v>
      </c>
      <c r="CV53" s="1401"/>
      <c r="CW53" s="1402" t="str">
        <f aca="false">IFERROR(CQ53/CR53-1,"-")</f>
        <v>-</v>
      </c>
      <c r="CY53" s="1434"/>
      <c r="CZ53" s="1434"/>
      <c r="DA53" s="1434"/>
      <c r="DB53" s="1434"/>
      <c r="DC53" s="1434"/>
      <c r="DD53" s="1403" t="e">
        <f aca="false">CY53/$DC53-1</f>
        <v>#DIV/0!</v>
      </c>
      <c r="DE53" s="1401" t="e">
        <f aca="false">CZ53/$DC53-1</f>
        <v>#DIV/0!</v>
      </c>
      <c r="DF53" s="1401" t="e">
        <f aca="false">DA53/$DC53-1</f>
        <v>#DIV/0!</v>
      </c>
      <c r="DG53" s="1401" t="e">
        <f aca="false">DB53/$DC53-1</f>
        <v>#DIV/0!</v>
      </c>
    </row>
    <row r="54" customFormat="false" ht="15" hidden="false" customHeight="false" outlineLevel="0" collapsed="false">
      <c r="A54" s="1375"/>
      <c r="B54" s="1456" t="s">
        <v>936</v>
      </c>
      <c r="C54" s="1333"/>
      <c r="D54" s="1395"/>
      <c r="E54" s="1383"/>
      <c r="F54" s="1383"/>
      <c r="G54" s="1396"/>
      <c r="H54" s="1397"/>
      <c r="I54" s="1464"/>
      <c r="J54" s="1395"/>
      <c r="K54" s="1383"/>
      <c r="L54" s="1383"/>
      <c r="M54" s="1396"/>
      <c r="N54" s="1397"/>
      <c r="O54" s="1454"/>
      <c r="P54" s="1395"/>
      <c r="Q54" s="1376"/>
      <c r="R54" s="1385"/>
      <c r="S54" s="1396"/>
      <c r="T54" s="1397"/>
      <c r="U54" s="1325"/>
      <c r="V54" s="1395"/>
      <c r="W54" s="1376"/>
      <c r="X54" s="1376"/>
      <c r="Y54" s="1376"/>
      <c r="Z54" s="1396"/>
      <c r="AA54" s="1396"/>
      <c r="AB54" s="1397"/>
      <c r="AD54" s="1395"/>
      <c r="AE54" s="1376"/>
      <c r="AF54" s="1376"/>
      <c r="AG54" s="1376"/>
      <c r="AH54" s="1396"/>
      <c r="AI54" s="1396"/>
      <c r="AJ54" s="1397"/>
      <c r="AL54" s="1395"/>
      <c r="AM54" s="1376"/>
      <c r="AN54" s="1383"/>
      <c r="AO54" s="1385"/>
      <c r="AP54" s="1396"/>
      <c r="AQ54" s="1396"/>
      <c r="AR54" s="1397"/>
      <c r="AS54" s="1399"/>
      <c r="AT54" s="1395"/>
      <c r="AU54" s="1376"/>
      <c r="AV54" s="1383"/>
      <c r="AW54" s="1385"/>
      <c r="AX54" s="1396"/>
      <c r="AY54" s="1396"/>
      <c r="AZ54" s="1397"/>
      <c r="BA54" s="1333"/>
      <c r="BB54" s="1395"/>
      <c r="BC54" s="1376"/>
      <c r="BD54" s="1383"/>
      <c r="BE54" s="1385"/>
      <c r="BF54" s="1396"/>
      <c r="BG54" s="1396"/>
      <c r="BH54" s="1397"/>
      <c r="BI54" s="1333"/>
      <c r="BJ54" s="1395"/>
      <c r="BK54" s="1376"/>
      <c r="BL54" s="1383"/>
      <c r="BM54" s="1383"/>
      <c r="BN54" s="1383"/>
      <c r="BO54" s="1396"/>
      <c r="BP54" s="1396"/>
      <c r="BQ54" s="1397"/>
      <c r="BR54" s="248"/>
      <c r="BS54" s="1395"/>
      <c r="BT54" s="1376"/>
      <c r="BU54" s="1383"/>
      <c r="BV54" s="1383"/>
      <c r="BW54" s="1396"/>
      <c r="BX54" s="1396"/>
      <c r="BY54" s="1397"/>
      <c r="CA54" s="1395"/>
      <c r="CB54" s="1376"/>
      <c r="CC54" s="1383"/>
      <c r="CD54" s="1383"/>
      <c r="CE54" s="1396"/>
      <c r="CF54" s="1396"/>
      <c r="CG54" s="1397"/>
      <c r="CI54" s="1395"/>
      <c r="CJ54" s="1376"/>
      <c r="CK54" s="1383"/>
      <c r="CL54" s="1383"/>
      <c r="CM54" s="1396"/>
      <c r="CN54" s="1396"/>
      <c r="CO54" s="1397"/>
      <c r="CP54" s="1370"/>
      <c r="CQ54" s="1434"/>
      <c r="CR54" s="1434"/>
      <c r="CS54" s="1434"/>
      <c r="CT54" s="1434"/>
      <c r="CU54" s="1401" t="n">
        <f aca="false">CQ54-CS54</f>
        <v>0</v>
      </c>
      <c r="CV54" s="1401"/>
      <c r="CW54" s="1402" t="str">
        <f aca="false">IFERROR(CQ54/CR54-1,"-")</f>
        <v>-</v>
      </c>
      <c r="CY54" s="1434"/>
      <c r="CZ54" s="1434"/>
      <c r="DA54" s="1434"/>
      <c r="DB54" s="1434"/>
      <c r="DC54" s="1434"/>
      <c r="DD54" s="1403" t="e">
        <f aca="false">CY54/$DC54-1</f>
        <v>#DIV/0!</v>
      </c>
      <c r="DE54" s="1401" t="e">
        <f aca="false">CZ54/$DC54-1</f>
        <v>#DIV/0!</v>
      </c>
      <c r="DF54" s="1401" t="e">
        <f aca="false">DA54/$DC54-1</f>
        <v>#DIV/0!</v>
      </c>
      <c r="DG54" s="1401" t="e">
        <f aca="false">DB54/$DC54-1</f>
        <v>#DIV/0!</v>
      </c>
    </row>
    <row r="55" customFormat="false" ht="15" hidden="false" customHeight="false" outlineLevel="0" collapsed="false">
      <c r="A55" s="1375"/>
      <c r="B55" s="1456" t="s">
        <v>937</v>
      </c>
      <c r="C55" s="1333"/>
      <c r="D55" s="1395"/>
      <c r="E55" s="1383"/>
      <c r="F55" s="1383"/>
      <c r="G55" s="1396"/>
      <c r="H55" s="1397"/>
      <c r="I55" s="1333"/>
      <c r="J55" s="1395"/>
      <c r="K55" s="1383"/>
      <c r="L55" s="1383"/>
      <c r="M55" s="1396"/>
      <c r="N55" s="1397"/>
      <c r="O55" s="1333"/>
      <c r="P55" s="1395"/>
      <c r="Q55" s="1376"/>
      <c r="R55" s="1385"/>
      <c r="S55" s="1396"/>
      <c r="T55" s="1397"/>
      <c r="U55" s="1325"/>
      <c r="V55" s="1395"/>
      <c r="W55" s="1376"/>
      <c r="X55" s="1376"/>
      <c r="Y55" s="1376"/>
      <c r="Z55" s="1396"/>
      <c r="AA55" s="1396"/>
      <c r="AB55" s="1397"/>
      <c r="AD55" s="1395"/>
      <c r="AE55" s="1376"/>
      <c r="AF55" s="1376"/>
      <c r="AG55" s="1376"/>
      <c r="AH55" s="1396"/>
      <c r="AI55" s="1396"/>
      <c r="AJ55" s="1397"/>
      <c r="AL55" s="1395"/>
      <c r="AM55" s="1376"/>
      <c r="AN55" s="1383"/>
      <c r="AO55" s="1385"/>
      <c r="AP55" s="1396"/>
      <c r="AQ55" s="1396"/>
      <c r="AR55" s="1397"/>
      <c r="AS55" s="1333"/>
      <c r="AT55" s="1395"/>
      <c r="AU55" s="1376"/>
      <c r="AV55" s="1383"/>
      <c r="AW55" s="1385"/>
      <c r="AX55" s="1396"/>
      <c r="AY55" s="1396"/>
      <c r="AZ55" s="1397"/>
      <c r="BA55" s="1333"/>
      <c r="BB55" s="1395"/>
      <c r="BC55" s="1376"/>
      <c r="BD55" s="1383"/>
      <c r="BE55" s="1385"/>
      <c r="BF55" s="1396"/>
      <c r="BG55" s="1396"/>
      <c r="BH55" s="1397"/>
      <c r="BI55" s="1333"/>
      <c r="BJ55" s="1395"/>
      <c r="BK55" s="1376"/>
      <c r="BL55" s="1383"/>
      <c r="BM55" s="1383"/>
      <c r="BN55" s="1383"/>
      <c r="BO55" s="1396"/>
      <c r="BP55" s="1396"/>
      <c r="BQ55" s="1397"/>
      <c r="BS55" s="1395"/>
      <c r="BT55" s="1376"/>
      <c r="BU55" s="1383"/>
      <c r="BV55" s="1383"/>
      <c r="BW55" s="1396"/>
      <c r="BX55" s="1396"/>
      <c r="BY55" s="1397"/>
      <c r="CA55" s="1395"/>
      <c r="CB55" s="1376"/>
      <c r="CC55" s="1383"/>
      <c r="CD55" s="1383"/>
      <c r="CE55" s="1396"/>
      <c r="CF55" s="1396"/>
      <c r="CG55" s="1397"/>
      <c r="CI55" s="1395"/>
      <c r="CJ55" s="1376"/>
      <c r="CK55" s="1383"/>
      <c r="CL55" s="1383"/>
      <c r="CM55" s="1396"/>
      <c r="CN55" s="1396"/>
      <c r="CO55" s="1397"/>
      <c r="CP55" s="1370"/>
      <c r="CQ55" s="1434"/>
      <c r="CR55" s="1434"/>
      <c r="CS55" s="1434"/>
      <c r="CT55" s="1434"/>
      <c r="CU55" s="1401" t="n">
        <f aca="false">CQ55-CS55</f>
        <v>0</v>
      </c>
      <c r="CV55" s="1401"/>
      <c r="CW55" s="1402" t="str">
        <f aca="false">IFERROR(CQ55/CR55-1,"-")</f>
        <v>-</v>
      </c>
      <c r="CY55" s="1434"/>
      <c r="CZ55" s="1434"/>
      <c r="DA55" s="1434"/>
      <c r="DB55" s="1434"/>
      <c r="DC55" s="1434"/>
      <c r="DD55" s="1403" t="e">
        <f aca="false">CY55/$DC55-1</f>
        <v>#DIV/0!</v>
      </c>
      <c r="DE55" s="1401" t="e">
        <f aca="false">CZ55/$DC55-1</f>
        <v>#DIV/0!</v>
      </c>
      <c r="DF55" s="1401" t="e">
        <f aca="false">DA55/$DC55-1</f>
        <v>#DIV/0!</v>
      </c>
      <c r="DG55" s="1401" t="e">
        <f aca="false">DB55/$DC55-1</f>
        <v>#DIV/0!</v>
      </c>
    </row>
    <row r="56" customFormat="false" ht="15" hidden="false" customHeight="false" outlineLevel="0" collapsed="false">
      <c r="A56" s="1375"/>
      <c r="B56" s="1456" t="s">
        <v>938</v>
      </c>
      <c r="C56" s="1333"/>
      <c r="D56" s="1395"/>
      <c r="E56" s="1383"/>
      <c r="F56" s="1383"/>
      <c r="G56" s="1396"/>
      <c r="H56" s="1397"/>
      <c r="I56" s="1333"/>
      <c r="J56" s="1395"/>
      <c r="K56" s="1383"/>
      <c r="L56" s="1383"/>
      <c r="M56" s="1396"/>
      <c r="N56" s="1397"/>
      <c r="O56" s="1333"/>
      <c r="P56" s="1395"/>
      <c r="Q56" s="1376"/>
      <c r="R56" s="1385"/>
      <c r="S56" s="1396"/>
      <c r="T56" s="1397"/>
      <c r="U56" s="1325"/>
      <c r="V56" s="1395"/>
      <c r="W56" s="1376"/>
      <c r="X56" s="1376"/>
      <c r="Y56" s="1376"/>
      <c r="Z56" s="1396"/>
      <c r="AA56" s="1396"/>
      <c r="AB56" s="1397"/>
      <c r="AD56" s="1395"/>
      <c r="AE56" s="1376"/>
      <c r="AF56" s="1376"/>
      <c r="AG56" s="1376"/>
      <c r="AH56" s="1396"/>
      <c r="AI56" s="1396"/>
      <c r="AJ56" s="1397"/>
      <c r="AK56" s="1335"/>
      <c r="AL56" s="1395"/>
      <c r="AM56" s="1376"/>
      <c r="AN56" s="1383"/>
      <c r="AO56" s="1385"/>
      <c r="AP56" s="1396"/>
      <c r="AQ56" s="1396"/>
      <c r="AR56" s="1397"/>
      <c r="AS56" s="1333"/>
      <c r="AT56" s="1395"/>
      <c r="AU56" s="1376"/>
      <c r="AV56" s="1383"/>
      <c r="AW56" s="1385"/>
      <c r="AX56" s="1396"/>
      <c r="AY56" s="1396"/>
      <c r="AZ56" s="1397"/>
      <c r="BA56" s="1333"/>
      <c r="BB56" s="1395"/>
      <c r="BC56" s="1376"/>
      <c r="BD56" s="1383"/>
      <c r="BE56" s="1385"/>
      <c r="BF56" s="1396"/>
      <c r="BG56" s="1396"/>
      <c r="BH56" s="1397"/>
      <c r="BI56" s="1333"/>
      <c r="BJ56" s="1395"/>
      <c r="BK56" s="1376"/>
      <c r="BL56" s="1383"/>
      <c r="BM56" s="1383"/>
      <c r="BN56" s="1383"/>
      <c r="BO56" s="1396"/>
      <c r="BP56" s="1396"/>
      <c r="BQ56" s="1397"/>
      <c r="BS56" s="1395"/>
      <c r="BT56" s="1376"/>
      <c r="BU56" s="1383"/>
      <c r="BV56" s="1383"/>
      <c r="BW56" s="1396"/>
      <c r="BX56" s="1396"/>
      <c r="BY56" s="1397"/>
      <c r="CA56" s="1395"/>
      <c r="CB56" s="1376"/>
      <c r="CC56" s="1383"/>
      <c r="CD56" s="1383"/>
      <c r="CE56" s="1396"/>
      <c r="CF56" s="1396"/>
      <c r="CG56" s="1397"/>
      <c r="CI56" s="1395"/>
      <c r="CJ56" s="1376"/>
      <c r="CK56" s="1383"/>
      <c r="CL56" s="1383"/>
      <c r="CM56" s="1396"/>
      <c r="CN56" s="1396"/>
      <c r="CO56" s="1397"/>
      <c r="CP56" s="1370"/>
      <c r="CQ56" s="1434"/>
      <c r="CR56" s="1434"/>
      <c r="CS56" s="1434"/>
      <c r="CT56" s="1434"/>
      <c r="CU56" s="1401" t="n">
        <f aca="false">CQ56-CS56</f>
        <v>0</v>
      </c>
      <c r="CV56" s="1401"/>
      <c r="CW56" s="1402" t="str">
        <f aca="false">IFERROR(CQ56/CR56-1,"-")</f>
        <v>-</v>
      </c>
      <c r="CY56" s="1434"/>
      <c r="CZ56" s="1434"/>
      <c r="DA56" s="1434"/>
      <c r="DB56" s="1434"/>
      <c r="DC56" s="1434"/>
      <c r="DD56" s="1403" t="e">
        <f aca="false">CY56/$DC56-1</f>
        <v>#DIV/0!</v>
      </c>
      <c r="DE56" s="1401" t="e">
        <f aca="false">CZ56/$DC56-1</f>
        <v>#DIV/0!</v>
      </c>
      <c r="DF56" s="1401" t="e">
        <f aca="false">DA56/$DC56-1</f>
        <v>#DIV/0!</v>
      </c>
      <c r="DG56" s="1401" t="e">
        <f aca="false">DB56/$DC56-1</f>
        <v>#DIV/0!</v>
      </c>
    </row>
    <row r="57" customFormat="false" ht="15" hidden="false" customHeight="false" outlineLevel="0" collapsed="false">
      <c r="A57" s="1375"/>
      <c r="B57" s="1456" t="s">
        <v>939</v>
      </c>
      <c r="C57" s="1333"/>
      <c r="D57" s="1395"/>
      <c r="E57" s="1383"/>
      <c r="F57" s="1383"/>
      <c r="G57" s="1396"/>
      <c r="H57" s="1397"/>
      <c r="I57" s="1333"/>
      <c r="J57" s="1395"/>
      <c r="K57" s="1383"/>
      <c r="L57" s="1383"/>
      <c r="M57" s="1396"/>
      <c r="N57" s="1397"/>
      <c r="O57" s="1333"/>
      <c r="P57" s="1395"/>
      <c r="Q57" s="1376"/>
      <c r="R57" s="1385"/>
      <c r="S57" s="1396"/>
      <c r="T57" s="1397"/>
      <c r="U57" s="1325"/>
      <c r="V57" s="1395"/>
      <c r="W57" s="1376"/>
      <c r="X57" s="1376"/>
      <c r="Y57" s="1376"/>
      <c r="Z57" s="1396"/>
      <c r="AA57" s="1396"/>
      <c r="AB57" s="1397"/>
      <c r="AD57" s="1395"/>
      <c r="AE57" s="1376"/>
      <c r="AF57" s="1376"/>
      <c r="AG57" s="1376"/>
      <c r="AH57" s="1396"/>
      <c r="AI57" s="1396"/>
      <c r="AJ57" s="1397"/>
      <c r="AK57" s="1335"/>
      <c r="AL57" s="1395"/>
      <c r="AM57" s="1376"/>
      <c r="AN57" s="1383"/>
      <c r="AO57" s="1385"/>
      <c r="AP57" s="1396"/>
      <c r="AQ57" s="1396"/>
      <c r="AR57" s="1397"/>
      <c r="AS57" s="1333"/>
      <c r="AT57" s="1395"/>
      <c r="AU57" s="1376"/>
      <c r="AV57" s="1383"/>
      <c r="AW57" s="1385"/>
      <c r="AX57" s="1396"/>
      <c r="AY57" s="1396"/>
      <c r="AZ57" s="1397"/>
      <c r="BA57" s="1333"/>
      <c r="BB57" s="1395"/>
      <c r="BC57" s="1376"/>
      <c r="BD57" s="1383"/>
      <c r="BE57" s="1385"/>
      <c r="BF57" s="1396"/>
      <c r="BG57" s="1396"/>
      <c r="BH57" s="1397"/>
      <c r="BI57" s="1333"/>
      <c r="BJ57" s="1395"/>
      <c r="BK57" s="1376"/>
      <c r="BL57" s="1383"/>
      <c r="BM57" s="1383"/>
      <c r="BN57" s="1383"/>
      <c r="BO57" s="1396"/>
      <c r="BP57" s="1396"/>
      <c r="BQ57" s="1397"/>
      <c r="BS57" s="1395"/>
      <c r="BT57" s="1376"/>
      <c r="BU57" s="1383"/>
      <c r="BV57" s="1383"/>
      <c r="BW57" s="1396"/>
      <c r="BX57" s="1396"/>
      <c r="BY57" s="1397"/>
      <c r="CA57" s="1395"/>
      <c r="CB57" s="1376"/>
      <c r="CC57" s="1383"/>
      <c r="CD57" s="1383"/>
      <c r="CE57" s="1396"/>
      <c r="CF57" s="1396"/>
      <c r="CG57" s="1397"/>
      <c r="CI57" s="1395"/>
      <c r="CJ57" s="1376"/>
      <c r="CK57" s="1383"/>
      <c r="CL57" s="1383"/>
      <c r="CM57" s="1396"/>
      <c r="CN57" s="1396"/>
      <c r="CO57" s="1397"/>
      <c r="CP57" s="1370"/>
      <c r="CQ57" s="1434"/>
      <c r="CR57" s="1434"/>
      <c r="CS57" s="1434"/>
      <c r="CT57" s="1434"/>
      <c r="CU57" s="1401" t="n">
        <f aca="false">CQ57-CS57</f>
        <v>0</v>
      </c>
      <c r="CV57" s="1401"/>
      <c r="CW57" s="1402" t="str">
        <f aca="false">IFERROR(CQ57/CR57-1,"-")</f>
        <v>-</v>
      </c>
      <c r="CY57" s="1434"/>
      <c r="CZ57" s="1434"/>
      <c r="DA57" s="1434"/>
      <c r="DB57" s="1434"/>
      <c r="DC57" s="1434"/>
      <c r="DD57" s="1403" t="e">
        <f aca="false">CY57/$DC57-1</f>
        <v>#DIV/0!</v>
      </c>
      <c r="DE57" s="1401" t="e">
        <f aca="false">CZ57/$DC57-1</f>
        <v>#DIV/0!</v>
      </c>
      <c r="DF57" s="1401" t="e">
        <f aca="false">DA57/$DC57-1</f>
        <v>#DIV/0!</v>
      </c>
      <c r="DG57" s="1401" t="e">
        <f aca="false">DB57/$DC57-1</f>
        <v>#DIV/0!</v>
      </c>
    </row>
    <row r="58" customFormat="false" ht="15" hidden="false" customHeight="false" outlineLevel="0" collapsed="false">
      <c r="A58" s="1375"/>
      <c r="B58" s="1456" t="s">
        <v>941</v>
      </c>
      <c r="C58" s="1333"/>
      <c r="D58" s="1395"/>
      <c r="E58" s="1383"/>
      <c r="F58" s="1383"/>
      <c r="G58" s="1396"/>
      <c r="H58" s="1397"/>
      <c r="I58" s="1333"/>
      <c r="J58" s="1395"/>
      <c r="K58" s="1383"/>
      <c r="L58" s="1383"/>
      <c r="M58" s="1396"/>
      <c r="N58" s="1397"/>
      <c r="O58" s="1333"/>
      <c r="P58" s="1395"/>
      <c r="Q58" s="1376"/>
      <c r="R58" s="1385"/>
      <c r="S58" s="1396"/>
      <c r="T58" s="1397"/>
      <c r="U58" s="1325"/>
      <c r="V58" s="1395"/>
      <c r="W58" s="1376"/>
      <c r="X58" s="1376"/>
      <c r="Y58" s="1376"/>
      <c r="Z58" s="1396"/>
      <c r="AA58" s="1396"/>
      <c r="AB58" s="1397"/>
      <c r="AD58" s="1395"/>
      <c r="AE58" s="1376"/>
      <c r="AF58" s="1376"/>
      <c r="AG58" s="1376"/>
      <c r="AH58" s="1396"/>
      <c r="AI58" s="1396"/>
      <c r="AJ58" s="1397"/>
      <c r="AK58" s="1335"/>
      <c r="AL58" s="1395"/>
      <c r="AM58" s="1376"/>
      <c r="AN58" s="1383"/>
      <c r="AO58" s="1385"/>
      <c r="AP58" s="1396"/>
      <c r="AQ58" s="1396"/>
      <c r="AR58" s="1397"/>
      <c r="AS58" s="1333"/>
      <c r="AT58" s="1395"/>
      <c r="AU58" s="1376"/>
      <c r="AV58" s="1383"/>
      <c r="AW58" s="1385"/>
      <c r="AX58" s="1396"/>
      <c r="AY58" s="1396"/>
      <c r="AZ58" s="1397"/>
      <c r="BA58" s="1333"/>
      <c r="BB58" s="1395"/>
      <c r="BC58" s="1376"/>
      <c r="BD58" s="1383"/>
      <c r="BE58" s="1385"/>
      <c r="BF58" s="1396"/>
      <c r="BG58" s="1396"/>
      <c r="BH58" s="1397"/>
      <c r="BI58" s="1333"/>
      <c r="BJ58" s="1395"/>
      <c r="BK58" s="1376"/>
      <c r="BL58" s="1383"/>
      <c r="BM58" s="1383"/>
      <c r="BN58" s="1383"/>
      <c r="BO58" s="1396"/>
      <c r="BP58" s="1396"/>
      <c r="BQ58" s="1397"/>
      <c r="BS58" s="1395"/>
      <c r="BT58" s="1376"/>
      <c r="BU58" s="1383"/>
      <c r="BV58" s="1383"/>
      <c r="BW58" s="1396"/>
      <c r="BX58" s="1396"/>
      <c r="BY58" s="1397"/>
      <c r="CA58" s="1395"/>
      <c r="CB58" s="1376"/>
      <c r="CC58" s="1383"/>
      <c r="CD58" s="1383"/>
      <c r="CE58" s="1396"/>
      <c r="CF58" s="1396"/>
      <c r="CG58" s="1397"/>
      <c r="CI58" s="1395"/>
      <c r="CJ58" s="1376"/>
      <c r="CK58" s="1383"/>
      <c r="CL58" s="1383"/>
      <c r="CM58" s="1396"/>
      <c r="CN58" s="1396"/>
      <c r="CO58" s="1397"/>
      <c r="CP58" s="1370"/>
      <c r="CQ58" s="1434"/>
      <c r="CR58" s="1434"/>
      <c r="CS58" s="1434"/>
      <c r="CT58" s="1434"/>
      <c r="CU58" s="1401" t="n">
        <f aca="false">CQ58-CS58</f>
        <v>0</v>
      </c>
      <c r="CV58" s="1401"/>
      <c r="CW58" s="1402" t="str">
        <f aca="false">IFERROR(CQ58/CR58-1,"-")</f>
        <v>-</v>
      </c>
      <c r="CY58" s="1434"/>
      <c r="CZ58" s="1434"/>
      <c r="DA58" s="1434"/>
      <c r="DB58" s="1434"/>
      <c r="DC58" s="1434"/>
      <c r="DD58" s="1403" t="e">
        <f aca="false">CY58/$DC58-1</f>
        <v>#DIV/0!</v>
      </c>
      <c r="DE58" s="1401" t="e">
        <f aca="false">CZ58/$DC58-1</f>
        <v>#DIV/0!</v>
      </c>
      <c r="DF58" s="1401" t="e">
        <f aca="false">DA58/$DC58-1</f>
        <v>#DIV/0!</v>
      </c>
      <c r="DG58" s="1401" t="e">
        <f aca="false">DB58/$DC58-1</f>
        <v>#DIV/0!</v>
      </c>
    </row>
    <row r="59" customFormat="false" ht="15" hidden="false" customHeight="false" outlineLevel="0" collapsed="false">
      <c r="A59" s="1375"/>
      <c r="B59" s="1456" t="s">
        <v>943</v>
      </c>
      <c r="C59" s="1333"/>
      <c r="D59" s="1395"/>
      <c r="E59" s="1383"/>
      <c r="F59" s="1383"/>
      <c r="G59" s="1396"/>
      <c r="H59" s="1397"/>
      <c r="I59" s="1333"/>
      <c r="J59" s="1395"/>
      <c r="K59" s="1383"/>
      <c r="L59" s="1383"/>
      <c r="M59" s="1396"/>
      <c r="N59" s="1397"/>
      <c r="O59" s="1333"/>
      <c r="P59" s="1395"/>
      <c r="Q59" s="1376"/>
      <c r="R59" s="1385"/>
      <c r="S59" s="1396"/>
      <c r="T59" s="1397"/>
      <c r="U59" s="1325"/>
      <c r="V59" s="1395"/>
      <c r="W59" s="1376"/>
      <c r="X59" s="1376"/>
      <c r="Y59" s="1376"/>
      <c r="Z59" s="1396"/>
      <c r="AA59" s="1396"/>
      <c r="AB59" s="1397"/>
      <c r="AD59" s="1395"/>
      <c r="AE59" s="1376"/>
      <c r="AF59" s="1376"/>
      <c r="AG59" s="1376"/>
      <c r="AH59" s="1396"/>
      <c r="AI59" s="1396"/>
      <c r="AJ59" s="1397"/>
      <c r="AK59" s="1335"/>
      <c r="AL59" s="1395"/>
      <c r="AM59" s="1376"/>
      <c r="AN59" s="1383"/>
      <c r="AO59" s="1385"/>
      <c r="AP59" s="1396"/>
      <c r="AQ59" s="1396"/>
      <c r="AR59" s="1397"/>
      <c r="AS59" s="1333"/>
      <c r="AT59" s="1395"/>
      <c r="AU59" s="1376"/>
      <c r="AV59" s="1383"/>
      <c r="AW59" s="1385"/>
      <c r="AX59" s="1396"/>
      <c r="AY59" s="1396"/>
      <c r="AZ59" s="1397"/>
      <c r="BA59" s="1333"/>
      <c r="BB59" s="1395"/>
      <c r="BC59" s="1376"/>
      <c r="BD59" s="1383"/>
      <c r="BE59" s="1385"/>
      <c r="BF59" s="1396"/>
      <c r="BG59" s="1396"/>
      <c r="BH59" s="1397"/>
      <c r="BI59" s="1333"/>
      <c r="BJ59" s="1395"/>
      <c r="BK59" s="1376"/>
      <c r="BL59" s="1383"/>
      <c r="BM59" s="1383"/>
      <c r="BN59" s="1383"/>
      <c r="BO59" s="1396"/>
      <c r="BP59" s="1396"/>
      <c r="BQ59" s="1397"/>
      <c r="BS59" s="1395"/>
      <c r="BT59" s="1376"/>
      <c r="BU59" s="1383"/>
      <c r="BV59" s="1383"/>
      <c r="BW59" s="1396"/>
      <c r="BX59" s="1396"/>
      <c r="BY59" s="1397"/>
      <c r="BZ59" s="248"/>
      <c r="CA59" s="1395"/>
      <c r="CB59" s="1376"/>
      <c r="CC59" s="1383"/>
      <c r="CD59" s="1383"/>
      <c r="CE59" s="1396"/>
      <c r="CF59" s="1396"/>
      <c r="CG59" s="1397"/>
      <c r="CI59" s="1395"/>
      <c r="CJ59" s="1376"/>
      <c r="CK59" s="1383"/>
      <c r="CL59" s="1383"/>
      <c r="CM59" s="1396"/>
      <c r="CN59" s="1396"/>
      <c r="CO59" s="1397"/>
      <c r="CP59" s="1370"/>
      <c r="CQ59" s="1434"/>
      <c r="CR59" s="1434"/>
      <c r="CS59" s="1434"/>
      <c r="CT59" s="1434"/>
      <c r="CU59" s="1401" t="n">
        <f aca="false">CQ59-CS59</f>
        <v>0</v>
      </c>
      <c r="CV59" s="1401"/>
      <c r="CW59" s="1402" t="str">
        <f aca="false">IFERROR(CQ59/CR59-1,"-")</f>
        <v>-</v>
      </c>
      <c r="CY59" s="1434"/>
      <c r="CZ59" s="1434"/>
      <c r="DA59" s="1434"/>
      <c r="DB59" s="1434"/>
      <c r="DC59" s="1434"/>
      <c r="DD59" s="1403" t="e">
        <f aca="false">CY59/$DC59-1</f>
        <v>#DIV/0!</v>
      </c>
      <c r="DE59" s="1401" t="e">
        <f aca="false">CZ59/$DC59-1</f>
        <v>#DIV/0!</v>
      </c>
      <c r="DF59" s="1401" t="e">
        <f aca="false">DA59/$DC59-1</f>
        <v>#DIV/0!</v>
      </c>
      <c r="DG59" s="1401" t="e">
        <f aca="false">DB59/$DC59-1</f>
        <v>#DIV/0!</v>
      </c>
    </row>
    <row r="60" customFormat="false" ht="15" hidden="false" customHeight="false" outlineLevel="0" collapsed="false">
      <c r="A60" s="1375"/>
      <c r="B60" s="1456" t="s">
        <v>944</v>
      </c>
      <c r="C60" s="1333"/>
      <c r="D60" s="1395"/>
      <c r="E60" s="1383"/>
      <c r="F60" s="1383"/>
      <c r="G60" s="1396"/>
      <c r="H60" s="1397"/>
      <c r="I60" s="1333"/>
      <c r="J60" s="1395"/>
      <c r="K60" s="1383"/>
      <c r="L60" s="1383"/>
      <c r="M60" s="1396"/>
      <c r="N60" s="1397"/>
      <c r="O60" s="1333"/>
      <c r="P60" s="1395"/>
      <c r="Q60" s="1376"/>
      <c r="R60" s="1385"/>
      <c r="S60" s="1396"/>
      <c r="T60" s="1397"/>
      <c r="U60" s="1325"/>
      <c r="V60" s="1395"/>
      <c r="W60" s="1376"/>
      <c r="X60" s="1376"/>
      <c r="Y60" s="1376"/>
      <c r="Z60" s="1396"/>
      <c r="AA60" s="1396"/>
      <c r="AB60" s="1397"/>
      <c r="AD60" s="1395"/>
      <c r="AE60" s="1376"/>
      <c r="AF60" s="1376"/>
      <c r="AG60" s="1376"/>
      <c r="AH60" s="1396"/>
      <c r="AI60" s="1396"/>
      <c r="AJ60" s="1397"/>
      <c r="AK60" s="1335"/>
      <c r="AL60" s="1395"/>
      <c r="AM60" s="1376"/>
      <c r="AN60" s="1383"/>
      <c r="AO60" s="1385"/>
      <c r="AP60" s="1396"/>
      <c r="AQ60" s="1396"/>
      <c r="AR60" s="1397"/>
      <c r="AS60" s="1333"/>
      <c r="AT60" s="1395"/>
      <c r="AU60" s="1376"/>
      <c r="AV60" s="1383"/>
      <c r="AW60" s="1385"/>
      <c r="AX60" s="1396"/>
      <c r="AY60" s="1396"/>
      <c r="AZ60" s="1397"/>
      <c r="BB60" s="1395"/>
      <c r="BC60" s="1376"/>
      <c r="BD60" s="1383"/>
      <c r="BE60" s="1385"/>
      <c r="BF60" s="1396"/>
      <c r="BG60" s="1396"/>
      <c r="BH60" s="1397"/>
      <c r="BI60" s="1333"/>
      <c r="BJ60" s="1395"/>
      <c r="BK60" s="1376"/>
      <c r="BL60" s="1383"/>
      <c r="BM60" s="1383"/>
      <c r="BN60" s="1383"/>
      <c r="BO60" s="1396"/>
      <c r="BP60" s="1396"/>
      <c r="BQ60" s="1397"/>
      <c r="BS60" s="1395"/>
      <c r="BT60" s="1376"/>
      <c r="BU60" s="1383"/>
      <c r="BV60" s="1383"/>
      <c r="BW60" s="1396"/>
      <c r="BX60" s="1396"/>
      <c r="BY60" s="1397"/>
      <c r="CA60" s="1395"/>
      <c r="CB60" s="1376"/>
      <c r="CC60" s="1383"/>
      <c r="CD60" s="1383"/>
      <c r="CE60" s="1396"/>
      <c r="CF60" s="1396"/>
      <c r="CG60" s="1397"/>
      <c r="CI60" s="1395"/>
      <c r="CJ60" s="1376"/>
      <c r="CK60" s="1383"/>
      <c r="CL60" s="1383"/>
      <c r="CM60" s="1396"/>
      <c r="CN60" s="1396"/>
      <c r="CO60" s="1397"/>
      <c r="CP60" s="1370"/>
      <c r="CQ60" s="1434"/>
      <c r="CR60" s="1434"/>
      <c r="CS60" s="1434"/>
      <c r="CT60" s="1434"/>
      <c r="CU60" s="1401" t="n">
        <f aca="false">CQ60-CS60</f>
        <v>0</v>
      </c>
      <c r="CV60" s="1401"/>
      <c r="CW60" s="1402" t="str">
        <f aca="false">IFERROR(CQ60/CR60-1,"-")</f>
        <v>-</v>
      </c>
      <c r="CY60" s="1434"/>
      <c r="CZ60" s="1434"/>
      <c r="DA60" s="1434"/>
      <c r="DB60" s="1434"/>
      <c r="DC60" s="1434"/>
      <c r="DD60" s="1403" t="e">
        <f aca="false">CY60/$DC60-1</f>
        <v>#DIV/0!</v>
      </c>
      <c r="DE60" s="1401" t="e">
        <f aca="false">CZ60/$DC60-1</f>
        <v>#DIV/0!</v>
      </c>
      <c r="DF60" s="1401" t="e">
        <f aca="false">DA60/$DC60-1</f>
        <v>#DIV/0!</v>
      </c>
      <c r="DG60" s="1401" t="e">
        <f aca="false">DB60/$DC60-1</f>
        <v>#DIV/0!</v>
      </c>
    </row>
    <row r="61" customFormat="false" ht="15" hidden="false" customHeight="false" outlineLevel="0" collapsed="false">
      <c r="A61" s="1465"/>
      <c r="B61" s="1466" t="s">
        <v>953</v>
      </c>
      <c r="C61" s="1333"/>
      <c r="D61" s="1407"/>
      <c r="E61" s="1467"/>
      <c r="F61" s="1467"/>
      <c r="G61" s="1409"/>
      <c r="H61" s="1410"/>
      <c r="I61" s="1333"/>
      <c r="J61" s="1407"/>
      <c r="K61" s="1467"/>
      <c r="L61" s="1467"/>
      <c r="M61" s="1409"/>
      <c r="N61" s="1410"/>
      <c r="O61" s="1333"/>
      <c r="P61" s="1407"/>
      <c r="Q61" s="1408"/>
      <c r="R61" s="1468"/>
      <c r="S61" s="1409"/>
      <c r="T61" s="1410"/>
      <c r="U61" s="1325"/>
      <c r="V61" s="1407"/>
      <c r="W61" s="1408"/>
      <c r="X61" s="1408"/>
      <c r="Y61" s="1408"/>
      <c r="Z61" s="1409"/>
      <c r="AA61" s="1409"/>
      <c r="AB61" s="1410"/>
      <c r="AD61" s="1407"/>
      <c r="AE61" s="1408"/>
      <c r="AF61" s="1408"/>
      <c r="AG61" s="1408"/>
      <c r="AH61" s="1409"/>
      <c r="AI61" s="1409"/>
      <c r="AJ61" s="1410"/>
      <c r="AK61" s="1335"/>
      <c r="AL61" s="1407"/>
      <c r="AM61" s="1408"/>
      <c r="AN61" s="1467"/>
      <c r="AO61" s="1468"/>
      <c r="AP61" s="1409"/>
      <c r="AQ61" s="1409"/>
      <c r="AR61" s="1410"/>
      <c r="AS61" s="1333"/>
      <c r="AT61" s="1407"/>
      <c r="AU61" s="1408"/>
      <c r="AV61" s="1467"/>
      <c r="AW61" s="1468"/>
      <c r="AX61" s="1409"/>
      <c r="AY61" s="1409"/>
      <c r="AZ61" s="1410"/>
      <c r="BA61" s="1333"/>
      <c r="BB61" s="1407"/>
      <c r="BC61" s="1408"/>
      <c r="BD61" s="1467"/>
      <c r="BE61" s="1468"/>
      <c r="BF61" s="1409"/>
      <c r="BG61" s="1409"/>
      <c r="BH61" s="1410"/>
      <c r="BI61" s="1333"/>
      <c r="BJ61" s="1407"/>
      <c r="BK61" s="1408"/>
      <c r="BL61" s="1467"/>
      <c r="BM61" s="1467"/>
      <c r="BN61" s="1467"/>
      <c r="BO61" s="1409"/>
      <c r="BP61" s="1409"/>
      <c r="BQ61" s="1410"/>
      <c r="BS61" s="1407"/>
      <c r="BT61" s="1408"/>
      <c r="BU61" s="1467"/>
      <c r="BV61" s="1467"/>
      <c r="BW61" s="1409"/>
      <c r="BX61" s="1409"/>
      <c r="BY61" s="1410"/>
      <c r="CA61" s="1407"/>
      <c r="CB61" s="1408"/>
      <c r="CC61" s="1467"/>
      <c r="CD61" s="1467"/>
      <c r="CE61" s="1409"/>
      <c r="CF61" s="1409"/>
      <c r="CG61" s="1410"/>
      <c r="CI61" s="1407"/>
      <c r="CJ61" s="1408"/>
      <c r="CK61" s="1467"/>
      <c r="CL61" s="1467"/>
      <c r="CM61" s="1409"/>
      <c r="CN61" s="1409"/>
      <c r="CO61" s="1410"/>
      <c r="CP61" s="1370"/>
      <c r="CQ61" s="1434"/>
      <c r="CR61" s="1434"/>
      <c r="CS61" s="1434"/>
      <c r="CT61" s="1434"/>
      <c r="CU61" s="1413" t="n">
        <f aca="false">CQ61-CS61</f>
        <v>0</v>
      </c>
      <c r="CV61" s="1413"/>
      <c r="CW61" s="1414" t="str">
        <f aca="false">IFERROR(CQ61/CR61-1,"-")</f>
        <v>-</v>
      </c>
      <c r="CY61" s="1434"/>
      <c r="CZ61" s="1434"/>
      <c r="DA61" s="1434"/>
      <c r="DB61" s="1434"/>
      <c r="DC61" s="1434"/>
      <c r="DD61" s="1415" t="e">
        <f aca="false">CY61/$DC61-1</f>
        <v>#DIV/0!</v>
      </c>
      <c r="DE61" s="1413" t="e">
        <f aca="false">CZ61/$DC61-1</f>
        <v>#DIV/0!</v>
      </c>
      <c r="DF61" s="1413" t="e">
        <f aca="false">DA61/$DC61-1</f>
        <v>#DIV/0!</v>
      </c>
      <c r="DG61" s="1413" t="e">
        <f aca="false">DB61/$DC61-1</f>
        <v>#DIV/0!</v>
      </c>
    </row>
    <row r="62" customFormat="false" ht="15" hidden="false" customHeight="false" outlineLevel="0" collapsed="false">
      <c r="A62" s="1460"/>
      <c r="B62" s="1461" t="s">
        <v>955</v>
      </c>
      <c r="C62" s="1333"/>
      <c r="D62" s="1363"/>
      <c r="E62" s="1453"/>
      <c r="F62" s="1453"/>
      <c r="G62" s="1365"/>
      <c r="H62" s="1366"/>
      <c r="I62" s="1333"/>
      <c r="J62" s="1363"/>
      <c r="K62" s="1453"/>
      <c r="L62" s="1453"/>
      <c r="M62" s="1365"/>
      <c r="N62" s="1366"/>
      <c r="O62" s="1333"/>
      <c r="P62" s="1363"/>
      <c r="Q62" s="1364"/>
      <c r="R62" s="1462"/>
      <c r="S62" s="1365"/>
      <c r="T62" s="1366"/>
      <c r="U62" s="1325"/>
      <c r="V62" s="1363"/>
      <c r="W62" s="1364"/>
      <c r="X62" s="1462"/>
      <c r="Y62" s="1462"/>
      <c r="Z62" s="1365"/>
      <c r="AA62" s="1365"/>
      <c r="AB62" s="1366"/>
      <c r="AD62" s="1363"/>
      <c r="AE62" s="1364"/>
      <c r="AF62" s="1462"/>
      <c r="AG62" s="1462"/>
      <c r="AH62" s="1365"/>
      <c r="AI62" s="1365"/>
      <c r="AJ62" s="1366"/>
      <c r="AK62" s="1335"/>
      <c r="AL62" s="1363"/>
      <c r="AM62" s="1364"/>
      <c r="AN62" s="1453"/>
      <c r="AO62" s="1462"/>
      <c r="AP62" s="1365"/>
      <c r="AQ62" s="1365"/>
      <c r="AR62" s="1366"/>
      <c r="AS62" s="1333"/>
      <c r="AT62" s="1363"/>
      <c r="AU62" s="1364"/>
      <c r="AV62" s="1453"/>
      <c r="AW62" s="1462"/>
      <c r="AX62" s="1365"/>
      <c r="AY62" s="1365"/>
      <c r="AZ62" s="1366"/>
      <c r="BA62" s="1333"/>
      <c r="BB62" s="1363"/>
      <c r="BC62" s="1364"/>
      <c r="BD62" s="1453"/>
      <c r="BE62" s="1462"/>
      <c r="BF62" s="1365"/>
      <c r="BG62" s="1365"/>
      <c r="BH62" s="1366"/>
      <c r="BI62" s="1333"/>
      <c r="BJ62" s="1363"/>
      <c r="BK62" s="1364"/>
      <c r="BL62" s="1453"/>
      <c r="BM62" s="1453"/>
      <c r="BN62" s="1453"/>
      <c r="BO62" s="1365"/>
      <c r="BP62" s="1365"/>
      <c r="BQ62" s="1366"/>
      <c r="BS62" s="1363"/>
      <c r="BT62" s="1364"/>
      <c r="BU62" s="1453"/>
      <c r="BV62" s="1453"/>
      <c r="BW62" s="1365"/>
      <c r="BX62" s="1365"/>
      <c r="BY62" s="1366"/>
      <c r="CA62" s="1363"/>
      <c r="CB62" s="1364"/>
      <c r="CC62" s="1453"/>
      <c r="CD62" s="1453"/>
      <c r="CE62" s="1365"/>
      <c r="CF62" s="1365"/>
      <c r="CG62" s="1366"/>
      <c r="CI62" s="1363"/>
      <c r="CJ62" s="1364"/>
      <c r="CK62" s="1453"/>
      <c r="CL62" s="1453"/>
      <c r="CM62" s="1365"/>
      <c r="CN62" s="1365"/>
      <c r="CO62" s="1366"/>
      <c r="CP62" s="1370"/>
      <c r="CQ62" s="1371"/>
      <c r="CR62" s="1371"/>
      <c r="CS62" s="1371"/>
      <c r="CT62" s="1371"/>
      <c r="CU62" s="1372"/>
      <c r="CV62" s="1372"/>
      <c r="CW62" s="1373"/>
      <c r="CY62" s="1371"/>
      <c r="CZ62" s="1371"/>
      <c r="DA62" s="1371"/>
      <c r="DB62" s="1371"/>
      <c r="DC62" s="1371"/>
      <c r="DD62" s="1374" t="e">
        <f aca="false">CY62/$DC62-1</f>
        <v>#DIV/0!</v>
      </c>
      <c r="DE62" s="1372" t="e">
        <f aca="false">CZ62/$DC62-1</f>
        <v>#DIV/0!</v>
      </c>
      <c r="DF62" s="1372" t="e">
        <f aca="false">DA62/$DC62-1</f>
        <v>#DIV/0!</v>
      </c>
      <c r="DG62" s="1372" t="e">
        <f aca="false">DB62/$DC62-1</f>
        <v>#DIV/0!</v>
      </c>
    </row>
    <row r="63" customFormat="false" ht="15" hidden="false" customHeight="false" outlineLevel="0" collapsed="false">
      <c r="A63" s="1375"/>
      <c r="B63" s="1456" t="s">
        <v>935</v>
      </c>
      <c r="C63" s="1333"/>
      <c r="D63" s="1395"/>
      <c r="E63" s="1383"/>
      <c r="F63" s="1383"/>
      <c r="G63" s="1396"/>
      <c r="H63" s="1397"/>
      <c r="I63" s="1333"/>
      <c r="J63" s="1395"/>
      <c r="K63" s="1383"/>
      <c r="L63" s="1383"/>
      <c r="M63" s="1396"/>
      <c r="N63" s="1397"/>
      <c r="O63" s="1333"/>
      <c r="P63" s="1395"/>
      <c r="Q63" s="1376"/>
      <c r="R63" s="1385"/>
      <c r="S63" s="1396"/>
      <c r="T63" s="1397"/>
      <c r="U63" s="1325"/>
      <c r="V63" s="1395"/>
      <c r="W63" s="1376"/>
      <c r="X63" s="1376"/>
      <c r="Y63" s="1376"/>
      <c r="Z63" s="1396"/>
      <c r="AA63" s="1396"/>
      <c r="AB63" s="1397"/>
      <c r="AD63" s="1395"/>
      <c r="AE63" s="1376"/>
      <c r="AF63" s="1376"/>
      <c r="AG63" s="1376"/>
      <c r="AH63" s="1396"/>
      <c r="AI63" s="1396"/>
      <c r="AJ63" s="1397"/>
      <c r="AK63" s="1335"/>
      <c r="AL63" s="1395"/>
      <c r="AM63" s="1376"/>
      <c r="AN63" s="1383"/>
      <c r="AO63" s="1385"/>
      <c r="AP63" s="1396"/>
      <c r="AQ63" s="1396"/>
      <c r="AR63" s="1397"/>
      <c r="AS63" s="1333"/>
      <c r="AT63" s="1395"/>
      <c r="AU63" s="1376"/>
      <c r="AV63" s="1383"/>
      <c r="AW63" s="1385"/>
      <c r="AX63" s="1396"/>
      <c r="AY63" s="1396"/>
      <c r="AZ63" s="1397"/>
      <c r="BA63" s="1333"/>
      <c r="BB63" s="1395"/>
      <c r="BC63" s="1376"/>
      <c r="BD63" s="1383"/>
      <c r="BE63" s="1385"/>
      <c r="BF63" s="1396"/>
      <c r="BG63" s="1396"/>
      <c r="BH63" s="1397"/>
      <c r="BI63" s="1333"/>
      <c r="BJ63" s="1395"/>
      <c r="BK63" s="1376"/>
      <c r="BL63" s="1383"/>
      <c r="BM63" s="1383"/>
      <c r="BN63" s="1383"/>
      <c r="BO63" s="1396"/>
      <c r="BP63" s="1396"/>
      <c r="BQ63" s="1397"/>
      <c r="BS63" s="1395"/>
      <c r="BT63" s="1376"/>
      <c r="BU63" s="1383"/>
      <c r="BV63" s="1383"/>
      <c r="BW63" s="1396"/>
      <c r="BX63" s="1396"/>
      <c r="BY63" s="1397"/>
      <c r="CA63" s="1395"/>
      <c r="CB63" s="1376"/>
      <c r="CC63" s="1383"/>
      <c r="CD63" s="1383"/>
      <c r="CE63" s="1396"/>
      <c r="CF63" s="1396"/>
      <c r="CG63" s="1397"/>
      <c r="CI63" s="1395"/>
      <c r="CJ63" s="1376"/>
      <c r="CK63" s="1383"/>
      <c r="CL63" s="1383"/>
      <c r="CM63" s="1396"/>
      <c r="CN63" s="1396"/>
      <c r="CO63" s="1397"/>
      <c r="CP63" s="1370"/>
      <c r="CQ63" s="1434"/>
      <c r="CR63" s="1434"/>
      <c r="CS63" s="1434"/>
      <c r="CT63" s="1434"/>
      <c r="CU63" s="1401" t="n">
        <f aca="false">CQ63-CS63</f>
        <v>0</v>
      </c>
      <c r="CV63" s="1401"/>
      <c r="CW63" s="1402" t="str">
        <f aca="false">IFERROR(CQ63/CR63-1,"-")</f>
        <v>-</v>
      </c>
      <c r="CY63" s="1434"/>
      <c r="CZ63" s="1434"/>
      <c r="DA63" s="1434"/>
      <c r="DB63" s="1434"/>
      <c r="DC63" s="1434"/>
      <c r="DD63" s="1403" t="e">
        <f aca="false">CY63/$DC63-1</f>
        <v>#DIV/0!</v>
      </c>
      <c r="DE63" s="1401" t="e">
        <f aca="false">CZ63/$DC63-1</f>
        <v>#DIV/0!</v>
      </c>
      <c r="DF63" s="1401" t="e">
        <f aca="false">DA63/$DC63-1</f>
        <v>#DIV/0!</v>
      </c>
      <c r="DG63" s="1401" t="e">
        <f aca="false">DB63/$DC63-1</f>
        <v>#DIV/0!</v>
      </c>
    </row>
    <row r="64" customFormat="false" ht="15" hidden="false" customHeight="false" outlineLevel="0" collapsed="false">
      <c r="A64" s="1375"/>
      <c r="B64" s="1456" t="s">
        <v>936</v>
      </c>
      <c r="C64" s="1333"/>
      <c r="D64" s="1395"/>
      <c r="E64" s="1383"/>
      <c r="F64" s="1383"/>
      <c r="G64" s="1396"/>
      <c r="H64" s="1397"/>
      <c r="I64" s="1333"/>
      <c r="J64" s="1395"/>
      <c r="K64" s="1383"/>
      <c r="L64" s="1383"/>
      <c r="M64" s="1396"/>
      <c r="N64" s="1397"/>
      <c r="O64" s="1333"/>
      <c r="P64" s="1395"/>
      <c r="Q64" s="1376"/>
      <c r="R64" s="1385"/>
      <c r="S64" s="1396"/>
      <c r="T64" s="1397"/>
      <c r="U64" s="1325"/>
      <c r="V64" s="1395"/>
      <c r="W64" s="1376"/>
      <c r="X64" s="1376"/>
      <c r="Y64" s="1376"/>
      <c r="Z64" s="1396"/>
      <c r="AA64" s="1396"/>
      <c r="AB64" s="1397"/>
      <c r="AD64" s="1395"/>
      <c r="AE64" s="1376"/>
      <c r="AF64" s="1376"/>
      <c r="AG64" s="1376"/>
      <c r="AH64" s="1396"/>
      <c r="AI64" s="1396"/>
      <c r="AJ64" s="1397"/>
      <c r="AK64" s="1335"/>
      <c r="AL64" s="1395"/>
      <c r="AM64" s="1376"/>
      <c r="AN64" s="1383"/>
      <c r="AO64" s="1385"/>
      <c r="AP64" s="1396"/>
      <c r="AQ64" s="1396"/>
      <c r="AR64" s="1397"/>
      <c r="AS64" s="1333"/>
      <c r="AT64" s="1395"/>
      <c r="AU64" s="1376"/>
      <c r="AV64" s="1383"/>
      <c r="AW64" s="1385"/>
      <c r="AX64" s="1396"/>
      <c r="AY64" s="1396"/>
      <c r="AZ64" s="1397"/>
      <c r="BA64" s="1333"/>
      <c r="BB64" s="1395"/>
      <c r="BC64" s="1376"/>
      <c r="BD64" s="1383"/>
      <c r="BE64" s="1385"/>
      <c r="BF64" s="1396"/>
      <c r="BG64" s="1396"/>
      <c r="BH64" s="1397"/>
      <c r="BI64" s="1333"/>
      <c r="BJ64" s="1395"/>
      <c r="BK64" s="1376"/>
      <c r="BL64" s="1383"/>
      <c r="BM64" s="1383"/>
      <c r="BN64" s="1383"/>
      <c r="BO64" s="1396"/>
      <c r="BP64" s="1396"/>
      <c r="BQ64" s="1397"/>
      <c r="BS64" s="1395"/>
      <c r="BT64" s="1376"/>
      <c r="BU64" s="1383"/>
      <c r="BV64" s="1383"/>
      <c r="BW64" s="1396"/>
      <c r="BX64" s="1396"/>
      <c r="BY64" s="1397"/>
      <c r="CA64" s="1395"/>
      <c r="CB64" s="1376"/>
      <c r="CC64" s="1383"/>
      <c r="CD64" s="1383"/>
      <c r="CE64" s="1396"/>
      <c r="CF64" s="1396"/>
      <c r="CG64" s="1397"/>
      <c r="CI64" s="1395"/>
      <c r="CJ64" s="1376"/>
      <c r="CK64" s="1383"/>
      <c r="CL64" s="1383"/>
      <c r="CM64" s="1396"/>
      <c r="CN64" s="1396"/>
      <c r="CO64" s="1397"/>
      <c r="CP64" s="1370"/>
      <c r="CQ64" s="1434"/>
      <c r="CR64" s="1434"/>
      <c r="CS64" s="1434"/>
      <c r="CT64" s="1434"/>
      <c r="CU64" s="1401" t="n">
        <f aca="false">CQ64-CS64</f>
        <v>0</v>
      </c>
      <c r="CV64" s="1401"/>
      <c r="CW64" s="1402" t="str">
        <f aca="false">IFERROR(CQ64/CR64-1,"-")</f>
        <v>-</v>
      </c>
      <c r="CY64" s="1434"/>
      <c r="CZ64" s="1434"/>
      <c r="DA64" s="1434"/>
      <c r="DB64" s="1434"/>
      <c r="DC64" s="1434"/>
      <c r="DD64" s="1403" t="e">
        <f aca="false">CY64/$DC64-1</f>
        <v>#DIV/0!</v>
      </c>
      <c r="DE64" s="1401" t="e">
        <f aca="false">CZ64/$DC64-1</f>
        <v>#DIV/0!</v>
      </c>
      <c r="DF64" s="1401" t="e">
        <f aca="false">DA64/$DC64-1</f>
        <v>#DIV/0!</v>
      </c>
      <c r="DG64" s="1401" t="e">
        <f aca="false">DB64/$DC64-1</f>
        <v>#DIV/0!</v>
      </c>
    </row>
    <row r="65" customFormat="false" ht="15" hidden="false" customHeight="false" outlineLevel="0" collapsed="false">
      <c r="A65" s="1375"/>
      <c r="B65" s="1456" t="s">
        <v>937</v>
      </c>
      <c r="C65" s="1333"/>
      <c r="D65" s="1395"/>
      <c r="E65" s="1383"/>
      <c r="F65" s="1383"/>
      <c r="G65" s="1396"/>
      <c r="H65" s="1397"/>
      <c r="I65" s="1333"/>
      <c r="J65" s="1395"/>
      <c r="K65" s="1383"/>
      <c r="L65" s="1383"/>
      <c r="M65" s="1396"/>
      <c r="N65" s="1397"/>
      <c r="O65" s="1333"/>
      <c r="P65" s="1395"/>
      <c r="Q65" s="1376"/>
      <c r="R65" s="1385"/>
      <c r="S65" s="1396"/>
      <c r="T65" s="1397"/>
      <c r="U65" s="1325"/>
      <c r="V65" s="1395"/>
      <c r="W65" s="1376"/>
      <c r="X65" s="1376"/>
      <c r="Y65" s="1376"/>
      <c r="Z65" s="1396"/>
      <c r="AA65" s="1396"/>
      <c r="AB65" s="1397"/>
      <c r="AD65" s="1395"/>
      <c r="AE65" s="1376"/>
      <c r="AF65" s="1376"/>
      <c r="AG65" s="1376"/>
      <c r="AH65" s="1396"/>
      <c r="AI65" s="1396"/>
      <c r="AJ65" s="1397"/>
      <c r="AK65" s="1335"/>
      <c r="AL65" s="1395"/>
      <c r="AM65" s="1376"/>
      <c r="AN65" s="1383"/>
      <c r="AO65" s="1385"/>
      <c r="AP65" s="1396"/>
      <c r="AQ65" s="1396"/>
      <c r="AR65" s="1397"/>
      <c r="AS65" s="1333"/>
      <c r="AT65" s="1395"/>
      <c r="AU65" s="1376"/>
      <c r="AV65" s="1383"/>
      <c r="AW65" s="1385"/>
      <c r="AX65" s="1396"/>
      <c r="AY65" s="1396"/>
      <c r="AZ65" s="1397"/>
      <c r="BA65" s="1333"/>
      <c r="BB65" s="1395"/>
      <c r="BC65" s="1376"/>
      <c r="BD65" s="1383"/>
      <c r="BE65" s="1385"/>
      <c r="BF65" s="1396"/>
      <c r="BG65" s="1396"/>
      <c r="BH65" s="1397"/>
      <c r="BI65" s="1333"/>
      <c r="BJ65" s="1395"/>
      <c r="BK65" s="1376"/>
      <c r="BL65" s="1383"/>
      <c r="BM65" s="1383"/>
      <c r="BN65" s="1383"/>
      <c r="BO65" s="1396"/>
      <c r="BP65" s="1396"/>
      <c r="BQ65" s="1397"/>
      <c r="BS65" s="1395"/>
      <c r="BT65" s="1376"/>
      <c r="BU65" s="1383"/>
      <c r="BV65" s="1383"/>
      <c r="BW65" s="1396"/>
      <c r="BX65" s="1396"/>
      <c r="BY65" s="1397"/>
      <c r="CA65" s="1395"/>
      <c r="CB65" s="1376"/>
      <c r="CC65" s="1383"/>
      <c r="CD65" s="1383"/>
      <c r="CE65" s="1396"/>
      <c r="CF65" s="1396"/>
      <c r="CG65" s="1397"/>
      <c r="CI65" s="1395"/>
      <c r="CJ65" s="1376"/>
      <c r="CK65" s="1383"/>
      <c r="CL65" s="1383"/>
      <c r="CM65" s="1396"/>
      <c r="CN65" s="1396"/>
      <c r="CO65" s="1397"/>
      <c r="CP65" s="1370"/>
      <c r="CQ65" s="1434"/>
      <c r="CR65" s="1434"/>
      <c r="CS65" s="1434"/>
      <c r="CT65" s="1434"/>
      <c r="CU65" s="1401" t="n">
        <f aca="false">CQ65-CS65</f>
        <v>0</v>
      </c>
      <c r="CV65" s="1401"/>
      <c r="CW65" s="1402" t="str">
        <f aca="false">IFERROR(CQ65/CR65-1,"-")</f>
        <v>-</v>
      </c>
      <c r="CY65" s="1434"/>
      <c r="CZ65" s="1434"/>
      <c r="DA65" s="1434"/>
      <c r="DB65" s="1434"/>
      <c r="DC65" s="1434"/>
      <c r="DD65" s="1403" t="e">
        <f aca="false">CY65/$DC65-1</f>
        <v>#DIV/0!</v>
      </c>
      <c r="DE65" s="1401" t="e">
        <f aca="false">CZ65/$DC65-1</f>
        <v>#DIV/0!</v>
      </c>
      <c r="DF65" s="1401" t="e">
        <f aca="false">DA65/$DC65-1</f>
        <v>#DIV/0!</v>
      </c>
      <c r="DG65" s="1401" t="e">
        <f aca="false">DB65/$DC65-1</f>
        <v>#DIV/0!</v>
      </c>
    </row>
    <row r="66" customFormat="false" ht="15" hidden="false" customHeight="false" outlineLevel="0" collapsed="false">
      <c r="A66" s="1375"/>
      <c r="B66" s="1456" t="s">
        <v>938</v>
      </c>
      <c r="C66" s="1333"/>
      <c r="D66" s="1395"/>
      <c r="E66" s="1383"/>
      <c r="F66" s="1383"/>
      <c r="G66" s="1396"/>
      <c r="H66" s="1397"/>
      <c r="I66" s="1333"/>
      <c r="J66" s="1395"/>
      <c r="K66" s="1383"/>
      <c r="L66" s="1383"/>
      <c r="M66" s="1396"/>
      <c r="N66" s="1397"/>
      <c r="O66" s="1333"/>
      <c r="P66" s="1395"/>
      <c r="Q66" s="1376"/>
      <c r="R66" s="1385"/>
      <c r="S66" s="1396"/>
      <c r="T66" s="1397"/>
      <c r="U66" s="1325"/>
      <c r="V66" s="1395"/>
      <c r="W66" s="1376"/>
      <c r="X66" s="1376"/>
      <c r="Y66" s="1376"/>
      <c r="Z66" s="1396"/>
      <c r="AA66" s="1396"/>
      <c r="AB66" s="1397"/>
      <c r="AD66" s="1395"/>
      <c r="AE66" s="1376"/>
      <c r="AF66" s="1376"/>
      <c r="AG66" s="1376"/>
      <c r="AH66" s="1396"/>
      <c r="AI66" s="1396"/>
      <c r="AJ66" s="1397"/>
      <c r="AK66" s="1335"/>
      <c r="AL66" s="1395"/>
      <c r="AM66" s="1376"/>
      <c r="AN66" s="1383"/>
      <c r="AO66" s="1385"/>
      <c r="AP66" s="1396"/>
      <c r="AQ66" s="1396"/>
      <c r="AR66" s="1397"/>
      <c r="AS66" s="1333"/>
      <c r="AT66" s="1395"/>
      <c r="AU66" s="1376"/>
      <c r="AV66" s="1383"/>
      <c r="AW66" s="1385"/>
      <c r="AX66" s="1396"/>
      <c r="AY66" s="1396"/>
      <c r="AZ66" s="1397"/>
      <c r="BA66" s="1333"/>
      <c r="BB66" s="1395"/>
      <c r="BC66" s="1376"/>
      <c r="BD66" s="1383"/>
      <c r="BE66" s="1385"/>
      <c r="BF66" s="1396"/>
      <c r="BG66" s="1396"/>
      <c r="BH66" s="1397"/>
      <c r="BI66" s="1333"/>
      <c r="BJ66" s="1395"/>
      <c r="BK66" s="1376"/>
      <c r="BL66" s="1383"/>
      <c r="BM66" s="1383"/>
      <c r="BN66" s="1383"/>
      <c r="BO66" s="1396"/>
      <c r="BP66" s="1396"/>
      <c r="BQ66" s="1397"/>
      <c r="BS66" s="1395"/>
      <c r="BT66" s="1376"/>
      <c r="BU66" s="1383"/>
      <c r="BV66" s="1383"/>
      <c r="BW66" s="1396"/>
      <c r="BX66" s="1396"/>
      <c r="BY66" s="1397"/>
      <c r="CA66" s="1395"/>
      <c r="CB66" s="1376"/>
      <c r="CC66" s="1383"/>
      <c r="CD66" s="1383"/>
      <c r="CE66" s="1396"/>
      <c r="CF66" s="1396"/>
      <c r="CG66" s="1397"/>
      <c r="CI66" s="1395"/>
      <c r="CJ66" s="1376"/>
      <c r="CK66" s="1383"/>
      <c r="CL66" s="1383"/>
      <c r="CM66" s="1396"/>
      <c r="CN66" s="1396"/>
      <c r="CO66" s="1397"/>
      <c r="CP66" s="1370"/>
      <c r="CQ66" s="1434"/>
      <c r="CR66" s="1434"/>
      <c r="CS66" s="1434"/>
      <c r="CT66" s="1434"/>
      <c r="CU66" s="1401" t="n">
        <f aca="false">CQ66-CS66</f>
        <v>0</v>
      </c>
      <c r="CV66" s="1401"/>
      <c r="CW66" s="1402" t="str">
        <f aca="false">IFERROR(CQ66/CR66-1,"-")</f>
        <v>-</v>
      </c>
      <c r="CY66" s="1434"/>
      <c r="CZ66" s="1434"/>
      <c r="DA66" s="1434"/>
      <c r="DB66" s="1434"/>
      <c r="DC66" s="1434"/>
      <c r="DD66" s="1403" t="e">
        <f aca="false">CY66/$DC66-1</f>
        <v>#DIV/0!</v>
      </c>
      <c r="DE66" s="1401" t="e">
        <f aca="false">CZ66/$DC66-1</f>
        <v>#DIV/0!</v>
      </c>
      <c r="DF66" s="1401" t="e">
        <f aca="false">DA66/$DC66-1</f>
        <v>#DIV/0!</v>
      </c>
      <c r="DG66" s="1401" t="e">
        <f aca="false">DB66/$DC66-1</f>
        <v>#DIV/0!</v>
      </c>
    </row>
    <row r="67" customFormat="false" ht="15" hidden="false" customHeight="false" outlineLevel="0" collapsed="false">
      <c r="A67" s="1375"/>
      <c r="B67" s="1456" t="s">
        <v>939</v>
      </c>
      <c r="C67" s="1333"/>
      <c r="D67" s="1395"/>
      <c r="E67" s="1383"/>
      <c r="F67" s="1383"/>
      <c r="G67" s="1396"/>
      <c r="H67" s="1397"/>
      <c r="I67" s="1333"/>
      <c r="J67" s="1395"/>
      <c r="K67" s="1383"/>
      <c r="L67" s="1383"/>
      <c r="M67" s="1396"/>
      <c r="N67" s="1397"/>
      <c r="O67" s="1333"/>
      <c r="P67" s="1395"/>
      <c r="Q67" s="1376"/>
      <c r="R67" s="1385"/>
      <c r="S67" s="1396"/>
      <c r="T67" s="1397"/>
      <c r="U67" s="1325"/>
      <c r="V67" s="1395"/>
      <c r="W67" s="1376"/>
      <c r="X67" s="1376"/>
      <c r="Y67" s="1376"/>
      <c r="Z67" s="1396"/>
      <c r="AA67" s="1396"/>
      <c r="AB67" s="1397"/>
      <c r="AD67" s="1395"/>
      <c r="AE67" s="1376"/>
      <c r="AF67" s="1376"/>
      <c r="AG67" s="1376"/>
      <c r="AH67" s="1396"/>
      <c r="AI67" s="1396"/>
      <c r="AJ67" s="1397"/>
      <c r="AK67" s="1335"/>
      <c r="AL67" s="1395"/>
      <c r="AM67" s="1376"/>
      <c r="AN67" s="1383"/>
      <c r="AO67" s="1385"/>
      <c r="AP67" s="1396"/>
      <c r="AQ67" s="1396"/>
      <c r="AR67" s="1397"/>
      <c r="AS67" s="1333"/>
      <c r="AT67" s="1395"/>
      <c r="AU67" s="1376"/>
      <c r="AV67" s="1383"/>
      <c r="AW67" s="1385"/>
      <c r="AX67" s="1396"/>
      <c r="AY67" s="1396"/>
      <c r="AZ67" s="1397"/>
      <c r="BA67" s="1333"/>
      <c r="BB67" s="1395"/>
      <c r="BC67" s="1376"/>
      <c r="BD67" s="1383"/>
      <c r="BE67" s="1385"/>
      <c r="BF67" s="1396"/>
      <c r="BG67" s="1396"/>
      <c r="BH67" s="1397"/>
      <c r="BI67" s="1333"/>
      <c r="BJ67" s="1395"/>
      <c r="BK67" s="1376"/>
      <c r="BL67" s="1383"/>
      <c r="BM67" s="1383"/>
      <c r="BN67" s="1383"/>
      <c r="BO67" s="1396"/>
      <c r="BP67" s="1396"/>
      <c r="BQ67" s="1397"/>
      <c r="BS67" s="1395"/>
      <c r="BT67" s="1376"/>
      <c r="BU67" s="1383"/>
      <c r="BV67" s="1383"/>
      <c r="BW67" s="1396"/>
      <c r="BX67" s="1396"/>
      <c r="BY67" s="1397"/>
      <c r="CA67" s="1395"/>
      <c r="CB67" s="1376"/>
      <c r="CC67" s="1383"/>
      <c r="CD67" s="1383"/>
      <c r="CE67" s="1396"/>
      <c r="CF67" s="1396"/>
      <c r="CG67" s="1397"/>
      <c r="CI67" s="1395"/>
      <c r="CJ67" s="1376"/>
      <c r="CK67" s="1383"/>
      <c r="CL67" s="1383"/>
      <c r="CM67" s="1396"/>
      <c r="CN67" s="1396"/>
      <c r="CO67" s="1397"/>
      <c r="CP67" s="1370"/>
      <c r="CQ67" s="1434"/>
      <c r="CR67" s="1434"/>
      <c r="CS67" s="1434"/>
      <c r="CT67" s="1434"/>
      <c r="CU67" s="1401" t="n">
        <f aca="false">CQ67-CS67</f>
        <v>0</v>
      </c>
      <c r="CV67" s="1401"/>
      <c r="CW67" s="1402" t="str">
        <f aca="false">IFERROR(CQ67/CR67-1,"-")</f>
        <v>-</v>
      </c>
      <c r="CY67" s="1434"/>
      <c r="CZ67" s="1434"/>
      <c r="DA67" s="1434"/>
      <c r="DB67" s="1434"/>
      <c r="DC67" s="1434"/>
      <c r="DD67" s="1403" t="e">
        <f aca="false">CY67/$DC67-1</f>
        <v>#DIV/0!</v>
      </c>
      <c r="DE67" s="1401" t="e">
        <f aca="false">CZ67/$DC67-1</f>
        <v>#DIV/0!</v>
      </c>
      <c r="DF67" s="1401" t="e">
        <f aca="false">DA67/$DC67-1</f>
        <v>#DIV/0!</v>
      </c>
      <c r="DG67" s="1401" t="e">
        <f aca="false">DB67/$DC67-1</f>
        <v>#DIV/0!</v>
      </c>
    </row>
    <row r="68" customFormat="false" ht="15" hidden="false" customHeight="false" outlineLevel="0" collapsed="false">
      <c r="A68" s="1375"/>
      <c r="B68" s="1456" t="s">
        <v>941</v>
      </c>
      <c r="C68" s="1333"/>
      <c r="D68" s="1395"/>
      <c r="E68" s="1383"/>
      <c r="F68" s="1383"/>
      <c r="G68" s="1396"/>
      <c r="H68" s="1397"/>
      <c r="I68" s="1333"/>
      <c r="J68" s="1395"/>
      <c r="K68" s="1383"/>
      <c r="L68" s="1383"/>
      <c r="M68" s="1396"/>
      <c r="N68" s="1397"/>
      <c r="O68" s="1333"/>
      <c r="P68" s="1395"/>
      <c r="Q68" s="1376"/>
      <c r="R68" s="1385"/>
      <c r="S68" s="1396"/>
      <c r="T68" s="1397"/>
      <c r="U68" s="1325"/>
      <c r="V68" s="1395"/>
      <c r="W68" s="1376"/>
      <c r="X68" s="1376"/>
      <c r="Y68" s="1376"/>
      <c r="Z68" s="1396"/>
      <c r="AA68" s="1396"/>
      <c r="AB68" s="1397"/>
      <c r="AD68" s="1395"/>
      <c r="AE68" s="1376"/>
      <c r="AF68" s="1376"/>
      <c r="AG68" s="1376"/>
      <c r="AH68" s="1396"/>
      <c r="AI68" s="1396"/>
      <c r="AJ68" s="1397"/>
      <c r="AK68" s="1335"/>
      <c r="AL68" s="1395"/>
      <c r="AM68" s="1376"/>
      <c r="AN68" s="1383"/>
      <c r="AO68" s="1385"/>
      <c r="AP68" s="1396"/>
      <c r="AQ68" s="1396"/>
      <c r="AR68" s="1397"/>
      <c r="AS68" s="1333"/>
      <c r="AT68" s="1395"/>
      <c r="AU68" s="1376"/>
      <c r="AV68" s="1383"/>
      <c r="AW68" s="1385"/>
      <c r="AX68" s="1396"/>
      <c r="AY68" s="1396"/>
      <c r="AZ68" s="1397"/>
      <c r="BA68" s="1333"/>
      <c r="BB68" s="1395"/>
      <c r="BC68" s="1376"/>
      <c r="BD68" s="1383"/>
      <c r="BE68" s="1385"/>
      <c r="BF68" s="1396"/>
      <c r="BG68" s="1396"/>
      <c r="BH68" s="1397"/>
      <c r="BI68" s="1333"/>
      <c r="BJ68" s="1395"/>
      <c r="BK68" s="1376"/>
      <c r="BL68" s="1383"/>
      <c r="BM68" s="1383"/>
      <c r="BN68" s="1383"/>
      <c r="BO68" s="1396"/>
      <c r="BP68" s="1396"/>
      <c r="BQ68" s="1397"/>
      <c r="BS68" s="1395"/>
      <c r="BT68" s="1376"/>
      <c r="BU68" s="1383"/>
      <c r="BV68" s="1383"/>
      <c r="BW68" s="1396"/>
      <c r="BX68" s="1396"/>
      <c r="BY68" s="1397"/>
      <c r="CA68" s="1395"/>
      <c r="CB68" s="1376"/>
      <c r="CC68" s="1383"/>
      <c r="CD68" s="1383"/>
      <c r="CE68" s="1396"/>
      <c r="CF68" s="1396"/>
      <c r="CG68" s="1397"/>
      <c r="CI68" s="1395"/>
      <c r="CJ68" s="1376"/>
      <c r="CK68" s="1383"/>
      <c r="CL68" s="1383"/>
      <c r="CM68" s="1396"/>
      <c r="CN68" s="1396"/>
      <c r="CO68" s="1397"/>
      <c r="CP68" s="1370"/>
      <c r="CQ68" s="1434"/>
      <c r="CR68" s="1434"/>
      <c r="CS68" s="1434"/>
      <c r="CT68" s="1434"/>
      <c r="CU68" s="1401" t="n">
        <f aca="false">CQ68-CS68</f>
        <v>0</v>
      </c>
      <c r="CV68" s="1401"/>
      <c r="CW68" s="1402" t="str">
        <f aca="false">IFERROR(CQ68/CR68-1,"-")</f>
        <v>-</v>
      </c>
      <c r="CY68" s="1434"/>
      <c r="CZ68" s="1434"/>
      <c r="DA68" s="1434"/>
      <c r="DB68" s="1434"/>
      <c r="DC68" s="1434"/>
      <c r="DD68" s="1403" t="e">
        <f aca="false">CY68/$DC68-1</f>
        <v>#DIV/0!</v>
      </c>
      <c r="DE68" s="1401" t="e">
        <f aca="false">CZ68/$DC68-1</f>
        <v>#DIV/0!</v>
      </c>
      <c r="DF68" s="1401" t="e">
        <f aca="false">DA68/$DC68-1</f>
        <v>#DIV/0!</v>
      </c>
      <c r="DG68" s="1401" t="e">
        <f aca="false">DB68/$DC68-1</f>
        <v>#DIV/0!</v>
      </c>
    </row>
    <row r="69" customFormat="false" ht="15" hidden="false" customHeight="false" outlineLevel="0" collapsed="false">
      <c r="A69" s="1375"/>
      <c r="B69" s="1456" t="s">
        <v>943</v>
      </c>
      <c r="C69" s="1333"/>
      <c r="D69" s="1395"/>
      <c r="E69" s="1383"/>
      <c r="F69" s="1383"/>
      <c r="G69" s="1396"/>
      <c r="H69" s="1397"/>
      <c r="I69" s="1333"/>
      <c r="J69" s="1395"/>
      <c r="K69" s="1383"/>
      <c r="L69" s="1383"/>
      <c r="M69" s="1396"/>
      <c r="N69" s="1397"/>
      <c r="O69" s="1333"/>
      <c r="P69" s="1395"/>
      <c r="Q69" s="1376"/>
      <c r="R69" s="1385"/>
      <c r="S69" s="1396"/>
      <c r="T69" s="1397"/>
      <c r="U69" s="1325"/>
      <c r="V69" s="1395"/>
      <c r="W69" s="1376"/>
      <c r="X69" s="1376"/>
      <c r="Y69" s="1376"/>
      <c r="Z69" s="1396"/>
      <c r="AA69" s="1396"/>
      <c r="AB69" s="1397"/>
      <c r="AD69" s="1395"/>
      <c r="AE69" s="1376"/>
      <c r="AF69" s="1376"/>
      <c r="AG69" s="1376"/>
      <c r="AH69" s="1396"/>
      <c r="AI69" s="1396"/>
      <c r="AJ69" s="1397"/>
      <c r="AK69" s="1335"/>
      <c r="AL69" s="1395"/>
      <c r="AM69" s="1376"/>
      <c r="AN69" s="1383"/>
      <c r="AO69" s="1385"/>
      <c r="AP69" s="1396"/>
      <c r="AQ69" s="1396"/>
      <c r="AR69" s="1397"/>
      <c r="AS69" s="1333"/>
      <c r="AT69" s="1395"/>
      <c r="AU69" s="1376"/>
      <c r="AV69" s="1383"/>
      <c r="AW69" s="1385"/>
      <c r="AX69" s="1396"/>
      <c r="AY69" s="1396"/>
      <c r="AZ69" s="1397"/>
      <c r="BA69" s="1333"/>
      <c r="BB69" s="1395"/>
      <c r="BC69" s="1376"/>
      <c r="BD69" s="1383"/>
      <c r="BE69" s="1385"/>
      <c r="BF69" s="1396"/>
      <c r="BG69" s="1396"/>
      <c r="BH69" s="1397"/>
      <c r="BI69" s="1333"/>
      <c r="BJ69" s="1395"/>
      <c r="BK69" s="1376"/>
      <c r="BL69" s="1383"/>
      <c r="BM69" s="1383"/>
      <c r="BN69" s="1383"/>
      <c r="BO69" s="1396"/>
      <c r="BP69" s="1396"/>
      <c r="BQ69" s="1397"/>
      <c r="BS69" s="1395"/>
      <c r="BT69" s="1376"/>
      <c r="BU69" s="1383"/>
      <c r="BV69" s="1383"/>
      <c r="BW69" s="1396"/>
      <c r="BX69" s="1396"/>
      <c r="BY69" s="1397"/>
      <c r="CA69" s="1395"/>
      <c r="CB69" s="1376"/>
      <c r="CC69" s="1383"/>
      <c r="CD69" s="1383"/>
      <c r="CE69" s="1396"/>
      <c r="CF69" s="1396"/>
      <c r="CG69" s="1397"/>
      <c r="CI69" s="1395"/>
      <c r="CJ69" s="1376"/>
      <c r="CK69" s="1383"/>
      <c r="CL69" s="1383"/>
      <c r="CM69" s="1396"/>
      <c r="CN69" s="1396"/>
      <c r="CO69" s="1397"/>
      <c r="CP69" s="1370"/>
      <c r="CQ69" s="1434"/>
      <c r="CR69" s="1434"/>
      <c r="CS69" s="1434"/>
      <c r="CT69" s="1434"/>
      <c r="CU69" s="1401" t="n">
        <f aca="false">CQ69-CS69</f>
        <v>0</v>
      </c>
      <c r="CV69" s="1401"/>
      <c r="CW69" s="1402" t="str">
        <f aca="false">IFERROR(CQ69/CR69-1,"-")</f>
        <v>-</v>
      </c>
      <c r="CY69" s="1434"/>
      <c r="CZ69" s="1434"/>
      <c r="DA69" s="1434"/>
      <c r="DB69" s="1434"/>
      <c r="DC69" s="1434"/>
      <c r="DD69" s="1403" t="e">
        <f aca="false">CY69/$DC69-1</f>
        <v>#DIV/0!</v>
      </c>
      <c r="DE69" s="1401" t="e">
        <f aca="false">CZ69/$DC69-1</f>
        <v>#DIV/0!</v>
      </c>
      <c r="DF69" s="1401" t="e">
        <f aca="false">DA69/$DC69-1</f>
        <v>#DIV/0!</v>
      </c>
      <c r="DG69" s="1401" t="e">
        <f aca="false">DB69/$DC69-1</f>
        <v>#DIV/0!</v>
      </c>
    </row>
    <row r="70" customFormat="false" ht="15" hidden="false" customHeight="false" outlineLevel="0" collapsed="false">
      <c r="A70" s="1375"/>
      <c r="B70" s="1456" t="s">
        <v>944</v>
      </c>
      <c r="C70" s="1333"/>
      <c r="D70" s="1395"/>
      <c r="E70" s="1383"/>
      <c r="F70" s="1383"/>
      <c r="G70" s="1396"/>
      <c r="H70" s="1397"/>
      <c r="I70" s="1333"/>
      <c r="J70" s="1395"/>
      <c r="K70" s="1383"/>
      <c r="L70" s="1383"/>
      <c r="M70" s="1396"/>
      <c r="N70" s="1397"/>
      <c r="O70" s="1333"/>
      <c r="P70" s="1395"/>
      <c r="Q70" s="1376"/>
      <c r="R70" s="1385"/>
      <c r="S70" s="1396"/>
      <c r="T70" s="1397"/>
      <c r="U70" s="1325"/>
      <c r="V70" s="1395"/>
      <c r="W70" s="1376"/>
      <c r="X70" s="1376"/>
      <c r="Y70" s="1376"/>
      <c r="Z70" s="1396"/>
      <c r="AA70" s="1396"/>
      <c r="AB70" s="1397"/>
      <c r="AD70" s="1395"/>
      <c r="AE70" s="1376"/>
      <c r="AF70" s="1376"/>
      <c r="AG70" s="1376"/>
      <c r="AH70" s="1396"/>
      <c r="AI70" s="1396"/>
      <c r="AJ70" s="1397"/>
      <c r="AK70" s="1335"/>
      <c r="AL70" s="1395"/>
      <c r="AM70" s="1376"/>
      <c r="AN70" s="1383"/>
      <c r="AO70" s="1385"/>
      <c r="AP70" s="1396"/>
      <c r="AQ70" s="1396"/>
      <c r="AR70" s="1397"/>
      <c r="AS70" s="1333"/>
      <c r="AT70" s="1395"/>
      <c r="AU70" s="1376"/>
      <c r="AV70" s="1383"/>
      <c r="AW70" s="1385"/>
      <c r="AX70" s="1396"/>
      <c r="AY70" s="1396"/>
      <c r="AZ70" s="1397"/>
      <c r="BA70" s="1333"/>
      <c r="BB70" s="1395"/>
      <c r="BC70" s="1376"/>
      <c r="BD70" s="1383"/>
      <c r="BE70" s="1385"/>
      <c r="BF70" s="1396"/>
      <c r="BG70" s="1396"/>
      <c r="BH70" s="1397"/>
      <c r="BI70" s="1333"/>
      <c r="BJ70" s="1395"/>
      <c r="BK70" s="1376"/>
      <c r="BL70" s="1383"/>
      <c r="BM70" s="1383"/>
      <c r="BN70" s="1383"/>
      <c r="BO70" s="1396"/>
      <c r="BP70" s="1396"/>
      <c r="BQ70" s="1397"/>
      <c r="BS70" s="1395"/>
      <c r="BT70" s="1376"/>
      <c r="BU70" s="1383"/>
      <c r="BV70" s="1383"/>
      <c r="BW70" s="1396"/>
      <c r="BX70" s="1396"/>
      <c r="BY70" s="1397"/>
      <c r="CA70" s="1395"/>
      <c r="CB70" s="1376"/>
      <c r="CC70" s="1383"/>
      <c r="CD70" s="1383"/>
      <c r="CE70" s="1396"/>
      <c r="CF70" s="1396"/>
      <c r="CG70" s="1397"/>
      <c r="CI70" s="1395"/>
      <c r="CJ70" s="1376"/>
      <c r="CK70" s="1383"/>
      <c r="CL70" s="1383"/>
      <c r="CM70" s="1396"/>
      <c r="CN70" s="1396"/>
      <c r="CO70" s="1397"/>
      <c r="CP70" s="1370"/>
      <c r="CQ70" s="1434"/>
      <c r="CR70" s="1434"/>
      <c r="CS70" s="1434"/>
      <c r="CT70" s="1434"/>
      <c r="CU70" s="1401" t="n">
        <f aca="false">CQ70-CS70</f>
        <v>0</v>
      </c>
      <c r="CV70" s="1401"/>
      <c r="CW70" s="1402" t="str">
        <f aca="false">IFERROR(CQ70/CR70-1,"-")</f>
        <v>-</v>
      </c>
      <c r="CY70" s="1434"/>
      <c r="CZ70" s="1434"/>
      <c r="DA70" s="1434"/>
      <c r="DB70" s="1434"/>
      <c r="DC70" s="1434"/>
      <c r="DD70" s="1403" t="e">
        <f aca="false">CY70/$DC70-1</f>
        <v>#DIV/0!</v>
      </c>
      <c r="DE70" s="1401" t="e">
        <f aca="false">CZ70/$DC70-1</f>
        <v>#DIV/0!</v>
      </c>
      <c r="DF70" s="1401" t="e">
        <f aca="false">DA70/$DC70-1</f>
        <v>#DIV/0!</v>
      </c>
      <c r="DG70" s="1401" t="e">
        <f aca="false">DB70/$DC70-1</f>
        <v>#DIV/0!</v>
      </c>
    </row>
    <row r="71" customFormat="false" ht="15" hidden="false" customHeight="false" outlineLevel="0" collapsed="false">
      <c r="A71" s="1465"/>
      <c r="B71" s="1466" t="s">
        <v>950</v>
      </c>
      <c r="C71" s="1333"/>
      <c r="D71" s="1407"/>
      <c r="E71" s="1467"/>
      <c r="F71" s="1467"/>
      <c r="G71" s="1409"/>
      <c r="H71" s="1410"/>
      <c r="I71" s="1333"/>
      <c r="J71" s="1407"/>
      <c r="K71" s="1467"/>
      <c r="L71" s="1467"/>
      <c r="M71" s="1409"/>
      <c r="N71" s="1410"/>
      <c r="O71" s="1333"/>
      <c r="P71" s="1407"/>
      <c r="Q71" s="1408"/>
      <c r="R71" s="1468"/>
      <c r="S71" s="1409"/>
      <c r="T71" s="1410"/>
      <c r="V71" s="1407"/>
      <c r="W71" s="1408"/>
      <c r="X71" s="1408"/>
      <c r="Y71" s="1408"/>
      <c r="Z71" s="1409"/>
      <c r="AA71" s="1409"/>
      <c r="AB71" s="1410"/>
      <c r="AD71" s="1407"/>
      <c r="AE71" s="1408"/>
      <c r="AF71" s="1408"/>
      <c r="AG71" s="1408"/>
      <c r="AH71" s="1409"/>
      <c r="AI71" s="1409"/>
      <c r="AJ71" s="1410"/>
      <c r="AK71" s="1335"/>
      <c r="AL71" s="1407"/>
      <c r="AM71" s="1408"/>
      <c r="AN71" s="1467"/>
      <c r="AO71" s="1468"/>
      <c r="AP71" s="1409"/>
      <c r="AQ71" s="1409"/>
      <c r="AR71" s="1410"/>
      <c r="AS71" s="1399"/>
      <c r="AT71" s="1407"/>
      <c r="AU71" s="1408"/>
      <c r="AV71" s="1467"/>
      <c r="AW71" s="1468"/>
      <c r="AX71" s="1409"/>
      <c r="AY71" s="1409"/>
      <c r="AZ71" s="1410"/>
      <c r="BA71" s="1333"/>
      <c r="BB71" s="1407"/>
      <c r="BC71" s="1408"/>
      <c r="BD71" s="1467"/>
      <c r="BE71" s="1468"/>
      <c r="BF71" s="1409"/>
      <c r="BG71" s="1409"/>
      <c r="BH71" s="1410"/>
      <c r="BI71" s="1333"/>
      <c r="BJ71" s="1407"/>
      <c r="BK71" s="1408"/>
      <c r="BL71" s="1467"/>
      <c r="BM71" s="1467"/>
      <c r="BN71" s="1467"/>
      <c r="BO71" s="1409"/>
      <c r="BP71" s="1409"/>
      <c r="BQ71" s="1410"/>
      <c r="BR71" s="248"/>
      <c r="BS71" s="1407"/>
      <c r="BT71" s="1408"/>
      <c r="BU71" s="1467"/>
      <c r="BV71" s="1467"/>
      <c r="BW71" s="1409"/>
      <c r="BX71" s="1409"/>
      <c r="BY71" s="1410"/>
      <c r="CA71" s="1407"/>
      <c r="CB71" s="1408"/>
      <c r="CC71" s="1467"/>
      <c r="CD71" s="1467"/>
      <c r="CE71" s="1409"/>
      <c r="CF71" s="1409"/>
      <c r="CG71" s="1410"/>
      <c r="CI71" s="1407"/>
      <c r="CJ71" s="1408"/>
      <c r="CK71" s="1467"/>
      <c r="CL71" s="1467"/>
      <c r="CM71" s="1409"/>
      <c r="CN71" s="1409"/>
      <c r="CO71" s="1410"/>
      <c r="CP71" s="1370"/>
      <c r="CQ71" s="1440"/>
      <c r="CR71" s="1440"/>
      <c r="CS71" s="1440"/>
      <c r="CT71" s="1440"/>
      <c r="CU71" s="1413" t="n">
        <f aca="false">CQ71-CS71</f>
        <v>0</v>
      </c>
      <c r="CV71" s="1413"/>
      <c r="CW71" s="1414" t="str">
        <f aca="false">IFERROR(CQ71/CR71-1,"-")</f>
        <v>-</v>
      </c>
      <c r="CY71" s="1440"/>
      <c r="CZ71" s="1440"/>
      <c r="DA71" s="1440"/>
      <c r="DB71" s="1440"/>
      <c r="DC71" s="1440"/>
      <c r="DD71" s="1415" t="e">
        <f aca="false">CY71/$DC71-1</f>
        <v>#DIV/0!</v>
      </c>
      <c r="DE71" s="1413" t="e">
        <f aca="false">CZ71/$DC71-1</f>
        <v>#DIV/0!</v>
      </c>
      <c r="DF71" s="1413" t="e">
        <f aca="false">DA71/$DC71-1</f>
        <v>#DIV/0!</v>
      </c>
      <c r="DG71" s="1413" t="e">
        <f aca="false">DB71/$DC71-1</f>
        <v>#DIV/0!</v>
      </c>
    </row>
    <row r="72" customFormat="false" ht="15" hidden="false" customHeight="false" outlineLevel="0" collapsed="false">
      <c r="A72" s="1"/>
      <c r="B72" s="1"/>
      <c r="D72" s="1383"/>
      <c r="E72" s="1383"/>
      <c r="F72" s="1383"/>
      <c r="G72" s="1385"/>
      <c r="H72" s="1469"/>
      <c r="J72" s="1383"/>
      <c r="K72" s="1383"/>
      <c r="L72" s="1383"/>
      <c r="M72" s="1385"/>
      <c r="N72" s="1469"/>
      <c r="P72" s="1383"/>
      <c r="Q72" s="1383"/>
      <c r="R72" s="1385"/>
      <c r="S72" s="1385"/>
      <c r="T72" s="1469"/>
      <c r="U72" s="1325"/>
      <c r="V72" s="1383"/>
      <c r="W72" s="1383"/>
      <c r="X72" s="1383"/>
      <c r="Y72" s="1383"/>
      <c r="Z72" s="1385"/>
      <c r="AA72" s="1385"/>
      <c r="AB72" s="1469"/>
      <c r="AD72" s="1383"/>
      <c r="AE72" s="1383"/>
      <c r="AF72" s="1383"/>
      <c r="AG72" s="1383"/>
      <c r="AH72" s="1385"/>
      <c r="AI72" s="1385"/>
      <c r="AJ72" s="1469"/>
      <c r="AK72" s="31"/>
      <c r="AL72" s="1383"/>
      <c r="AM72" s="1383"/>
      <c r="AN72" s="1383"/>
      <c r="AO72" s="1385"/>
      <c r="AP72" s="1385"/>
      <c r="AQ72" s="1385"/>
      <c r="AR72" s="1469"/>
      <c r="AS72" s="1"/>
      <c r="AT72" s="1383"/>
      <c r="AU72" s="1383"/>
      <c r="AV72" s="1383"/>
      <c r="AW72" s="1385"/>
      <c r="AX72" s="1385"/>
      <c r="AY72" s="1385"/>
      <c r="AZ72" s="1469"/>
      <c r="BA72" s="1333"/>
      <c r="BB72" s="1383"/>
      <c r="BC72" s="1383"/>
      <c r="BD72" s="1383"/>
      <c r="BE72" s="1385"/>
      <c r="BF72" s="1385"/>
      <c r="BG72" s="1385"/>
      <c r="BH72" s="1469"/>
      <c r="BI72" s="1"/>
      <c r="BJ72" s="1383"/>
      <c r="BK72" s="1383"/>
      <c r="BL72" s="1383"/>
      <c r="BM72" s="1383"/>
      <c r="BN72" s="1383"/>
      <c r="BO72" s="1385"/>
      <c r="BP72" s="1385"/>
      <c r="BQ72" s="1469"/>
      <c r="BS72" s="1383"/>
      <c r="BT72" s="1383"/>
      <c r="BU72" s="1383"/>
      <c r="BV72" s="1383"/>
      <c r="BW72" s="1385"/>
      <c r="BX72" s="1385"/>
      <c r="BY72" s="1469"/>
      <c r="CA72" s="1383"/>
      <c r="CB72" s="1383"/>
      <c r="CC72" s="1383"/>
      <c r="CD72" s="1383"/>
      <c r="CE72" s="1385"/>
      <c r="CF72" s="1385"/>
      <c r="CG72" s="1469"/>
      <c r="CI72" s="1383"/>
      <c r="CJ72" s="1383"/>
      <c r="CK72" s="1383"/>
      <c r="CL72" s="1383"/>
      <c r="CM72" s="1385"/>
      <c r="CN72" s="1385"/>
      <c r="CO72" s="1469"/>
      <c r="CP72" s="1370"/>
      <c r="CQ72" s="1470"/>
      <c r="CR72" s="1470"/>
      <c r="CS72" s="1470"/>
      <c r="CT72" s="1470"/>
      <c r="CU72" s="1470"/>
      <c r="CV72" s="1470"/>
      <c r="CW72" s="1470"/>
      <c r="CY72" s="1470"/>
      <c r="CZ72" s="1470"/>
      <c r="DA72" s="1470"/>
      <c r="DB72" s="1470"/>
      <c r="DC72" s="1470"/>
      <c r="DD72" s="1471"/>
      <c r="DE72" s="1470"/>
      <c r="DF72" s="1470"/>
      <c r="DG72" s="1470"/>
    </row>
    <row r="73" customFormat="false" ht="15" hidden="false" customHeight="false" outlineLevel="0" collapsed="false">
      <c r="A73" s="1362" t="s">
        <v>956</v>
      </c>
      <c r="B73" s="1362"/>
      <c r="C73" s="1333"/>
      <c r="D73" s="1364"/>
      <c r="E73" s="1364"/>
      <c r="F73" s="1364"/>
      <c r="G73" s="1364"/>
      <c r="H73" s="1388"/>
      <c r="I73" s="1333"/>
      <c r="J73" s="1364"/>
      <c r="K73" s="1364"/>
      <c r="L73" s="1364"/>
      <c r="M73" s="1364"/>
      <c r="N73" s="1388"/>
      <c r="O73" s="1333"/>
      <c r="P73" s="1364"/>
      <c r="Q73" s="1364"/>
      <c r="R73" s="1364"/>
      <c r="S73" s="1364"/>
      <c r="T73" s="1388"/>
      <c r="U73" s="1325"/>
      <c r="V73" s="1363"/>
      <c r="W73" s="1363"/>
      <c r="X73" s="1367"/>
      <c r="Y73" s="1367"/>
      <c r="Z73" s="1364"/>
      <c r="AA73" s="1364"/>
      <c r="AB73" s="1388"/>
      <c r="AD73" s="1363"/>
      <c r="AE73" s="1363"/>
      <c r="AF73" s="1363"/>
      <c r="AG73" s="1367"/>
      <c r="AH73" s="1364"/>
      <c r="AI73" s="1364"/>
      <c r="AJ73" s="1388"/>
      <c r="AK73" s="1335"/>
      <c r="AL73" s="1363"/>
      <c r="AM73" s="1364"/>
      <c r="AN73" s="1364"/>
      <c r="AO73" s="1367"/>
      <c r="AP73" s="1364"/>
      <c r="AQ73" s="1364"/>
      <c r="AR73" s="1388"/>
      <c r="AS73" s="1333"/>
      <c r="AT73" s="1363"/>
      <c r="AU73" s="1364"/>
      <c r="AV73" s="1364"/>
      <c r="AW73" s="1367"/>
      <c r="AX73" s="1364"/>
      <c r="AY73" s="1364"/>
      <c r="AZ73" s="1388"/>
      <c r="BA73" s="1"/>
      <c r="BB73" s="1363"/>
      <c r="BC73" s="1364"/>
      <c r="BD73" s="1364"/>
      <c r="BE73" s="1367"/>
      <c r="BF73" s="1364"/>
      <c r="BG73" s="1364"/>
      <c r="BH73" s="1388"/>
      <c r="BI73" s="1333"/>
      <c r="BJ73" s="1363"/>
      <c r="BK73" s="1364"/>
      <c r="BL73" s="1364"/>
      <c r="BM73" s="1364"/>
      <c r="BN73" s="1364"/>
      <c r="BO73" s="1364"/>
      <c r="BP73" s="1364"/>
      <c r="BQ73" s="1388"/>
      <c r="BS73" s="1363"/>
      <c r="BT73" s="1364"/>
      <c r="BU73" s="1364"/>
      <c r="BV73" s="1364"/>
      <c r="BW73" s="1364"/>
      <c r="BX73" s="1364"/>
      <c r="BY73" s="1388"/>
      <c r="CA73" s="1363"/>
      <c r="CB73" s="1364"/>
      <c r="CC73" s="1364"/>
      <c r="CD73" s="1364"/>
      <c r="CE73" s="1364"/>
      <c r="CF73" s="1364"/>
      <c r="CG73" s="1388"/>
      <c r="CI73" s="1363"/>
      <c r="CJ73" s="1364"/>
      <c r="CK73" s="1364"/>
      <c r="CL73" s="1364"/>
      <c r="CM73" s="1364"/>
      <c r="CN73" s="1364"/>
      <c r="CO73" s="1388"/>
      <c r="CP73" s="1370"/>
      <c r="CQ73" s="1440"/>
      <c r="CR73" s="1371"/>
      <c r="CS73" s="1434"/>
      <c r="CT73" s="1434"/>
      <c r="CU73" s="1472" t="n">
        <f aca="false">CQ73-CS73</f>
        <v>0</v>
      </c>
      <c r="CV73" s="1472"/>
      <c r="CW73" s="1473" t="str">
        <f aca="false">IFERROR(CQ73/CR73-1,"-")</f>
        <v>-</v>
      </c>
      <c r="CY73" s="1434"/>
      <c r="CZ73" s="1440"/>
      <c r="DA73" s="1440"/>
      <c r="DB73" s="1440"/>
      <c r="DC73" s="1371"/>
      <c r="DD73" s="1474" t="e">
        <f aca="false">CY73/$DC73-1</f>
        <v>#DIV/0!</v>
      </c>
      <c r="DE73" s="1472" t="e">
        <f aca="false">CZ73/$DC73-1</f>
        <v>#DIV/0!</v>
      </c>
      <c r="DF73" s="1472" t="e">
        <f aca="false">DA73/$DC73-1</f>
        <v>#DIV/0!</v>
      </c>
      <c r="DG73" s="1472" t="e">
        <f aca="false">DB73/$DC73-1</f>
        <v>#DIV/0!</v>
      </c>
    </row>
    <row r="74" customFormat="false" ht="15" hidden="false" customHeight="false" outlineLevel="0" collapsed="false">
      <c r="A74" s="1405"/>
      <c r="B74" s="1406" t="s">
        <v>957</v>
      </c>
      <c r="C74" s="1333"/>
      <c r="D74" s="1475"/>
      <c r="E74" s="1476"/>
      <c r="F74" s="1476"/>
      <c r="G74" s="1477"/>
      <c r="H74" s="1478"/>
      <c r="I74" s="1333"/>
      <c r="J74" s="1475"/>
      <c r="K74" s="1476"/>
      <c r="L74" s="1476"/>
      <c r="M74" s="1477"/>
      <c r="N74" s="1478"/>
      <c r="O74" s="1333"/>
      <c r="P74" s="1475"/>
      <c r="Q74" s="1479"/>
      <c r="R74" s="1480"/>
      <c r="S74" s="1477"/>
      <c r="T74" s="1478"/>
      <c r="U74" s="1325"/>
      <c r="V74" s="1475"/>
      <c r="W74" s="1479"/>
      <c r="X74" s="1480"/>
      <c r="Y74" s="1480"/>
      <c r="Z74" s="1477"/>
      <c r="AA74" s="1477"/>
      <c r="AB74" s="1478"/>
      <c r="AD74" s="1475"/>
      <c r="AE74" s="1479"/>
      <c r="AF74" s="1480"/>
      <c r="AG74" s="1480"/>
      <c r="AH74" s="1477"/>
      <c r="AI74" s="1477"/>
      <c r="AJ74" s="1478"/>
      <c r="AK74" s="1481"/>
      <c r="AL74" s="1475"/>
      <c r="AM74" s="1482"/>
      <c r="AN74" s="1476"/>
      <c r="AO74" s="1480"/>
      <c r="AP74" s="1477"/>
      <c r="AQ74" s="1477"/>
      <c r="AR74" s="1478"/>
      <c r="AT74" s="1475"/>
      <c r="AU74" s="1482"/>
      <c r="AV74" s="1476"/>
      <c r="AW74" s="1480"/>
      <c r="AX74" s="1477"/>
      <c r="AY74" s="1477"/>
      <c r="AZ74" s="1478"/>
      <c r="BB74" s="1475"/>
      <c r="BC74" s="1482"/>
      <c r="BD74" s="1476"/>
      <c r="BE74" s="1480"/>
      <c r="BF74" s="1477"/>
      <c r="BG74" s="1477"/>
      <c r="BH74" s="1478"/>
      <c r="BJ74" s="1475"/>
      <c r="BK74" s="1482"/>
      <c r="BL74" s="1476"/>
      <c r="BM74" s="1476"/>
      <c r="BN74" s="1476"/>
      <c r="BO74" s="1477"/>
      <c r="BP74" s="1477"/>
      <c r="BQ74" s="1478"/>
      <c r="BS74" s="1475"/>
      <c r="BT74" s="1482"/>
      <c r="BU74" s="1476"/>
      <c r="BV74" s="1476"/>
      <c r="BW74" s="1477"/>
      <c r="BX74" s="1477"/>
      <c r="BY74" s="1478"/>
      <c r="CA74" s="1475"/>
      <c r="CB74" s="1482"/>
      <c r="CC74" s="1476"/>
      <c r="CD74" s="1476"/>
      <c r="CE74" s="1477"/>
      <c r="CF74" s="1477"/>
      <c r="CG74" s="1478"/>
      <c r="CI74" s="1475"/>
      <c r="CJ74" s="1482"/>
      <c r="CK74" s="1476"/>
      <c r="CL74" s="1476"/>
      <c r="CM74" s="1477"/>
      <c r="CN74" s="1477"/>
      <c r="CO74" s="1478"/>
      <c r="CP74" s="1370"/>
      <c r="CQ74" s="1483"/>
      <c r="CR74" s="1483"/>
      <c r="CS74" s="1483"/>
      <c r="CT74" s="1483"/>
      <c r="CU74" s="1484" t="n">
        <f aca="false">IFERROR((CQ74-CS74)*100,"-")</f>
        <v>0</v>
      </c>
      <c r="CV74" s="1484"/>
      <c r="CW74" s="1485" t="n">
        <f aca="false">IFERROR((CQ74-CR74)*100,"-")</f>
        <v>0</v>
      </c>
      <c r="CY74" s="1483"/>
      <c r="CZ74" s="1483"/>
      <c r="DA74" s="1483"/>
      <c r="DB74" s="1483"/>
      <c r="DC74" s="1483"/>
      <c r="DD74" s="1484" t="e">
        <f aca="false">CY74/$DC74-1</f>
        <v>#DIV/0!</v>
      </c>
      <c r="DE74" s="1484" t="e">
        <f aca="false">CZ74/$DC74-1</f>
        <v>#DIV/0!</v>
      </c>
      <c r="DF74" s="1484" t="e">
        <f aca="false">DA74/$DC74-1</f>
        <v>#DIV/0!</v>
      </c>
      <c r="DG74" s="1484" t="e">
        <f aca="false">DB74/$DC74-1</f>
        <v>#DIV/0!</v>
      </c>
    </row>
    <row r="75" customFormat="false" ht="15.75" hidden="false" customHeight="false" outlineLevel="0" collapsed="false">
      <c r="BB75" s="1321"/>
      <c r="BC75" s="1322"/>
      <c r="BD75" s="1323"/>
      <c r="BE75" s="1323"/>
    </row>
    <row r="77" customFormat="false" ht="15.75" hidden="false" customHeight="false" outlineLevel="0" collapsed="false">
      <c r="CF77" s="37"/>
    </row>
    <row r="82" customFormat="false" ht="15.75" hidden="false" customHeight="false" outlineLevel="0" collapsed="false">
      <c r="D82" s="1486"/>
    </row>
    <row r="83" customFormat="false" ht="15.75" hidden="false" customHeight="false" outlineLevel="0" collapsed="false">
      <c r="D83" s="1486"/>
    </row>
  </sheetData>
  <mergeCells count="22">
    <mergeCell ref="D2:H2"/>
    <mergeCell ref="J2:N2"/>
    <mergeCell ref="P2:T2"/>
    <mergeCell ref="V2:AB2"/>
    <mergeCell ref="AD2:AJ2"/>
    <mergeCell ref="AL2:AR2"/>
    <mergeCell ref="AT2:AZ2"/>
    <mergeCell ref="BB2:BH2"/>
    <mergeCell ref="BJ2:BP2"/>
    <mergeCell ref="BS2:BY2"/>
    <mergeCell ref="CA2:CG2"/>
    <mergeCell ref="CI2:CO2"/>
    <mergeCell ref="CQ2:CW2"/>
    <mergeCell ref="CY2:DG2"/>
    <mergeCell ref="A6:B6"/>
    <mergeCell ref="A8:B8"/>
    <mergeCell ref="A10:B10"/>
    <mergeCell ref="A12:B12"/>
    <mergeCell ref="A14:B14"/>
    <mergeCell ref="A27:B27"/>
    <mergeCell ref="A41:B41"/>
    <mergeCell ref="A73:B7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Z313"/>
  <sheetViews>
    <sheetView showFormulas="false" showGridLines="false" showRowColHeaders="true" showZeros="true" rightToLeft="false" tabSelected="false" showOutlineSymbols="true" defaultGridColor="true" view="pageBreakPreview" topLeftCell="CL1" colorId="64" zoomScale="100" zoomScaleNormal="70" zoomScalePageLayoutView="100" workbookViewId="0">
      <selection pane="topLeft" activeCell="CW12" activeCellId="0" sqref="CW12"/>
    </sheetView>
  </sheetViews>
  <sheetFormatPr defaultColWidth="11.58984375" defaultRowHeight="13.5" zeroHeight="false" outlineLevelRow="0" outlineLevelCol="0"/>
  <cols>
    <col collapsed="false" customWidth="true" hidden="false" outlineLevel="0" max="1" min="1" style="1487" width="17.52"/>
    <col collapsed="false" customWidth="true" hidden="false" outlineLevel="0" max="2" min="2" style="2" width="17.52"/>
    <col collapsed="false" customWidth="true" hidden="false" outlineLevel="0" max="3" min="3" style="1" width="1.51"/>
    <col collapsed="false" customWidth="true" hidden="false" outlineLevel="0" max="4" min="4" style="2" width="17"/>
    <col collapsed="false" customWidth="true" hidden="false" outlineLevel="0" max="5" min="5" style="2" width="17.52"/>
    <col collapsed="false" customWidth="true" hidden="false" outlineLevel="0" max="6" min="6" style="2" width="17"/>
    <col collapsed="false" customWidth="true" hidden="false" outlineLevel="0" max="7" min="7" style="246" width="16.83"/>
    <col collapsed="false" customWidth="true" hidden="false" outlineLevel="0" max="8" min="8" style="1438" width="7.34"/>
    <col collapsed="false" customWidth="true" hidden="false" outlineLevel="0" max="9" min="9" style="1438" width="0.16"/>
    <col collapsed="false" customWidth="true" hidden="false" outlineLevel="0" max="10" min="10" style="2" width="25"/>
    <col collapsed="false" customWidth="true" hidden="false" outlineLevel="0" max="11" min="11" style="2" width="12.17"/>
    <col collapsed="false" customWidth="true" hidden="false" outlineLevel="0" max="12" min="12" style="2" width="19.5"/>
    <col collapsed="false" customWidth="true" hidden="false" outlineLevel="0" max="13" min="13" style="947" width="14.16"/>
    <col collapsed="false" customWidth="true" hidden="false" outlineLevel="0" max="14" min="14" style="1438" width="17.52"/>
    <col collapsed="false" customWidth="true" hidden="false" outlineLevel="0" max="15" min="15" style="1438" width="0.16"/>
    <col collapsed="false" customWidth="true" hidden="false" outlineLevel="0" max="18" min="16" style="2" width="13.02"/>
    <col collapsed="false" customWidth="true" hidden="false" outlineLevel="0" max="19" min="19" style="246" width="14.16"/>
    <col collapsed="false" customWidth="true" hidden="false" outlineLevel="0" max="20" min="20" style="1438" width="6.83"/>
    <col collapsed="false" customWidth="true" hidden="false" outlineLevel="0" max="21" min="21" style="1438" width="3.33"/>
    <col collapsed="false" customWidth="true" hidden="false" outlineLevel="0" max="22" min="22" style="2" width="13.5"/>
    <col collapsed="false" customWidth="true" hidden="false" outlineLevel="0" max="23" min="23" style="2" width="14.16"/>
    <col collapsed="false" customWidth="true" hidden="false" outlineLevel="0" max="25" min="24" style="2" width="12.83"/>
    <col collapsed="false" customWidth="true" hidden="false" outlineLevel="0" max="26" min="26" style="246" width="14.16"/>
    <col collapsed="false" customWidth="true" hidden="false" outlineLevel="0" max="27" min="27" style="246" width="14.66"/>
    <col collapsed="false" customWidth="true" hidden="false" outlineLevel="0" max="28" min="28" style="296" width="9.83"/>
    <col collapsed="false" customWidth="true" hidden="false" outlineLevel="0" max="29" min="29" style="1438" width="0.52"/>
    <col collapsed="false" customWidth="true" hidden="false" outlineLevel="0" max="30" min="30" style="2" width="15"/>
    <col collapsed="false" customWidth="true" hidden="false" outlineLevel="0" max="31" min="31" style="2" width="18.16"/>
    <col collapsed="false" customWidth="true" hidden="false" outlineLevel="0" max="33" min="32" style="2" width="15.49"/>
    <col collapsed="false" customWidth="true" hidden="false" outlineLevel="0" max="34" min="34" style="246" width="15"/>
    <col collapsed="false" customWidth="true" hidden="false" outlineLevel="0" max="35" min="35" style="246" width="14.5"/>
    <col collapsed="false" customWidth="true" hidden="false" outlineLevel="0" max="36" min="36" style="1438" width="8.83"/>
    <col collapsed="false" customWidth="true" hidden="false" outlineLevel="0" max="37" min="37" style="1438" width="0.52"/>
    <col collapsed="false" customWidth="true" hidden="false" outlineLevel="0" max="38" min="38" style="281" width="12.33"/>
    <col collapsed="false" customWidth="true" hidden="false" outlineLevel="0" max="39" min="39" style="281" width="13.83"/>
    <col collapsed="false" customWidth="true" hidden="false" outlineLevel="0" max="40" min="40" style="281" width="11.84"/>
    <col collapsed="false" customWidth="true" hidden="false" outlineLevel="0" max="41" min="41" style="281" width="13.5"/>
    <col collapsed="false" customWidth="true" hidden="false" outlineLevel="0" max="42" min="42" style="281" width="12.33"/>
    <col collapsed="false" customWidth="true" hidden="false" outlineLevel="0" max="43" min="43" style="246" width="12.5"/>
    <col collapsed="false" customWidth="true" hidden="false" outlineLevel="0" max="44" min="44" style="1438" width="8.16"/>
    <col collapsed="false" customWidth="true" hidden="false" outlineLevel="0" max="45" min="45" style="1438" width="6.83"/>
    <col collapsed="false" customWidth="true" hidden="false" outlineLevel="0" max="46" min="46" style="1438" width="0.16"/>
    <col collapsed="false" customWidth="true" hidden="false" outlineLevel="0" max="50" min="50" style="246" width="12.5"/>
    <col collapsed="false" customWidth="true" hidden="false" outlineLevel="0" max="51" min="51" style="296" width="12.17"/>
    <col collapsed="false" customWidth="true" hidden="false" outlineLevel="0" max="52" min="52" style="296" width="11.33"/>
    <col collapsed="false" customWidth="true" hidden="false" outlineLevel="0" max="53" min="53" style="1438" width="6.83"/>
    <col collapsed="false" customWidth="true" hidden="false" outlineLevel="0" max="54" min="54" style="1438" width="0.33"/>
    <col collapsed="false" customWidth="true" hidden="false" outlineLevel="0" max="57" min="55" style="2" width="11.33"/>
    <col collapsed="false" customWidth="true" hidden="false" outlineLevel="0" max="58" min="58" style="246" width="12.33"/>
    <col collapsed="false" customWidth="true" hidden="false" outlineLevel="0" max="60" min="59" style="1438" width="11.5"/>
    <col collapsed="false" customWidth="true" hidden="false" outlineLevel="0" max="61" min="61" style="1438" width="9.83"/>
    <col collapsed="false" customWidth="true" hidden="false" outlineLevel="0" max="62" min="62" style="1438" width="0.33"/>
    <col collapsed="false" customWidth="true" hidden="false" outlineLevel="0" max="65" min="65" style="2" width="12.33"/>
    <col collapsed="false" customWidth="true" hidden="false" outlineLevel="0" max="66" min="66" style="246" width="5.5"/>
    <col collapsed="false" customWidth="true" hidden="false" outlineLevel="0" max="67" min="67" style="246" width="12.17"/>
    <col collapsed="false" customWidth="true" hidden="false" outlineLevel="0" max="68" min="68" style="1438" width="11.64"/>
    <col collapsed="false" customWidth="true" hidden="false" outlineLevel="0" max="69" min="69" style="1438" width="10.5"/>
    <col collapsed="false" customWidth="true" hidden="false" outlineLevel="0" max="70" min="70" style="1438" width="6.83"/>
    <col collapsed="false" customWidth="true" hidden="false" outlineLevel="0" max="71" min="71" style="1438" width="0.33"/>
    <col collapsed="false" customWidth="true" hidden="false" outlineLevel="0" max="75" min="72" style="2" width="12.5"/>
    <col collapsed="false" customWidth="true" hidden="false" outlineLevel="0" max="77" min="76" style="246" width="12.5"/>
    <col collapsed="false" customWidth="true" hidden="false" outlineLevel="0" max="78" min="78" style="1438" width="12.5"/>
    <col collapsed="false" customWidth="true" hidden="false" outlineLevel="0" max="79" min="79" style="1438" width="0.52"/>
    <col collapsed="false" customWidth="true" hidden="false" outlineLevel="0" max="80" min="80" style="2" width="12.33"/>
    <col collapsed="false" customWidth="true" hidden="false" outlineLevel="0" max="81" min="81" style="2" width="12.5"/>
    <col collapsed="false" customWidth="true" hidden="false" outlineLevel="0" max="82" min="82" style="2" width="11.99"/>
    <col collapsed="false" customWidth="true" hidden="false" outlineLevel="0" max="83" min="83" style="2" width="12.5"/>
    <col collapsed="false" customWidth="true" hidden="false" outlineLevel="0" max="84" min="84" style="246" width="13.5"/>
    <col collapsed="false" customWidth="true" hidden="false" outlineLevel="0" max="85" min="85" style="246" width="12.5"/>
    <col collapsed="false" customWidth="true" hidden="false" outlineLevel="0" max="86" min="86" style="1438" width="9.51"/>
    <col collapsed="false" customWidth="true" hidden="false" outlineLevel="0" max="87" min="87" style="1438" width="6.01"/>
    <col collapsed="false" customWidth="true" hidden="false" outlineLevel="0" max="88" min="88" style="2" width="12.83"/>
    <col collapsed="false" customWidth="true" hidden="false" outlineLevel="0" max="89" min="89" style="2" width="11.99"/>
    <col collapsed="false" customWidth="true" hidden="false" outlineLevel="0" max="91" min="90" style="2" width="13.02"/>
    <col collapsed="false" customWidth="true" hidden="false" outlineLevel="0" max="92" min="92" style="246" width="13.5"/>
    <col collapsed="false" customWidth="true" hidden="false" outlineLevel="0" max="93" min="93" style="246" width="12.5"/>
    <col collapsed="false" customWidth="true" hidden="false" outlineLevel="0" max="94" min="94" style="1438" width="7.34"/>
    <col collapsed="false" customWidth="true" hidden="false" outlineLevel="0" max="95" min="95" style="1438" width="0.52"/>
    <col collapsed="false" customWidth="true" hidden="false" outlineLevel="0" max="96" min="96" style="1" width="15.34"/>
    <col collapsed="false" customWidth="true" hidden="false" outlineLevel="0" max="97" min="97" style="1" width="14.83"/>
    <col collapsed="false" customWidth="true" hidden="false" outlineLevel="0" max="98" min="98" style="1" width="15.34"/>
    <col collapsed="false" customWidth="true" hidden="false" outlineLevel="0" max="99" min="99" style="1" width="5.5"/>
    <col collapsed="false" customWidth="true" hidden="false" outlineLevel="0" max="100" min="100" style="2" width="16.14"/>
    <col collapsed="false" customWidth="true" hidden="false" outlineLevel="0" max="101" min="101" style="2" width="7.49"/>
    <col collapsed="false" customWidth="true" hidden="false" outlineLevel="0" max="102" min="102" style="1438" width="7.15"/>
    <col collapsed="false" customWidth="true" hidden="false" outlineLevel="0" max="103" min="103" style="2" width="2.33"/>
    <col collapsed="false" customWidth="true" hidden="false" outlineLevel="0" max="104" min="104" style="1" width="15.34"/>
    <col collapsed="false" customWidth="true" hidden="false" outlineLevel="0" max="105" min="105" style="1" width="14.16"/>
    <col collapsed="false" customWidth="true" hidden="false" outlineLevel="0" max="107" min="106" style="1" width="5.5"/>
    <col collapsed="false" customWidth="true" hidden="false" outlineLevel="0" max="108" min="108" style="1" width="14.5"/>
    <col collapsed="false" customWidth="true" hidden="false" outlineLevel="0" max="109" min="109" style="1" width="10.5"/>
    <col collapsed="false" customWidth="true" hidden="false" outlineLevel="0" max="110" min="110" style="1" width="11.5"/>
    <col collapsed="false" customWidth="true" hidden="false" outlineLevel="0" max="111" min="111" style="1" width="11.64"/>
    <col collapsed="false" customWidth="true" hidden="false" outlineLevel="0" max="112" min="112" style="1" width="13.83"/>
    <col collapsed="false" customWidth="true" hidden="false" outlineLevel="0" max="114" min="113" style="2" width="16.48"/>
    <col collapsed="false" customWidth="true" hidden="false" outlineLevel="0" max="129" min="128" style="2" width="29.5"/>
    <col collapsed="false" customWidth="true" hidden="false" outlineLevel="0" max="130" min="130" style="2" width="30.02"/>
  </cols>
  <sheetData>
    <row r="1" customFormat="false" ht="13.5" hidden="false" customHeight="false" outlineLevel="0" collapsed="false">
      <c r="D1" s="1029"/>
      <c r="J1" s="37"/>
      <c r="P1" s="37"/>
      <c r="Q1" s="40"/>
      <c r="R1" s="40"/>
      <c r="S1" s="39"/>
      <c r="T1" s="40"/>
      <c r="V1" s="37"/>
      <c r="W1" s="40"/>
      <c r="Z1" s="1488"/>
      <c r="AA1" s="1488"/>
      <c r="AB1" s="1488"/>
      <c r="AD1" s="37"/>
      <c r="AE1" s="40"/>
      <c r="AH1" s="39"/>
      <c r="AI1" s="39"/>
      <c r="AJ1" s="37"/>
      <c r="AL1" s="1489"/>
      <c r="AQ1" s="39"/>
      <c r="AU1" s="40"/>
      <c r="AV1" s="40"/>
      <c r="AX1" s="287"/>
      <c r="BC1" s="1490"/>
      <c r="BD1" s="40"/>
      <c r="BF1" s="287"/>
      <c r="BK1" s="1490"/>
      <c r="BL1" s="40"/>
      <c r="BN1" s="39"/>
      <c r="BO1" s="39"/>
      <c r="BQ1" s="37"/>
      <c r="BT1" s="1491"/>
      <c r="BU1" s="1491"/>
      <c r="BV1" s="40"/>
      <c r="BX1" s="39"/>
      <c r="BY1" s="39"/>
      <c r="CB1" s="782"/>
      <c r="CC1" s="40"/>
      <c r="CF1" s="39"/>
      <c r="CG1" s="39"/>
      <c r="CJ1" s="782"/>
      <c r="CK1" s="40"/>
      <c r="CN1" s="39"/>
      <c r="CO1" s="39"/>
      <c r="CR1" s="1492"/>
      <c r="CS1" s="1492"/>
      <c r="CT1" s="1492"/>
      <c r="CU1" s="1492"/>
      <c r="CV1" s="1492"/>
      <c r="CW1" s="1492"/>
      <c r="CX1" s="1492"/>
      <c r="CZ1" s="1326"/>
      <c r="DD1" s="1323"/>
      <c r="DX1" s="40"/>
      <c r="DY1" s="40"/>
      <c r="DZ1" s="40"/>
    </row>
    <row r="2" customFormat="false" ht="19.5" hidden="false" customHeight="true" outlineLevel="0" collapsed="false">
      <c r="A2" s="1493"/>
      <c r="B2" s="1333"/>
      <c r="C2" s="1333"/>
      <c r="D2" s="1334" t="n">
        <v>45292</v>
      </c>
      <c r="E2" s="1334"/>
      <c r="F2" s="1334"/>
      <c r="G2" s="1334"/>
      <c r="H2" s="1334"/>
      <c r="I2" s="1494"/>
      <c r="J2" s="1334" t="n">
        <v>45323</v>
      </c>
      <c r="K2" s="1334"/>
      <c r="L2" s="1334"/>
      <c r="M2" s="1334"/>
      <c r="N2" s="1334"/>
      <c r="O2" s="1494"/>
      <c r="P2" s="1334" t="n">
        <v>45352</v>
      </c>
      <c r="Q2" s="1334"/>
      <c r="R2" s="1334"/>
      <c r="S2" s="1334"/>
      <c r="T2" s="1334"/>
      <c r="U2" s="1494"/>
      <c r="V2" s="1334" t="n">
        <v>45383</v>
      </c>
      <c r="W2" s="1334"/>
      <c r="X2" s="1334"/>
      <c r="Y2" s="1334"/>
      <c r="Z2" s="1334"/>
      <c r="AA2" s="1334"/>
      <c r="AB2" s="1334"/>
      <c r="AC2" s="1494"/>
      <c r="AD2" s="1334" t="n">
        <v>45413</v>
      </c>
      <c r="AE2" s="1334"/>
      <c r="AF2" s="1334"/>
      <c r="AG2" s="1334"/>
      <c r="AH2" s="1334"/>
      <c r="AI2" s="1334"/>
      <c r="AJ2" s="1334"/>
      <c r="AK2" s="1495"/>
      <c r="AL2" s="1334" t="n">
        <v>45444</v>
      </c>
      <c r="AM2" s="1334"/>
      <c r="AN2" s="1334"/>
      <c r="AO2" s="1334"/>
      <c r="AP2" s="1334"/>
      <c r="AQ2" s="1334"/>
      <c r="AR2" s="1334"/>
      <c r="AS2" s="1334"/>
      <c r="AT2" s="1495"/>
      <c r="AU2" s="1334" t="n">
        <v>45474</v>
      </c>
      <c r="AV2" s="1334"/>
      <c r="AW2" s="1334"/>
      <c r="AX2" s="1334"/>
      <c r="AY2" s="1334"/>
      <c r="AZ2" s="1334"/>
      <c r="BA2" s="1334"/>
      <c r="BB2" s="1495"/>
      <c r="BC2" s="1496" t="n">
        <v>45505</v>
      </c>
      <c r="BD2" s="1496"/>
      <c r="BE2" s="1496"/>
      <c r="BF2" s="1496"/>
      <c r="BG2" s="1496"/>
      <c r="BH2" s="1496"/>
      <c r="BI2" s="1496"/>
      <c r="BJ2" s="1495"/>
      <c r="BK2" s="1496" t="n">
        <v>45536</v>
      </c>
      <c r="BL2" s="1496"/>
      <c r="BM2" s="1496"/>
      <c r="BN2" s="1496"/>
      <c r="BO2" s="1496"/>
      <c r="BP2" s="1496"/>
      <c r="BQ2" s="1496"/>
      <c r="BR2" s="1496"/>
      <c r="BS2" s="1495"/>
      <c r="BT2" s="1496" t="n">
        <v>45566</v>
      </c>
      <c r="BU2" s="1496"/>
      <c r="BV2" s="1496"/>
      <c r="BW2" s="1496"/>
      <c r="BX2" s="1496"/>
      <c r="BY2" s="1496"/>
      <c r="BZ2" s="1496"/>
      <c r="CA2" s="1494"/>
      <c r="CB2" s="1496" t="n">
        <v>45597</v>
      </c>
      <c r="CC2" s="1496"/>
      <c r="CD2" s="1496"/>
      <c r="CE2" s="1496"/>
      <c r="CF2" s="1496"/>
      <c r="CG2" s="1496"/>
      <c r="CH2" s="1496"/>
      <c r="CI2" s="1494"/>
      <c r="CJ2" s="1334" t="n">
        <v>45627</v>
      </c>
      <c r="CK2" s="1334"/>
      <c r="CL2" s="1334"/>
      <c r="CM2" s="1334"/>
      <c r="CN2" s="1334"/>
      <c r="CO2" s="1334"/>
      <c r="CP2" s="1334"/>
      <c r="CQ2" s="1495"/>
      <c r="CR2" s="1336" t="s">
        <v>913</v>
      </c>
      <c r="CS2" s="1336"/>
      <c r="CT2" s="1336"/>
      <c r="CU2" s="1336"/>
      <c r="CV2" s="1336"/>
      <c r="CW2" s="1336"/>
      <c r="CX2" s="1336"/>
      <c r="CZ2" s="1337" t="s">
        <v>914</v>
      </c>
      <c r="DA2" s="1337"/>
      <c r="DB2" s="1337"/>
      <c r="DC2" s="1337"/>
      <c r="DD2" s="1337"/>
      <c r="DE2" s="1337"/>
      <c r="DF2" s="1337"/>
      <c r="DG2" s="1337"/>
      <c r="DH2" s="1337"/>
    </row>
    <row r="3" customFormat="false" ht="19.5" hidden="false" customHeight="true" outlineLevel="0" collapsed="false">
      <c r="A3" s="1497"/>
      <c r="B3" s="1333"/>
      <c r="C3" s="1333"/>
      <c r="D3" s="1338" t="s">
        <v>958</v>
      </c>
      <c r="E3" s="1339" t="str">
        <f aca="false">+D3</f>
        <v>Réel</v>
      </c>
      <c r="F3" s="1339" t="s">
        <v>916</v>
      </c>
      <c r="G3" s="1339" t="s">
        <v>917</v>
      </c>
      <c r="H3" s="1498" t="s">
        <v>918</v>
      </c>
      <c r="I3" s="1498"/>
      <c r="J3" s="1338" t="s">
        <v>958</v>
      </c>
      <c r="K3" s="1339" t="str">
        <f aca="false">+J3</f>
        <v>Réel</v>
      </c>
      <c r="L3" s="1339" t="s">
        <v>916</v>
      </c>
      <c r="M3" s="1499" t="s">
        <v>917</v>
      </c>
      <c r="N3" s="1498" t="s">
        <v>918</v>
      </c>
      <c r="O3" s="1498"/>
      <c r="P3" s="1338" t="s">
        <v>958</v>
      </c>
      <c r="Q3" s="1339" t="str">
        <f aca="false">+P3</f>
        <v>Réel</v>
      </c>
      <c r="R3" s="1339" t="s">
        <v>916</v>
      </c>
      <c r="S3" s="1339" t="s">
        <v>917</v>
      </c>
      <c r="T3" s="1498" t="s">
        <v>918</v>
      </c>
      <c r="U3" s="1498"/>
      <c r="V3" s="1338" t="s">
        <v>958</v>
      </c>
      <c r="W3" s="1339" t="str">
        <f aca="false">+V3</f>
        <v>Réel</v>
      </c>
      <c r="X3" s="1339" t="s">
        <v>916</v>
      </c>
      <c r="Y3" s="1339" t="s">
        <v>919</v>
      </c>
      <c r="Z3" s="1339" t="s">
        <v>917</v>
      </c>
      <c r="AA3" s="1339" t="s">
        <v>917</v>
      </c>
      <c r="AB3" s="1498" t="s">
        <v>918</v>
      </c>
      <c r="AC3" s="1498"/>
      <c r="AD3" s="1338" t="s">
        <v>958</v>
      </c>
      <c r="AE3" s="1339" t="str">
        <f aca="false">+AD3</f>
        <v>Réel</v>
      </c>
      <c r="AF3" s="1339" t="s">
        <v>916</v>
      </c>
      <c r="AG3" s="1339" t="s">
        <v>919</v>
      </c>
      <c r="AH3" s="1339" t="s">
        <v>917</v>
      </c>
      <c r="AI3" s="1500" t="s">
        <v>917</v>
      </c>
      <c r="AJ3" s="1498" t="s">
        <v>918</v>
      </c>
      <c r="AK3" s="1501"/>
      <c r="AL3" s="1338" t="s">
        <v>958</v>
      </c>
      <c r="AM3" s="1339" t="str">
        <f aca="false">+AL3</f>
        <v>Réel</v>
      </c>
      <c r="AN3" s="1339" t="s">
        <v>916</v>
      </c>
      <c r="AO3" s="1339" t="s">
        <v>919</v>
      </c>
      <c r="AP3" s="1339" t="s">
        <v>920</v>
      </c>
      <c r="AQ3" s="1339" t="s">
        <v>917</v>
      </c>
      <c r="AR3" s="1500" t="s">
        <v>917</v>
      </c>
      <c r="AS3" s="1498" t="s">
        <v>918</v>
      </c>
      <c r="AT3" s="1501"/>
      <c r="AU3" s="1338" t="s">
        <v>958</v>
      </c>
      <c r="AV3" s="1339" t="str">
        <f aca="false">+AU3</f>
        <v>Réel</v>
      </c>
      <c r="AW3" s="1339" t="s">
        <v>916</v>
      </c>
      <c r="AX3" s="1339" t="s">
        <v>920</v>
      </c>
      <c r="AY3" s="1339" t="s">
        <v>917</v>
      </c>
      <c r="AZ3" s="1339" t="s">
        <v>917</v>
      </c>
      <c r="BA3" s="1498" t="s">
        <v>918</v>
      </c>
      <c r="BB3" s="1501"/>
      <c r="BC3" s="1338" t="s">
        <v>958</v>
      </c>
      <c r="BD3" s="1339" t="s">
        <v>958</v>
      </c>
      <c r="BE3" s="1339" t="s">
        <v>916</v>
      </c>
      <c r="BF3" s="1339" t="s">
        <v>920</v>
      </c>
      <c r="BG3" s="1339" t="s">
        <v>917</v>
      </c>
      <c r="BH3" s="1339" t="s">
        <v>917</v>
      </c>
      <c r="BI3" s="1498" t="s">
        <v>918</v>
      </c>
      <c r="BJ3" s="1501"/>
      <c r="BK3" s="1338" t="s">
        <v>958</v>
      </c>
      <c r="BL3" s="1339" t="s">
        <v>958</v>
      </c>
      <c r="BM3" s="1339" t="s">
        <v>916</v>
      </c>
      <c r="BN3" s="1339" t="s">
        <v>920</v>
      </c>
      <c r="BO3" s="1339" t="s">
        <v>921</v>
      </c>
      <c r="BP3" s="1339" t="s">
        <v>917</v>
      </c>
      <c r="BQ3" s="1339" t="s">
        <v>917</v>
      </c>
      <c r="BR3" s="1498" t="s">
        <v>918</v>
      </c>
      <c r="BS3" s="1501"/>
      <c r="BT3" s="1338" t="s">
        <v>958</v>
      </c>
      <c r="BU3" s="1339" t="s">
        <v>958</v>
      </c>
      <c r="BV3" s="1339" t="s">
        <v>916</v>
      </c>
      <c r="BW3" s="1339" t="s">
        <v>921</v>
      </c>
      <c r="BX3" s="1339" t="s">
        <v>917</v>
      </c>
      <c r="BY3" s="1339" t="s">
        <v>917</v>
      </c>
      <c r="BZ3" s="1498" t="s">
        <v>918</v>
      </c>
      <c r="CA3" s="1498"/>
      <c r="CB3" s="1338" t="s">
        <v>958</v>
      </c>
      <c r="CC3" s="1339" t="str">
        <f aca="false">+CB3</f>
        <v>Réel</v>
      </c>
      <c r="CD3" s="1339" t="s">
        <v>916</v>
      </c>
      <c r="CE3" s="1339" t="s">
        <v>921</v>
      </c>
      <c r="CF3" s="1339" t="s">
        <v>917</v>
      </c>
      <c r="CG3" s="1339" t="s">
        <v>917</v>
      </c>
      <c r="CH3" s="1498" t="s">
        <v>918</v>
      </c>
      <c r="CI3" s="1498"/>
      <c r="CJ3" s="1338" t="s">
        <v>958</v>
      </c>
      <c r="CK3" s="1339" t="str">
        <f aca="false">+CJ3</f>
        <v>Réel</v>
      </c>
      <c r="CL3" s="1339" t="s">
        <v>916</v>
      </c>
      <c r="CM3" s="1339" t="s">
        <v>921</v>
      </c>
      <c r="CN3" s="1339" t="s">
        <v>917</v>
      </c>
      <c r="CO3" s="1339" t="s">
        <v>917</v>
      </c>
      <c r="CP3" s="1498" t="s">
        <v>918</v>
      </c>
      <c r="CQ3" s="1501"/>
      <c r="CR3" s="1502" t="s">
        <v>958</v>
      </c>
      <c r="CS3" s="1503" t="str">
        <f aca="false">+CR3</f>
        <v>Réel</v>
      </c>
      <c r="CT3" s="1503" t="s">
        <v>916</v>
      </c>
      <c r="CU3" s="1503" t="s">
        <v>921</v>
      </c>
      <c r="CV3" s="1344" t="s">
        <v>917</v>
      </c>
      <c r="CW3" s="1344" t="s">
        <v>917</v>
      </c>
      <c r="CX3" s="1504" t="s">
        <v>918</v>
      </c>
      <c r="CZ3" s="1343" t="s">
        <v>916</v>
      </c>
      <c r="DA3" s="1343" t="s">
        <v>919</v>
      </c>
      <c r="DB3" s="1343" t="s">
        <v>920</v>
      </c>
      <c r="DC3" s="1343" t="s">
        <v>921</v>
      </c>
      <c r="DD3" s="1343" t="s">
        <v>958</v>
      </c>
      <c r="DE3" s="1343" t="s">
        <v>922</v>
      </c>
      <c r="DF3" s="1343" t="s">
        <v>923</v>
      </c>
      <c r="DG3" s="1343" t="s">
        <v>924</v>
      </c>
      <c r="DH3" s="1343" t="s">
        <v>925</v>
      </c>
    </row>
    <row r="4" customFormat="false" ht="19.5" hidden="false" customHeight="true" outlineLevel="0" collapsed="false">
      <c r="A4" s="1497"/>
      <c r="B4" s="1346" t="s">
        <v>926</v>
      </c>
      <c r="C4" s="1347"/>
      <c r="D4" s="1338" t="n">
        <v>2024</v>
      </c>
      <c r="E4" s="1339" t="n">
        <v>2023</v>
      </c>
      <c r="F4" s="1339" t="n">
        <v>2024</v>
      </c>
      <c r="G4" s="1338" t="s">
        <v>916</v>
      </c>
      <c r="H4" s="1505" t="n">
        <v>2023</v>
      </c>
      <c r="I4" s="1506"/>
      <c r="J4" s="1338" t="n">
        <v>2024</v>
      </c>
      <c r="K4" s="1339" t="n">
        <v>2023</v>
      </c>
      <c r="L4" s="1339" t="n">
        <v>2024</v>
      </c>
      <c r="M4" s="1507" t="s">
        <v>916</v>
      </c>
      <c r="N4" s="1505" t="n">
        <v>2023</v>
      </c>
      <c r="O4" s="1506"/>
      <c r="P4" s="1338" t="n">
        <v>2024</v>
      </c>
      <c r="Q4" s="1339" t="n">
        <v>2023</v>
      </c>
      <c r="R4" s="1339" t="n">
        <v>2024</v>
      </c>
      <c r="S4" s="1338" t="s">
        <v>916</v>
      </c>
      <c r="T4" s="1505" t="n">
        <v>2023</v>
      </c>
      <c r="U4" s="1506"/>
      <c r="V4" s="1338" t="n">
        <v>2024</v>
      </c>
      <c r="W4" s="1339" t="n">
        <v>2023</v>
      </c>
      <c r="X4" s="1339" t="n">
        <v>2024</v>
      </c>
      <c r="Y4" s="1339" t="n">
        <v>2024</v>
      </c>
      <c r="Z4" s="1338" t="s">
        <v>916</v>
      </c>
      <c r="AA4" s="1338" t="s">
        <v>919</v>
      </c>
      <c r="AB4" s="1505" t="n">
        <v>2023</v>
      </c>
      <c r="AC4" s="1506"/>
      <c r="AD4" s="1338" t="n">
        <v>2024</v>
      </c>
      <c r="AE4" s="1339" t="n">
        <v>2023</v>
      </c>
      <c r="AF4" s="1339" t="n">
        <v>2024</v>
      </c>
      <c r="AG4" s="1339" t="n">
        <v>2024</v>
      </c>
      <c r="AH4" s="1338" t="s">
        <v>916</v>
      </c>
      <c r="AI4" s="1508" t="s">
        <v>919</v>
      </c>
      <c r="AJ4" s="1505" t="n">
        <v>2023</v>
      </c>
      <c r="AK4" s="1509"/>
      <c r="AL4" s="1338" t="n">
        <v>2024</v>
      </c>
      <c r="AM4" s="1339" t="n">
        <v>2023</v>
      </c>
      <c r="AN4" s="1339" t="n">
        <v>2024</v>
      </c>
      <c r="AO4" s="1339" t="n">
        <v>2024</v>
      </c>
      <c r="AP4" s="1339" t="n">
        <v>2024</v>
      </c>
      <c r="AQ4" s="1338" t="s">
        <v>916</v>
      </c>
      <c r="AR4" s="1508" t="s">
        <v>919</v>
      </c>
      <c r="AS4" s="1505" t="n">
        <v>2023</v>
      </c>
      <c r="AT4" s="1509"/>
      <c r="AU4" s="1338" t="n">
        <v>2024</v>
      </c>
      <c r="AV4" s="1339" t="n">
        <v>2023</v>
      </c>
      <c r="AW4" s="1339" t="n">
        <v>2024</v>
      </c>
      <c r="AX4" s="1339" t="n">
        <v>2024</v>
      </c>
      <c r="AY4" s="1338" t="s">
        <v>916</v>
      </c>
      <c r="AZ4" s="1338" t="s">
        <v>920</v>
      </c>
      <c r="BA4" s="1505" t="n">
        <v>2024</v>
      </c>
      <c r="BB4" s="1509"/>
      <c r="BC4" s="1338" t="n">
        <v>2024</v>
      </c>
      <c r="BD4" s="1339" t="n">
        <v>2023</v>
      </c>
      <c r="BE4" s="1339" t="n">
        <v>2024</v>
      </c>
      <c r="BF4" s="1339" t="n">
        <v>2024</v>
      </c>
      <c r="BG4" s="1338" t="s">
        <v>916</v>
      </c>
      <c r="BH4" s="1338" t="s">
        <v>920</v>
      </c>
      <c r="BI4" s="1505" t="n">
        <v>2024</v>
      </c>
      <c r="BJ4" s="1509"/>
      <c r="BK4" s="1338" t="n">
        <v>2024</v>
      </c>
      <c r="BL4" s="1339" t="n">
        <v>2023</v>
      </c>
      <c r="BM4" s="1339" t="n">
        <v>2024</v>
      </c>
      <c r="BN4" s="1339" t="n">
        <v>2024</v>
      </c>
      <c r="BO4" s="1339" t="n">
        <v>2024</v>
      </c>
      <c r="BP4" s="1338" t="s">
        <v>916</v>
      </c>
      <c r="BQ4" s="1338" t="s">
        <v>920</v>
      </c>
      <c r="BR4" s="1505" t="n">
        <v>2024</v>
      </c>
      <c r="BS4" s="1509"/>
      <c r="BT4" s="1338" t="n">
        <v>2024</v>
      </c>
      <c r="BU4" s="1339" t="n">
        <v>2023</v>
      </c>
      <c r="BV4" s="1339" t="n">
        <v>2024</v>
      </c>
      <c r="BW4" s="1339" t="n">
        <v>2024</v>
      </c>
      <c r="BX4" s="1338" t="s">
        <v>916</v>
      </c>
      <c r="BY4" s="1338" t="s">
        <v>921</v>
      </c>
      <c r="BZ4" s="1505" t="n">
        <v>2024</v>
      </c>
      <c r="CA4" s="1506"/>
      <c r="CB4" s="1338" t="n">
        <v>2024</v>
      </c>
      <c r="CC4" s="1339" t="n">
        <v>2023</v>
      </c>
      <c r="CD4" s="1339" t="n">
        <v>2024</v>
      </c>
      <c r="CE4" s="1339" t="n">
        <v>2024</v>
      </c>
      <c r="CF4" s="1338" t="s">
        <v>916</v>
      </c>
      <c r="CG4" s="1338" t="s">
        <v>921</v>
      </c>
      <c r="CH4" s="1505" t="n">
        <v>2024</v>
      </c>
      <c r="CI4" s="1506"/>
      <c r="CJ4" s="1338" t="n">
        <v>2024</v>
      </c>
      <c r="CK4" s="1339" t="n">
        <v>2023</v>
      </c>
      <c r="CL4" s="1339" t="n">
        <v>2024</v>
      </c>
      <c r="CM4" s="1339" t="n">
        <v>2024</v>
      </c>
      <c r="CN4" s="1338" t="s">
        <v>916</v>
      </c>
      <c r="CO4" s="1338" t="s">
        <v>921</v>
      </c>
      <c r="CP4" s="1505" t="n">
        <v>2024</v>
      </c>
      <c r="CQ4" s="1509"/>
      <c r="CR4" s="1510" t="n">
        <v>2024</v>
      </c>
      <c r="CS4" s="1511" t="n">
        <v>2023</v>
      </c>
      <c r="CT4" s="1511" t="n">
        <v>2024</v>
      </c>
      <c r="CU4" s="1511" t="n">
        <v>2024</v>
      </c>
      <c r="CV4" s="1353" t="s">
        <v>916</v>
      </c>
      <c r="CW4" s="1353" t="s">
        <v>921</v>
      </c>
      <c r="CX4" s="1512" t="n">
        <v>2023</v>
      </c>
      <c r="CZ4" s="1355" t="n">
        <v>2024</v>
      </c>
      <c r="DA4" s="1352" t="n">
        <v>2024</v>
      </c>
      <c r="DB4" s="1352" t="n">
        <v>2024</v>
      </c>
      <c r="DC4" s="1352" t="n">
        <v>2024</v>
      </c>
      <c r="DD4" s="1352" t="n">
        <v>2023</v>
      </c>
      <c r="DE4" s="1352" t="n">
        <v>2023</v>
      </c>
      <c r="DF4" s="1352" t="n">
        <v>2024</v>
      </c>
      <c r="DG4" s="1352" t="n">
        <v>2024</v>
      </c>
      <c r="DH4" s="1352" t="n">
        <v>2024</v>
      </c>
      <c r="DX4" s="79"/>
      <c r="DY4" s="79"/>
      <c r="DZ4" s="79"/>
    </row>
    <row r="5" s="1" customFormat="true" ht="15.75" hidden="false" customHeight="false" outlineLevel="0" collapsed="false">
      <c r="A5" s="1497"/>
      <c r="B5" s="1333"/>
      <c r="C5" s="1333"/>
      <c r="D5" s="1513"/>
      <c r="E5" s="1514"/>
      <c r="F5" s="1514"/>
      <c r="G5" s="1515"/>
      <c r="H5" s="1516"/>
      <c r="I5" s="1517"/>
      <c r="J5" s="1513"/>
      <c r="K5" s="1514"/>
      <c r="L5" s="1514"/>
      <c r="M5" s="1518"/>
      <c r="N5" s="1516"/>
      <c r="O5" s="1517"/>
      <c r="P5" s="1513"/>
      <c r="Q5" s="1514"/>
      <c r="R5" s="1514"/>
      <c r="S5" s="1515"/>
      <c r="T5" s="1516"/>
      <c r="U5" s="1517"/>
      <c r="V5" s="1513"/>
      <c r="W5" s="1514"/>
      <c r="X5" s="1514"/>
      <c r="Y5" s="1514"/>
      <c r="Z5" s="1515"/>
      <c r="AA5" s="1515"/>
      <c r="AB5" s="1519"/>
      <c r="AC5" s="1517"/>
      <c r="AD5" s="1513"/>
      <c r="AE5" s="1514"/>
      <c r="AF5" s="1514"/>
      <c r="AG5" s="1514"/>
      <c r="AH5" s="1515"/>
      <c r="AI5" s="1520"/>
      <c r="AJ5" s="1516"/>
      <c r="AK5" s="1521"/>
      <c r="AL5" s="1522"/>
      <c r="AM5" s="1523"/>
      <c r="AN5" s="1523"/>
      <c r="AO5" s="1523"/>
      <c r="AP5" s="1523"/>
      <c r="AQ5" s="1515"/>
      <c r="AR5" s="1515"/>
      <c r="AS5" s="1516"/>
      <c r="AT5" s="1521"/>
      <c r="AU5" s="1513"/>
      <c r="AV5" s="1514"/>
      <c r="AW5" s="1514"/>
      <c r="AX5" s="1514"/>
      <c r="AY5" s="1515"/>
      <c r="AZ5" s="1515"/>
      <c r="BA5" s="1516"/>
      <c r="BB5" s="1521"/>
      <c r="BC5" s="1513"/>
      <c r="BD5" s="1514"/>
      <c r="BE5" s="1514"/>
      <c r="BF5" s="1514"/>
      <c r="BG5" s="1515"/>
      <c r="BH5" s="1515"/>
      <c r="BI5" s="1515"/>
      <c r="BJ5" s="1521"/>
      <c r="BK5" s="1513"/>
      <c r="BL5" s="1514"/>
      <c r="BM5" s="1514"/>
      <c r="BN5" s="1514"/>
      <c r="BO5" s="1514"/>
      <c r="BP5" s="1515"/>
      <c r="BQ5" s="1515"/>
      <c r="BR5" s="1515"/>
      <c r="BS5" s="1521"/>
      <c r="BT5" s="1513"/>
      <c r="BU5" s="1524"/>
      <c r="BV5" s="1525"/>
      <c r="BW5" s="1514"/>
      <c r="BX5" s="1515"/>
      <c r="BY5" s="1515"/>
      <c r="BZ5" s="1516"/>
      <c r="CA5" s="1517"/>
      <c r="CB5" s="1513"/>
      <c r="CC5" s="1525"/>
      <c r="CD5" s="1514"/>
      <c r="CE5" s="1514"/>
      <c r="CF5" s="1515"/>
      <c r="CG5" s="1515"/>
      <c r="CH5" s="1516"/>
      <c r="CI5" s="1517"/>
      <c r="CJ5" s="1513"/>
      <c r="CK5" s="1525"/>
      <c r="CL5" s="1514"/>
      <c r="CM5" s="1514"/>
      <c r="CN5" s="1515"/>
      <c r="CO5" s="1515"/>
      <c r="CP5" s="1516"/>
      <c r="CQ5" s="1521"/>
      <c r="CR5" s="1526"/>
      <c r="CS5" s="1356"/>
      <c r="CT5" s="1356"/>
      <c r="CU5" s="1356"/>
      <c r="CV5" s="1356"/>
      <c r="CW5" s="1356"/>
      <c r="CX5" s="1517"/>
      <c r="CZ5" s="1356"/>
      <c r="DA5" s="1356"/>
      <c r="DB5" s="1356"/>
      <c r="DC5" s="1356"/>
      <c r="DD5" s="1356"/>
      <c r="DE5" s="1356"/>
      <c r="DF5" s="1356"/>
      <c r="DG5" s="1356"/>
      <c r="DH5" s="1356"/>
      <c r="DX5" s="91"/>
      <c r="DY5" s="91"/>
      <c r="DZ5" s="91"/>
    </row>
    <row r="6" customFormat="false" ht="13.8" hidden="false" customHeight="false" outlineLevel="0" collapsed="false">
      <c r="A6" s="1362" t="s">
        <v>959</v>
      </c>
      <c r="B6" s="1362"/>
      <c r="C6" s="1333"/>
      <c r="D6" s="1381"/>
      <c r="E6" s="1527"/>
      <c r="F6" s="1411"/>
      <c r="G6" s="1372"/>
      <c r="H6" s="1528"/>
      <c r="I6" s="1528"/>
      <c r="J6" s="1363"/>
      <c r="K6" s="1529"/>
      <c r="L6" s="1408"/>
      <c r="M6" s="1530"/>
      <c r="N6" s="1531"/>
      <c r="O6" s="1532"/>
      <c r="P6" s="1363"/>
      <c r="Q6" s="1529"/>
      <c r="R6" s="1408"/>
      <c r="S6" s="1530"/>
      <c r="T6" s="1531"/>
      <c r="U6" s="1532"/>
      <c r="V6" s="1363"/>
      <c r="W6" s="1363"/>
      <c r="X6" s="1408"/>
      <c r="Y6" s="1408"/>
      <c r="Z6" s="1533"/>
      <c r="AA6" s="1533"/>
      <c r="AB6" s="1534"/>
      <c r="AC6" s="1532"/>
      <c r="AD6" s="1535"/>
      <c r="AE6" s="1535"/>
      <c r="AF6" s="1536"/>
      <c r="AG6" s="1536"/>
      <c r="AH6" s="1537"/>
      <c r="AI6" s="1537"/>
      <c r="AJ6" s="1538"/>
      <c r="AK6" s="1539"/>
      <c r="AL6" s="1535"/>
      <c r="AM6" s="1535"/>
      <c r="AN6" s="1536"/>
      <c r="AO6" s="1536"/>
      <c r="AP6" s="1537"/>
      <c r="AQ6" s="1537"/>
      <c r="AR6" s="1538"/>
      <c r="AS6" s="1538"/>
      <c r="AT6" s="1539"/>
      <c r="AU6" s="1535"/>
      <c r="AV6" s="1535"/>
      <c r="AW6" s="1536"/>
      <c r="AX6" s="1536"/>
      <c r="AY6" s="1537"/>
      <c r="AZ6" s="1537"/>
      <c r="BA6" s="1538"/>
      <c r="BB6" s="1538"/>
      <c r="BC6" s="1535"/>
      <c r="BD6" s="1535"/>
      <c r="BE6" s="1536"/>
      <c r="BF6" s="1536"/>
      <c r="BG6" s="1537"/>
      <c r="BH6" s="1537"/>
      <c r="BI6" s="1538"/>
      <c r="BJ6" s="1539"/>
      <c r="BK6" s="1535"/>
      <c r="BL6" s="1535"/>
      <c r="BM6" s="1536"/>
      <c r="BN6" s="1536"/>
      <c r="BO6" s="1535"/>
      <c r="BP6" s="1537"/>
      <c r="BQ6" s="1537"/>
      <c r="BR6" s="1538"/>
      <c r="BS6" s="1539"/>
      <c r="BT6" s="1535"/>
      <c r="BU6" s="1535"/>
      <c r="BV6" s="1536"/>
      <c r="BW6" s="1535"/>
      <c r="BX6" s="1537"/>
      <c r="BY6" s="1537"/>
      <c r="BZ6" s="1538"/>
      <c r="CA6" s="1540"/>
      <c r="CB6" s="1535"/>
      <c r="CC6" s="1535"/>
      <c r="CD6" s="1536"/>
      <c r="CE6" s="1535"/>
      <c r="CF6" s="1537"/>
      <c r="CG6" s="1537"/>
      <c r="CH6" s="1538"/>
      <c r="CI6" s="1540"/>
      <c r="CJ6" s="1535"/>
      <c r="CK6" s="1535"/>
      <c r="CL6" s="1536"/>
      <c r="CM6" s="1535"/>
      <c r="CN6" s="1537"/>
      <c r="CO6" s="1537"/>
      <c r="CP6" s="1538"/>
      <c r="CQ6" s="1541"/>
      <c r="CR6" s="1542"/>
      <c r="CS6" s="1542"/>
      <c r="CT6" s="1542"/>
      <c r="CU6" s="1542"/>
      <c r="CV6" s="1543" t="n">
        <f aca="false">CR6-CT6</f>
        <v>0</v>
      </c>
      <c r="CW6" s="1543"/>
      <c r="CX6" s="1544" t="str">
        <f aca="false">IFERROR(CR6/CS6-1,"-")</f>
        <v>-</v>
      </c>
      <c r="CY6" s="286"/>
      <c r="CZ6" s="1542"/>
      <c r="DA6" s="1545"/>
      <c r="DB6" s="1545"/>
      <c r="DC6" s="1542"/>
      <c r="DD6" s="1546"/>
      <c r="DE6" s="1547" t="e">
        <f aca="false">CZ6/$DD6-1</f>
        <v>#DIV/0!</v>
      </c>
      <c r="DF6" s="1548" t="e">
        <f aca="false">DA6/$DD6-1</f>
        <v>#DIV/0!</v>
      </c>
      <c r="DG6" s="1548" t="e">
        <f aca="false">DB6/$DD6-1</f>
        <v>#DIV/0!</v>
      </c>
      <c r="DH6" s="1548" t="e">
        <f aca="false">DC6/$DD6-1</f>
        <v>#DIV/0!</v>
      </c>
    </row>
    <row r="7" customFormat="false" ht="13.8" hidden="false" customHeight="false" outlineLevel="0" collapsed="false">
      <c r="A7" s="1549" t="s">
        <v>960</v>
      </c>
      <c r="B7" s="1549"/>
      <c r="C7" s="1333"/>
      <c r="D7" s="1550"/>
      <c r="E7" s="1550"/>
      <c r="F7" s="1550"/>
      <c r="G7" s="1435"/>
      <c r="H7" s="1551"/>
      <c r="I7" s="1551"/>
      <c r="J7" s="1428"/>
      <c r="K7" s="1428"/>
      <c r="L7" s="1428"/>
      <c r="M7" s="1552"/>
      <c r="N7" s="1553"/>
      <c r="O7" s="1554"/>
      <c r="P7" s="1428"/>
      <c r="Q7" s="1428"/>
      <c r="R7" s="1428"/>
      <c r="S7" s="1552"/>
      <c r="T7" s="1553"/>
      <c r="U7" s="1554"/>
      <c r="V7" s="1428"/>
      <c r="W7" s="1428"/>
      <c r="X7" s="1428"/>
      <c r="Y7" s="1429"/>
      <c r="Z7" s="1555"/>
      <c r="AA7" s="1555"/>
      <c r="AB7" s="1553"/>
      <c r="AC7" s="1554"/>
      <c r="AD7" s="1556"/>
      <c r="AE7" s="1556"/>
      <c r="AF7" s="1556"/>
      <c r="AG7" s="1557"/>
      <c r="AH7" s="1558"/>
      <c r="AI7" s="1558"/>
      <c r="AJ7" s="1559"/>
      <c r="AK7" s="1560"/>
      <c r="AL7" s="1556"/>
      <c r="AM7" s="1556"/>
      <c r="AN7" s="1556"/>
      <c r="AO7" s="1557"/>
      <c r="AP7" s="1558"/>
      <c r="AQ7" s="1558"/>
      <c r="AR7" s="1559"/>
      <c r="AS7" s="1559"/>
      <c r="AT7" s="1560"/>
      <c r="AU7" s="1556"/>
      <c r="AV7" s="1556"/>
      <c r="AW7" s="1556"/>
      <c r="AX7" s="1557"/>
      <c r="AY7" s="1558"/>
      <c r="AZ7" s="1558"/>
      <c r="BA7" s="1559"/>
      <c r="BB7" s="1559"/>
      <c r="BC7" s="1556"/>
      <c r="BD7" s="1556"/>
      <c r="BE7" s="1556"/>
      <c r="BF7" s="1557"/>
      <c r="BG7" s="1558"/>
      <c r="BH7" s="1558"/>
      <c r="BI7" s="1559"/>
      <c r="BJ7" s="1560"/>
      <c r="BK7" s="1556"/>
      <c r="BL7" s="1556"/>
      <c r="BM7" s="1556"/>
      <c r="BN7" s="1557"/>
      <c r="BO7" s="1556"/>
      <c r="BP7" s="1558"/>
      <c r="BQ7" s="1558"/>
      <c r="BR7" s="1559"/>
      <c r="BS7" s="1560"/>
      <c r="BT7" s="1556"/>
      <c r="BU7" s="1556"/>
      <c r="BV7" s="1556"/>
      <c r="BW7" s="1556"/>
      <c r="BX7" s="1558"/>
      <c r="BY7" s="1558"/>
      <c r="BZ7" s="1559"/>
      <c r="CA7" s="1561"/>
      <c r="CB7" s="1556"/>
      <c r="CC7" s="1556"/>
      <c r="CD7" s="1556"/>
      <c r="CE7" s="1556"/>
      <c r="CF7" s="1558"/>
      <c r="CG7" s="1558"/>
      <c r="CH7" s="1559"/>
      <c r="CI7" s="1561"/>
      <c r="CJ7" s="1556"/>
      <c r="CK7" s="1556"/>
      <c r="CL7" s="1556"/>
      <c r="CM7" s="1556"/>
      <c r="CN7" s="1558"/>
      <c r="CO7" s="1558"/>
      <c r="CP7" s="1559"/>
      <c r="CQ7" s="1560"/>
      <c r="CR7" s="1562"/>
      <c r="CS7" s="1562"/>
      <c r="CT7" s="1562"/>
      <c r="CU7" s="1562"/>
      <c r="CV7" s="1563" t="n">
        <f aca="false">CR7-CT7</f>
        <v>0</v>
      </c>
      <c r="CW7" s="1563"/>
      <c r="CX7" s="1564" t="str">
        <f aca="false">IFERROR(CR7/CS7-1,"-")</f>
        <v>-</v>
      </c>
      <c r="CY7" s="286"/>
      <c r="CZ7" s="1562"/>
      <c r="DA7" s="1565"/>
      <c r="DB7" s="1565"/>
      <c r="DC7" s="1562"/>
      <c r="DD7" s="1566"/>
      <c r="DE7" s="1567" t="e">
        <f aca="false">CZ7/$DD7-1</f>
        <v>#DIV/0!</v>
      </c>
      <c r="DF7" s="1568" t="e">
        <f aca="false">DA7/$DD7-1</f>
        <v>#DIV/0!</v>
      </c>
      <c r="DG7" s="1568" t="e">
        <f aca="false">DB7/$DD7-1</f>
        <v>#DIV/0!</v>
      </c>
      <c r="DH7" s="1568" t="e">
        <f aca="false">DC7/$DD7-1</f>
        <v>#DIV/0!</v>
      </c>
    </row>
    <row r="8" customFormat="false" ht="13.8" hidden="false" customHeight="false" outlineLevel="0" collapsed="false">
      <c r="A8" s="1569" t="s">
        <v>961</v>
      </c>
      <c r="B8" s="1570"/>
      <c r="C8" s="1333"/>
      <c r="D8" s="1439"/>
      <c r="E8" s="1439"/>
      <c r="F8" s="1439"/>
      <c r="G8" s="1401"/>
      <c r="H8" s="1571"/>
      <c r="I8" s="1571"/>
      <c r="J8" s="1395"/>
      <c r="K8" s="1395"/>
      <c r="L8" s="1395"/>
      <c r="M8" s="1572"/>
      <c r="N8" s="1573"/>
      <c r="O8" s="1574"/>
      <c r="P8" s="1395"/>
      <c r="Q8" s="1395"/>
      <c r="R8" s="1395"/>
      <c r="S8" s="1572"/>
      <c r="T8" s="1573"/>
      <c r="U8" s="1574"/>
      <c r="V8" s="1395"/>
      <c r="W8" s="1395"/>
      <c r="X8" s="1395"/>
      <c r="Y8" s="1376"/>
      <c r="Z8" s="1575"/>
      <c r="AA8" s="1575"/>
      <c r="AB8" s="1573"/>
      <c r="AC8" s="1574"/>
      <c r="AD8" s="1576"/>
      <c r="AE8" s="1576"/>
      <c r="AF8" s="1576"/>
      <c r="AG8" s="1577"/>
      <c r="AH8" s="1578"/>
      <c r="AI8" s="1578"/>
      <c r="AJ8" s="1579"/>
      <c r="AK8" s="1580"/>
      <c r="AL8" s="1576"/>
      <c r="AM8" s="1576"/>
      <c r="AN8" s="1576"/>
      <c r="AO8" s="1577"/>
      <c r="AP8" s="1578"/>
      <c r="AQ8" s="1578"/>
      <c r="AR8" s="1579"/>
      <c r="AS8" s="1579"/>
      <c r="AT8" s="1580"/>
      <c r="AU8" s="1576"/>
      <c r="AV8" s="1576"/>
      <c r="AW8" s="1576"/>
      <c r="AX8" s="1577"/>
      <c r="AY8" s="1578"/>
      <c r="AZ8" s="1578"/>
      <c r="BA8" s="1579"/>
      <c r="BB8" s="1579"/>
      <c r="BC8" s="1576"/>
      <c r="BD8" s="1576"/>
      <c r="BE8" s="1576"/>
      <c r="BF8" s="1577"/>
      <c r="BG8" s="1578"/>
      <c r="BH8" s="1578"/>
      <c r="BI8" s="1579"/>
      <c r="BJ8" s="1580"/>
      <c r="BK8" s="1576"/>
      <c r="BL8" s="1576"/>
      <c r="BM8" s="1576"/>
      <c r="BN8" s="1577"/>
      <c r="BO8" s="1576"/>
      <c r="BP8" s="1578"/>
      <c r="BQ8" s="1578"/>
      <c r="BR8" s="1579"/>
      <c r="BS8" s="1580"/>
      <c r="BT8" s="1576"/>
      <c r="BU8" s="1576"/>
      <c r="BV8" s="1576"/>
      <c r="BW8" s="1576"/>
      <c r="BX8" s="1578"/>
      <c r="BY8" s="1578"/>
      <c r="BZ8" s="1579"/>
      <c r="CA8" s="1581"/>
      <c r="CB8" s="1576"/>
      <c r="CC8" s="1576"/>
      <c r="CD8" s="1576"/>
      <c r="CE8" s="1576"/>
      <c r="CF8" s="1578"/>
      <c r="CG8" s="1578"/>
      <c r="CH8" s="1579"/>
      <c r="CI8" s="1581"/>
      <c r="CJ8" s="1576"/>
      <c r="CK8" s="1576"/>
      <c r="CL8" s="1576"/>
      <c r="CM8" s="1576"/>
      <c r="CN8" s="1578"/>
      <c r="CO8" s="1578"/>
      <c r="CP8" s="1579"/>
      <c r="CQ8" s="1580"/>
      <c r="CR8" s="1582"/>
      <c r="CS8" s="1582"/>
      <c r="CT8" s="1582"/>
      <c r="CU8" s="1582"/>
      <c r="CV8" s="1583" t="n">
        <f aca="false">CR8-CT8</f>
        <v>0</v>
      </c>
      <c r="CW8" s="1583"/>
      <c r="CX8" s="1584" t="str">
        <f aca="false">IFERROR(CR8/CS8-1,"-")</f>
        <v>-</v>
      </c>
      <c r="CY8" s="286"/>
      <c r="CZ8" s="1582"/>
      <c r="DA8" s="1585"/>
      <c r="DB8" s="1585"/>
      <c r="DC8" s="1582"/>
      <c r="DD8" s="1586"/>
      <c r="DE8" s="1587" t="e">
        <f aca="false">CZ8/$DD8-1</f>
        <v>#DIV/0!</v>
      </c>
      <c r="DF8" s="1588" t="e">
        <f aca="false">DA8/$DD8-1</f>
        <v>#DIV/0!</v>
      </c>
      <c r="DG8" s="1588" t="e">
        <f aca="false">DB8/$DD8-1</f>
        <v>#DIV/0!</v>
      </c>
      <c r="DH8" s="1588" t="e">
        <f aca="false">DC8/$DD8-1</f>
        <v>#DIV/0!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customFormat="false" ht="13.8" hidden="false" customHeight="false" outlineLevel="0" collapsed="false">
      <c r="A9" s="1589" t="s">
        <v>962</v>
      </c>
      <c r="B9" s="1589"/>
      <c r="C9" s="1333"/>
      <c r="D9" s="1590"/>
      <c r="E9" s="1590"/>
      <c r="F9" s="1590"/>
      <c r="G9" s="1413"/>
      <c r="H9" s="1591"/>
      <c r="I9" s="1591"/>
      <c r="J9" s="1407"/>
      <c r="K9" s="1407"/>
      <c r="L9" s="1407"/>
      <c r="M9" s="1592"/>
      <c r="N9" s="1593"/>
      <c r="O9" s="1531"/>
      <c r="P9" s="1407"/>
      <c r="Q9" s="1407"/>
      <c r="R9" s="1407"/>
      <c r="S9" s="1592"/>
      <c r="T9" s="1593"/>
      <c r="U9" s="1531"/>
      <c r="V9" s="1407"/>
      <c r="W9" s="1407"/>
      <c r="X9" s="1407"/>
      <c r="Y9" s="1408"/>
      <c r="Z9" s="1594"/>
      <c r="AA9" s="1594"/>
      <c r="AB9" s="1593"/>
      <c r="AC9" s="1531"/>
      <c r="AD9" s="1595"/>
      <c r="AE9" s="1595"/>
      <c r="AF9" s="1595"/>
      <c r="AG9" s="1536"/>
      <c r="AH9" s="1596"/>
      <c r="AI9" s="1596"/>
      <c r="AJ9" s="1597"/>
      <c r="AK9" s="1541"/>
      <c r="AL9" s="1595"/>
      <c r="AM9" s="1595"/>
      <c r="AN9" s="1595"/>
      <c r="AO9" s="1536"/>
      <c r="AP9" s="1598"/>
      <c r="AQ9" s="1596"/>
      <c r="AR9" s="1597"/>
      <c r="AS9" s="1597"/>
      <c r="AT9" s="1541"/>
      <c r="AU9" s="1595"/>
      <c r="AV9" s="1595"/>
      <c r="AW9" s="1595"/>
      <c r="AX9" s="1536"/>
      <c r="AY9" s="1596"/>
      <c r="AZ9" s="1596"/>
      <c r="BA9" s="1597"/>
      <c r="BB9" s="1597"/>
      <c r="BC9" s="1595"/>
      <c r="BD9" s="1595"/>
      <c r="BE9" s="1595"/>
      <c r="BF9" s="1536"/>
      <c r="BG9" s="1596"/>
      <c r="BH9" s="1596"/>
      <c r="BI9" s="1597"/>
      <c r="BJ9" s="1541"/>
      <c r="BK9" s="1595"/>
      <c r="BL9" s="1595"/>
      <c r="BM9" s="1595"/>
      <c r="BN9" s="1536"/>
      <c r="BO9" s="1595"/>
      <c r="BP9" s="1596"/>
      <c r="BQ9" s="1596"/>
      <c r="BR9" s="1597"/>
      <c r="BS9" s="1541"/>
      <c r="BT9" s="1595"/>
      <c r="BU9" s="1595"/>
      <c r="BV9" s="1595"/>
      <c r="BW9" s="1595"/>
      <c r="BX9" s="1596"/>
      <c r="BY9" s="1596"/>
      <c r="BZ9" s="1597"/>
      <c r="CA9" s="1599"/>
      <c r="CB9" s="1595"/>
      <c r="CC9" s="1595"/>
      <c r="CD9" s="1595"/>
      <c r="CE9" s="1595"/>
      <c r="CF9" s="1596"/>
      <c r="CG9" s="1596"/>
      <c r="CH9" s="1597"/>
      <c r="CI9" s="1599"/>
      <c r="CJ9" s="1595"/>
      <c r="CK9" s="1595"/>
      <c r="CL9" s="1595"/>
      <c r="CM9" s="1595"/>
      <c r="CN9" s="1596"/>
      <c r="CO9" s="1596"/>
      <c r="CP9" s="1597"/>
      <c r="CQ9" s="1541"/>
      <c r="CR9" s="1600"/>
      <c r="CS9" s="1600"/>
      <c r="CT9" s="1600"/>
      <c r="CU9" s="1600"/>
      <c r="CV9" s="1601" t="n">
        <f aca="false">CR9-CT9</f>
        <v>0</v>
      </c>
      <c r="CW9" s="1601"/>
      <c r="CX9" s="1602" t="str">
        <f aca="false">IFERROR(CR9/CS9-1,"-")</f>
        <v>-</v>
      </c>
      <c r="CY9" s="286"/>
      <c r="CZ9" s="1600"/>
      <c r="DA9" s="1603"/>
      <c r="DB9" s="1603"/>
      <c r="DC9" s="1600"/>
      <c r="DD9" s="1604"/>
      <c r="DE9" s="1605" t="e">
        <f aca="false">CZ9/$DD9-1</f>
        <v>#DIV/0!</v>
      </c>
      <c r="DF9" s="1606" t="e">
        <f aca="false">DA9/$DD9-1</f>
        <v>#DIV/0!</v>
      </c>
      <c r="DG9" s="1606" t="e">
        <f aca="false">DB9/$DD9-1</f>
        <v>#DIV/0!</v>
      </c>
      <c r="DH9" s="1606" t="e">
        <f aca="false">DC9/$DD9-1</f>
        <v>#DIV/0!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customFormat="false" ht="15.75" hidden="false" customHeight="false" outlineLevel="0" collapsed="false">
      <c r="A10" s="1607"/>
      <c r="B10" s="1375"/>
      <c r="C10" s="1368"/>
      <c r="D10" s="1378"/>
      <c r="E10" s="1378"/>
      <c r="F10" s="1378"/>
      <c r="G10" s="1376"/>
      <c r="H10" s="1608"/>
      <c r="I10" s="1608"/>
      <c r="J10" s="1376"/>
      <c r="K10" s="1376"/>
      <c r="L10" s="1376"/>
      <c r="M10" s="1609"/>
      <c r="N10" s="1610"/>
      <c r="O10" s="1608"/>
      <c r="P10" s="1376"/>
      <c r="Q10" s="1376"/>
      <c r="R10" s="1376"/>
      <c r="S10" s="1609"/>
      <c r="T10" s="1610"/>
      <c r="U10" s="1608"/>
      <c r="V10" s="1611"/>
      <c r="W10" s="1376"/>
      <c r="X10" s="1376"/>
      <c r="Y10" s="1376"/>
      <c r="Z10" s="1612"/>
      <c r="AA10" s="1612"/>
      <c r="AB10" s="1608"/>
      <c r="AC10" s="1608"/>
      <c r="AD10" s="1613"/>
      <c r="AE10" s="1577"/>
      <c r="AF10" s="1577"/>
      <c r="AG10" s="1577"/>
      <c r="AH10" s="1614"/>
      <c r="AI10" s="1614"/>
      <c r="AJ10" s="1615"/>
      <c r="AK10" s="1616"/>
      <c r="AL10" s="1613"/>
      <c r="AM10" s="1577"/>
      <c r="AN10" s="1577"/>
      <c r="AO10" s="1577"/>
      <c r="AP10" s="1614"/>
      <c r="AQ10" s="1614"/>
      <c r="AR10" s="1615"/>
      <c r="AS10" s="1615"/>
      <c r="AT10" s="1616"/>
      <c r="AU10" s="1613"/>
      <c r="AV10" s="1577"/>
      <c r="AW10" s="1577"/>
      <c r="AX10" s="1577"/>
      <c r="AY10" s="1614"/>
      <c r="AZ10" s="1614"/>
      <c r="BA10" s="1615"/>
      <c r="BB10" s="1615"/>
      <c r="BC10" s="1613"/>
      <c r="BD10" s="1577"/>
      <c r="BE10" s="1577"/>
      <c r="BF10" s="1577"/>
      <c r="BG10" s="1614"/>
      <c r="BH10" s="1614"/>
      <c r="BI10" s="1615"/>
      <c r="BJ10" s="1616"/>
      <c r="BK10" s="1613"/>
      <c r="BL10" s="1577"/>
      <c r="BM10" s="1577"/>
      <c r="BN10" s="1577"/>
      <c r="BO10" s="1613"/>
      <c r="BP10" s="1614"/>
      <c r="BQ10" s="1614"/>
      <c r="BR10" s="1615"/>
      <c r="BS10" s="1616"/>
      <c r="BT10" s="1613"/>
      <c r="BU10" s="1577"/>
      <c r="BV10" s="1577"/>
      <c r="BW10" s="1613"/>
      <c r="BX10" s="1614"/>
      <c r="BY10" s="1614"/>
      <c r="BZ10" s="1615"/>
      <c r="CA10" s="1615"/>
      <c r="CB10" s="1613"/>
      <c r="CC10" s="1577"/>
      <c r="CD10" s="1577"/>
      <c r="CE10" s="1613"/>
      <c r="CF10" s="1614"/>
      <c r="CG10" s="1614"/>
      <c r="CH10" s="1615"/>
      <c r="CI10" s="1615"/>
      <c r="CJ10" s="1613"/>
      <c r="CK10" s="1577"/>
      <c r="CL10" s="1577"/>
      <c r="CM10" s="1613"/>
      <c r="CN10" s="1614"/>
      <c r="CO10" s="1614"/>
      <c r="CP10" s="1615"/>
      <c r="CQ10" s="1580"/>
      <c r="CR10" s="1577"/>
      <c r="CS10" s="1577"/>
      <c r="CT10" s="1577"/>
      <c r="CU10" s="1577"/>
      <c r="CV10" s="1577"/>
      <c r="CW10" s="1577"/>
      <c r="CX10" s="1615"/>
      <c r="CY10" s="286"/>
      <c r="CZ10" s="1617"/>
      <c r="DA10" s="1614"/>
      <c r="DB10" s="1614"/>
      <c r="DC10" s="1617"/>
      <c r="DD10" s="1614"/>
      <c r="DE10" s="1618"/>
      <c r="DF10" s="1610"/>
      <c r="DG10" s="1610"/>
      <c r="DH10" s="1610"/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customFormat="false" ht="13.8" hidden="false" customHeight="false" outlineLevel="0" collapsed="false">
      <c r="A11" s="1362" t="s">
        <v>963</v>
      </c>
      <c r="B11" s="1362"/>
      <c r="C11" s="1333"/>
      <c r="D11" s="1619"/>
      <c r="E11" s="1619"/>
      <c r="F11" s="1619"/>
      <c r="G11" s="1620"/>
      <c r="H11" s="1528"/>
      <c r="I11" s="1528"/>
      <c r="J11" s="1621"/>
      <c r="K11" s="1621"/>
      <c r="L11" s="1621"/>
      <c r="M11" s="1622"/>
      <c r="N11" s="1623"/>
      <c r="O11" s="1624"/>
      <c r="P11" s="1621"/>
      <c r="Q11" s="1621"/>
      <c r="R11" s="1621"/>
      <c r="S11" s="1622"/>
      <c r="T11" s="1623"/>
      <c r="U11" s="1624"/>
      <c r="V11" s="1621"/>
      <c r="W11" s="1621"/>
      <c r="X11" s="1621"/>
      <c r="Y11" s="1621"/>
      <c r="Z11" s="1625"/>
      <c r="AA11" s="1626"/>
      <c r="AB11" s="1627"/>
      <c r="AC11" s="1624"/>
      <c r="AD11" s="1628"/>
      <c r="AE11" s="1628"/>
      <c r="AF11" s="1628"/>
      <c r="AG11" s="1628"/>
      <c r="AH11" s="1629"/>
      <c r="AI11" s="1630"/>
      <c r="AJ11" s="1631"/>
      <c r="AK11" s="1632"/>
      <c r="AL11" s="1628"/>
      <c r="AM11" s="1628"/>
      <c r="AN11" s="1628"/>
      <c r="AO11" s="1628"/>
      <c r="AP11" s="1629"/>
      <c r="AQ11" s="1630"/>
      <c r="AR11" s="1631"/>
      <c r="AS11" s="1631"/>
      <c r="AT11" s="1632"/>
      <c r="AU11" s="1628"/>
      <c r="AV11" s="1628"/>
      <c r="AW11" s="1628"/>
      <c r="AX11" s="1628"/>
      <c r="AY11" s="1629"/>
      <c r="AZ11" s="1630"/>
      <c r="BA11" s="1631"/>
      <c r="BB11" s="1631"/>
      <c r="BC11" s="1628"/>
      <c r="BD11" s="1628"/>
      <c r="BE11" s="1628"/>
      <c r="BF11" s="1628"/>
      <c r="BG11" s="1629"/>
      <c r="BH11" s="1630"/>
      <c r="BI11" s="1631"/>
      <c r="BJ11" s="1632"/>
      <c r="BK11" s="1628"/>
      <c r="BL11" s="1628"/>
      <c r="BM11" s="1628"/>
      <c r="BN11" s="1628"/>
      <c r="BO11" s="1628"/>
      <c r="BP11" s="1629"/>
      <c r="BQ11" s="1630"/>
      <c r="BR11" s="1631"/>
      <c r="BS11" s="1632"/>
      <c r="BT11" s="1628"/>
      <c r="BU11" s="1628"/>
      <c r="BV11" s="1628"/>
      <c r="BW11" s="1628"/>
      <c r="BX11" s="1629"/>
      <c r="BY11" s="1630"/>
      <c r="BZ11" s="1631"/>
      <c r="CA11" s="1633"/>
      <c r="CB11" s="1628"/>
      <c r="CC11" s="1628"/>
      <c r="CD11" s="1628"/>
      <c r="CE11" s="1628"/>
      <c r="CF11" s="1629"/>
      <c r="CG11" s="1630"/>
      <c r="CH11" s="1631"/>
      <c r="CI11" s="1633"/>
      <c r="CJ11" s="1628"/>
      <c r="CK11" s="1628"/>
      <c r="CL11" s="1628"/>
      <c r="CM11" s="1628"/>
      <c r="CN11" s="1629"/>
      <c r="CO11" s="1630"/>
      <c r="CP11" s="1631"/>
      <c r="CQ11" s="1634"/>
      <c r="CR11" s="1635"/>
      <c r="CS11" s="1635"/>
      <c r="CT11" s="1635"/>
      <c r="CU11" s="1635"/>
      <c r="CV11" s="1636" t="n">
        <f aca="false">CR11-CT11</f>
        <v>0</v>
      </c>
      <c r="CW11" s="1636"/>
      <c r="CX11" s="1544" t="str">
        <f aca="false">IFERROR(CR11/CS11-1,"-")</f>
        <v>-</v>
      </c>
      <c r="CY11" s="286"/>
      <c r="CZ11" s="1637"/>
      <c r="DA11" s="1545"/>
      <c r="DB11" s="1545"/>
      <c r="DC11" s="1638"/>
      <c r="DD11" s="1546"/>
      <c r="DE11" s="1547" t="e">
        <f aca="false">CZ11/$DD11-1</f>
        <v>#DIV/0!</v>
      </c>
      <c r="DF11" s="1548" t="e">
        <f aca="false">DA11/$DD11-1</f>
        <v>#DIV/0!</v>
      </c>
      <c r="DG11" s="1548" t="e">
        <f aca="false">DB11/$DD11-1</f>
        <v>#DIV/0!</v>
      </c>
      <c r="DH11" s="1548" t="e">
        <f aca="false">DC11/$DD11-1</f>
        <v>#DIV/0!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customFormat="false" ht="13.8" hidden="false" customHeight="false" outlineLevel="0" collapsed="false">
      <c r="A12" s="1549" t="s">
        <v>960</v>
      </c>
      <c r="B12" s="1549"/>
      <c r="C12" s="1333"/>
      <c r="D12" s="1639"/>
      <c r="E12" s="1639"/>
      <c r="F12" s="1639"/>
      <c r="G12" s="1640"/>
      <c r="H12" s="1551"/>
      <c r="I12" s="1551"/>
      <c r="J12" s="1641"/>
      <c r="K12" s="1641"/>
      <c r="L12" s="1641"/>
      <c r="M12" s="1552"/>
      <c r="N12" s="1553"/>
      <c r="O12" s="1554"/>
      <c r="P12" s="1641"/>
      <c r="Q12" s="1641"/>
      <c r="R12" s="1641"/>
      <c r="S12" s="1552"/>
      <c r="T12" s="1553"/>
      <c r="U12" s="1554"/>
      <c r="V12" s="1641"/>
      <c r="W12" s="1641"/>
      <c r="X12" s="1641"/>
      <c r="Y12" s="1642"/>
      <c r="Z12" s="1643"/>
      <c r="AA12" s="1643"/>
      <c r="AB12" s="1553"/>
      <c r="AC12" s="1554"/>
      <c r="AD12" s="1644"/>
      <c r="AE12" s="1644"/>
      <c r="AF12" s="1644"/>
      <c r="AG12" s="1645"/>
      <c r="AH12" s="1646"/>
      <c r="AI12" s="1646"/>
      <c r="AJ12" s="1559"/>
      <c r="AK12" s="1560"/>
      <c r="AL12" s="1644"/>
      <c r="AM12" s="1644"/>
      <c r="AN12" s="1644"/>
      <c r="AO12" s="1645"/>
      <c r="AP12" s="1646"/>
      <c r="AQ12" s="1646"/>
      <c r="AR12" s="1559"/>
      <c r="AS12" s="1559"/>
      <c r="AT12" s="1560"/>
      <c r="AU12" s="1644"/>
      <c r="AV12" s="1644"/>
      <c r="AW12" s="1644"/>
      <c r="AX12" s="1645"/>
      <c r="AY12" s="1646"/>
      <c r="AZ12" s="1646"/>
      <c r="BA12" s="1559"/>
      <c r="BB12" s="1559"/>
      <c r="BC12" s="1644"/>
      <c r="BD12" s="1644"/>
      <c r="BE12" s="1644"/>
      <c r="BF12" s="1645"/>
      <c r="BG12" s="1646"/>
      <c r="BH12" s="1646"/>
      <c r="BI12" s="1559"/>
      <c r="BJ12" s="1560"/>
      <c r="BK12" s="1644"/>
      <c r="BL12" s="1644"/>
      <c r="BM12" s="1644"/>
      <c r="BN12" s="1645"/>
      <c r="BO12" s="1644"/>
      <c r="BP12" s="1646"/>
      <c r="BQ12" s="1646"/>
      <c r="BR12" s="1559"/>
      <c r="BS12" s="1560"/>
      <c r="BT12" s="1644"/>
      <c r="BU12" s="1644"/>
      <c r="BV12" s="1644"/>
      <c r="BW12" s="1644"/>
      <c r="BX12" s="1646"/>
      <c r="BY12" s="1646"/>
      <c r="BZ12" s="1559"/>
      <c r="CA12" s="1561"/>
      <c r="CB12" s="1644"/>
      <c r="CC12" s="1644"/>
      <c r="CD12" s="1644"/>
      <c r="CE12" s="1644"/>
      <c r="CF12" s="1646"/>
      <c r="CG12" s="1646"/>
      <c r="CH12" s="1559"/>
      <c r="CI12" s="1561"/>
      <c r="CJ12" s="1644"/>
      <c r="CK12" s="1644"/>
      <c r="CL12" s="1644"/>
      <c r="CM12" s="1644"/>
      <c r="CN12" s="1646"/>
      <c r="CO12" s="1646"/>
      <c r="CP12" s="1559"/>
      <c r="CQ12" s="1560"/>
      <c r="CR12" s="1647"/>
      <c r="CS12" s="1647"/>
      <c r="CT12" s="1647"/>
      <c r="CU12" s="1647"/>
      <c r="CV12" s="1648" t="n">
        <f aca="false">CR12-CT12</f>
        <v>0</v>
      </c>
      <c r="CW12" s="1648"/>
      <c r="CX12" s="1564" t="str">
        <f aca="false">IFERROR(CR12/CS12-1,"-")</f>
        <v>-</v>
      </c>
      <c r="CY12" s="286"/>
      <c r="CZ12" s="1649"/>
      <c r="DA12" s="1565"/>
      <c r="DB12" s="1565"/>
      <c r="DC12" s="1650"/>
      <c r="DD12" s="1566"/>
      <c r="DE12" s="1567" t="e">
        <f aca="false">CZ12/$DD12-1</f>
        <v>#DIV/0!</v>
      </c>
      <c r="DF12" s="1568" t="e">
        <f aca="false">DA12/$DD12-1</f>
        <v>#DIV/0!</v>
      </c>
      <c r="DG12" s="1568" t="e">
        <f aca="false">DB12/$DD12-1</f>
        <v>#DIV/0!</v>
      </c>
      <c r="DH12" s="1568" t="e">
        <f aca="false">DC12/$DD12-1</f>
        <v>#DIV/0!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customFormat="false" ht="13.8" hidden="false" customHeight="false" outlineLevel="0" collapsed="false">
      <c r="A13" s="1569" t="s">
        <v>961</v>
      </c>
      <c r="B13" s="1570"/>
      <c r="C13" s="1333"/>
      <c r="D13" s="1651"/>
      <c r="E13" s="1651"/>
      <c r="F13" s="1651"/>
      <c r="G13" s="1652"/>
      <c r="H13" s="1571"/>
      <c r="I13" s="1571"/>
      <c r="J13" s="1653"/>
      <c r="K13" s="1653"/>
      <c r="L13" s="1653"/>
      <c r="M13" s="1572"/>
      <c r="N13" s="1573"/>
      <c r="O13" s="1574"/>
      <c r="P13" s="1653"/>
      <c r="Q13" s="1653"/>
      <c r="R13" s="1653"/>
      <c r="S13" s="1572"/>
      <c r="T13" s="1573"/>
      <c r="U13" s="1574"/>
      <c r="V13" s="1653"/>
      <c r="W13" s="1653"/>
      <c r="X13" s="1653"/>
      <c r="Y13" s="1654"/>
      <c r="Z13" s="1655"/>
      <c r="AA13" s="1655"/>
      <c r="AB13" s="1573"/>
      <c r="AC13" s="1574"/>
      <c r="AD13" s="1656"/>
      <c r="AE13" s="1656"/>
      <c r="AF13" s="1656"/>
      <c r="AG13" s="1657"/>
      <c r="AH13" s="1658"/>
      <c r="AI13" s="1658"/>
      <c r="AJ13" s="1579"/>
      <c r="AK13" s="1580"/>
      <c r="AL13" s="1656"/>
      <c r="AM13" s="1656"/>
      <c r="AN13" s="1656"/>
      <c r="AO13" s="1657"/>
      <c r="AP13" s="1658"/>
      <c r="AQ13" s="1658"/>
      <c r="AR13" s="1579"/>
      <c r="AS13" s="1579"/>
      <c r="AT13" s="1580"/>
      <c r="AU13" s="1656"/>
      <c r="AV13" s="1656"/>
      <c r="AW13" s="1656"/>
      <c r="AX13" s="1657"/>
      <c r="AY13" s="1658"/>
      <c r="AZ13" s="1658"/>
      <c r="BA13" s="1579"/>
      <c r="BB13" s="1579"/>
      <c r="BC13" s="1656"/>
      <c r="BD13" s="1656"/>
      <c r="BE13" s="1656"/>
      <c r="BF13" s="1657"/>
      <c r="BG13" s="1658"/>
      <c r="BH13" s="1658"/>
      <c r="BI13" s="1579"/>
      <c r="BJ13" s="1580"/>
      <c r="BK13" s="1656"/>
      <c r="BL13" s="1656"/>
      <c r="BM13" s="1656"/>
      <c r="BN13" s="1657"/>
      <c r="BO13" s="1656"/>
      <c r="BP13" s="1658"/>
      <c r="BQ13" s="1658"/>
      <c r="BR13" s="1579"/>
      <c r="BS13" s="1580"/>
      <c r="BT13" s="1656"/>
      <c r="BU13" s="1656"/>
      <c r="BV13" s="1656"/>
      <c r="BW13" s="1656"/>
      <c r="BX13" s="1658"/>
      <c r="BY13" s="1658"/>
      <c r="BZ13" s="1579"/>
      <c r="CA13" s="1581"/>
      <c r="CB13" s="1656"/>
      <c r="CC13" s="1656"/>
      <c r="CD13" s="1656"/>
      <c r="CE13" s="1656"/>
      <c r="CF13" s="1658"/>
      <c r="CG13" s="1658"/>
      <c r="CH13" s="1579"/>
      <c r="CI13" s="1581"/>
      <c r="CJ13" s="1656"/>
      <c r="CK13" s="1656"/>
      <c r="CL13" s="1656"/>
      <c r="CM13" s="1656"/>
      <c r="CN13" s="1658"/>
      <c r="CO13" s="1658"/>
      <c r="CP13" s="1579"/>
      <c r="CQ13" s="1580"/>
      <c r="CR13" s="1647"/>
      <c r="CS13" s="1647"/>
      <c r="CT13" s="1647"/>
      <c r="CU13" s="1647"/>
      <c r="CV13" s="1659" t="n">
        <f aca="false">CR13-CT13</f>
        <v>0</v>
      </c>
      <c r="CW13" s="1659"/>
      <c r="CX13" s="1584" t="str">
        <f aca="false">IFERROR(CR13/CS13-1,"-")</f>
        <v>-</v>
      </c>
      <c r="CY13" s="286"/>
      <c r="CZ13" s="1649"/>
      <c r="DA13" s="1585"/>
      <c r="DB13" s="1585"/>
      <c r="DC13" s="1660"/>
      <c r="DD13" s="1586"/>
      <c r="DE13" s="1587" t="e">
        <f aca="false">CZ13/$DD13-1</f>
        <v>#DIV/0!</v>
      </c>
      <c r="DF13" s="1588" t="e">
        <f aca="false">DA13/$DD13-1</f>
        <v>#DIV/0!</v>
      </c>
      <c r="DG13" s="1588" t="e">
        <f aca="false">DB13/$DD13-1</f>
        <v>#DIV/0!</v>
      </c>
      <c r="DH13" s="1588" t="e">
        <f aca="false">DC13/$DD13-1</f>
        <v>#DIV/0!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customFormat="false" ht="13.8" hidden="false" customHeight="false" outlineLevel="0" collapsed="false">
      <c r="A14" s="1589" t="s">
        <v>962</v>
      </c>
      <c r="B14" s="1589"/>
      <c r="C14" s="1333"/>
      <c r="D14" s="1661"/>
      <c r="E14" s="1661"/>
      <c r="F14" s="1661"/>
      <c r="G14" s="1662"/>
      <c r="H14" s="1591"/>
      <c r="I14" s="1591"/>
      <c r="J14" s="1663"/>
      <c r="K14" s="1663"/>
      <c r="L14" s="1663"/>
      <c r="M14" s="1592"/>
      <c r="N14" s="1593"/>
      <c r="O14" s="1531"/>
      <c r="P14" s="1663"/>
      <c r="Q14" s="1663"/>
      <c r="R14" s="1663"/>
      <c r="S14" s="1592"/>
      <c r="T14" s="1593"/>
      <c r="U14" s="1531"/>
      <c r="V14" s="1663"/>
      <c r="W14" s="1663"/>
      <c r="X14" s="1663"/>
      <c r="Y14" s="1664"/>
      <c r="Z14" s="1665"/>
      <c r="AA14" s="1665"/>
      <c r="AB14" s="1593"/>
      <c r="AC14" s="1531"/>
      <c r="AD14" s="1666"/>
      <c r="AE14" s="1666"/>
      <c r="AF14" s="1666"/>
      <c r="AG14" s="1667"/>
      <c r="AH14" s="1598"/>
      <c r="AI14" s="1598"/>
      <c r="AJ14" s="1597"/>
      <c r="AK14" s="1541"/>
      <c r="AL14" s="1666"/>
      <c r="AM14" s="1666"/>
      <c r="AN14" s="1666"/>
      <c r="AO14" s="1667"/>
      <c r="AP14" s="1598"/>
      <c r="AQ14" s="1598"/>
      <c r="AR14" s="1597"/>
      <c r="AS14" s="1597"/>
      <c r="AT14" s="1541"/>
      <c r="AU14" s="1666"/>
      <c r="AV14" s="1666"/>
      <c r="AW14" s="1666"/>
      <c r="AX14" s="1667"/>
      <c r="AY14" s="1598"/>
      <c r="AZ14" s="1598"/>
      <c r="BA14" s="1597"/>
      <c r="BB14" s="1597"/>
      <c r="BC14" s="1666"/>
      <c r="BD14" s="1666"/>
      <c r="BE14" s="1666"/>
      <c r="BF14" s="1667"/>
      <c r="BG14" s="1598"/>
      <c r="BH14" s="1598"/>
      <c r="BI14" s="1597"/>
      <c r="BJ14" s="1541"/>
      <c r="BK14" s="1666"/>
      <c r="BL14" s="1666"/>
      <c r="BM14" s="1666"/>
      <c r="BN14" s="1667"/>
      <c r="BO14" s="1666"/>
      <c r="BP14" s="1598"/>
      <c r="BQ14" s="1598"/>
      <c r="BR14" s="1597"/>
      <c r="BS14" s="1541"/>
      <c r="BT14" s="1666"/>
      <c r="BU14" s="1666"/>
      <c r="BV14" s="1666"/>
      <c r="BW14" s="1666"/>
      <c r="BX14" s="1598"/>
      <c r="BY14" s="1598"/>
      <c r="BZ14" s="1597"/>
      <c r="CA14" s="1599"/>
      <c r="CB14" s="1666"/>
      <c r="CC14" s="1666"/>
      <c r="CD14" s="1666"/>
      <c r="CE14" s="1666"/>
      <c r="CF14" s="1598"/>
      <c r="CG14" s="1598"/>
      <c r="CH14" s="1597"/>
      <c r="CI14" s="1599"/>
      <c r="CJ14" s="1666"/>
      <c r="CK14" s="1666"/>
      <c r="CL14" s="1666"/>
      <c r="CM14" s="1666"/>
      <c r="CN14" s="1598"/>
      <c r="CO14" s="1598"/>
      <c r="CP14" s="1597"/>
      <c r="CQ14" s="1541"/>
      <c r="CR14" s="1668"/>
      <c r="CS14" s="1668"/>
      <c r="CT14" s="1668"/>
      <c r="CU14" s="1668"/>
      <c r="CV14" s="1669" t="n">
        <f aca="false">CR14-CT14</f>
        <v>0</v>
      </c>
      <c r="CW14" s="1669"/>
      <c r="CX14" s="1602" t="str">
        <f aca="false">IFERROR(CR14/CS14-1,"-")</f>
        <v>-</v>
      </c>
      <c r="CY14" s="286"/>
      <c r="CZ14" s="1670"/>
      <c r="DA14" s="1603"/>
      <c r="DB14" s="1603"/>
      <c r="DC14" s="1671"/>
      <c r="DD14" s="1604"/>
      <c r="DE14" s="1605" t="e">
        <f aca="false">CZ14/$DD14-1</f>
        <v>#DIV/0!</v>
      </c>
      <c r="DF14" s="1606" t="e">
        <f aca="false">DA14/$DD14-1</f>
        <v>#DIV/0!</v>
      </c>
      <c r="DG14" s="1606" t="e">
        <f aca="false">DB14/$DD14-1</f>
        <v>#DIV/0!</v>
      </c>
      <c r="DH14" s="1606" t="e">
        <f aca="false">DC14/$DD14-1</f>
        <v>#DIV/0!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</row>
    <row r="15" customFormat="false" ht="13.8" hidden="false" customHeight="false" outlineLevel="0" collapsed="false">
      <c r="D15" s="1672"/>
      <c r="E15" s="1673"/>
      <c r="F15" s="1673"/>
      <c r="J15" s="1672"/>
      <c r="K15" s="1672"/>
      <c r="L15" s="1672"/>
      <c r="M15" s="955"/>
      <c r="N15" s="1674"/>
      <c r="O15" s="1675"/>
      <c r="P15" s="1672"/>
      <c r="Q15" s="1672"/>
      <c r="R15" s="37"/>
      <c r="S15" s="955"/>
      <c r="T15" s="1674"/>
      <c r="U15" s="1675"/>
      <c r="V15" s="248"/>
      <c r="W15" s="37"/>
      <c r="Z15" s="287"/>
      <c r="AA15" s="37"/>
      <c r="AB15" s="1438"/>
      <c r="AC15" s="1675"/>
      <c r="AD15" s="1676"/>
      <c r="AE15" s="589"/>
      <c r="AF15" s="1676"/>
      <c r="AG15" s="286"/>
      <c r="AH15" s="396"/>
      <c r="AI15" s="589"/>
      <c r="AJ15" s="1677"/>
      <c r="AK15" s="1678"/>
      <c r="AL15" s="1676"/>
      <c r="AM15" s="589"/>
      <c r="AN15" s="1676"/>
      <c r="AO15" s="416"/>
      <c r="AP15" s="396"/>
      <c r="AQ15" s="589"/>
      <c r="AR15" s="1677"/>
      <c r="AS15" s="1677"/>
      <c r="AT15" s="1678"/>
      <c r="AU15" s="1676"/>
      <c r="AV15" s="589"/>
      <c r="AW15" s="1676"/>
      <c r="AX15" s="416"/>
      <c r="AY15" s="396"/>
      <c r="AZ15" s="589"/>
      <c r="BA15" s="1677"/>
      <c r="BB15" s="1677"/>
      <c r="BC15" s="1676"/>
      <c r="BD15" s="589"/>
      <c r="BE15" s="1676"/>
      <c r="BF15" s="416"/>
      <c r="BG15" s="396"/>
      <c r="BH15" s="589"/>
      <c r="BI15" s="1677"/>
      <c r="BJ15" s="1677"/>
      <c r="BK15" s="1676"/>
      <c r="BL15" s="589"/>
      <c r="BM15" s="1676"/>
      <c r="BN15" s="416"/>
      <c r="BO15" s="1676"/>
      <c r="BP15" s="396"/>
      <c r="BQ15" s="589"/>
      <c r="BR15" s="1677"/>
      <c r="BS15" s="1677"/>
      <c r="BT15" s="1676"/>
      <c r="BU15" s="589"/>
      <c r="BV15" s="1676"/>
      <c r="BW15" s="1676"/>
      <c r="BX15" s="396"/>
      <c r="BY15" s="589"/>
      <c r="BZ15" s="1677"/>
      <c r="CA15" s="1677"/>
      <c r="CB15" s="1676"/>
      <c r="CC15" s="1676"/>
      <c r="CD15" s="1676"/>
      <c r="CE15" s="1676"/>
      <c r="CF15" s="396"/>
      <c r="CG15" s="589"/>
      <c r="CH15" s="1677"/>
      <c r="CI15" s="1677"/>
      <c r="CJ15" s="1676"/>
      <c r="CK15" s="1676"/>
      <c r="CL15" s="1676"/>
      <c r="CM15" s="1676"/>
      <c r="CN15" s="396"/>
      <c r="CO15" s="589"/>
      <c r="CP15" s="1677"/>
      <c r="CQ15" s="1679"/>
      <c r="CR15" s="1680"/>
      <c r="CS15" s="1680"/>
      <c r="CT15" s="1680"/>
      <c r="CU15" s="1681"/>
      <c r="CV15" s="286"/>
      <c r="CW15" s="1682"/>
      <c r="CX15" s="1677"/>
      <c r="CY15" s="286"/>
      <c r="CZ15" s="1683"/>
      <c r="DA15" s="1684"/>
      <c r="DB15" s="1684"/>
      <c r="DC15" s="286"/>
      <c r="DD15" s="1685"/>
      <c r="DE15" s="1686"/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</row>
    <row r="16" customFormat="false" ht="13.8" hidden="false" customHeight="false" outlineLevel="0" collapsed="false">
      <c r="A16" s="1362" t="s">
        <v>21</v>
      </c>
      <c r="B16" s="1362"/>
      <c r="C16" s="1333"/>
      <c r="D16" s="1550"/>
      <c r="E16" s="1550"/>
      <c r="F16" s="1550"/>
      <c r="G16" s="1620"/>
      <c r="H16" s="1528"/>
      <c r="I16" s="1528"/>
      <c r="J16" s="1428"/>
      <c r="K16" s="1428"/>
      <c r="L16" s="1428"/>
      <c r="M16" s="1622"/>
      <c r="N16" s="1623"/>
      <c r="O16" s="1687"/>
      <c r="P16" s="1428"/>
      <c r="Q16" s="1428"/>
      <c r="R16" s="1428"/>
      <c r="S16" s="1622"/>
      <c r="T16" s="1623"/>
      <c r="U16" s="1687"/>
      <c r="V16" s="1428"/>
      <c r="W16" s="1688"/>
      <c r="X16" s="1428"/>
      <c r="Y16" s="1428"/>
      <c r="Z16" s="1369"/>
      <c r="AA16" s="1689"/>
      <c r="AB16" s="1627"/>
      <c r="AC16" s="1687"/>
      <c r="AD16" s="1556"/>
      <c r="AE16" s="1690"/>
      <c r="AF16" s="1556"/>
      <c r="AG16" s="1556"/>
      <c r="AH16" s="1691"/>
      <c r="AI16" s="1692"/>
      <c r="AJ16" s="1631"/>
      <c r="AK16" s="1693"/>
      <c r="AL16" s="1556"/>
      <c r="AM16" s="1556"/>
      <c r="AN16" s="1556"/>
      <c r="AO16" s="1690"/>
      <c r="AP16" s="1691"/>
      <c r="AQ16" s="1692"/>
      <c r="AR16" s="1631"/>
      <c r="AS16" s="1631"/>
      <c r="AT16" s="1693"/>
      <c r="AU16" s="1556"/>
      <c r="AV16" s="1556"/>
      <c r="AW16" s="1556"/>
      <c r="AX16" s="1690"/>
      <c r="AY16" s="1691"/>
      <c r="AZ16" s="1692"/>
      <c r="BA16" s="1631"/>
      <c r="BB16" s="1631"/>
      <c r="BC16" s="1556"/>
      <c r="BD16" s="1556"/>
      <c r="BE16" s="1556"/>
      <c r="BF16" s="1690"/>
      <c r="BG16" s="1691"/>
      <c r="BH16" s="1692"/>
      <c r="BI16" s="1631"/>
      <c r="BJ16" s="1693"/>
      <c r="BK16" s="1556"/>
      <c r="BL16" s="1556"/>
      <c r="BM16" s="1556"/>
      <c r="BN16" s="1556"/>
      <c r="BO16" s="1556"/>
      <c r="BP16" s="1691"/>
      <c r="BQ16" s="1692"/>
      <c r="BR16" s="1631"/>
      <c r="BS16" s="1693"/>
      <c r="BT16" s="1556"/>
      <c r="BU16" s="1556"/>
      <c r="BV16" s="1556"/>
      <c r="BW16" s="1556"/>
      <c r="BX16" s="1691"/>
      <c r="BY16" s="1692"/>
      <c r="BZ16" s="1631"/>
      <c r="CA16" s="1694"/>
      <c r="CB16" s="1556"/>
      <c r="CC16" s="1556"/>
      <c r="CD16" s="1556"/>
      <c r="CE16" s="1556"/>
      <c r="CF16" s="1691"/>
      <c r="CG16" s="1692"/>
      <c r="CH16" s="1631"/>
      <c r="CI16" s="1694"/>
      <c r="CJ16" s="1556"/>
      <c r="CK16" s="1556"/>
      <c r="CL16" s="1556"/>
      <c r="CM16" s="1556"/>
      <c r="CN16" s="1691"/>
      <c r="CO16" s="1692"/>
      <c r="CP16" s="1631"/>
      <c r="CQ16" s="1560"/>
      <c r="CR16" s="1545"/>
      <c r="CS16" s="1545"/>
      <c r="CT16" s="1545"/>
      <c r="CU16" s="1545"/>
      <c r="CV16" s="1636" t="n">
        <f aca="false">CR16-CT16</f>
        <v>0</v>
      </c>
      <c r="CW16" s="1695"/>
      <c r="CX16" s="1544" t="str">
        <f aca="false">IFERROR(CR16/CS16-1,"-")</f>
        <v>-</v>
      </c>
      <c r="CY16" s="286"/>
      <c r="CZ16" s="1542"/>
      <c r="DA16" s="1545"/>
      <c r="DB16" s="1545"/>
      <c r="DC16" s="1542"/>
      <c r="DD16" s="1545"/>
      <c r="DE16" s="1547" t="e">
        <f aca="false">CZ16/$DD16-1</f>
        <v>#DIV/0!</v>
      </c>
      <c r="DF16" s="1548" t="e">
        <f aca="false">DA16/$DD16-1</f>
        <v>#DIV/0!</v>
      </c>
      <c r="DG16" s="1548" t="e">
        <f aca="false">DB16/$DD16-1</f>
        <v>#DIV/0!</v>
      </c>
      <c r="DH16" s="1548" t="e">
        <f aca="false">DC16/$DD16-1</f>
        <v>#DIV/0!</v>
      </c>
      <c r="DI16" s="638"/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</row>
    <row r="17" customFormat="false" ht="13.8" hidden="false" customHeight="false" outlineLevel="0" collapsed="false">
      <c r="A17" s="1549" t="s">
        <v>960</v>
      </c>
      <c r="B17" s="1549"/>
      <c r="C17" s="1333"/>
      <c r="D17" s="1550"/>
      <c r="E17" s="1550"/>
      <c r="F17" s="1550"/>
      <c r="G17" s="1696"/>
      <c r="H17" s="1551"/>
      <c r="I17" s="1551"/>
      <c r="J17" s="1428"/>
      <c r="K17" s="1428"/>
      <c r="L17" s="1428"/>
      <c r="M17" s="1552"/>
      <c r="N17" s="1553"/>
      <c r="O17" s="1554"/>
      <c r="P17" s="1428"/>
      <c r="Q17" s="1428"/>
      <c r="R17" s="1428"/>
      <c r="S17" s="1552"/>
      <c r="T17" s="1553"/>
      <c r="U17" s="1554"/>
      <c r="V17" s="1428"/>
      <c r="W17" s="1428"/>
      <c r="X17" s="1428"/>
      <c r="Y17" s="1429"/>
      <c r="Z17" s="1555"/>
      <c r="AA17" s="1555"/>
      <c r="AB17" s="1553"/>
      <c r="AC17" s="1554"/>
      <c r="AD17" s="1556"/>
      <c r="AE17" s="1556"/>
      <c r="AF17" s="1556"/>
      <c r="AG17" s="1557"/>
      <c r="AH17" s="1558"/>
      <c r="AI17" s="1558"/>
      <c r="AJ17" s="1559"/>
      <c r="AK17" s="1560"/>
      <c r="AL17" s="1556"/>
      <c r="AM17" s="1556"/>
      <c r="AN17" s="1556"/>
      <c r="AO17" s="1557"/>
      <c r="AP17" s="1558"/>
      <c r="AQ17" s="1558"/>
      <c r="AR17" s="1559"/>
      <c r="AS17" s="1559"/>
      <c r="AT17" s="1560"/>
      <c r="AU17" s="1556"/>
      <c r="AV17" s="1556"/>
      <c r="AW17" s="1556"/>
      <c r="AX17" s="1557"/>
      <c r="AY17" s="1558"/>
      <c r="AZ17" s="1558"/>
      <c r="BA17" s="1559"/>
      <c r="BB17" s="1559"/>
      <c r="BC17" s="1556"/>
      <c r="BD17" s="1556"/>
      <c r="BE17" s="1556"/>
      <c r="BF17" s="1557"/>
      <c r="BG17" s="1558"/>
      <c r="BH17" s="1558"/>
      <c r="BI17" s="1559"/>
      <c r="BJ17" s="1560"/>
      <c r="BK17" s="1556"/>
      <c r="BL17" s="1556"/>
      <c r="BM17" s="1556"/>
      <c r="BN17" s="1557"/>
      <c r="BO17" s="1556"/>
      <c r="BP17" s="1558"/>
      <c r="BQ17" s="1558"/>
      <c r="BR17" s="1559"/>
      <c r="BS17" s="1560"/>
      <c r="BT17" s="1556"/>
      <c r="BU17" s="1556"/>
      <c r="BV17" s="1556"/>
      <c r="BW17" s="1556"/>
      <c r="BX17" s="1558"/>
      <c r="BY17" s="1558"/>
      <c r="BZ17" s="1559"/>
      <c r="CA17" s="1561"/>
      <c r="CB17" s="1556"/>
      <c r="CC17" s="1556"/>
      <c r="CD17" s="1556"/>
      <c r="CE17" s="1556"/>
      <c r="CF17" s="1558"/>
      <c r="CG17" s="1558"/>
      <c r="CH17" s="1559"/>
      <c r="CI17" s="1561"/>
      <c r="CJ17" s="1556"/>
      <c r="CK17" s="1556"/>
      <c r="CL17" s="1556"/>
      <c r="CM17" s="1556"/>
      <c r="CN17" s="1558"/>
      <c r="CO17" s="1558"/>
      <c r="CP17" s="1559"/>
      <c r="CQ17" s="1560"/>
      <c r="CR17" s="1585"/>
      <c r="CS17" s="1585"/>
      <c r="CT17" s="1585"/>
      <c r="CU17" s="1585"/>
      <c r="CV17" s="1697" t="n">
        <f aca="false">CR17-CT17</f>
        <v>0</v>
      </c>
      <c r="CW17" s="1697"/>
      <c r="CX17" s="1564" t="str">
        <f aca="false">IFERROR(CR17/CS17-1,"-")</f>
        <v>-</v>
      </c>
      <c r="CY17" s="286"/>
      <c r="CZ17" s="1698"/>
      <c r="DA17" s="1565"/>
      <c r="DB17" s="1565"/>
      <c r="DC17" s="1562"/>
      <c r="DD17" s="1566"/>
      <c r="DE17" s="1567" t="e">
        <f aca="false">CZ17/$DD17-1</f>
        <v>#DIV/0!</v>
      </c>
      <c r="DF17" s="1568" t="e">
        <f aca="false">DA17/$DD17-1</f>
        <v>#DIV/0!</v>
      </c>
      <c r="DG17" s="1568" t="e">
        <f aca="false">DB17/$DD17-1</f>
        <v>#DIV/0!</v>
      </c>
      <c r="DH17" s="1568" t="e">
        <f aca="false">DC17/$DD17-1</f>
        <v>#DIV/0!</v>
      </c>
      <c r="DI17" s="40"/>
      <c r="DJ17" s="638"/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customFormat="false" ht="13.8" hidden="false" customHeight="false" outlineLevel="0" collapsed="false">
      <c r="A18" s="1569" t="s">
        <v>961</v>
      </c>
      <c r="B18" s="1570"/>
      <c r="C18" s="1333"/>
      <c r="D18" s="1439"/>
      <c r="E18" s="1439"/>
      <c r="F18" s="1439"/>
      <c r="G18" s="1699"/>
      <c r="H18" s="1571"/>
      <c r="I18" s="1571"/>
      <c r="J18" s="1395"/>
      <c r="K18" s="1395"/>
      <c r="L18" s="1395"/>
      <c r="M18" s="1572"/>
      <c r="N18" s="1573"/>
      <c r="O18" s="1574"/>
      <c r="P18" s="1395"/>
      <c r="Q18" s="1395"/>
      <c r="R18" s="1395"/>
      <c r="S18" s="1572"/>
      <c r="T18" s="1573"/>
      <c r="U18" s="1574"/>
      <c r="V18" s="1395"/>
      <c r="W18" s="1395"/>
      <c r="X18" s="1395"/>
      <c r="Y18" s="1376"/>
      <c r="Z18" s="1575"/>
      <c r="AA18" s="1575"/>
      <c r="AB18" s="1573"/>
      <c r="AC18" s="1574"/>
      <c r="AD18" s="1576"/>
      <c r="AE18" s="1576"/>
      <c r="AF18" s="1576"/>
      <c r="AG18" s="1577"/>
      <c r="AH18" s="1578"/>
      <c r="AI18" s="1578"/>
      <c r="AJ18" s="1579"/>
      <c r="AK18" s="1580"/>
      <c r="AL18" s="1576"/>
      <c r="AM18" s="1576"/>
      <c r="AN18" s="1576"/>
      <c r="AO18" s="1577"/>
      <c r="AP18" s="1578"/>
      <c r="AQ18" s="1578"/>
      <c r="AR18" s="1579"/>
      <c r="AS18" s="1579"/>
      <c r="AT18" s="1580"/>
      <c r="AU18" s="1576"/>
      <c r="AV18" s="1576"/>
      <c r="AW18" s="1576"/>
      <c r="AX18" s="1577"/>
      <c r="AY18" s="1578"/>
      <c r="AZ18" s="1578"/>
      <c r="BA18" s="1579"/>
      <c r="BB18" s="1579"/>
      <c r="BC18" s="1576"/>
      <c r="BD18" s="1576"/>
      <c r="BE18" s="1576"/>
      <c r="BF18" s="1577"/>
      <c r="BG18" s="1578"/>
      <c r="BH18" s="1578"/>
      <c r="BI18" s="1579"/>
      <c r="BJ18" s="1580"/>
      <c r="BK18" s="1576"/>
      <c r="BL18" s="1576"/>
      <c r="BM18" s="1576"/>
      <c r="BN18" s="1577"/>
      <c r="BO18" s="1576"/>
      <c r="BP18" s="1578"/>
      <c r="BQ18" s="1578"/>
      <c r="BR18" s="1579"/>
      <c r="BS18" s="1580"/>
      <c r="BT18" s="1576"/>
      <c r="BU18" s="1576"/>
      <c r="BV18" s="1576"/>
      <c r="BW18" s="1576"/>
      <c r="BX18" s="1578"/>
      <c r="BY18" s="1578"/>
      <c r="BZ18" s="1579"/>
      <c r="CA18" s="1581"/>
      <c r="CB18" s="1576"/>
      <c r="CC18" s="1576"/>
      <c r="CD18" s="1576"/>
      <c r="CE18" s="1576"/>
      <c r="CF18" s="1578"/>
      <c r="CG18" s="1578"/>
      <c r="CH18" s="1579"/>
      <c r="CI18" s="1581"/>
      <c r="CJ18" s="1576"/>
      <c r="CK18" s="1576"/>
      <c r="CL18" s="1576"/>
      <c r="CM18" s="1576"/>
      <c r="CN18" s="1578"/>
      <c r="CO18" s="1578"/>
      <c r="CP18" s="1579"/>
      <c r="CQ18" s="1580"/>
      <c r="CR18" s="1585"/>
      <c r="CS18" s="1585"/>
      <c r="CT18" s="1585"/>
      <c r="CU18" s="1585"/>
      <c r="CV18" s="1700" t="n">
        <f aca="false">CR18-CT18</f>
        <v>0</v>
      </c>
      <c r="CW18" s="1700"/>
      <c r="CX18" s="1584" t="str">
        <f aca="false">IFERROR(CR18/CS18-1,"-")</f>
        <v>-</v>
      </c>
      <c r="CY18" s="286"/>
      <c r="CZ18" s="1698"/>
      <c r="DA18" s="1585"/>
      <c r="DB18" s="1585"/>
      <c r="DC18" s="1582"/>
      <c r="DD18" s="1586"/>
      <c r="DE18" s="1587" t="e">
        <f aca="false">CZ18/$DD18-1</f>
        <v>#DIV/0!</v>
      </c>
      <c r="DF18" s="1588" t="e">
        <f aca="false">DA18/$DD18-1</f>
        <v>#DIV/0!</v>
      </c>
      <c r="DG18" s="1588" t="e">
        <f aca="false">DB18/$DD18-1</f>
        <v>#DIV/0!</v>
      </c>
      <c r="DH18" s="1588" t="e">
        <f aca="false">DC18/$DD18-1</f>
        <v>#DIV/0!</v>
      </c>
      <c r="DI18" s="40"/>
      <c r="DJ18" s="638"/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customFormat="false" ht="13.8" hidden="false" customHeight="false" outlineLevel="0" collapsed="false">
      <c r="A19" s="1589" t="s">
        <v>962</v>
      </c>
      <c r="B19" s="1589"/>
      <c r="C19" s="1333"/>
      <c r="D19" s="1590"/>
      <c r="E19" s="1590"/>
      <c r="F19" s="1590"/>
      <c r="G19" s="1701"/>
      <c r="H19" s="1591"/>
      <c r="I19" s="1591"/>
      <c r="J19" s="1407"/>
      <c r="K19" s="1407"/>
      <c r="L19" s="1407"/>
      <c r="M19" s="1592"/>
      <c r="N19" s="1593"/>
      <c r="O19" s="1531"/>
      <c r="P19" s="1407"/>
      <c r="Q19" s="1407"/>
      <c r="R19" s="1407"/>
      <c r="S19" s="1592"/>
      <c r="T19" s="1593"/>
      <c r="U19" s="1531"/>
      <c r="V19" s="1407"/>
      <c r="W19" s="1407"/>
      <c r="X19" s="1407"/>
      <c r="Y19" s="1408"/>
      <c r="Z19" s="1594"/>
      <c r="AA19" s="1594"/>
      <c r="AB19" s="1593"/>
      <c r="AC19" s="1531"/>
      <c r="AD19" s="1595"/>
      <c r="AE19" s="1595"/>
      <c r="AF19" s="1595"/>
      <c r="AG19" s="1536"/>
      <c r="AH19" s="1596"/>
      <c r="AI19" s="1596"/>
      <c r="AJ19" s="1597"/>
      <c r="AK19" s="1541"/>
      <c r="AL19" s="1595"/>
      <c r="AM19" s="1595"/>
      <c r="AN19" s="1595"/>
      <c r="AO19" s="1536"/>
      <c r="AP19" s="1596"/>
      <c r="AQ19" s="1596"/>
      <c r="AR19" s="1597"/>
      <c r="AS19" s="1597"/>
      <c r="AT19" s="1541"/>
      <c r="AU19" s="1595"/>
      <c r="AV19" s="1595"/>
      <c r="AW19" s="1595"/>
      <c r="AX19" s="1536"/>
      <c r="AY19" s="1596"/>
      <c r="AZ19" s="1596"/>
      <c r="BA19" s="1597"/>
      <c r="BB19" s="1597"/>
      <c r="BC19" s="1595"/>
      <c r="BD19" s="1595"/>
      <c r="BE19" s="1595"/>
      <c r="BF19" s="1536"/>
      <c r="BG19" s="1596"/>
      <c r="BH19" s="1596"/>
      <c r="BI19" s="1597"/>
      <c r="BJ19" s="1541"/>
      <c r="BK19" s="1595"/>
      <c r="BL19" s="1595"/>
      <c r="BM19" s="1595"/>
      <c r="BN19" s="1536"/>
      <c r="BO19" s="1595"/>
      <c r="BP19" s="1596"/>
      <c r="BQ19" s="1596"/>
      <c r="BR19" s="1597"/>
      <c r="BS19" s="1541"/>
      <c r="BT19" s="1595"/>
      <c r="BU19" s="1595"/>
      <c r="BV19" s="1595"/>
      <c r="BW19" s="1595"/>
      <c r="BX19" s="1596"/>
      <c r="BY19" s="1596"/>
      <c r="BZ19" s="1597"/>
      <c r="CA19" s="1599"/>
      <c r="CB19" s="1595"/>
      <c r="CC19" s="1595"/>
      <c r="CD19" s="1595"/>
      <c r="CE19" s="1595"/>
      <c r="CF19" s="1596"/>
      <c r="CG19" s="1596"/>
      <c r="CH19" s="1597"/>
      <c r="CI19" s="1599"/>
      <c r="CJ19" s="1595"/>
      <c r="CK19" s="1595"/>
      <c r="CL19" s="1595"/>
      <c r="CM19" s="1595"/>
      <c r="CN19" s="1596"/>
      <c r="CO19" s="1596"/>
      <c r="CP19" s="1597"/>
      <c r="CQ19" s="1541"/>
      <c r="CR19" s="1603"/>
      <c r="CS19" s="1603"/>
      <c r="CT19" s="1603"/>
      <c r="CU19" s="1603"/>
      <c r="CV19" s="1702" t="n">
        <f aca="false">CR19-CT19</f>
        <v>0</v>
      </c>
      <c r="CW19" s="1702"/>
      <c r="CX19" s="1602" t="str">
        <f aca="false">IFERROR(CR19/CS19-1,"-")</f>
        <v>-</v>
      </c>
      <c r="CY19" s="286"/>
      <c r="CZ19" s="1703"/>
      <c r="DA19" s="1603"/>
      <c r="DB19" s="1603"/>
      <c r="DC19" s="1600"/>
      <c r="DD19" s="1604"/>
      <c r="DE19" s="1605" t="e">
        <f aca="false">CZ19/$DD19-1</f>
        <v>#DIV/0!</v>
      </c>
      <c r="DF19" s="1606" t="e">
        <f aca="false">DA19/$DD19-1</f>
        <v>#DIV/0!</v>
      </c>
      <c r="DG19" s="1606" t="e">
        <f aca="false">DB19/$DD19-1</f>
        <v>#DIV/0!</v>
      </c>
      <c r="DH19" s="1606" t="e">
        <f aca="false">DC19/$DD19-1</f>
        <v>#DIV/0!</v>
      </c>
      <c r="DI19" s="40"/>
      <c r="DJ19" s="638"/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customFormat="false" ht="13.8" hidden="false" customHeight="false" outlineLevel="0" collapsed="false">
      <c r="D20" s="1438"/>
      <c r="E20" s="1367"/>
      <c r="F20" s="1026"/>
      <c r="J20" s="1438"/>
      <c r="K20" s="1364"/>
      <c r="M20" s="955"/>
      <c r="N20" s="39"/>
      <c r="P20" s="1438"/>
      <c r="Q20" s="1364"/>
      <c r="S20" s="955"/>
      <c r="T20" s="39"/>
      <c r="V20" s="1438"/>
      <c r="W20" s="1364"/>
      <c r="Z20" s="287"/>
      <c r="AA20" s="37"/>
      <c r="AB20" s="1438"/>
      <c r="AD20" s="1677"/>
      <c r="AE20" s="1704"/>
      <c r="AF20" s="286"/>
      <c r="AG20" s="286"/>
      <c r="AH20" s="396"/>
      <c r="AI20" s="589"/>
      <c r="AJ20" s="1677"/>
      <c r="AK20" s="1677"/>
      <c r="AL20" s="1677"/>
      <c r="AM20" s="1704"/>
      <c r="AN20" s="286"/>
      <c r="AO20" s="286"/>
      <c r="AP20" s="396"/>
      <c r="AQ20" s="589"/>
      <c r="AR20" s="1677"/>
      <c r="AS20" s="1677"/>
      <c r="AT20" s="1677"/>
      <c r="AU20" s="1677"/>
      <c r="AV20" s="1704"/>
      <c r="AW20" s="286"/>
      <c r="AX20" s="286"/>
      <c r="AY20" s="396"/>
      <c r="AZ20" s="589"/>
      <c r="BA20" s="1677"/>
      <c r="BB20" s="1677"/>
      <c r="BC20" s="1677"/>
      <c r="BD20" s="1704"/>
      <c r="BE20" s="286"/>
      <c r="BF20" s="286"/>
      <c r="BG20" s="396"/>
      <c r="BH20" s="589"/>
      <c r="BI20" s="1677"/>
      <c r="BJ20" s="1677"/>
      <c r="BK20" s="1677"/>
      <c r="BL20" s="1704"/>
      <c r="BM20" s="286"/>
      <c r="BN20" s="286"/>
      <c r="BO20" s="1677"/>
      <c r="BP20" s="396"/>
      <c r="BQ20" s="589"/>
      <c r="BR20" s="1677"/>
      <c r="BS20" s="1677"/>
      <c r="BT20" s="1677"/>
      <c r="BU20" s="1704"/>
      <c r="BV20" s="286"/>
      <c r="BW20" s="1677"/>
      <c r="BX20" s="396"/>
      <c r="BY20" s="589"/>
      <c r="BZ20" s="1677"/>
      <c r="CA20" s="1677"/>
      <c r="CB20" s="1677"/>
      <c r="CC20" s="1704"/>
      <c r="CD20" s="286"/>
      <c r="CE20" s="1677"/>
      <c r="CF20" s="396"/>
      <c r="CG20" s="589"/>
      <c r="CH20" s="1677"/>
      <c r="CI20" s="1677"/>
      <c r="CJ20" s="1677"/>
      <c r="CK20" s="1704"/>
      <c r="CL20" s="286"/>
      <c r="CM20" s="1677"/>
      <c r="CN20" s="396"/>
      <c r="CO20" s="589"/>
      <c r="CP20" s="1677"/>
      <c r="CQ20" s="1679"/>
      <c r="CR20" s="1681"/>
      <c r="CS20" s="1681"/>
      <c r="CT20" s="1681"/>
      <c r="CU20" s="1681"/>
      <c r="CV20" s="286"/>
      <c r="CW20" s="286"/>
      <c r="CX20" s="1677"/>
      <c r="CY20" s="286"/>
      <c r="CZ20" s="1705"/>
      <c r="DA20" s="1684"/>
      <c r="DB20" s="1684"/>
      <c r="DC20" s="286"/>
      <c r="DD20" s="1685"/>
      <c r="DE20" s="1686"/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customFormat="false" ht="13.8" hidden="false" customHeight="false" outlineLevel="0" collapsed="false">
      <c r="A21" s="1362" t="s">
        <v>964</v>
      </c>
      <c r="B21" s="1362"/>
      <c r="C21" s="1333"/>
      <c r="D21" s="1381"/>
      <c r="E21" s="1381"/>
      <c r="F21" s="1381"/>
      <c r="G21" s="1372"/>
      <c r="H21" s="1528"/>
      <c r="I21" s="1528"/>
      <c r="J21" s="1363"/>
      <c r="K21" s="1363"/>
      <c r="L21" s="1363"/>
      <c r="M21" s="1622"/>
      <c r="N21" s="1623"/>
      <c r="O21" s="1624"/>
      <c r="P21" s="1363"/>
      <c r="Q21" s="1363"/>
      <c r="R21" s="1363"/>
      <c r="S21" s="1622"/>
      <c r="T21" s="1623"/>
      <c r="U21" s="1624"/>
      <c r="V21" s="1363"/>
      <c r="W21" s="1363"/>
      <c r="X21" s="1363"/>
      <c r="Y21" s="1363"/>
      <c r="Z21" s="1625"/>
      <c r="AA21" s="1626"/>
      <c r="AB21" s="1627"/>
      <c r="AC21" s="1624"/>
      <c r="AD21" s="1535"/>
      <c r="AE21" s="1535"/>
      <c r="AF21" s="1535"/>
      <c r="AG21" s="1535"/>
      <c r="AH21" s="1629"/>
      <c r="AI21" s="1630"/>
      <c r="AJ21" s="1631"/>
      <c r="AK21" s="1632"/>
      <c r="AL21" s="1535"/>
      <c r="AM21" s="1535"/>
      <c r="AN21" s="1535"/>
      <c r="AO21" s="1535"/>
      <c r="AP21" s="1629"/>
      <c r="AQ21" s="1630"/>
      <c r="AR21" s="1631"/>
      <c r="AS21" s="1631"/>
      <c r="AT21" s="1632"/>
      <c r="AU21" s="1535"/>
      <c r="AV21" s="1535"/>
      <c r="AW21" s="1535"/>
      <c r="AX21" s="1535"/>
      <c r="AY21" s="1629"/>
      <c r="AZ21" s="1630"/>
      <c r="BA21" s="1631"/>
      <c r="BB21" s="1631"/>
      <c r="BC21" s="1535"/>
      <c r="BD21" s="1535"/>
      <c r="BE21" s="1535"/>
      <c r="BF21" s="1535"/>
      <c r="BG21" s="1629"/>
      <c r="BH21" s="1630"/>
      <c r="BI21" s="1631"/>
      <c r="BJ21" s="1632"/>
      <c r="BK21" s="1535"/>
      <c r="BL21" s="1535"/>
      <c r="BM21" s="1535"/>
      <c r="BN21" s="1535"/>
      <c r="BO21" s="1535"/>
      <c r="BP21" s="1629"/>
      <c r="BQ21" s="1630"/>
      <c r="BR21" s="1631"/>
      <c r="BS21" s="1632"/>
      <c r="BT21" s="1535"/>
      <c r="BU21" s="1535"/>
      <c r="BV21" s="1535"/>
      <c r="BW21" s="1535"/>
      <c r="BX21" s="1629"/>
      <c r="BY21" s="1630"/>
      <c r="BZ21" s="1631"/>
      <c r="CA21" s="1633"/>
      <c r="CB21" s="1535"/>
      <c r="CC21" s="1535"/>
      <c r="CD21" s="1535"/>
      <c r="CE21" s="1535"/>
      <c r="CF21" s="1629"/>
      <c r="CG21" s="1630"/>
      <c r="CH21" s="1631"/>
      <c r="CI21" s="1633"/>
      <c r="CJ21" s="1535"/>
      <c r="CK21" s="1535"/>
      <c r="CL21" s="1535"/>
      <c r="CM21" s="1535"/>
      <c r="CN21" s="1629"/>
      <c r="CO21" s="1630"/>
      <c r="CP21" s="1631"/>
      <c r="CQ21" s="1634"/>
      <c r="CR21" s="1706"/>
      <c r="CS21" s="1706"/>
      <c r="CT21" s="1706"/>
      <c r="CU21" s="1706"/>
      <c r="CV21" s="1543" t="n">
        <f aca="false">CR21-CT21</f>
        <v>0</v>
      </c>
      <c r="CW21" s="1543"/>
      <c r="CX21" s="1544" t="str">
        <f aca="false">IFERROR(CR21/CS21-1,"-")</f>
        <v>-</v>
      </c>
      <c r="CY21" s="286"/>
      <c r="CZ21" s="1542"/>
      <c r="DA21" s="1545"/>
      <c r="DB21" s="1545"/>
      <c r="DC21" s="1542"/>
      <c r="DD21" s="1546"/>
      <c r="DE21" s="1547" t="e">
        <f aca="false">CZ21/$DD21-1</f>
        <v>#DIV/0!</v>
      </c>
      <c r="DF21" s="1548" t="e">
        <f aca="false">DA21/$DD21-1</f>
        <v>#DIV/0!</v>
      </c>
      <c r="DG21" s="1548" t="e">
        <f aca="false">DB21/$DD21-1</f>
        <v>#DIV/0!</v>
      </c>
      <c r="DH21" s="1548" t="e">
        <f aca="false">DC21/$DD21-1</f>
        <v>#DIV/0!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</row>
    <row r="22" customFormat="false" ht="13.8" hidden="false" customHeight="false" outlineLevel="0" collapsed="false">
      <c r="A22" s="1549" t="s">
        <v>960</v>
      </c>
      <c r="B22" s="1549"/>
      <c r="C22" s="1333"/>
      <c r="D22" s="1550"/>
      <c r="E22" s="1550"/>
      <c r="F22" s="1550"/>
      <c r="G22" s="1435"/>
      <c r="H22" s="1551"/>
      <c r="I22" s="1551"/>
      <c r="J22" s="1428"/>
      <c r="K22" s="1428"/>
      <c r="L22" s="1428"/>
      <c r="M22" s="1552"/>
      <c r="N22" s="1553"/>
      <c r="O22" s="1554"/>
      <c r="P22" s="1428"/>
      <c r="Q22" s="1428"/>
      <c r="R22" s="1428"/>
      <c r="S22" s="1552"/>
      <c r="T22" s="1553"/>
      <c r="U22" s="1554"/>
      <c r="V22" s="1428"/>
      <c r="W22" s="1428"/>
      <c r="X22" s="1428"/>
      <c r="Y22" s="1428"/>
      <c r="Z22" s="1643"/>
      <c r="AA22" s="1643"/>
      <c r="AB22" s="1553"/>
      <c r="AC22" s="1554"/>
      <c r="AD22" s="1556"/>
      <c r="AE22" s="1556"/>
      <c r="AF22" s="1556"/>
      <c r="AG22" s="1556"/>
      <c r="AH22" s="1646"/>
      <c r="AI22" s="1646"/>
      <c r="AJ22" s="1559"/>
      <c r="AK22" s="1560"/>
      <c r="AL22" s="1556"/>
      <c r="AM22" s="1556"/>
      <c r="AN22" s="1556"/>
      <c r="AO22" s="1556"/>
      <c r="AP22" s="1646"/>
      <c r="AQ22" s="1646"/>
      <c r="AR22" s="1559"/>
      <c r="AS22" s="1559"/>
      <c r="AT22" s="1560"/>
      <c r="AU22" s="1556"/>
      <c r="AV22" s="1556"/>
      <c r="AW22" s="1556"/>
      <c r="AX22" s="1556"/>
      <c r="AY22" s="1646"/>
      <c r="AZ22" s="1646"/>
      <c r="BA22" s="1559"/>
      <c r="BB22" s="1559"/>
      <c r="BC22" s="1556"/>
      <c r="BD22" s="1556"/>
      <c r="BE22" s="1556"/>
      <c r="BF22" s="1556"/>
      <c r="BG22" s="1646"/>
      <c r="BH22" s="1646"/>
      <c r="BI22" s="1559"/>
      <c r="BJ22" s="1560"/>
      <c r="BK22" s="1556"/>
      <c r="BL22" s="1556"/>
      <c r="BM22" s="1556"/>
      <c r="BN22" s="1556"/>
      <c r="BO22" s="1556"/>
      <c r="BP22" s="1646"/>
      <c r="BQ22" s="1646"/>
      <c r="BR22" s="1559"/>
      <c r="BS22" s="1560"/>
      <c r="BT22" s="1556"/>
      <c r="BU22" s="1556"/>
      <c r="BV22" s="1556"/>
      <c r="BW22" s="1556"/>
      <c r="BX22" s="1646"/>
      <c r="BY22" s="1646"/>
      <c r="BZ22" s="1559"/>
      <c r="CA22" s="1561"/>
      <c r="CB22" s="1556"/>
      <c r="CC22" s="1556"/>
      <c r="CD22" s="1556"/>
      <c r="CE22" s="1556"/>
      <c r="CF22" s="1646"/>
      <c r="CG22" s="1646"/>
      <c r="CH22" s="1559"/>
      <c r="CI22" s="1561"/>
      <c r="CJ22" s="1556"/>
      <c r="CK22" s="1556"/>
      <c r="CL22" s="1556"/>
      <c r="CM22" s="1556"/>
      <c r="CN22" s="1646"/>
      <c r="CO22" s="1646"/>
      <c r="CP22" s="1559"/>
      <c r="CQ22" s="1560"/>
      <c r="CR22" s="1707"/>
      <c r="CS22" s="1707"/>
      <c r="CT22" s="1707"/>
      <c r="CU22" s="1707"/>
      <c r="CV22" s="1563" t="n">
        <f aca="false">CR22-CT22</f>
        <v>0</v>
      </c>
      <c r="CW22" s="1563"/>
      <c r="CX22" s="1564" t="str">
        <f aca="false">IFERROR(CR22/CS22-1,"-")</f>
        <v>-</v>
      </c>
      <c r="CY22" s="286"/>
      <c r="CZ22" s="1562"/>
      <c r="DA22" s="1565"/>
      <c r="DB22" s="1565"/>
      <c r="DC22" s="1562"/>
      <c r="DD22" s="1566"/>
      <c r="DE22" s="1567" t="e">
        <f aca="false">CZ22/$DD22-1</f>
        <v>#DIV/0!</v>
      </c>
      <c r="DF22" s="1568" t="e">
        <f aca="false">DA22/$DD22-1</f>
        <v>#DIV/0!</v>
      </c>
      <c r="DG22" s="1568" t="e">
        <f aca="false">DB22/$DD22-1</f>
        <v>#DIV/0!</v>
      </c>
      <c r="DH22" s="1568" t="e">
        <f aca="false">DC22/$DD22-1</f>
        <v>#DIV/0!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customFormat="false" ht="13.8" hidden="false" customHeight="false" outlineLevel="0" collapsed="false">
      <c r="A23" s="1569" t="s">
        <v>961</v>
      </c>
      <c r="B23" s="1570"/>
      <c r="C23" s="1333"/>
      <c r="D23" s="1439"/>
      <c r="E23" s="1439"/>
      <c r="F23" s="1439"/>
      <c r="G23" s="1401"/>
      <c r="H23" s="1571"/>
      <c r="I23" s="1571"/>
      <c r="J23" s="1395"/>
      <c r="K23" s="1395"/>
      <c r="L23" s="1395"/>
      <c r="M23" s="1572"/>
      <c r="N23" s="1573"/>
      <c r="O23" s="1574"/>
      <c r="P23" s="1395"/>
      <c r="Q23" s="1395"/>
      <c r="R23" s="1395"/>
      <c r="S23" s="1572"/>
      <c r="T23" s="1573"/>
      <c r="U23" s="1574"/>
      <c r="V23" s="1395"/>
      <c r="W23" s="1395"/>
      <c r="X23" s="1395"/>
      <c r="Y23" s="1395"/>
      <c r="Z23" s="1655"/>
      <c r="AA23" s="1655"/>
      <c r="AB23" s="1573"/>
      <c r="AC23" s="1574"/>
      <c r="AD23" s="1576"/>
      <c r="AE23" s="1576"/>
      <c r="AF23" s="1576"/>
      <c r="AG23" s="1576"/>
      <c r="AH23" s="1658"/>
      <c r="AI23" s="1658"/>
      <c r="AJ23" s="1579"/>
      <c r="AK23" s="1580"/>
      <c r="AL23" s="1576"/>
      <c r="AM23" s="1576"/>
      <c r="AN23" s="1576"/>
      <c r="AO23" s="1576"/>
      <c r="AP23" s="1658"/>
      <c r="AQ23" s="1658"/>
      <c r="AR23" s="1579"/>
      <c r="AS23" s="1579"/>
      <c r="AT23" s="1580"/>
      <c r="AU23" s="1576"/>
      <c r="AV23" s="1576"/>
      <c r="AW23" s="1576"/>
      <c r="AX23" s="1576"/>
      <c r="AY23" s="1658"/>
      <c r="AZ23" s="1658"/>
      <c r="BA23" s="1579"/>
      <c r="BB23" s="1579"/>
      <c r="BC23" s="1576"/>
      <c r="BD23" s="1576"/>
      <c r="BE23" s="1576"/>
      <c r="BF23" s="1576"/>
      <c r="BG23" s="1658"/>
      <c r="BH23" s="1658"/>
      <c r="BI23" s="1579"/>
      <c r="BJ23" s="1580"/>
      <c r="BK23" s="1576"/>
      <c r="BL23" s="1576"/>
      <c r="BM23" s="1576"/>
      <c r="BN23" s="1576"/>
      <c r="BO23" s="1576"/>
      <c r="BP23" s="1658"/>
      <c r="BQ23" s="1658"/>
      <c r="BR23" s="1579"/>
      <c r="BS23" s="1580"/>
      <c r="BT23" s="1576"/>
      <c r="BU23" s="1576"/>
      <c r="BV23" s="1576"/>
      <c r="BW23" s="1576"/>
      <c r="BX23" s="1658"/>
      <c r="BY23" s="1658"/>
      <c r="BZ23" s="1579"/>
      <c r="CA23" s="1581"/>
      <c r="CB23" s="1576"/>
      <c r="CC23" s="1576"/>
      <c r="CD23" s="1576"/>
      <c r="CE23" s="1576"/>
      <c r="CF23" s="1658"/>
      <c r="CG23" s="1658"/>
      <c r="CH23" s="1579"/>
      <c r="CI23" s="1581"/>
      <c r="CJ23" s="1576"/>
      <c r="CK23" s="1576"/>
      <c r="CL23" s="1576"/>
      <c r="CM23" s="1576"/>
      <c r="CN23" s="1658"/>
      <c r="CO23" s="1658"/>
      <c r="CP23" s="1579"/>
      <c r="CQ23" s="1580"/>
      <c r="CR23" s="1708"/>
      <c r="CS23" s="1708"/>
      <c r="CT23" s="1708"/>
      <c r="CU23" s="1708"/>
      <c r="CV23" s="1583" t="n">
        <f aca="false">CR23-CT23</f>
        <v>0</v>
      </c>
      <c r="CW23" s="1583"/>
      <c r="CX23" s="1584" t="str">
        <f aca="false">IFERROR(CR23/CS23-1,"-")</f>
        <v>-</v>
      </c>
      <c r="CY23" s="286"/>
      <c r="CZ23" s="1582"/>
      <c r="DA23" s="1585"/>
      <c r="DB23" s="1585"/>
      <c r="DC23" s="1582"/>
      <c r="DD23" s="1586"/>
      <c r="DE23" s="1587" t="e">
        <f aca="false">CZ23/$DD23-1</f>
        <v>#DIV/0!</v>
      </c>
      <c r="DF23" s="1588" t="e">
        <f aca="false">DA23/$DD23-1</f>
        <v>#DIV/0!</v>
      </c>
      <c r="DG23" s="1588" t="e">
        <f aca="false">DB23/$DD23-1</f>
        <v>#DIV/0!</v>
      </c>
      <c r="DH23" s="1588" t="e">
        <f aca="false">DC23/$DD23-1</f>
        <v>#DIV/0!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</row>
    <row r="24" customFormat="false" ht="13.8" hidden="false" customHeight="false" outlineLevel="0" collapsed="false">
      <c r="A24" s="1589" t="s">
        <v>962</v>
      </c>
      <c r="B24" s="1589"/>
      <c r="C24" s="1333"/>
      <c r="D24" s="1590"/>
      <c r="E24" s="1590"/>
      <c r="F24" s="1590"/>
      <c r="G24" s="1413"/>
      <c r="H24" s="1591"/>
      <c r="I24" s="1591"/>
      <c r="J24" s="1407"/>
      <c r="K24" s="1407"/>
      <c r="L24" s="1407"/>
      <c r="M24" s="1592"/>
      <c r="N24" s="1593"/>
      <c r="O24" s="1531"/>
      <c r="P24" s="1407"/>
      <c r="Q24" s="1407"/>
      <c r="R24" s="1407"/>
      <c r="S24" s="1592"/>
      <c r="T24" s="1593"/>
      <c r="U24" s="1531"/>
      <c r="V24" s="1407"/>
      <c r="W24" s="1407"/>
      <c r="X24" s="1407"/>
      <c r="Y24" s="1407"/>
      <c r="Z24" s="1665"/>
      <c r="AA24" s="1665"/>
      <c r="AB24" s="1593"/>
      <c r="AC24" s="1531"/>
      <c r="AD24" s="1595"/>
      <c r="AE24" s="1595"/>
      <c r="AF24" s="1595"/>
      <c r="AG24" s="1595"/>
      <c r="AH24" s="1598"/>
      <c r="AI24" s="1598"/>
      <c r="AJ24" s="1597"/>
      <c r="AK24" s="1541"/>
      <c r="AL24" s="1595"/>
      <c r="AM24" s="1595"/>
      <c r="AN24" s="1595"/>
      <c r="AO24" s="1595"/>
      <c r="AP24" s="1598"/>
      <c r="AQ24" s="1598"/>
      <c r="AR24" s="1597"/>
      <c r="AS24" s="1597"/>
      <c r="AT24" s="1541"/>
      <c r="AU24" s="1595"/>
      <c r="AV24" s="1595"/>
      <c r="AW24" s="1595"/>
      <c r="AX24" s="1595"/>
      <c r="AY24" s="1598"/>
      <c r="AZ24" s="1598"/>
      <c r="BA24" s="1597"/>
      <c r="BB24" s="1597"/>
      <c r="BC24" s="1595"/>
      <c r="BD24" s="1595"/>
      <c r="BE24" s="1595"/>
      <c r="BF24" s="1595"/>
      <c r="BG24" s="1598"/>
      <c r="BH24" s="1598"/>
      <c r="BI24" s="1597"/>
      <c r="BJ24" s="1541"/>
      <c r="BK24" s="1595"/>
      <c r="BL24" s="1595"/>
      <c r="BM24" s="1595"/>
      <c r="BN24" s="1595"/>
      <c r="BO24" s="1595"/>
      <c r="BP24" s="1598"/>
      <c r="BQ24" s="1598"/>
      <c r="BR24" s="1597"/>
      <c r="BS24" s="1541"/>
      <c r="BT24" s="1595"/>
      <c r="BU24" s="1595"/>
      <c r="BV24" s="1595"/>
      <c r="BW24" s="1595"/>
      <c r="BX24" s="1598"/>
      <c r="BY24" s="1598"/>
      <c r="BZ24" s="1597"/>
      <c r="CA24" s="1599"/>
      <c r="CB24" s="1595"/>
      <c r="CC24" s="1595"/>
      <c r="CD24" s="1595"/>
      <c r="CE24" s="1595"/>
      <c r="CF24" s="1598"/>
      <c r="CG24" s="1598"/>
      <c r="CH24" s="1597"/>
      <c r="CI24" s="1599"/>
      <c r="CJ24" s="1595"/>
      <c r="CK24" s="1595"/>
      <c r="CL24" s="1595"/>
      <c r="CM24" s="1595"/>
      <c r="CN24" s="1598"/>
      <c r="CO24" s="1598"/>
      <c r="CP24" s="1597"/>
      <c r="CQ24" s="1541"/>
      <c r="CR24" s="1709"/>
      <c r="CS24" s="1709"/>
      <c r="CT24" s="1709"/>
      <c r="CU24" s="1709"/>
      <c r="CV24" s="1601" t="n">
        <f aca="false">CR24-CT24</f>
        <v>0</v>
      </c>
      <c r="CW24" s="1601"/>
      <c r="CX24" s="1602" t="str">
        <f aca="false">IFERROR(CR24/CS24-1,"-")</f>
        <v>-</v>
      </c>
      <c r="CY24" s="286"/>
      <c r="CZ24" s="1600"/>
      <c r="DA24" s="1603"/>
      <c r="DB24" s="1603"/>
      <c r="DC24" s="1600"/>
      <c r="DD24" s="1604"/>
      <c r="DE24" s="1605" t="e">
        <f aca="false">CZ24/$DD24-1</f>
        <v>#DIV/0!</v>
      </c>
      <c r="DF24" s="1606" t="e">
        <f aca="false">DA24/$DD24-1</f>
        <v>#DIV/0!</v>
      </c>
      <c r="DG24" s="1606" t="e">
        <f aca="false">DB24/$DD24-1</f>
        <v>#DIV/0!</v>
      </c>
      <c r="DH24" s="1606" t="e">
        <f aca="false">DC24/$DD24-1</f>
        <v>#DIV/0!</v>
      </c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customFormat="false" ht="13.8" hidden="false" customHeight="false" outlineLevel="0" collapsed="false">
      <c r="M25" s="955"/>
      <c r="N25" s="39"/>
      <c r="S25" s="955"/>
      <c r="T25" s="39"/>
      <c r="Z25" s="1710"/>
      <c r="AA25" s="1711"/>
      <c r="AB25" s="1438"/>
      <c r="AD25" s="286"/>
      <c r="AE25" s="286"/>
      <c r="AF25" s="286"/>
      <c r="AG25" s="286"/>
      <c r="AH25" s="1712"/>
      <c r="AI25" s="290"/>
      <c r="AJ25" s="1677"/>
      <c r="AK25" s="1677"/>
      <c r="AL25" s="286"/>
      <c r="AM25" s="286"/>
      <c r="AN25" s="286"/>
      <c r="AO25" s="286"/>
      <c r="AP25" s="1712"/>
      <c r="AQ25" s="290"/>
      <c r="AR25" s="1677"/>
      <c r="AS25" s="1677"/>
      <c r="AT25" s="1677"/>
      <c r="AU25" s="286"/>
      <c r="AV25" s="286"/>
      <c r="AW25" s="286"/>
      <c r="AX25" s="286"/>
      <c r="AY25" s="1712"/>
      <c r="AZ25" s="290"/>
      <c r="BA25" s="1677"/>
      <c r="BB25" s="1677"/>
      <c r="BC25" s="286"/>
      <c r="BD25" s="286"/>
      <c r="BE25" s="286"/>
      <c r="BF25" s="286"/>
      <c r="BG25" s="1712"/>
      <c r="BH25" s="290"/>
      <c r="BI25" s="1677"/>
      <c r="BJ25" s="1677"/>
      <c r="BK25" s="286"/>
      <c r="BL25" s="286"/>
      <c r="BM25" s="286"/>
      <c r="BN25" s="286"/>
      <c r="BO25" s="286"/>
      <c r="BP25" s="1712"/>
      <c r="BQ25" s="290"/>
      <c r="BR25" s="1677"/>
      <c r="BS25" s="1677"/>
      <c r="BT25" s="286"/>
      <c r="BU25" s="286"/>
      <c r="BV25" s="286"/>
      <c r="BW25" s="286"/>
      <c r="BX25" s="1712"/>
      <c r="BY25" s="290"/>
      <c r="BZ25" s="1677"/>
      <c r="CA25" s="1677"/>
      <c r="CB25" s="286"/>
      <c r="CC25" s="286"/>
      <c r="CD25" s="286"/>
      <c r="CE25" s="286"/>
      <c r="CF25" s="1712"/>
      <c r="CG25" s="290"/>
      <c r="CH25" s="1677"/>
      <c r="CI25" s="1677"/>
      <c r="CJ25" s="286"/>
      <c r="CK25" s="286"/>
      <c r="CL25" s="286"/>
      <c r="CM25" s="286"/>
      <c r="CN25" s="1712"/>
      <c r="CO25" s="290"/>
      <c r="CP25" s="1677"/>
      <c r="CQ25" s="1679"/>
      <c r="CR25" s="1681"/>
      <c r="CS25" s="1681"/>
      <c r="CT25" s="1681"/>
      <c r="CU25" s="1681"/>
      <c r="CV25" s="286"/>
      <c r="CW25" s="286"/>
      <c r="CX25" s="1677"/>
      <c r="CY25" s="286"/>
      <c r="CZ25" s="1705"/>
      <c r="DA25" s="1684"/>
      <c r="DB25" s="1684"/>
      <c r="DC25" s="286"/>
      <c r="DD25" s="1685"/>
      <c r="DE25" s="1686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</row>
    <row r="26" customFormat="false" ht="13.8" hidden="false" customHeight="false" outlineLevel="0" collapsed="false">
      <c r="A26" s="1362" t="s">
        <v>965</v>
      </c>
      <c r="B26" s="1362"/>
      <c r="C26" s="1333"/>
      <c r="D26" s="1713"/>
      <c r="E26" s="1714"/>
      <c r="F26" s="1714"/>
      <c r="G26" s="1620"/>
      <c r="H26" s="1528"/>
      <c r="I26" s="1528"/>
      <c r="J26" s="1715"/>
      <c r="K26" s="1716"/>
      <c r="L26" s="1716"/>
      <c r="M26" s="1622"/>
      <c r="N26" s="1623"/>
      <c r="O26" s="1687"/>
      <c r="P26" s="1715"/>
      <c r="Q26" s="1716"/>
      <c r="R26" s="1716"/>
      <c r="S26" s="1622"/>
      <c r="T26" s="1623"/>
      <c r="U26" s="1687"/>
      <c r="V26" s="1715"/>
      <c r="W26" s="1716"/>
      <c r="X26" s="1716"/>
      <c r="Y26" s="1716"/>
      <c r="Z26" s="1625"/>
      <c r="AA26" s="1626"/>
      <c r="AB26" s="1627"/>
      <c r="AC26" s="1687"/>
      <c r="AD26" s="1717"/>
      <c r="AE26" s="1718"/>
      <c r="AF26" s="1718"/>
      <c r="AG26" s="1718"/>
      <c r="AH26" s="1629"/>
      <c r="AI26" s="1630"/>
      <c r="AJ26" s="1631"/>
      <c r="AK26" s="1693"/>
      <c r="AL26" s="1717"/>
      <c r="AM26" s="1718"/>
      <c r="AN26" s="1718"/>
      <c r="AO26" s="1718"/>
      <c r="AP26" s="1629"/>
      <c r="AQ26" s="1630"/>
      <c r="AR26" s="1631"/>
      <c r="AS26" s="1631"/>
      <c r="AT26" s="1693"/>
      <c r="AU26" s="1717"/>
      <c r="AV26" s="1718"/>
      <c r="AW26" s="1718"/>
      <c r="AX26" s="1718"/>
      <c r="AY26" s="1629"/>
      <c r="AZ26" s="1630"/>
      <c r="BA26" s="1631"/>
      <c r="BB26" s="1631"/>
      <c r="BC26" s="1717"/>
      <c r="BD26" s="1718"/>
      <c r="BE26" s="1718"/>
      <c r="BF26" s="1718"/>
      <c r="BG26" s="1629"/>
      <c r="BH26" s="1630"/>
      <c r="BI26" s="1631"/>
      <c r="BJ26" s="1693"/>
      <c r="BK26" s="1717"/>
      <c r="BL26" s="1718"/>
      <c r="BM26" s="1718"/>
      <c r="BN26" s="1718"/>
      <c r="BO26" s="1717"/>
      <c r="BP26" s="1629"/>
      <c r="BQ26" s="1630"/>
      <c r="BR26" s="1631"/>
      <c r="BS26" s="1693"/>
      <c r="BT26" s="1717"/>
      <c r="BU26" s="1718"/>
      <c r="BV26" s="1718"/>
      <c r="BW26" s="1717"/>
      <c r="BX26" s="1629"/>
      <c r="BY26" s="1630"/>
      <c r="BZ26" s="1631"/>
      <c r="CA26" s="1694"/>
      <c r="CB26" s="1717"/>
      <c r="CC26" s="1718"/>
      <c r="CD26" s="1718"/>
      <c r="CE26" s="1717"/>
      <c r="CF26" s="1629"/>
      <c r="CG26" s="1630"/>
      <c r="CH26" s="1631"/>
      <c r="CI26" s="1694"/>
      <c r="CJ26" s="1717"/>
      <c r="CK26" s="1718"/>
      <c r="CL26" s="1718"/>
      <c r="CM26" s="1717"/>
      <c r="CN26" s="1629"/>
      <c r="CO26" s="1630"/>
      <c r="CP26" s="1631"/>
      <c r="CQ26" s="1560"/>
      <c r="CR26" s="1719"/>
      <c r="CS26" s="1719"/>
      <c r="CT26" s="1719"/>
      <c r="CU26" s="1635"/>
      <c r="CV26" s="1636" t="n">
        <f aca="false">CR26-CT26</f>
        <v>0</v>
      </c>
      <c r="CW26" s="1636"/>
      <c r="CX26" s="1544" t="str">
        <f aca="false">IFERROR(CR26/CS26-1,"-")</f>
        <v>-</v>
      </c>
      <c r="CY26" s="286"/>
      <c r="CZ26" s="1720"/>
      <c r="DA26" s="1545"/>
      <c r="DB26" s="1545"/>
      <c r="DC26" s="1542"/>
      <c r="DD26" s="1721"/>
      <c r="DE26" s="1547" t="e">
        <f aca="false">CZ26/$DD26-1</f>
        <v>#DIV/0!</v>
      </c>
      <c r="DF26" s="1548" t="e">
        <f aca="false">DA26/$DD26-1</f>
        <v>#DIV/0!</v>
      </c>
      <c r="DG26" s="1548" t="e">
        <f aca="false">DB26/$DD26-1</f>
        <v>#DIV/0!</v>
      </c>
      <c r="DH26" s="1548" t="e">
        <f aca="false">DC26/$DD26-1</f>
        <v>#DIV/0!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customFormat="false" ht="13.8" hidden="false" customHeight="false" outlineLevel="0" collapsed="false">
      <c r="A27" s="1549" t="s">
        <v>960</v>
      </c>
      <c r="B27" s="1549"/>
      <c r="C27" s="1333"/>
      <c r="D27" s="1713"/>
      <c r="E27" s="1713"/>
      <c r="F27" s="1713"/>
      <c r="G27" s="1722"/>
      <c r="H27" s="1551"/>
      <c r="I27" s="1551"/>
      <c r="J27" s="1715"/>
      <c r="K27" s="1715"/>
      <c r="L27" s="1715"/>
      <c r="M27" s="1552"/>
      <c r="N27" s="1553"/>
      <c r="O27" s="1554"/>
      <c r="P27" s="1715"/>
      <c r="Q27" s="1715"/>
      <c r="R27" s="1715"/>
      <c r="S27" s="1552"/>
      <c r="T27" s="1553"/>
      <c r="U27" s="1554"/>
      <c r="V27" s="1715"/>
      <c r="W27" s="1715"/>
      <c r="X27" s="1715"/>
      <c r="Y27" s="1715"/>
      <c r="Z27" s="1643"/>
      <c r="AA27" s="1643"/>
      <c r="AB27" s="1553"/>
      <c r="AC27" s="1554"/>
      <c r="AD27" s="1717"/>
      <c r="AE27" s="1717"/>
      <c r="AF27" s="1717"/>
      <c r="AG27" s="1717"/>
      <c r="AH27" s="1646"/>
      <c r="AI27" s="1646"/>
      <c r="AJ27" s="1559"/>
      <c r="AK27" s="1560"/>
      <c r="AL27" s="1717"/>
      <c r="AM27" s="1717"/>
      <c r="AN27" s="1717"/>
      <c r="AO27" s="1717"/>
      <c r="AP27" s="1646"/>
      <c r="AQ27" s="1646"/>
      <c r="AR27" s="1559"/>
      <c r="AS27" s="1559"/>
      <c r="AT27" s="1560"/>
      <c r="AU27" s="1717"/>
      <c r="AV27" s="1717"/>
      <c r="AW27" s="1717"/>
      <c r="AX27" s="1717"/>
      <c r="AY27" s="1646"/>
      <c r="AZ27" s="1646"/>
      <c r="BA27" s="1559"/>
      <c r="BB27" s="1559"/>
      <c r="BC27" s="1717"/>
      <c r="BD27" s="1717"/>
      <c r="BE27" s="1717"/>
      <c r="BF27" s="1717"/>
      <c r="BG27" s="1646"/>
      <c r="BH27" s="1646"/>
      <c r="BI27" s="1559"/>
      <c r="BJ27" s="1560"/>
      <c r="BK27" s="1717"/>
      <c r="BL27" s="1717"/>
      <c r="BM27" s="1717"/>
      <c r="BN27" s="1717"/>
      <c r="BO27" s="1717"/>
      <c r="BP27" s="1646"/>
      <c r="BQ27" s="1646"/>
      <c r="BR27" s="1559"/>
      <c r="BS27" s="1560"/>
      <c r="BT27" s="1717"/>
      <c r="BU27" s="1717"/>
      <c r="BV27" s="1717"/>
      <c r="BW27" s="1717"/>
      <c r="BX27" s="1646"/>
      <c r="BY27" s="1646"/>
      <c r="BZ27" s="1559"/>
      <c r="CA27" s="1561"/>
      <c r="CB27" s="1717"/>
      <c r="CC27" s="1717"/>
      <c r="CD27" s="1717"/>
      <c r="CE27" s="1717"/>
      <c r="CF27" s="1646"/>
      <c r="CG27" s="1646"/>
      <c r="CH27" s="1559"/>
      <c r="CI27" s="1561"/>
      <c r="CJ27" s="1717"/>
      <c r="CK27" s="1717"/>
      <c r="CL27" s="1717"/>
      <c r="CM27" s="1717"/>
      <c r="CN27" s="1646"/>
      <c r="CO27" s="1646"/>
      <c r="CP27" s="1559"/>
      <c r="CQ27" s="1560"/>
      <c r="CR27" s="1723"/>
      <c r="CS27" s="1723"/>
      <c r="CT27" s="1723"/>
      <c r="CU27" s="1724"/>
      <c r="CV27" s="1725" t="n">
        <f aca="false">CR27-CT27</f>
        <v>0</v>
      </c>
      <c r="CW27" s="1725"/>
      <c r="CX27" s="1564" t="str">
        <f aca="false">IFERROR(CR27/CS27-1,"-")</f>
        <v>-</v>
      </c>
      <c r="CY27" s="286"/>
      <c r="CZ27" s="1726"/>
      <c r="DA27" s="1565"/>
      <c r="DB27" s="1565"/>
      <c r="DC27" s="1726"/>
      <c r="DD27" s="1727"/>
      <c r="DE27" s="1567" t="e">
        <f aca="false">CZ27/$DD27-1</f>
        <v>#DIV/0!</v>
      </c>
      <c r="DF27" s="1568" t="e">
        <f aca="false">DA27/$DD27-1</f>
        <v>#DIV/0!</v>
      </c>
      <c r="DG27" s="1568" t="e">
        <f aca="false">DB27/$DD27-1</f>
        <v>#DIV/0!</v>
      </c>
      <c r="DH27" s="1568" t="e">
        <f aca="false">DC27/$DD27-1</f>
        <v>#DIV/0!</v>
      </c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</row>
    <row r="28" customFormat="false" ht="13.8" hidden="false" customHeight="false" outlineLevel="0" collapsed="false">
      <c r="A28" s="1569" t="s">
        <v>961</v>
      </c>
      <c r="B28" s="1570"/>
      <c r="C28" s="1333"/>
      <c r="D28" s="1728"/>
      <c r="E28" s="1728"/>
      <c r="F28" s="1728"/>
      <c r="G28" s="1729"/>
      <c r="H28" s="1571"/>
      <c r="I28" s="1571"/>
      <c r="J28" s="1730"/>
      <c r="K28" s="1730"/>
      <c r="L28" s="1730"/>
      <c r="M28" s="1572"/>
      <c r="N28" s="1573"/>
      <c r="O28" s="1574"/>
      <c r="P28" s="1730"/>
      <c r="Q28" s="1730"/>
      <c r="R28" s="1730"/>
      <c r="S28" s="1572"/>
      <c r="T28" s="1573"/>
      <c r="U28" s="1574"/>
      <c r="V28" s="1730"/>
      <c r="W28" s="1730"/>
      <c r="X28" s="1730"/>
      <c r="Y28" s="1730"/>
      <c r="Z28" s="1655"/>
      <c r="AA28" s="1655"/>
      <c r="AB28" s="1573"/>
      <c r="AC28" s="1574"/>
      <c r="AD28" s="1731"/>
      <c r="AE28" s="1731"/>
      <c r="AF28" s="1731"/>
      <c r="AG28" s="1731"/>
      <c r="AH28" s="1658"/>
      <c r="AI28" s="1658"/>
      <c r="AJ28" s="1579"/>
      <c r="AK28" s="1580"/>
      <c r="AL28" s="1731"/>
      <c r="AM28" s="1731"/>
      <c r="AN28" s="1731"/>
      <c r="AO28" s="1731"/>
      <c r="AP28" s="1658"/>
      <c r="AQ28" s="1658"/>
      <c r="AR28" s="1579"/>
      <c r="AS28" s="1579"/>
      <c r="AT28" s="1580"/>
      <c r="AU28" s="1731"/>
      <c r="AV28" s="1731"/>
      <c r="AW28" s="1731"/>
      <c r="AX28" s="1731"/>
      <c r="AY28" s="1658"/>
      <c r="AZ28" s="1658"/>
      <c r="BA28" s="1579"/>
      <c r="BB28" s="1579"/>
      <c r="BC28" s="1731"/>
      <c r="BD28" s="1731"/>
      <c r="BE28" s="1731"/>
      <c r="BF28" s="1731"/>
      <c r="BG28" s="1658"/>
      <c r="BH28" s="1658"/>
      <c r="BI28" s="1579"/>
      <c r="BJ28" s="1580"/>
      <c r="BK28" s="1731"/>
      <c r="BL28" s="1731"/>
      <c r="BM28" s="1731"/>
      <c r="BN28" s="1731"/>
      <c r="BO28" s="1731"/>
      <c r="BP28" s="1658"/>
      <c r="BQ28" s="1658"/>
      <c r="BR28" s="1579"/>
      <c r="BS28" s="1580"/>
      <c r="BT28" s="1731"/>
      <c r="BU28" s="1731"/>
      <c r="BV28" s="1731"/>
      <c r="BW28" s="1731"/>
      <c r="BX28" s="1658"/>
      <c r="BY28" s="1658"/>
      <c r="BZ28" s="1579"/>
      <c r="CA28" s="1581"/>
      <c r="CB28" s="1731"/>
      <c r="CC28" s="1731"/>
      <c r="CD28" s="1731"/>
      <c r="CE28" s="1731"/>
      <c r="CF28" s="1658"/>
      <c r="CG28" s="1658"/>
      <c r="CH28" s="1579"/>
      <c r="CI28" s="1581"/>
      <c r="CJ28" s="1731"/>
      <c r="CK28" s="1731"/>
      <c r="CL28" s="1731"/>
      <c r="CM28" s="1731"/>
      <c r="CN28" s="1658"/>
      <c r="CO28" s="1658"/>
      <c r="CP28" s="1579"/>
      <c r="CQ28" s="1580"/>
      <c r="CR28" s="1732"/>
      <c r="CS28" s="1732"/>
      <c r="CT28" s="1732"/>
      <c r="CU28" s="1647"/>
      <c r="CV28" s="1733" t="n">
        <f aca="false">CR28-CT28</f>
        <v>0</v>
      </c>
      <c r="CW28" s="1733"/>
      <c r="CX28" s="1584" t="str">
        <f aca="false">IFERROR(CR28/CS28-1,"-")</f>
        <v>-</v>
      </c>
      <c r="CY28" s="286"/>
      <c r="CZ28" s="1582"/>
      <c r="DA28" s="1585"/>
      <c r="DB28" s="1585"/>
      <c r="DC28" s="1582"/>
      <c r="DD28" s="1734"/>
      <c r="DE28" s="1587" t="e">
        <f aca="false">CZ28/$DD28-1</f>
        <v>#DIV/0!</v>
      </c>
      <c r="DF28" s="1588" t="e">
        <f aca="false">DA28/$DD28-1</f>
        <v>#DIV/0!</v>
      </c>
      <c r="DG28" s="1588" t="e">
        <f aca="false">DB28/$DD28-1</f>
        <v>#DIV/0!</v>
      </c>
      <c r="DH28" s="1588" t="e">
        <f aca="false">DC28/$DD28-1</f>
        <v>#DIV/0!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</row>
    <row r="29" customFormat="false" ht="13.8" hidden="false" customHeight="false" outlineLevel="0" collapsed="false">
      <c r="A29" s="1589" t="s">
        <v>962</v>
      </c>
      <c r="B29" s="1589"/>
      <c r="C29" s="1333"/>
      <c r="D29" s="1735"/>
      <c r="E29" s="1590"/>
      <c r="F29" s="1735"/>
      <c r="G29" s="1736"/>
      <c r="H29" s="1591"/>
      <c r="I29" s="1591"/>
      <c r="J29" s="1737"/>
      <c r="K29" s="1407"/>
      <c r="L29" s="1737"/>
      <c r="M29" s="1592"/>
      <c r="N29" s="1593"/>
      <c r="O29" s="1531"/>
      <c r="P29" s="1737"/>
      <c r="Q29" s="1407"/>
      <c r="R29" s="1737"/>
      <c r="S29" s="1592"/>
      <c r="T29" s="1593"/>
      <c r="U29" s="1531"/>
      <c r="V29" s="1737"/>
      <c r="W29" s="1407"/>
      <c r="X29" s="1737"/>
      <c r="Y29" s="1737"/>
      <c r="Z29" s="1665"/>
      <c r="AA29" s="1665"/>
      <c r="AB29" s="1593"/>
      <c r="AC29" s="1531"/>
      <c r="AD29" s="1738"/>
      <c r="AE29" s="1595"/>
      <c r="AF29" s="1738"/>
      <c r="AG29" s="1738"/>
      <c r="AH29" s="1598"/>
      <c r="AI29" s="1598"/>
      <c r="AJ29" s="1597"/>
      <c r="AK29" s="1541"/>
      <c r="AL29" s="1738"/>
      <c r="AM29" s="1595"/>
      <c r="AN29" s="1738"/>
      <c r="AO29" s="1738"/>
      <c r="AP29" s="1598"/>
      <c r="AQ29" s="1598"/>
      <c r="AR29" s="1597"/>
      <c r="AS29" s="1597"/>
      <c r="AT29" s="1541"/>
      <c r="AU29" s="1738"/>
      <c r="AV29" s="1595"/>
      <c r="AW29" s="1738"/>
      <c r="AX29" s="1738"/>
      <c r="AY29" s="1598"/>
      <c r="AZ29" s="1598"/>
      <c r="BA29" s="1597"/>
      <c r="BB29" s="1597"/>
      <c r="BC29" s="1738"/>
      <c r="BD29" s="1595"/>
      <c r="BE29" s="1738"/>
      <c r="BF29" s="1738"/>
      <c r="BG29" s="1598"/>
      <c r="BH29" s="1598"/>
      <c r="BI29" s="1597"/>
      <c r="BJ29" s="1541"/>
      <c r="BK29" s="1738"/>
      <c r="BL29" s="1595"/>
      <c r="BM29" s="1738"/>
      <c r="BN29" s="1738"/>
      <c r="BO29" s="1738"/>
      <c r="BP29" s="1598"/>
      <c r="BQ29" s="1598"/>
      <c r="BR29" s="1597"/>
      <c r="BS29" s="1541"/>
      <c r="BT29" s="1738"/>
      <c r="BU29" s="1595"/>
      <c r="BV29" s="1738"/>
      <c r="BW29" s="1738"/>
      <c r="BX29" s="1598"/>
      <c r="BY29" s="1598"/>
      <c r="BZ29" s="1597"/>
      <c r="CA29" s="1599"/>
      <c r="CB29" s="1738"/>
      <c r="CC29" s="1738"/>
      <c r="CD29" s="1738"/>
      <c r="CE29" s="1738"/>
      <c r="CF29" s="1598"/>
      <c r="CG29" s="1598"/>
      <c r="CH29" s="1597"/>
      <c r="CI29" s="1599"/>
      <c r="CJ29" s="1738"/>
      <c r="CK29" s="1738"/>
      <c r="CL29" s="1738"/>
      <c r="CM29" s="1738"/>
      <c r="CN29" s="1598"/>
      <c r="CO29" s="1598"/>
      <c r="CP29" s="1597"/>
      <c r="CQ29" s="1541"/>
      <c r="CR29" s="1739"/>
      <c r="CS29" s="1739"/>
      <c r="CT29" s="1739"/>
      <c r="CU29" s="1668"/>
      <c r="CV29" s="1740" t="n">
        <f aca="false">CR29-CT29</f>
        <v>0</v>
      </c>
      <c r="CW29" s="1740"/>
      <c r="CX29" s="1602" t="str">
        <f aca="false">IFERROR(CR29/CS29-1,"-")</f>
        <v>-</v>
      </c>
      <c r="CY29" s="286"/>
      <c r="CZ29" s="1600"/>
      <c r="DA29" s="1603"/>
      <c r="DB29" s="1603"/>
      <c r="DC29" s="1600"/>
      <c r="DD29" s="1741"/>
      <c r="DE29" s="1605" t="e">
        <f aca="false">CZ29/$DD29-1</f>
        <v>#DIV/0!</v>
      </c>
      <c r="DF29" s="1606" t="e">
        <f aca="false">DA29/$DD29-1</f>
        <v>#DIV/0!</v>
      </c>
      <c r="DG29" s="1606" t="e">
        <f aca="false">DB29/$DD29-1</f>
        <v>#DIV/0!</v>
      </c>
      <c r="DH29" s="1606" t="e">
        <f aca="false">DC29/$DD29-1</f>
        <v>#DIV/0!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customFormat="false" ht="13.8" hidden="false" customHeight="false" outlineLevel="0" collapsed="false">
      <c r="M30" s="955"/>
      <c r="N30" s="39"/>
      <c r="S30" s="955"/>
      <c r="T30" s="39"/>
      <c r="Z30" s="1710"/>
      <c r="AA30" s="1711"/>
      <c r="AB30" s="1438"/>
      <c r="AD30" s="286"/>
      <c r="AE30" s="286"/>
      <c r="AF30" s="286"/>
      <c r="AG30" s="286"/>
      <c r="AH30" s="1712"/>
      <c r="AI30" s="290"/>
      <c r="AJ30" s="1677"/>
      <c r="AK30" s="1677"/>
      <c r="AL30" s="286"/>
      <c r="AM30" s="286"/>
      <c r="AN30" s="286"/>
      <c r="AO30" s="286"/>
      <c r="AP30" s="1712"/>
      <c r="AQ30" s="290"/>
      <c r="AR30" s="1677"/>
      <c r="AS30" s="1677"/>
      <c r="AT30" s="1677"/>
      <c r="AU30" s="286"/>
      <c r="AV30" s="286"/>
      <c r="AW30" s="286"/>
      <c r="AX30" s="286"/>
      <c r="AY30" s="1712"/>
      <c r="AZ30" s="290"/>
      <c r="BA30" s="1677"/>
      <c r="BB30" s="1677"/>
      <c r="BC30" s="286"/>
      <c r="BD30" s="286"/>
      <c r="BE30" s="286"/>
      <c r="BF30" s="286"/>
      <c r="BG30" s="1712"/>
      <c r="BH30" s="290"/>
      <c r="BI30" s="1677"/>
      <c r="BJ30" s="1677"/>
      <c r="BK30" s="286"/>
      <c r="BL30" s="286"/>
      <c r="BM30" s="286"/>
      <c r="BN30" s="286"/>
      <c r="BO30" s="286"/>
      <c r="BP30" s="1712"/>
      <c r="BQ30" s="290"/>
      <c r="BR30" s="1677"/>
      <c r="BS30" s="1677"/>
      <c r="BT30" s="286"/>
      <c r="BU30" s="286"/>
      <c r="BV30" s="286"/>
      <c r="BW30" s="286"/>
      <c r="BX30" s="1712"/>
      <c r="BY30" s="290"/>
      <c r="BZ30" s="1677"/>
      <c r="CA30" s="1677"/>
      <c r="CB30" s="286"/>
      <c r="CC30" s="286"/>
      <c r="CD30" s="286"/>
      <c r="CE30" s="286"/>
      <c r="CF30" s="1712"/>
      <c r="CG30" s="290"/>
      <c r="CH30" s="1677"/>
      <c r="CI30" s="1677"/>
      <c r="CJ30" s="286"/>
      <c r="CK30" s="286"/>
      <c r="CL30" s="286"/>
      <c r="CM30" s="286"/>
      <c r="CN30" s="1712"/>
      <c r="CO30" s="290"/>
      <c r="CP30" s="1677"/>
      <c r="CQ30" s="1679"/>
      <c r="CR30" s="1681"/>
      <c r="CS30" s="1681"/>
      <c r="CT30" s="1681"/>
      <c r="CU30" s="1681"/>
      <c r="CV30" s="286"/>
      <c r="CW30" s="286"/>
      <c r="CX30" s="1677"/>
      <c r="CY30" s="286"/>
      <c r="CZ30" s="1705"/>
      <c r="DA30" s="1684"/>
      <c r="DB30" s="1684"/>
      <c r="DC30" s="286"/>
      <c r="DD30" s="1685"/>
      <c r="DE30" s="1686"/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</row>
    <row r="31" customFormat="false" ht="13.8" hidden="false" customHeight="false" outlineLevel="0" collapsed="false">
      <c r="A31" s="1362" t="s">
        <v>966</v>
      </c>
      <c r="B31" s="1362"/>
      <c r="C31" s="1333"/>
      <c r="D31" s="1550"/>
      <c r="E31" s="1367"/>
      <c r="F31" s="1367"/>
      <c r="G31" s="1372"/>
      <c r="H31" s="1528"/>
      <c r="I31" s="1528"/>
      <c r="J31" s="1428"/>
      <c r="K31" s="1364"/>
      <c r="L31" s="1364"/>
      <c r="M31" s="1622"/>
      <c r="N31" s="1623"/>
      <c r="O31" s="1687"/>
      <c r="P31" s="1428"/>
      <c r="Q31" s="1364"/>
      <c r="R31" s="1364"/>
      <c r="S31" s="1622"/>
      <c r="T31" s="1623"/>
      <c r="U31" s="1687"/>
      <c r="V31" s="1428"/>
      <c r="W31" s="1364"/>
      <c r="X31" s="1364"/>
      <c r="Y31" s="1364"/>
      <c r="Z31" s="1625"/>
      <c r="AA31" s="1626"/>
      <c r="AB31" s="1627"/>
      <c r="AC31" s="1687"/>
      <c r="AD31" s="1556"/>
      <c r="AE31" s="1704"/>
      <c r="AF31" s="1704"/>
      <c r="AG31" s="1704"/>
      <c r="AH31" s="1629"/>
      <c r="AI31" s="1630"/>
      <c r="AJ31" s="1631"/>
      <c r="AK31" s="1693"/>
      <c r="AL31" s="1556"/>
      <c r="AM31" s="1704"/>
      <c r="AN31" s="1704"/>
      <c r="AO31" s="1704"/>
      <c r="AP31" s="1629"/>
      <c r="AQ31" s="1630"/>
      <c r="AR31" s="1631"/>
      <c r="AS31" s="1631"/>
      <c r="AT31" s="1693"/>
      <c r="AU31" s="1556"/>
      <c r="AV31" s="1704"/>
      <c r="AW31" s="1704"/>
      <c r="AX31" s="1704"/>
      <c r="AY31" s="1629"/>
      <c r="AZ31" s="1630"/>
      <c r="BA31" s="1631"/>
      <c r="BB31" s="1631"/>
      <c r="BC31" s="1556"/>
      <c r="BD31" s="1704"/>
      <c r="BE31" s="1704"/>
      <c r="BF31" s="1704"/>
      <c r="BG31" s="1629"/>
      <c r="BH31" s="1630"/>
      <c r="BI31" s="1631"/>
      <c r="BJ31" s="1693"/>
      <c r="BK31" s="1556"/>
      <c r="BL31" s="1704"/>
      <c r="BM31" s="1704"/>
      <c r="BN31" s="1704"/>
      <c r="BO31" s="1556"/>
      <c r="BP31" s="1629"/>
      <c r="BQ31" s="1630"/>
      <c r="BR31" s="1631"/>
      <c r="BS31" s="1693"/>
      <c r="BT31" s="1556"/>
      <c r="BU31" s="1704"/>
      <c r="BV31" s="1704"/>
      <c r="BW31" s="1556"/>
      <c r="BX31" s="1629"/>
      <c r="BY31" s="1630"/>
      <c r="BZ31" s="1631"/>
      <c r="CA31" s="1694"/>
      <c r="CB31" s="1556"/>
      <c r="CC31" s="1704"/>
      <c r="CD31" s="1704"/>
      <c r="CE31" s="1556"/>
      <c r="CF31" s="1629"/>
      <c r="CG31" s="1630"/>
      <c r="CH31" s="1631"/>
      <c r="CI31" s="1694"/>
      <c r="CJ31" s="1556"/>
      <c r="CK31" s="1704"/>
      <c r="CL31" s="1704"/>
      <c r="CM31" s="1556"/>
      <c r="CN31" s="1629"/>
      <c r="CO31" s="1630"/>
      <c r="CP31" s="1631"/>
      <c r="CQ31" s="1560"/>
      <c r="CR31" s="1706"/>
      <c r="CS31" s="1706"/>
      <c r="CT31" s="1706"/>
      <c r="CU31" s="1706"/>
      <c r="CV31" s="1543" t="n">
        <f aca="false">CR31-CT31</f>
        <v>0</v>
      </c>
      <c r="CW31" s="1543"/>
      <c r="CX31" s="1544" t="str">
        <f aca="false">IFERROR(CR31/CS31-1,"-")</f>
        <v>-</v>
      </c>
      <c r="CY31" s="286"/>
      <c r="CZ31" s="1542"/>
      <c r="DA31" s="1545"/>
      <c r="DB31" s="1545"/>
      <c r="DC31" s="1542"/>
      <c r="DD31" s="1546"/>
      <c r="DE31" s="1547" t="e">
        <f aca="false">CZ31/$DD31-1</f>
        <v>#DIV/0!</v>
      </c>
      <c r="DF31" s="1548" t="e">
        <f aca="false">DA31/$DD31-1</f>
        <v>#DIV/0!</v>
      </c>
      <c r="DG31" s="1548" t="e">
        <f aca="false">DB31/$DD31-1</f>
        <v>#DIV/0!</v>
      </c>
      <c r="DH31" s="1548" t="e">
        <f aca="false">DC31/$DD31-1</f>
        <v>#DIV/0!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</row>
    <row r="32" customFormat="false" ht="13.8" hidden="false" customHeight="false" outlineLevel="0" collapsed="false">
      <c r="A32" s="1549" t="s">
        <v>960</v>
      </c>
      <c r="B32" s="1549"/>
      <c r="C32" s="1333"/>
      <c r="D32" s="1550"/>
      <c r="E32" s="1550"/>
      <c r="F32" s="1550"/>
      <c r="G32" s="1435"/>
      <c r="H32" s="1551"/>
      <c r="I32" s="1551"/>
      <c r="J32" s="1428"/>
      <c r="K32" s="1428"/>
      <c r="L32" s="1428"/>
      <c r="M32" s="1552"/>
      <c r="N32" s="1553"/>
      <c r="O32" s="1554"/>
      <c r="P32" s="1428"/>
      <c r="Q32" s="1428"/>
      <c r="R32" s="1428"/>
      <c r="S32" s="1552"/>
      <c r="T32" s="1553"/>
      <c r="U32" s="1554"/>
      <c r="V32" s="1428"/>
      <c r="W32" s="1428"/>
      <c r="X32" s="1428"/>
      <c r="Y32" s="1428"/>
      <c r="Z32" s="1643"/>
      <c r="AA32" s="1643"/>
      <c r="AB32" s="1553"/>
      <c r="AC32" s="1554"/>
      <c r="AD32" s="1556"/>
      <c r="AE32" s="1556"/>
      <c r="AF32" s="1556"/>
      <c r="AG32" s="1556"/>
      <c r="AH32" s="1646"/>
      <c r="AI32" s="1646"/>
      <c r="AJ32" s="1559"/>
      <c r="AK32" s="1560"/>
      <c r="AL32" s="1556"/>
      <c r="AM32" s="1556"/>
      <c r="AN32" s="1556"/>
      <c r="AO32" s="1556"/>
      <c r="AP32" s="1646"/>
      <c r="AQ32" s="1646"/>
      <c r="AR32" s="1559"/>
      <c r="AS32" s="1559"/>
      <c r="AT32" s="1560"/>
      <c r="AU32" s="1556"/>
      <c r="AV32" s="1556"/>
      <c r="AW32" s="1556"/>
      <c r="AX32" s="1556"/>
      <c r="AY32" s="1646"/>
      <c r="AZ32" s="1646"/>
      <c r="BA32" s="1559"/>
      <c r="BB32" s="1559"/>
      <c r="BC32" s="1556"/>
      <c r="BD32" s="1556"/>
      <c r="BE32" s="1556"/>
      <c r="BF32" s="1556"/>
      <c r="BG32" s="1646"/>
      <c r="BH32" s="1646"/>
      <c r="BI32" s="1559"/>
      <c r="BJ32" s="1560"/>
      <c r="BK32" s="1556"/>
      <c r="BL32" s="1556"/>
      <c r="BM32" s="1556"/>
      <c r="BN32" s="1556"/>
      <c r="BO32" s="1556"/>
      <c r="BP32" s="1646"/>
      <c r="BQ32" s="1646"/>
      <c r="BR32" s="1559"/>
      <c r="BS32" s="1560"/>
      <c r="BT32" s="1556"/>
      <c r="BU32" s="1556"/>
      <c r="BV32" s="1556"/>
      <c r="BW32" s="1556"/>
      <c r="BX32" s="1646"/>
      <c r="BY32" s="1646"/>
      <c r="BZ32" s="1559"/>
      <c r="CA32" s="1561"/>
      <c r="CB32" s="1556"/>
      <c r="CC32" s="1556"/>
      <c r="CD32" s="1556"/>
      <c r="CE32" s="1556"/>
      <c r="CF32" s="1646"/>
      <c r="CG32" s="1646"/>
      <c r="CH32" s="1559"/>
      <c r="CI32" s="1561"/>
      <c r="CJ32" s="1556"/>
      <c r="CK32" s="1556"/>
      <c r="CL32" s="1556"/>
      <c r="CM32" s="1556"/>
      <c r="CN32" s="1646"/>
      <c r="CO32" s="1646"/>
      <c r="CP32" s="1559"/>
      <c r="CQ32" s="1560"/>
      <c r="CR32" s="1707"/>
      <c r="CS32" s="1707"/>
      <c r="CT32" s="1707"/>
      <c r="CU32" s="1707"/>
      <c r="CV32" s="1563" t="n">
        <f aca="false">CR32-CT32</f>
        <v>0</v>
      </c>
      <c r="CW32" s="1563"/>
      <c r="CX32" s="1564" t="str">
        <f aca="false">IFERROR(CR32/CS32-1,"-")</f>
        <v>-</v>
      </c>
      <c r="CY32" s="286"/>
      <c r="CZ32" s="1562"/>
      <c r="DA32" s="1565"/>
      <c r="DB32" s="1565"/>
      <c r="DC32" s="1562"/>
      <c r="DD32" s="1566"/>
      <c r="DE32" s="1567" t="e">
        <f aca="false">CZ32/$DD32-1</f>
        <v>#DIV/0!</v>
      </c>
      <c r="DF32" s="1568" t="e">
        <f aca="false">DA32/$DD32-1</f>
        <v>#DIV/0!</v>
      </c>
      <c r="DG32" s="1568" t="e">
        <f aca="false">DB32/$DD32-1</f>
        <v>#DIV/0!</v>
      </c>
      <c r="DH32" s="1568" t="e">
        <f aca="false">DC32/$DD32-1</f>
        <v>#DIV/0!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</row>
    <row r="33" customFormat="false" ht="13.8" hidden="false" customHeight="false" outlineLevel="0" collapsed="false">
      <c r="A33" s="1569" t="s">
        <v>961</v>
      </c>
      <c r="B33" s="1570"/>
      <c r="C33" s="1333"/>
      <c r="D33" s="1439"/>
      <c r="E33" s="1439"/>
      <c r="F33" s="1439"/>
      <c r="G33" s="1401"/>
      <c r="H33" s="1571"/>
      <c r="I33" s="1571"/>
      <c r="J33" s="1395"/>
      <c r="K33" s="1395"/>
      <c r="L33" s="1395"/>
      <c r="M33" s="1572"/>
      <c r="N33" s="1573"/>
      <c r="O33" s="1574"/>
      <c r="P33" s="1395"/>
      <c r="Q33" s="1395"/>
      <c r="R33" s="1395"/>
      <c r="S33" s="1572"/>
      <c r="T33" s="1573"/>
      <c r="U33" s="1574"/>
      <c r="V33" s="1395"/>
      <c r="W33" s="1395"/>
      <c r="X33" s="1395"/>
      <c r="Y33" s="1395"/>
      <c r="Z33" s="1655"/>
      <c r="AA33" s="1655"/>
      <c r="AB33" s="1573"/>
      <c r="AC33" s="1574"/>
      <c r="AD33" s="1576"/>
      <c r="AE33" s="1576"/>
      <c r="AF33" s="1576"/>
      <c r="AG33" s="1576"/>
      <c r="AH33" s="1658"/>
      <c r="AI33" s="1658"/>
      <c r="AJ33" s="1579"/>
      <c r="AK33" s="1580"/>
      <c r="AL33" s="1576"/>
      <c r="AM33" s="1576"/>
      <c r="AN33" s="1576"/>
      <c r="AO33" s="1576"/>
      <c r="AP33" s="1658"/>
      <c r="AQ33" s="1658"/>
      <c r="AR33" s="1579"/>
      <c r="AS33" s="1579"/>
      <c r="AT33" s="1580"/>
      <c r="AU33" s="1576"/>
      <c r="AV33" s="1576"/>
      <c r="AW33" s="1576"/>
      <c r="AX33" s="1576"/>
      <c r="AY33" s="1658"/>
      <c r="AZ33" s="1658"/>
      <c r="BA33" s="1579"/>
      <c r="BB33" s="1579"/>
      <c r="BC33" s="1576"/>
      <c r="BD33" s="1576"/>
      <c r="BE33" s="1576"/>
      <c r="BF33" s="1576"/>
      <c r="BG33" s="1658"/>
      <c r="BH33" s="1658"/>
      <c r="BI33" s="1579"/>
      <c r="BJ33" s="1580"/>
      <c r="BK33" s="1576"/>
      <c r="BL33" s="1576"/>
      <c r="BM33" s="1576"/>
      <c r="BN33" s="1576"/>
      <c r="BO33" s="1576"/>
      <c r="BP33" s="1658"/>
      <c r="BQ33" s="1658"/>
      <c r="BR33" s="1579"/>
      <c r="BS33" s="1580"/>
      <c r="BT33" s="1576"/>
      <c r="BU33" s="1576"/>
      <c r="BV33" s="1576"/>
      <c r="BW33" s="1576"/>
      <c r="BX33" s="1658"/>
      <c r="BY33" s="1658"/>
      <c r="BZ33" s="1579"/>
      <c r="CA33" s="1581"/>
      <c r="CB33" s="1576"/>
      <c r="CC33" s="1576"/>
      <c r="CD33" s="1576"/>
      <c r="CE33" s="1576"/>
      <c r="CF33" s="1658"/>
      <c r="CG33" s="1658"/>
      <c r="CH33" s="1579"/>
      <c r="CI33" s="1581"/>
      <c r="CJ33" s="1576"/>
      <c r="CK33" s="1576"/>
      <c r="CL33" s="1576"/>
      <c r="CM33" s="1576"/>
      <c r="CN33" s="1658"/>
      <c r="CO33" s="1658"/>
      <c r="CP33" s="1579"/>
      <c r="CQ33" s="1580"/>
      <c r="CR33" s="1708"/>
      <c r="CS33" s="1708"/>
      <c r="CT33" s="1708"/>
      <c r="CU33" s="1708"/>
      <c r="CV33" s="1583" t="n">
        <f aca="false">CR33-CT33</f>
        <v>0</v>
      </c>
      <c r="CW33" s="1583"/>
      <c r="CX33" s="1584" t="str">
        <f aca="false">IFERROR(CR33/CS33-1,"-")</f>
        <v>-</v>
      </c>
      <c r="CY33" s="286"/>
      <c r="CZ33" s="1582"/>
      <c r="DA33" s="1585"/>
      <c r="DB33" s="1585"/>
      <c r="DC33" s="1582"/>
      <c r="DD33" s="1586"/>
      <c r="DE33" s="1587" t="e">
        <f aca="false">CZ33/$DD33-1</f>
        <v>#DIV/0!</v>
      </c>
      <c r="DF33" s="1588" t="e">
        <f aca="false">DA33/$DD33-1</f>
        <v>#DIV/0!</v>
      </c>
      <c r="DG33" s="1588" t="e">
        <f aca="false">DB33/$DD33-1</f>
        <v>#DIV/0!</v>
      </c>
      <c r="DH33" s="1588" t="e">
        <f aca="false">DC33/$DD33-1</f>
        <v>#DIV/0!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</row>
    <row r="34" customFormat="false" ht="13.8" hidden="false" customHeight="false" outlineLevel="0" collapsed="false">
      <c r="A34" s="1589" t="s">
        <v>962</v>
      </c>
      <c r="B34" s="1589"/>
      <c r="C34" s="1333"/>
      <c r="D34" s="1590"/>
      <c r="E34" s="1590"/>
      <c r="F34" s="1590"/>
      <c r="G34" s="1413"/>
      <c r="H34" s="1591"/>
      <c r="I34" s="1591"/>
      <c r="J34" s="1407"/>
      <c r="K34" s="1407"/>
      <c r="L34" s="1407"/>
      <c r="M34" s="1592"/>
      <c r="N34" s="1593"/>
      <c r="O34" s="1531"/>
      <c r="P34" s="1407"/>
      <c r="Q34" s="1407"/>
      <c r="R34" s="1407"/>
      <c r="S34" s="1592"/>
      <c r="T34" s="1593"/>
      <c r="U34" s="1531"/>
      <c r="V34" s="1407"/>
      <c r="W34" s="1407"/>
      <c r="X34" s="1407"/>
      <c r="Y34" s="1407"/>
      <c r="Z34" s="1665"/>
      <c r="AA34" s="1665"/>
      <c r="AB34" s="1593"/>
      <c r="AC34" s="1531"/>
      <c r="AD34" s="1595"/>
      <c r="AE34" s="1595"/>
      <c r="AF34" s="1595"/>
      <c r="AG34" s="1595"/>
      <c r="AH34" s="1598"/>
      <c r="AI34" s="1598"/>
      <c r="AJ34" s="1597"/>
      <c r="AK34" s="1541"/>
      <c r="AL34" s="1595"/>
      <c r="AM34" s="1595"/>
      <c r="AN34" s="1595"/>
      <c r="AO34" s="1595"/>
      <c r="AP34" s="1598"/>
      <c r="AQ34" s="1598"/>
      <c r="AR34" s="1597"/>
      <c r="AS34" s="1597"/>
      <c r="AT34" s="1541"/>
      <c r="AU34" s="1595"/>
      <c r="AV34" s="1595"/>
      <c r="AW34" s="1595"/>
      <c r="AX34" s="1595"/>
      <c r="AY34" s="1598"/>
      <c r="AZ34" s="1598"/>
      <c r="BA34" s="1597"/>
      <c r="BB34" s="1597"/>
      <c r="BC34" s="1595"/>
      <c r="BD34" s="1595"/>
      <c r="BE34" s="1595"/>
      <c r="BF34" s="1595"/>
      <c r="BG34" s="1598"/>
      <c r="BH34" s="1598"/>
      <c r="BI34" s="1597"/>
      <c r="BJ34" s="1541"/>
      <c r="BK34" s="1595"/>
      <c r="BL34" s="1595"/>
      <c r="BM34" s="1595"/>
      <c r="BN34" s="1595"/>
      <c r="BO34" s="1595"/>
      <c r="BP34" s="1598"/>
      <c r="BQ34" s="1598"/>
      <c r="BR34" s="1597"/>
      <c r="BS34" s="1541"/>
      <c r="BT34" s="1595"/>
      <c r="BU34" s="1595"/>
      <c r="BV34" s="1595"/>
      <c r="BW34" s="1595"/>
      <c r="BX34" s="1598"/>
      <c r="BY34" s="1598"/>
      <c r="BZ34" s="1597"/>
      <c r="CA34" s="1599"/>
      <c r="CB34" s="1595"/>
      <c r="CC34" s="1595"/>
      <c r="CD34" s="1595"/>
      <c r="CE34" s="1595"/>
      <c r="CF34" s="1598"/>
      <c r="CG34" s="1598"/>
      <c r="CH34" s="1597"/>
      <c r="CI34" s="1599"/>
      <c r="CJ34" s="1595"/>
      <c r="CK34" s="1595"/>
      <c r="CL34" s="1595"/>
      <c r="CM34" s="1595"/>
      <c r="CN34" s="1598"/>
      <c r="CO34" s="1598"/>
      <c r="CP34" s="1597"/>
      <c r="CQ34" s="1541"/>
      <c r="CR34" s="1709"/>
      <c r="CS34" s="1709"/>
      <c r="CT34" s="1709"/>
      <c r="CU34" s="1709"/>
      <c r="CV34" s="1601" t="n">
        <f aca="false">CR34-CT34</f>
        <v>0</v>
      </c>
      <c r="CW34" s="1601"/>
      <c r="CX34" s="1602" t="str">
        <f aca="false">IFERROR(CR34/CS34-1,"-")</f>
        <v>-</v>
      </c>
      <c r="CY34" s="286"/>
      <c r="CZ34" s="1600"/>
      <c r="DA34" s="1603"/>
      <c r="DB34" s="1603"/>
      <c r="DC34" s="1600"/>
      <c r="DD34" s="1604"/>
      <c r="DE34" s="1605" t="e">
        <f aca="false">CZ34/$DD34-1</f>
        <v>#DIV/0!</v>
      </c>
      <c r="DF34" s="1606" t="e">
        <f aca="false">DA34/$DD34-1</f>
        <v>#DIV/0!</v>
      </c>
      <c r="DG34" s="1606" t="e">
        <f aca="false">DB34/$DD34-1</f>
        <v>#DIV/0!</v>
      </c>
      <c r="DH34" s="1606" t="e">
        <f aca="false">DC34/$DD34-1</f>
        <v>#DIV/0!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</row>
    <row r="35" customFormat="false" ht="13.8" hidden="false" customHeight="false" outlineLevel="0" collapsed="false">
      <c r="P35" s="1438"/>
      <c r="Q35" s="1438"/>
      <c r="R35" s="1438"/>
      <c r="S35" s="296"/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</row>
    <row r="36" customFormat="false" ht="13.8" hidden="false" customHeight="false" outlineLevel="0" collapsed="false">
      <c r="P36" s="1438"/>
      <c r="Q36" s="1438"/>
      <c r="R36" s="1438"/>
      <c r="S36" s="296"/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customFormat="false" ht="13.8" hidden="false" customHeight="false" outlineLevel="0" collapsed="false">
      <c r="P37" s="1438"/>
      <c r="Q37" s="1438"/>
      <c r="R37" s="1438"/>
      <c r="S37" s="296"/>
      <c r="V37" s="248"/>
      <c r="CR37" s="1323"/>
      <c r="CS37" s="1326"/>
      <c r="CT37" s="1326"/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</row>
    <row r="38" customFormat="false" ht="13.8" hidden="false" customHeight="false" outlineLevel="0" collapsed="false">
      <c r="P38" s="1438"/>
      <c r="Q38" s="1438"/>
      <c r="R38" s="1438"/>
      <c r="S38" s="296"/>
      <c r="CR38" s="1742"/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</row>
    <row r="39" customFormat="false" ht="13.8" hidden="false" customHeight="false" outlineLevel="0" collapsed="false">
      <c r="D39" s="924"/>
      <c r="E39" s="924"/>
      <c r="J39" s="924"/>
      <c r="K39" s="924"/>
      <c r="P39" s="1438"/>
      <c r="Q39" s="1438"/>
      <c r="R39" s="1438"/>
      <c r="S39" s="296"/>
      <c r="V39" s="924"/>
      <c r="W39" s="924"/>
      <c r="AD39" s="924"/>
      <c r="AE39" s="924"/>
      <c r="AL39" s="1743"/>
      <c r="AM39" s="1743"/>
      <c r="AU39" s="924"/>
      <c r="AV39" s="924"/>
      <c r="BC39" s="924"/>
      <c r="BD39" s="924"/>
      <c r="BK39" s="924"/>
      <c r="BL39" s="924"/>
      <c r="BT39" s="924"/>
      <c r="BU39" s="924"/>
      <c r="BV39" s="924"/>
      <c r="CB39" s="924"/>
      <c r="CC39" s="924"/>
      <c r="CJ39" s="924"/>
      <c r="CK39" s="924"/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</row>
    <row r="40" customFormat="false" ht="13.5" hidden="false" customHeight="false" outlineLevel="0" collapsed="false">
      <c r="D40" s="1744"/>
      <c r="E40" s="924"/>
      <c r="J40" s="1744"/>
      <c r="K40" s="924"/>
      <c r="P40" s="1438"/>
      <c r="Q40" s="1438"/>
      <c r="R40" s="1438"/>
      <c r="S40" s="296"/>
      <c r="V40" s="1744"/>
      <c r="W40" s="924"/>
      <c r="AD40" s="1744"/>
      <c r="AE40" s="924"/>
      <c r="AL40" s="1743" t="n">
        <v>2015638.83723652</v>
      </c>
      <c r="AM40" s="1743"/>
      <c r="AU40" s="1744"/>
      <c r="AV40" s="924"/>
      <c r="BC40" s="1744"/>
      <c r="BD40" s="924"/>
      <c r="BK40" s="1744"/>
      <c r="BL40" s="924"/>
      <c r="BT40" s="1744"/>
      <c r="BU40" s="1744"/>
      <c r="BV40" s="924"/>
      <c r="CB40" s="1744"/>
      <c r="CC40" s="924"/>
      <c r="CJ40" s="1744"/>
      <c r="CK40" s="924"/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customFormat="false" ht="13.5" hidden="false" customHeight="false" outlineLevel="0" collapsed="false">
      <c r="D41" s="1744"/>
      <c r="E41" s="1745" t="n">
        <f aca="false">E18+G62</f>
        <v>0</v>
      </c>
      <c r="J41" s="1744"/>
      <c r="K41" s="924"/>
      <c r="P41" s="1438"/>
      <c r="Q41" s="1438"/>
      <c r="R41" s="1438"/>
      <c r="S41" s="296"/>
      <c r="V41" s="1744"/>
      <c r="W41" s="924"/>
      <c r="AD41" s="1744"/>
      <c r="AE41" s="924"/>
      <c r="AL41" s="1743"/>
      <c r="AM41" s="1743"/>
      <c r="AU41" s="1744"/>
      <c r="AV41" s="924"/>
      <c r="BC41" s="1744"/>
      <c r="BD41" s="924"/>
      <c r="BK41" s="1744"/>
      <c r="BL41" s="924"/>
      <c r="BT41" s="1744"/>
      <c r="BU41" s="1744"/>
      <c r="BV41" s="924"/>
      <c r="CB41" s="1744"/>
      <c r="CC41" s="924"/>
      <c r="CJ41" s="1744"/>
      <c r="CK41" s="924"/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</row>
    <row r="42" customFormat="false" ht="13.5" hidden="false" customHeight="false" outlineLevel="0" collapsed="false">
      <c r="D42" s="924"/>
      <c r="E42" s="924"/>
      <c r="J42" s="924"/>
      <c r="K42" s="924"/>
      <c r="P42" s="1438"/>
      <c r="Q42" s="1438"/>
      <c r="R42" s="1438"/>
      <c r="S42" s="296"/>
      <c r="V42" s="924"/>
      <c r="W42" s="924"/>
      <c r="AD42" s="924"/>
      <c r="AE42" s="924"/>
      <c r="AL42" s="1743"/>
      <c r="AM42" s="1743"/>
      <c r="AU42" s="924"/>
      <c r="AV42" s="924"/>
      <c r="BC42" s="924"/>
      <c r="BD42" s="924"/>
      <c r="BK42" s="924"/>
      <c r="BL42" s="924"/>
      <c r="BT42" s="924"/>
      <c r="BU42" s="924"/>
      <c r="BV42" s="924"/>
      <c r="CB42" s="924"/>
      <c r="CC42" s="924"/>
      <c r="CJ42" s="924"/>
      <c r="CK42" s="924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</row>
    <row r="43" customFormat="false" ht="13.5" hidden="false" customHeight="false" outlineLevel="0" collapsed="false"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</row>
    <row r="44" customFormat="false" ht="13.5" hidden="false" customHeight="false" outlineLevel="0" collapsed="false"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</row>
    <row r="45" customFormat="false" ht="13.5" hidden="false" customHeight="false" outlineLevel="0" collapsed="false"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</row>
    <row r="46" customFormat="false" ht="13.5" hidden="false" customHeight="false" outlineLevel="0" collapsed="false"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customFormat="false" ht="13.5" hidden="false" customHeight="false" outlineLevel="0" collapsed="false"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</row>
    <row r="48" customFormat="false" ht="13.5" hidden="false" customHeight="false" outlineLevel="0" collapsed="false"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customFormat="false" ht="13.5" hidden="false" customHeight="false" outlineLevel="0" collapsed="false"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customFormat="false" ht="13.5" hidden="false" customHeight="false" outlineLevel="0" collapsed="false"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customFormat="false" ht="13.5" hidden="false" customHeight="false" outlineLevel="0" collapsed="false"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customFormat="false" ht="13.5" hidden="false" customHeight="false" outlineLevel="0" collapsed="false"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13.5" hidden="false" customHeight="false" outlineLevel="0" collapsed="false"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13.5" hidden="false" customHeight="false" outlineLevel="0" collapsed="false"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3.5" hidden="false" customHeight="false" outlineLevel="0" collapsed="false"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13.5" hidden="false" customHeight="false" outlineLevel="0" collapsed="false"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customFormat="false" ht="13.5" hidden="false" customHeight="false" outlineLevel="0" collapsed="false"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3.5" hidden="false" customHeight="false" outlineLevel="0" collapsed="false"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3.5" hidden="false" customHeight="false" outlineLevel="0" collapsed="false"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3.5" hidden="false" customHeight="false" outlineLevel="0" collapsed="false"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3.5" hidden="false" customHeight="false" outlineLevel="0" collapsed="false"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3.5" hidden="false" customHeight="false" outlineLevel="0" collapsed="false">
      <c r="D62" s="37"/>
      <c r="E62" s="37"/>
      <c r="F62" s="37"/>
      <c r="G62" s="287"/>
      <c r="H62" s="37"/>
      <c r="I62" s="37"/>
      <c r="J62" s="37" t="n">
        <v>6.78051719660289E-007</v>
      </c>
      <c r="K62" s="37" t="n">
        <v>0.000282079932730994</v>
      </c>
      <c r="L62" s="37"/>
      <c r="M62" s="947" t="n">
        <v>-282.079646185843</v>
      </c>
      <c r="N62" s="37"/>
      <c r="O62" s="37"/>
      <c r="P62" s="37" t="n">
        <v>0</v>
      </c>
      <c r="Q62" s="37" t="n">
        <v>0.000313166266550979</v>
      </c>
      <c r="R62" s="37"/>
      <c r="S62" s="287" t="n">
        <v>-313.165951807131</v>
      </c>
      <c r="T62" s="37"/>
      <c r="U62" s="37"/>
      <c r="V62" s="37"/>
      <c r="W62" s="37" t="n">
        <v>0</v>
      </c>
      <c r="X62" s="37" t="n">
        <v>0.000204519527642333</v>
      </c>
      <c r="Y62" s="37"/>
      <c r="Z62" s="287"/>
      <c r="AA62" s="287"/>
      <c r="AB62" s="287" t="n">
        <v>-204.51932171961</v>
      </c>
      <c r="AC62" s="37"/>
      <c r="AD62" s="37"/>
      <c r="AE62" s="37" t="n">
        <v>0</v>
      </c>
      <c r="AF62" s="37" t="n">
        <v>0.000269322819804074</v>
      </c>
      <c r="AG62" s="37"/>
      <c r="AH62" s="287"/>
      <c r="AI62" s="287"/>
      <c r="AJ62" s="37" t="n">
        <v>-269.322547225465</v>
      </c>
      <c r="AK62" s="37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13.5" hidden="false" customHeight="false" outlineLevel="0" collapsed="false"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3.5" hidden="false" customHeight="false" outlineLevel="0" collapsed="false"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3.5" hidden="false" customHeight="false" outlineLevel="0" collapsed="false"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3.5" hidden="false" customHeight="false" outlineLevel="0" collapsed="false"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3.5" hidden="false" customHeight="false" outlineLevel="0" collapsed="false"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3.5" hidden="false" customHeight="false" outlineLevel="0" collapsed="false"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3.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3.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3.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3.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3.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3.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3.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3.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3.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3.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3.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3.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3.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3.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3.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3.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3.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3.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3.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3.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3.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3.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3.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3.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3.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3.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3.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3.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3.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3.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3.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3.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3.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3.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3.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3.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3.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3.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3.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3.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3.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3.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3.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3.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3.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3.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3.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3.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3.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3.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3.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3.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3.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3.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3.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3.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3.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3.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3.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3.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3.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3.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3.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3.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3.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3.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3.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3.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3.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3.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3.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3.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3.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3.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3.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3.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3.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3.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3.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3.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3.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3.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3.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3.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3.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3.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3.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3.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3.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3.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3.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3.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3.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3.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3.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3.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3.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3.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3.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3.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3.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3.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3.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3.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3.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3.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3.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3.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3.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3.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3.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3.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3.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3.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3.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3.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3.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3.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3.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3.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3.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3.5" hidden="false" customHeight="false" outlineLevel="0" collapsed="false">
      <c r="DX306" s="285"/>
      <c r="DY306" s="285"/>
      <c r="DZ306" s="285"/>
    </row>
    <row r="307" customFormat="false" ht="13.5" hidden="false" customHeight="false" outlineLevel="0" collapsed="false">
      <c r="DX307" s="285"/>
      <c r="DY307" s="285"/>
      <c r="DZ307" s="285"/>
    </row>
    <row r="308" customFormat="false" ht="13.5" hidden="false" customHeight="false" outlineLevel="0" collapsed="false">
      <c r="DX308" s="285"/>
      <c r="DY308" s="285"/>
      <c r="DZ308" s="285"/>
    </row>
    <row r="309" customFormat="false" ht="13.5" hidden="false" customHeight="false" outlineLevel="0" collapsed="false">
      <c r="DX309" s="285"/>
      <c r="DY309" s="285"/>
      <c r="DZ309" s="285"/>
    </row>
    <row r="310" customFormat="false" ht="13.5" hidden="false" customHeight="false" outlineLevel="0" collapsed="false">
      <c r="DX310" s="285"/>
      <c r="DY310" s="285"/>
      <c r="DZ310" s="285"/>
    </row>
    <row r="311" customFormat="false" ht="13.5" hidden="false" customHeight="false" outlineLevel="0" collapsed="false">
      <c r="DX311" s="285"/>
      <c r="DY311" s="285"/>
      <c r="DZ311" s="285"/>
    </row>
    <row r="312" customFormat="false" ht="13.5" hidden="false" customHeight="false" outlineLevel="0" collapsed="false">
      <c r="DX312" s="285"/>
      <c r="DY312" s="285"/>
      <c r="DZ312" s="285"/>
    </row>
    <row r="313" customFormat="false" ht="13.5" hidden="false" customHeight="false" outlineLevel="0" collapsed="false">
      <c r="DX313" s="285"/>
      <c r="DY313" s="285"/>
      <c r="DZ313" s="285"/>
    </row>
  </sheetData>
  <mergeCells count="32">
    <mergeCell ref="D2:H2"/>
    <mergeCell ref="J2:N2"/>
    <mergeCell ref="P2:T2"/>
    <mergeCell ref="V2:AB2"/>
    <mergeCell ref="AD2:AJ2"/>
    <mergeCell ref="AL2:AS2"/>
    <mergeCell ref="AU2:BA2"/>
    <mergeCell ref="BC2:BI2"/>
    <mergeCell ref="BK2:BR2"/>
    <mergeCell ref="BT2:BZ2"/>
    <mergeCell ref="CB2:CH2"/>
    <mergeCell ref="CJ2:CP2"/>
    <mergeCell ref="CR2:CX2"/>
    <mergeCell ref="CZ2:DH2"/>
    <mergeCell ref="A6:B6"/>
    <mergeCell ref="A7:B7"/>
    <mergeCell ref="A9:B9"/>
    <mergeCell ref="A11:B11"/>
    <mergeCell ref="A12:B12"/>
    <mergeCell ref="A14:B14"/>
    <mergeCell ref="A16:B16"/>
    <mergeCell ref="A17:B17"/>
    <mergeCell ref="A19:B19"/>
    <mergeCell ref="A21:B21"/>
    <mergeCell ref="A22:B22"/>
    <mergeCell ref="A24:B24"/>
    <mergeCell ref="A26:B26"/>
    <mergeCell ref="A27:B27"/>
    <mergeCell ref="A29:B29"/>
    <mergeCell ref="A31:B31"/>
    <mergeCell ref="A32:B32"/>
    <mergeCell ref="A34:B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Y313"/>
  <sheetViews>
    <sheetView showFormulas="false" showGridLines="false" showRowColHeaders="true" showZeros="true" rightToLeft="false" tabSelected="false" showOutlineSymbols="true" defaultGridColor="true" view="pageBreakPreview" topLeftCell="CH2" colorId="64" zoomScale="100" zoomScaleNormal="70" zoomScalePageLayoutView="100" workbookViewId="0">
      <selection pane="topLeft" activeCell="CW7" activeCellId="0" sqref="CW7"/>
    </sheetView>
  </sheetViews>
  <sheetFormatPr defaultColWidth="11.515625" defaultRowHeight="12.75" zeroHeight="false" outlineLevelRow="0" outlineLevelCol="0"/>
  <cols>
    <col collapsed="false" customWidth="true" hidden="false" outlineLevel="0" max="1" min="1" style="1746" width="5.5"/>
    <col collapsed="false" customWidth="true" hidden="false" outlineLevel="0" max="2" min="2" style="1746" width="30.5"/>
    <col collapsed="false" customWidth="true" hidden="false" outlineLevel="0" max="3" min="3" style="1747" width="9.51"/>
    <col collapsed="false" customWidth="true" hidden="false" outlineLevel="0" max="4" min="4" style="1748" width="12.17"/>
    <col collapsed="false" customWidth="true" hidden="false" outlineLevel="0" max="5" min="5" style="1748" width="16.33"/>
    <col collapsed="false" customWidth="true" hidden="false" outlineLevel="0" max="6" min="6" style="1748" width="14.16"/>
    <col collapsed="false" customWidth="true" hidden="false" outlineLevel="0" max="7" min="7" style="1748" width="14.35"/>
    <col collapsed="false" customWidth="true" hidden="false" outlineLevel="0" max="8" min="8" style="1748" width="9.83"/>
    <col collapsed="false" customWidth="true" hidden="false" outlineLevel="0" max="9" min="9" style="1748" width="0.33"/>
    <col collapsed="false" customWidth="true" hidden="false" outlineLevel="0" max="10" min="10" style="1748" width="12.17"/>
    <col collapsed="false" customWidth="true" hidden="false" outlineLevel="0" max="11" min="11" style="1748" width="15.49"/>
    <col collapsed="false" customWidth="true" hidden="false" outlineLevel="0" max="12" min="12" style="1748" width="11.84"/>
    <col collapsed="false" customWidth="true" hidden="false" outlineLevel="0" max="13" min="13" style="1748" width="14.5"/>
    <col collapsed="false" customWidth="true" hidden="false" outlineLevel="0" max="14" min="14" style="1748" width="7.83"/>
    <col collapsed="false" customWidth="true" hidden="false" outlineLevel="0" max="15" min="15" style="1748" width="0.33"/>
    <col collapsed="false" customWidth="true" hidden="false" outlineLevel="0" max="16" min="16" style="1748" width="12.17"/>
    <col collapsed="false" customWidth="true" hidden="false" outlineLevel="0" max="17" min="17" style="1748" width="15.15"/>
    <col collapsed="false" customWidth="true" hidden="false" outlineLevel="0" max="18" min="18" style="1748" width="13.02"/>
    <col collapsed="false" customWidth="true" hidden="false" outlineLevel="0" max="19" min="19" style="1748" width="14.5"/>
    <col collapsed="false" customWidth="true" hidden="false" outlineLevel="0" max="20" min="20" style="1748" width="8.83"/>
    <col collapsed="false" customWidth="true" hidden="false" outlineLevel="0" max="21" min="21" style="1748" width="0.52"/>
    <col collapsed="false" customWidth="true" hidden="false" outlineLevel="0" max="22" min="22" style="1748" width="16.48"/>
    <col collapsed="false" customWidth="true" hidden="false" outlineLevel="0" max="24" min="23" style="1748" width="14.16"/>
    <col collapsed="false" customWidth="true" hidden="false" outlineLevel="0" max="25" min="25" style="1748" width="11.84"/>
    <col collapsed="false" customWidth="true" hidden="false" outlineLevel="0" max="26" min="26" style="1748" width="13.66"/>
    <col collapsed="false" customWidth="true" hidden="false" outlineLevel="0" max="27" min="27" style="1748" width="14.83"/>
    <col collapsed="false" customWidth="true" hidden="false" outlineLevel="0" max="28" min="28" style="1748" width="10.5"/>
    <col collapsed="false" customWidth="true" hidden="false" outlineLevel="0" max="29" min="29" style="1748" width="0.33"/>
    <col collapsed="false" customWidth="true" hidden="false" outlineLevel="0" max="30" min="30" style="1748" width="17.52"/>
    <col collapsed="false" customWidth="true" hidden="false" outlineLevel="0" max="31" min="31" style="1748" width="16.83"/>
    <col collapsed="false" customWidth="true" hidden="false" outlineLevel="0" max="32" min="32" style="1748" width="17.33"/>
    <col collapsed="false" customWidth="true" hidden="false" outlineLevel="0" max="33" min="33" style="1748" width="15.15"/>
    <col collapsed="false" customWidth="true" hidden="false" outlineLevel="0" max="34" min="34" style="1748" width="15.49"/>
    <col collapsed="false" customWidth="true" hidden="false" outlineLevel="0" max="35" min="35" style="1748" width="17.52"/>
    <col collapsed="false" customWidth="true" hidden="false" outlineLevel="0" max="36" min="36" style="1748" width="6.83"/>
    <col collapsed="false" customWidth="true" hidden="false" outlineLevel="0" max="37" min="37" style="1748" width="0.16"/>
    <col collapsed="false" customWidth="true" hidden="false" outlineLevel="0" max="38" min="38" style="1748" width="15.83"/>
    <col collapsed="false" customWidth="true" hidden="false" outlineLevel="0" max="39" min="39" style="1748" width="15.15"/>
    <col collapsed="false" customWidth="true" hidden="false" outlineLevel="0" max="40" min="40" style="1748" width="12.17"/>
    <col collapsed="false" customWidth="true" hidden="false" outlineLevel="0" max="41" min="41" style="1748" width="15.66"/>
    <col collapsed="false" customWidth="true" hidden="false" outlineLevel="0" max="42" min="42" style="1748" width="14.5"/>
    <col collapsed="false" customWidth="true" hidden="false" outlineLevel="0" max="43" min="43" style="1748" width="11.84"/>
    <col collapsed="false" customWidth="true" hidden="false" outlineLevel="0" max="44" min="44" style="1748" width="12.17"/>
    <col collapsed="false" customWidth="true" hidden="false" outlineLevel="0" max="45" min="45" style="1748" width="11.64"/>
    <col collapsed="false" customWidth="true" hidden="false" outlineLevel="0" max="46" min="46" style="1748" width="0.16"/>
    <col collapsed="false" customWidth="true" hidden="false" outlineLevel="0" max="52" min="47" style="1748" width="12.17"/>
    <col collapsed="false" customWidth="true" hidden="false" outlineLevel="0" max="53" min="53" style="1748" width="5.5"/>
    <col collapsed="false" customWidth="true" hidden="false" outlineLevel="0" max="54" min="54" style="1748" width="0.16"/>
    <col collapsed="false" customWidth="true" hidden="false" outlineLevel="0" max="55" min="55" style="1748" width="17.52"/>
    <col collapsed="false" customWidth="true" hidden="false" outlineLevel="0" max="56" min="56" style="1748" width="17"/>
    <col collapsed="false" customWidth="true" hidden="false" outlineLevel="0" max="57" min="57" style="1748" width="17.33"/>
    <col collapsed="false" customWidth="true" hidden="false" outlineLevel="0" max="58" min="58" style="1748" width="16.48"/>
    <col collapsed="false" customWidth="true" hidden="false" outlineLevel="0" max="59" min="59" style="1748" width="15.66"/>
    <col collapsed="false" customWidth="true" hidden="false" outlineLevel="0" max="60" min="60" style="1748" width="17"/>
    <col collapsed="false" customWidth="true" hidden="false" outlineLevel="0" max="61" min="61" style="1748" width="7"/>
    <col collapsed="false" customWidth="true" hidden="false" outlineLevel="0" max="62" min="62" style="1748" width="0.16"/>
    <col collapsed="false" customWidth="true" hidden="false" outlineLevel="0" max="63" min="63" style="1748" width="12.17"/>
    <col collapsed="false" customWidth="true" hidden="false" outlineLevel="0" max="64" min="64" style="1748" width="14.01"/>
    <col collapsed="false" customWidth="true" hidden="false" outlineLevel="0" max="65" min="65" style="1748" width="12.17"/>
    <col collapsed="false" customWidth="true" hidden="false" outlineLevel="0" max="66" min="66" style="1748" width="14.83"/>
    <col collapsed="false" customWidth="true" hidden="false" outlineLevel="0" max="67" min="67" style="1748" width="13.83"/>
    <col collapsed="false" customWidth="false" hidden="false" outlineLevel="0" max="68" min="68" style="1748" width="11.5"/>
    <col collapsed="false" customWidth="true" hidden="false" outlineLevel="0" max="69" min="69" style="1748" width="13.83"/>
    <col collapsed="false" customWidth="false" hidden="false" outlineLevel="0" max="70" min="70" style="1748" width="11.5"/>
    <col collapsed="false" customWidth="true" hidden="false" outlineLevel="0" max="71" min="71" style="1748" width="0.52"/>
    <col collapsed="false" customWidth="true" hidden="false" outlineLevel="0" max="77" min="72" style="1748" width="15.34"/>
    <col collapsed="false" customWidth="true" hidden="false" outlineLevel="0" max="78" min="78" style="1748" width="6.5"/>
    <col collapsed="false" customWidth="true" hidden="false" outlineLevel="0" max="79" min="79" style="1748" width="0.33"/>
    <col collapsed="false" customWidth="true" hidden="false" outlineLevel="0" max="85" min="80" style="1748" width="15.34"/>
    <col collapsed="false" customWidth="true" hidden="false" outlineLevel="0" max="86" min="86" style="1748" width="6.16"/>
    <col collapsed="false" customWidth="true" hidden="false" outlineLevel="0" max="87" min="87" style="1748" width="0.52"/>
    <col collapsed="false" customWidth="true" hidden="false" outlineLevel="0" max="88" min="88" style="1748" width="15.34"/>
    <col collapsed="false" customWidth="true" hidden="false" outlineLevel="0" max="89" min="89" style="1748" width="14.83"/>
    <col collapsed="false" customWidth="true" hidden="false" outlineLevel="0" max="90" min="90" style="1748" width="15.34"/>
    <col collapsed="false" customWidth="true" hidden="false" outlineLevel="0" max="92" min="91" style="1748" width="13.02"/>
    <col collapsed="false" customWidth="true" hidden="false" outlineLevel="0" max="93" min="93" style="1748" width="15.34"/>
    <col collapsed="false" customWidth="false" hidden="false" outlineLevel="0" max="94" min="94" style="1748" width="11.5"/>
    <col collapsed="false" customWidth="true" hidden="false" outlineLevel="0" max="95" min="95" style="1748" width="0.16"/>
    <col collapsed="false" customWidth="true" hidden="false" outlineLevel="0" max="96" min="96" style="1749" width="15.34"/>
    <col collapsed="false" customWidth="true" hidden="false" outlineLevel="0" max="98" min="97" style="1747" width="15.34"/>
    <col collapsed="false" customWidth="true" hidden="false" outlineLevel="0" max="99" min="99" style="1747" width="13.17"/>
    <col collapsed="false" customWidth="true" hidden="false" outlineLevel="0" max="100" min="100" style="1747" width="13.02"/>
    <col collapsed="false" customWidth="true" hidden="false" outlineLevel="0" max="101" min="101" style="1747" width="15.34"/>
    <col collapsed="false" customWidth="true" hidden="false" outlineLevel="0" max="102" min="102" style="1748" width="10.16"/>
    <col collapsed="false" customWidth="true" hidden="false" outlineLevel="0" max="103" min="103" style="1747" width="1.16"/>
    <col collapsed="false" customWidth="true" hidden="false" outlineLevel="0" max="104" min="104" style="1750" width="15.15"/>
    <col collapsed="false" customWidth="true" hidden="false" outlineLevel="0" max="105" min="105" style="1749" width="17.33"/>
    <col collapsed="false" customWidth="true" hidden="false" outlineLevel="0" max="106" min="106" style="1749" width="17"/>
    <col collapsed="false" customWidth="true" hidden="false" outlineLevel="0" max="107" min="107" style="1749" width="15.34"/>
    <col collapsed="false" customWidth="true" hidden="false" outlineLevel="0" max="108" min="108" style="1749" width="14.66"/>
    <col collapsed="false" customWidth="true" hidden="false" outlineLevel="0" max="109" min="109" style="1748" width="10.5"/>
    <col collapsed="false" customWidth="true" hidden="false" outlineLevel="0" max="111" min="110" style="1747" width="8.33"/>
    <col collapsed="false" customWidth="true" hidden="false" outlineLevel="0" max="112" min="112" style="1747" width="10.5"/>
    <col collapsed="false" customWidth="true" hidden="false" outlineLevel="0" max="113" min="113" style="1746" width="0.52"/>
    <col collapsed="false" customWidth="true" hidden="false" outlineLevel="0" max="114" min="114" style="1746" width="12.83"/>
    <col collapsed="false" customWidth="true" hidden="false" outlineLevel="0" max="115" min="115" style="1746" width="14.16"/>
    <col collapsed="false" customWidth="true" hidden="false" outlineLevel="0" max="117" min="116" style="1746" width="12.83"/>
    <col collapsed="false" customWidth="false" hidden="false" outlineLevel="0" max="127" min="118" style="1746" width="11.5"/>
    <col collapsed="false" customWidth="true" hidden="false" outlineLevel="0" max="129" min="129" style="2" width="20.98"/>
    <col collapsed="false" customWidth="false" hidden="false" outlineLevel="0" max="1024" min="131" style="1746" width="11.5"/>
  </cols>
  <sheetData>
    <row r="1" customFormat="false" ht="15" hidden="false" customHeight="true" outlineLevel="0" collapsed="false">
      <c r="D1" s="1750"/>
      <c r="E1" s="1750"/>
      <c r="F1" s="1750"/>
      <c r="G1" s="1750"/>
      <c r="J1" s="1750"/>
      <c r="K1" s="1750"/>
      <c r="L1" s="1750"/>
      <c r="M1" s="1750"/>
      <c r="P1" s="1750"/>
      <c r="Q1" s="1750"/>
      <c r="R1" s="1750"/>
      <c r="S1" s="1750"/>
      <c r="V1" s="1750"/>
      <c r="W1" s="1750"/>
      <c r="X1" s="1750"/>
      <c r="Y1" s="630"/>
      <c r="Z1" s="630"/>
      <c r="AA1" s="1750"/>
      <c r="AD1" s="1750"/>
      <c r="AE1" s="1750"/>
      <c r="AF1" s="1750"/>
      <c r="AG1" s="1751"/>
      <c r="AH1" s="1750"/>
      <c r="AI1" s="1750"/>
      <c r="AL1" s="1752"/>
      <c r="AM1" s="1752"/>
      <c r="AN1" s="1752"/>
      <c r="BK1" s="1753" t="e">
        <f aca="false">BK13-#REF!</f>
        <v>#REF!</v>
      </c>
      <c r="BL1" s="1753" t="e">
        <f aca="false">BL13-#REF!</f>
        <v>#REF!</v>
      </c>
      <c r="BM1" s="1753" t="e">
        <f aca="false">BM13-#REF!</f>
        <v>#REF!</v>
      </c>
      <c r="BN1" s="1753" t="e">
        <f aca="false">BN13-#REF!</f>
        <v>#REF!</v>
      </c>
      <c r="BO1" s="1754"/>
      <c r="BP1" s="1754"/>
      <c r="BQ1" s="1753" t="e">
        <f aca="false">BQ13-#REF!</f>
        <v>#REF!</v>
      </c>
      <c r="BR1" s="1754"/>
      <c r="BS1" s="1754"/>
      <c r="BT1" s="1754"/>
      <c r="BU1" s="1754"/>
      <c r="BV1" s="1754"/>
      <c r="BW1" s="1754"/>
      <c r="BX1" s="1754"/>
      <c r="BY1" s="1754"/>
      <c r="BZ1" s="1754"/>
      <c r="CA1" s="1754"/>
      <c r="CB1" s="1754"/>
      <c r="CC1" s="1754"/>
      <c r="CD1" s="1754"/>
      <c r="CE1" s="1754"/>
      <c r="CF1" s="1754"/>
      <c r="CG1" s="1755"/>
      <c r="CH1" s="1755"/>
      <c r="CI1" s="1754"/>
      <c r="CJ1" s="1753" t="e">
        <f aca="false">CJ13-#REF!</f>
        <v>#REF!</v>
      </c>
      <c r="CK1" s="1753" t="e">
        <f aca="false">CK13-#REF!</f>
        <v>#REF!</v>
      </c>
      <c r="CL1" s="1753" t="e">
        <f aca="false">CL13-#REF!</f>
        <v>#REF!</v>
      </c>
      <c r="CM1" s="1754"/>
      <c r="CN1" s="1754"/>
      <c r="CO1" s="1756" t="e">
        <f aca="false">CO13-#REF!</f>
        <v>#REF!</v>
      </c>
      <c r="CP1" s="1754"/>
      <c r="CQ1" s="1754"/>
      <c r="CR1" s="1757" t="e">
        <f aca="false">CR13-#REF!</f>
        <v>#REF!</v>
      </c>
      <c r="CS1" s="1757" t="e">
        <f aca="false">CS13-#REF!</f>
        <v>#REF!</v>
      </c>
      <c r="CT1" s="1757"/>
      <c r="CU1" s="1757"/>
      <c r="CV1" s="1757"/>
      <c r="CW1" s="1757" t="e">
        <f aca="false">CW13-#REF!</f>
        <v>#REF!</v>
      </c>
      <c r="CX1" s="1754"/>
      <c r="CY1" s="1758"/>
      <c r="CZ1" s="1757" t="n">
        <v>232582.553378591</v>
      </c>
      <c r="DA1" s="1759"/>
      <c r="DB1" s="1759"/>
      <c r="DC1" s="1759"/>
      <c r="DD1" s="1759"/>
      <c r="DE1" s="1754"/>
      <c r="DF1" s="1758"/>
      <c r="DG1" s="1758"/>
      <c r="DH1" s="1758"/>
      <c r="DX1" s="40"/>
      <c r="DY1" s="40"/>
      <c r="DZ1" s="40"/>
    </row>
    <row r="2" customFormat="false" ht="15" hidden="false" customHeight="true" outlineLevel="0" collapsed="false">
      <c r="A2" s="1760" t="s">
        <v>967</v>
      </c>
      <c r="B2" s="637"/>
      <c r="C2" s="246"/>
      <c r="D2" s="1761"/>
      <c r="E2" s="1761"/>
      <c r="F2" s="1761"/>
      <c r="G2" s="1761"/>
      <c r="H2" s="1761"/>
      <c r="I2" s="1762"/>
      <c r="J2" s="1761"/>
      <c r="K2" s="1761"/>
      <c r="L2" s="1761"/>
      <c r="M2" s="1761"/>
      <c r="N2" s="1761"/>
      <c r="O2" s="1762"/>
      <c r="P2" s="1761"/>
      <c r="Q2" s="1761"/>
      <c r="R2" s="1761"/>
      <c r="S2" s="1761"/>
      <c r="T2" s="1761"/>
      <c r="U2" s="1762"/>
      <c r="V2" s="1761"/>
      <c r="W2" s="1761"/>
      <c r="X2" s="1761"/>
      <c r="Y2" s="1761"/>
      <c r="Z2" s="1763"/>
      <c r="AA2" s="1761"/>
      <c r="AB2" s="1762"/>
      <c r="AC2" s="39"/>
      <c r="AD2" s="1761"/>
      <c r="AE2" s="1761"/>
      <c r="AF2" s="1761"/>
      <c r="AG2" s="1761"/>
      <c r="AH2" s="1761"/>
      <c r="AI2" s="1761"/>
      <c r="AJ2" s="39"/>
      <c r="AK2" s="39"/>
      <c r="AL2" s="1761"/>
      <c r="AM2" s="1761"/>
      <c r="AN2" s="1761"/>
      <c r="AO2" s="1761"/>
      <c r="AP2" s="1761"/>
      <c r="AQ2" s="1761"/>
      <c r="AR2" s="287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1764"/>
      <c r="BL2" s="1764" t="n">
        <v>440630.690159682</v>
      </c>
      <c r="BM2" s="1764" t="n">
        <v>908739.653237441</v>
      </c>
      <c r="BN2" s="1764"/>
      <c r="BO2" s="1764"/>
      <c r="BP2" s="1764"/>
      <c r="BQ2" s="1764" t="n">
        <v>493952.901983245</v>
      </c>
      <c r="BR2" s="1764" t="n">
        <v>0.0424821937034383</v>
      </c>
      <c r="BS2" s="295"/>
      <c r="BT2" s="259"/>
      <c r="BU2" s="259"/>
      <c r="BV2" s="259"/>
      <c r="BW2" s="259"/>
      <c r="BX2" s="259"/>
      <c r="BY2" s="259"/>
      <c r="BZ2" s="259"/>
      <c r="CA2" s="259"/>
      <c r="CB2" s="261"/>
      <c r="CC2" s="259"/>
      <c r="CD2" s="259"/>
      <c r="CE2" s="259"/>
      <c r="CF2" s="259"/>
      <c r="CG2" s="259"/>
      <c r="CH2" s="259"/>
      <c r="CI2" s="259"/>
      <c r="CJ2" s="1181"/>
      <c r="CK2" s="922" t="n">
        <v>232582.553378589</v>
      </c>
      <c r="CL2" s="1181" t="n">
        <v>606875.868117728</v>
      </c>
      <c r="CM2" s="1765"/>
      <c r="CN2" s="1765"/>
      <c r="CO2" s="1181" t="n">
        <v>5746785.92529125</v>
      </c>
      <c r="CP2" s="1181"/>
      <c r="CQ2" s="295"/>
      <c r="CR2" s="1766"/>
      <c r="CS2" s="1766" t="n">
        <f aca="false">CS7-CK7</f>
        <v>0</v>
      </c>
      <c r="CT2" s="1766" t="n">
        <v>606875.868117726</v>
      </c>
      <c r="CU2" s="1766"/>
      <c r="CV2" s="1766"/>
      <c r="CW2" s="1766" t="n">
        <f aca="false">CW7-CO7</f>
        <v>0</v>
      </c>
      <c r="CX2" s="1766"/>
      <c r="CY2" s="327"/>
      <c r="CZ2" s="1766" t="n">
        <v>232582.553378591</v>
      </c>
      <c r="DA2" s="1766" t="n">
        <f aca="false">DA9-'Data Mobile'!DA6</f>
        <v>0</v>
      </c>
      <c r="DB2" s="1766" t="n">
        <f aca="false">DB9-'Data Mobile'!DB6</f>
        <v>0</v>
      </c>
      <c r="DC2" s="1766" t="n">
        <v>606875.868117726</v>
      </c>
      <c r="DD2" s="1766" t="n">
        <v>5746785.93222732</v>
      </c>
      <c r="DE2" s="1766"/>
      <c r="DF2" s="1765"/>
      <c r="DG2" s="1765"/>
      <c r="DH2" s="1765"/>
    </row>
    <row r="3" customFormat="false" ht="3.75" hidden="false" customHeight="true" outlineLevel="0" collapsed="false">
      <c r="C3" s="246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1767"/>
      <c r="AE3" s="1767"/>
      <c r="AF3" s="1767"/>
      <c r="AG3" s="1767"/>
      <c r="AH3" s="1767"/>
      <c r="AI3" s="1767"/>
      <c r="AJ3" s="1767"/>
      <c r="AK3" s="39"/>
      <c r="AL3" s="340"/>
      <c r="AM3" s="340"/>
      <c r="AN3" s="340"/>
      <c r="AO3" s="340"/>
      <c r="AP3" s="340"/>
      <c r="AQ3" s="340"/>
      <c r="AR3" s="340"/>
      <c r="AS3" s="340"/>
      <c r="AT3" s="39"/>
      <c r="AU3" s="1767"/>
      <c r="AV3" s="1767"/>
      <c r="AW3" s="1767"/>
      <c r="AX3" s="1767"/>
      <c r="AY3" s="1767"/>
      <c r="AZ3" s="1767"/>
      <c r="BA3" s="1767"/>
      <c r="BB3" s="341"/>
      <c r="BC3" s="1768"/>
      <c r="BD3" s="1767"/>
      <c r="BE3" s="1767"/>
      <c r="BF3" s="1767"/>
      <c r="BG3" s="1767"/>
      <c r="BH3" s="1767"/>
      <c r="BI3" s="1769"/>
      <c r="BJ3" s="341"/>
      <c r="BK3" s="1768"/>
      <c r="BL3" s="1767"/>
      <c r="BM3" s="1767"/>
      <c r="BN3" s="1767"/>
      <c r="BO3" s="1767"/>
      <c r="BP3" s="1767"/>
      <c r="BQ3" s="1767"/>
      <c r="BR3" s="1767"/>
      <c r="BS3" s="341"/>
      <c r="BT3" s="1768"/>
      <c r="BU3" s="1767"/>
      <c r="BV3" s="1767"/>
      <c r="BW3" s="1767"/>
      <c r="BX3" s="1767"/>
      <c r="BY3" s="1767"/>
      <c r="BZ3" s="1767"/>
      <c r="CA3" s="39"/>
      <c r="CB3" s="1767"/>
      <c r="CC3" s="1767"/>
      <c r="CD3" s="1767"/>
      <c r="CE3" s="1767"/>
      <c r="CF3" s="1767"/>
      <c r="CG3" s="1767"/>
      <c r="CH3" s="1767"/>
      <c r="CI3" s="341"/>
      <c r="CJ3" s="39"/>
      <c r="CK3" s="39"/>
      <c r="CL3" s="39"/>
      <c r="CM3" s="39"/>
      <c r="CN3" s="39"/>
      <c r="CO3" s="39"/>
      <c r="CP3" s="39"/>
      <c r="CQ3" s="341"/>
      <c r="CR3" s="43"/>
      <c r="CS3" s="246"/>
      <c r="CT3" s="246"/>
      <c r="CU3" s="246"/>
      <c r="CV3" s="246"/>
      <c r="CW3" s="246"/>
      <c r="CX3" s="39"/>
      <c r="CY3" s="334"/>
      <c r="CZ3" s="287"/>
      <c r="DA3" s="43"/>
      <c r="DB3" s="43"/>
      <c r="DC3" s="43"/>
      <c r="DD3" s="43"/>
      <c r="DE3" s="39"/>
      <c r="DF3" s="246"/>
      <c r="DG3" s="246"/>
      <c r="DH3" s="246"/>
    </row>
    <row r="4" s="1780" customFormat="true" ht="13.5" hidden="false" customHeight="false" outlineLevel="0" collapsed="false">
      <c r="A4" s="1770"/>
      <c r="B4" s="1771"/>
      <c r="C4" s="1771"/>
      <c r="D4" s="1772" t="n">
        <v>45292</v>
      </c>
      <c r="E4" s="1772"/>
      <c r="F4" s="1772"/>
      <c r="G4" s="1772"/>
      <c r="H4" s="1772"/>
      <c r="I4" s="1772"/>
      <c r="J4" s="1772" t="n">
        <v>45323</v>
      </c>
      <c r="K4" s="1772"/>
      <c r="L4" s="1772"/>
      <c r="M4" s="1772"/>
      <c r="N4" s="1772"/>
      <c r="O4" s="1773"/>
      <c r="P4" s="1772" t="n">
        <v>45352</v>
      </c>
      <c r="Q4" s="1772"/>
      <c r="R4" s="1772"/>
      <c r="S4" s="1772"/>
      <c r="T4" s="1772"/>
      <c r="U4" s="1772"/>
      <c r="V4" s="1774" t="n">
        <v>45383</v>
      </c>
      <c r="W4" s="1774"/>
      <c r="X4" s="1774"/>
      <c r="Y4" s="1774"/>
      <c r="Z4" s="1774"/>
      <c r="AA4" s="1774"/>
      <c r="AB4" s="1774"/>
      <c r="AC4" s="1775"/>
      <c r="AD4" s="1772" t="n">
        <v>45413</v>
      </c>
      <c r="AE4" s="1772"/>
      <c r="AF4" s="1772"/>
      <c r="AG4" s="1772"/>
      <c r="AH4" s="1772"/>
      <c r="AI4" s="1772"/>
      <c r="AJ4" s="1772"/>
      <c r="AK4" s="1775"/>
      <c r="AL4" s="1772" t="n">
        <v>45444</v>
      </c>
      <c r="AM4" s="1772"/>
      <c r="AN4" s="1772"/>
      <c r="AO4" s="1772"/>
      <c r="AP4" s="1772"/>
      <c r="AQ4" s="1772"/>
      <c r="AR4" s="1772"/>
      <c r="AS4" s="1772"/>
      <c r="AT4" s="1772"/>
      <c r="AU4" s="1772" t="n">
        <v>45474</v>
      </c>
      <c r="AV4" s="1772"/>
      <c r="AW4" s="1772"/>
      <c r="AX4" s="1772"/>
      <c r="AY4" s="1772"/>
      <c r="AZ4" s="1772"/>
      <c r="BA4" s="1772"/>
      <c r="BB4" s="1773"/>
      <c r="BC4" s="1772" t="n">
        <v>45505</v>
      </c>
      <c r="BD4" s="1772"/>
      <c r="BE4" s="1772"/>
      <c r="BF4" s="1772"/>
      <c r="BG4" s="1772"/>
      <c r="BH4" s="1772"/>
      <c r="BI4" s="1772"/>
      <c r="BJ4" s="1773"/>
      <c r="BK4" s="1772" t="n">
        <v>45536</v>
      </c>
      <c r="BL4" s="1772"/>
      <c r="BM4" s="1772"/>
      <c r="BN4" s="1772"/>
      <c r="BO4" s="1772"/>
      <c r="BP4" s="1772"/>
      <c r="BQ4" s="1772"/>
      <c r="BR4" s="1772"/>
      <c r="BS4" s="1773"/>
      <c r="BT4" s="1772" t="n">
        <v>45566</v>
      </c>
      <c r="BU4" s="1772"/>
      <c r="BV4" s="1772"/>
      <c r="BW4" s="1772"/>
      <c r="BX4" s="1772"/>
      <c r="BY4" s="1772"/>
      <c r="BZ4" s="1772"/>
      <c r="CA4" s="1773"/>
      <c r="CB4" s="1772" t="n">
        <v>45597</v>
      </c>
      <c r="CC4" s="1772"/>
      <c r="CD4" s="1772"/>
      <c r="CE4" s="1772"/>
      <c r="CF4" s="1772"/>
      <c r="CG4" s="1772"/>
      <c r="CH4" s="1772"/>
      <c r="CI4" s="1776"/>
      <c r="CJ4" s="1772" t="n">
        <v>45627</v>
      </c>
      <c r="CK4" s="1772"/>
      <c r="CL4" s="1772"/>
      <c r="CM4" s="1772"/>
      <c r="CN4" s="1772"/>
      <c r="CO4" s="1772"/>
      <c r="CP4" s="1772"/>
      <c r="CQ4" s="1777"/>
      <c r="CR4" s="1778" t="s">
        <v>3</v>
      </c>
      <c r="CS4" s="1778"/>
      <c r="CT4" s="1778"/>
      <c r="CU4" s="1778"/>
      <c r="CV4" s="1778"/>
      <c r="CW4" s="1778"/>
      <c r="CX4" s="1778"/>
      <c r="CY4" s="1770"/>
      <c r="CZ4" s="944" t="s">
        <v>4</v>
      </c>
      <c r="DA4" s="944"/>
      <c r="DB4" s="944"/>
      <c r="DC4" s="944"/>
      <c r="DD4" s="944"/>
      <c r="DE4" s="944"/>
      <c r="DF4" s="944"/>
      <c r="DG4" s="944"/>
      <c r="DH4" s="944"/>
      <c r="DI4" s="1779"/>
      <c r="DX4" s="79"/>
      <c r="DY4" s="79"/>
      <c r="DZ4" s="79"/>
    </row>
    <row r="5" s="1784" customFormat="true" ht="29.25" hidden="false" customHeight="true" outlineLevel="0" collapsed="false">
      <c r="A5" s="1781"/>
      <c r="B5" s="1782"/>
      <c r="C5" s="79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968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410"/>
      <c r="CZ5" s="86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783"/>
      <c r="DJ5" s="383"/>
      <c r="DK5" s="383"/>
      <c r="DL5" s="383"/>
      <c r="DM5" s="383"/>
      <c r="DX5" s="91"/>
      <c r="DY5" s="91"/>
      <c r="DZ5" s="91"/>
    </row>
    <row r="6" customFormat="false" ht="3" hidden="false" customHeight="true" outlineLevel="0" collapsed="false">
      <c r="A6" s="1785"/>
      <c r="C6" s="246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786"/>
      <c r="P6" s="97"/>
      <c r="Q6" s="97"/>
      <c r="R6" s="97"/>
      <c r="S6" s="97"/>
      <c r="T6" s="100"/>
      <c r="U6" s="100"/>
      <c r="V6" s="1787"/>
      <c r="W6" s="100"/>
      <c r="X6" s="100"/>
      <c r="Y6" s="100"/>
      <c r="Z6" s="100"/>
      <c r="AA6" s="100"/>
      <c r="AB6" s="1788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97"/>
      <c r="AV6" s="97"/>
      <c r="AW6" s="97"/>
      <c r="AX6" s="97"/>
      <c r="AY6" s="97"/>
      <c r="AZ6" s="97"/>
      <c r="BA6" s="100"/>
      <c r="BB6" s="1786"/>
      <c r="BC6" s="97"/>
      <c r="BD6" s="97"/>
      <c r="BE6" s="97"/>
      <c r="BF6" s="97"/>
      <c r="BG6" s="97"/>
      <c r="BH6" s="97"/>
      <c r="BI6" s="100"/>
      <c r="BJ6" s="1789"/>
      <c r="BK6" s="97"/>
      <c r="BL6" s="97"/>
      <c r="BM6" s="97"/>
      <c r="BN6" s="97"/>
      <c r="BO6" s="97"/>
      <c r="BP6" s="97"/>
      <c r="BQ6" s="97"/>
      <c r="BR6" s="100"/>
      <c r="BS6" s="1786"/>
      <c r="BT6" s="100"/>
      <c r="BU6" s="100"/>
      <c r="BV6" s="100"/>
      <c r="BW6" s="100"/>
      <c r="BX6" s="100"/>
      <c r="BY6" s="100"/>
      <c r="BZ6" s="100"/>
      <c r="CA6" s="1786"/>
      <c r="CB6" s="97"/>
      <c r="CC6" s="97"/>
      <c r="CD6" s="97"/>
      <c r="CE6" s="97"/>
      <c r="CF6" s="97"/>
      <c r="CG6" s="97"/>
      <c r="CH6" s="100"/>
      <c r="CI6" s="1786"/>
      <c r="CJ6" s="100"/>
      <c r="CK6" s="100"/>
      <c r="CL6" s="100"/>
      <c r="CM6" s="100"/>
      <c r="CN6" s="100"/>
      <c r="CO6" s="100"/>
      <c r="CP6" s="100"/>
      <c r="CQ6" s="1786"/>
      <c r="CR6" s="96"/>
      <c r="CS6" s="1790"/>
      <c r="CT6" s="1790"/>
      <c r="CU6" s="1790"/>
      <c r="CV6" s="1790"/>
      <c r="CW6" s="1790"/>
      <c r="CX6" s="100"/>
      <c r="CY6" s="393"/>
      <c r="CZ6" s="1791"/>
      <c r="DA6" s="1791"/>
      <c r="DB6" s="1791"/>
      <c r="DC6" s="1791"/>
      <c r="DD6" s="1791"/>
      <c r="DE6" s="1791"/>
      <c r="DF6" s="1790"/>
      <c r="DG6" s="1790"/>
      <c r="DH6" s="1792"/>
      <c r="DI6" s="1793"/>
      <c r="DJ6" s="117"/>
      <c r="DK6" s="117"/>
      <c r="DL6" s="117"/>
      <c r="DM6" s="117"/>
    </row>
    <row r="7" s="1814" customFormat="true" ht="20.25" hidden="false" customHeight="true" outlineLevel="0" collapsed="false">
      <c r="A7" s="1794"/>
      <c r="B7" s="1795" t="s">
        <v>969</v>
      </c>
      <c r="C7" s="679" t="s">
        <v>970</v>
      </c>
      <c r="D7" s="1796"/>
      <c r="E7" s="1797"/>
      <c r="F7" s="1798"/>
      <c r="G7" s="1797"/>
      <c r="H7" s="1799"/>
      <c r="I7" s="1800"/>
      <c r="J7" s="1797"/>
      <c r="K7" s="1797"/>
      <c r="L7" s="1798"/>
      <c r="M7" s="1797"/>
      <c r="N7" s="1801"/>
      <c r="O7" s="1802"/>
      <c r="P7" s="1796"/>
      <c r="Q7" s="1797"/>
      <c r="R7" s="1798"/>
      <c r="S7" s="1797"/>
      <c r="T7" s="1799"/>
      <c r="U7" s="1800"/>
      <c r="V7" s="1796"/>
      <c r="W7" s="1797"/>
      <c r="X7" s="1797"/>
      <c r="Y7" s="1798"/>
      <c r="Z7" s="1798"/>
      <c r="AA7" s="1797"/>
      <c r="AB7" s="1799"/>
      <c r="AC7" s="1803"/>
      <c r="AD7" s="1796"/>
      <c r="AE7" s="1797"/>
      <c r="AF7" s="1797"/>
      <c r="AG7" s="1798"/>
      <c r="AH7" s="1798"/>
      <c r="AI7" s="1797"/>
      <c r="AJ7" s="1799"/>
      <c r="AK7" s="1803"/>
      <c r="AL7" s="1796"/>
      <c r="AM7" s="1797"/>
      <c r="AN7" s="1797"/>
      <c r="AO7" s="1797"/>
      <c r="AP7" s="1798"/>
      <c r="AQ7" s="1798"/>
      <c r="AR7" s="1797"/>
      <c r="AS7" s="1799"/>
      <c r="AT7" s="1804"/>
      <c r="AU7" s="1796"/>
      <c r="AV7" s="1797"/>
      <c r="AW7" s="1797"/>
      <c r="AX7" s="1798"/>
      <c r="AY7" s="1798"/>
      <c r="AZ7" s="1797"/>
      <c r="BA7" s="1799"/>
      <c r="BB7" s="1805"/>
      <c r="BC7" s="1796"/>
      <c r="BD7" s="1797"/>
      <c r="BE7" s="1797"/>
      <c r="BF7" s="1798"/>
      <c r="BG7" s="1798"/>
      <c r="BH7" s="1797"/>
      <c r="BI7" s="1799"/>
      <c r="BJ7" s="1806"/>
      <c r="BK7" s="1796"/>
      <c r="BL7" s="1797"/>
      <c r="BM7" s="1797"/>
      <c r="BN7" s="1797"/>
      <c r="BO7" s="1798"/>
      <c r="BP7" s="1798"/>
      <c r="BQ7" s="1797"/>
      <c r="BR7" s="1799"/>
      <c r="BS7" s="1805"/>
      <c r="BT7" s="1796"/>
      <c r="BU7" s="1797"/>
      <c r="BV7" s="1797"/>
      <c r="BW7" s="1798"/>
      <c r="BX7" s="1798"/>
      <c r="BY7" s="1797"/>
      <c r="BZ7" s="1799"/>
      <c r="CA7" s="1805"/>
      <c r="CB7" s="1796"/>
      <c r="CC7" s="1797"/>
      <c r="CD7" s="1797"/>
      <c r="CE7" s="1798"/>
      <c r="CF7" s="1798"/>
      <c r="CG7" s="1797"/>
      <c r="CH7" s="1799"/>
      <c r="CI7" s="1807"/>
      <c r="CJ7" s="1796"/>
      <c r="CK7" s="1797"/>
      <c r="CL7" s="1797"/>
      <c r="CM7" s="1798"/>
      <c r="CN7" s="1798"/>
      <c r="CO7" s="1797"/>
      <c r="CP7" s="1799"/>
      <c r="CQ7" s="1808"/>
      <c r="CR7" s="710"/>
      <c r="CS7" s="1809"/>
      <c r="CT7" s="1809"/>
      <c r="CU7" s="1809" t="n">
        <f aca="false">+CR7-CS7</f>
        <v>0</v>
      </c>
      <c r="CV7" s="1809" t="n">
        <f aca="false">+CR7-CT7</f>
        <v>0</v>
      </c>
      <c r="CW7" s="1809"/>
      <c r="CX7" s="1126" t="str">
        <f aca="false">IFERROR(CR7/CW7-1, "-")</f>
        <v>-</v>
      </c>
      <c r="CY7" s="410"/>
      <c r="CZ7" s="1810"/>
      <c r="DA7" s="710"/>
      <c r="DB7" s="710"/>
      <c r="DC7" s="710"/>
      <c r="DD7" s="710"/>
      <c r="DE7" s="1811" t="e">
        <f aca="false">CZ7/DD7-1</f>
        <v>#DIV/0!</v>
      </c>
      <c r="DF7" s="1811" t="e">
        <f aca="false">DA7/DD7-1</f>
        <v>#DIV/0!</v>
      </c>
      <c r="DG7" s="1811" t="e">
        <f aca="false">DB7/DD7-1</f>
        <v>#DIV/0!</v>
      </c>
      <c r="DH7" s="1812" t="e">
        <f aca="false">DC7/DD7-1</f>
        <v>#DIV/0!</v>
      </c>
      <c r="DI7" s="1813"/>
      <c r="DJ7" s="117"/>
      <c r="DK7" s="117"/>
      <c r="DL7" s="117"/>
      <c r="DM7" s="117"/>
    </row>
    <row r="8" s="1814" customFormat="true" ht="24.75" hidden="true" customHeight="true" outlineLevel="0" collapsed="false">
      <c r="A8" s="1815"/>
      <c r="B8" s="1816" t="s">
        <v>971</v>
      </c>
      <c r="C8" s="679" t="s">
        <v>972</v>
      </c>
      <c r="D8" s="1817"/>
      <c r="E8" s="130"/>
      <c r="F8" s="1818"/>
      <c r="G8" s="1818"/>
      <c r="H8" s="1819"/>
      <c r="I8" s="1103"/>
      <c r="J8" s="1817"/>
      <c r="K8" s="130"/>
      <c r="L8" s="1820"/>
      <c r="M8" s="1820"/>
      <c r="N8" s="1819"/>
      <c r="O8" s="1109"/>
      <c r="P8" s="1817"/>
      <c r="Q8" s="130"/>
      <c r="R8" s="1820"/>
      <c r="S8" s="1820"/>
      <c r="T8" s="1819"/>
      <c r="U8" s="1103"/>
      <c r="V8" s="1817"/>
      <c r="W8" s="130"/>
      <c r="X8" s="130"/>
      <c r="Y8" s="1820"/>
      <c r="Z8" s="1820"/>
      <c r="AA8" s="1820"/>
      <c r="AB8" s="1819"/>
      <c r="AC8" s="1103"/>
      <c r="AD8" s="1817"/>
      <c r="AE8" s="130"/>
      <c r="AF8" s="130"/>
      <c r="AG8" s="1820"/>
      <c r="AH8" s="1820"/>
      <c r="AI8" s="1820"/>
      <c r="AJ8" s="1819"/>
      <c r="AK8" s="1103"/>
      <c r="AL8" s="1817"/>
      <c r="AM8" s="130"/>
      <c r="AN8" s="130"/>
      <c r="AO8" s="130"/>
      <c r="AP8" s="1820"/>
      <c r="AQ8" s="1820"/>
      <c r="AR8" s="1820"/>
      <c r="AS8" s="1819"/>
      <c r="AT8" s="1103"/>
      <c r="AU8" s="1817"/>
      <c r="AV8" s="130"/>
      <c r="AW8" s="130"/>
      <c r="AX8" s="1820"/>
      <c r="AY8" s="1820"/>
      <c r="AZ8" s="1820"/>
      <c r="BA8" s="1819"/>
      <c r="BB8" s="1109"/>
      <c r="BC8" s="1817"/>
      <c r="BD8" s="130"/>
      <c r="BE8" s="130"/>
      <c r="BF8" s="1820"/>
      <c r="BG8" s="1820"/>
      <c r="BH8" s="1820"/>
      <c r="BI8" s="1819"/>
      <c r="BJ8" s="1821"/>
      <c r="BK8" s="1817"/>
      <c r="BL8" s="130"/>
      <c r="BM8" s="130"/>
      <c r="BN8" s="130"/>
      <c r="BO8" s="1820"/>
      <c r="BP8" s="1820"/>
      <c r="BQ8" s="1820"/>
      <c r="BR8" s="1819"/>
      <c r="BS8" s="1109"/>
      <c r="BT8" s="1817"/>
      <c r="BU8" s="130"/>
      <c r="BV8" s="130"/>
      <c r="BW8" s="1820"/>
      <c r="BX8" s="1820"/>
      <c r="BY8" s="1820"/>
      <c r="BZ8" s="1819"/>
      <c r="CA8" s="1109"/>
      <c r="CB8" s="1817"/>
      <c r="CC8" s="130"/>
      <c r="CD8" s="130"/>
      <c r="CE8" s="1820"/>
      <c r="CF8" s="1820"/>
      <c r="CG8" s="1820"/>
      <c r="CH8" s="1819"/>
      <c r="CI8" s="732"/>
      <c r="CJ8" s="1817"/>
      <c r="CK8" s="130"/>
      <c r="CL8" s="130"/>
      <c r="CM8" s="1820"/>
      <c r="CN8" s="1820"/>
      <c r="CO8" s="1820"/>
      <c r="CP8" s="1819"/>
      <c r="CQ8" s="1099"/>
      <c r="CR8" s="1822"/>
      <c r="CS8" s="1823"/>
      <c r="CT8" s="1823"/>
      <c r="CU8" s="1823"/>
      <c r="CV8" s="1823"/>
      <c r="CW8" s="1823"/>
      <c r="CX8" s="1824"/>
      <c r="CY8" s="614"/>
      <c r="CZ8" s="1825"/>
      <c r="DA8" s="130"/>
      <c r="DB8" s="130"/>
      <c r="DC8" s="130"/>
      <c r="DD8" s="1823"/>
      <c r="DE8" s="1824"/>
      <c r="DF8" s="1824"/>
      <c r="DG8" s="1824"/>
      <c r="DH8" s="1826" t="e">
        <f aca="false">DC8/DD8-1</f>
        <v>#DIV/0!</v>
      </c>
      <c r="DI8" s="1813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s="1832" customFormat="true" ht="24.75" hidden="true" customHeight="true" outlineLevel="0" collapsed="false">
      <c r="A9" s="1827"/>
      <c r="B9" s="1828" t="s">
        <v>973</v>
      </c>
      <c r="C9" s="679" t="s">
        <v>974</v>
      </c>
      <c r="D9" s="1829"/>
      <c r="E9" s="130"/>
      <c r="F9" s="1818"/>
      <c r="G9" s="130"/>
      <c r="H9" s="1819"/>
      <c r="I9" s="731"/>
      <c r="J9" s="1829"/>
      <c r="K9" s="130"/>
      <c r="L9" s="1818"/>
      <c r="M9" s="130"/>
      <c r="N9" s="1819"/>
      <c r="O9" s="732"/>
      <c r="P9" s="1829"/>
      <c r="Q9" s="130"/>
      <c r="R9" s="1818"/>
      <c r="S9" s="130"/>
      <c r="T9" s="1819"/>
      <c r="U9" s="731"/>
      <c r="V9" s="1829"/>
      <c r="W9" s="130"/>
      <c r="X9" s="130"/>
      <c r="Y9" s="130"/>
      <c r="Z9" s="130"/>
      <c r="AA9" s="130"/>
      <c r="AB9" s="1819"/>
      <c r="AC9" s="731"/>
      <c r="AD9" s="1829"/>
      <c r="AE9" s="130"/>
      <c r="AF9" s="130"/>
      <c r="AG9" s="130"/>
      <c r="AH9" s="130"/>
      <c r="AI9" s="130"/>
      <c r="AJ9" s="1819"/>
      <c r="AK9" s="731"/>
      <c r="AL9" s="1829"/>
      <c r="AM9" s="130"/>
      <c r="AN9" s="130"/>
      <c r="AO9" s="130"/>
      <c r="AP9" s="130"/>
      <c r="AQ9" s="130"/>
      <c r="AR9" s="130"/>
      <c r="AS9" s="1819"/>
      <c r="AT9" s="731"/>
      <c r="AU9" s="1829"/>
      <c r="AV9" s="130"/>
      <c r="AW9" s="130"/>
      <c r="AX9" s="130"/>
      <c r="AY9" s="130"/>
      <c r="AZ9" s="130"/>
      <c r="BA9" s="1819"/>
      <c r="BB9" s="732"/>
      <c r="BC9" s="1829"/>
      <c r="BD9" s="130"/>
      <c r="BE9" s="130"/>
      <c r="BF9" s="130"/>
      <c r="BG9" s="130"/>
      <c r="BH9" s="130"/>
      <c r="BI9" s="1819"/>
      <c r="BJ9" s="733"/>
      <c r="BK9" s="1829"/>
      <c r="BL9" s="130"/>
      <c r="BM9" s="130"/>
      <c r="BN9" s="130"/>
      <c r="BO9" s="130"/>
      <c r="BP9" s="130"/>
      <c r="BQ9" s="130"/>
      <c r="BR9" s="1819"/>
      <c r="BS9" s="732"/>
      <c r="BT9" s="1829"/>
      <c r="BU9" s="130"/>
      <c r="BV9" s="130"/>
      <c r="BW9" s="130"/>
      <c r="BX9" s="130"/>
      <c r="BY9" s="130"/>
      <c r="BZ9" s="1819"/>
      <c r="CA9" s="732"/>
      <c r="CB9" s="1829"/>
      <c r="CC9" s="130"/>
      <c r="CD9" s="130"/>
      <c r="CE9" s="130"/>
      <c r="CF9" s="130"/>
      <c r="CG9" s="130"/>
      <c r="CH9" s="1819"/>
      <c r="CI9" s="732"/>
      <c r="CJ9" s="1829"/>
      <c r="CK9" s="130"/>
      <c r="CL9" s="130"/>
      <c r="CM9" s="130"/>
      <c r="CN9" s="130"/>
      <c r="CO9" s="130"/>
      <c r="CP9" s="1819"/>
      <c r="CQ9" s="732"/>
      <c r="CR9" s="130"/>
      <c r="CS9" s="130"/>
      <c r="CT9" s="1830"/>
      <c r="CU9" s="1818" t="n">
        <f aca="false">+CR9-CS9</f>
        <v>0</v>
      </c>
      <c r="CV9" s="1818" t="n">
        <f aca="false">+CR9-CT9</f>
        <v>0</v>
      </c>
      <c r="CW9" s="130"/>
      <c r="CX9" s="731" t="e">
        <f aca="false">CR9/CW9-1</f>
        <v>#DIV/0!</v>
      </c>
      <c r="CY9" s="410"/>
      <c r="CZ9" s="736"/>
      <c r="DA9" s="130"/>
      <c r="DB9" s="130"/>
      <c r="DC9" s="130"/>
      <c r="DD9" s="130"/>
      <c r="DE9" s="731" t="e">
        <f aca="false">CZ9/DD9-1</f>
        <v>#DIV/0!</v>
      </c>
      <c r="DF9" s="731" t="e">
        <f aca="false">DA9/DD9-1</f>
        <v>#DIV/0!</v>
      </c>
      <c r="DG9" s="731" t="e">
        <f aca="false">DB9/DD9-1</f>
        <v>#DIV/0!</v>
      </c>
      <c r="DH9" s="735" t="e">
        <f aca="false">DC9/DD9-1</f>
        <v>#DIV/0!</v>
      </c>
      <c r="DI9" s="1831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s="1814" customFormat="true" ht="24.75" hidden="true" customHeight="true" outlineLevel="0" collapsed="false">
      <c r="A10" s="1833"/>
      <c r="B10" s="1834" t="s">
        <v>975</v>
      </c>
      <c r="C10" s="679" t="s">
        <v>976</v>
      </c>
      <c r="D10" s="426"/>
      <c r="E10" s="144"/>
      <c r="F10" s="986"/>
      <c r="G10" s="986"/>
      <c r="H10" s="1835"/>
      <c r="I10" s="245"/>
      <c r="J10" s="426"/>
      <c r="K10" s="144"/>
      <c r="L10" s="986"/>
      <c r="M10" s="986"/>
      <c r="N10" s="1835"/>
      <c r="O10" s="422"/>
      <c r="P10" s="426"/>
      <c r="Q10" s="144"/>
      <c r="R10" s="986"/>
      <c r="S10" s="986"/>
      <c r="T10" s="1835"/>
      <c r="U10" s="245"/>
      <c r="V10" s="426"/>
      <c r="W10" s="144"/>
      <c r="X10" s="144"/>
      <c r="Y10" s="144"/>
      <c r="Z10" s="144"/>
      <c r="AA10" s="986"/>
      <c r="AB10" s="1835"/>
      <c r="AC10" s="245"/>
      <c r="AD10" s="426"/>
      <c r="AE10" s="144"/>
      <c r="AF10" s="144"/>
      <c r="AG10" s="144"/>
      <c r="AH10" s="144"/>
      <c r="AI10" s="986"/>
      <c r="AJ10" s="1835"/>
      <c r="AK10" s="245"/>
      <c r="AL10" s="426"/>
      <c r="AM10" s="144"/>
      <c r="AN10" s="144"/>
      <c r="AO10" s="144"/>
      <c r="AP10" s="144"/>
      <c r="AQ10" s="144"/>
      <c r="AR10" s="986"/>
      <c r="AS10" s="1835"/>
      <c r="AT10" s="245"/>
      <c r="AU10" s="426"/>
      <c r="AV10" s="144"/>
      <c r="AW10" s="144"/>
      <c r="AX10" s="144"/>
      <c r="AY10" s="144"/>
      <c r="AZ10" s="986"/>
      <c r="BA10" s="1836"/>
      <c r="BB10" s="422"/>
      <c r="BC10" s="426"/>
      <c r="BD10" s="144"/>
      <c r="BE10" s="144"/>
      <c r="BF10" s="144"/>
      <c r="BG10" s="144"/>
      <c r="BH10" s="986"/>
      <c r="BI10" s="1836"/>
      <c r="BJ10" s="423"/>
      <c r="BK10" s="426"/>
      <c r="BL10" s="144"/>
      <c r="BM10" s="144"/>
      <c r="BN10" s="144"/>
      <c r="BO10" s="144"/>
      <c r="BP10" s="144"/>
      <c r="BQ10" s="986"/>
      <c r="BR10" s="1836"/>
      <c r="BS10" s="422"/>
      <c r="BT10" s="426"/>
      <c r="BU10" s="144"/>
      <c r="BV10" s="144"/>
      <c r="BW10" s="144"/>
      <c r="BX10" s="144"/>
      <c r="BY10" s="986"/>
      <c r="BZ10" s="1836"/>
      <c r="CA10" s="422"/>
      <c r="CB10" s="426"/>
      <c r="CC10" s="144"/>
      <c r="CD10" s="144"/>
      <c r="CE10" s="144"/>
      <c r="CF10" s="144"/>
      <c r="CG10" s="986"/>
      <c r="CH10" s="1836"/>
      <c r="CI10" s="422"/>
      <c r="CJ10" s="426"/>
      <c r="CK10" s="144"/>
      <c r="CL10" s="144"/>
      <c r="CM10" s="144"/>
      <c r="CN10" s="144"/>
      <c r="CO10" s="986"/>
      <c r="CP10" s="1836"/>
      <c r="CQ10" s="422"/>
      <c r="CR10" s="130"/>
      <c r="CS10" s="130"/>
      <c r="CT10" s="979"/>
      <c r="CU10" s="986" t="n">
        <f aca="false">+CR10-CS10</f>
        <v>0</v>
      </c>
      <c r="CV10" s="986" t="n">
        <f aca="false">+CR10-CT10</f>
        <v>0</v>
      </c>
      <c r="CW10" s="130"/>
      <c r="CX10" s="245" t="e">
        <f aca="false">CR10/CW10-1</f>
        <v>#DIV/0!</v>
      </c>
      <c r="CY10" s="425"/>
      <c r="CZ10" s="736"/>
      <c r="DA10" s="144"/>
      <c r="DB10" s="144"/>
      <c r="DC10" s="144"/>
      <c r="DD10" s="986"/>
      <c r="DE10" s="245" t="e">
        <f aca="false">CZ10/DD10-1</f>
        <v>#DIV/0!</v>
      </c>
      <c r="DF10" s="245" t="e">
        <f aca="false">DA10/DD10-1</f>
        <v>#DIV/0!</v>
      </c>
      <c r="DG10" s="245" t="e">
        <f aca="false">DB10/DD10-1</f>
        <v>#DIV/0!</v>
      </c>
      <c r="DH10" s="805" t="e">
        <f aca="false">DC10/DD10-1</f>
        <v>#DIV/0!</v>
      </c>
      <c r="DI10" s="1813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s="1814" customFormat="true" ht="24.75" hidden="true" customHeight="true" outlineLevel="0" collapsed="false">
      <c r="A11" s="1833"/>
      <c r="B11" s="1834" t="s">
        <v>977</v>
      </c>
      <c r="C11" s="679" t="s">
        <v>978</v>
      </c>
      <c r="D11" s="426"/>
      <c r="E11" s="144"/>
      <c r="F11" s="986"/>
      <c r="G11" s="986"/>
      <c r="H11" s="1835"/>
      <c r="I11" s="245"/>
      <c r="J11" s="426"/>
      <c r="K11" s="144"/>
      <c r="L11" s="986"/>
      <c r="M11" s="986"/>
      <c r="N11" s="1835"/>
      <c r="O11" s="422"/>
      <c r="P11" s="426"/>
      <c r="Q11" s="144"/>
      <c r="R11" s="986"/>
      <c r="S11" s="986"/>
      <c r="T11" s="1835"/>
      <c r="U11" s="245"/>
      <c r="V11" s="426"/>
      <c r="W11" s="144"/>
      <c r="X11" s="144"/>
      <c r="Y11" s="144"/>
      <c r="Z11" s="144"/>
      <c r="AA11" s="986"/>
      <c r="AB11" s="1835"/>
      <c r="AC11" s="245"/>
      <c r="AD11" s="426"/>
      <c r="AE11" s="144"/>
      <c r="AF11" s="144"/>
      <c r="AG11" s="144"/>
      <c r="AH11" s="144"/>
      <c r="AI11" s="986"/>
      <c r="AJ11" s="1835"/>
      <c r="AK11" s="245"/>
      <c r="AL11" s="426"/>
      <c r="AM11" s="144"/>
      <c r="AN11" s="144"/>
      <c r="AO11" s="144"/>
      <c r="AP11" s="144"/>
      <c r="AQ11" s="144"/>
      <c r="AR11" s="986"/>
      <c r="AS11" s="1835"/>
      <c r="AT11" s="245"/>
      <c r="AU11" s="426"/>
      <c r="AV11" s="144"/>
      <c r="AW11" s="144"/>
      <c r="AX11" s="144"/>
      <c r="AY11" s="144"/>
      <c r="AZ11" s="986"/>
      <c r="BA11" s="1836"/>
      <c r="BB11" s="422"/>
      <c r="BC11" s="426"/>
      <c r="BD11" s="144"/>
      <c r="BE11" s="144"/>
      <c r="BF11" s="144"/>
      <c r="BG11" s="144"/>
      <c r="BH11" s="986"/>
      <c r="BI11" s="1836"/>
      <c r="BJ11" s="423"/>
      <c r="BK11" s="426"/>
      <c r="BL11" s="144"/>
      <c r="BM11" s="144"/>
      <c r="BN11" s="144"/>
      <c r="BO11" s="144"/>
      <c r="BP11" s="144"/>
      <c r="BQ11" s="986"/>
      <c r="BR11" s="1836"/>
      <c r="BS11" s="422"/>
      <c r="BT11" s="426"/>
      <c r="BU11" s="144"/>
      <c r="BV11" s="144"/>
      <c r="BW11" s="144"/>
      <c r="BX11" s="144"/>
      <c r="BY11" s="986"/>
      <c r="BZ11" s="1836"/>
      <c r="CA11" s="422"/>
      <c r="CB11" s="426"/>
      <c r="CC11" s="144"/>
      <c r="CD11" s="144"/>
      <c r="CE11" s="144"/>
      <c r="CF11" s="144"/>
      <c r="CG11" s="986"/>
      <c r="CH11" s="1836"/>
      <c r="CI11" s="422"/>
      <c r="CJ11" s="426"/>
      <c r="CK11" s="144"/>
      <c r="CL11" s="144"/>
      <c r="CM11" s="144"/>
      <c r="CN11" s="144"/>
      <c r="CO11" s="986"/>
      <c r="CP11" s="1836"/>
      <c r="CQ11" s="422"/>
      <c r="CR11" s="130"/>
      <c r="CS11" s="130"/>
      <c r="CT11" s="979"/>
      <c r="CU11" s="986" t="n">
        <f aca="false">+CR11-CS11</f>
        <v>0</v>
      </c>
      <c r="CV11" s="986" t="n">
        <f aca="false">+CR11-CT11</f>
        <v>0</v>
      </c>
      <c r="CW11" s="130"/>
      <c r="CX11" s="245" t="e">
        <f aca="false">CR11/CW11-1</f>
        <v>#DIV/0!</v>
      </c>
      <c r="CY11" s="425"/>
      <c r="CZ11" s="736"/>
      <c r="DA11" s="144"/>
      <c r="DB11" s="144"/>
      <c r="DC11" s="144"/>
      <c r="DD11" s="986"/>
      <c r="DE11" s="245" t="e">
        <f aca="false">CZ11/DD11-1</f>
        <v>#DIV/0!</v>
      </c>
      <c r="DF11" s="245" t="e">
        <f aca="false">DA11/DD11-1</f>
        <v>#DIV/0!</v>
      </c>
      <c r="DG11" s="245" t="e">
        <f aca="false">DB11/DD11-1</f>
        <v>#DIV/0!</v>
      </c>
      <c r="DH11" s="805" t="e">
        <f aca="false">DC11/DD11-1</f>
        <v>#DIV/0!</v>
      </c>
      <c r="DI11" s="1813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s="1814" customFormat="true" ht="24.75" hidden="true" customHeight="true" outlineLevel="0" collapsed="false">
      <c r="A12" s="1833"/>
      <c r="B12" s="1834" t="s">
        <v>979</v>
      </c>
      <c r="C12" s="679" t="s">
        <v>980</v>
      </c>
      <c r="D12" s="426"/>
      <c r="E12" s="144"/>
      <c r="F12" s="986"/>
      <c r="G12" s="986"/>
      <c r="H12" s="1835"/>
      <c r="I12" s="245"/>
      <c r="J12" s="426"/>
      <c r="K12" s="144"/>
      <c r="L12" s="986"/>
      <c r="M12" s="986"/>
      <c r="N12" s="1835"/>
      <c r="O12" s="422"/>
      <c r="P12" s="426"/>
      <c r="Q12" s="144"/>
      <c r="R12" s="986"/>
      <c r="S12" s="986"/>
      <c r="T12" s="1835"/>
      <c r="U12" s="245"/>
      <c r="V12" s="426"/>
      <c r="W12" s="144"/>
      <c r="X12" s="144"/>
      <c r="Y12" s="144"/>
      <c r="Z12" s="144"/>
      <c r="AA12" s="986"/>
      <c r="AB12" s="1835"/>
      <c r="AC12" s="245"/>
      <c r="AD12" s="426"/>
      <c r="AE12" s="144"/>
      <c r="AF12" s="144"/>
      <c r="AG12" s="144"/>
      <c r="AH12" s="144"/>
      <c r="AI12" s="986"/>
      <c r="AJ12" s="1835"/>
      <c r="AK12" s="245"/>
      <c r="AL12" s="426"/>
      <c r="AM12" s="144"/>
      <c r="AN12" s="144"/>
      <c r="AO12" s="144"/>
      <c r="AP12" s="144"/>
      <c r="AQ12" s="144"/>
      <c r="AR12" s="986"/>
      <c r="AS12" s="1835"/>
      <c r="AT12" s="245"/>
      <c r="AU12" s="426"/>
      <c r="AV12" s="144"/>
      <c r="AW12" s="144"/>
      <c r="AX12" s="144"/>
      <c r="AY12" s="144"/>
      <c r="AZ12" s="986"/>
      <c r="BA12" s="1836"/>
      <c r="BB12" s="422"/>
      <c r="BC12" s="426"/>
      <c r="BD12" s="144"/>
      <c r="BE12" s="144"/>
      <c r="BF12" s="144"/>
      <c r="BG12" s="144"/>
      <c r="BH12" s="986"/>
      <c r="BI12" s="1836"/>
      <c r="BJ12" s="423"/>
      <c r="BK12" s="426"/>
      <c r="BL12" s="144"/>
      <c r="BM12" s="144"/>
      <c r="BN12" s="144"/>
      <c r="BO12" s="144"/>
      <c r="BP12" s="144"/>
      <c r="BQ12" s="986"/>
      <c r="BR12" s="1836"/>
      <c r="BS12" s="422"/>
      <c r="BT12" s="426"/>
      <c r="BU12" s="144"/>
      <c r="BV12" s="144"/>
      <c r="BW12" s="144"/>
      <c r="BX12" s="144"/>
      <c r="BY12" s="986"/>
      <c r="BZ12" s="1836"/>
      <c r="CA12" s="422"/>
      <c r="CB12" s="426"/>
      <c r="CC12" s="144"/>
      <c r="CD12" s="144"/>
      <c r="CE12" s="144"/>
      <c r="CF12" s="144"/>
      <c r="CG12" s="986"/>
      <c r="CH12" s="1836"/>
      <c r="CI12" s="422"/>
      <c r="CJ12" s="426"/>
      <c r="CK12" s="144"/>
      <c r="CL12" s="144"/>
      <c r="CM12" s="144"/>
      <c r="CN12" s="144"/>
      <c r="CO12" s="986"/>
      <c r="CP12" s="1836"/>
      <c r="CQ12" s="422"/>
      <c r="CR12" s="130"/>
      <c r="CS12" s="130"/>
      <c r="CT12" s="979"/>
      <c r="CU12" s="986" t="n">
        <f aca="false">+CR12-CS12</f>
        <v>0</v>
      </c>
      <c r="CV12" s="986" t="n">
        <f aca="false">+CR12-CT12</f>
        <v>0</v>
      </c>
      <c r="CW12" s="130"/>
      <c r="CX12" s="245" t="e">
        <f aca="false">CR12/CW12-1</f>
        <v>#DIV/0!</v>
      </c>
      <c r="CY12" s="425"/>
      <c r="CZ12" s="736"/>
      <c r="DA12" s="144"/>
      <c r="DB12" s="144"/>
      <c r="DC12" s="144"/>
      <c r="DD12" s="986"/>
      <c r="DE12" s="245" t="e">
        <f aca="false">CZ12/DD12-1</f>
        <v>#DIV/0!</v>
      </c>
      <c r="DF12" s="245" t="e">
        <f aca="false">DA12/DD12-1</f>
        <v>#DIV/0!</v>
      </c>
      <c r="DG12" s="245" t="e">
        <f aca="false">DB12/DD12-1</f>
        <v>#DIV/0!</v>
      </c>
      <c r="DH12" s="805" t="e">
        <f aca="false">DC12/DD12-1</f>
        <v>#DIV/0!</v>
      </c>
      <c r="DI12" s="1813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s="1832" customFormat="true" ht="24.75" hidden="true" customHeight="true" outlineLevel="0" collapsed="false">
      <c r="A13" s="1837"/>
      <c r="B13" s="1838" t="s">
        <v>981</v>
      </c>
      <c r="C13" s="679" t="s">
        <v>982</v>
      </c>
      <c r="D13" s="1829"/>
      <c r="E13" s="130"/>
      <c r="F13" s="1818"/>
      <c r="G13" s="130"/>
      <c r="H13" s="1819"/>
      <c r="I13" s="1103"/>
      <c r="J13" s="1829"/>
      <c r="K13" s="130"/>
      <c r="L13" s="1820"/>
      <c r="M13" s="1839"/>
      <c r="N13" s="1819"/>
      <c r="O13" s="1109"/>
      <c r="P13" s="1829"/>
      <c r="Q13" s="1839"/>
      <c r="R13" s="1820"/>
      <c r="S13" s="1839"/>
      <c r="T13" s="1819"/>
      <c r="U13" s="1103"/>
      <c r="V13" s="1829"/>
      <c r="W13" s="1839"/>
      <c r="X13" s="1839"/>
      <c r="Y13" s="1839"/>
      <c r="Z13" s="1839"/>
      <c r="AA13" s="1839"/>
      <c r="AB13" s="1819"/>
      <c r="AC13" s="731"/>
      <c r="AD13" s="1829"/>
      <c r="AE13" s="1839"/>
      <c r="AF13" s="1839"/>
      <c r="AG13" s="1839"/>
      <c r="AH13" s="1839"/>
      <c r="AI13" s="1839"/>
      <c r="AJ13" s="1819"/>
      <c r="AK13" s="731"/>
      <c r="AL13" s="1829"/>
      <c r="AM13" s="1839"/>
      <c r="AN13" s="1839"/>
      <c r="AO13" s="1839"/>
      <c r="AP13" s="1839"/>
      <c r="AQ13" s="1839"/>
      <c r="AR13" s="1839"/>
      <c r="AS13" s="1819"/>
      <c r="AT13" s="1103"/>
      <c r="AU13" s="1829"/>
      <c r="AV13" s="1839"/>
      <c r="AW13" s="1839"/>
      <c r="AX13" s="1839"/>
      <c r="AY13" s="1839"/>
      <c r="AZ13" s="1839"/>
      <c r="BA13" s="1819"/>
      <c r="BB13" s="1109"/>
      <c r="BC13" s="1829"/>
      <c r="BD13" s="1839"/>
      <c r="BE13" s="1839"/>
      <c r="BF13" s="1839"/>
      <c r="BG13" s="1839"/>
      <c r="BH13" s="1839"/>
      <c r="BI13" s="1819"/>
      <c r="BJ13" s="1821"/>
      <c r="BK13" s="1829"/>
      <c r="BL13" s="1839"/>
      <c r="BM13" s="1839"/>
      <c r="BN13" s="1839"/>
      <c r="BO13" s="1839"/>
      <c r="BP13" s="1839"/>
      <c r="BQ13" s="1839"/>
      <c r="BR13" s="1819"/>
      <c r="BS13" s="1109"/>
      <c r="BT13" s="1829"/>
      <c r="BU13" s="1839"/>
      <c r="BV13" s="1839"/>
      <c r="BW13" s="1839"/>
      <c r="BX13" s="1839"/>
      <c r="BY13" s="1839"/>
      <c r="BZ13" s="1819"/>
      <c r="CA13" s="1109"/>
      <c r="CB13" s="1829"/>
      <c r="CC13" s="1839"/>
      <c r="CD13" s="1839"/>
      <c r="CE13" s="1839"/>
      <c r="CF13" s="1839"/>
      <c r="CG13" s="1839"/>
      <c r="CH13" s="1819"/>
      <c r="CI13" s="732"/>
      <c r="CJ13" s="1829"/>
      <c r="CK13" s="1839"/>
      <c r="CL13" s="1839"/>
      <c r="CM13" s="1839"/>
      <c r="CN13" s="1839"/>
      <c r="CO13" s="1839"/>
      <c r="CP13" s="1819"/>
      <c r="CQ13" s="732"/>
      <c r="CR13" s="130"/>
      <c r="CS13" s="130"/>
      <c r="CT13" s="847"/>
      <c r="CU13" s="734" t="n">
        <f aca="false">+CR13-CS13</f>
        <v>0</v>
      </c>
      <c r="CV13" s="734" t="n">
        <f aca="false">+CR13-CT13</f>
        <v>0</v>
      </c>
      <c r="CW13" s="130"/>
      <c r="CX13" s="731" t="e">
        <f aca="false">CR13/CW13-1</f>
        <v>#DIV/0!</v>
      </c>
      <c r="CY13" s="410"/>
      <c r="CZ13" s="736"/>
      <c r="DA13" s="130"/>
      <c r="DB13" s="130"/>
      <c r="DC13" s="130"/>
      <c r="DD13" s="130"/>
      <c r="DE13" s="731" t="e">
        <f aca="false">CZ13/DD13-1</f>
        <v>#DIV/0!</v>
      </c>
      <c r="DF13" s="731" t="e">
        <f aca="false">DA13/DD13-1</f>
        <v>#DIV/0!</v>
      </c>
      <c r="DG13" s="1103" t="e">
        <f aca="false">DB13/DD13-1</f>
        <v>#DIV/0!</v>
      </c>
      <c r="DH13" s="1840" t="e">
        <f aca="false">DC13/DD13-1</f>
        <v>#DIV/0!</v>
      </c>
      <c r="DI13" s="1831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s="1814" customFormat="true" ht="6" hidden="false" customHeight="true" outlineLevel="0" collapsed="false">
      <c r="A14" s="425"/>
      <c r="B14" s="420"/>
      <c r="C14" s="679" t="s">
        <v>983</v>
      </c>
      <c r="D14" s="1841"/>
      <c r="E14" s="1842"/>
      <c r="F14" s="1842"/>
      <c r="G14" s="1842"/>
      <c r="H14" s="1843"/>
      <c r="I14" s="731"/>
      <c r="J14" s="1841"/>
      <c r="K14" s="1842"/>
      <c r="L14" s="1842"/>
      <c r="M14" s="1842"/>
      <c r="N14" s="1842"/>
      <c r="O14" s="1842"/>
      <c r="P14" s="1842"/>
      <c r="Q14" s="1842"/>
      <c r="R14" s="1842"/>
      <c r="S14" s="1842"/>
      <c r="T14" s="1843"/>
      <c r="U14" s="731"/>
      <c r="V14" s="1842"/>
      <c r="W14" s="1842"/>
      <c r="X14" s="1842"/>
      <c r="Y14" s="1842"/>
      <c r="Z14" s="1842"/>
      <c r="AA14" s="1842"/>
      <c r="AB14" s="1843"/>
      <c r="AC14" s="1842"/>
      <c r="AD14" s="1842"/>
      <c r="AE14" s="1842"/>
      <c r="AF14" s="1842"/>
      <c r="AG14" s="1842"/>
      <c r="AH14" s="1842"/>
      <c r="AI14" s="1842"/>
      <c r="AJ14" s="1843"/>
      <c r="AK14" s="731"/>
      <c r="AL14" s="1842"/>
      <c r="AM14" s="1842"/>
      <c r="AN14" s="1842"/>
      <c r="AO14" s="1842"/>
      <c r="AP14" s="1842"/>
      <c r="AQ14" s="1842"/>
      <c r="AR14" s="1842"/>
      <c r="AS14" s="1843"/>
      <c r="AT14" s="731"/>
      <c r="AU14" s="1842"/>
      <c r="AV14" s="1842"/>
      <c r="AW14" s="1842"/>
      <c r="AX14" s="1842"/>
      <c r="AY14" s="1842"/>
      <c r="AZ14" s="1842"/>
      <c r="BA14" s="1843"/>
      <c r="BB14" s="732"/>
      <c r="BC14" s="1842"/>
      <c r="BD14" s="1842"/>
      <c r="BE14" s="1842"/>
      <c r="BF14" s="1842"/>
      <c r="BG14" s="1842"/>
      <c r="BH14" s="1842"/>
      <c r="BI14" s="1843"/>
      <c r="BJ14" s="733"/>
      <c r="BK14" s="1842"/>
      <c r="BL14" s="1842"/>
      <c r="BM14" s="1842"/>
      <c r="BN14" s="1842"/>
      <c r="BO14" s="1842"/>
      <c r="BP14" s="1842"/>
      <c r="BQ14" s="1842"/>
      <c r="BR14" s="1843"/>
      <c r="BS14" s="732"/>
      <c r="BT14" s="1842"/>
      <c r="BU14" s="1842"/>
      <c r="BV14" s="1842"/>
      <c r="BW14" s="1842"/>
      <c r="BX14" s="1842"/>
      <c r="BY14" s="1842"/>
      <c r="BZ14" s="1843"/>
      <c r="CA14" s="732"/>
      <c r="CB14" s="1842"/>
      <c r="CC14" s="1842"/>
      <c r="CD14" s="1842"/>
      <c r="CE14" s="1842"/>
      <c r="CF14" s="1842"/>
      <c r="CG14" s="1842"/>
      <c r="CH14" s="1843"/>
      <c r="CI14" s="732"/>
      <c r="CJ14" s="1842"/>
      <c r="CK14" s="1842"/>
      <c r="CL14" s="1842"/>
      <c r="CM14" s="1842"/>
      <c r="CN14" s="1842"/>
      <c r="CO14" s="1842"/>
      <c r="CP14" s="1843"/>
      <c r="CQ14" s="1844"/>
      <c r="CR14" s="1845"/>
      <c r="CS14" s="1842"/>
      <c r="CT14" s="1842"/>
      <c r="CU14" s="1842"/>
      <c r="CV14" s="1842"/>
      <c r="CW14" s="1842"/>
      <c r="CX14" s="1846"/>
      <c r="CY14" s="105"/>
      <c r="CZ14" s="1847"/>
      <c r="DA14" s="1842"/>
      <c r="DB14" s="1842"/>
      <c r="DC14" s="1842"/>
      <c r="DD14" s="1842"/>
      <c r="DE14" s="1842"/>
      <c r="DF14" s="1842"/>
      <c r="DG14" s="1842"/>
      <c r="DH14" s="1842"/>
      <c r="DI14" s="1831"/>
      <c r="DJ14" s="1848"/>
      <c r="DK14" s="1849"/>
      <c r="DL14" s="1832"/>
      <c r="DM14" s="1832"/>
      <c r="DN14" s="1832"/>
      <c r="DO14" s="1832"/>
      <c r="DP14" s="1832"/>
      <c r="DQ14" s="1832"/>
      <c r="DR14" s="1832"/>
      <c r="DS14" s="1832"/>
      <c r="DT14" s="1832"/>
      <c r="DU14" s="1832"/>
      <c r="DV14" s="1832"/>
      <c r="DW14" s="1832"/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  <c r="EA14" s="1832"/>
      <c r="EB14" s="1832"/>
      <c r="EC14" s="1832"/>
      <c r="ED14" s="1832"/>
      <c r="EE14" s="1832"/>
      <c r="EF14" s="1832"/>
      <c r="EG14" s="1832"/>
      <c r="EH14" s="1832"/>
      <c r="EI14" s="1832"/>
      <c r="EJ14" s="1832"/>
      <c r="EK14" s="1832"/>
      <c r="EL14" s="1832"/>
      <c r="EM14" s="1832"/>
      <c r="EN14" s="1832"/>
      <c r="EO14" s="1832"/>
      <c r="EP14" s="1832"/>
      <c r="EQ14" s="1832"/>
      <c r="ER14" s="1832"/>
      <c r="ES14" s="1832"/>
      <c r="ET14" s="1832"/>
      <c r="EU14" s="1832"/>
      <c r="EV14" s="1832"/>
      <c r="EW14" s="1832"/>
      <c r="EX14" s="1832"/>
      <c r="EY14" s="1832"/>
      <c r="EZ14" s="1832"/>
      <c r="FA14" s="1832"/>
      <c r="FB14" s="1832"/>
      <c r="FC14" s="1832"/>
      <c r="FD14" s="1832"/>
      <c r="FE14" s="1832"/>
      <c r="FF14" s="1832"/>
      <c r="FG14" s="1832"/>
      <c r="FH14" s="1832"/>
      <c r="FI14" s="1832"/>
      <c r="FJ14" s="1832"/>
      <c r="FK14" s="1832"/>
      <c r="FL14" s="1832"/>
      <c r="FM14" s="1832"/>
      <c r="FN14" s="1832"/>
      <c r="FO14" s="1832"/>
      <c r="FP14" s="1832"/>
      <c r="FQ14" s="1832"/>
      <c r="FR14" s="1832"/>
      <c r="FS14" s="1832"/>
    </row>
    <row r="15" s="1814" customFormat="true" ht="15" hidden="false" customHeight="true" outlineLevel="0" collapsed="false">
      <c r="A15" s="1850"/>
      <c r="B15" s="1851" t="s">
        <v>984</v>
      </c>
      <c r="C15" s="679" t="s">
        <v>985</v>
      </c>
      <c r="D15" s="1829"/>
      <c r="E15" s="130"/>
      <c r="F15" s="130"/>
      <c r="G15" s="130"/>
      <c r="H15" s="1819"/>
      <c r="I15" s="1852"/>
      <c r="J15" s="1829"/>
      <c r="K15" s="130"/>
      <c r="L15" s="697"/>
      <c r="M15" s="697"/>
      <c r="N15" s="1819"/>
      <c r="O15" s="1853"/>
      <c r="P15" s="1829"/>
      <c r="Q15" s="130"/>
      <c r="R15" s="697"/>
      <c r="S15" s="697"/>
      <c r="T15" s="1819"/>
      <c r="U15" s="1852"/>
      <c r="V15" s="1829"/>
      <c r="W15" s="130"/>
      <c r="X15" s="130"/>
      <c r="Y15" s="697"/>
      <c r="Z15" s="697"/>
      <c r="AA15" s="697"/>
      <c r="AB15" s="1819"/>
      <c r="AC15" s="731"/>
      <c r="AD15" s="1829"/>
      <c r="AE15" s="130"/>
      <c r="AF15" s="130"/>
      <c r="AG15" s="697"/>
      <c r="AH15" s="697"/>
      <c r="AI15" s="697"/>
      <c r="AJ15" s="1819"/>
      <c r="AK15" s="731"/>
      <c r="AL15" s="1829"/>
      <c r="AM15" s="130"/>
      <c r="AN15" s="130"/>
      <c r="AO15" s="130"/>
      <c r="AP15" s="697"/>
      <c r="AQ15" s="697"/>
      <c r="AR15" s="697"/>
      <c r="AS15" s="1819"/>
      <c r="AT15" s="1852"/>
      <c r="AU15" s="1829"/>
      <c r="AV15" s="130"/>
      <c r="AW15" s="130"/>
      <c r="AX15" s="697"/>
      <c r="AY15" s="697"/>
      <c r="AZ15" s="697"/>
      <c r="BA15" s="1819"/>
      <c r="BB15" s="1853"/>
      <c r="BC15" s="1829"/>
      <c r="BD15" s="130"/>
      <c r="BE15" s="130"/>
      <c r="BF15" s="697"/>
      <c r="BG15" s="697"/>
      <c r="BH15" s="697"/>
      <c r="BI15" s="1819"/>
      <c r="BJ15" s="1854"/>
      <c r="BK15" s="1829"/>
      <c r="BL15" s="130"/>
      <c r="BM15" s="130"/>
      <c r="BN15" s="130"/>
      <c r="BO15" s="697"/>
      <c r="BP15" s="697"/>
      <c r="BQ15" s="697"/>
      <c r="BR15" s="1819"/>
      <c r="BS15" s="1853"/>
      <c r="BT15" s="1829"/>
      <c r="BU15" s="130"/>
      <c r="BV15" s="130"/>
      <c r="BW15" s="697"/>
      <c r="BX15" s="697"/>
      <c r="BY15" s="697"/>
      <c r="BZ15" s="1819"/>
      <c r="CA15" s="1853"/>
      <c r="CB15" s="1829"/>
      <c r="CC15" s="130"/>
      <c r="CD15" s="130"/>
      <c r="CE15" s="697"/>
      <c r="CF15" s="697"/>
      <c r="CG15" s="697"/>
      <c r="CH15" s="1819"/>
      <c r="CI15" s="732"/>
      <c r="CJ15" s="1829"/>
      <c r="CK15" s="130"/>
      <c r="CL15" s="130"/>
      <c r="CM15" s="697"/>
      <c r="CN15" s="697"/>
      <c r="CO15" s="697"/>
      <c r="CP15" s="1819"/>
      <c r="CQ15" s="732"/>
      <c r="CR15" s="184"/>
      <c r="CS15" s="184"/>
      <c r="CT15" s="184"/>
      <c r="CU15" s="184" t="n">
        <f aca="false">CR15-CS15</f>
        <v>0</v>
      </c>
      <c r="CV15" s="184" t="n">
        <f aca="false">CR15-CT15</f>
        <v>0</v>
      </c>
      <c r="CW15" s="184"/>
      <c r="CX15" s="731" t="str">
        <f aca="false">IFERROR(CR15/CW15-1, "-")</f>
        <v>-</v>
      </c>
      <c r="CY15" s="410"/>
      <c r="CZ15" s="850"/>
      <c r="DA15" s="130"/>
      <c r="DB15" s="130"/>
      <c r="DC15" s="130"/>
      <c r="DD15" s="184"/>
      <c r="DE15" s="731" t="e">
        <f aca="false">CZ15/DD15-1</f>
        <v>#DIV/0!</v>
      </c>
      <c r="DF15" s="731" t="e">
        <f aca="false">DA15/DD15-1</f>
        <v>#DIV/0!</v>
      </c>
      <c r="DG15" s="1852" t="e">
        <f aca="false">DB15/DD15-1</f>
        <v>#DIV/0!</v>
      </c>
      <c r="DH15" s="1855" t="e">
        <f aca="false">DC15/DD15-1</f>
        <v>#DIV/0!</v>
      </c>
      <c r="DI15" s="1831"/>
      <c r="DJ15" s="1848"/>
      <c r="DK15" s="1849"/>
      <c r="DL15" s="1832"/>
      <c r="DM15" s="1832"/>
      <c r="DN15" s="1832"/>
      <c r="DO15" s="1832"/>
      <c r="DP15" s="1832"/>
      <c r="DQ15" s="1832"/>
      <c r="DR15" s="1832"/>
      <c r="DS15" s="1832"/>
      <c r="DT15" s="1832"/>
      <c r="DU15" s="1832"/>
      <c r="DV15" s="1832"/>
      <c r="DW15" s="1832"/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  <c r="EA15" s="1832"/>
      <c r="EB15" s="1832"/>
      <c r="EC15" s="1832"/>
      <c r="ED15" s="1832"/>
      <c r="EE15" s="1832"/>
      <c r="EF15" s="1832"/>
      <c r="EG15" s="1832"/>
      <c r="EH15" s="1832"/>
      <c r="EI15" s="1832"/>
      <c r="EJ15" s="1832"/>
      <c r="EK15" s="1832"/>
      <c r="EL15" s="1832"/>
      <c r="EM15" s="1832"/>
      <c r="EN15" s="1832"/>
      <c r="EO15" s="1832"/>
      <c r="EP15" s="1832"/>
      <c r="EQ15" s="1832"/>
      <c r="ER15" s="1832"/>
      <c r="ES15" s="1832"/>
      <c r="ET15" s="1832"/>
      <c r="EU15" s="1832"/>
      <c r="EV15" s="1832"/>
      <c r="EW15" s="1832"/>
      <c r="EX15" s="1832"/>
      <c r="EY15" s="1832"/>
      <c r="EZ15" s="1832"/>
      <c r="FA15" s="1832"/>
      <c r="FB15" s="1832"/>
      <c r="FC15" s="1832"/>
      <c r="FD15" s="1832"/>
      <c r="FE15" s="1832"/>
      <c r="FF15" s="1832"/>
      <c r="FG15" s="1832"/>
      <c r="FH15" s="1832"/>
      <c r="FI15" s="1832"/>
      <c r="FJ15" s="1832"/>
      <c r="FK15" s="1832"/>
      <c r="FL15" s="1832"/>
      <c r="FM15" s="1832"/>
      <c r="FN15" s="1832"/>
      <c r="FO15" s="1832"/>
      <c r="FP15" s="1832"/>
      <c r="FQ15" s="1832"/>
      <c r="FR15" s="1832"/>
      <c r="FS15" s="1832"/>
      <c r="FX15" s="1746"/>
    </row>
    <row r="16" s="1814" customFormat="true" ht="15" hidden="false" customHeight="true" outlineLevel="0" collapsed="false">
      <c r="A16" s="1856"/>
      <c r="B16" s="1857" t="s">
        <v>986</v>
      </c>
      <c r="C16" s="679" t="s">
        <v>987</v>
      </c>
      <c r="D16" s="1858"/>
      <c r="E16" s="1155"/>
      <c r="F16" s="1155"/>
      <c r="G16" s="1155"/>
      <c r="H16" s="1835"/>
      <c r="I16" s="245"/>
      <c r="J16" s="1858"/>
      <c r="K16" s="1155"/>
      <c r="L16" s="1155"/>
      <c r="M16" s="1155"/>
      <c r="N16" s="1835"/>
      <c r="O16" s="422"/>
      <c r="P16" s="1858"/>
      <c r="Q16" s="1155"/>
      <c r="R16" s="1155"/>
      <c r="S16" s="1155"/>
      <c r="T16" s="1835"/>
      <c r="U16" s="245"/>
      <c r="V16" s="1858"/>
      <c r="W16" s="1155"/>
      <c r="X16" s="1155"/>
      <c r="Y16" s="1155"/>
      <c r="Z16" s="1155"/>
      <c r="AA16" s="1155"/>
      <c r="AB16" s="1835"/>
      <c r="AC16" s="245"/>
      <c r="AD16" s="1858"/>
      <c r="AE16" s="1155"/>
      <c r="AF16" s="1155"/>
      <c r="AG16" s="1155"/>
      <c r="AH16" s="1155"/>
      <c r="AI16" s="1155"/>
      <c r="AJ16" s="1835"/>
      <c r="AK16" s="245"/>
      <c r="AL16" s="1858"/>
      <c r="AM16" s="1155"/>
      <c r="AN16" s="1155"/>
      <c r="AO16" s="1155"/>
      <c r="AP16" s="1155"/>
      <c r="AQ16" s="1155"/>
      <c r="AR16" s="1155"/>
      <c r="AS16" s="1835"/>
      <c r="AT16" s="245"/>
      <c r="AU16" s="1858"/>
      <c r="AV16" s="1155"/>
      <c r="AW16" s="1155"/>
      <c r="AX16" s="1155"/>
      <c r="AY16" s="1155"/>
      <c r="AZ16" s="1155"/>
      <c r="BA16" s="1835"/>
      <c r="BB16" s="422"/>
      <c r="BC16" s="1858"/>
      <c r="BD16" s="1155"/>
      <c r="BE16" s="1155"/>
      <c r="BF16" s="1155"/>
      <c r="BG16" s="1155"/>
      <c r="BH16" s="1155"/>
      <c r="BI16" s="1835"/>
      <c r="BJ16" s="423"/>
      <c r="BK16" s="1858"/>
      <c r="BL16" s="1155"/>
      <c r="BM16" s="1155"/>
      <c r="BN16" s="1155"/>
      <c r="BO16" s="1155"/>
      <c r="BP16" s="1155"/>
      <c r="BQ16" s="1155"/>
      <c r="BR16" s="1835"/>
      <c r="BS16" s="422"/>
      <c r="BT16" s="1858"/>
      <c r="BU16" s="1155"/>
      <c r="BV16" s="1155"/>
      <c r="BW16" s="1155"/>
      <c r="BX16" s="1155"/>
      <c r="BY16" s="1155"/>
      <c r="BZ16" s="1835"/>
      <c r="CA16" s="422"/>
      <c r="CB16" s="1858"/>
      <c r="CC16" s="1155"/>
      <c r="CD16" s="1155"/>
      <c r="CE16" s="1155"/>
      <c r="CF16" s="1155"/>
      <c r="CG16" s="1155"/>
      <c r="CH16" s="1835"/>
      <c r="CI16" s="422"/>
      <c r="CJ16" s="1858"/>
      <c r="CK16" s="1155"/>
      <c r="CL16" s="1155"/>
      <c r="CM16" s="1155"/>
      <c r="CN16" s="1155"/>
      <c r="CO16" s="1859"/>
      <c r="CP16" s="1835"/>
      <c r="CQ16" s="422"/>
      <c r="CR16" s="1859"/>
      <c r="CS16" s="1859"/>
      <c r="CT16" s="1859"/>
      <c r="CU16" s="1859" t="n">
        <f aca="false">CR16-CS16</f>
        <v>0</v>
      </c>
      <c r="CV16" s="1859" t="n">
        <f aca="false">CR16-CT16</f>
        <v>0</v>
      </c>
      <c r="CW16" s="1859"/>
      <c r="CX16" s="731" t="str">
        <f aca="false">IFERROR(CR16/CW16-1, "-")</f>
        <v>-</v>
      </c>
      <c r="CY16" s="425"/>
      <c r="CZ16" s="1860"/>
      <c r="DA16" s="1155"/>
      <c r="DB16" s="1155"/>
      <c r="DC16" s="1155"/>
      <c r="DD16" s="1859"/>
      <c r="DE16" s="245" t="e">
        <f aca="false">CZ16/DD16-1</f>
        <v>#DIV/0!</v>
      </c>
      <c r="DF16" s="245" t="e">
        <f aca="false">DA16/DD16-1</f>
        <v>#DIV/0!</v>
      </c>
      <c r="DG16" s="245" t="e">
        <f aca="false">DB16/DD16-1</f>
        <v>#DIV/0!</v>
      </c>
      <c r="DH16" s="805" t="e">
        <f aca="false">DC16/DD16-1</f>
        <v>#DIV/0!</v>
      </c>
      <c r="DI16" s="1813"/>
      <c r="DJ16" s="1861"/>
      <c r="DK16" s="1849"/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  <c r="FX16" s="1746"/>
    </row>
    <row r="17" s="1814" customFormat="true" ht="15" hidden="false" customHeight="true" outlineLevel="0" collapsed="false">
      <c r="A17" s="1856"/>
      <c r="B17" s="1857" t="s">
        <v>988</v>
      </c>
      <c r="C17" s="679" t="s">
        <v>989</v>
      </c>
      <c r="D17" s="1858"/>
      <c r="E17" s="1155"/>
      <c r="F17" s="1155"/>
      <c r="G17" s="1155"/>
      <c r="H17" s="1835"/>
      <c r="I17" s="245"/>
      <c r="J17" s="1858"/>
      <c r="K17" s="1155"/>
      <c r="L17" s="1155"/>
      <c r="M17" s="1155"/>
      <c r="N17" s="1835"/>
      <c r="O17" s="422"/>
      <c r="P17" s="1858"/>
      <c r="Q17" s="1155"/>
      <c r="R17" s="1155"/>
      <c r="S17" s="1155"/>
      <c r="T17" s="1835"/>
      <c r="U17" s="245"/>
      <c r="V17" s="1858"/>
      <c r="W17" s="1155"/>
      <c r="X17" s="1155"/>
      <c r="Y17" s="1155"/>
      <c r="Z17" s="1155"/>
      <c r="AA17" s="1155"/>
      <c r="AB17" s="1835"/>
      <c r="AC17" s="245"/>
      <c r="AD17" s="1858"/>
      <c r="AE17" s="1155"/>
      <c r="AF17" s="1155"/>
      <c r="AG17" s="1155"/>
      <c r="AH17" s="1155"/>
      <c r="AI17" s="1155"/>
      <c r="AJ17" s="1835"/>
      <c r="AK17" s="245"/>
      <c r="AL17" s="1858"/>
      <c r="AM17" s="1155"/>
      <c r="AN17" s="1155"/>
      <c r="AO17" s="1155"/>
      <c r="AP17" s="1155"/>
      <c r="AQ17" s="1155"/>
      <c r="AR17" s="1155"/>
      <c r="AS17" s="1835"/>
      <c r="AT17" s="245"/>
      <c r="AU17" s="1858"/>
      <c r="AV17" s="1155"/>
      <c r="AW17" s="1155"/>
      <c r="AX17" s="1155"/>
      <c r="AY17" s="1155"/>
      <c r="AZ17" s="1155"/>
      <c r="BA17" s="1835"/>
      <c r="BB17" s="422"/>
      <c r="BC17" s="1858"/>
      <c r="BD17" s="1155"/>
      <c r="BE17" s="1155"/>
      <c r="BF17" s="1155"/>
      <c r="BG17" s="1155"/>
      <c r="BH17" s="1155"/>
      <c r="BI17" s="1835"/>
      <c r="BJ17" s="423"/>
      <c r="BK17" s="1858"/>
      <c r="BL17" s="1155"/>
      <c r="BM17" s="1155"/>
      <c r="BN17" s="1155"/>
      <c r="BO17" s="1155"/>
      <c r="BP17" s="1155"/>
      <c r="BQ17" s="1155"/>
      <c r="BR17" s="1835"/>
      <c r="BS17" s="422"/>
      <c r="BT17" s="1858"/>
      <c r="BU17" s="1155"/>
      <c r="BV17" s="1155"/>
      <c r="BW17" s="1155"/>
      <c r="BX17" s="1155"/>
      <c r="BY17" s="1155"/>
      <c r="BZ17" s="1835"/>
      <c r="CA17" s="422"/>
      <c r="CB17" s="1858"/>
      <c r="CC17" s="1155"/>
      <c r="CD17" s="1155"/>
      <c r="CE17" s="1155"/>
      <c r="CF17" s="1155"/>
      <c r="CG17" s="1155"/>
      <c r="CH17" s="1835"/>
      <c r="CI17" s="422"/>
      <c r="CJ17" s="1858"/>
      <c r="CK17" s="1155"/>
      <c r="CL17" s="1155"/>
      <c r="CM17" s="1155"/>
      <c r="CN17" s="1155"/>
      <c r="CO17" s="1859"/>
      <c r="CP17" s="1835"/>
      <c r="CQ17" s="422"/>
      <c r="CR17" s="1859"/>
      <c r="CS17" s="1859"/>
      <c r="CT17" s="1859"/>
      <c r="CU17" s="1859" t="n">
        <f aca="false">CR17-CS17</f>
        <v>0</v>
      </c>
      <c r="CV17" s="1859" t="n">
        <f aca="false">CR17-CT17</f>
        <v>0</v>
      </c>
      <c r="CW17" s="1859"/>
      <c r="CX17" s="731" t="str">
        <f aca="false">IFERROR(CR17/CW17-1, "-")</f>
        <v>-</v>
      </c>
      <c r="CY17" s="425"/>
      <c r="CZ17" s="1860"/>
      <c r="DA17" s="1155"/>
      <c r="DB17" s="1155"/>
      <c r="DC17" s="1155"/>
      <c r="DD17" s="1859"/>
      <c r="DE17" s="245" t="e">
        <f aca="false">CZ17/DD17-1</f>
        <v>#DIV/0!</v>
      </c>
      <c r="DF17" s="245" t="e">
        <f aca="false">DA17/DD17-1</f>
        <v>#DIV/0!</v>
      </c>
      <c r="DG17" s="245" t="e">
        <f aca="false">DB17/DD17-1</f>
        <v>#DIV/0!</v>
      </c>
      <c r="DH17" s="805" t="e">
        <f aca="false">DC17/DD17-1</f>
        <v>#DIV/0!</v>
      </c>
      <c r="DI17" s="1813"/>
      <c r="DJ17" s="1861"/>
      <c r="DK17" s="1849"/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s="1867" customFormat="true" ht="15" hidden="false" customHeight="true" outlineLevel="0" collapsed="false">
      <c r="A18" s="1862"/>
      <c r="B18" s="1863" t="s">
        <v>990</v>
      </c>
      <c r="C18" s="679" t="s">
        <v>991</v>
      </c>
      <c r="D18" s="1864"/>
      <c r="E18" s="245"/>
      <c r="F18" s="245"/>
      <c r="G18" s="245"/>
      <c r="H18" s="1835"/>
      <c r="I18" s="245"/>
      <c r="J18" s="1864"/>
      <c r="K18" s="245"/>
      <c r="L18" s="245"/>
      <c r="M18" s="245"/>
      <c r="N18" s="1835"/>
      <c r="O18" s="422"/>
      <c r="P18" s="1864"/>
      <c r="Q18" s="245"/>
      <c r="R18" s="245"/>
      <c r="S18" s="245"/>
      <c r="T18" s="1835"/>
      <c r="U18" s="245"/>
      <c r="V18" s="1864"/>
      <c r="W18" s="245"/>
      <c r="X18" s="245"/>
      <c r="Y18" s="245"/>
      <c r="Z18" s="245"/>
      <c r="AA18" s="245"/>
      <c r="AB18" s="1835"/>
      <c r="AC18" s="245"/>
      <c r="AD18" s="1864"/>
      <c r="AE18" s="245"/>
      <c r="AF18" s="245"/>
      <c r="AG18" s="245"/>
      <c r="AH18" s="245"/>
      <c r="AI18" s="245"/>
      <c r="AJ18" s="1835"/>
      <c r="AK18" s="245"/>
      <c r="AL18" s="1864"/>
      <c r="AM18" s="245"/>
      <c r="AN18" s="245"/>
      <c r="AO18" s="245"/>
      <c r="AP18" s="245"/>
      <c r="AQ18" s="245"/>
      <c r="AR18" s="245"/>
      <c r="AS18" s="1835"/>
      <c r="AT18" s="245"/>
      <c r="AU18" s="1864"/>
      <c r="AV18" s="245"/>
      <c r="AW18" s="245"/>
      <c r="AX18" s="245"/>
      <c r="AY18" s="245"/>
      <c r="AZ18" s="245"/>
      <c r="BA18" s="1835"/>
      <c r="BB18" s="422"/>
      <c r="BC18" s="1864"/>
      <c r="BD18" s="245"/>
      <c r="BE18" s="245"/>
      <c r="BF18" s="245"/>
      <c r="BG18" s="245"/>
      <c r="BH18" s="245"/>
      <c r="BI18" s="1835"/>
      <c r="BJ18" s="422"/>
      <c r="BK18" s="1864"/>
      <c r="BL18" s="245"/>
      <c r="BM18" s="245"/>
      <c r="BN18" s="245"/>
      <c r="BO18" s="245"/>
      <c r="BP18" s="245"/>
      <c r="BQ18" s="245"/>
      <c r="BR18" s="1835"/>
      <c r="BS18" s="422"/>
      <c r="BT18" s="1864"/>
      <c r="BU18" s="245"/>
      <c r="BV18" s="245"/>
      <c r="BW18" s="245"/>
      <c r="BX18" s="245"/>
      <c r="BY18" s="245"/>
      <c r="BZ18" s="1835"/>
      <c r="CA18" s="422"/>
      <c r="CB18" s="1864"/>
      <c r="CC18" s="245"/>
      <c r="CD18" s="245"/>
      <c r="CE18" s="245"/>
      <c r="CF18" s="245"/>
      <c r="CG18" s="245"/>
      <c r="CH18" s="1835"/>
      <c r="CI18" s="422"/>
      <c r="CJ18" s="1864"/>
      <c r="CK18" s="245"/>
      <c r="CL18" s="245"/>
      <c r="CM18" s="245"/>
      <c r="CN18" s="245"/>
      <c r="CO18" s="245"/>
      <c r="CP18" s="1835"/>
      <c r="CQ18" s="422"/>
      <c r="CR18" s="245"/>
      <c r="CS18" s="245"/>
      <c r="CT18" s="245"/>
      <c r="CU18" s="245" t="n">
        <f aca="false">CR18-CS18</f>
        <v>0</v>
      </c>
      <c r="CV18" s="245" t="n">
        <f aca="false">CR18-CT18</f>
        <v>0</v>
      </c>
      <c r="CW18" s="245"/>
      <c r="CX18" s="731" t="str">
        <f aca="false">IFERROR(CR18/CW18-1, "-")</f>
        <v>-</v>
      </c>
      <c r="CY18" s="1865"/>
      <c r="CZ18" s="1865"/>
      <c r="DA18" s="245"/>
      <c r="DB18" s="245"/>
      <c r="DC18" s="245"/>
      <c r="DD18" s="245"/>
      <c r="DE18" s="245" t="e">
        <f aca="false">CZ18/DD18-1</f>
        <v>#DIV/0!</v>
      </c>
      <c r="DF18" s="245" t="e">
        <f aca="false">DA18/DD18-1</f>
        <v>#DIV/0!</v>
      </c>
      <c r="DG18" s="245" t="e">
        <f aca="false">DB18/DD18-1</f>
        <v>#DIV/0!</v>
      </c>
      <c r="DH18" s="805" t="e">
        <f aca="false">DC18/DD18-1</f>
        <v>#DIV/0!</v>
      </c>
      <c r="DI18" s="1866"/>
      <c r="DJ18" s="1861"/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s="1814" customFormat="true" ht="15" hidden="false" customHeight="true" outlineLevel="0" collapsed="false">
      <c r="A19" s="1856"/>
      <c r="B19" s="1857" t="s">
        <v>992</v>
      </c>
      <c r="C19" s="679" t="s">
        <v>993</v>
      </c>
      <c r="D19" s="1858"/>
      <c r="E19" s="1155"/>
      <c r="F19" s="1155"/>
      <c r="G19" s="1155"/>
      <c r="H19" s="1835"/>
      <c r="I19" s="245"/>
      <c r="J19" s="1858"/>
      <c r="K19" s="1155"/>
      <c r="L19" s="1155"/>
      <c r="M19" s="1155"/>
      <c r="N19" s="1835"/>
      <c r="O19" s="422"/>
      <c r="P19" s="1858"/>
      <c r="Q19" s="1155"/>
      <c r="R19" s="1155"/>
      <c r="S19" s="1155"/>
      <c r="T19" s="1835"/>
      <c r="U19" s="245"/>
      <c r="V19" s="1858"/>
      <c r="W19" s="1155"/>
      <c r="X19" s="1155"/>
      <c r="Y19" s="1155"/>
      <c r="Z19" s="1155"/>
      <c r="AA19" s="1155"/>
      <c r="AB19" s="1835"/>
      <c r="AC19" s="245"/>
      <c r="AD19" s="1858"/>
      <c r="AE19" s="1155"/>
      <c r="AF19" s="1155"/>
      <c r="AG19" s="1155"/>
      <c r="AH19" s="1155"/>
      <c r="AI19" s="1155"/>
      <c r="AJ19" s="1835"/>
      <c r="AK19" s="245"/>
      <c r="AL19" s="1858"/>
      <c r="AM19" s="1155"/>
      <c r="AN19" s="1155"/>
      <c r="AO19" s="1155"/>
      <c r="AP19" s="1155"/>
      <c r="AQ19" s="1155"/>
      <c r="AR19" s="1155"/>
      <c r="AS19" s="1835"/>
      <c r="AT19" s="245"/>
      <c r="AU19" s="1858"/>
      <c r="AV19" s="1155"/>
      <c r="AW19" s="1155"/>
      <c r="AX19" s="1155"/>
      <c r="AY19" s="1155"/>
      <c r="AZ19" s="1155"/>
      <c r="BA19" s="1835"/>
      <c r="BB19" s="422"/>
      <c r="BC19" s="1858"/>
      <c r="BD19" s="1155"/>
      <c r="BE19" s="1155"/>
      <c r="BF19" s="1155"/>
      <c r="BG19" s="1155"/>
      <c r="BH19" s="1155"/>
      <c r="BI19" s="1835"/>
      <c r="BJ19" s="423"/>
      <c r="BK19" s="1858"/>
      <c r="BL19" s="1155"/>
      <c r="BM19" s="1155"/>
      <c r="BN19" s="1155"/>
      <c r="BO19" s="1155"/>
      <c r="BP19" s="1155"/>
      <c r="BQ19" s="1155"/>
      <c r="BR19" s="1835"/>
      <c r="BS19" s="422"/>
      <c r="BT19" s="1858"/>
      <c r="BU19" s="1155"/>
      <c r="BV19" s="1155"/>
      <c r="BW19" s="1155"/>
      <c r="BX19" s="1155"/>
      <c r="BY19" s="1155"/>
      <c r="BZ19" s="1835"/>
      <c r="CA19" s="422"/>
      <c r="CB19" s="1858"/>
      <c r="CC19" s="1155"/>
      <c r="CD19" s="1155"/>
      <c r="CE19" s="1155"/>
      <c r="CF19" s="1155"/>
      <c r="CG19" s="1155"/>
      <c r="CH19" s="1835"/>
      <c r="CI19" s="422"/>
      <c r="CJ19" s="1858"/>
      <c r="CK19" s="1155"/>
      <c r="CL19" s="1155"/>
      <c r="CM19" s="1155"/>
      <c r="CN19" s="1155"/>
      <c r="CO19" s="1859"/>
      <c r="CP19" s="1835"/>
      <c r="CQ19" s="422"/>
      <c r="CR19" s="1859"/>
      <c r="CS19" s="1859"/>
      <c r="CT19" s="1859"/>
      <c r="CU19" s="1859" t="n">
        <f aca="false">CR19-CS19</f>
        <v>0</v>
      </c>
      <c r="CV19" s="1859" t="n">
        <f aca="false">CR19-CT19</f>
        <v>0</v>
      </c>
      <c r="CW19" s="1859"/>
      <c r="CX19" s="731" t="str">
        <f aca="false">IFERROR(CR19/CW19-1, "-")</f>
        <v>-</v>
      </c>
      <c r="CY19" s="425"/>
      <c r="CZ19" s="1860"/>
      <c r="DA19" s="1155"/>
      <c r="DB19" s="1155"/>
      <c r="DC19" s="1155"/>
      <c r="DD19" s="1859"/>
      <c r="DE19" s="245" t="e">
        <f aca="false">CZ19/DD19-1</f>
        <v>#DIV/0!</v>
      </c>
      <c r="DF19" s="245" t="e">
        <f aca="false">DA19/DD19-1</f>
        <v>#DIV/0!</v>
      </c>
      <c r="DG19" s="245" t="e">
        <f aca="false">DB19/DD19-1</f>
        <v>#DIV/0!</v>
      </c>
      <c r="DH19" s="805" t="e">
        <f aca="false">DC19/DD19-1</f>
        <v>#DIV/0!</v>
      </c>
      <c r="DI19" s="1813"/>
      <c r="DJ19" s="1861"/>
      <c r="DK19" s="1849"/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s="1814" customFormat="true" ht="15" hidden="false" customHeight="true" outlineLevel="0" collapsed="false">
      <c r="A20" s="1856"/>
      <c r="B20" s="1857" t="s">
        <v>994</v>
      </c>
      <c r="C20" s="679" t="s">
        <v>995</v>
      </c>
      <c r="D20" s="1858"/>
      <c r="E20" s="1155"/>
      <c r="F20" s="1155"/>
      <c r="G20" s="1155"/>
      <c r="H20" s="1835"/>
      <c r="I20" s="245"/>
      <c r="J20" s="1858"/>
      <c r="K20" s="1155"/>
      <c r="L20" s="1155"/>
      <c r="M20" s="1155"/>
      <c r="N20" s="1835"/>
      <c r="O20" s="422"/>
      <c r="P20" s="1858"/>
      <c r="Q20" s="1155"/>
      <c r="R20" s="1155"/>
      <c r="S20" s="1155"/>
      <c r="T20" s="1835"/>
      <c r="U20" s="245"/>
      <c r="V20" s="1858"/>
      <c r="W20" s="1155"/>
      <c r="X20" s="1155"/>
      <c r="Y20" s="1155"/>
      <c r="Z20" s="1155"/>
      <c r="AA20" s="1155"/>
      <c r="AB20" s="1835"/>
      <c r="AC20" s="245"/>
      <c r="AD20" s="1858"/>
      <c r="AE20" s="1155"/>
      <c r="AF20" s="1155"/>
      <c r="AG20" s="1155"/>
      <c r="AH20" s="1155"/>
      <c r="AI20" s="1155"/>
      <c r="AJ20" s="1835"/>
      <c r="AK20" s="245"/>
      <c r="AL20" s="1858"/>
      <c r="AM20" s="1155"/>
      <c r="AN20" s="1155"/>
      <c r="AO20" s="1155"/>
      <c r="AP20" s="1155"/>
      <c r="AQ20" s="1155"/>
      <c r="AR20" s="1155"/>
      <c r="AS20" s="1835"/>
      <c r="AT20" s="245"/>
      <c r="AU20" s="1858"/>
      <c r="AV20" s="1155"/>
      <c r="AW20" s="1155"/>
      <c r="AX20" s="1155"/>
      <c r="AY20" s="1155"/>
      <c r="AZ20" s="1155"/>
      <c r="BA20" s="1835"/>
      <c r="BB20" s="422"/>
      <c r="BC20" s="1858"/>
      <c r="BD20" s="1155"/>
      <c r="BE20" s="1155"/>
      <c r="BF20" s="1155"/>
      <c r="BG20" s="1155"/>
      <c r="BH20" s="1155"/>
      <c r="BI20" s="1835"/>
      <c r="BJ20" s="423"/>
      <c r="BK20" s="1858"/>
      <c r="BL20" s="1155"/>
      <c r="BM20" s="1155"/>
      <c r="BN20" s="1155"/>
      <c r="BO20" s="1155"/>
      <c r="BP20" s="1155"/>
      <c r="BQ20" s="1155"/>
      <c r="BR20" s="1835"/>
      <c r="BS20" s="422"/>
      <c r="BT20" s="1858"/>
      <c r="BU20" s="1155"/>
      <c r="BV20" s="1155"/>
      <c r="BW20" s="1155"/>
      <c r="BX20" s="1155"/>
      <c r="BY20" s="1155"/>
      <c r="BZ20" s="1835"/>
      <c r="CA20" s="422"/>
      <c r="CB20" s="1858"/>
      <c r="CC20" s="1155"/>
      <c r="CD20" s="1155"/>
      <c r="CE20" s="1155"/>
      <c r="CF20" s="1155"/>
      <c r="CG20" s="1155"/>
      <c r="CH20" s="1835"/>
      <c r="CI20" s="422"/>
      <c r="CJ20" s="1858"/>
      <c r="CK20" s="1155"/>
      <c r="CL20" s="1155"/>
      <c r="CM20" s="1155"/>
      <c r="CN20" s="1155"/>
      <c r="CO20" s="1859"/>
      <c r="CP20" s="1835"/>
      <c r="CQ20" s="422"/>
      <c r="CR20" s="1859"/>
      <c r="CS20" s="1859"/>
      <c r="CT20" s="1859"/>
      <c r="CU20" s="1859" t="n">
        <f aca="false">CR20-CS20</f>
        <v>0</v>
      </c>
      <c r="CV20" s="1859" t="n">
        <f aca="false">CR20-CT20</f>
        <v>0</v>
      </c>
      <c r="CW20" s="1859"/>
      <c r="CX20" s="731" t="str">
        <f aca="false">IFERROR(CR20/CW20-1, "-")</f>
        <v>-</v>
      </c>
      <c r="CY20" s="425"/>
      <c r="CZ20" s="1860"/>
      <c r="DA20" s="1155"/>
      <c r="DB20" s="1155"/>
      <c r="DC20" s="1155"/>
      <c r="DD20" s="1859"/>
      <c r="DE20" s="245" t="e">
        <f aca="false">CZ20/DD20-1</f>
        <v>#DIV/0!</v>
      </c>
      <c r="DF20" s="245" t="e">
        <f aca="false">DA20/DD20-1</f>
        <v>#DIV/0!</v>
      </c>
      <c r="DG20" s="245" t="e">
        <f aca="false">DB20/DD20-1</f>
        <v>#DIV/0!</v>
      </c>
      <c r="DH20" s="805" t="e">
        <f aca="false">DC20/DD20-1</f>
        <v>#DIV/0!</v>
      </c>
      <c r="DI20" s="1813"/>
      <c r="DJ20" s="1861"/>
      <c r="DK20" s="1849"/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s="1814" customFormat="true" ht="15" hidden="false" customHeight="true" outlineLevel="0" collapsed="false">
      <c r="A21" s="1856"/>
      <c r="B21" s="1857" t="s">
        <v>996</v>
      </c>
      <c r="C21" s="679" t="s">
        <v>997</v>
      </c>
      <c r="D21" s="1858"/>
      <c r="E21" s="1155"/>
      <c r="F21" s="1155"/>
      <c r="G21" s="1155"/>
      <c r="H21" s="1835"/>
      <c r="I21" s="245"/>
      <c r="J21" s="1858"/>
      <c r="K21" s="1155"/>
      <c r="L21" s="1155"/>
      <c r="M21" s="1155"/>
      <c r="N21" s="1835"/>
      <c r="O21" s="422"/>
      <c r="P21" s="1858"/>
      <c r="Q21" s="1155"/>
      <c r="R21" s="1155"/>
      <c r="S21" s="1155"/>
      <c r="T21" s="1835"/>
      <c r="U21" s="245"/>
      <c r="V21" s="1858"/>
      <c r="W21" s="1155"/>
      <c r="X21" s="1155"/>
      <c r="Y21" s="1155"/>
      <c r="Z21" s="1155"/>
      <c r="AA21" s="1155"/>
      <c r="AB21" s="1835"/>
      <c r="AC21" s="245"/>
      <c r="AD21" s="1858"/>
      <c r="AE21" s="1155"/>
      <c r="AF21" s="1155"/>
      <c r="AG21" s="1155"/>
      <c r="AH21" s="1155"/>
      <c r="AI21" s="1155"/>
      <c r="AJ21" s="1835"/>
      <c r="AK21" s="245"/>
      <c r="AL21" s="1858"/>
      <c r="AM21" s="1155"/>
      <c r="AN21" s="1155"/>
      <c r="AO21" s="1155"/>
      <c r="AP21" s="1155"/>
      <c r="AQ21" s="1155"/>
      <c r="AR21" s="1155"/>
      <c r="AS21" s="1835"/>
      <c r="AT21" s="245"/>
      <c r="AU21" s="1858"/>
      <c r="AV21" s="1155"/>
      <c r="AW21" s="1155"/>
      <c r="AX21" s="1155"/>
      <c r="AY21" s="1155"/>
      <c r="AZ21" s="1155"/>
      <c r="BA21" s="1835"/>
      <c r="BB21" s="422"/>
      <c r="BC21" s="1858"/>
      <c r="BD21" s="1155"/>
      <c r="BE21" s="1155"/>
      <c r="BF21" s="1155"/>
      <c r="BG21" s="1155"/>
      <c r="BH21" s="1155"/>
      <c r="BI21" s="1835"/>
      <c r="BJ21" s="423"/>
      <c r="BK21" s="1858"/>
      <c r="BL21" s="1155"/>
      <c r="BM21" s="1155"/>
      <c r="BN21" s="1155"/>
      <c r="BO21" s="1155"/>
      <c r="BP21" s="1155"/>
      <c r="BQ21" s="1155"/>
      <c r="BR21" s="1835"/>
      <c r="BS21" s="422"/>
      <c r="BT21" s="1858"/>
      <c r="BU21" s="1155"/>
      <c r="BV21" s="1155"/>
      <c r="BW21" s="1155"/>
      <c r="BX21" s="1155"/>
      <c r="BY21" s="1155"/>
      <c r="BZ21" s="1835"/>
      <c r="CA21" s="422"/>
      <c r="CB21" s="1858"/>
      <c r="CC21" s="1155"/>
      <c r="CD21" s="1155"/>
      <c r="CE21" s="1155"/>
      <c r="CF21" s="1155"/>
      <c r="CG21" s="1155"/>
      <c r="CH21" s="1835"/>
      <c r="CI21" s="422"/>
      <c r="CJ21" s="1858"/>
      <c r="CK21" s="1155"/>
      <c r="CL21" s="1155"/>
      <c r="CM21" s="1155"/>
      <c r="CN21" s="1155"/>
      <c r="CO21" s="1859"/>
      <c r="CP21" s="1835"/>
      <c r="CQ21" s="422"/>
      <c r="CR21" s="1859"/>
      <c r="CS21" s="1859"/>
      <c r="CT21" s="1859"/>
      <c r="CU21" s="1859" t="n">
        <f aca="false">CR21-CS21</f>
        <v>0</v>
      </c>
      <c r="CV21" s="1859" t="n">
        <f aca="false">CR21-CT21</f>
        <v>0</v>
      </c>
      <c r="CW21" s="1859"/>
      <c r="CX21" s="731" t="str">
        <f aca="false">IFERROR(CR21/CW21-1, "-")</f>
        <v>-</v>
      </c>
      <c r="CY21" s="425"/>
      <c r="CZ21" s="1860"/>
      <c r="DA21" s="1155"/>
      <c r="DB21" s="1155"/>
      <c r="DC21" s="1155"/>
      <c r="DD21" s="1859"/>
      <c r="DE21" s="245" t="e">
        <f aca="false">CZ21/DD21-1</f>
        <v>#DIV/0!</v>
      </c>
      <c r="DF21" s="245" t="e">
        <f aca="false">DA21/DD21-1</f>
        <v>#DIV/0!</v>
      </c>
      <c r="DG21" s="245" t="e">
        <f aca="false">DB21/DD21-1</f>
        <v>#DIV/0!</v>
      </c>
      <c r="DH21" s="805" t="e">
        <f aca="false">DC21/DD21-1</f>
        <v>#DIV/0!</v>
      </c>
      <c r="DI21" s="1813"/>
      <c r="DJ21" s="1861"/>
      <c r="DK21" s="1849"/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  <c r="FT21" s="1868"/>
    </row>
    <row r="22" s="1867" customFormat="true" ht="15" hidden="false" customHeight="true" outlineLevel="0" collapsed="false">
      <c r="A22" s="1862"/>
      <c r="B22" s="1863" t="s">
        <v>998</v>
      </c>
      <c r="C22" s="679" t="s">
        <v>999</v>
      </c>
      <c r="D22" s="1864"/>
      <c r="E22" s="245"/>
      <c r="F22" s="245"/>
      <c r="G22" s="245"/>
      <c r="H22" s="1835"/>
      <c r="I22" s="245"/>
      <c r="J22" s="1864"/>
      <c r="K22" s="245"/>
      <c r="L22" s="245"/>
      <c r="M22" s="245"/>
      <c r="N22" s="1835"/>
      <c r="O22" s="422"/>
      <c r="P22" s="1864"/>
      <c r="Q22" s="245"/>
      <c r="R22" s="245"/>
      <c r="S22" s="245"/>
      <c r="T22" s="1835"/>
      <c r="U22" s="245"/>
      <c r="V22" s="1864"/>
      <c r="W22" s="245"/>
      <c r="X22" s="245"/>
      <c r="Y22" s="245"/>
      <c r="Z22" s="245"/>
      <c r="AA22" s="245"/>
      <c r="AB22" s="1835"/>
      <c r="AC22" s="245"/>
      <c r="AD22" s="1864"/>
      <c r="AE22" s="245"/>
      <c r="AF22" s="245"/>
      <c r="AG22" s="245"/>
      <c r="AH22" s="245"/>
      <c r="AI22" s="245"/>
      <c r="AJ22" s="1835"/>
      <c r="AK22" s="245"/>
      <c r="AL22" s="1864"/>
      <c r="AM22" s="245"/>
      <c r="AN22" s="245"/>
      <c r="AO22" s="245"/>
      <c r="AP22" s="245"/>
      <c r="AQ22" s="245"/>
      <c r="AR22" s="245"/>
      <c r="AS22" s="1835"/>
      <c r="AT22" s="245"/>
      <c r="AU22" s="1864"/>
      <c r="AV22" s="245"/>
      <c r="AW22" s="245"/>
      <c r="AX22" s="245"/>
      <c r="AY22" s="245"/>
      <c r="AZ22" s="245"/>
      <c r="BA22" s="1835"/>
      <c r="BB22" s="422"/>
      <c r="BC22" s="1864"/>
      <c r="BD22" s="245"/>
      <c r="BE22" s="245"/>
      <c r="BF22" s="245"/>
      <c r="BG22" s="245"/>
      <c r="BH22" s="245"/>
      <c r="BI22" s="1835"/>
      <c r="BJ22" s="423"/>
      <c r="BK22" s="1864"/>
      <c r="BL22" s="245"/>
      <c r="BM22" s="245"/>
      <c r="BN22" s="245"/>
      <c r="BO22" s="245"/>
      <c r="BP22" s="245"/>
      <c r="BQ22" s="245"/>
      <c r="BR22" s="1835"/>
      <c r="BS22" s="422"/>
      <c r="BT22" s="1864"/>
      <c r="BU22" s="245"/>
      <c r="BV22" s="245"/>
      <c r="BW22" s="245"/>
      <c r="BX22" s="245"/>
      <c r="BY22" s="245"/>
      <c r="BZ22" s="1835"/>
      <c r="CA22" s="422"/>
      <c r="CB22" s="1864"/>
      <c r="CC22" s="245"/>
      <c r="CD22" s="245"/>
      <c r="CE22" s="245"/>
      <c r="CF22" s="245"/>
      <c r="CG22" s="245"/>
      <c r="CH22" s="1835"/>
      <c r="CI22" s="422"/>
      <c r="CJ22" s="1864"/>
      <c r="CK22" s="245"/>
      <c r="CL22" s="245"/>
      <c r="CM22" s="245"/>
      <c r="CN22" s="245"/>
      <c r="CO22" s="983"/>
      <c r="CP22" s="1835"/>
      <c r="CQ22" s="422"/>
      <c r="CR22" s="983"/>
      <c r="CS22" s="983"/>
      <c r="CT22" s="983"/>
      <c r="CU22" s="983" t="n">
        <f aca="false">CR22-CS22</f>
        <v>0</v>
      </c>
      <c r="CV22" s="983" t="n">
        <f aca="false">CR22-CT22</f>
        <v>0</v>
      </c>
      <c r="CW22" s="983"/>
      <c r="CX22" s="731" t="str">
        <f aca="false">IFERROR(CR22/CW22-1, "-")</f>
        <v>-</v>
      </c>
      <c r="CY22" s="1865"/>
      <c r="CZ22" s="1869"/>
      <c r="DA22" s="245"/>
      <c r="DB22" s="245"/>
      <c r="DC22" s="245"/>
      <c r="DD22" s="983"/>
      <c r="DE22" s="245" t="e">
        <f aca="false">CZ22/DD22-1</f>
        <v>#DIV/0!</v>
      </c>
      <c r="DF22" s="245" t="e">
        <f aca="false">DA22/DD22-1</f>
        <v>#DIV/0!</v>
      </c>
      <c r="DG22" s="245" t="e">
        <f aca="false">DB22/DD22-1</f>
        <v>#DIV/0!</v>
      </c>
      <c r="DH22" s="805" t="e">
        <f aca="false">DC22/DD22-1</f>
        <v>#DIV/0!</v>
      </c>
      <c r="DI22" s="1866"/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s="1814" customFormat="true" ht="15" hidden="false" customHeight="true" outlineLevel="0" collapsed="false">
      <c r="A23" s="1870"/>
      <c r="B23" s="1871" t="s">
        <v>1000</v>
      </c>
      <c r="C23" s="679" t="s">
        <v>1001</v>
      </c>
      <c r="D23" s="1872"/>
      <c r="E23" s="1873"/>
      <c r="F23" s="1873"/>
      <c r="G23" s="1873"/>
      <c r="H23" s="1819"/>
      <c r="I23" s="731"/>
      <c r="J23" s="1872"/>
      <c r="K23" s="1873"/>
      <c r="L23" s="1873"/>
      <c r="M23" s="1873"/>
      <c r="N23" s="1819"/>
      <c r="O23" s="732"/>
      <c r="P23" s="1872"/>
      <c r="Q23" s="1873"/>
      <c r="R23" s="1873"/>
      <c r="S23" s="1873"/>
      <c r="T23" s="1819"/>
      <c r="U23" s="731"/>
      <c r="V23" s="1872"/>
      <c r="W23" s="1873"/>
      <c r="X23" s="1873"/>
      <c r="Y23" s="1873"/>
      <c r="Z23" s="1873"/>
      <c r="AA23" s="1873"/>
      <c r="AB23" s="1819"/>
      <c r="AC23" s="731"/>
      <c r="AD23" s="1872"/>
      <c r="AE23" s="1873"/>
      <c r="AF23" s="1873"/>
      <c r="AG23" s="1873"/>
      <c r="AH23" s="1873"/>
      <c r="AI23" s="1873"/>
      <c r="AJ23" s="1819"/>
      <c r="AK23" s="731"/>
      <c r="AL23" s="1872"/>
      <c r="AM23" s="1873"/>
      <c r="AN23" s="1873"/>
      <c r="AO23" s="1873"/>
      <c r="AP23" s="1873"/>
      <c r="AQ23" s="1873"/>
      <c r="AR23" s="1873"/>
      <c r="AS23" s="1819"/>
      <c r="AT23" s="731"/>
      <c r="AU23" s="1872"/>
      <c r="AV23" s="1873"/>
      <c r="AW23" s="1873"/>
      <c r="AX23" s="1873"/>
      <c r="AY23" s="1873"/>
      <c r="AZ23" s="1873"/>
      <c r="BA23" s="1819"/>
      <c r="BB23" s="732"/>
      <c r="BC23" s="1872"/>
      <c r="BD23" s="1873"/>
      <c r="BE23" s="1873"/>
      <c r="BF23" s="1873"/>
      <c r="BG23" s="1873"/>
      <c r="BH23" s="1873"/>
      <c r="BI23" s="1819"/>
      <c r="BJ23" s="733"/>
      <c r="BK23" s="1872"/>
      <c r="BL23" s="1873"/>
      <c r="BM23" s="1873"/>
      <c r="BN23" s="1873"/>
      <c r="BO23" s="1873"/>
      <c r="BP23" s="1873"/>
      <c r="BQ23" s="1873"/>
      <c r="BR23" s="1819"/>
      <c r="BS23" s="732"/>
      <c r="BT23" s="1872"/>
      <c r="BU23" s="1873"/>
      <c r="BV23" s="1873"/>
      <c r="BW23" s="1873"/>
      <c r="BX23" s="1873"/>
      <c r="BY23" s="1873"/>
      <c r="BZ23" s="1819"/>
      <c r="CA23" s="732"/>
      <c r="CB23" s="1872"/>
      <c r="CC23" s="1873"/>
      <c r="CD23" s="1873"/>
      <c r="CE23" s="1873"/>
      <c r="CF23" s="1873"/>
      <c r="CG23" s="1873"/>
      <c r="CH23" s="1819"/>
      <c r="CI23" s="732"/>
      <c r="CJ23" s="1872"/>
      <c r="CK23" s="1873"/>
      <c r="CL23" s="1873"/>
      <c r="CM23" s="1873"/>
      <c r="CN23" s="1873"/>
      <c r="CO23" s="1874"/>
      <c r="CP23" s="1819"/>
      <c r="CQ23" s="732"/>
      <c r="CR23" s="1874"/>
      <c r="CS23" s="1874"/>
      <c r="CT23" s="1874"/>
      <c r="CU23" s="1874" t="n">
        <f aca="false">CR23-CS23</f>
        <v>0</v>
      </c>
      <c r="CV23" s="1874" t="n">
        <f aca="false">CR23-CT23</f>
        <v>0</v>
      </c>
      <c r="CW23" s="1874"/>
      <c r="CX23" s="731" t="str">
        <f aca="false">IFERROR(CR23/CW23-1, "-")</f>
        <v>-</v>
      </c>
      <c r="CY23" s="410"/>
      <c r="CZ23" s="1875"/>
      <c r="DA23" s="1873"/>
      <c r="DB23" s="1873"/>
      <c r="DC23" s="1873"/>
      <c r="DD23" s="1874"/>
      <c r="DE23" s="731" t="e">
        <f aca="false">CZ23/DD23-1</f>
        <v>#DIV/0!</v>
      </c>
      <c r="DF23" s="731" t="e">
        <f aca="false">DA23/DD23-1</f>
        <v>#DIV/0!</v>
      </c>
      <c r="DG23" s="731" t="e">
        <f aca="false">DB23/DD23-1</f>
        <v>#DIV/0!</v>
      </c>
      <c r="DH23" s="735" t="e">
        <f aca="false">DC23/DD23-1</f>
        <v>#DIV/0!</v>
      </c>
      <c r="DI23" s="1831"/>
      <c r="DJ23" s="1848"/>
      <c r="DK23" s="1849"/>
      <c r="DL23" s="1832"/>
      <c r="DM23" s="1832"/>
      <c r="DN23" s="1832"/>
      <c r="DO23" s="1832"/>
      <c r="DP23" s="1832"/>
      <c r="DQ23" s="1832"/>
      <c r="DR23" s="1832"/>
      <c r="DS23" s="1832"/>
      <c r="DT23" s="1832"/>
      <c r="DU23" s="1832"/>
      <c r="DV23" s="1832"/>
      <c r="DW23" s="1832"/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  <c r="EA23" s="1832"/>
      <c r="EB23" s="1832"/>
      <c r="EC23" s="1832"/>
      <c r="ED23" s="1832"/>
      <c r="EE23" s="1832"/>
      <c r="EF23" s="1832"/>
      <c r="EG23" s="1832"/>
      <c r="EH23" s="1832"/>
      <c r="EI23" s="1832"/>
      <c r="EJ23" s="1832"/>
      <c r="EK23" s="1832"/>
      <c r="EL23" s="1832"/>
      <c r="EM23" s="1832"/>
      <c r="EN23" s="1832"/>
      <c r="EO23" s="1832"/>
      <c r="EP23" s="1832"/>
      <c r="EQ23" s="1832"/>
      <c r="ER23" s="1832"/>
      <c r="ES23" s="1832"/>
      <c r="ET23" s="1832"/>
      <c r="EU23" s="1832"/>
      <c r="EV23" s="1832"/>
      <c r="EW23" s="1832"/>
      <c r="EX23" s="1832"/>
      <c r="EY23" s="1832"/>
      <c r="EZ23" s="1832"/>
      <c r="FA23" s="1832"/>
      <c r="FB23" s="1832"/>
      <c r="FC23" s="1832"/>
      <c r="FD23" s="1832"/>
      <c r="FE23" s="1832"/>
      <c r="FF23" s="1832"/>
      <c r="FG23" s="1832"/>
      <c r="FH23" s="1832"/>
      <c r="FI23" s="1832"/>
      <c r="FJ23" s="1832"/>
      <c r="FK23" s="1832"/>
      <c r="FL23" s="1832"/>
      <c r="FM23" s="1832"/>
      <c r="FN23" s="1832"/>
      <c r="FO23" s="1832"/>
      <c r="FP23" s="1832"/>
      <c r="FQ23" s="1832"/>
      <c r="FR23" s="1832"/>
      <c r="FS23" s="1832"/>
    </row>
    <row r="24" s="1814" customFormat="true" ht="15" hidden="false" customHeight="true" outlineLevel="0" collapsed="false">
      <c r="A24" s="1856"/>
      <c r="B24" s="1857" t="s">
        <v>1002</v>
      </c>
      <c r="C24" s="679" t="s">
        <v>1003</v>
      </c>
      <c r="D24" s="1858"/>
      <c r="E24" s="1155"/>
      <c r="F24" s="1155"/>
      <c r="G24" s="1155"/>
      <c r="H24" s="1835"/>
      <c r="I24" s="245"/>
      <c r="J24" s="1858"/>
      <c r="K24" s="1155"/>
      <c r="L24" s="1155"/>
      <c r="M24" s="1155"/>
      <c r="N24" s="1835"/>
      <c r="O24" s="422"/>
      <c r="P24" s="1858"/>
      <c r="Q24" s="1155"/>
      <c r="R24" s="1155"/>
      <c r="S24" s="1155"/>
      <c r="T24" s="1835"/>
      <c r="U24" s="245"/>
      <c r="V24" s="1858"/>
      <c r="W24" s="1155"/>
      <c r="X24" s="1155"/>
      <c r="Y24" s="1155"/>
      <c r="Z24" s="1155"/>
      <c r="AA24" s="1155"/>
      <c r="AB24" s="1835"/>
      <c r="AC24" s="245"/>
      <c r="AD24" s="1858"/>
      <c r="AE24" s="1155"/>
      <c r="AF24" s="1155"/>
      <c r="AG24" s="1155"/>
      <c r="AH24" s="1155"/>
      <c r="AI24" s="1155"/>
      <c r="AJ24" s="1835"/>
      <c r="AK24" s="245"/>
      <c r="AL24" s="1858"/>
      <c r="AM24" s="1155"/>
      <c r="AN24" s="1155"/>
      <c r="AO24" s="1155"/>
      <c r="AP24" s="1155"/>
      <c r="AQ24" s="1155"/>
      <c r="AR24" s="1155"/>
      <c r="AS24" s="1835"/>
      <c r="AT24" s="245"/>
      <c r="AU24" s="1858"/>
      <c r="AV24" s="1155"/>
      <c r="AW24" s="1155"/>
      <c r="AX24" s="1155"/>
      <c r="AY24" s="1155"/>
      <c r="AZ24" s="1155"/>
      <c r="BA24" s="1835"/>
      <c r="BB24" s="422"/>
      <c r="BC24" s="1858"/>
      <c r="BD24" s="1155"/>
      <c r="BE24" s="1155"/>
      <c r="BF24" s="1155"/>
      <c r="BG24" s="1155"/>
      <c r="BH24" s="1155"/>
      <c r="BI24" s="1835"/>
      <c r="BJ24" s="423"/>
      <c r="BK24" s="1858"/>
      <c r="BL24" s="1155"/>
      <c r="BM24" s="1155"/>
      <c r="BN24" s="1155"/>
      <c r="BO24" s="1155"/>
      <c r="BP24" s="1155"/>
      <c r="BQ24" s="1155"/>
      <c r="BR24" s="1835"/>
      <c r="BS24" s="422"/>
      <c r="BT24" s="1858"/>
      <c r="BU24" s="1155"/>
      <c r="BV24" s="1155"/>
      <c r="BW24" s="1155"/>
      <c r="BX24" s="1155"/>
      <c r="BY24" s="1155"/>
      <c r="BZ24" s="1835"/>
      <c r="CA24" s="422"/>
      <c r="CB24" s="1858"/>
      <c r="CC24" s="1155"/>
      <c r="CD24" s="1155"/>
      <c r="CE24" s="1155"/>
      <c r="CF24" s="1155"/>
      <c r="CG24" s="1155"/>
      <c r="CH24" s="1835"/>
      <c r="CI24" s="422"/>
      <c r="CJ24" s="1858"/>
      <c r="CK24" s="1155"/>
      <c r="CL24" s="1155"/>
      <c r="CM24" s="1155"/>
      <c r="CN24" s="1155"/>
      <c r="CO24" s="1859"/>
      <c r="CP24" s="1835"/>
      <c r="CQ24" s="422"/>
      <c r="CR24" s="1859"/>
      <c r="CS24" s="1859"/>
      <c r="CT24" s="1859"/>
      <c r="CU24" s="1859" t="n">
        <f aca="false">CR24-CS24</f>
        <v>0</v>
      </c>
      <c r="CV24" s="1859" t="n">
        <f aca="false">CR24-CT24</f>
        <v>0</v>
      </c>
      <c r="CW24" s="1859"/>
      <c r="CX24" s="731" t="str">
        <f aca="false">IFERROR(CR24/CW24-1, "-")</f>
        <v>-</v>
      </c>
      <c r="CY24" s="425"/>
      <c r="CZ24" s="1860"/>
      <c r="DA24" s="1155"/>
      <c r="DB24" s="1155"/>
      <c r="DC24" s="1155"/>
      <c r="DD24" s="1859"/>
      <c r="DE24" s="245" t="e">
        <f aca="false">CZ24/DD24-1</f>
        <v>#DIV/0!</v>
      </c>
      <c r="DF24" s="245" t="e">
        <f aca="false">DA24/DD24-1</f>
        <v>#DIV/0!</v>
      </c>
      <c r="DG24" s="245" t="e">
        <f aca="false">DB24/DD24-1</f>
        <v>#DIV/0!</v>
      </c>
      <c r="DH24" s="805" t="e">
        <f aca="false">DC24/DD24-1</f>
        <v>#DIV/0!</v>
      </c>
      <c r="DI24" s="1813"/>
      <c r="DJ24" s="1861"/>
      <c r="DK24" s="1849"/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s="1814" customFormat="true" ht="15" hidden="false" customHeight="true" outlineLevel="0" collapsed="false">
      <c r="A25" s="1870"/>
      <c r="B25" s="1871" t="s">
        <v>1004</v>
      </c>
      <c r="C25" s="679" t="s">
        <v>1005</v>
      </c>
      <c r="D25" s="1872"/>
      <c r="E25" s="1873"/>
      <c r="F25" s="1873"/>
      <c r="G25" s="1873"/>
      <c r="H25" s="1819"/>
      <c r="I25" s="731"/>
      <c r="J25" s="1872"/>
      <c r="K25" s="1873"/>
      <c r="L25" s="1873"/>
      <c r="M25" s="1873"/>
      <c r="N25" s="1819"/>
      <c r="O25" s="732"/>
      <c r="P25" s="1872"/>
      <c r="Q25" s="1873"/>
      <c r="R25" s="1873"/>
      <c r="S25" s="1873"/>
      <c r="T25" s="1819"/>
      <c r="U25" s="731"/>
      <c r="V25" s="1872"/>
      <c r="W25" s="1873"/>
      <c r="X25" s="1873"/>
      <c r="Y25" s="1873"/>
      <c r="Z25" s="1873"/>
      <c r="AA25" s="1873"/>
      <c r="AB25" s="1819"/>
      <c r="AC25" s="731"/>
      <c r="AD25" s="1872"/>
      <c r="AE25" s="1873"/>
      <c r="AF25" s="1873"/>
      <c r="AG25" s="1873"/>
      <c r="AH25" s="1873"/>
      <c r="AI25" s="1873"/>
      <c r="AJ25" s="1819"/>
      <c r="AK25" s="731"/>
      <c r="AL25" s="1872"/>
      <c r="AM25" s="1873"/>
      <c r="AN25" s="1873"/>
      <c r="AO25" s="1873"/>
      <c r="AP25" s="1873"/>
      <c r="AQ25" s="1873"/>
      <c r="AR25" s="1873"/>
      <c r="AS25" s="1819"/>
      <c r="AT25" s="731"/>
      <c r="AU25" s="1872"/>
      <c r="AV25" s="1873"/>
      <c r="AW25" s="1873"/>
      <c r="AX25" s="1873"/>
      <c r="AY25" s="1873"/>
      <c r="AZ25" s="1873"/>
      <c r="BA25" s="1819"/>
      <c r="BB25" s="732"/>
      <c r="BC25" s="1872"/>
      <c r="BD25" s="1873"/>
      <c r="BE25" s="1873"/>
      <c r="BF25" s="1873"/>
      <c r="BG25" s="1873"/>
      <c r="BH25" s="1873"/>
      <c r="BI25" s="1819"/>
      <c r="BJ25" s="733"/>
      <c r="BK25" s="1872"/>
      <c r="BL25" s="1873"/>
      <c r="BM25" s="1873"/>
      <c r="BN25" s="1873"/>
      <c r="BO25" s="1873"/>
      <c r="BP25" s="1873"/>
      <c r="BQ25" s="1873"/>
      <c r="BR25" s="1819"/>
      <c r="BS25" s="732"/>
      <c r="BT25" s="1872"/>
      <c r="BU25" s="1873"/>
      <c r="BV25" s="1873"/>
      <c r="BW25" s="1873"/>
      <c r="BX25" s="1873"/>
      <c r="BY25" s="1873"/>
      <c r="BZ25" s="1819"/>
      <c r="CA25" s="732"/>
      <c r="CB25" s="1872"/>
      <c r="CC25" s="1873"/>
      <c r="CD25" s="1873"/>
      <c r="CE25" s="1873"/>
      <c r="CF25" s="1873"/>
      <c r="CG25" s="1873"/>
      <c r="CH25" s="1819"/>
      <c r="CI25" s="732"/>
      <c r="CJ25" s="1872"/>
      <c r="CK25" s="1873"/>
      <c r="CL25" s="1873"/>
      <c r="CM25" s="1873"/>
      <c r="CN25" s="1873"/>
      <c r="CO25" s="1874"/>
      <c r="CP25" s="1819"/>
      <c r="CQ25" s="732"/>
      <c r="CR25" s="1874"/>
      <c r="CS25" s="1874"/>
      <c r="CT25" s="1874"/>
      <c r="CU25" s="1874" t="n">
        <f aca="false">CR25-CS25</f>
        <v>0</v>
      </c>
      <c r="CV25" s="1874" t="n">
        <f aca="false">CR25-CT25</f>
        <v>0</v>
      </c>
      <c r="CW25" s="1874"/>
      <c r="CX25" s="731" t="str">
        <f aca="false">IFERROR(CR25/CW25-1, "-")</f>
        <v>-</v>
      </c>
      <c r="CY25" s="410"/>
      <c r="CZ25" s="1875"/>
      <c r="DA25" s="1873"/>
      <c r="DB25" s="1873"/>
      <c r="DC25" s="1873"/>
      <c r="DD25" s="1874"/>
      <c r="DE25" s="731" t="e">
        <f aca="false">CZ25/DD25-1</f>
        <v>#DIV/0!</v>
      </c>
      <c r="DF25" s="731" t="e">
        <f aca="false">DA25/DD25-1</f>
        <v>#DIV/0!</v>
      </c>
      <c r="DG25" s="731" t="e">
        <f aca="false">DB25/DD25-1</f>
        <v>#DIV/0!</v>
      </c>
      <c r="DH25" s="735" t="e">
        <f aca="false">DC25/DD25-1</f>
        <v>#DIV/0!</v>
      </c>
      <c r="DI25" s="1831"/>
      <c r="DJ25" s="1848"/>
      <c r="DK25" s="1849"/>
      <c r="DL25" s="1832"/>
      <c r="DM25" s="1832"/>
      <c r="DN25" s="1832"/>
      <c r="DO25" s="1832"/>
      <c r="DP25" s="1832"/>
      <c r="DQ25" s="1832"/>
      <c r="DR25" s="1832"/>
      <c r="DS25" s="1832"/>
      <c r="DT25" s="1832"/>
      <c r="DU25" s="1832"/>
      <c r="DV25" s="1832"/>
      <c r="DW25" s="1832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  <c r="EA25" s="1832"/>
      <c r="EB25" s="1832"/>
      <c r="EC25" s="1832"/>
      <c r="ED25" s="1832"/>
      <c r="EE25" s="1832"/>
      <c r="EF25" s="1832"/>
      <c r="EG25" s="1832"/>
      <c r="EH25" s="1832"/>
      <c r="EI25" s="1832"/>
      <c r="EJ25" s="1832"/>
      <c r="EK25" s="1832"/>
      <c r="EL25" s="1832"/>
      <c r="EM25" s="1832"/>
      <c r="EN25" s="1832"/>
      <c r="EO25" s="1832"/>
      <c r="EP25" s="1832"/>
      <c r="EQ25" s="1832"/>
      <c r="ER25" s="1832"/>
      <c r="ES25" s="1832"/>
      <c r="ET25" s="1832"/>
      <c r="EU25" s="1832"/>
      <c r="EV25" s="1832"/>
      <c r="EW25" s="1832"/>
      <c r="EX25" s="1832"/>
      <c r="EY25" s="1832"/>
      <c r="EZ25" s="1832"/>
      <c r="FA25" s="1832"/>
      <c r="FB25" s="1832"/>
      <c r="FC25" s="1832"/>
      <c r="FD25" s="1832"/>
      <c r="FE25" s="1832"/>
      <c r="FF25" s="1832"/>
      <c r="FG25" s="1832"/>
      <c r="FH25" s="1832"/>
      <c r="FI25" s="1832"/>
      <c r="FJ25" s="1832"/>
      <c r="FK25" s="1832"/>
      <c r="FL25" s="1832"/>
      <c r="FM25" s="1832"/>
      <c r="FN25" s="1832"/>
      <c r="FO25" s="1832"/>
      <c r="FP25" s="1832"/>
      <c r="FQ25" s="1832"/>
      <c r="FR25" s="1832"/>
      <c r="FS25" s="1832"/>
    </row>
    <row r="26" s="1814" customFormat="true" ht="15" hidden="false" customHeight="true" outlineLevel="0" collapsed="false">
      <c r="A26" s="1856"/>
      <c r="B26" s="1876" t="s">
        <v>1006</v>
      </c>
      <c r="C26" s="679" t="s">
        <v>1007</v>
      </c>
      <c r="D26" s="1858"/>
      <c r="E26" s="1155"/>
      <c r="F26" s="1155"/>
      <c r="G26" s="1155"/>
      <c r="H26" s="1835"/>
      <c r="I26" s="245"/>
      <c r="J26" s="1858"/>
      <c r="K26" s="1155"/>
      <c r="L26" s="1155"/>
      <c r="M26" s="1155"/>
      <c r="N26" s="1835"/>
      <c r="O26" s="422"/>
      <c r="P26" s="1858"/>
      <c r="Q26" s="1155"/>
      <c r="R26" s="1155"/>
      <c r="S26" s="1155"/>
      <c r="T26" s="1835"/>
      <c r="U26" s="245"/>
      <c r="V26" s="1858"/>
      <c r="W26" s="1155"/>
      <c r="X26" s="1155"/>
      <c r="Y26" s="1155"/>
      <c r="Z26" s="1155"/>
      <c r="AA26" s="1155"/>
      <c r="AB26" s="1835"/>
      <c r="AC26" s="245"/>
      <c r="AD26" s="1858"/>
      <c r="AE26" s="1155"/>
      <c r="AF26" s="1155"/>
      <c r="AG26" s="1155"/>
      <c r="AH26" s="1155"/>
      <c r="AI26" s="1155"/>
      <c r="AJ26" s="1835"/>
      <c r="AK26" s="245"/>
      <c r="AL26" s="1858"/>
      <c r="AM26" s="1155"/>
      <c r="AN26" s="1155"/>
      <c r="AO26" s="1155"/>
      <c r="AP26" s="1155"/>
      <c r="AQ26" s="1155"/>
      <c r="AR26" s="1155"/>
      <c r="AS26" s="1835"/>
      <c r="AT26" s="245"/>
      <c r="AU26" s="1858"/>
      <c r="AV26" s="1155"/>
      <c r="AW26" s="1155"/>
      <c r="AX26" s="1155"/>
      <c r="AY26" s="1155"/>
      <c r="AZ26" s="1155"/>
      <c r="BA26" s="1835"/>
      <c r="BB26" s="422"/>
      <c r="BC26" s="1858"/>
      <c r="BD26" s="1155"/>
      <c r="BE26" s="1155"/>
      <c r="BF26" s="1155"/>
      <c r="BG26" s="1155"/>
      <c r="BH26" s="1155"/>
      <c r="BI26" s="1835"/>
      <c r="BJ26" s="423"/>
      <c r="BK26" s="1858"/>
      <c r="BL26" s="1155"/>
      <c r="BM26" s="1155"/>
      <c r="BN26" s="1155"/>
      <c r="BO26" s="1155"/>
      <c r="BP26" s="1155"/>
      <c r="BQ26" s="1155"/>
      <c r="BR26" s="1835"/>
      <c r="BS26" s="422"/>
      <c r="BT26" s="1858"/>
      <c r="BU26" s="1155"/>
      <c r="BV26" s="1155"/>
      <c r="BW26" s="1155"/>
      <c r="BX26" s="1155"/>
      <c r="BY26" s="1155"/>
      <c r="BZ26" s="1835"/>
      <c r="CA26" s="422"/>
      <c r="CB26" s="1858"/>
      <c r="CC26" s="1155"/>
      <c r="CD26" s="1155"/>
      <c r="CE26" s="1155"/>
      <c r="CF26" s="1155"/>
      <c r="CG26" s="1155"/>
      <c r="CH26" s="1835"/>
      <c r="CI26" s="422"/>
      <c r="CJ26" s="1858"/>
      <c r="CK26" s="1155"/>
      <c r="CL26" s="1155"/>
      <c r="CM26" s="1155"/>
      <c r="CN26" s="1155"/>
      <c r="CO26" s="1859"/>
      <c r="CP26" s="1835"/>
      <c r="CQ26" s="422"/>
      <c r="CR26" s="1859"/>
      <c r="CS26" s="1859"/>
      <c r="CT26" s="1859"/>
      <c r="CU26" s="1859" t="n">
        <f aca="false">CR26-CS26</f>
        <v>0</v>
      </c>
      <c r="CV26" s="1859" t="n">
        <f aca="false">CR26-CT26</f>
        <v>0</v>
      </c>
      <c r="CW26" s="1859"/>
      <c r="CX26" s="731" t="str">
        <f aca="false">IFERROR(CR26/CW26-1, "-")</f>
        <v>-</v>
      </c>
      <c r="CY26" s="425"/>
      <c r="CZ26" s="1860"/>
      <c r="DA26" s="1155"/>
      <c r="DB26" s="1155"/>
      <c r="DC26" s="1155"/>
      <c r="DD26" s="1859"/>
      <c r="DE26" s="245" t="e">
        <f aca="false">CZ26/DD26-1</f>
        <v>#DIV/0!</v>
      </c>
      <c r="DF26" s="245" t="e">
        <f aca="false">DA26/DD26-1</f>
        <v>#DIV/0!</v>
      </c>
      <c r="DG26" s="245" t="e">
        <f aca="false">DB26/DD26-1</f>
        <v>#DIV/0!</v>
      </c>
      <c r="DH26" s="805" t="e">
        <f aca="false">DC26/DD26-1</f>
        <v>#DIV/0!</v>
      </c>
      <c r="DI26" s="1813"/>
      <c r="DJ26" s="1861"/>
      <c r="DK26" s="1849"/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s="1895" customFormat="true" ht="24.75" hidden="true" customHeight="true" outlineLevel="0" collapsed="false">
      <c r="A27" s="1877"/>
      <c r="B27" s="1878"/>
      <c r="C27" s="1879" t="s">
        <v>1008</v>
      </c>
      <c r="D27" s="1880"/>
      <c r="E27" s="1881"/>
      <c r="F27" s="1881"/>
      <c r="G27" s="1882"/>
      <c r="H27" s="1883"/>
      <c r="I27" s="1884"/>
      <c r="J27" s="1880"/>
      <c r="K27" s="1881"/>
      <c r="L27" s="1842"/>
      <c r="M27" s="1842"/>
      <c r="N27" s="1883"/>
      <c r="O27" s="1885"/>
      <c r="P27" s="1880"/>
      <c r="Q27" s="1886"/>
      <c r="R27" s="1842"/>
      <c r="S27" s="1842"/>
      <c r="T27" s="1883"/>
      <c r="U27" s="1884"/>
      <c r="V27" s="1880"/>
      <c r="W27" s="1886"/>
      <c r="X27" s="1886"/>
      <c r="Y27" s="1842"/>
      <c r="Z27" s="1842"/>
      <c r="AA27" s="1842"/>
      <c r="AB27" s="1883"/>
      <c r="AC27" s="1884"/>
      <c r="AD27" s="1880"/>
      <c r="AE27" s="1886"/>
      <c r="AF27" s="1886"/>
      <c r="AG27" s="1842"/>
      <c r="AH27" s="1842"/>
      <c r="AI27" s="1842"/>
      <c r="AJ27" s="1883"/>
      <c r="AK27" s="1884"/>
      <c r="AL27" s="1880"/>
      <c r="AM27" s="1886"/>
      <c r="AN27" s="1886"/>
      <c r="AO27" s="1886"/>
      <c r="AP27" s="1887"/>
      <c r="AQ27" s="1887"/>
      <c r="AR27" s="1842"/>
      <c r="AS27" s="1883"/>
      <c r="AT27" s="1884"/>
      <c r="AU27" s="1880"/>
      <c r="AV27" s="1886"/>
      <c r="AW27" s="1886"/>
      <c r="AX27" s="1887"/>
      <c r="AY27" s="1887"/>
      <c r="AZ27" s="1842"/>
      <c r="BA27" s="1883"/>
      <c r="BB27" s="1885"/>
      <c r="BC27" s="1880"/>
      <c r="BD27" s="1886"/>
      <c r="BE27" s="1886"/>
      <c r="BF27" s="1887"/>
      <c r="BG27" s="1887"/>
      <c r="BH27" s="1842"/>
      <c r="BI27" s="1883"/>
      <c r="BJ27" s="1888"/>
      <c r="BK27" s="1880"/>
      <c r="BL27" s="1886"/>
      <c r="BM27" s="1886"/>
      <c r="BN27" s="1886"/>
      <c r="BO27" s="1887"/>
      <c r="BP27" s="1887"/>
      <c r="BQ27" s="1842"/>
      <c r="BR27" s="1883"/>
      <c r="BS27" s="1885"/>
      <c r="BT27" s="1880"/>
      <c r="BU27" s="1886"/>
      <c r="BV27" s="1886"/>
      <c r="BW27" s="1887"/>
      <c r="BX27" s="1887"/>
      <c r="BY27" s="1842"/>
      <c r="BZ27" s="1883"/>
      <c r="CA27" s="1885"/>
      <c r="CB27" s="1880"/>
      <c r="CC27" s="1886"/>
      <c r="CD27" s="1886"/>
      <c r="CE27" s="1887"/>
      <c r="CF27" s="1887"/>
      <c r="CG27" s="1842"/>
      <c r="CH27" s="1883"/>
      <c r="CI27" s="1885"/>
      <c r="CJ27" s="1880"/>
      <c r="CK27" s="1886"/>
      <c r="CL27" s="1886"/>
      <c r="CM27" s="1887"/>
      <c r="CN27" s="1887"/>
      <c r="CO27" s="1842"/>
      <c r="CP27" s="1883"/>
      <c r="CQ27" s="1885"/>
      <c r="CR27" s="1842"/>
      <c r="CS27" s="1842"/>
      <c r="CT27" s="1842"/>
      <c r="CU27" s="1842"/>
      <c r="CV27" s="1842"/>
      <c r="CW27" s="1842"/>
      <c r="CX27" s="731" t="str">
        <f aca="false">IFERROR(CR27/CW27-1, "-")</f>
        <v>-</v>
      </c>
      <c r="CY27" s="1889"/>
      <c r="CZ27" s="1889"/>
      <c r="DA27" s="1881"/>
      <c r="DB27" s="1881"/>
      <c r="DC27" s="1881"/>
      <c r="DD27" s="1842"/>
      <c r="DE27" s="1884"/>
      <c r="DF27" s="1842"/>
      <c r="DG27" s="1842"/>
      <c r="DH27" s="1890"/>
      <c r="DI27" s="1891"/>
      <c r="DJ27" s="1892"/>
      <c r="DK27" s="1893"/>
      <c r="DL27" s="1894"/>
      <c r="DM27" s="1894"/>
      <c r="DN27" s="1894"/>
      <c r="DO27" s="1894"/>
      <c r="DP27" s="1894"/>
      <c r="DQ27" s="1894"/>
      <c r="DR27" s="1894"/>
      <c r="DS27" s="1894"/>
      <c r="DT27" s="1894"/>
      <c r="DU27" s="1894"/>
      <c r="DV27" s="1894"/>
      <c r="DW27" s="1894"/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  <c r="EA27" s="1894"/>
      <c r="EB27" s="1894"/>
      <c r="EC27" s="1894"/>
      <c r="ED27" s="1894"/>
      <c r="EE27" s="1894"/>
      <c r="EF27" s="1894"/>
      <c r="EG27" s="1894"/>
      <c r="EH27" s="1894"/>
      <c r="EI27" s="1894"/>
      <c r="EJ27" s="1894"/>
      <c r="EK27" s="1894"/>
      <c r="EL27" s="1894"/>
      <c r="EM27" s="1894"/>
      <c r="EN27" s="1894"/>
      <c r="EO27" s="1894"/>
      <c r="EP27" s="1894"/>
      <c r="EQ27" s="1894"/>
      <c r="ER27" s="1894"/>
      <c r="ES27" s="1894"/>
      <c r="ET27" s="1894"/>
      <c r="EU27" s="1894"/>
      <c r="EV27" s="1894"/>
      <c r="EW27" s="1894"/>
      <c r="EX27" s="1894"/>
      <c r="EY27" s="1894"/>
      <c r="EZ27" s="1894"/>
      <c r="FA27" s="1894"/>
      <c r="FB27" s="1894"/>
      <c r="FC27" s="1894"/>
      <c r="FD27" s="1894"/>
      <c r="FE27" s="1894"/>
      <c r="FF27" s="1894"/>
      <c r="FG27" s="1894"/>
      <c r="FH27" s="1894"/>
      <c r="FI27" s="1894"/>
      <c r="FJ27" s="1894"/>
      <c r="FK27" s="1894"/>
      <c r="FL27" s="1894"/>
      <c r="FM27" s="1894"/>
      <c r="FN27" s="1894"/>
      <c r="FO27" s="1894"/>
      <c r="FP27" s="1894"/>
      <c r="FQ27" s="1894"/>
      <c r="FR27" s="1894"/>
      <c r="FS27" s="1894"/>
    </row>
    <row r="28" s="1814" customFormat="true" ht="15" hidden="false" customHeight="true" outlineLevel="0" collapsed="false">
      <c r="A28" s="1896"/>
      <c r="B28" s="1897" t="s">
        <v>1009</v>
      </c>
      <c r="C28" s="1898" t="s">
        <v>1010</v>
      </c>
      <c r="D28" s="1899"/>
      <c r="E28" s="1900"/>
      <c r="F28" s="1900"/>
      <c r="G28" s="1901"/>
      <c r="H28" s="1902"/>
      <c r="I28" s="1903"/>
      <c r="J28" s="1899"/>
      <c r="K28" s="1900"/>
      <c r="L28" s="1900"/>
      <c r="M28" s="1900"/>
      <c r="N28" s="1900"/>
      <c r="O28" s="1900"/>
      <c r="P28" s="1900"/>
      <c r="Q28" s="1900"/>
      <c r="R28" s="1900"/>
      <c r="S28" s="1900"/>
      <c r="T28" s="1904"/>
      <c r="U28" s="1900"/>
      <c r="V28" s="1900"/>
      <c r="W28" s="1900"/>
      <c r="X28" s="1900"/>
      <c r="Y28" s="1900"/>
      <c r="Z28" s="1900"/>
      <c r="AA28" s="1900"/>
      <c r="AB28" s="1903"/>
      <c r="AC28" s="1900"/>
      <c r="AD28" s="1900"/>
      <c r="AE28" s="1900"/>
      <c r="AF28" s="1900"/>
      <c r="AG28" s="1900"/>
      <c r="AH28" s="1900"/>
      <c r="AI28" s="1900"/>
      <c r="AJ28" s="1903"/>
      <c r="AK28" s="1900"/>
      <c r="AL28" s="1900"/>
      <c r="AM28" s="1900"/>
      <c r="AN28" s="1900"/>
      <c r="AO28" s="1900"/>
      <c r="AP28" s="1900"/>
      <c r="AQ28" s="1900"/>
      <c r="AR28" s="1900"/>
      <c r="AS28" s="1903"/>
      <c r="AT28" s="1900"/>
      <c r="AU28" s="1900"/>
      <c r="AV28" s="1900"/>
      <c r="AW28" s="1900"/>
      <c r="AX28" s="1900"/>
      <c r="AY28" s="1900"/>
      <c r="AZ28" s="1900"/>
      <c r="BA28" s="1903"/>
      <c r="BB28" s="1900"/>
      <c r="BC28" s="1900"/>
      <c r="BD28" s="1900"/>
      <c r="BE28" s="1900"/>
      <c r="BF28" s="1900"/>
      <c r="BG28" s="1900"/>
      <c r="BH28" s="1900"/>
      <c r="BI28" s="1903"/>
      <c r="BJ28" s="1900"/>
      <c r="BK28" s="1900"/>
      <c r="BL28" s="1900"/>
      <c r="BM28" s="1900"/>
      <c r="BN28" s="1900"/>
      <c r="BO28" s="1900"/>
      <c r="BP28" s="1900"/>
      <c r="BQ28" s="1900"/>
      <c r="BR28" s="1903"/>
      <c r="BS28" s="1900"/>
      <c r="BT28" s="1900"/>
      <c r="BU28" s="1900"/>
      <c r="BV28" s="1900"/>
      <c r="BW28" s="1900"/>
      <c r="BX28" s="1900"/>
      <c r="BY28" s="1900"/>
      <c r="BZ28" s="1903"/>
      <c r="CA28" s="1900"/>
      <c r="CB28" s="1900"/>
      <c r="CC28" s="1900"/>
      <c r="CD28" s="1900"/>
      <c r="CE28" s="1900"/>
      <c r="CF28" s="1900"/>
      <c r="CG28" s="1900"/>
      <c r="CH28" s="1903"/>
      <c r="CI28" s="1900"/>
      <c r="CJ28" s="1900"/>
      <c r="CK28" s="1900"/>
      <c r="CL28" s="1900"/>
      <c r="CM28" s="1900"/>
      <c r="CN28" s="1900"/>
      <c r="CO28" s="1900"/>
      <c r="CP28" s="1903"/>
      <c r="CQ28" s="1900"/>
      <c r="CR28" s="1900"/>
      <c r="CS28" s="1900"/>
      <c r="CT28" s="1905"/>
      <c r="CU28" s="1900"/>
      <c r="CV28" s="1900"/>
      <c r="CW28" s="1900"/>
      <c r="CX28" s="1900"/>
      <c r="CY28" s="1900"/>
      <c r="CZ28" s="1906"/>
      <c r="DA28" s="1900"/>
      <c r="DB28" s="1900"/>
      <c r="DC28" s="1900"/>
      <c r="DD28" s="1905"/>
      <c r="DE28" s="884"/>
      <c r="DF28" s="884"/>
      <c r="DG28" s="884"/>
      <c r="DH28" s="1907"/>
      <c r="DI28" s="1813"/>
      <c r="DJ28" s="1848"/>
      <c r="DK28" s="1849"/>
      <c r="DL28" s="1832"/>
      <c r="DM28" s="1832"/>
      <c r="DN28" s="1832"/>
      <c r="DO28" s="1832"/>
      <c r="DP28" s="1832"/>
      <c r="DQ28" s="1832"/>
      <c r="DR28" s="1832"/>
      <c r="DS28" s="1832"/>
      <c r="DT28" s="1832"/>
      <c r="DU28" s="1832"/>
      <c r="DV28" s="1832"/>
      <c r="DW28" s="1832"/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  <c r="EA28" s="1832"/>
      <c r="EB28" s="1832"/>
      <c r="EC28" s="1832"/>
      <c r="ED28" s="1832"/>
      <c r="EE28" s="1832"/>
      <c r="EF28" s="1832"/>
      <c r="EG28" s="1832"/>
      <c r="EH28" s="1832"/>
      <c r="EI28" s="1832"/>
      <c r="EJ28" s="1832"/>
      <c r="EK28" s="1832"/>
      <c r="EL28" s="1832"/>
      <c r="EM28" s="1832"/>
      <c r="EN28" s="1832"/>
      <c r="EO28" s="1832"/>
      <c r="EP28" s="1832"/>
      <c r="EQ28" s="1832"/>
      <c r="ER28" s="1832"/>
      <c r="ES28" s="1832"/>
      <c r="ET28" s="1832"/>
      <c r="EU28" s="1832"/>
      <c r="EV28" s="1832"/>
      <c r="EW28" s="1832"/>
      <c r="EX28" s="1832"/>
      <c r="EY28" s="1832"/>
      <c r="EZ28" s="1832"/>
      <c r="FA28" s="1832"/>
      <c r="FB28" s="1832"/>
      <c r="FC28" s="1832"/>
      <c r="FD28" s="1832"/>
      <c r="FE28" s="1832"/>
      <c r="FF28" s="1832"/>
      <c r="FG28" s="1832"/>
      <c r="FH28" s="1832"/>
      <c r="FI28" s="1832"/>
      <c r="FJ28" s="1832"/>
      <c r="FK28" s="1832"/>
      <c r="FL28" s="1832"/>
      <c r="FM28" s="1832"/>
      <c r="FN28" s="1832"/>
      <c r="FO28" s="1832"/>
      <c r="FP28" s="1832"/>
      <c r="FQ28" s="1832"/>
      <c r="FR28" s="1832"/>
      <c r="FS28" s="1832"/>
      <c r="FT28" s="1832"/>
      <c r="FU28" s="1832"/>
      <c r="FV28" s="1832"/>
      <c r="FW28" s="1832"/>
      <c r="FX28" s="1832"/>
      <c r="FY28" s="1832"/>
    </row>
    <row r="29" s="1832" customFormat="true" ht="15" hidden="false" customHeight="true" outlineLevel="0" collapsed="false">
      <c r="A29" s="375"/>
      <c r="B29" s="1871" t="s">
        <v>1011</v>
      </c>
      <c r="C29" s="106" t="s">
        <v>1012</v>
      </c>
      <c r="D29" s="1908"/>
      <c r="E29" s="130"/>
      <c r="F29" s="130"/>
      <c r="G29" s="1818"/>
      <c r="H29" s="1819"/>
      <c r="I29" s="731"/>
      <c r="J29" s="1908"/>
      <c r="K29" s="130"/>
      <c r="L29" s="130"/>
      <c r="M29" s="1818"/>
      <c r="N29" s="1819"/>
      <c r="O29" s="1844"/>
      <c r="P29" s="1908"/>
      <c r="Q29" s="130"/>
      <c r="R29" s="130"/>
      <c r="S29" s="1818"/>
      <c r="T29" s="1819"/>
      <c r="U29" s="1852"/>
      <c r="V29" s="1908"/>
      <c r="W29" s="697"/>
      <c r="X29" s="697"/>
      <c r="Y29" s="697"/>
      <c r="Z29" s="697"/>
      <c r="AA29" s="1909"/>
      <c r="AB29" s="1819"/>
      <c r="AC29" s="1852"/>
      <c r="AD29" s="1908"/>
      <c r="AE29" s="697"/>
      <c r="AF29" s="697"/>
      <c r="AG29" s="697"/>
      <c r="AH29" s="697"/>
      <c r="AI29" s="1909"/>
      <c r="AJ29" s="1819"/>
      <c r="AK29" s="1852"/>
      <c r="AL29" s="1908"/>
      <c r="AM29" s="697"/>
      <c r="AN29" s="697"/>
      <c r="AO29" s="697"/>
      <c r="AP29" s="697"/>
      <c r="AQ29" s="697"/>
      <c r="AR29" s="1909"/>
      <c r="AS29" s="1819"/>
      <c r="AT29" s="1852"/>
      <c r="AU29" s="1908"/>
      <c r="AV29" s="697"/>
      <c r="AW29" s="697"/>
      <c r="AX29" s="697"/>
      <c r="AY29" s="697"/>
      <c r="AZ29" s="1909"/>
      <c r="BA29" s="1819"/>
      <c r="BB29" s="1853"/>
      <c r="BC29" s="1908"/>
      <c r="BD29" s="697"/>
      <c r="BE29" s="697"/>
      <c r="BF29" s="697"/>
      <c r="BG29" s="697"/>
      <c r="BH29" s="1909"/>
      <c r="BI29" s="1819"/>
      <c r="BJ29" s="1854"/>
      <c r="BK29" s="1908"/>
      <c r="BL29" s="697"/>
      <c r="BM29" s="697"/>
      <c r="BN29" s="697"/>
      <c r="BO29" s="697"/>
      <c r="BP29" s="697"/>
      <c r="BQ29" s="1909"/>
      <c r="BR29" s="1819"/>
      <c r="BS29" s="1853"/>
      <c r="BT29" s="1908"/>
      <c r="BU29" s="697"/>
      <c r="BV29" s="697"/>
      <c r="BW29" s="697"/>
      <c r="BX29" s="697"/>
      <c r="BY29" s="1909"/>
      <c r="BZ29" s="1819"/>
      <c r="CA29" s="1853"/>
      <c r="CB29" s="1908"/>
      <c r="CC29" s="697"/>
      <c r="CD29" s="697"/>
      <c r="CE29" s="697"/>
      <c r="CF29" s="697"/>
      <c r="CG29" s="1909"/>
      <c r="CH29" s="1819"/>
      <c r="CI29" s="732"/>
      <c r="CJ29" s="1908"/>
      <c r="CK29" s="697"/>
      <c r="CL29" s="697"/>
      <c r="CM29" s="697"/>
      <c r="CN29" s="697"/>
      <c r="CO29" s="1909"/>
      <c r="CP29" s="1819"/>
      <c r="CQ29" s="1853"/>
      <c r="CR29" s="697"/>
      <c r="CS29" s="697"/>
      <c r="CT29" s="1909"/>
      <c r="CU29" s="1909" t="n">
        <f aca="false">CR29-CS29</f>
        <v>0</v>
      </c>
      <c r="CV29" s="1909" t="n">
        <f aca="false">CR29-CT29</f>
        <v>0</v>
      </c>
      <c r="CW29" s="1909"/>
      <c r="CX29" s="731" t="str">
        <f aca="false">IFERROR(CR29/CW29-1, "-")</f>
        <v>-</v>
      </c>
      <c r="CY29" s="410"/>
      <c r="CZ29" s="1910"/>
      <c r="DA29" s="130"/>
      <c r="DB29" s="130"/>
      <c r="DC29" s="130"/>
      <c r="DD29" s="1909"/>
      <c r="DE29" s="1852" t="e">
        <f aca="false">CZ29/DD29-1</f>
        <v>#DIV/0!</v>
      </c>
      <c r="DF29" s="1852" t="e">
        <f aca="false">DA29/DD29-1</f>
        <v>#DIV/0!</v>
      </c>
      <c r="DG29" s="1852" t="e">
        <f aca="false">DB29/DD29-1</f>
        <v>#DIV/0!</v>
      </c>
      <c r="DH29" s="1855" t="e">
        <f aca="false">DC29/DD29-1</f>
        <v>#DIV/0!</v>
      </c>
      <c r="DI29" s="1831"/>
      <c r="DJ29" s="1848"/>
      <c r="DK29" s="1849"/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s="1814" customFormat="true" ht="15" hidden="false" customHeight="true" outlineLevel="0" collapsed="false">
      <c r="A30" s="463"/>
      <c r="B30" s="1857" t="s">
        <v>986</v>
      </c>
      <c r="C30" s="679" t="s">
        <v>1013</v>
      </c>
      <c r="D30" s="426"/>
      <c r="E30" s="144"/>
      <c r="F30" s="144"/>
      <c r="G30" s="986"/>
      <c r="H30" s="1836"/>
      <c r="I30" s="245"/>
      <c r="J30" s="426"/>
      <c r="K30" s="144"/>
      <c r="L30" s="144"/>
      <c r="M30" s="986"/>
      <c r="N30" s="1836"/>
      <c r="O30" s="1865"/>
      <c r="P30" s="426"/>
      <c r="Q30" s="144"/>
      <c r="R30" s="144"/>
      <c r="S30" s="986"/>
      <c r="T30" s="1836"/>
      <c r="U30" s="245"/>
      <c r="V30" s="426"/>
      <c r="W30" s="144"/>
      <c r="X30" s="144"/>
      <c r="Y30" s="144"/>
      <c r="Z30" s="144"/>
      <c r="AA30" s="986"/>
      <c r="AB30" s="1835"/>
      <c r="AC30" s="245"/>
      <c r="AD30" s="426"/>
      <c r="AE30" s="144"/>
      <c r="AF30" s="144"/>
      <c r="AG30" s="144"/>
      <c r="AH30" s="144"/>
      <c r="AI30" s="986"/>
      <c r="AJ30" s="1835"/>
      <c r="AK30" s="245"/>
      <c r="AL30" s="426"/>
      <c r="AM30" s="144"/>
      <c r="AN30" s="144"/>
      <c r="AO30" s="144"/>
      <c r="AP30" s="144"/>
      <c r="AQ30" s="144"/>
      <c r="AR30" s="986"/>
      <c r="AS30" s="1835"/>
      <c r="AT30" s="245"/>
      <c r="AU30" s="426"/>
      <c r="AV30" s="144"/>
      <c r="AW30" s="144"/>
      <c r="AX30" s="144"/>
      <c r="AY30" s="144"/>
      <c r="AZ30" s="986"/>
      <c r="BA30" s="1836"/>
      <c r="BB30" s="422"/>
      <c r="BC30" s="426"/>
      <c r="BD30" s="144"/>
      <c r="BE30" s="144"/>
      <c r="BF30" s="144"/>
      <c r="BG30" s="144"/>
      <c r="BH30" s="986"/>
      <c r="BI30" s="1836"/>
      <c r="BJ30" s="423"/>
      <c r="BK30" s="426"/>
      <c r="BL30" s="144"/>
      <c r="BM30" s="144"/>
      <c r="BN30" s="144"/>
      <c r="BO30" s="144"/>
      <c r="BP30" s="144"/>
      <c r="BQ30" s="986"/>
      <c r="BR30" s="1836"/>
      <c r="BS30" s="422"/>
      <c r="BT30" s="426"/>
      <c r="BU30" s="144"/>
      <c r="BV30" s="144"/>
      <c r="BW30" s="144"/>
      <c r="BX30" s="144"/>
      <c r="BY30" s="986"/>
      <c r="BZ30" s="1836"/>
      <c r="CA30" s="422"/>
      <c r="CB30" s="426"/>
      <c r="CC30" s="144"/>
      <c r="CD30" s="144"/>
      <c r="CE30" s="144"/>
      <c r="CF30" s="144"/>
      <c r="CG30" s="986"/>
      <c r="CH30" s="1836"/>
      <c r="CI30" s="422"/>
      <c r="CJ30" s="426"/>
      <c r="CK30" s="144"/>
      <c r="CL30" s="144"/>
      <c r="CM30" s="144"/>
      <c r="CN30" s="144"/>
      <c r="CO30" s="986"/>
      <c r="CP30" s="1836"/>
      <c r="CQ30" s="422"/>
      <c r="CR30" s="986"/>
      <c r="CS30" s="144"/>
      <c r="CT30" s="986"/>
      <c r="CU30" s="986" t="n">
        <f aca="false">CR30-CS30</f>
        <v>0</v>
      </c>
      <c r="CV30" s="986" t="n">
        <f aca="false">CR30-CT30</f>
        <v>0</v>
      </c>
      <c r="CW30" s="986"/>
      <c r="CX30" s="731" t="str">
        <f aca="false">IFERROR(CR30/CW30-1, "-")</f>
        <v>-</v>
      </c>
      <c r="CY30" s="425"/>
      <c r="CZ30" s="1911"/>
      <c r="DA30" s="144"/>
      <c r="DB30" s="144"/>
      <c r="DC30" s="144"/>
      <c r="DD30" s="986"/>
      <c r="DE30" s="245" t="e">
        <f aca="false">CZ30/DD30-1</f>
        <v>#DIV/0!</v>
      </c>
      <c r="DF30" s="245" t="e">
        <f aca="false">DA30/DD30-1</f>
        <v>#DIV/0!</v>
      </c>
      <c r="DG30" s="245" t="e">
        <f aca="false">DB30/DD30-1</f>
        <v>#DIV/0!</v>
      </c>
      <c r="DH30" s="805" t="e">
        <f aca="false">DC30/DD30-1</f>
        <v>#DIV/0!</v>
      </c>
      <c r="DI30" s="1813"/>
      <c r="DJ30" s="1848"/>
      <c r="DK30" s="1849"/>
      <c r="DL30" s="1832"/>
      <c r="DM30" s="1832"/>
      <c r="DN30" s="1832"/>
      <c r="DO30" s="1832"/>
      <c r="DP30" s="1832"/>
      <c r="DQ30" s="1832"/>
      <c r="DR30" s="1832"/>
      <c r="DS30" s="1832"/>
      <c r="DT30" s="1832"/>
      <c r="DU30" s="1832"/>
      <c r="DV30" s="1832"/>
      <c r="DW30" s="1832"/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  <c r="EA30" s="1832"/>
      <c r="EB30" s="1832"/>
      <c r="EC30" s="1832"/>
      <c r="ED30" s="1832"/>
      <c r="EE30" s="1832"/>
      <c r="EF30" s="1832"/>
      <c r="EG30" s="1832"/>
      <c r="EH30" s="1832"/>
      <c r="EI30" s="1832"/>
      <c r="EJ30" s="1832"/>
      <c r="EK30" s="1832"/>
      <c r="EL30" s="1832"/>
      <c r="EM30" s="1832"/>
      <c r="EN30" s="1832"/>
      <c r="EO30" s="1832"/>
      <c r="EP30" s="1832"/>
      <c r="EQ30" s="1832"/>
      <c r="ER30" s="1832"/>
      <c r="ES30" s="1832"/>
      <c r="ET30" s="1832"/>
      <c r="EU30" s="1832"/>
      <c r="EV30" s="1832"/>
      <c r="EW30" s="1832"/>
      <c r="EX30" s="1832"/>
      <c r="EY30" s="1832"/>
      <c r="EZ30" s="1832"/>
      <c r="FA30" s="1832"/>
      <c r="FB30" s="1832"/>
      <c r="FC30" s="1832"/>
      <c r="FD30" s="1832"/>
      <c r="FE30" s="1832"/>
      <c r="FF30" s="1832"/>
      <c r="FG30" s="1832"/>
      <c r="FH30" s="1832"/>
      <c r="FI30" s="1832"/>
      <c r="FJ30" s="1832"/>
      <c r="FK30" s="1832"/>
      <c r="FL30" s="1832"/>
      <c r="FM30" s="1832"/>
      <c r="FN30" s="1832"/>
      <c r="FO30" s="1832"/>
      <c r="FP30" s="1832"/>
      <c r="FQ30" s="1832"/>
      <c r="FR30" s="1832"/>
      <c r="FS30" s="1832"/>
      <c r="FT30" s="1832"/>
      <c r="FU30" s="1832"/>
      <c r="FV30" s="1832"/>
      <c r="FW30" s="1832"/>
      <c r="FX30" s="1832"/>
      <c r="FY30" s="1832"/>
    </row>
    <row r="31" s="1918" customFormat="true" ht="12.75" hidden="true" customHeight="false" outlineLevel="0" collapsed="false">
      <c r="A31" s="1912"/>
      <c r="B31" s="1913"/>
      <c r="C31" s="679" t="s">
        <v>1014</v>
      </c>
      <c r="D31" s="1864"/>
      <c r="E31" s="1914"/>
      <c r="F31" s="1915"/>
      <c r="G31" s="1915"/>
      <c r="H31" s="1835"/>
      <c r="I31" s="245"/>
      <c r="J31" s="1864"/>
      <c r="K31" s="1914"/>
      <c r="L31" s="1915"/>
      <c r="M31" s="1915"/>
      <c r="N31" s="1835"/>
      <c r="O31" s="1865"/>
      <c r="P31" s="1864"/>
      <c r="Q31" s="1914"/>
      <c r="R31" s="1915"/>
      <c r="S31" s="1915"/>
      <c r="T31" s="1835"/>
      <c r="U31" s="245"/>
      <c r="V31" s="1864"/>
      <c r="W31" s="1914"/>
      <c r="X31" s="1914"/>
      <c r="Y31" s="1915"/>
      <c r="Z31" s="1915"/>
      <c r="AA31" s="1915"/>
      <c r="AB31" s="1835"/>
      <c r="AC31" s="245"/>
      <c r="AD31" s="1864"/>
      <c r="AE31" s="1914"/>
      <c r="AF31" s="1914"/>
      <c r="AG31" s="1915"/>
      <c r="AH31" s="1915"/>
      <c r="AI31" s="1915"/>
      <c r="AJ31" s="1835"/>
      <c r="AK31" s="245"/>
      <c r="AL31" s="1864"/>
      <c r="AM31" s="1914"/>
      <c r="AN31" s="1914"/>
      <c r="AO31" s="1914"/>
      <c r="AP31" s="1915"/>
      <c r="AQ31" s="1915"/>
      <c r="AR31" s="1915"/>
      <c r="AS31" s="1835"/>
      <c r="AT31" s="245"/>
      <c r="AU31" s="1864"/>
      <c r="AV31" s="1914"/>
      <c r="AW31" s="1914"/>
      <c r="AX31" s="1915"/>
      <c r="AY31" s="1915"/>
      <c r="AZ31" s="1915"/>
      <c r="BA31" s="1835"/>
      <c r="BB31" s="422"/>
      <c r="BC31" s="1864"/>
      <c r="BD31" s="1914"/>
      <c r="BE31" s="1914"/>
      <c r="BF31" s="1915"/>
      <c r="BG31" s="1915"/>
      <c r="BH31" s="1915"/>
      <c r="BI31" s="1835"/>
      <c r="BJ31" s="423"/>
      <c r="BK31" s="1864"/>
      <c r="BL31" s="1914"/>
      <c r="BM31" s="1914"/>
      <c r="BN31" s="1914"/>
      <c r="BO31" s="1915"/>
      <c r="BP31" s="1915"/>
      <c r="BQ31" s="1915"/>
      <c r="BR31" s="1835"/>
      <c r="BS31" s="422"/>
      <c r="BT31" s="1864"/>
      <c r="BU31" s="1914"/>
      <c r="BV31" s="1914"/>
      <c r="BW31" s="1915"/>
      <c r="BX31" s="1915"/>
      <c r="BY31" s="1915"/>
      <c r="BZ31" s="1835"/>
      <c r="CA31" s="422"/>
      <c r="CB31" s="1864"/>
      <c r="CC31" s="1914"/>
      <c r="CD31" s="1914"/>
      <c r="CE31" s="1915"/>
      <c r="CF31" s="1915"/>
      <c r="CG31" s="1915"/>
      <c r="CH31" s="1835"/>
      <c r="CI31" s="422"/>
      <c r="CJ31" s="1864"/>
      <c r="CK31" s="1914"/>
      <c r="CL31" s="1914"/>
      <c r="CM31" s="1915"/>
      <c r="CN31" s="1915"/>
      <c r="CO31" s="1915"/>
      <c r="CP31" s="1835"/>
      <c r="CQ31" s="422"/>
      <c r="CR31" s="986"/>
      <c r="CS31" s="1915"/>
      <c r="CT31" s="1915"/>
      <c r="CU31" s="1915"/>
      <c r="CV31" s="1915"/>
      <c r="CW31" s="1915"/>
      <c r="CX31" s="731" t="str">
        <f aca="false">IFERROR(CR31/CW31-1, "-")</f>
        <v>-</v>
      </c>
      <c r="CY31" s="1911"/>
      <c r="CZ31" s="1911"/>
      <c r="DA31" s="1914"/>
      <c r="DB31" s="1914"/>
      <c r="DC31" s="1914"/>
      <c r="DD31" s="1915"/>
      <c r="DE31" s="245"/>
      <c r="DF31" s="1915"/>
      <c r="DG31" s="1915"/>
      <c r="DH31" s="1916"/>
      <c r="DI31" s="1917"/>
      <c r="DJ31" s="1848"/>
      <c r="DK31" s="1849"/>
      <c r="DL31" s="1832"/>
      <c r="DM31" s="1832"/>
      <c r="DN31" s="1832"/>
      <c r="DO31" s="1832"/>
      <c r="DP31" s="1832"/>
      <c r="DQ31" s="1832"/>
      <c r="DR31" s="1832"/>
      <c r="DS31" s="1832"/>
      <c r="DT31" s="1832"/>
      <c r="DU31" s="1832"/>
      <c r="DV31" s="1832"/>
      <c r="DW31" s="1832"/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  <c r="EA31" s="1832"/>
      <c r="EB31" s="1832"/>
      <c r="EC31" s="1832"/>
      <c r="ED31" s="1832"/>
      <c r="EE31" s="1832"/>
      <c r="EF31" s="1832"/>
      <c r="EG31" s="1832"/>
      <c r="EH31" s="1832"/>
      <c r="EI31" s="1832"/>
      <c r="EJ31" s="1832"/>
      <c r="EK31" s="1832"/>
      <c r="EL31" s="1832"/>
      <c r="EM31" s="1832"/>
      <c r="EN31" s="1832"/>
      <c r="EO31" s="1832"/>
      <c r="EP31" s="1832"/>
      <c r="EQ31" s="1832"/>
      <c r="ER31" s="1832"/>
      <c r="ES31" s="1832"/>
      <c r="ET31" s="1832"/>
      <c r="EU31" s="1832"/>
      <c r="EV31" s="1832"/>
      <c r="EW31" s="1832"/>
      <c r="EX31" s="1832"/>
      <c r="EY31" s="1832"/>
      <c r="EZ31" s="1832"/>
      <c r="FA31" s="1832"/>
      <c r="FB31" s="1832"/>
      <c r="FC31" s="1832"/>
      <c r="FD31" s="1832"/>
      <c r="FE31" s="1832"/>
      <c r="FF31" s="1832"/>
      <c r="FG31" s="1832"/>
      <c r="FH31" s="1832"/>
      <c r="FI31" s="1832"/>
      <c r="FJ31" s="1832"/>
      <c r="FK31" s="1832"/>
      <c r="FL31" s="1832"/>
      <c r="FM31" s="1832"/>
      <c r="FN31" s="1832"/>
      <c r="FO31" s="1832"/>
      <c r="FP31" s="1832"/>
      <c r="FQ31" s="1832"/>
      <c r="FR31" s="1832"/>
      <c r="FS31" s="1832"/>
      <c r="FT31" s="1832"/>
      <c r="FU31" s="1832"/>
      <c r="FV31" s="1832"/>
      <c r="FW31" s="1832"/>
      <c r="FX31" s="1832"/>
      <c r="FY31" s="1832"/>
    </row>
    <row r="32" s="1918" customFormat="true" ht="12.75" hidden="true" customHeight="false" outlineLevel="0" collapsed="false">
      <c r="A32" s="1912"/>
      <c r="B32" s="1913"/>
      <c r="C32" s="679" t="s">
        <v>1015</v>
      </c>
      <c r="D32" s="1864"/>
      <c r="E32" s="1914"/>
      <c r="F32" s="1915"/>
      <c r="G32" s="1915"/>
      <c r="H32" s="1835"/>
      <c r="I32" s="245"/>
      <c r="J32" s="1864"/>
      <c r="K32" s="1914"/>
      <c r="L32" s="1915"/>
      <c r="M32" s="1915"/>
      <c r="N32" s="1835"/>
      <c r="O32" s="1865"/>
      <c r="P32" s="1864"/>
      <c r="Q32" s="1914"/>
      <c r="R32" s="1915"/>
      <c r="S32" s="1915"/>
      <c r="T32" s="1835"/>
      <c r="U32" s="245"/>
      <c r="V32" s="1864"/>
      <c r="W32" s="1914"/>
      <c r="X32" s="1914"/>
      <c r="Y32" s="1915"/>
      <c r="Z32" s="1915"/>
      <c r="AA32" s="1915"/>
      <c r="AB32" s="1835"/>
      <c r="AC32" s="245"/>
      <c r="AD32" s="1864"/>
      <c r="AE32" s="1914"/>
      <c r="AF32" s="1914"/>
      <c r="AG32" s="1915"/>
      <c r="AH32" s="1915"/>
      <c r="AI32" s="1915"/>
      <c r="AJ32" s="1835"/>
      <c r="AK32" s="245"/>
      <c r="AL32" s="1864"/>
      <c r="AM32" s="1914"/>
      <c r="AN32" s="1914"/>
      <c r="AO32" s="1914"/>
      <c r="AP32" s="1915"/>
      <c r="AQ32" s="1915"/>
      <c r="AR32" s="1915"/>
      <c r="AS32" s="1835"/>
      <c r="AT32" s="245"/>
      <c r="AU32" s="1864"/>
      <c r="AV32" s="1914"/>
      <c r="AW32" s="1914"/>
      <c r="AX32" s="1915"/>
      <c r="AY32" s="1915"/>
      <c r="AZ32" s="1915"/>
      <c r="BA32" s="1835"/>
      <c r="BB32" s="422"/>
      <c r="BC32" s="1864"/>
      <c r="BD32" s="1914"/>
      <c r="BE32" s="1914"/>
      <c r="BF32" s="1915"/>
      <c r="BG32" s="1915"/>
      <c r="BH32" s="1915"/>
      <c r="BI32" s="1835"/>
      <c r="BJ32" s="423"/>
      <c r="BK32" s="1864"/>
      <c r="BL32" s="1914"/>
      <c r="BM32" s="1914"/>
      <c r="BN32" s="1914"/>
      <c r="BO32" s="1915"/>
      <c r="BP32" s="1915"/>
      <c r="BQ32" s="1915"/>
      <c r="BR32" s="1835"/>
      <c r="BS32" s="422"/>
      <c r="BT32" s="1864"/>
      <c r="BU32" s="1914"/>
      <c r="BV32" s="1914"/>
      <c r="BW32" s="1915"/>
      <c r="BX32" s="1915"/>
      <c r="BY32" s="1915"/>
      <c r="BZ32" s="1835"/>
      <c r="CA32" s="422"/>
      <c r="CB32" s="1864"/>
      <c r="CC32" s="1914"/>
      <c r="CD32" s="1914"/>
      <c r="CE32" s="1915"/>
      <c r="CF32" s="1915"/>
      <c r="CG32" s="1915"/>
      <c r="CH32" s="1835"/>
      <c r="CI32" s="422"/>
      <c r="CJ32" s="1864"/>
      <c r="CK32" s="1914"/>
      <c r="CL32" s="1914"/>
      <c r="CM32" s="1915"/>
      <c r="CN32" s="1915"/>
      <c r="CO32" s="1915"/>
      <c r="CP32" s="1835"/>
      <c r="CQ32" s="422"/>
      <c r="CR32" s="986"/>
      <c r="CS32" s="1915"/>
      <c r="CT32" s="1915"/>
      <c r="CU32" s="1915"/>
      <c r="CV32" s="1915"/>
      <c r="CW32" s="1915"/>
      <c r="CX32" s="731" t="str">
        <f aca="false">IFERROR(CR32/CW32-1, "-")</f>
        <v>-</v>
      </c>
      <c r="CY32" s="1911"/>
      <c r="CZ32" s="1911"/>
      <c r="DA32" s="1914"/>
      <c r="DB32" s="1914"/>
      <c r="DC32" s="1914"/>
      <c r="DD32" s="1915"/>
      <c r="DE32" s="245"/>
      <c r="DF32" s="1915"/>
      <c r="DG32" s="1915"/>
      <c r="DH32" s="1916"/>
      <c r="DI32" s="1917"/>
      <c r="DJ32" s="1848"/>
      <c r="DK32" s="1849"/>
      <c r="DL32" s="1832"/>
      <c r="DM32" s="1832"/>
      <c r="DN32" s="1832"/>
      <c r="DO32" s="1832"/>
      <c r="DP32" s="1832"/>
      <c r="DQ32" s="1832"/>
      <c r="DR32" s="1832"/>
      <c r="DS32" s="1832"/>
      <c r="DT32" s="1832"/>
      <c r="DU32" s="1832"/>
      <c r="DV32" s="1832"/>
      <c r="DW32" s="1832"/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  <c r="EA32" s="1832"/>
      <c r="EB32" s="1832"/>
      <c r="EC32" s="1832"/>
      <c r="ED32" s="1832"/>
      <c r="EE32" s="1832"/>
      <c r="EF32" s="1832"/>
      <c r="EG32" s="1832"/>
      <c r="EH32" s="1832"/>
      <c r="EI32" s="1832"/>
      <c r="EJ32" s="1832"/>
      <c r="EK32" s="1832"/>
      <c r="EL32" s="1832"/>
      <c r="EM32" s="1832"/>
      <c r="EN32" s="1832"/>
      <c r="EO32" s="1832"/>
      <c r="EP32" s="1832"/>
      <c r="EQ32" s="1832"/>
      <c r="ER32" s="1832"/>
      <c r="ES32" s="1832"/>
      <c r="ET32" s="1832"/>
      <c r="EU32" s="1832"/>
      <c r="EV32" s="1832"/>
      <c r="EW32" s="1832"/>
      <c r="EX32" s="1832"/>
      <c r="EY32" s="1832"/>
      <c r="EZ32" s="1832"/>
      <c r="FA32" s="1832"/>
      <c r="FB32" s="1832"/>
      <c r="FC32" s="1832"/>
      <c r="FD32" s="1832"/>
      <c r="FE32" s="1832"/>
      <c r="FF32" s="1832"/>
      <c r="FG32" s="1832"/>
      <c r="FH32" s="1832"/>
      <c r="FI32" s="1832"/>
      <c r="FJ32" s="1832"/>
      <c r="FK32" s="1832"/>
      <c r="FL32" s="1832"/>
      <c r="FM32" s="1832"/>
      <c r="FN32" s="1832"/>
      <c r="FO32" s="1832"/>
      <c r="FP32" s="1832"/>
      <c r="FQ32" s="1832"/>
      <c r="FR32" s="1832"/>
      <c r="FS32" s="1832"/>
      <c r="FT32" s="1832"/>
      <c r="FU32" s="1832"/>
      <c r="FV32" s="1832"/>
      <c r="FW32" s="1832"/>
      <c r="FX32" s="1832"/>
      <c r="FY32" s="1832"/>
    </row>
    <row r="33" s="1814" customFormat="true" ht="15" hidden="false" customHeight="true" outlineLevel="0" collapsed="false">
      <c r="A33" s="463"/>
      <c r="B33" s="1857" t="s">
        <v>1016</v>
      </c>
      <c r="C33" s="679" t="s">
        <v>1017</v>
      </c>
      <c r="D33" s="426"/>
      <c r="E33" s="144"/>
      <c r="F33" s="144"/>
      <c r="G33" s="986"/>
      <c r="H33" s="1836"/>
      <c r="I33" s="245"/>
      <c r="J33" s="426"/>
      <c r="K33" s="144"/>
      <c r="L33" s="144"/>
      <c r="M33" s="986"/>
      <c r="N33" s="1836"/>
      <c r="O33" s="1865"/>
      <c r="P33" s="426"/>
      <c r="Q33" s="144"/>
      <c r="R33" s="144"/>
      <c r="S33" s="986"/>
      <c r="T33" s="1836"/>
      <c r="U33" s="245"/>
      <c r="V33" s="426"/>
      <c r="W33" s="144"/>
      <c r="X33" s="144"/>
      <c r="Y33" s="144"/>
      <c r="Z33" s="144"/>
      <c r="AA33" s="986"/>
      <c r="AB33" s="1835"/>
      <c r="AC33" s="245"/>
      <c r="AD33" s="426"/>
      <c r="AE33" s="144"/>
      <c r="AF33" s="144"/>
      <c r="AG33" s="144"/>
      <c r="AH33" s="144"/>
      <c r="AI33" s="986"/>
      <c r="AJ33" s="1835"/>
      <c r="AK33" s="245"/>
      <c r="AL33" s="426"/>
      <c r="AM33" s="144"/>
      <c r="AN33" s="144"/>
      <c r="AO33" s="144"/>
      <c r="AP33" s="144"/>
      <c r="AQ33" s="144"/>
      <c r="AR33" s="986"/>
      <c r="AS33" s="1835"/>
      <c r="AT33" s="245"/>
      <c r="AU33" s="426"/>
      <c r="AV33" s="144"/>
      <c r="AW33" s="144"/>
      <c r="AX33" s="144"/>
      <c r="AY33" s="144"/>
      <c r="AZ33" s="986"/>
      <c r="BA33" s="1836"/>
      <c r="BB33" s="422"/>
      <c r="BC33" s="426"/>
      <c r="BD33" s="144"/>
      <c r="BE33" s="144"/>
      <c r="BF33" s="144"/>
      <c r="BG33" s="144"/>
      <c r="BH33" s="986"/>
      <c r="BI33" s="1836"/>
      <c r="BJ33" s="423"/>
      <c r="BK33" s="1919"/>
      <c r="BL33" s="144"/>
      <c r="BM33" s="144"/>
      <c r="BN33" s="144"/>
      <c r="BO33" s="144"/>
      <c r="BP33" s="144"/>
      <c r="BQ33" s="986"/>
      <c r="BR33" s="1836"/>
      <c r="BS33" s="422"/>
      <c r="BT33" s="1919"/>
      <c r="BU33" s="144"/>
      <c r="BV33" s="144"/>
      <c r="BW33" s="144"/>
      <c r="BX33" s="144"/>
      <c r="BY33" s="986"/>
      <c r="BZ33" s="1836"/>
      <c r="CA33" s="422"/>
      <c r="CB33" s="1919"/>
      <c r="CC33" s="144"/>
      <c r="CD33" s="144"/>
      <c r="CE33" s="144"/>
      <c r="CF33" s="144"/>
      <c r="CG33" s="986"/>
      <c r="CH33" s="1836"/>
      <c r="CI33" s="422"/>
      <c r="CJ33" s="1919"/>
      <c r="CK33" s="144"/>
      <c r="CL33" s="144"/>
      <c r="CM33" s="144"/>
      <c r="CN33" s="144"/>
      <c r="CO33" s="986"/>
      <c r="CP33" s="1836"/>
      <c r="CQ33" s="422"/>
      <c r="CR33" s="986"/>
      <c r="CS33" s="281"/>
      <c r="CT33" s="986"/>
      <c r="CU33" s="986" t="n">
        <f aca="false">CR33-CS33</f>
        <v>0</v>
      </c>
      <c r="CV33" s="986" t="n">
        <f aca="false">CR33-CT33</f>
        <v>0</v>
      </c>
      <c r="CW33" s="986"/>
      <c r="CX33" s="731" t="str">
        <f aca="false">IFERROR(CR33/CW33-1, "-")</f>
        <v>-</v>
      </c>
      <c r="CY33" s="425"/>
      <c r="CZ33" s="1911"/>
      <c r="DA33" s="144"/>
      <c r="DB33" s="144"/>
      <c r="DC33" s="144"/>
      <c r="DD33" s="986"/>
      <c r="DE33" s="245" t="e">
        <f aca="false">CZ33/DD33-1</f>
        <v>#DIV/0!</v>
      </c>
      <c r="DF33" s="245" t="e">
        <f aca="false">DA33/DD33-1</f>
        <v>#DIV/0!</v>
      </c>
      <c r="DG33" s="245" t="e">
        <f aca="false">DB33/DD33-1</f>
        <v>#DIV/0!</v>
      </c>
      <c r="DH33" s="805" t="e">
        <f aca="false">DC33/DD33-1</f>
        <v>#DIV/0!</v>
      </c>
      <c r="DI33" s="1813"/>
      <c r="DJ33" s="1848"/>
      <c r="DK33" s="1849"/>
      <c r="DL33" s="1832"/>
      <c r="DM33" s="1832"/>
      <c r="DN33" s="1832"/>
      <c r="DO33" s="1832"/>
      <c r="DP33" s="1832"/>
      <c r="DQ33" s="1832"/>
      <c r="DR33" s="1832"/>
      <c r="DS33" s="1832"/>
      <c r="DT33" s="1832"/>
      <c r="DU33" s="1832"/>
      <c r="DV33" s="1832"/>
      <c r="DW33" s="1832"/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  <c r="EA33" s="1832"/>
      <c r="EB33" s="1832"/>
      <c r="EC33" s="1832"/>
      <c r="ED33" s="1832"/>
      <c r="EE33" s="1832"/>
      <c r="EF33" s="1832"/>
      <c r="EG33" s="1832"/>
      <c r="EH33" s="1832"/>
      <c r="EI33" s="1832"/>
      <c r="EJ33" s="1832"/>
      <c r="EK33" s="1832"/>
      <c r="EL33" s="1832"/>
      <c r="EM33" s="1832"/>
      <c r="EN33" s="1832"/>
      <c r="EO33" s="1832"/>
      <c r="EP33" s="1832"/>
      <c r="EQ33" s="1832"/>
      <c r="ER33" s="1832"/>
      <c r="ES33" s="1832"/>
      <c r="ET33" s="1832"/>
      <c r="EU33" s="1832"/>
      <c r="EV33" s="1832"/>
      <c r="EW33" s="1832"/>
      <c r="EX33" s="1832"/>
      <c r="EY33" s="1832"/>
      <c r="EZ33" s="1832"/>
      <c r="FA33" s="1832"/>
      <c r="FB33" s="1832"/>
      <c r="FC33" s="1832"/>
      <c r="FD33" s="1832"/>
      <c r="FE33" s="1832"/>
      <c r="FF33" s="1832"/>
      <c r="FG33" s="1832"/>
      <c r="FH33" s="1832"/>
      <c r="FI33" s="1832"/>
      <c r="FJ33" s="1832"/>
      <c r="FK33" s="1832"/>
      <c r="FL33" s="1832"/>
      <c r="FM33" s="1832"/>
      <c r="FN33" s="1832"/>
      <c r="FO33" s="1832"/>
      <c r="FP33" s="1832"/>
      <c r="FQ33" s="1832"/>
      <c r="FR33" s="1832"/>
      <c r="FS33" s="1832"/>
      <c r="FT33" s="1832"/>
      <c r="FU33" s="1832"/>
      <c r="FV33" s="1832"/>
      <c r="FW33" s="1832"/>
      <c r="FX33" s="1832"/>
      <c r="FY33" s="1832"/>
    </row>
    <row r="34" s="1867" customFormat="true" ht="15" hidden="false" customHeight="true" outlineLevel="0" collapsed="false">
      <c r="A34" s="1920"/>
      <c r="B34" s="1863" t="s">
        <v>1018</v>
      </c>
      <c r="C34" s="679" t="s">
        <v>1019</v>
      </c>
      <c r="D34" s="1864"/>
      <c r="E34" s="245"/>
      <c r="F34" s="245"/>
      <c r="G34" s="245"/>
      <c r="H34" s="1835"/>
      <c r="I34" s="245"/>
      <c r="J34" s="1864"/>
      <c r="K34" s="245"/>
      <c r="L34" s="245"/>
      <c r="M34" s="245"/>
      <c r="N34" s="1835"/>
      <c r="O34" s="1865"/>
      <c r="P34" s="1864"/>
      <c r="Q34" s="245"/>
      <c r="R34" s="245"/>
      <c r="S34" s="245"/>
      <c r="T34" s="1835"/>
      <c r="U34" s="245"/>
      <c r="V34" s="1864"/>
      <c r="W34" s="245"/>
      <c r="X34" s="245"/>
      <c r="Y34" s="245"/>
      <c r="Z34" s="245"/>
      <c r="AA34" s="245"/>
      <c r="AB34" s="1835"/>
      <c r="AC34" s="245"/>
      <c r="AD34" s="1864"/>
      <c r="AE34" s="245"/>
      <c r="AF34" s="245"/>
      <c r="AG34" s="245"/>
      <c r="AH34" s="245"/>
      <c r="AI34" s="245"/>
      <c r="AJ34" s="1835"/>
      <c r="AK34" s="245"/>
      <c r="AL34" s="1864"/>
      <c r="AM34" s="245"/>
      <c r="AN34" s="245"/>
      <c r="AO34" s="245"/>
      <c r="AP34" s="245"/>
      <c r="AQ34" s="245"/>
      <c r="AR34" s="245"/>
      <c r="AS34" s="1835"/>
      <c r="AT34" s="245"/>
      <c r="AU34" s="1864"/>
      <c r="AV34" s="245"/>
      <c r="AW34" s="245"/>
      <c r="AX34" s="245"/>
      <c r="AY34" s="245"/>
      <c r="AZ34" s="245"/>
      <c r="BA34" s="1835"/>
      <c r="BB34" s="422"/>
      <c r="BC34" s="1864"/>
      <c r="BD34" s="245"/>
      <c r="BE34" s="245"/>
      <c r="BF34" s="245"/>
      <c r="BG34" s="245"/>
      <c r="BH34" s="245"/>
      <c r="BI34" s="1835"/>
      <c r="BJ34" s="422"/>
      <c r="BK34" s="1864"/>
      <c r="BL34" s="245"/>
      <c r="BM34" s="245"/>
      <c r="BN34" s="245"/>
      <c r="BO34" s="245"/>
      <c r="BP34" s="245"/>
      <c r="BQ34" s="245"/>
      <c r="BR34" s="1835"/>
      <c r="BS34" s="422"/>
      <c r="BT34" s="1864"/>
      <c r="BU34" s="245"/>
      <c r="BV34" s="245"/>
      <c r="BW34" s="245"/>
      <c r="BX34" s="245"/>
      <c r="BY34" s="245"/>
      <c r="BZ34" s="1835"/>
      <c r="CA34" s="422"/>
      <c r="CB34" s="1864"/>
      <c r="CC34" s="245"/>
      <c r="CD34" s="245"/>
      <c r="CE34" s="245"/>
      <c r="CF34" s="245"/>
      <c r="CG34" s="245"/>
      <c r="CH34" s="1835"/>
      <c r="CI34" s="422"/>
      <c r="CJ34" s="1864"/>
      <c r="CK34" s="1864"/>
      <c r="CL34" s="1864"/>
      <c r="CM34" s="245"/>
      <c r="CN34" s="245"/>
      <c r="CO34" s="245"/>
      <c r="CP34" s="1835"/>
      <c r="CQ34" s="422"/>
      <c r="CR34" s="245"/>
      <c r="CS34" s="245"/>
      <c r="CT34" s="245"/>
      <c r="CU34" s="245" t="n">
        <f aca="false">CR34-CS34</f>
        <v>0</v>
      </c>
      <c r="CV34" s="245" t="n">
        <f aca="false">CR34-CT34</f>
        <v>0</v>
      </c>
      <c r="CW34" s="245"/>
      <c r="CX34" s="731" t="str">
        <f aca="false">IFERROR(CR34/CW34-1, "-")</f>
        <v>-</v>
      </c>
      <c r="CY34" s="1865"/>
      <c r="CZ34" s="1865"/>
      <c r="DA34" s="245"/>
      <c r="DB34" s="245"/>
      <c r="DC34" s="245"/>
      <c r="DD34" s="245"/>
      <c r="DE34" s="245" t="e">
        <f aca="false">CZ34/DD34-1</f>
        <v>#DIV/0!</v>
      </c>
      <c r="DF34" s="245" t="e">
        <f aca="false">DA34/DD34-1</f>
        <v>#DIV/0!</v>
      </c>
      <c r="DG34" s="245" t="e">
        <f aca="false">DB34/DD34-1</f>
        <v>#DIV/0!</v>
      </c>
      <c r="DH34" s="805" t="e">
        <f aca="false">DC34/DD34-1</f>
        <v>#DIV/0!</v>
      </c>
      <c r="DI34" s="1866"/>
      <c r="DJ34" s="1921"/>
      <c r="DL34" s="1921"/>
      <c r="DM34" s="1921"/>
      <c r="DN34" s="1921"/>
      <c r="DO34" s="1921"/>
      <c r="DP34" s="1921"/>
      <c r="DQ34" s="1921"/>
      <c r="DR34" s="1921"/>
      <c r="DS34" s="1921"/>
      <c r="DT34" s="1921"/>
      <c r="DU34" s="1921"/>
      <c r="DV34" s="1921"/>
      <c r="DW34" s="1921"/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  <c r="EA34" s="1921"/>
      <c r="EB34" s="1921"/>
      <c r="EC34" s="1921"/>
      <c r="ED34" s="1921"/>
      <c r="EE34" s="1921"/>
      <c r="EF34" s="1921"/>
      <c r="EG34" s="1921"/>
      <c r="EH34" s="1921"/>
      <c r="EI34" s="1921"/>
      <c r="EJ34" s="1921"/>
      <c r="EK34" s="1921"/>
      <c r="EL34" s="1921"/>
      <c r="EM34" s="1921"/>
      <c r="EN34" s="1921"/>
      <c r="EO34" s="1921"/>
      <c r="EP34" s="1921"/>
      <c r="EQ34" s="1921"/>
      <c r="ER34" s="1921"/>
      <c r="ES34" s="1921"/>
      <c r="ET34" s="1921"/>
      <c r="EU34" s="1921"/>
      <c r="EV34" s="1921"/>
      <c r="EW34" s="1921"/>
      <c r="EX34" s="1921"/>
      <c r="EY34" s="1921"/>
      <c r="EZ34" s="1921"/>
      <c r="FA34" s="1921"/>
      <c r="FB34" s="1921"/>
      <c r="FC34" s="1921"/>
      <c r="FD34" s="1921"/>
      <c r="FE34" s="1921"/>
      <c r="FF34" s="1921"/>
      <c r="FG34" s="1921"/>
      <c r="FH34" s="1921"/>
      <c r="FI34" s="1921"/>
      <c r="FJ34" s="1921"/>
      <c r="FK34" s="1921"/>
      <c r="FL34" s="1921"/>
      <c r="FM34" s="1921"/>
      <c r="FN34" s="1921"/>
      <c r="FO34" s="1921"/>
      <c r="FP34" s="1921"/>
      <c r="FQ34" s="1921"/>
      <c r="FR34" s="1921"/>
      <c r="FS34" s="1921"/>
      <c r="FT34" s="1921"/>
      <c r="FU34" s="1921"/>
      <c r="FV34" s="1921"/>
      <c r="FW34" s="1921"/>
      <c r="FX34" s="1921"/>
      <c r="FY34" s="1921"/>
    </row>
    <row r="35" s="1814" customFormat="true" ht="15" hidden="false" customHeight="true" outlineLevel="0" collapsed="false">
      <c r="A35" s="463"/>
      <c r="B35" s="1857" t="s">
        <v>994</v>
      </c>
      <c r="C35" s="679" t="s">
        <v>1020</v>
      </c>
      <c r="D35" s="426"/>
      <c r="E35" s="144"/>
      <c r="F35" s="144"/>
      <c r="G35" s="144"/>
      <c r="H35" s="1835"/>
      <c r="I35" s="245"/>
      <c r="J35" s="426"/>
      <c r="K35" s="144"/>
      <c r="L35" s="144"/>
      <c r="M35" s="144"/>
      <c r="N35" s="1835"/>
      <c r="O35" s="1865"/>
      <c r="P35" s="426"/>
      <c r="Q35" s="144"/>
      <c r="R35" s="144"/>
      <c r="S35" s="144"/>
      <c r="T35" s="1835"/>
      <c r="U35" s="245"/>
      <c r="V35" s="426"/>
      <c r="W35" s="144"/>
      <c r="X35" s="144"/>
      <c r="Y35" s="144"/>
      <c r="Z35" s="144"/>
      <c r="AA35" s="144"/>
      <c r="AB35" s="1835"/>
      <c r="AC35" s="245"/>
      <c r="AD35" s="426"/>
      <c r="AE35" s="144"/>
      <c r="AF35" s="144"/>
      <c r="AG35" s="144"/>
      <c r="AH35" s="144"/>
      <c r="AI35" s="144"/>
      <c r="AJ35" s="1835"/>
      <c r="AK35" s="245"/>
      <c r="AL35" s="426"/>
      <c r="AM35" s="144"/>
      <c r="AN35" s="144"/>
      <c r="AO35" s="144"/>
      <c r="AP35" s="144"/>
      <c r="AQ35" s="144"/>
      <c r="AR35" s="144"/>
      <c r="AS35" s="1835"/>
      <c r="AT35" s="245"/>
      <c r="AU35" s="426"/>
      <c r="AV35" s="144"/>
      <c r="AW35" s="144"/>
      <c r="AX35" s="144"/>
      <c r="AY35" s="144"/>
      <c r="AZ35" s="144"/>
      <c r="BA35" s="1835"/>
      <c r="BB35" s="422"/>
      <c r="BC35" s="426"/>
      <c r="BD35" s="144"/>
      <c r="BE35" s="144"/>
      <c r="BF35" s="144"/>
      <c r="BG35" s="144"/>
      <c r="BH35" s="144"/>
      <c r="BI35" s="1835"/>
      <c r="BJ35" s="423"/>
      <c r="BK35" s="426"/>
      <c r="BL35" s="144"/>
      <c r="BM35" s="144"/>
      <c r="BN35" s="144"/>
      <c r="BO35" s="144"/>
      <c r="BP35" s="144"/>
      <c r="BQ35" s="144"/>
      <c r="BR35" s="1835"/>
      <c r="BS35" s="422"/>
      <c r="BT35" s="426"/>
      <c r="BU35" s="144"/>
      <c r="BV35" s="144"/>
      <c r="BW35" s="144"/>
      <c r="BX35" s="144"/>
      <c r="BY35" s="144"/>
      <c r="BZ35" s="1835"/>
      <c r="CA35" s="422"/>
      <c r="CB35" s="426"/>
      <c r="CC35" s="144"/>
      <c r="CD35" s="144"/>
      <c r="CE35" s="144"/>
      <c r="CF35" s="144"/>
      <c r="CG35" s="144"/>
      <c r="CH35" s="1835"/>
      <c r="CI35" s="422"/>
      <c r="CJ35" s="426"/>
      <c r="CK35" s="144"/>
      <c r="CL35" s="144"/>
      <c r="CM35" s="144"/>
      <c r="CN35" s="144"/>
      <c r="CO35" s="144"/>
      <c r="CP35" s="1835"/>
      <c r="CQ35" s="422"/>
      <c r="CR35" s="986"/>
      <c r="CS35" s="144"/>
      <c r="CT35" s="986"/>
      <c r="CU35" s="986" t="n">
        <f aca="false">CR35-CS35</f>
        <v>0</v>
      </c>
      <c r="CV35" s="986" t="n">
        <f aca="false">CR35-CT35</f>
        <v>0</v>
      </c>
      <c r="CW35" s="986"/>
      <c r="CX35" s="731" t="str">
        <f aca="false">IFERROR(CR35/CW35-1, "-")</f>
        <v>-</v>
      </c>
      <c r="CY35" s="1922"/>
      <c r="CZ35" s="1911"/>
      <c r="DA35" s="144"/>
      <c r="DB35" s="144"/>
      <c r="DC35" s="144"/>
      <c r="DD35" s="144"/>
      <c r="DE35" s="245" t="e">
        <f aca="false">CZ35/DD35-1</f>
        <v>#DIV/0!</v>
      </c>
      <c r="DF35" s="245" t="e">
        <f aca="false">DA35/DD35-1</f>
        <v>#DIV/0!</v>
      </c>
      <c r="DG35" s="245" t="e">
        <f aca="false">DB35/DD35-1</f>
        <v>#DIV/0!</v>
      </c>
      <c r="DH35" s="805" t="e">
        <f aca="false">DC35/DD35-1</f>
        <v>#DIV/0!</v>
      </c>
      <c r="DI35" s="1813"/>
      <c r="DJ35" s="1848"/>
      <c r="DK35" s="1849"/>
      <c r="DL35" s="1832"/>
      <c r="DM35" s="1832"/>
      <c r="DN35" s="1832"/>
      <c r="DO35" s="1832"/>
      <c r="DP35" s="1832"/>
      <c r="DQ35" s="1832"/>
      <c r="DR35" s="1832"/>
      <c r="DS35" s="1832"/>
      <c r="DT35" s="1832"/>
      <c r="DU35" s="1832"/>
      <c r="DV35" s="1832"/>
      <c r="DW35" s="1832"/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  <c r="EA35" s="1832"/>
      <c r="EB35" s="1832"/>
      <c r="EC35" s="1832"/>
      <c r="ED35" s="1832"/>
      <c r="EE35" s="1832"/>
      <c r="EF35" s="1832"/>
      <c r="EG35" s="1832"/>
      <c r="EH35" s="1832"/>
      <c r="EI35" s="1832"/>
      <c r="EJ35" s="1832"/>
      <c r="EK35" s="1832"/>
      <c r="EL35" s="1832"/>
      <c r="EM35" s="1832"/>
      <c r="EN35" s="1832"/>
      <c r="EO35" s="1832"/>
      <c r="EP35" s="1832"/>
      <c r="EQ35" s="1832"/>
      <c r="ER35" s="1832"/>
      <c r="ES35" s="1832"/>
      <c r="ET35" s="1832"/>
      <c r="EU35" s="1832"/>
      <c r="EV35" s="1832"/>
      <c r="EW35" s="1832"/>
      <c r="EX35" s="1832"/>
      <c r="EY35" s="1832"/>
      <c r="EZ35" s="1832"/>
      <c r="FA35" s="1832"/>
      <c r="FB35" s="1832"/>
      <c r="FC35" s="1832"/>
      <c r="FD35" s="1832"/>
      <c r="FE35" s="1832"/>
      <c r="FF35" s="1832"/>
      <c r="FG35" s="1832"/>
      <c r="FH35" s="1832"/>
      <c r="FI35" s="1832"/>
      <c r="FJ35" s="1832"/>
      <c r="FK35" s="1832"/>
      <c r="FL35" s="1832"/>
      <c r="FM35" s="1832"/>
      <c r="FN35" s="1832"/>
      <c r="FO35" s="1832"/>
      <c r="FP35" s="1832"/>
      <c r="FQ35" s="1832"/>
      <c r="FR35" s="1832"/>
      <c r="FS35" s="1832"/>
      <c r="FT35" s="1832"/>
      <c r="FU35" s="1832"/>
      <c r="FV35" s="1832"/>
      <c r="FW35" s="1832"/>
      <c r="FX35" s="1832"/>
      <c r="FY35" s="1832"/>
    </row>
    <row r="36" s="1832" customFormat="true" ht="15" hidden="false" customHeight="true" outlineLevel="0" collapsed="false">
      <c r="A36" s="375"/>
      <c r="B36" s="1871" t="s">
        <v>1021</v>
      </c>
      <c r="C36" s="679" t="s">
        <v>1022</v>
      </c>
      <c r="D36" s="1829"/>
      <c r="E36" s="130"/>
      <c r="F36" s="130"/>
      <c r="G36" s="130"/>
      <c r="H36" s="1819"/>
      <c r="I36" s="731"/>
      <c r="J36" s="1829"/>
      <c r="K36" s="130"/>
      <c r="L36" s="130"/>
      <c r="M36" s="130"/>
      <c r="N36" s="1819"/>
      <c r="O36" s="1844"/>
      <c r="P36" s="1829"/>
      <c r="Q36" s="130"/>
      <c r="R36" s="130"/>
      <c r="S36" s="130"/>
      <c r="T36" s="1819"/>
      <c r="U36" s="731"/>
      <c r="V36" s="1829"/>
      <c r="W36" s="130"/>
      <c r="X36" s="130"/>
      <c r="Y36" s="130"/>
      <c r="Z36" s="130"/>
      <c r="AA36" s="130"/>
      <c r="AB36" s="1819"/>
      <c r="AC36" s="731"/>
      <c r="AD36" s="1829"/>
      <c r="AE36" s="130"/>
      <c r="AF36" s="130"/>
      <c r="AG36" s="130"/>
      <c r="AH36" s="130"/>
      <c r="AI36" s="130"/>
      <c r="AJ36" s="1819"/>
      <c r="AK36" s="731"/>
      <c r="AL36" s="1829"/>
      <c r="AM36" s="130"/>
      <c r="AN36" s="130"/>
      <c r="AO36" s="130"/>
      <c r="AP36" s="130"/>
      <c r="AQ36" s="130"/>
      <c r="AR36" s="130"/>
      <c r="AS36" s="1819"/>
      <c r="AT36" s="731"/>
      <c r="AU36" s="1829"/>
      <c r="AV36" s="130"/>
      <c r="AW36" s="130"/>
      <c r="AX36" s="130"/>
      <c r="AY36" s="130"/>
      <c r="AZ36" s="130"/>
      <c r="BA36" s="1819"/>
      <c r="BB36" s="732"/>
      <c r="BC36" s="1829"/>
      <c r="BD36" s="130"/>
      <c r="BE36" s="130"/>
      <c r="BF36" s="130"/>
      <c r="BG36" s="130"/>
      <c r="BH36" s="130"/>
      <c r="BI36" s="1819"/>
      <c r="BJ36" s="733"/>
      <c r="BK36" s="1829"/>
      <c r="BL36" s="130"/>
      <c r="BM36" s="130"/>
      <c r="BN36" s="130"/>
      <c r="BO36" s="130"/>
      <c r="BP36" s="130"/>
      <c r="BQ36" s="130"/>
      <c r="BR36" s="1819"/>
      <c r="BS36" s="732"/>
      <c r="BT36" s="1829"/>
      <c r="BU36" s="130"/>
      <c r="BV36" s="130"/>
      <c r="BW36" s="130"/>
      <c r="BX36" s="130"/>
      <c r="BY36" s="130"/>
      <c r="BZ36" s="1819"/>
      <c r="CA36" s="732"/>
      <c r="CB36" s="1829"/>
      <c r="CC36" s="130"/>
      <c r="CD36" s="130"/>
      <c r="CE36" s="130"/>
      <c r="CF36" s="130"/>
      <c r="CG36" s="130"/>
      <c r="CH36" s="1819"/>
      <c r="CI36" s="732"/>
      <c r="CJ36" s="1829"/>
      <c r="CK36" s="130"/>
      <c r="CL36" s="130"/>
      <c r="CM36" s="130"/>
      <c r="CN36" s="130"/>
      <c r="CO36" s="130"/>
      <c r="CP36" s="1819"/>
      <c r="CQ36" s="732"/>
      <c r="CR36" s="130"/>
      <c r="CS36" s="130"/>
      <c r="CT36" s="1818"/>
      <c r="CU36" s="1818" t="n">
        <f aca="false">CR36-CS36</f>
        <v>0</v>
      </c>
      <c r="CV36" s="1818" t="n">
        <f aca="false">CR36-CT36</f>
        <v>0</v>
      </c>
      <c r="CW36" s="1818"/>
      <c r="CX36" s="731" t="str">
        <f aca="false">IFERROR(CR36/CW36-1, "-")</f>
        <v>-</v>
      </c>
      <c r="CY36" s="1923"/>
      <c r="CZ36" s="736"/>
      <c r="DA36" s="130"/>
      <c r="DB36" s="130"/>
      <c r="DC36" s="130"/>
      <c r="DD36" s="130"/>
      <c r="DE36" s="731" t="e">
        <f aca="false">CZ36/DD36-1</f>
        <v>#DIV/0!</v>
      </c>
      <c r="DF36" s="731" t="e">
        <f aca="false">DA36/DD36-1</f>
        <v>#DIV/0!</v>
      </c>
      <c r="DG36" s="731" t="e">
        <f aca="false">DB36/DD36-1</f>
        <v>#DIV/0!</v>
      </c>
      <c r="DH36" s="735" t="e">
        <f aca="false">DC36/DD36-1</f>
        <v>#DIV/0!</v>
      </c>
      <c r="DI36" s="1831"/>
      <c r="DJ36" s="1848"/>
      <c r="DK36" s="1849"/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s="1814" customFormat="true" ht="15" hidden="false" customHeight="true" outlineLevel="0" collapsed="false">
      <c r="A37" s="1924"/>
      <c r="B37" s="1925" t="s">
        <v>1023</v>
      </c>
      <c r="C37" s="679" t="s">
        <v>1024</v>
      </c>
      <c r="D37" s="426"/>
      <c r="E37" s="144"/>
      <c r="F37" s="144"/>
      <c r="G37" s="144"/>
      <c r="H37" s="1835"/>
      <c r="I37" s="236"/>
      <c r="J37" s="426"/>
      <c r="K37" s="144"/>
      <c r="L37" s="235"/>
      <c r="M37" s="235"/>
      <c r="N37" s="1835"/>
      <c r="O37" s="1310"/>
      <c r="P37" s="426"/>
      <c r="Q37" s="235"/>
      <c r="R37" s="235"/>
      <c r="S37" s="235"/>
      <c r="T37" s="1835"/>
      <c r="U37" s="236"/>
      <c r="V37" s="426"/>
      <c r="W37" s="235"/>
      <c r="X37" s="235"/>
      <c r="Y37" s="235"/>
      <c r="Z37" s="235"/>
      <c r="AA37" s="235"/>
      <c r="AB37" s="1835"/>
      <c r="AC37" s="245"/>
      <c r="AD37" s="426"/>
      <c r="AE37" s="235"/>
      <c r="AF37" s="235"/>
      <c r="AG37" s="235"/>
      <c r="AH37" s="235"/>
      <c r="AI37" s="235"/>
      <c r="AJ37" s="1835"/>
      <c r="AK37" s="245"/>
      <c r="AL37" s="426"/>
      <c r="AM37" s="235"/>
      <c r="AN37" s="235"/>
      <c r="AO37" s="235"/>
      <c r="AP37" s="235"/>
      <c r="AQ37" s="235"/>
      <c r="AR37" s="235"/>
      <c r="AS37" s="1835"/>
      <c r="AT37" s="236"/>
      <c r="AU37" s="426"/>
      <c r="AV37" s="235"/>
      <c r="AW37" s="235"/>
      <c r="AX37" s="235"/>
      <c r="AY37" s="235"/>
      <c r="AZ37" s="235"/>
      <c r="BA37" s="1835"/>
      <c r="BB37" s="1091"/>
      <c r="BC37" s="426"/>
      <c r="BD37" s="235"/>
      <c r="BE37" s="235"/>
      <c r="BF37" s="235"/>
      <c r="BG37" s="235"/>
      <c r="BH37" s="235"/>
      <c r="BI37" s="1835"/>
      <c r="BJ37" s="1306"/>
      <c r="BK37" s="426"/>
      <c r="BL37" s="235"/>
      <c r="BM37" s="235"/>
      <c r="BN37" s="235"/>
      <c r="BO37" s="235"/>
      <c r="BP37" s="235"/>
      <c r="BQ37" s="235"/>
      <c r="BR37" s="1835"/>
      <c r="BS37" s="1091"/>
      <c r="BT37" s="426"/>
      <c r="BU37" s="235"/>
      <c r="BV37" s="235"/>
      <c r="BW37" s="235"/>
      <c r="BX37" s="235"/>
      <c r="BY37" s="235"/>
      <c r="BZ37" s="1835"/>
      <c r="CA37" s="1091"/>
      <c r="CB37" s="426"/>
      <c r="CC37" s="235"/>
      <c r="CD37" s="235"/>
      <c r="CE37" s="235"/>
      <c r="CF37" s="235"/>
      <c r="CG37" s="235"/>
      <c r="CH37" s="1835"/>
      <c r="CI37" s="422"/>
      <c r="CJ37" s="426"/>
      <c r="CK37" s="235"/>
      <c r="CL37" s="235"/>
      <c r="CM37" s="235"/>
      <c r="CN37" s="235"/>
      <c r="CO37" s="235"/>
      <c r="CP37" s="1835"/>
      <c r="CQ37" s="422"/>
      <c r="CR37" s="235"/>
      <c r="CS37" s="1305"/>
      <c r="CT37" s="1926"/>
      <c r="CU37" s="1926" t="n">
        <f aca="false">CR37-CS37</f>
        <v>0</v>
      </c>
      <c r="CV37" s="1926" t="n">
        <f aca="false">CR37-CT37</f>
        <v>0</v>
      </c>
      <c r="CW37" s="1926"/>
      <c r="CX37" s="731" t="str">
        <f aca="false">IFERROR(CR37/CW37-1, "-")</f>
        <v>-</v>
      </c>
      <c r="CY37" s="1922"/>
      <c r="CZ37" s="1927"/>
      <c r="DA37" s="144"/>
      <c r="DB37" s="144"/>
      <c r="DC37" s="144"/>
      <c r="DD37" s="235"/>
      <c r="DE37" s="236" t="e">
        <f aca="false">CZ37/DD37-1</f>
        <v>#DIV/0!</v>
      </c>
      <c r="DF37" s="236" t="e">
        <f aca="false">DA37/DD37-1</f>
        <v>#DIV/0!</v>
      </c>
      <c r="DG37" s="236" t="e">
        <f aca="false">DB37/DD37-1</f>
        <v>#DIV/0!</v>
      </c>
      <c r="DH37" s="1090" t="e">
        <f aca="false">DC37/DD37-1</f>
        <v>#DIV/0!</v>
      </c>
      <c r="DI37" s="1813"/>
      <c r="DJ37" s="1848"/>
      <c r="DK37" s="1849"/>
      <c r="DL37" s="1832"/>
      <c r="DM37" s="1832"/>
      <c r="DN37" s="1832"/>
      <c r="DO37" s="1832"/>
      <c r="DP37" s="1832"/>
      <c r="DQ37" s="1832"/>
      <c r="DR37" s="1832"/>
      <c r="DS37" s="1832"/>
      <c r="DT37" s="1832"/>
      <c r="DU37" s="1832"/>
      <c r="DV37" s="1832"/>
      <c r="DW37" s="1832"/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  <c r="EA37" s="1832"/>
      <c r="EB37" s="1832"/>
      <c r="EC37" s="1832"/>
      <c r="ED37" s="1832"/>
      <c r="EE37" s="1832"/>
      <c r="EF37" s="1832"/>
      <c r="EG37" s="1832"/>
      <c r="EH37" s="1832"/>
      <c r="EI37" s="1832"/>
      <c r="EJ37" s="1832"/>
      <c r="EK37" s="1832"/>
      <c r="EL37" s="1832"/>
      <c r="EM37" s="1832"/>
      <c r="EN37" s="1832"/>
      <c r="EO37" s="1832"/>
      <c r="EP37" s="1832"/>
      <c r="EQ37" s="1832"/>
      <c r="ER37" s="1832"/>
      <c r="ES37" s="1832"/>
      <c r="ET37" s="1832"/>
      <c r="EU37" s="1832"/>
      <c r="EV37" s="1832"/>
      <c r="EW37" s="1832"/>
      <c r="EX37" s="1832"/>
      <c r="EY37" s="1832"/>
      <c r="EZ37" s="1832"/>
      <c r="FA37" s="1832"/>
      <c r="FB37" s="1832"/>
      <c r="FC37" s="1832"/>
      <c r="FD37" s="1832"/>
      <c r="FE37" s="1832"/>
      <c r="FF37" s="1832"/>
      <c r="FG37" s="1832"/>
      <c r="FH37" s="1832"/>
      <c r="FI37" s="1832"/>
      <c r="FJ37" s="1832"/>
      <c r="FK37" s="1832"/>
      <c r="FL37" s="1832"/>
      <c r="FM37" s="1832"/>
      <c r="FN37" s="1832"/>
      <c r="FO37" s="1832"/>
      <c r="FP37" s="1832"/>
      <c r="FQ37" s="1832"/>
      <c r="FR37" s="1832"/>
      <c r="FS37" s="1832"/>
      <c r="FT37" s="1832"/>
      <c r="FU37" s="1832"/>
      <c r="FV37" s="1832"/>
      <c r="FW37" s="1832"/>
      <c r="FX37" s="1832"/>
      <c r="FY37" s="1832"/>
    </row>
    <row r="38" s="1814" customFormat="true" ht="4.5" hidden="false" customHeight="true" outlineLevel="0" collapsed="false">
      <c r="A38" s="463"/>
      <c r="B38" s="1928"/>
      <c r="C38" s="679" t="s">
        <v>1025</v>
      </c>
      <c r="D38" s="1880"/>
      <c r="E38" s="1881"/>
      <c r="F38" s="1881"/>
      <c r="G38" s="1882"/>
      <c r="H38" s="1883"/>
      <c r="I38" s="1929"/>
      <c r="J38" s="1880"/>
      <c r="K38" s="1881"/>
      <c r="L38" s="1881"/>
      <c r="M38" s="1881"/>
      <c r="N38" s="1883"/>
      <c r="O38" s="798"/>
      <c r="P38" s="1881"/>
      <c r="Q38" s="1881"/>
      <c r="R38" s="1881"/>
      <c r="S38" s="1881"/>
      <c r="T38" s="1881"/>
      <c r="U38" s="1929"/>
      <c r="V38" s="1881"/>
      <c r="W38" s="1881"/>
      <c r="X38" s="1881"/>
      <c r="Y38" s="1881"/>
      <c r="Z38" s="1881"/>
      <c r="AA38" s="1881"/>
      <c r="AB38" s="1881"/>
      <c r="AC38" s="1881"/>
      <c r="AD38" s="1881"/>
      <c r="AE38" s="1881"/>
      <c r="AF38" s="1881"/>
      <c r="AG38" s="1881"/>
      <c r="AH38" s="1881"/>
      <c r="AI38" s="1881"/>
      <c r="AJ38" s="1881"/>
      <c r="AK38" s="1881"/>
      <c r="AL38" s="1881"/>
      <c r="AM38" s="1881"/>
      <c r="AN38" s="1881"/>
      <c r="AO38" s="1881"/>
      <c r="AP38" s="1881"/>
      <c r="AQ38" s="1881"/>
      <c r="AR38" s="1881"/>
      <c r="AS38" s="1881"/>
      <c r="AT38" s="1881"/>
      <c r="AU38" s="1881"/>
      <c r="AV38" s="1881"/>
      <c r="AW38" s="1881"/>
      <c r="AX38" s="1881"/>
      <c r="AY38" s="1881"/>
      <c r="AZ38" s="1881"/>
      <c r="BA38" s="1881"/>
      <c r="BB38" s="1881"/>
      <c r="BC38" s="1881"/>
      <c r="BD38" s="1881"/>
      <c r="BE38" s="1881"/>
      <c r="BF38" s="1881"/>
      <c r="BG38" s="1881"/>
      <c r="BH38" s="1881"/>
      <c r="BI38" s="1881"/>
      <c r="BJ38" s="1881"/>
      <c r="BK38" s="1881"/>
      <c r="BL38" s="1881"/>
      <c r="BM38" s="1881"/>
      <c r="BN38" s="1881"/>
      <c r="BO38" s="1881"/>
      <c r="BP38" s="1881"/>
      <c r="BQ38" s="1881"/>
      <c r="BR38" s="1881"/>
      <c r="BS38" s="1881"/>
      <c r="BT38" s="1881"/>
      <c r="BU38" s="1881"/>
      <c r="BV38" s="1881"/>
      <c r="BW38" s="1881"/>
      <c r="BX38" s="1881"/>
      <c r="BY38" s="1881"/>
      <c r="BZ38" s="1881"/>
      <c r="CA38" s="1881"/>
      <c r="CB38" s="1881"/>
      <c r="CC38" s="1881"/>
      <c r="CD38" s="1881"/>
      <c r="CE38" s="1881"/>
      <c r="CF38" s="1881"/>
      <c r="CG38" s="1881"/>
      <c r="CH38" s="1881"/>
      <c r="CI38" s="1881"/>
      <c r="CJ38" s="1881"/>
      <c r="CK38" s="1881"/>
      <c r="CL38" s="1881"/>
      <c r="CM38" s="1881"/>
      <c r="CN38" s="1881"/>
      <c r="CO38" s="1881"/>
      <c r="CP38" s="1881"/>
      <c r="CQ38" s="1881"/>
      <c r="CR38" s="1881"/>
      <c r="CS38" s="1881"/>
      <c r="CT38" s="1881"/>
      <c r="CU38" s="1881"/>
      <c r="CV38" s="1881"/>
      <c r="CW38" s="1881"/>
      <c r="CX38" s="731" t="str">
        <f aca="false">IFERROR(CR38/CW38-1, "-")</f>
        <v>-</v>
      </c>
      <c r="CY38" s="1881"/>
      <c r="CZ38" s="1930"/>
      <c r="DA38" s="1881"/>
      <c r="DB38" s="1881"/>
      <c r="DC38" s="1881"/>
      <c r="DD38" s="1881"/>
      <c r="DE38" s="1881"/>
      <c r="DF38" s="1881"/>
      <c r="DG38" s="1881"/>
      <c r="DH38" s="1881"/>
      <c r="DI38" s="1813"/>
      <c r="DJ38" s="1848"/>
      <c r="DK38" s="1849"/>
      <c r="DL38" s="1832"/>
      <c r="DM38" s="1832"/>
      <c r="DN38" s="1832"/>
      <c r="DO38" s="1832"/>
      <c r="DP38" s="1832"/>
      <c r="DQ38" s="1832"/>
      <c r="DR38" s="1832"/>
      <c r="DS38" s="1832"/>
      <c r="DT38" s="1832"/>
      <c r="DU38" s="1832"/>
      <c r="DV38" s="1832"/>
      <c r="DW38" s="1832"/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  <c r="EA38" s="1832"/>
      <c r="EB38" s="1832"/>
      <c r="EC38" s="1832"/>
      <c r="ED38" s="1832"/>
      <c r="EE38" s="1832"/>
      <c r="EF38" s="1832"/>
      <c r="EG38" s="1832"/>
      <c r="EH38" s="1832"/>
      <c r="EI38" s="1832"/>
      <c r="EJ38" s="1832"/>
      <c r="EK38" s="1832"/>
      <c r="EL38" s="1832"/>
      <c r="EM38" s="1832"/>
      <c r="EN38" s="1832"/>
      <c r="EO38" s="1832"/>
      <c r="EP38" s="1832"/>
      <c r="EQ38" s="1832"/>
      <c r="ER38" s="1832"/>
      <c r="ES38" s="1832"/>
      <c r="ET38" s="1832"/>
      <c r="EU38" s="1832"/>
      <c r="EV38" s="1832"/>
      <c r="EW38" s="1832"/>
      <c r="EX38" s="1832"/>
      <c r="EY38" s="1832"/>
      <c r="EZ38" s="1832"/>
      <c r="FA38" s="1832"/>
      <c r="FB38" s="1832"/>
      <c r="FC38" s="1832"/>
      <c r="FD38" s="1832"/>
      <c r="FE38" s="1832"/>
      <c r="FF38" s="1832"/>
      <c r="FG38" s="1832"/>
      <c r="FH38" s="1832"/>
      <c r="FI38" s="1832"/>
      <c r="FJ38" s="1832"/>
      <c r="FK38" s="1832"/>
      <c r="FL38" s="1832"/>
      <c r="FM38" s="1832"/>
      <c r="FN38" s="1832"/>
      <c r="FO38" s="1832"/>
      <c r="FP38" s="1832"/>
      <c r="FQ38" s="1832"/>
      <c r="FR38" s="1832"/>
      <c r="FS38" s="1832"/>
      <c r="FT38" s="1832"/>
      <c r="FU38" s="1832"/>
      <c r="FV38" s="1832"/>
      <c r="FW38" s="1832"/>
      <c r="FX38" s="1832"/>
      <c r="FY38" s="1832"/>
    </row>
    <row r="39" s="1814" customFormat="true" ht="15" hidden="false" customHeight="true" outlineLevel="0" collapsed="false">
      <c r="A39" s="1931"/>
      <c r="B39" s="1932" t="s">
        <v>1026</v>
      </c>
      <c r="C39" s="679" t="s">
        <v>1027</v>
      </c>
      <c r="D39" s="1933"/>
      <c r="E39" s="1934"/>
      <c r="F39" s="1934"/>
      <c r="G39" s="1935"/>
      <c r="H39" s="1936"/>
      <c r="I39" s="1804"/>
      <c r="J39" s="1933"/>
      <c r="K39" s="1934"/>
      <c r="L39" s="1934"/>
      <c r="M39" s="1934"/>
      <c r="N39" s="1936"/>
      <c r="O39" s="1805"/>
      <c r="P39" s="1934"/>
      <c r="Q39" s="1934"/>
      <c r="R39" s="1934"/>
      <c r="S39" s="1934"/>
      <c r="T39" s="1934"/>
      <c r="U39" s="1804"/>
      <c r="V39" s="1934"/>
      <c r="W39" s="1934"/>
      <c r="X39" s="1933"/>
      <c r="Y39" s="1934"/>
      <c r="Z39" s="1934"/>
      <c r="AA39" s="1934"/>
      <c r="AB39" s="1937"/>
      <c r="AC39" s="1937"/>
      <c r="AD39" s="1934"/>
      <c r="AE39" s="1934"/>
      <c r="AF39" s="1933"/>
      <c r="AG39" s="1934"/>
      <c r="AH39" s="1934"/>
      <c r="AI39" s="1934"/>
      <c r="AJ39" s="1937"/>
      <c r="AK39" s="1937"/>
      <c r="AL39" s="1934"/>
      <c r="AM39" s="1934"/>
      <c r="AN39" s="1933"/>
      <c r="AO39" s="1933"/>
      <c r="AP39" s="1934"/>
      <c r="AQ39" s="1934"/>
      <c r="AR39" s="1934"/>
      <c r="AS39" s="1937"/>
      <c r="AT39" s="1937"/>
      <c r="AU39" s="1934"/>
      <c r="AV39" s="1934"/>
      <c r="AW39" s="1934"/>
      <c r="AX39" s="1934"/>
      <c r="AY39" s="1934"/>
      <c r="AZ39" s="1934"/>
      <c r="BA39" s="1937"/>
      <c r="BB39" s="1938"/>
      <c r="BC39" s="1934"/>
      <c r="BD39" s="1934"/>
      <c r="BE39" s="1934"/>
      <c r="BF39" s="1934"/>
      <c r="BG39" s="1934"/>
      <c r="BH39" s="1934"/>
      <c r="BI39" s="1937"/>
      <c r="BJ39" s="1939"/>
      <c r="BK39" s="1934"/>
      <c r="BL39" s="1934"/>
      <c r="BM39" s="1934"/>
      <c r="BN39" s="1934"/>
      <c r="BO39" s="1934"/>
      <c r="BP39" s="1934"/>
      <c r="BQ39" s="1934"/>
      <c r="BR39" s="1937"/>
      <c r="BS39" s="1938"/>
      <c r="BT39" s="1934"/>
      <c r="BU39" s="1934"/>
      <c r="BV39" s="1934"/>
      <c r="BW39" s="1934"/>
      <c r="BX39" s="1934"/>
      <c r="BY39" s="1934"/>
      <c r="BZ39" s="1937"/>
      <c r="CA39" s="1938"/>
      <c r="CB39" s="1934"/>
      <c r="CC39" s="1934"/>
      <c r="CD39" s="1934"/>
      <c r="CE39" s="1934"/>
      <c r="CF39" s="1934"/>
      <c r="CG39" s="1934"/>
      <c r="CH39" s="1937"/>
      <c r="CI39" s="1938"/>
      <c r="CJ39" s="1934"/>
      <c r="CK39" s="1934"/>
      <c r="CL39" s="1934"/>
      <c r="CM39" s="1934"/>
      <c r="CN39" s="1934"/>
      <c r="CO39" s="1934"/>
      <c r="CP39" s="1937"/>
      <c r="CQ39" s="1940"/>
      <c r="CR39" s="1941"/>
      <c r="CS39" s="1941"/>
      <c r="CT39" s="1942"/>
      <c r="CU39" s="1942"/>
      <c r="CV39" s="1942"/>
      <c r="CW39" s="1942"/>
      <c r="CX39" s="1942"/>
      <c r="CY39" s="1889"/>
      <c r="CZ39" s="1943"/>
      <c r="DA39" s="1934"/>
      <c r="DB39" s="1934"/>
      <c r="DC39" s="1934"/>
      <c r="DD39" s="1942"/>
      <c r="DE39" s="1942"/>
      <c r="DF39" s="1942"/>
      <c r="DG39" s="1942"/>
      <c r="DH39" s="1942"/>
      <c r="DI39" s="1813"/>
      <c r="DJ39" s="1848"/>
      <c r="DK39" s="1849"/>
      <c r="DL39" s="1832"/>
      <c r="DM39" s="1832"/>
      <c r="DN39" s="1832"/>
      <c r="DO39" s="1832"/>
      <c r="DP39" s="1832"/>
      <c r="DQ39" s="1832"/>
      <c r="DR39" s="1832"/>
      <c r="DS39" s="1832"/>
      <c r="DT39" s="1832"/>
      <c r="DU39" s="1832"/>
      <c r="DV39" s="1832"/>
      <c r="DW39" s="1832"/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  <c r="EA39" s="1832"/>
      <c r="EB39" s="1832"/>
      <c r="EC39" s="1832"/>
      <c r="ED39" s="1832"/>
      <c r="EE39" s="1832"/>
      <c r="EF39" s="1832"/>
      <c r="EG39" s="1832"/>
      <c r="EH39" s="1832"/>
      <c r="EI39" s="1832"/>
      <c r="EJ39" s="1832"/>
      <c r="EK39" s="1832"/>
      <c r="EL39" s="1832"/>
      <c r="EM39" s="1832"/>
      <c r="EN39" s="1832"/>
      <c r="EO39" s="1832"/>
      <c r="EP39" s="1832"/>
      <c r="EQ39" s="1832"/>
      <c r="ER39" s="1832"/>
      <c r="ES39" s="1832"/>
      <c r="ET39" s="1832"/>
      <c r="EU39" s="1832"/>
      <c r="EV39" s="1832"/>
      <c r="EW39" s="1832"/>
      <c r="EX39" s="1832"/>
      <c r="EY39" s="1832"/>
      <c r="EZ39" s="1832"/>
      <c r="FA39" s="1832"/>
      <c r="FB39" s="1832"/>
      <c r="FC39" s="1832"/>
      <c r="FD39" s="1832"/>
      <c r="FE39" s="1832"/>
      <c r="FF39" s="1832"/>
      <c r="FG39" s="1832"/>
      <c r="FH39" s="1832"/>
      <c r="FI39" s="1832"/>
      <c r="FJ39" s="1832"/>
      <c r="FK39" s="1832"/>
      <c r="FL39" s="1832"/>
      <c r="FM39" s="1832"/>
      <c r="FN39" s="1832"/>
      <c r="FO39" s="1832"/>
      <c r="FP39" s="1832"/>
      <c r="FQ39" s="1832"/>
      <c r="FR39" s="1832"/>
      <c r="FS39" s="1832"/>
      <c r="FT39" s="1832"/>
      <c r="FU39" s="1832"/>
      <c r="FV39" s="1832"/>
      <c r="FW39" s="1832"/>
      <c r="FX39" s="1832"/>
      <c r="FY39" s="1832"/>
    </row>
    <row r="40" s="1832" customFormat="true" ht="15" hidden="false" customHeight="true" outlineLevel="0" collapsed="false">
      <c r="A40" s="1944"/>
      <c r="B40" s="1851" t="s">
        <v>984</v>
      </c>
      <c r="C40" s="679" t="s">
        <v>1028</v>
      </c>
      <c r="D40" s="1908"/>
      <c r="E40" s="1818"/>
      <c r="F40" s="130"/>
      <c r="G40" s="1818"/>
      <c r="H40" s="1819"/>
      <c r="I40" s="1852"/>
      <c r="J40" s="1908"/>
      <c r="K40" s="1818"/>
      <c r="L40" s="697"/>
      <c r="M40" s="1909"/>
      <c r="N40" s="1819"/>
      <c r="O40" s="1853"/>
      <c r="P40" s="1908"/>
      <c r="Q40" s="1909"/>
      <c r="R40" s="697"/>
      <c r="S40" s="1909"/>
      <c r="T40" s="1819"/>
      <c r="U40" s="1852"/>
      <c r="V40" s="1908"/>
      <c r="W40" s="1909"/>
      <c r="X40" s="1818"/>
      <c r="Y40" s="130"/>
      <c r="Z40" s="130"/>
      <c r="AA40" s="1818"/>
      <c r="AB40" s="1819"/>
      <c r="AC40" s="731"/>
      <c r="AD40" s="1908"/>
      <c r="AE40" s="1909"/>
      <c r="AF40" s="1818"/>
      <c r="AG40" s="130"/>
      <c r="AH40" s="130"/>
      <c r="AI40" s="1818"/>
      <c r="AJ40" s="1819"/>
      <c r="AK40" s="731"/>
      <c r="AL40" s="1908"/>
      <c r="AM40" s="1909"/>
      <c r="AN40" s="1818"/>
      <c r="AO40" s="1818"/>
      <c r="AP40" s="130"/>
      <c r="AQ40" s="130"/>
      <c r="AR40" s="1818"/>
      <c r="AS40" s="1819"/>
      <c r="AT40" s="731"/>
      <c r="AU40" s="1908"/>
      <c r="AV40" s="1909"/>
      <c r="AW40" s="1909"/>
      <c r="AX40" s="130"/>
      <c r="AY40" s="130"/>
      <c r="AZ40" s="1818"/>
      <c r="BA40" s="1819"/>
      <c r="BB40" s="732"/>
      <c r="BC40" s="1908"/>
      <c r="BD40" s="1909"/>
      <c r="BE40" s="1909"/>
      <c r="BF40" s="130"/>
      <c r="BG40" s="130"/>
      <c r="BH40" s="1818"/>
      <c r="BI40" s="1819"/>
      <c r="BJ40" s="733"/>
      <c r="BK40" s="1908"/>
      <c r="BL40" s="1909"/>
      <c r="BM40" s="1909"/>
      <c r="BN40" s="1909"/>
      <c r="BO40" s="130"/>
      <c r="BP40" s="130"/>
      <c r="BQ40" s="1818"/>
      <c r="BR40" s="1819"/>
      <c r="BS40" s="732"/>
      <c r="BT40" s="1908"/>
      <c r="BU40" s="1909"/>
      <c r="BV40" s="1909"/>
      <c r="BW40" s="130"/>
      <c r="BX40" s="130"/>
      <c r="BY40" s="1818"/>
      <c r="BZ40" s="1819"/>
      <c r="CA40" s="732"/>
      <c r="CB40" s="1908"/>
      <c r="CC40" s="1909"/>
      <c r="CD40" s="1909"/>
      <c r="CE40" s="130"/>
      <c r="CF40" s="130"/>
      <c r="CG40" s="1818"/>
      <c r="CH40" s="1819"/>
      <c r="CI40" s="732"/>
      <c r="CJ40" s="1908"/>
      <c r="CK40" s="1909"/>
      <c r="CL40" s="1909"/>
      <c r="CM40" s="130"/>
      <c r="CN40" s="130"/>
      <c r="CO40" s="1818"/>
      <c r="CP40" s="1819"/>
      <c r="CQ40" s="732"/>
      <c r="CR40" s="130"/>
      <c r="CS40" s="130"/>
      <c r="CT40" s="1818"/>
      <c r="CU40" s="1818" t="n">
        <f aca="false">CR40-CS40</f>
        <v>0</v>
      </c>
      <c r="CV40" s="1818" t="n">
        <f aca="false">CR40-CT40</f>
        <v>0</v>
      </c>
      <c r="CW40" s="1818"/>
      <c r="CX40" s="731" t="str">
        <f aca="false">IFERROR(CR40/CW40-1, "-")</f>
        <v>-</v>
      </c>
      <c r="CY40" s="410"/>
      <c r="CZ40" s="736"/>
      <c r="DA40" s="1818"/>
      <c r="DB40" s="1818"/>
      <c r="DC40" s="1818"/>
      <c r="DD40" s="1818"/>
      <c r="DE40" s="731" t="e">
        <f aca="false">CZ40/DD40-1</f>
        <v>#DIV/0!</v>
      </c>
      <c r="DF40" s="731" t="e">
        <f aca="false">DA40/DD40-1</f>
        <v>#DIV/0!</v>
      </c>
      <c r="DG40" s="1852" t="e">
        <f aca="false">DB40/DD40-1</f>
        <v>#DIV/0!</v>
      </c>
      <c r="DH40" s="1855" t="e">
        <f aca="false">DC40/DD40-1</f>
        <v>#DIV/0!</v>
      </c>
      <c r="DI40" s="1831"/>
      <c r="DJ40" s="1848"/>
      <c r="DK40" s="1849"/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s="1814" customFormat="true" ht="15" hidden="false" customHeight="true" outlineLevel="0" collapsed="false">
      <c r="A41" s="463"/>
      <c r="B41" s="1857" t="s">
        <v>986</v>
      </c>
      <c r="C41" s="679" t="s">
        <v>1029</v>
      </c>
      <c r="D41" s="426"/>
      <c r="E41" s="986"/>
      <c r="F41" s="144"/>
      <c r="G41" s="986"/>
      <c r="H41" s="1836"/>
      <c r="I41" s="245"/>
      <c r="J41" s="426"/>
      <c r="K41" s="986"/>
      <c r="L41" s="144"/>
      <c r="M41" s="986"/>
      <c r="N41" s="1836"/>
      <c r="O41" s="422"/>
      <c r="P41" s="426"/>
      <c r="Q41" s="986"/>
      <c r="R41" s="144"/>
      <c r="S41" s="986"/>
      <c r="T41" s="1836"/>
      <c r="U41" s="245"/>
      <c r="V41" s="426"/>
      <c r="W41" s="986"/>
      <c r="X41" s="986"/>
      <c r="Y41" s="144"/>
      <c r="Z41" s="144"/>
      <c r="AA41" s="986"/>
      <c r="AB41" s="1835"/>
      <c r="AC41" s="245"/>
      <c r="AD41" s="426"/>
      <c r="AE41" s="986"/>
      <c r="AF41" s="986"/>
      <c r="AG41" s="144"/>
      <c r="AH41" s="144"/>
      <c r="AI41" s="986"/>
      <c r="AJ41" s="1835"/>
      <c r="AK41" s="245"/>
      <c r="AL41" s="426"/>
      <c r="AM41" s="986"/>
      <c r="AN41" s="986"/>
      <c r="AO41" s="986"/>
      <c r="AP41" s="144"/>
      <c r="AQ41" s="144"/>
      <c r="AR41" s="986"/>
      <c r="AS41" s="1835"/>
      <c r="AT41" s="245"/>
      <c r="AU41" s="426"/>
      <c r="AV41" s="986"/>
      <c r="AW41" s="986"/>
      <c r="AX41" s="144"/>
      <c r="AY41" s="144"/>
      <c r="AZ41" s="986"/>
      <c r="BA41" s="1836"/>
      <c r="BB41" s="422"/>
      <c r="BC41" s="426"/>
      <c r="BD41" s="986"/>
      <c r="BE41" s="986"/>
      <c r="BF41" s="144"/>
      <c r="BG41" s="144"/>
      <c r="BH41" s="986"/>
      <c r="BI41" s="1836"/>
      <c r="BJ41" s="423"/>
      <c r="BK41" s="426"/>
      <c r="BL41" s="986"/>
      <c r="BM41" s="986"/>
      <c r="BN41" s="986"/>
      <c r="BO41" s="144"/>
      <c r="BP41" s="144"/>
      <c r="BQ41" s="986"/>
      <c r="BR41" s="1836"/>
      <c r="BS41" s="422"/>
      <c r="BT41" s="426"/>
      <c r="BU41" s="986"/>
      <c r="BV41" s="986"/>
      <c r="BW41" s="144"/>
      <c r="BX41" s="144"/>
      <c r="BY41" s="986"/>
      <c r="BZ41" s="1836"/>
      <c r="CA41" s="422"/>
      <c r="CB41" s="426"/>
      <c r="CC41" s="986"/>
      <c r="CD41" s="986"/>
      <c r="CE41" s="144"/>
      <c r="CF41" s="144"/>
      <c r="CG41" s="986"/>
      <c r="CH41" s="1836"/>
      <c r="CI41" s="422"/>
      <c r="CJ41" s="426"/>
      <c r="CK41" s="986"/>
      <c r="CL41" s="986"/>
      <c r="CM41" s="144"/>
      <c r="CN41" s="144"/>
      <c r="CO41" s="986"/>
      <c r="CP41" s="1836"/>
      <c r="CQ41" s="422"/>
      <c r="CR41" s="986"/>
      <c r="CS41" s="144"/>
      <c r="CT41" s="986"/>
      <c r="CU41" s="986" t="n">
        <f aca="false">CR41-CS41</f>
        <v>0</v>
      </c>
      <c r="CV41" s="986" t="n">
        <f aca="false">CR41-CT41</f>
        <v>0</v>
      </c>
      <c r="CW41" s="986"/>
      <c r="CX41" s="731" t="str">
        <f aca="false">IFERROR(CR41/CW41-1, "-")</f>
        <v>-</v>
      </c>
      <c r="CY41" s="425"/>
      <c r="CZ41" s="1911"/>
      <c r="DA41" s="986"/>
      <c r="DB41" s="986"/>
      <c r="DC41" s="986"/>
      <c r="DD41" s="986"/>
      <c r="DE41" s="245" t="e">
        <f aca="false">CZ41/DD41-1</f>
        <v>#DIV/0!</v>
      </c>
      <c r="DF41" s="245" t="e">
        <f aca="false">DA41/DD41-1</f>
        <v>#DIV/0!</v>
      </c>
      <c r="DG41" s="245" t="e">
        <f aca="false">DB41/DD41-1</f>
        <v>#DIV/0!</v>
      </c>
      <c r="DH41" s="805" t="e">
        <f aca="false">DC41/DD41-1</f>
        <v>#DIV/0!</v>
      </c>
      <c r="DI41" s="1813"/>
      <c r="DJ41" s="1848"/>
      <c r="DK41" s="1849"/>
      <c r="DL41" s="1832"/>
      <c r="DM41" s="1832"/>
      <c r="DN41" s="1832"/>
      <c r="DO41" s="1832"/>
      <c r="DP41" s="1832"/>
      <c r="DQ41" s="1832"/>
      <c r="DR41" s="1832"/>
      <c r="DS41" s="1832"/>
      <c r="DT41" s="1832"/>
      <c r="DU41" s="1832"/>
      <c r="DV41" s="1832"/>
      <c r="DW41" s="1832"/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A41" s="1832"/>
      <c r="EB41" s="1832"/>
      <c r="EC41" s="1832"/>
      <c r="ED41" s="1832"/>
      <c r="EE41" s="1832"/>
      <c r="EF41" s="1832"/>
      <c r="EG41" s="1832"/>
      <c r="EH41" s="1832"/>
      <c r="EI41" s="1832"/>
      <c r="EJ41" s="1832"/>
      <c r="EK41" s="1832"/>
      <c r="EL41" s="1832"/>
      <c r="EM41" s="1832"/>
      <c r="EN41" s="1832"/>
      <c r="EO41" s="1832"/>
      <c r="EP41" s="1832"/>
      <c r="EQ41" s="1832"/>
      <c r="ER41" s="1832"/>
      <c r="ES41" s="1832"/>
      <c r="ET41" s="1832"/>
      <c r="EU41" s="1832"/>
      <c r="EV41" s="1832"/>
      <c r="EW41" s="1832"/>
      <c r="EX41" s="1832"/>
      <c r="EY41" s="1832"/>
      <c r="EZ41" s="1832"/>
      <c r="FA41" s="1832"/>
      <c r="FB41" s="1832"/>
      <c r="FC41" s="1832"/>
      <c r="FD41" s="1832"/>
      <c r="FE41" s="1832"/>
      <c r="FF41" s="1832"/>
      <c r="FG41" s="1832"/>
      <c r="FH41" s="1832"/>
      <c r="FI41" s="1832"/>
      <c r="FJ41" s="1832"/>
      <c r="FK41" s="1832"/>
      <c r="FL41" s="1832"/>
      <c r="FM41" s="1832"/>
      <c r="FN41" s="1832"/>
      <c r="FO41" s="1832"/>
      <c r="FP41" s="1832"/>
      <c r="FQ41" s="1832"/>
      <c r="FR41" s="1832"/>
      <c r="FS41" s="1832"/>
      <c r="FT41" s="1832"/>
      <c r="FU41" s="1832"/>
      <c r="FV41" s="1832"/>
      <c r="FW41" s="1832"/>
      <c r="FX41" s="1832"/>
      <c r="FY41" s="1832"/>
    </row>
    <row r="42" s="1918" customFormat="true" ht="15" hidden="false" customHeight="true" outlineLevel="0" collapsed="false">
      <c r="A42" s="1945"/>
      <c r="B42" s="1946" t="s">
        <v>988</v>
      </c>
      <c r="C42" s="679" t="s">
        <v>1030</v>
      </c>
      <c r="D42" s="426"/>
      <c r="E42" s="1915"/>
      <c r="F42" s="144"/>
      <c r="G42" s="1915"/>
      <c r="H42" s="1836"/>
      <c r="I42" s="245"/>
      <c r="J42" s="426"/>
      <c r="K42" s="1915"/>
      <c r="L42" s="144"/>
      <c r="M42" s="1915"/>
      <c r="N42" s="1836"/>
      <c r="O42" s="422"/>
      <c r="P42" s="426"/>
      <c r="Q42" s="1915"/>
      <c r="R42" s="144"/>
      <c r="S42" s="1915"/>
      <c r="T42" s="1836"/>
      <c r="U42" s="245"/>
      <c r="V42" s="426"/>
      <c r="W42" s="1915"/>
      <c r="X42" s="1915"/>
      <c r="Y42" s="144"/>
      <c r="Z42" s="144"/>
      <c r="AA42" s="1915"/>
      <c r="AB42" s="1835"/>
      <c r="AC42" s="245"/>
      <c r="AD42" s="426"/>
      <c r="AE42" s="1915"/>
      <c r="AF42" s="1915"/>
      <c r="AG42" s="144"/>
      <c r="AH42" s="144"/>
      <c r="AI42" s="1915"/>
      <c r="AJ42" s="1835"/>
      <c r="AK42" s="245"/>
      <c r="AL42" s="426"/>
      <c r="AM42" s="1915"/>
      <c r="AN42" s="1915"/>
      <c r="AO42" s="1915"/>
      <c r="AP42" s="144"/>
      <c r="AQ42" s="144"/>
      <c r="AR42" s="1915"/>
      <c r="AS42" s="1835"/>
      <c r="AT42" s="245"/>
      <c r="AU42" s="426"/>
      <c r="AV42" s="1915"/>
      <c r="AW42" s="1915"/>
      <c r="AX42" s="144"/>
      <c r="AY42" s="144"/>
      <c r="AZ42" s="1915"/>
      <c r="BA42" s="1836"/>
      <c r="BB42" s="422"/>
      <c r="BC42" s="426"/>
      <c r="BD42" s="1915"/>
      <c r="BE42" s="1915"/>
      <c r="BF42" s="144"/>
      <c r="BG42" s="144"/>
      <c r="BH42" s="1915"/>
      <c r="BI42" s="1836"/>
      <c r="BJ42" s="423"/>
      <c r="BK42" s="426"/>
      <c r="BL42" s="1915"/>
      <c r="BM42" s="1915"/>
      <c r="BN42" s="1915"/>
      <c r="BO42" s="144"/>
      <c r="BP42" s="144"/>
      <c r="BQ42" s="1915"/>
      <c r="BR42" s="1836"/>
      <c r="BS42" s="422"/>
      <c r="BT42" s="426"/>
      <c r="BU42" s="1915"/>
      <c r="BV42" s="1915"/>
      <c r="BW42" s="144"/>
      <c r="BX42" s="144"/>
      <c r="BY42" s="1915"/>
      <c r="BZ42" s="1836"/>
      <c r="CA42" s="422"/>
      <c r="CB42" s="426"/>
      <c r="CC42" s="1915"/>
      <c r="CD42" s="1915"/>
      <c r="CE42" s="144"/>
      <c r="CF42" s="144"/>
      <c r="CG42" s="1915"/>
      <c r="CH42" s="1836"/>
      <c r="CI42" s="422"/>
      <c r="CJ42" s="426"/>
      <c r="CK42" s="1915"/>
      <c r="CL42" s="1915"/>
      <c r="CM42" s="144"/>
      <c r="CN42" s="144"/>
      <c r="CO42" s="1915"/>
      <c r="CP42" s="1836"/>
      <c r="CQ42" s="422"/>
      <c r="CR42" s="986"/>
      <c r="CS42" s="144"/>
      <c r="CT42" s="986"/>
      <c r="CU42" s="1915" t="n">
        <f aca="false">CR42-CS42</f>
        <v>0</v>
      </c>
      <c r="CV42" s="1915" t="n">
        <f aca="false">CR42-CT42</f>
        <v>0</v>
      </c>
      <c r="CW42" s="1915"/>
      <c r="CX42" s="731" t="str">
        <f aca="false">IFERROR(CR42/CW42-1, "-")</f>
        <v>-</v>
      </c>
      <c r="CY42" s="1947"/>
      <c r="CZ42" s="1911"/>
      <c r="DA42" s="1915"/>
      <c r="DB42" s="1915"/>
      <c r="DC42" s="1915"/>
      <c r="DD42" s="1915"/>
      <c r="DE42" s="245" t="e">
        <f aca="false">CZ42/DD42-1</f>
        <v>#DIV/0!</v>
      </c>
      <c r="DF42" s="245" t="e">
        <f aca="false">DA42/DD42-1</f>
        <v>#DIV/0!</v>
      </c>
      <c r="DG42" s="245" t="e">
        <f aca="false">DB42/DD42-1</f>
        <v>#DIV/0!</v>
      </c>
      <c r="DH42" s="805" t="e">
        <f aca="false">DC42/DD42-1</f>
        <v>#DIV/0!</v>
      </c>
      <c r="DI42" s="1948"/>
      <c r="DJ42" s="1848"/>
      <c r="DK42" s="1849"/>
      <c r="DL42" s="1832"/>
      <c r="DM42" s="1832"/>
      <c r="DN42" s="1832"/>
      <c r="DO42" s="1832"/>
      <c r="DP42" s="1832"/>
      <c r="DQ42" s="1832"/>
      <c r="DR42" s="1832"/>
      <c r="DS42" s="1832"/>
      <c r="DT42" s="1832"/>
      <c r="DU42" s="1832"/>
      <c r="DV42" s="1832"/>
      <c r="DW42" s="1832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A42" s="1832"/>
      <c r="EB42" s="1832"/>
      <c r="EC42" s="1832"/>
      <c r="ED42" s="1832"/>
      <c r="EE42" s="1832"/>
      <c r="EF42" s="1832"/>
      <c r="EG42" s="1832"/>
      <c r="EH42" s="1832"/>
      <c r="EI42" s="1832"/>
      <c r="EJ42" s="1832"/>
      <c r="EK42" s="1832"/>
      <c r="EL42" s="1832"/>
      <c r="EM42" s="1832"/>
      <c r="EN42" s="1832"/>
      <c r="EO42" s="1832"/>
      <c r="EP42" s="1832"/>
      <c r="EQ42" s="1832"/>
      <c r="ER42" s="1832"/>
      <c r="ES42" s="1832"/>
      <c r="ET42" s="1832"/>
      <c r="EU42" s="1832"/>
      <c r="EV42" s="1832"/>
      <c r="EW42" s="1832"/>
      <c r="EX42" s="1832"/>
      <c r="EY42" s="1832"/>
      <c r="EZ42" s="1832"/>
      <c r="FA42" s="1832"/>
      <c r="FB42" s="1832"/>
      <c r="FC42" s="1832"/>
      <c r="FD42" s="1832"/>
      <c r="FE42" s="1832"/>
      <c r="FF42" s="1832"/>
      <c r="FG42" s="1832"/>
      <c r="FH42" s="1832"/>
      <c r="FI42" s="1832"/>
      <c r="FJ42" s="1832"/>
      <c r="FK42" s="1832"/>
      <c r="FL42" s="1832"/>
      <c r="FM42" s="1832"/>
      <c r="FN42" s="1832"/>
      <c r="FO42" s="1832"/>
      <c r="FP42" s="1832"/>
      <c r="FQ42" s="1832"/>
      <c r="FR42" s="1832"/>
      <c r="FS42" s="1832"/>
      <c r="FT42" s="1832"/>
      <c r="FU42" s="1832"/>
      <c r="FV42" s="1832"/>
      <c r="FW42" s="1832"/>
      <c r="FX42" s="1832"/>
      <c r="FY42" s="1832"/>
    </row>
    <row r="43" s="1918" customFormat="true" ht="12.75" hidden="true" customHeight="false" outlineLevel="0" collapsed="false">
      <c r="A43" s="1912"/>
      <c r="B43" s="1913"/>
      <c r="C43" s="679" t="s">
        <v>1031</v>
      </c>
      <c r="D43" s="1864"/>
      <c r="E43" s="1914"/>
      <c r="F43" s="1915"/>
      <c r="G43" s="1915"/>
      <c r="H43" s="1835"/>
      <c r="I43" s="245"/>
      <c r="J43" s="1864"/>
      <c r="K43" s="1914"/>
      <c r="L43" s="1915"/>
      <c r="M43" s="1915"/>
      <c r="N43" s="1835"/>
      <c r="O43" s="422"/>
      <c r="P43" s="1864"/>
      <c r="Q43" s="1914"/>
      <c r="R43" s="1915"/>
      <c r="S43" s="1915"/>
      <c r="T43" s="1835"/>
      <c r="U43" s="245"/>
      <c r="V43" s="1864"/>
      <c r="W43" s="1914"/>
      <c r="X43" s="1914"/>
      <c r="Y43" s="1915"/>
      <c r="Z43" s="1915"/>
      <c r="AA43" s="1915"/>
      <c r="AB43" s="1835"/>
      <c r="AC43" s="245"/>
      <c r="AD43" s="1864"/>
      <c r="AE43" s="1914"/>
      <c r="AF43" s="1914"/>
      <c r="AG43" s="1915"/>
      <c r="AH43" s="1915"/>
      <c r="AI43" s="1915"/>
      <c r="AJ43" s="1835"/>
      <c r="AK43" s="245"/>
      <c r="AL43" s="1864"/>
      <c r="AM43" s="1914"/>
      <c r="AN43" s="1914"/>
      <c r="AO43" s="1914"/>
      <c r="AP43" s="1915"/>
      <c r="AQ43" s="1915"/>
      <c r="AR43" s="1915"/>
      <c r="AS43" s="1835"/>
      <c r="AT43" s="245"/>
      <c r="AU43" s="1864"/>
      <c r="AV43" s="1914"/>
      <c r="AW43" s="1914"/>
      <c r="AX43" s="1915"/>
      <c r="AY43" s="1915"/>
      <c r="AZ43" s="1915"/>
      <c r="BA43" s="1835"/>
      <c r="BB43" s="422"/>
      <c r="BC43" s="1864"/>
      <c r="BD43" s="1914"/>
      <c r="BE43" s="1914"/>
      <c r="BF43" s="1915"/>
      <c r="BG43" s="1915"/>
      <c r="BH43" s="1915"/>
      <c r="BI43" s="1835"/>
      <c r="BJ43" s="423"/>
      <c r="BK43" s="1864"/>
      <c r="BL43" s="1914"/>
      <c r="BM43" s="1914"/>
      <c r="BN43" s="1914"/>
      <c r="BO43" s="1915"/>
      <c r="BP43" s="1915"/>
      <c r="BQ43" s="1915"/>
      <c r="BR43" s="1835"/>
      <c r="BS43" s="422"/>
      <c r="BT43" s="1864"/>
      <c r="BU43" s="1914"/>
      <c r="BV43" s="1914"/>
      <c r="BW43" s="1915"/>
      <c r="BX43" s="1915"/>
      <c r="BY43" s="1915"/>
      <c r="BZ43" s="1835"/>
      <c r="CA43" s="422"/>
      <c r="CB43" s="1864"/>
      <c r="CC43" s="1914"/>
      <c r="CD43" s="1914"/>
      <c r="CE43" s="1915"/>
      <c r="CF43" s="1915"/>
      <c r="CG43" s="1915"/>
      <c r="CH43" s="1835"/>
      <c r="CI43" s="422"/>
      <c r="CJ43" s="1864"/>
      <c r="CK43" s="1914"/>
      <c r="CL43" s="1914"/>
      <c r="CM43" s="1915"/>
      <c r="CN43" s="1915"/>
      <c r="CO43" s="1915"/>
      <c r="CP43" s="1835"/>
      <c r="CQ43" s="422"/>
      <c r="CR43" s="245"/>
      <c r="CS43" s="1915"/>
      <c r="CT43" s="1915"/>
      <c r="CU43" s="1915"/>
      <c r="CV43" s="1915"/>
      <c r="CW43" s="1915"/>
      <c r="CX43" s="731" t="str">
        <f aca="false">IFERROR(CR43/CW43-1, "-")</f>
        <v>-</v>
      </c>
      <c r="CY43" s="1911"/>
      <c r="CZ43" s="1865"/>
      <c r="DA43" s="1914"/>
      <c r="DB43" s="1914"/>
      <c r="DC43" s="1914"/>
      <c r="DD43" s="1915"/>
      <c r="DE43" s="245"/>
      <c r="DF43" s="1915"/>
      <c r="DG43" s="1915"/>
      <c r="DH43" s="1916"/>
      <c r="DI43" s="1917"/>
      <c r="DJ43" s="1848"/>
      <c r="DK43" s="1849"/>
      <c r="DL43" s="1832"/>
      <c r="DM43" s="1832"/>
      <c r="DN43" s="1832"/>
      <c r="DO43" s="1832"/>
      <c r="DP43" s="1832"/>
      <c r="DQ43" s="1832"/>
      <c r="DR43" s="1832"/>
      <c r="DS43" s="1832"/>
      <c r="DT43" s="1832"/>
      <c r="DU43" s="1832"/>
      <c r="DV43" s="1832"/>
      <c r="DW43" s="1832"/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  <c r="EA43" s="1832"/>
      <c r="EB43" s="1832"/>
      <c r="EC43" s="1832"/>
      <c r="ED43" s="1832"/>
      <c r="EE43" s="1832"/>
      <c r="EF43" s="1832"/>
      <c r="EG43" s="1832"/>
      <c r="EH43" s="1832"/>
      <c r="EI43" s="1832"/>
      <c r="EJ43" s="1832"/>
      <c r="EK43" s="1832"/>
      <c r="EL43" s="1832"/>
      <c r="EM43" s="1832"/>
      <c r="EN43" s="1832"/>
      <c r="EO43" s="1832"/>
      <c r="EP43" s="1832"/>
      <c r="EQ43" s="1832"/>
      <c r="ER43" s="1832"/>
      <c r="ES43" s="1832"/>
      <c r="ET43" s="1832"/>
      <c r="EU43" s="1832"/>
      <c r="EV43" s="1832"/>
      <c r="EW43" s="1832"/>
      <c r="EX43" s="1832"/>
      <c r="EY43" s="1832"/>
      <c r="EZ43" s="1832"/>
      <c r="FA43" s="1832"/>
      <c r="FB43" s="1832"/>
      <c r="FC43" s="1832"/>
      <c r="FD43" s="1832"/>
      <c r="FE43" s="1832"/>
      <c r="FF43" s="1832"/>
      <c r="FG43" s="1832"/>
      <c r="FH43" s="1832"/>
      <c r="FI43" s="1832"/>
      <c r="FJ43" s="1832"/>
      <c r="FK43" s="1832"/>
      <c r="FL43" s="1832"/>
      <c r="FM43" s="1832"/>
      <c r="FN43" s="1832"/>
      <c r="FO43" s="1832"/>
      <c r="FP43" s="1832"/>
      <c r="FQ43" s="1832"/>
      <c r="FR43" s="1832"/>
      <c r="FS43" s="1832"/>
      <c r="FT43" s="1832"/>
      <c r="FU43" s="1832"/>
      <c r="FV43" s="1832"/>
      <c r="FW43" s="1832"/>
      <c r="FX43" s="1832"/>
      <c r="FY43" s="1832"/>
    </row>
    <row r="44" s="1867" customFormat="true" ht="15" hidden="false" customHeight="true" outlineLevel="0" collapsed="false">
      <c r="A44" s="1920"/>
      <c r="B44" s="1863" t="s">
        <v>1032</v>
      </c>
      <c r="C44" s="679" t="s">
        <v>1033</v>
      </c>
      <c r="D44" s="1864"/>
      <c r="E44" s="245"/>
      <c r="F44" s="245"/>
      <c r="G44" s="245"/>
      <c r="H44" s="1835"/>
      <c r="I44" s="245"/>
      <c r="J44" s="1864"/>
      <c r="K44" s="245"/>
      <c r="L44" s="245"/>
      <c r="M44" s="245"/>
      <c r="N44" s="1835"/>
      <c r="O44" s="422"/>
      <c r="P44" s="1864"/>
      <c r="Q44" s="245"/>
      <c r="R44" s="245"/>
      <c r="S44" s="245"/>
      <c r="T44" s="1835"/>
      <c r="U44" s="245"/>
      <c r="V44" s="1864"/>
      <c r="W44" s="245"/>
      <c r="X44" s="245"/>
      <c r="Y44" s="245"/>
      <c r="Z44" s="245"/>
      <c r="AA44" s="245"/>
      <c r="AB44" s="1835"/>
      <c r="AC44" s="245"/>
      <c r="AD44" s="1864"/>
      <c r="AE44" s="245"/>
      <c r="AF44" s="245"/>
      <c r="AG44" s="245"/>
      <c r="AH44" s="245"/>
      <c r="AI44" s="245"/>
      <c r="AJ44" s="1835"/>
      <c r="AK44" s="245"/>
      <c r="AL44" s="1864"/>
      <c r="AM44" s="245"/>
      <c r="AN44" s="245"/>
      <c r="AO44" s="245"/>
      <c r="AP44" s="245"/>
      <c r="AQ44" s="245"/>
      <c r="AR44" s="245"/>
      <c r="AS44" s="1835"/>
      <c r="AT44" s="245"/>
      <c r="AU44" s="1864"/>
      <c r="AV44" s="245"/>
      <c r="AW44" s="245"/>
      <c r="AX44" s="245"/>
      <c r="AY44" s="245"/>
      <c r="AZ44" s="245"/>
      <c r="BA44" s="1835"/>
      <c r="BB44" s="422"/>
      <c r="BC44" s="1864"/>
      <c r="BD44" s="245"/>
      <c r="BE44" s="245"/>
      <c r="BF44" s="245"/>
      <c r="BG44" s="245"/>
      <c r="BH44" s="245"/>
      <c r="BI44" s="1835"/>
      <c r="BJ44" s="422"/>
      <c r="BK44" s="1864"/>
      <c r="BL44" s="245"/>
      <c r="BM44" s="245"/>
      <c r="BN44" s="245"/>
      <c r="BO44" s="245"/>
      <c r="BP44" s="245"/>
      <c r="BQ44" s="245"/>
      <c r="BR44" s="1835"/>
      <c r="BS44" s="422"/>
      <c r="BT44" s="1864"/>
      <c r="BU44" s="245"/>
      <c r="BV44" s="245"/>
      <c r="BW44" s="245"/>
      <c r="BX44" s="245"/>
      <c r="BY44" s="245"/>
      <c r="BZ44" s="1835"/>
      <c r="CA44" s="422"/>
      <c r="CB44" s="1864"/>
      <c r="CC44" s="245"/>
      <c r="CD44" s="245"/>
      <c r="CE44" s="245"/>
      <c r="CF44" s="245"/>
      <c r="CG44" s="245"/>
      <c r="CH44" s="1835"/>
      <c r="CI44" s="422"/>
      <c r="CJ44" s="1864"/>
      <c r="CK44" s="245"/>
      <c r="CL44" s="245"/>
      <c r="CM44" s="245"/>
      <c r="CN44" s="245"/>
      <c r="CO44" s="245"/>
      <c r="CP44" s="1835"/>
      <c r="CQ44" s="422"/>
      <c r="CR44" s="245"/>
      <c r="CS44" s="245"/>
      <c r="CT44" s="245"/>
      <c r="CU44" s="245" t="n">
        <f aca="false">CR44-CS44</f>
        <v>0</v>
      </c>
      <c r="CV44" s="245" t="n">
        <f aca="false">CR44-CT44</f>
        <v>0</v>
      </c>
      <c r="CW44" s="245"/>
      <c r="CX44" s="731" t="str">
        <f aca="false">IFERROR(CR44/CW44-1, "-")</f>
        <v>-</v>
      </c>
      <c r="CY44" s="1865"/>
      <c r="CZ44" s="1865"/>
      <c r="DA44" s="245"/>
      <c r="DB44" s="245"/>
      <c r="DC44" s="245"/>
      <c r="DD44" s="245"/>
      <c r="DE44" s="245" t="e">
        <f aca="false">CZ44/DD44-1</f>
        <v>#DIV/0!</v>
      </c>
      <c r="DF44" s="245" t="e">
        <f aca="false">DA44/DD44-1</f>
        <v>#DIV/0!</v>
      </c>
      <c r="DG44" s="245" t="e">
        <f aca="false">DB44/DD44-1</f>
        <v>#DIV/0!</v>
      </c>
      <c r="DH44" s="805" t="e">
        <f aca="false">DC44/DD44-1</f>
        <v>#DIV/0!</v>
      </c>
      <c r="DI44" s="1866"/>
      <c r="DJ44" s="1921"/>
      <c r="DL44" s="1921"/>
      <c r="DM44" s="1921"/>
      <c r="DN44" s="1921"/>
      <c r="DO44" s="1921"/>
      <c r="DP44" s="1921"/>
      <c r="DQ44" s="1921"/>
      <c r="DR44" s="1921"/>
      <c r="DS44" s="1921"/>
      <c r="DT44" s="1921"/>
      <c r="DU44" s="1921"/>
      <c r="DV44" s="1921"/>
      <c r="DW44" s="1921"/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A44" s="1921"/>
      <c r="EB44" s="1921"/>
      <c r="EC44" s="1921"/>
      <c r="ED44" s="1921"/>
      <c r="EE44" s="1921"/>
      <c r="EF44" s="1921"/>
      <c r="EG44" s="1921"/>
      <c r="EH44" s="1921"/>
      <c r="EI44" s="1921"/>
      <c r="EJ44" s="1921"/>
      <c r="EK44" s="1921"/>
      <c r="EL44" s="1921"/>
      <c r="EM44" s="1921"/>
      <c r="EN44" s="1921"/>
      <c r="EO44" s="1921"/>
      <c r="EP44" s="1921"/>
      <c r="EQ44" s="1921"/>
      <c r="ER44" s="1921"/>
      <c r="ES44" s="1921"/>
      <c r="ET44" s="1921"/>
      <c r="EU44" s="1921"/>
      <c r="EV44" s="1921"/>
      <c r="EW44" s="1921"/>
      <c r="EX44" s="1921"/>
      <c r="EY44" s="1921"/>
      <c r="EZ44" s="1921"/>
      <c r="FA44" s="1921"/>
      <c r="FB44" s="1921"/>
      <c r="FC44" s="1921"/>
      <c r="FD44" s="1921"/>
      <c r="FE44" s="1921"/>
      <c r="FF44" s="1921"/>
      <c r="FG44" s="1921"/>
      <c r="FH44" s="1921"/>
      <c r="FI44" s="1921"/>
      <c r="FJ44" s="1921"/>
      <c r="FK44" s="1921"/>
      <c r="FL44" s="1921"/>
      <c r="FM44" s="1921"/>
      <c r="FN44" s="1921"/>
      <c r="FO44" s="1921"/>
      <c r="FP44" s="1921"/>
      <c r="FQ44" s="1921"/>
      <c r="FR44" s="1921"/>
      <c r="FS44" s="1921"/>
      <c r="FT44" s="1921"/>
      <c r="FU44" s="1921"/>
      <c r="FV44" s="1921"/>
      <c r="FW44" s="1921"/>
      <c r="FX44" s="1921"/>
      <c r="FY44" s="1921"/>
    </row>
    <row r="45" s="1814" customFormat="true" ht="15" hidden="false" customHeight="true" outlineLevel="0" collapsed="false">
      <c r="A45" s="463"/>
      <c r="B45" s="1857" t="s">
        <v>992</v>
      </c>
      <c r="C45" s="679" t="s">
        <v>1034</v>
      </c>
      <c r="D45" s="1949"/>
      <c r="E45" s="986"/>
      <c r="F45" s="144"/>
      <c r="G45" s="144"/>
      <c r="H45" s="1836"/>
      <c r="I45" s="245"/>
      <c r="J45" s="1949"/>
      <c r="K45" s="986"/>
      <c r="L45" s="144"/>
      <c r="M45" s="144"/>
      <c r="N45" s="1836"/>
      <c r="O45" s="422"/>
      <c r="P45" s="1949"/>
      <c r="Q45" s="986"/>
      <c r="R45" s="144"/>
      <c r="S45" s="144"/>
      <c r="T45" s="1836"/>
      <c r="U45" s="245"/>
      <c r="V45" s="1949"/>
      <c r="W45" s="986"/>
      <c r="X45" s="986"/>
      <c r="Y45" s="144"/>
      <c r="Z45" s="144"/>
      <c r="AA45" s="144"/>
      <c r="AB45" s="1835"/>
      <c r="AC45" s="245"/>
      <c r="AD45" s="1949"/>
      <c r="AE45" s="986"/>
      <c r="AF45" s="986"/>
      <c r="AG45" s="144"/>
      <c r="AH45" s="144"/>
      <c r="AI45" s="144"/>
      <c r="AJ45" s="1835"/>
      <c r="AK45" s="245"/>
      <c r="AL45" s="1949"/>
      <c r="AM45" s="986"/>
      <c r="AN45" s="986"/>
      <c r="AO45" s="986"/>
      <c r="AP45" s="144"/>
      <c r="AQ45" s="144"/>
      <c r="AR45" s="144"/>
      <c r="AS45" s="1835"/>
      <c r="AT45" s="245"/>
      <c r="AU45" s="1949"/>
      <c r="AV45" s="986"/>
      <c r="AW45" s="986"/>
      <c r="AX45" s="144"/>
      <c r="AY45" s="144"/>
      <c r="AZ45" s="144"/>
      <c r="BA45" s="1836"/>
      <c r="BB45" s="422"/>
      <c r="BC45" s="1949"/>
      <c r="BD45" s="986"/>
      <c r="BE45" s="986"/>
      <c r="BF45" s="144"/>
      <c r="BG45" s="144"/>
      <c r="BH45" s="144"/>
      <c r="BI45" s="1836"/>
      <c r="BJ45" s="423"/>
      <c r="BK45" s="1949"/>
      <c r="BL45" s="986"/>
      <c r="BM45" s="986"/>
      <c r="BN45" s="986"/>
      <c r="BO45" s="144"/>
      <c r="BP45" s="144"/>
      <c r="BQ45" s="144"/>
      <c r="BR45" s="1836"/>
      <c r="BS45" s="422"/>
      <c r="BT45" s="1949"/>
      <c r="BU45" s="986"/>
      <c r="BV45" s="986"/>
      <c r="BW45" s="144"/>
      <c r="BX45" s="144"/>
      <c r="BY45" s="144"/>
      <c r="BZ45" s="1836"/>
      <c r="CA45" s="422"/>
      <c r="CB45" s="1949"/>
      <c r="CC45" s="986"/>
      <c r="CD45" s="986"/>
      <c r="CE45" s="144"/>
      <c r="CF45" s="144"/>
      <c r="CG45" s="144"/>
      <c r="CH45" s="1836"/>
      <c r="CI45" s="422"/>
      <c r="CJ45" s="1949"/>
      <c r="CK45" s="986"/>
      <c r="CL45" s="986"/>
      <c r="CM45" s="144"/>
      <c r="CN45" s="144"/>
      <c r="CO45" s="144"/>
      <c r="CP45" s="1836"/>
      <c r="CQ45" s="422"/>
      <c r="CR45" s="986"/>
      <c r="CS45" s="144"/>
      <c r="CT45" s="986"/>
      <c r="CU45" s="986" t="n">
        <f aca="false">CR45-CS45</f>
        <v>0</v>
      </c>
      <c r="CV45" s="986" t="n">
        <f aca="false">CR45-CT45</f>
        <v>0</v>
      </c>
      <c r="CW45" s="986"/>
      <c r="CX45" s="731" t="str">
        <f aca="false">IFERROR(CR45/CW45-1, "-")</f>
        <v>-</v>
      </c>
      <c r="CY45" s="425"/>
      <c r="CZ45" s="1911"/>
      <c r="DA45" s="986"/>
      <c r="DB45" s="986"/>
      <c r="DC45" s="986"/>
      <c r="DD45" s="144"/>
      <c r="DE45" s="245" t="e">
        <f aca="false">CZ45/DD45-1</f>
        <v>#DIV/0!</v>
      </c>
      <c r="DF45" s="245" t="e">
        <f aca="false">DA45/DD45-1</f>
        <v>#DIV/0!</v>
      </c>
      <c r="DG45" s="245" t="e">
        <f aca="false">DB45/DD45-1</f>
        <v>#DIV/0!</v>
      </c>
      <c r="DH45" s="805" t="e">
        <f aca="false">DC45/DD45-1</f>
        <v>#DIV/0!</v>
      </c>
      <c r="DI45" s="1813"/>
      <c r="DJ45" s="1848"/>
      <c r="DK45" s="1849"/>
      <c r="DL45" s="1832"/>
      <c r="DM45" s="1832"/>
      <c r="DN45" s="1832"/>
      <c r="DO45" s="1832"/>
      <c r="DP45" s="1832"/>
      <c r="DQ45" s="1832"/>
      <c r="DR45" s="1832"/>
      <c r="DS45" s="1832"/>
      <c r="DT45" s="1832"/>
      <c r="DU45" s="1832"/>
      <c r="DV45" s="1832"/>
      <c r="DW45" s="1832"/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  <c r="EA45" s="1832"/>
      <c r="EB45" s="1832"/>
      <c r="EC45" s="1832"/>
      <c r="ED45" s="1832"/>
      <c r="EE45" s="1832"/>
      <c r="EF45" s="1832"/>
      <c r="EG45" s="1832"/>
      <c r="EH45" s="1832"/>
      <c r="EI45" s="1832"/>
      <c r="EJ45" s="1832"/>
      <c r="EK45" s="1832"/>
      <c r="EL45" s="1832"/>
      <c r="EM45" s="1832"/>
      <c r="EN45" s="1832"/>
      <c r="EO45" s="1832"/>
      <c r="EP45" s="1832"/>
      <c r="EQ45" s="1832"/>
      <c r="ER45" s="1832"/>
      <c r="ES45" s="1832"/>
      <c r="ET45" s="1832"/>
      <c r="EU45" s="1832"/>
      <c r="EV45" s="1832"/>
      <c r="EW45" s="1832"/>
      <c r="EX45" s="1832"/>
      <c r="EY45" s="1832"/>
      <c r="EZ45" s="1832"/>
      <c r="FA45" s="1832"/>
      <c r="FB45" s="1832"/>
      <c r="FC45" s="1832"/>
      <c r="FD45" s="1832"/>
      <c r="FE45" s="1832"/>
      <c r="FF45" s="1832"/>
      <c r="FG45" s="1832"/>
      <c r="FH45" s="1832"/>
      <c r="FI45" s="1832"/>
      <c r="FJ45" s="1832"/>
      <c r="FK45" s="1832"/>
      <c r="FL45" s="1832"/>
      <c r="FM45" s="1832"/>
      <c r="FN45" s="1832"/>
      <c r="FO45" s="1832"/>
      <c r="FP45" s="1832"/>
      <c r="FQ45" s="1832"/>
      <c r="FR45" s="1832"/>
      <c r="FS45" s="1832"/>
      <c r="FT45" s="1832"/>
      <c r="FU45" s="1832"/>
      <c r="FV45" s="1832"/>
      <c r="FW45" s="1832"/>
      <c r="FX45" s="1832"/>
      <c r="FY45" s="1832"/>
    </row>
    <row r="46" s="1832" customFormat="true" ht="15" hidden="false" customHeight="true" outlineLevel="0" collapsed="false">
      <c r="A46" s="375"/>
      <c r="B46" s="1871" t="s">
        <v>1026</v>
      </c>
      <c r="C46" s="679" t="s">
        <v>1035</v>
      </c>
      <c r="D46" s="1829"/>
      <c r="E46" s="130"/>
      <c r="F46" s="130"/>
      <c r="G46" s="130"/>
      <c r="H46" s="1819"/>
      <c r="I46" s="731"/>
      <c r="J46" s="1829"/>
      <c r="K46" s="130"/>
      <c r="L46" s="130"/>
      <c r="M46" s="130"/>
      <c r="N46" s="1819"/>
      <c r="O46" s="732"/>
      <c r="P46" s="1829"/>
      <c r="Q46" s="130"/>
      <c r="R46" s="130"/>
      <c r="S46" s="130"/>
      <c r="T46" s="1819"/>
      <c r="U46" s="731"/>
      <c r="V46" s="1829"/>
      <c r="W46" s="130"/>
      <c r="X46" s="130"/>
      <c r="Y46" s="130"/>
      <c r="Z46" s="130"/>
      <c r="AA46" s="130"/>
      <c r="AB46" s="1819"/>
      <c r="AC46" s="731"/>
      <c r="AD46" s="1829"/>
      <c r="AE46" s="130"/>
      <c r="AF46" s="130"/>
      <c r="AG46" s="130"/>
      <c r="AH46" s="130"/>
      <c r="AI46" s="130"/>
      <c r="AJ46" s="1819"/>
      <c r="AK46" s="731"/>
      <c r="AL46" s="1829"/>
      <c r="AM46" s="130"/>
      <c r="AN46" s="130"/>
      <c r="AO46" s="130"/>
      <c r="AP46" s="130"/>
      <c r="AQ46" s="130"/>
      <c r="AR46" s="130"/>
      <c r="AS46" s="1819"/>
      <c r="AT46" s="731"/>
      <c r="AU46" s="1829"/>
      <c r="AV46" s="130"/>
      <c r="AW46" s="130"/>
      <c r="AX46" s="130"/>
      <c r="AY46" s="130"/>
      <c r="AZ46" s="130"/>
      <c r="BA46" s="1819"/>
      <c r="BB46" s="732"/>
      <c r="BC46" s="1829"/>
      <c r="BD46" s="130"/>
      <c r="BE46" s="130"/>
      <c r="BF46" s="130"/>
      <c r="BG46" s="130"/>
      <c r="BH46" s="130"/>
      <c r="BI46" s="1819"/>
      <c r="BJ46" s="733"/>
      <c r="BK46" s="1829"/>
      <c r="BL46" s="130"/>
      <c r="BM46" s="130"/>
      <c r="BN46" s="130"/>
      <c r="BO46" s="130"/>
      <c r="BP46" s="130"/>
      <c r="BQ46" s="130"/>
      <c r="BR46" s="1819"/>
      <c r="BS46" s="732"/>
      <c r="BT46" s="1829"/>
      <c r="BU46" s="130"/>
      <c r="BV46" s="130"/>
      <c r="BW46" s="130"/>
      <c r="BX46" s="130"/>
      <c r="BY46" s="130"/>
      <c r="BZ46" s="1819"/>
      <c r="CA46" s="732"/>
      <c r="CB46" s="1829"/>
      <c r="CC46" s="130"/>
      <c r="CD46" s="130"/>
      <c r="CE46" s="130"/>
      <c r="CF46" s="130"/>
      <c r="CG46" s="130"/>
      <c r="CH46" s="1819"/>
      <c r="CI46" s="732"/>
      <c r="CJ46" s="1829"/>
      <c r="CK46" s="130"/>
      <c r="CL46" s="130"/>
      <c r="CM46" s="130"/>
      <c r="CN46" s="130"/>
      <c r="CO46" s="130"/>
      <c r="CP46" s="1819"/>
      <c r="CQ46" s="732"/>
      <c r="CR46" s="130"/>
      <c r="CS46" s="130"/>
      <c r="CT46" s="1818"/>
      <c r="CU46" s="1818" t="n">
        <f aca="false">CR46-CS46</f>
        <v>0</v>
      </c>
      <c r="CV46" s="1818" t="n">
        <f aca="false">CR46-CT46</f>
        <v>0</v>
      </c>
      <c r="CW46" s="1818"/>
      <c r="CX46" s="731" t="str">
        <f aca="false">IFERROR(CR46/CW46-1, "-")</f>
        <v>-</v>
      </c>
      <c r="CY46" s="410"/>
      <c r="CZ46" s="736"/>
      <c r="DA46" s="130"/>
      <c r="DB46" s="130"/>
      <c r="DC46" s="130"/>
      <c r="DD46" s="130"/>
      <c r="DE46" s="731" t="e">
        <f aca="false">CZ46/DD46-1</f>
        <v>#DIV/0!</v>
      </c>
      <c r="DF46" s="731" t="e">
        <f aca="false">DA46/DD46-1</f>
        <v>#DIV/0!</v>
      </c>
      <c r="DG46" s="731" t="e">
        <f aca="false">DB46/DD46-1</f>
        <v>#DIV/0!</v>
      </c>
      <c r="DH46" s="735" t="e">
        <f aca="false">DC46/DD46-1</f>
        <v>#DIV/0!</v>
      </c>
      <c r="DI46" s="1831"/>
      <c r="DJ46" s="1848"/>
      <c r="DK46" s="1849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s="1814" customFormat="true" ht="15" hidden="false" customHeight="true" outlineLevel="0" collapsed="false">
      <c r="A47" s="1950"/>
      <c r="B47" s="1951" t="s">
        <v>1036</v>
      </c>
      <c r="C47" s="679" t="s">
        <v>1037</v>
      </c>
      <c r="D47" s="1952"/>
      <c r="E47" s="1953"/>
      <c r="F47" s="1953"/>
      <c r="G47" s="1953"/>
      <c r="H47" s="1954"/>
      <c r="I47" s="236"/>
      <c r="J47" s="1927"/>
      <c r="K47" s="235"/>
      <c r="L47" s="235"/>
      <c r="M47" s="235"/>
      <c r="N47" s="1954"/>
      <c r="O47" s="1091"/>
      <c r="P47" s="1927"/>
      <c r="Q47" s="235"/>
      <c r="R47" s="235"/>
      <c r="S47" s="235"/>
      <c r="T47" s="1954"/>
      <c r="U47" s="236"/>
      <c r="V47" s="1927"/>
      <c r="W47" s="235"/>
      <c r="X47" s="235"/>
      <c r="Y47" s="235"/>
      <c r="Z47" s="235"/>
      <c r="AA47" s="235"/>
      <c r="AB47" s="1954"/>
      <c r="AC47" s="236"/>
      <c r="AD47" s="1927"/>
      <c r="AE47" s="235"/>
      <c r="AF47" s="235"/>
      <c r="AG47" s="235"/>
      <c r="AH47" s="235"/>
      <c r="AI47" s="235"/>
      <c r="AJ47" s="1954"/>
      <c r="AK47" s="236"/>
      <c r="AL47" s="1927"/>
      <c r="AM47" s="235"/>
      <c r="AN47" s="235"/>
      <c r="AO47" s="235"/>
      <c r="AP47" s="235"/>
      <c r="AQ47" s="235"/>
      <c r="AR47" s="235"/>
      <c r="AS47" s="1954"/>
      <c r="AT47" s="236"/>
      <c r="AU47" s="1927"/>
      <c r="AV47" s="235"/>
      <c r="AW47" s="235"/>
      <c r="AX47" s="235"/>
      <c r="AY47" s="235"/>
      <c r="AZ47" s="235"/>
      <c r="BA47" s="1954"/>
      <c r="BB47" s="1091"/>
      <c r="BC47" s="1927"/>
      <c r="BD47" s="235"/>
      <c r="BE47" s="235"/>
      <c r="BF47" s="235"/>
      <c r="BG47" s="235"/>
      <c r="BH47" s="235"/>
      <c r="BI47" s="1954"/>
      <c r="BJ47" s="1306"/>
      <c r="BK47" s="1927"/>
      <c r="BL47" s="235"/>
      <c r="BM47" s="235"/>
      <c r="BN47" s="235"/>
      <c r="BO47" s="235"/>
      <c r="BP47" s="235"/>
      <c r="BQ47" s="235"/>
      <c r="BR47" s="1954"/>
      <c r="BS47" s="1091"/>
      <c r="BT47" s="1927"/>
      <c r="BU47" s="235"/>
      <c r="BV47" s="235"/>
      <c r="BW47" s="235"/>
      <c r="BX47" s="235"/>
      <c r="BY47" s="235"/>
      <c r="BZ47" s="1954"/>
      <c r="CA47" s="1091"/>
      <c r="CB47" s="1927"/>
      <c r="CC47" s="235"/>
      <c r="CD47" s="235"/>
      <c r="CE47" s="235"/>
      <c r="CF47" s="235"/>
      <c r="CG47" s="235"/>
      <c r="CH47" s="1954"/>
      <c r="CI47" s="1091"/>
      <c r="CJ47" s="1927"/>
      <c r="CK47" s="235"/>
      <c r="CL47" s="235"/>
      <c r="CM47" s="235"/>
      <c r="CN47" s="235"/>
      <c r="CO47" s="235"/>
      <c r="CP47" s="1954"/>
      <c r="CQ47" s="1091"/>
      <c r="CR47" s="235"/>
      <c r="CS47" s="235"/>
      <c r="CT47" s="1926"/>
      <c r="CU47" s="1926" t="n">
        <f aca="false">CR47-CS47</f>
        <v>0</v>
      </c>
      <c r="CV47" s="1926" t="n">
        <f aca="false">CR47-CT47</f>
        <v>0</v>
      </c>
      <c r="CW47" s="1926"/>
      <c r="CX47" s="1103" t="str">
        <f aca="false">IFERROR(CR47/CW47-1, "-")</f>
        <v>-</v>
      </c>
      <c r="CY47" s="1955"/>
      <c r="CZ47" s="1927"/>
      <c r="DA47" s="235"/>
      <c r="DB47" s="235"/>
      <c r="DC47" s="235"/>
      <c r="DD47" s="235"/>
      <c r="DE47" s="236" t="e">
        <f aca="false">CZ47/DD47-1</f>
        <v>#DIV/0!</v>
      </c>
      <c r="DF47" s="236" t="e">
        <f aca="false">DA47/DD47-1</f>
        <v>#DIV/0!</v>
      </c>
      <c r="DG47" s="236" t="e">
        <f aca="false">DB47/DD47-1</f>
        <v>#DIV/0!</v>
      </c>
      <c r="DH47" s="1090" t="e">
        <f aca="false">DC47/DD47-1</f>
        <v>#DIV/0!</v>
      </c>
      <c r="DI47" s="1813"/>
      <c r="DJ47" s="1848"/>
      <c r="DK47" s="1849"/>
      <c r="DL47" s="1832"/>
      <c r="DM47" s="1832"/>
      <c r="DN47" s="1832"/>
      <c r="DO47" s="1832"/>
      <c r="DP47" s="1832"/>
      <c r="DQ47" s="1832"/>
      <c r="DR47" s="1832"/>
      <c r="DS47" s="1832"/>
      <c r="DT47" s="1832"/>
      <c r="DU47" s="1832"/>
      <c r="DV47" s="1832"/>
      <c r="DW47" s="1832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A47" s="1832"/>
      <c r="EB47" s="1832"/>
      <c r="EC47" s="1832"/>
      <c r="ED47" s="1832"/>
      <c r="EE47" s="1832"/>
      <c r="EF47" s="1832"/>
      <c r="EG47" s="1832"/>
      <c r="EH47" s="1832"/>
      <c r="EI47" s="1832"/>
      <c r="EJ47" s="1832"/>
      <c r="EK47" s="1832"/>
      <c r="EL47" s="1832"/>
      <c r="EM47" s="1832"/>
      <c r="EN47" s="1832"/>
      <c r="EO47" s="1832"/>
      <c r="EP47" s="1832"/>
      <c r="EQ47" s="1832"/>
      <c r="ER47" s="1832"/>
      <c r="ES47" s="1832"/>
      <c r="ET47" s="1832"/>
      <c r="EU47" s="1832"/>
      <c r="EV47" s="1832"/>
      <c r="EW47" s="1832"/>
      <c r="EX47" s="1832"/>
      <c r="EY47" s="1832"/>
      <c r="EZ47" s="1832"/>
      <c r="FA47" s="1832"/>
      <c r="FB47" s="1832"/>
      <c r="FC47" s="1832"/>
      <c r="FD47" s="1832"/>
      <c r="FE47" s="1832"/>
      <c r="FF47" s="1832"/>
      <c r="FG47" s="1832"/>
      <c r="FH47" s="1832"/>
      <c r="FI47" s="1832"/>
      <c r="FJ47" s="1832"/>
      <c r="FK47" s="1832"/>
      <c r="FL47" s="1832"/>
      <c r="FM47" s="1832"/>
      <c r="FN47" s="1832"/>
      <c r="FO47" s="1832"/>
      <c r="FP47" s="1832"/>
      <c r="FQ47" s="1832"/>
      <c r="FR47" s="1832"/>
      <c r="FS47" s="1832"/>
      <c r="FT47" s="1832"/>
      <c r="FU47" s="1832"/>
      <c r="FV47" s="1832"/>
      <c r="FW47" s="1832"/>
      <c r="FX47" s="1832"/>
      <c r="FY47" s="1832"/>
    </row>
    <row r="48" s="1814" customFormat="true" ht="3.75" hidden="false" customHeight="true" outlineLevel="0" collapsed="false">
      <c r="A48" s="1956"/>
      <c r="B48" s="1956"/>
      <c r="C48" s="1956"/>
      <c r="D48" s="1957"/>
      <c r="E48" s="1957"/>
      <c r="F48" s="1957"/>
      <c r="G48" s="1957"/>
      <c r="H48" s="1957"/>
      <c r="I48" s="1957"/>
      <c r="J48" s="1957"/>
      <c r="K48" s="1957"/>
      <c r="L48" s="1957"/>
      <c r="M48" s="1957"/>
      <c r="N48" s="1957"/>
      <c r="O48" s="1957"/>
      <c r="P48" s="1957"/>
      <c r="Q48" s="1957"/>
      <c r="R48" s="1957"/>
      <c r="S48" s="1957"/>
      <c r="T48" s="1957"/>
      <c r="U48" s="1957"/>
      <c r="V48" s="1957"/>
      <c r="W48" s="1957"/>
      <c r="X48" s="1957"/>
      <c r="Y48" s="1957"/>
      <c r="Z48" s="1957"/>
      <c r="AA48" s="1957"/>
      <c r="AB48" s="1957"/>
      <c r="AC48" s="1957"/>
      <c r="AD48" s="1957"/>
      <c r="AE48" s="1957"/>
      <c r="AF48" s="1957"/>
      <c r="AG48" s="1957"/>
      <c r="AH48" s="1957"/>
      <c r="AI48" s="1957"/>
      <c r="AJ48" s="1957"/>
      <c r="AK48" s="1957"/>
      <c r="AL48" s="1957"/>
      <c r="AM48" s="1957"/>
      <c r="AN48" s="1957"/>
      <c r="AO48" s="1957"/>
      <c r="AP48" s="1957"/>
      <c r="AQ48" s="1957"/>
      <c r="AR48" s="1957"/>
      <c r="AS48" s="1957"/>
      <c r="AT48" s="1957"/>
      <c r="AU48" s="1957"/>
      <c r="AV48" s="1957"/>
      <c r="AW48" s="1957"/>
      <c r="AX48" s="1957"/>
      <c r="AY48" s="1957"/>
      <c r="AZ48" s="1957"/>
      <c r="BA48" s="1957"/>
      <c r="BB48" s="1957"/>
      <c r="BC48" s="1957"/>
      <c r="BD48" s="1957"/>
      <c r="BE48" s="1957"/>
      <c r="BF48" s="1957"/>
      <c r="BG48" s="1957"/>
      <c r="BH48" s="1957"/>
      <c r="BI48" s="1957"/>
      <c r="BJ48" s="1957"/>
      <c r="BK48" s="1957"/>
      <c r="BL48" s="1957"/>
      <c r="BM48" s="1957"/>
      <c r="BN48" s="1957"/>
      <c r="BO48" s="1957"/>
      <c r="BP48" s="1957"/>
      <c r="BQ48" s="1957"/>
      <c r="BR48" s="1957"/>
      <c r="BS48" s="1957"/>
      <c r="BT48" s="1957"/>
      <c r="BU48" s="1957"/>
      <c r="BV48" s="1957"/>
      <c r="BW48" s="1957"/>
      <c r="BX48" s="1957"/>
      <c r="BY48" s="1957"/>
      <c r="BZ48" s="1957"/>
      <c r="CA48" s="1957"/>
      <c r="CB48" s="1957"/>
      <c r="CC48" s="1957"/>
      <c r="CD48" s="1957"/>
      <c r="CE48" s="1957"/>
      <c r="CF48" s="1957"/>
      <c r="CG48" s="1957"/>
      <c r="CH48" s="1957"/>
      <c r="CI48" s="1957"/>
      <c r="CJ48" s="1957"/>
      <c r="CK48" s="1957"/>
      <c r="CL48" s="1957"/>
      <c r="CM48" s="1957"/>
      <c r="CN48" s="1957"/>
      <c r="CO48" s="1957"/>
      <c r="CP48" s="1957"/>
      <c r="CQ48" s="1957"/>
      <c r="CR48" s="1868"/>
      <c r="CU48" s="1958"/>
      <c r="CV48" s="1958"/>
      <c r="CW48" s="1959"/>
      <c r="CX48" s="1867"/>
      <c r="CZ48" s="1861"/>
      <c r="DA48" s="1957"/>
      <c r="DB48" s="1868"/>
      <c r="DC48" s="1868"/>
      <c r="DD48" s="1868"/>
      <c r="DE48" s="1867"/>
      <c r="DF48" s="1867"/>
      <c r="DG48" s="1867"/>
      <c r="DH48" s="1867"/>
      <c r="DJ48" s="1832"/>
      <c r="DK48" s="1832"/>
      <c r="DL48" s="1832"/>
      <c r="DM48" s="1832"/>
      <c r="DN48" s="1832"/>
      <c r="DO48" s="1832"/>
      <c r="DP48" s="1832"/>
      <c r="DQ48" s="1832"/>
      <c r="DR48" s="1832"/>
      <c r="DS48" s="1832"/>
      <c r="DT48" s="1832"/>
      <c r="DU48" s="1832"/>
      <c r="DV48" s="1832"/>
      <c r="DW48" s="1832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  <c r="EA48" s="1832"/>
      <c r="EB48" s="1832"/>
      <c r="EC48" s="1832"/>
      <c r="ED48" s="1832"/>
      <c r="EE48" s="1832"/>
      <c r="EF48" s="1832"/>
      <c r="EG48" s="1832"/>
      <c r="EH48" s="1832"/>
      <c r="EI48" s="1832"/>
      <c r="EJ48" s="1832"/>
      <c r="EK48" s="1832"/>
      <c r="EL48" s="1832"/>
      <c r="EM48" s="1832"/>
      <c r="EN48" s="1832"/>
      <c r="EO48" s="1832"/>
      <c r="EP48" s="1832"/>
      <c r="EQ48" s="1832"/>
      <c r="ER48" s="1832"/>
      <c r="ES48" s="1832"/>
      <c r="ET48" s="1832"/>
      <c r="EU48" s="1832"/>
      <c r="EV48" s="1832"/>
      <c r="EW48" s="1832"/>
      <c r="EX48" s="1832"/>
      <c r="EY48" s="1832"/>
      <c r="EZ48" s="1832"/>
      <c r="FA48" s="1832"/>
      <c r="FB48" s="1832"/>
      <c r="FC48" s="1832"/>
      <c r="FD48" s="1832"/>
      <c r="FE48" s="1832"/>
      <c r="FF48" s="1832"/>
      <c r="FG48" s="1832"/>
      <c r="FH48" s="1832"/>
      <c r="FI48" s="1832"/>
      <c r="FJ48" s="1832"/>
      <c r="FK48" s="1832"/>
      <c r="FL48" s="1832"/>
      <c r="FM48" s="1832"/>
      <c r="FN48" s="1832"/>
      <c r="FO48" s="1832"/>
      <c r="FP48" s="1832"/>
      <c r="FQ48" s="1832"/>
      <c r="FR48" s="1832"/>
      <c r="FS48" s="1832"/>
      <c r="FT48" s="1832"/>
      <c r="FU48" s="1832"/>
      <c r="FV48" s="1832"/>
      <c r="FW48" s="1832"/>
      <c r="FX48" s="1832"/>
      <c r="FY48" s="1832"/>
    </row>
    <row r="49" s="1746" customFormat="true" ht="12.75" hidden="false" customHeight="false" outlineLevel="0" collapsed="false">
      <c r="T49" s="1960"/>
      <c r="AB49" s="1960"/>
      <c r="BA49" s="1960"/>
      <c r="BB49" s="1960"/>
      <c r="BC49" s="1960"/>
      <c r="BD49" s="1960"/>
      <c r="BE49" s="1960"/>
      <c r="BF49" s="1960"/>
      <c r="BG49" s="1960"/>
      <c r="BH49" s="1960"/>
      <c r="BI49" s="1960"/>
      <c r="BJ49" s="1960"/>
      <c r="BK49" s="1960"/>
      <c r="BL49" s="1960"/>
      <c r="BM49" s="1960"/>
      <c r="BN49" s="1960"/>
      <c r="BO49" s="1960"/>
      <c r="BP49" s="1960"/>
      <c r="BQ49" s="1960"/>
      <c r="BR49" s="1960"/>
      <c r="BS49" s="1960"/>
      <c r="BT49" s="1960"/>
      <c r="BU49" s="1960"/>
      <c r="BV49" s="1960"/>
      <c r="BW49" s="1960"/>
      <c r="BX49" s="1960"/>
      <c r="BY49" s="1960"/>
      <c r="BZ49" s="1960"/>
      <c r="CA49" s="1960"/>
      <c r="CB49" s="1960"/>
      <c r="CC49" s="1960"/>
      <c r="CD49" s="1960"/>
      <c r="CE49" s="1960"/>
      <c r="CF49" s="1960"/>
      <c r="CG49" s="1960"/>
      <c r="CH49" s="1960"/>
      <c r="CI49" s="1960"/>
      <c r="CS49" s="1961"/>
      <c r="CT49" s="1961"/>
      <c r="CU49" s="1962"/>
      <c r="CV49" s="1962"/>
      <c r="CW49" s="1962"/>
      <c r="CX49" s="1748"/>
      <c r="CY49" s="1747"/>
      <c r="CZ49" s="1750"/>
      <c r="DA49" s="1748"/>
      <c r="DB49" s="1749"/>
      <c r="DC49" s="1749"/>
      <c r="DD49" s="1749"/>
      <c r="DE49" s="1748"/>
      <c r="DF49" s="1748"/>
      <c r="DG49" s="1748"/>
      <c r="DH49" s="1748"/>
      <c r="DJ49" s="1832"/>
      <c r="DK49" s="1832"/>
      <c r="DL49" s="1832"/>
      <c r="DM49" s="1832"/>
      <c r="DN49" s="1832"/>
      <c r="DO49" s="1832"/>
      <c r="DP49" s="1832"/>
      <c r="DQ49" s="1832"/>
      <c r="DR49" s="1832"/>
      <c r="DS49" s="1832"/>
      <c r="DT49" s="1832"/>
      <c r="DU49" s="1832"/>
      <c r="DV49" s="1832"/>
      <c r="DW49" s="1832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  <c r="EA49" s="1832"/>
      <c r="EB49" s="1832"/>
      <c r="EC49" s="1832"/>
      <c r="ED49" s="1832"/>
      <c r="EE49" s="1832"/>
      <c r="EF49" s="1832"/>
      <c r="EG49" s="1832"/>
      <c r="EH49" s="1832"/>
      <c r="EI49" s="1832"/>
      <c r="EJ49" s="1832"/>
      <c r="EK49" s="1832"/>
      <c r="EL49" s="1832"/>
      <c r="EM49" s="1832"/>
      <c r="EN49" s="1832"/>
      <c r="EO49" s="1832"/>
      <c r="EP49" s="1832"/>
      <c r="EQ49" s="1832"/>
      <c r="ER49" s="1832"/>
      <c r="ES49" s="1832"/>
      <c r="ET49" s="1832"/>
      <c r="EU49" s="1832"/>
      <c r="EV49" s="1832"/>
      <c r="EW49" s="1832"/>
      <c r="EX49" s="1832"/>
      <c r="EY49" s="1832"/>
      <c r="EZ49" s="1832"/>
      <c r="FA49" s="1832"/>
      <c r="FB49" s="1832"/>
      <c r="FC49" s="1832"/>
      <c r="FD49" s="1832"/>
      <c r="FE49" s="1832"/>
      <c r="FF49" s="1832"/>
      <c r="FG49" s="1832"/>
      <c r="FH49" s="1832"/>
      <c r="FI49" s="1832"/>
      <c r="FJ49" s="1832"/>
      <c r="FK49" s="1832"/>
      <c r="FL49" s="1832"/>
      <c r="FM49" s="1832"/>
      <c r="FN49" s="1832"/>
      <c r="FO49" s="1832"/>
      <c r="FP49" s="1832"/>
      <c r="FQ49" s="1832"/>
      <c r="FR49" s="1832"/>
      <c r="FS49" s="1832"/>
      <c r="FT49" s="1832"/>
      <c r="FU49" s="1832"/>
      <c r="FV49" s="1832"/>
      <c r="FW49" s="1832"/>
      <c r="FX49" s="1832"/>
      <c r="FY49" s="1832"/>
    </row>
    <row r="50" s="1746" customFormat="true" ht="19.5" hidden="false" customHeight="true" outlineLevel="0" collapsed="false">
      <c r="T50" s="1960"/>
      <c r="AB50" s="1960"/>
      <c r="BA50" s="1960"/>
      <c r="BB50" s="1960"/>
      <c r="BC50" s="1960"/>
      <c r="BD50" s="1960"/>
      <c r="BE50" s="1960"/>
      <c r="BF50" s="1960"/>
      <c r="BG50" s="1960"/>
      <c r="BH50" s="1960"/>
      <c r="BI50" s="1960"/>
      <c r="BJ50" s="1960"/>
      <c r="BK50" s="1960"/>
      <c r="BL50" s="1960"/>
      <c r="BM50" s="1960"/>
      <c r="BN50" s="1960"/>
      <c r="BO50" s="1960"/>
      <c r="BP50" s="1960"/>
      <c r="BQ50" s="1960"/>
      <c r="BR50" s="1960"/>
      <c r="BS50" s="1960"/>
      <c r="BT50" s="1960"/>
      <c r="BU50" s="1960"/>
      <c r="BV50" s="1960"/>
      <c r="BW50" s="1960"/>
      <c r="BX50" s="1960"/>
      <c r="BY50" s="1960"/>
      <c r="BZ50" s="1960"/>
      <c r="CA50" s="1960"/>
      <c r="CB50" s="1960"/>
      <c r="CC50" s="1960"/>
      <c r="CD50" s="1960"/>
      <c r="CE50" s="1960"/>
      <c r="CF50" s="1960"/>
      <c r="CG50" s="1960"/>
      <c r="CH50" s="1960"/>
      <c r="CI50" s="1960"/>
      <c r="CS50" s="1961"/>
      <c r="CT50" s="1961"/>
      <c r="CU50" s="1747"/>
      <c r="CV50" s="1747"/>
      <c r="CW50" s="1747"/>
      <c r="CX50" s="1748"/>
      <c r="CY50" s="1747"/>
      <c r="CZ50" s="1750"/>
      <c r="DA50" s="1749"/>
      <c r="DB50" s="1749"/>
      <c r="DC50" s="1749"/>
      <c r="DD50" s="1749"/>
      <c r="DE50" s="1748"/>
      <c r="DF50" s="1747"/>
      <c r="DG50" s="1747"/>
      <c r="DH50" s="1747"/>
      <c r="DJ50" s="1832"/>
      <c r="DK50" s="1832"/>
      <c r="DL50" s="1832"/>
      <c r="DM50" s="1832"/>
      <c r="DN50" s="1832"/>
      <c r="DO50" s="1832"/>
      <c r="DP50" s="1832"/>
      <c r="DQ50" s="1832"/>
      <c r="DR50" s="1832"/>
      <c r="DS50" s="1832"/>
      <c r="DT50" s="1832"/>
      <c r="DU50" s="1832"/>
      <c r="DV50" s="1832"/>
      <c r="DW50" s="1832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  <c r="EA50" s="1832"/>
      <c r="EB50" s="1832"/>
      <c r="EC50" s="1832"/>
      <c r="ED50" s="1832"/>
      <c r="EE50" s="1832"/>
      <c r="EF50" s="1832"/>
      <c r="EG50" s="1832"/>
      <c r="EH50" s="1832"/>
      <c r="EI50" s="1832"/>
      <c r="EJ50" s="1832"/>
      <c r="EK50" s="1832"/>
      <c r="EL50" s="1832"/>
      <c r="EM50" s="1832"/>
      <c r="EN50" s="1832"/>
      <c r="EO50" s="1832"/>
      <c r="EP50" s="1832"/>
      <c r="EQ50" s="1832"/>
      <c r="ER50" s="1832"/>
      <c r="ES50" s="1832"/>
      <c r="ET50" s="1832"/>
      <c r="EU50" s="1832"/>
      <c r="EV50" s="1832"/>
      <c r="EW50" s="1832"/>
      <c r="EX50" s="1832"/>
      <c r="EY50" s="1832"/>
      <c r="EZ50" s="1832"/>
      <c r="FA50" s="1832"/>
      <c r="FB50" s="1832"/>
      <c r="FC50" s="1832"/>
      <c r="FD50" s="1832"/>
      <c r="FE50" s="1832"/>
      <c r="FF50" s="1832"/>
      <c r="FG50" s="1832"/>
      <c r="FH50" s="1832"/>
      <c r="FI50" s="1832"/>
      <c r="FJ50" s="1832"/>
      <c r="FK50" s="1832"/>
      <c r="FL50" s="1832"/>
      <c r="FM50" s="1832"/>
      <c r="FN50" s="1832"/>
      <c r="FO50" s="1832"/>
      <c r="FP50" s="1832"/>
      <c r="FQ50" s="1832"/>
      <c r="FR50" s="1832"/>
      <c r="FS50" s="1832"/>
      <c r="FT50" s="1832"/>
      <c r="FU50" s="1832"/>
      <c r="FV50" s="1832"/>
      <c r="FW50" s="1832"/>
      <c r="FX50" s="1832"/>
      <c r="FY50" s="1832"/>
    </row>
    <row r="51" s="1746" customFormat="true" ht="12.75" hidden="false" customHeight="false" outlineLevel="0" collapsed="false">
      <c r="T51" s="1960"/>
      <c r="AB51" s="1960"/>
      <c r="BA51" s="1960"/>
      <c r="BB51" s="1960"/>
      <c r="BC51" s="1960"/>
      <c r="BD51" s="1960"/>
      <c r="BE51" s="1960"/>
      <c r="BF51" s="1960"/>
      <c r="BG51" s="1960"/>
      <c r="BH51" s="1960"/>
      <c r="BI51" s="1960"/>
      <c r="BJ51" s="1960"/>
      <c r="BK51" s="1960"/>
      <c r="BL51" s="1963" t="n">
        <v>17421.4156643207</v>
      </c>
      <c r="BM51" s="1960"/>
      <c r="BN51" s="1960"/>
      <c r="BO51" s="1960"/>
      <c r="BP51" s="1960"/>
      <c r="BQ51" s="1960"/>
      <c r="BR51" s="1960"/>
      <c r="BS51" s="1960"/>
      <c r="BT51" s="1960"/>
      <c r="BU51" s="1960"/>
      <c r="BV51" s="1960"/>
      <c r="BW51" s="1960"/>
      <c r="BX51" s="1960"/>
      <c r="BY51" s="1960"/>
      <c r="BZ51" s="1960"/>
      <c r="CA51" s="1960"/>
      <c r="CB51" s="1960"/>
      <c r="CC51" s="1960"/>
      <c r="CD51" s="1960"/>
      <c r="CE51" s="1960"/>
      <c r="CF51" s="1960"/>
      <c r="CG51" s="1960"/>
      <c r="CH51" s="1960"/>
      <c r="CI51" s="1960"/>
      <c r="CK51" s="1963"/>
      <c r="CS51" s="1747"/>
      <c r="CT51" s="1747"/>
      <c r="CU51" s="1747"/>
      <c r="CV51" s="1747"/>
      <c r="CW51" s="1747"/>
      <c r="CX51" s="1748"/>
      <c r="CY51" s="1747"/>
      <c r="CZ51" s="1750"/>
      <c r="DA51" s="1749"/>
      <c r="DB51" s="1749"/>
      <c r="DC51" s="1749"/>
      <c r="DD51" s="1749"/>
      <c r="DE51" s="1748"/>
      <c r="DF51" s="1747"/>
      <c r="DG51" s="1747"/>
      <c r="DH51" s="1747"/>
      <c r="DJ51" s="1832"/>
      <c r="DK51" s="1832"/>
      <c r="DL51" s="1832"/>
      <c r="DM51" s="1832"/>
      <c r="DN51" s="1832"/>
      <c r="DO51" s="1832"/>
      <c r="DP51" s="1832"/>
      <c r="DQ51" s="1832"/>
      <c r="DR51" s="1832"/>
      <c r="DS51" s="1832"/>
      <c r="DT51" s="1832"/>
      <c r="DU51" s="1832"/>
      <c r="DV51" s="1832"/>
      <c r="DW51" s="1832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  <c r="EA51" s="1832"/>
      <c r="EB51" s="1832"/>
      <c r="EC51" s="1832"/>
      <c r="ED51" s="1832"/>
      <c r="EE51" s="1832"/>
      <c r="EF51" s="1832"/>
      <c r="EG51" s="1832"/>
      <c r="EH51" s="1832"/>
      <c r="EI51" s="1832"/>
      <c r="EJ51" s="1832"/>
      <c r="EK51" s="1832"/>
      <c r="EL51" s="1832"/>
      <c r="EM51" s="1832"/>
      <c r="EN51" s="1832"/>
      <c r="EO51" s="1832"/>
      <c r="EP51" s="1832"/>
      <c r="EQ51" s="1832"/>
      <c r="ER51" s="1832"/>
      <c r="ES51" s="1832"/>
      <c r="ET51" s="1832"/>
      <c r="EU51" s="1832"/>
      <c r="EV51" s="1832"/>
      <c r="EW51" s="1832"/>
      <c r="EX51" s="1832"/>
      <c r="EY51" s="1832"/>
      <c r="EZ51" s="1832"/>
      <c r="FA51" s="1832"/>
      <c r="FB51" s="1832"/>
      <c r="FC51" s="1832"/>
      <c r="FD51" s="1832"/>
      <c r="FE51" s="1832"/>
      <c r="FF51" s="1832"/>
      <c r="FG51" s="1832"/>
      <c r="FH51" s="1832"/>
      <c r="FI51" s="1832"/>
      <c r="FJ51" s="1832"/>
      <c r="FK51" s="1832"/>
      <c r="FL51" s="1832"/>
      <c r="FM51" s="1832"/>
      <c r="FN51" s="1832"/>
      <c r="FO51" s="1832"/>
      <c r="FP51" s="1832"/>
      <c r="FQ51" s="1832"/>
      <c r="FR51" s="1832"/>
      <c r="FS51" s="1832"/>
      <c r="FT51" s="1832"/>
      <c r="FU51" s="1832"/>
      <c r="FV51" s="1832"/>
      <c r="FW51" s="1832"/>
      <c r="FX51" s="1832"/>
      <c r="FY51" s="1832"/>
    </row>
    <row r="52" s="1746" customFormat="true" ht="12.75" hidden="false" customHeight="false" outlineLevel="0" collapsed="false">
      <c r="T52" s="1960"/>
      <c r="AB52" s="1960"/>
      <c r="BA52" s="1960"/>
      <c r="BB52" s="1960"/>
      <c r="BC52" s="1960"/>
      <c r="BD52" s="1960"/>
      <c r="BE52" s="1960"/>
      <c r="BF52" s="1960"/>
      <c r="BG52" s="1960"/>
      <c r="BH52" s="1960"/>
      <c r="BI52" s="1960"/>
      <c r="BJ52" s="1960"/>
      <c r="BK52" s="1960"/>
      <c r="BL52" s="1960"/>
      <c r="BM52" s="1960"/>
      <c r="BN52" s="1960"/>
      <c r="BO52" s="1960"/>
      <c r="BP52" s="1960"/>
      <c r="BQ52" s="1960"/>
      <c r="BR52" s="1960"/>
      <c r="BS52" s="1960"/>
      <c r="BT52" s="1960"/>
      <c r="BU52" s="1960"/>
      <c r="BV52" s="1960"/>
      <c r="BW52" s="1960"/>
      <c r="BX52" s="1960"/>
      <c r="BY52" s="1960"/>
      <c r="BZ52" s="1960"/>
      <c r="CA52" s="1960"/>
      <c r="CB52" s="1960"/>
      <c r="CC52" s="1960"/>
      <c r="CD52" s="1960"/>
      <c r="CE52" s="1960"/>
      <c r="CF52" s="1960"/>
      <c r="CG52" s="1960"/>
      <c r="CH52" s="1960"/>
      <c r="CI52" s="1960"/>
      <c r="CS52" s="1747"/>
      <c r="CT52" s="1747"/>
      <c r="CU52" s="1747"/>
      <c r="CV52" s="1747"/>
      <c r="CW52" s="1747"/>
      <c r="CX52" s="1748"/>
      <c r="CY52" s="1747"/>
      <c r="CZ52" s="1750"/>
      <c r="DA52" s="1749"/>
      <c r="DB52" s="1749"/>
      <c r="DC52" s="1749"/>
      <c r="DD52" s="1749"/>
      <c r="DE52" s="1748"/>
      <c r="DF52" s="1747"/>
      <c r="DG52" s="1747"/>
      <c r="DH52" s="1747"/>
      <c r="DJ52" s="1832"/>
      <c r="DK52" s="1832"/>
      <c r="DL52" s="1832"/>
      <c r="DM52" s="1832"/>
      <c r="DN52" s="1832"/>
      <c r="DO52" s="1832"/>
      <c r="DP52" s="1832"/>
      <c r="DQ52" s="1832"/>
      <c r="DR52" s="1832"/>
      <c r="DS52" s="1832"/>
      <c r="DT52" s="1832"/>
      <c r="DU52" s="1832"/>
      <c r="DV52" s="1832"/>
      <c r="DW52" s="1832"/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  <c r="EA52" s="1832"/>
      <c r="EB52" s="1832"/>
      <c r="EC52" s="1832"/>
      <c r="ED52" s="1832"/>
      <c r="EE52" s="1832"/>
      <c r="EF52" s="1832"/>
      <c r="EG52" s="1832"/>
      <c r="EH52" s="1832"/>
      <c r="EI52" s="1832"/>
      <c r="EJ52" s="1832"/>
      <c r="EK52" s="1832"/>
      <c r="EL52" s="1832"/>
      <c r="EM52" s="1832"/>
      <c r="EN52" s="1832"/>
      <c r="EO52" s="1832"/>
      <c r="EP52" s="1832"/>
      <c r="EQ52" s="1832"/>
      <c r="ER52" s="1832"/>
      <c r="ES52" s="1832"/>
      <c r="ET52" s="1832"/>
      <c r="EU52" s="1832"/>
      <c r="EV52" s="1832"/>
      <c r="EW52" s="1832"/>
      <c r="EX52" s="1832"/>
      <c r="EY52" s="1832"/>
      <c r="EZ52" s="1832"/>
      <c r="FA52" s="1832"/>
      <c r="FB52" s="1832"/>
      <c r="FC52" s="1832"/>
      <c r="FD52" s="1832"/>
      <c r="FE52" s="1832"/>
      <c r="FF52" s="1832"/>
      <c r="FG52" s="1832"/>
      <c r="FH52" s="1832"/>
      <c r="FI52" s="1832"/>
      <c r="FJ52" s="1832"/>
      <c r="FK52" s="1832"/>
      <c r="FL52" s="1832"/>
      <c r="FM52" s="1832"/>
      <c r="FN52" s="1832"/>
      <c r="FO52" s="1832"/>
      <c r="FP52" s="1832"/>
      <c r="FQ52" s="1832"/>
      <c r="FR52" s="1832"/>
      <c r="FS52" s="1832"/>
      <c r="FT52" s="1832"/>
      <c r="FU52" s="1832"/>
      <c r="FV52" s="1832"/>
      <c r="FW52" s="1832"/>
      <c r="FX52" s="1832"/>
      <c r="FY52" s="1832"/>
    </row>
    <row r="53" s="1746" customFormat="true" ht="12.75" hidden="false" customHeight="false" outlineLevel="0" collapsed="false">
      <c r="T53" s="1960"/>
      <c r="AB53" s="1960"/>
      <c r="BA53" s="1960"/>
      <c r="BB53" s="1960"/>
      <c r="BC53" s="1960"/>
      <c r="BD53" s="1960"/>
      <c r="BE53" s="1960"/>
      <c r="BF53" s="1960"/>
      <c r="BG53" s="1960"/>
      <c r="BH53" s="1960"/>
      <c r="BI53" s="1960"/>
      <c r="BJ53" s="1960"/>
      <c r="BK53" s="1960"/>
      <c r="BL53" s="1960"/>
      <c r="BM53" s="1960"/>
      <c r="BN53" s="1960"/>
      <c r="BO53" s="1960"/>
      <c r="BP53" s="1960"/>
      <c r="BQ53" s="1960"/>
      <c r="BR53" s="1960"/>
      <c r="BS53" s="1960"/>
      <c r="BT53" s="1960"/>
      <c r="BU53" s="1960"/>
      <c r="BV53" s="1960"/>
      <c r="BW53" s="1960"/>
      <c r="BX53" s="1960"/>
      <c r="BY53" s="1960"/>
      <c r="BZ53" s="1960"/>
      <c r="CA53" s="1960"/>
      <c r="CB53" s="1960"/>
      <c r="CC53" s="1960"/>
      <c r="CD53" s="1960"/>
      <c r="CE53" s="1960"/>
      <c r="CF53" s="1960"/>
      <c r="CG53" s="1960"/>
      <c r="CH53" s="1960"/>
      <c r="CI53" s="1960"/>
      <c r="CS53" s="1747"/>
      <c r="CT53" s="1747"/>
      <c r="CU53" s="1747"/>
      <c r="CV53" s="1747"/>
      <c r="CW53" s="1747"/>
      <c r="CX53" s="1748"/>
      <c r="CY53" s="1747"/>
      <c r="CZ53" s="1750"/>
      <c r="DA53" s="1749"/>
      <c r="DB53" s="1749"/>
      <c r="DC53" s="1749"/>
      <c r="DD53" s="1749"/>
      <c r="DE53" s="1748"/>
      <c r="DF53" s="1747"/>
      <c r="DG53" s="1747"/>
      <c r="DH53" s="1747"/>
      <c r="DJ53" s="1832"/>
      <c r="DK53" s="1832"/>
      <c r="DL53" s="1832"/>
      <c r="DM53" s="1832"/>
      <c r="DN53" s="1832"/>
      <c r="DO53" s="1832"/>
      <c r="DP53" s="1832"/>
      <c r="DQ53" s="1832"/>
      <c r="DR53" s="1832"/>
      <c r="DS53" s="1832"/>
      <c r="DT53" s="1832"/>
      <c r="DU53" s="1832"/>
      <c r="DV53" s="1832"/>
      <c r="DW53" s="1832"/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  <c r="EA53" s="1832"/>
      <c r="EB53" s="1832"/>
      <c r="EC53" s="1832"/>
      <c r="ED53" s="1832"/>
      <c r="EE53" s="1832"/>
      <c r="EF53" s="1832"/>
      <c r="EG53" s="1832"/>
      <c r="EH53" s="1832"/>
      <c r="EI53" s="1832"/>
      <c r="EJ53" s="1832"/>
      <c r="EK53" s="1832"/>
      <c r="EL53" s="1832"/>
      <c r="EM53" s="1832"/>
      <c r="EN53" s="1832"/>
      <c r="EO53" s="1832"/>
      <c r="EP53" s="1832"/>
      <c r="EQ53" s="1832"/>
      <c r="ER53" s="1832"/>
      <c r="ES53" s="1832"/>
      <c r="ET53" s="1832"/>
      <c r="EU53" s="1832"/>
      <c r="EV53" s="1832"/>
      <c r="EW53" s="1832"/>
      <c r="EX53" s="1832"/>
      <c r="EY53" s="1832"/>
      <c r="EZ53" s="1832"/>
      <c r="FA53" s="1832"/>
      <c r="FB53" s="1832"/>
      <c r="FC53" s="1832"/>
      <c r="FD53" s="1832"/>
      <c r="FE53" s="1832"/>
      <c r="FF53" s="1832"/>
      <c r="FG53" s="1832"/>
      <c r="FH53" s="1832"/>
      <c r="FI53" s="1832"/>
      <c r="FJ53" s="1832"/>
      <c r="FK53" s="1832"/>
      <c r="FL53" s="1832"/>
      <c r="FM53" s="1832"/>
      <c r="FN53" s="1832"/>
      <c r="FO53" s="1832"/>
      <c r="FP53" s="1832"/>
      <c r="FQ53" s="1832"/>
      <c r="FR53" s="1832"/>
      <c r="FS53" s="1832"/>
      <c r="FT53" s="1832"/>
      <c r="FU53" s="1832"/>
      <c r="FV53" s="1832"/>
      <c r="FW53" s="1832"/>
      <c r="FX53" s="1832"/>
      <c r="FY53" s="1832"/>
    </row>
    <row r="54" s="1746" customFormat="true" ht="12.75" hidden="false" customHeight="false" outlineLevel="0" collapsed="false">
      <c r="T54" s="1960"/>
      <c r="AB54" s="1960"/>
      <c r="BA54" s="1960"/>
      <c r="BB54" s="1960"/>
      <c r="BC54" s="1960"/>
      <c r="BD54" s="1960"/>
      <c r="BE54" s="1960"/>
      <c r="BF54" s="1960"/>
      <c r="BG54" s="1960"/>
      <c r="BH54" s="1960"/>
      <c r="BI54" s="1960"/>
      <c r="BJ54" s="1960"/>
      <c r="BK54" s="1960"/>
      <c r="BL54" s="1960"/>
      <c r="BM54" s="1960"/>
      <c r="BN54" s="1960"/>
      <c r="BO54" s="1960"/>
      <c r="BP54" s="1960"/>
      <c r="BQ54" s="1960"/>
      <c r="BR54" s="1960"/>
      <c r="BS54" s="1960"/>
      <c r="BT54" s="1960"/>
      <c r="BU54" s="1960"/>
      <c r="BV54" s="1960"/>
      <c r="BW54" s="1960"/>
      <c r="BX54" s="1960"/>
      <c r="BY54" s="1960"/>
      <c r="BZ54" s="1960"/>
      <c r="CA54" s="1960"/>
      <c r="CB54" s="1960"/>
      <c r="CC54" s="1960"/>
      <c r="CD54" s="1960"/>
      <c r="CE54" s="1960"/>
      <c r="CF54" s="1960"/>
      <c r="CG54" s="1960"/>
      <c r="CH54" s="1960"/>
      <c r="CI54" s="1960"/>
      <c r="CS54" s="1747"/>
      <c r="CT54" s="1747"/>
      <c r="CU54" s="1747"/>
      <c r="CV54" s="1747"/>
      <c r="CW54" s="1747"/>
      <c r="CX54" s="1748"/>
      <c r="CY54" s="1747"/>
      <c r="CZ54" s="1750"/>
      <c r="DA54" s="1749"/>
      <c r="DB54" s="1749"/>
      <c r="DC54" s="1749"/>
      <c r="DD54" s="1749"/>
      <c r="DE54" s="1748"/>
      <c r="DF54" s="1747"/>
      <c r="DG54" s="1747"/>
      <c r="DH54" s="1747"/>
      <c r="DJ54" s="1832"/>
      <c r="DK54" s="1832"/>
      <c r="DL54" s="1832"/>
      <c r="DM54" s="1832"/>
      <c r="DN54" s="1832"/>
      <c r="DO54" s="1832"/>
      <c r="DP54" s="1832"/>
      <c r="DQ54" s="1832"/>
      <c r="DR54" s="1832"/>
      <c r="DS54" s="1832"/>
      <c r="DT54" s="1832"/>
      <c r="DU54" s="1832"/>
      <c r="DV54" s="1832"/>
      <c r="DW54" s="1832"/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  <c r="EA54" s="1832"/>
      <c r="EB54" s="1832"/>
      <c r="EC54" s="1832"/>
      <c r="ED54" s="1832"/>
      <c r="EE54" s="1832"/>
      <c r="EF54" s="1832"/>
      <c r="EG54" s="1832"/>
      <c r="EH54" s="1832"/>
      <c r="EI54" s="1832"/>
      <c r="EJ54" s="1832"/>
      <c r="EK54" s="1832"/>
      <c r="EL54" s="1832"/>
      <c r="EM54" s="1832"/>
      <c r="EN54" s="1832"/>
      <c r="EO54" s="1832"/>
      <c r="EP54" s="1832"/>
      <c r="EQ54" s="1832"/>
      <c r="ER54" s="1832"/>
      <c r="ES54" s="1832"/>
      <c r="ET54" s="1832"/>
      <c r="EU54" s="1832"/>
      <c r="EV54" s="1832"/>
      <c r="EW54" s="1832"/>
      <c r="EX54" s="1832"/>
      <c r="EY54" s="1832"/>
      <c r="EZ54" s="1832"/>
      <c r="FA54" s="1832"/>
      <c r="FB54" s="1832"/>
      <c r="FC54" s="1832"/>
      <c r="FD54" s="1832"/>
      <c r="FE54" s="1832"/>
      <c r="FF54" s="1832"/>
      <c r="FG54" s="1832"/>
      <c r="FH54" s="1832"/>
      <c r="FI54" s="1832"/>
      <c r="FJ54" s="1832"/>
      <c r="FK54" s="1832"/>
      <c r="FL54" s="1832"/>
      <c r="FM54" s="1832"/>
      <c r="FN54" s="1832"/>
      <c r="FO54" s="1832"/>
      <c r="FP54" s="1832"/>
      <c r="FQ54" s="1832"/>
      <c r="FR54" s="1832"/>
      <c r="FS54" s="1832"/>
      <c r="FT54" s="1832"/>
      <c r="FU54" s="1832"/>
      <c r="FV54" s="1832"/>
      <c r="FW54" s="1832"/>
      <c r="FX54" s="1832"/>
      <c r="FY54" s="1832"/>
    </row>
    <row r="55" s="1746" customFormat="true" ht="12.75" hidden="false" customHeight="false" outlineLevel="0" collapsed="false">
      <c r="T55" s="1960"/>
      <c r="AB55" s="1960"/>
      <c r="BA55" s="1960"/>
      <c r="BB55" s="1960"/>
      <c r="BC55" s="1960"/>
      <c r="BD55" s="1960"/>
      <c r="BE55" s="1960"/>
      <c r="BF55" s="1960"/>
      <c r="BG55" s="1960"/>
      <c r="BH55" s="1960"/>
      <c r="BI55" s="1960"/>
      <c r="BJ55" s="1960"/>
      <c r="BK55" s="1960"/>
      <c r="BL55" s="1960"/>
      <c r="BM55" s="1960"/>
      <c r="BN55" s="1960"/>
      <c r="BO55" s="1960"/>
      <c r="BP55" s="1960"/>
      <c r="BQ55" s="1960"/>
      <c r="BR55" s="1960"/>
      <c r="BS55" s="1960"/>
      <c r="BT55" s="1960"/>
      <c r="BU55" s="1960"/>
      <c r="BV55" s="1960"/>
      <c r="BW55" s="1960"/>
      <c r="BX55" s="1960"/>
      <c r="BY55" s="1960"/>
      <c r="BZ55" s="1960"/>
      <c r="CA55" s="1960"/>
      <c r="CB55" s="1960"/>
      <c r="CC55" s="1960"/>
      <c r="CD55" s="1960"/>
      <c r="CE55" s="1960"/>
      <c r="CF55" s="1960"/>
      <c r="CG55" s="1960"/>
      <c r="CH55" s="1960"/>
      <c r="CI55" s="1960"/>
      <c r="CS55" s="1747"/>
      <c r="CT55" s="1747"/>
      <c r="CU55" s="1747"/>
      <c r="CV55" s="1747"/>
      <c r="CW55" s="1747"/>
      <c r="CX55" s="1748"/>
      <c r="CY55" s="1747"/>
      <c r="CZ55" s="1750"/>
      <c r="DA55" s="1749"/>
      <c r="DB55" s="1749"/>
      <c r="DC55" s="1749"/>
      <c r="DD55" s="1749"/>
      <c r="DE55" s="1748"/>
      <c r="DF55" s="1747"/>
      <c r="DG55" s="1747"/>
      <c r="DH55" s="1747"/>
      <c r="DJ55" s="1832"/>
      <c r="DK55" s="1832"/>
      <c r="DL55" s="1832"/>
      <c r="DM55" s="1832"/>
      <c r="DN55" s="1832"/>
      <c r="DO55" s="1832"/>
      <c r="DP55" s="1832"/>
      <c r="DQ55" s="1832"/>
      <c r="DR55" s="1832"/>
      <c r="DS55" s="1832"/>
      <c r="DT55" s="1832"/>
      <c r="DU55" s="1832"/>
      <c r="DV55" s="1832"/>
      <c r="DW55" s="1832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  <c r="EA55" s="1832"/>
      <c r="EB55" s="1832"/>
      <c r="EC55" s="1832"/>
      <c r="ED55" s="1832"/>
      <c r="EE55" s="1832"/>
      <c r="EF55" s="1832"/>
      <c r="EG55" s="1832"/>
      <c r="EH55" s="1832"/>
      <c r="EI55" s="1832"/>
      <c r="EJ55" s="1832"/>
      <c r="EK55" s="1832"/>
      <c r="EL55" s="1832"/>
      <c r="EM55" s="1832"/>
      <c r="EN55" s="1832"/>
      <c r="EO55" s="1832"/>
      <c r="EP55" s="1832"/>
      <c r="EQ55" s="1832"/>
      <c r="ER55" s="1832"/>
      <c r="ES55" s="1832"/>
      <c r="ET55" s="1832"/>
      <c r="EU55" s="1832"/>
      <c r="EV55" s="1832"/>
      <c r="EW55" s="1832"/>
      <c r="EX55" s="1832"/>
      <c r="EY55" s="1832"/>
      <c r="EZ55" s="1832"/>
      <c r="FA55" s="1832"/>
      <c r="FB55" s="1832"/>
      <c r="FC55" s="1832"/>
      <c r="FD55" s="1832"/>
      <c r="FE55" s="1832"/>
      <c r="FF55" s="1832"/>
      <c r="FG55" s="1832"/>
      <c r="FH55" s="1832"/>
      <c r="FI55" s="1832"/>
      <c r="FJ55" s="1832"/>
      <c r="FK55" s="1832"/>
      <c r="FL55" s="1832"/>
      <c r="FM55" s="1832"/>
      <c r="FN55" s="1832"/>
      <c r="FO55" s="1832"/>
      <c r="FP55" s="1832"/>
      <c r="FQ55" s="1832"/>
      <c r="FR55" s="1832"/>
      <c r="FS55" s="1832"/>
      <c r="FT55" s="1832"/>
      <c r="FU55" s="1832"/>
      <c r="FV55" s="1832"/>
      <c r="FW55" s="1832"/>
      <c r="FX55" s="1832"/>
      <c r="FY55" s="1832"/>
    </row>
    <row r="56" s="1746" customFormat="true" ht="12.75" hidden="false" customHeight="false" outlineLevel="0" collapsed="false">
      <c r="T56" s="1960"/>
      <c r="AB56" s="1960"/>
      <c r="BA56" s="1960"/>
      <c r="BB56" s="1960"/>
      <c r="BC56" s="1960"/>
      <c r="BD56" s="1960"/>
      <c r="BE56" s="1960"/>
      <c r="BF56" s="1960"/>
      <c r="BG56" s="1960"/>
      <c r="BH56" s="1960"/>
      <c r="BI56" s="1960"/>
      <c r="BJ56" s="1960"/>
      <c r="BK56" s="1960"/>
      <c r="BL56" s="1960"/>
      <c r="BM56" s="1960"/>
      <c r="BN56" s="1960"/>
      <c r="BO56" s="1960"/>
      <c r="BP56" s="1960"/>
      <c r="BQ56" s="1960"/>
      <c r="BR56" s="1960"/>
      <c r="BS56" s="1960"/>
      <c r="BT56" s="1960"/>
      <c r="BU56" s="1960"/>
      <c r="BV56" s="1960"/>
      <c r="BW56" s="1960"/>
      <c r="BX56" s="1960"/>
      <c r="BY56" s="1960"/>
      <c r="BZ56" s="1960"/>
      <c r="CA56" s="1960"/>
      <c r="CB56" s="1960"/>
      <c r="CC56" s="1960"/>
      <c r="CD56" s="1960"/>
      <c r="CE56" s="1960"/>
      <c r="CF56" s="1960"/>
      <c r="CG56" s="1960"/>
      <c r="CH56" s="1960"/>
      <c r="CI56" s="1960"/>
      <c r="CS56" s="1747"/>
      <c r="CT56" s="1747"/>
      <c r="CU56" s="1747"/>
      <c r="CV56" s="1747"/>
      <c r="CW56" s="1747"/>
      <c r="CX56" s="1748"/>
      <c r="CY56" s="1747"/>
      <c r="CZ56" s="1750"/>
      <c r="DA56" s="1749"/>
      <c r="DB56" s="1749"/>
      <c r="DC56" s="1749"/>
      <c r="DD56" s="1749"/>
      <c r="DE56" s="1748"/>
      <c r="DF56" s="1747"/>
      <c r="DG56" s="1747"/>
      <c r="DH56" s="1747"/>
      <c r="DJ56" s="1832"/>
      <c r="DK56" s="1832"/>
      <c r="DL56" s="1832"/>
      <c r="DM56" s="1832"/>
      <c r="DN56" s="1832"/>
      <c r="DO56" s="1832"/>
      <c r="DP56" s="1832"/>
      <c r="DQ56" s="1832"/>
      <c r="DR56" s="1832"/>
      <c r="DS56" s="1832"/>
      <c r="DT56" s="1832"/>
      <c r="DU56" s="1832"/>
      <c r="DV56" s="1832"/>
      <c r="DW56" s="1832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  <c r="EA56" s="1832"/>
      <c r="EB56" s="1832"/>
      <c r="EC56" s="1832"/>
      <c r="ED56" s="1832"/>
      <c r="EE56" s="1832"/>
      <c r="EF56" s="1832"/>
      <c r="EG56" s="1832"/>
      <c r="EH56" s="1832"/>
      <c r="EI56" s="1832"/>
      <c r="EJ56" s="1832"/>
      <c r="EK56" s="1832"/>
      <c r="EL56" s="1832"/>
      <c r="EM56" s="1832"/>
      <c r="EN56" s="1832"/>
      <c r="EO56" s="1832"/>
      <c r="EP56" s="1832"/>
      <c r="EQ56" s="1832"/>
      <c r="ER56" s="1832"/>
      <c r="ES56" s="1832"/>
      <c r="ET56" s="1832"/>
      <c r="EU56" s="1832"/>
      <c r="EV56" s="1832"/>
      <c r="EW56" s="1832"/>
      <c r="EX56" s="1832"/>
      <c r="EY56" s="1832"/>
      <c r="EZ56" s="1832"/>
      <c r="FA56" s="1832"/>
      <c r="FB56" s="1832"/>
      <c r="FC56" s="1832"/>
      <c r="FD56" s="1832"/>
      <c r="FE56" s="1832"/>
      <c r="FF56" s="1832"/>
      <c r="FG56" s="1832"/>
      <c r="FH56" s="1832"/>
      <c r="FI56" s="1832"/>
      <c r="FJ56" s="1832"/>
      <c r="FK56" s="1832"/>
      <c r="FL56" s="1832"/>
      <c r="FM56" s="1832"/>
      <c r="FN56" s="1832"/>
      <c r="FO56" s="1832"/>
      <c r="FP56" s="1832"/>
      <c r="FQ56" s="1832"/>
      <c r="FR56" s="1832"/>
      <c r="FS56" s="1832"/>
      <c r="FT56" s="1832"/>
      <c r="FU56" s="1832"/>
      <c r="FV56" s="1832"/>
      <c r="FW56" s="1832"/>
      <c r="FX56" s="1832"/>
      <c r="FY56" s="1832"/>
    </row>
    <row r="57" s="1746" customFormat="true" ht="12.75" hidden="false" customHeight="false" outlineLevel="0" collapsed="false">
      <c r="T57" s="1960"/>
      <c r="AB57" s="1960"/>
      <c r="BA57" s="1960"/>
      <c r="BB57" s="1960"/>
      <c r="BC57" s="1960"/>
      <c r="BD57" s="1960"/>
      <c r="BE57" s="1960"/>
      <c r="BF57" s="1960"/>
      <c r="BG57" s="1960"/>
      <c r="BH57" s="1960"/>
      <c r="BI57" s="1960"/>
      <c r="BJ57" s="1960"/>
      <c r="BK57" s="1960"/>
      <c r="BL57" s="1960"/>
      <c r="BM57" s="1960"/>
      <c r="BN57" s="1960"/>
      <c r="BO57" s="1960"/>
      <c r="BP57" s="1960"/>
      <c r="BQ57" s="1960"/>
      <c r="BR57" s="1960"/>
      <c r="BS57" s="1960"/>
      <c r="BT57" s="1960"/>
      <c r="BU57" s="1960"/>
      <c r="BV57" s="1960"/>
      <c r="BW57" s="1960"/>
      <c r="BX57" s="1960"/>
      <c r="BY57" s="1960"/>
      <c r="BZ57" s="1960"/>
      <c r="CA57" s="1960"/>
      <c r="CB57" s="1960"/>
      <c r="CC57" s="1960"/>
      <c r="CD57" s="1960"/>
      <c r="CE57" s="1960"/>
      <c r="CF57" s="1960"/>
      <c r="CG57" s="1960"/>
      <c r="CH57" s="1960"/>
      <c r="CI57" s="1960"/>
      <c r="CS57" s="1747"/>
      <c r="CT57" s="1747"/>
      <c r="CU57" s="1747"/>
      <c r="CV57" s="1747"/>
      <c r="CW57" s="1747"/>
      <c r="CX57" s="1748"/>
      <c r="CY57" s="1747"/>
      <c r="CZ57" s="1750"/>
      <c r="DA57" s="1749"/>
      <c r="DB57" s="1749"/>
      <c r="DC57" s="1749"/>
      <c r="DD57" s="1749"/>
      <c r="DE57" s="1748"/>
      <c r="DF57" s="1747"/>
      <c r="DG57" s="1747"/>
      <c r="DH57" s="1747"/>
      <c r="DJ57" s="1832"/>
      <c r="DK57" s="1832"/>
      <c r="DL57" s="1832"/>
      <c r="DM57" s="1832"/>
      <c r="DN57" s="1832"/>
      <c r="DO57" s="1832"/>
      <c r="DP57" s="1832"/>
      <c r="DQ57" s="1832"/>
      <c r="DR57" s="1832"/>
      <c r="DS57" s="1832"/>
      <c r="DT57" s="1832"/>
      <c r="DU57" s="1832"/>
      <c r="DV57" s="1832"/>
      <c r="DW57" s="1832"/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  <c r="EA57" s="1832"/>
      <c r="EB57" s="1832"/>
      <c r="EC57" s="1832"/>
      <c r="ED57" s="1832"/>
      <c r="EE57" s="1832"/>
      <c r="EF57" s="1832"/>
      <c r="EG57" s="1832"/>
      <c r="EH57" s="1832"/>
      <c r="EI57" s="1832"/>
      <c r="EJ57" s="1832"/>
      <c r="EK57" s="1832"/>
      <c r="EL57" s="1832"/>
      <c r="EM57" s="1832"/>
      <c r="EN57" s="1832"/>
      <c r="EO57" s="1832"/>
      <c r="EP57" s="1832"/>
      <c r="EQ57" s="1832"/>
      <c r="ER57" s="1832"/>
      <c r="ES57" s="1832"/>
      <c r="ET57" s="1832"/>
      <c r="EU57" s="1832"/>
      <c r="EV57" s="1832"/>
      <c r="EW57" s="1832"/>
      <c r="EX57" s="1832"/>
      <c r="EY57" s="1832"/>
      <c r="EZ57" s="1832"/>
      <c r="FA57" s="1832"/>
      <c r="FB57" s="1832"/>
      <c r="FC57" s="1832"/>
      <c r="FD57" s="1832"/>
      <c r="FE57" s="1832"/>
      <c r="FF57" s="1832"/>
      <c r="FG57" s="1832"/>
      <c r="FH57" s="1832"/>
      <c r="FI57" s="1832"/>
      <c r="FJ57" s="1832"/>
      <c r="FK57" s="1832"/>
      <c r="FL57" s="1832"/>
      <c r="FM57" s="1832"/>
      <c r="FN57" s="1832"/>
      <c r="FO57" s="1832"/>
      <c r="FP57" s="1832"/>
      <c r="FQ57" s="1832"/>
      <c r="FR57" s="1832"/>
      <c r="FS57" s="1832"/>
      <c r="FT57" s="1832"/>
      <c r="FU57" s="1832"/>
      <c r="FV57" s="1832"/>
      <c r="FW57" s="1832"/>
      <c r="FX57" s="1832"/>
      <c r="FY57" s="1832"/>
    </row>
    <row r="58" s="1746" customFormat="true" ht="12.75" hidden="false" customHeight="false" outlineLevel="0" collapsed="false">
      <c r="T58" s="1960"/>
      <c r="AB58" s="1960"/>
      <c r="BA58" s="1960"/>
      <c r="BB58" s="1960"/>
      <c r="BC58" s="1960"/>
      <c r="BD58" s="1960"/>
      <c r="BE58" s="1960"/>
      <c r="BF58" s="1960"/>
      <c r="BG58" s="1960"/>
      <c r="BH58" s="1960"/>
      <c r="BI58" s="1960"/>
      <c r="BJ58" s="1960"/>
      <c r="BK58" s="1960"/>
      <c r="BL58" s="1960"/>
      <c r="BM58" s="1960"/>
      <c r="BN58" s="1960"/>
      <c r="BO58" s="1960"/>
      <c r="BP58" s="1960"/>
      <c r="BQ58" s="1960"/>
      <c r="BR58" s="1960"/>
      <c r="BS58" s="1960"/>
      <c r="BT58" s="1960"/>
      <c r="BU58" s="1960"/>
      <c r="BV58" s="1960"/>
      <c r="BW58" s="1960"/>
      <c r="BX58" s="1960"/>
      <c r="BY58" s="1960"/>
      <c r="BZ58" s="1960"/>
      <c r="CA58" s="1960"/>
      <c r="CB58" s="1960"/>
      <c r="CC58" s="1960"/>
      <c r="CD58" s="1960"/>
      <c r="CE58" s="1960"/>
      <c r="CF58" s="1960"/>
      <c r="CG58" s="1960"/>
      <c r="CH58" s="1960"/>
      <c r="CI58" s="1960"/>
      <c r="CS58" s="1747"/>
      <c r="CT58" s="1747"/>
      <c r="CU58" s="1747"/>
      <c r="CV58" s="1747"/>
      <c r="CW58" s="1747"/>
      <c r="CX58" s="1748"/>
      <c r="CY58" s="1747"/>
      <c r="CZ58" s="1750"/>
      <c r="DA58" s="1749"/>
      <c r="DB58" s="1749"/>
      <c r="DC58" s="1749"/>
      <c r="DD58" s="1749"/>
      <c r="DE58" s="1748"/>
      <c r="DF58" s="1747"/>
      <c r="DG58" s="1747"/>
      <c r="DH58" s="1747"/>
      <c r="DJ58" s="1832"/>
      <c r="DK58" s="1832"/>
      <c r="DL58" s="1832"/>
      <c r="DM58" s="1832"/>
      <c r="DN58" s="1832"/>
      <c r="DO58" s="1832"/>
      <c r="DP58" s="1832"/>
      <c r="DQ58" s="1832"/>
      <c r="DR58" s="1832"/>
      <c r="DS58" s="1832"/>
      <c r="DT58" s="1832"/>
      <c r="DU58" s="1832"/>
      <c r="DV58" s="1832"/>
      <c r="DW58" s="1832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  <c r="EA58" s="1832"/>
      <c r="EB58" s="1832"/>
      <c r="EC58" s="1832"/>
      <c r="ED58" s="1832"/>
      <c r="EE58" s="1832"/>
      <c r="EF58" s="1832"/>
      <c r="EG58" s="1832"/>
      <c r="EH58" s="1832"/>
      <c r="EI58" s="1832"/>
      <c r="EJ58" s="1832"/>
      <c r="EK58" s="1832"/>
      <c r="EL58" s="1832"/>
      <c r="EM58" s="1832"/>
      <c r="EN58" s="1832"/>
      <c r="EO58" s="1832"/>
      <c r="EP58" s="1832"/>
      <c r="EQ58" s="1832"/>
      <c r="ER58" s="1832"/>
      <c r="ES58" s="1832"/>
      <c r="ET58" s="1832"/>
      <c r="EU58" s="1832"/>
      <c r="EV58" s="1832"/>
      <c r="EW58" s="1832"/>
      <c r="EX58" s="1832"/>
      <c r="EY58" s="1832"/>
      <c r="EZ58" s="1832"/>
      <c r="FA58" s="1832"/>
      <c r="FB58" s="1832"/>
      <c r="FC58" s="1832"/>
      <c r="FD58" s="1832"/>
      <c r="FE58" s="1832"/>
      <c r="FF58" s="1832"/>
      <c r="FG58" s="1832"/>
      <c r="FH58" s="1832"/>
      <c r="FI58" s="1832"/>
      <c r="FJ58" s="1832"/>
      <c r="FK58" s="1832"/>
      <c r="FL58" s="1832"/>
      <c r="FM58" s="1832"/>
      <c r="FN58" s="1832"/>
      <c r="FO58" s="1832"/>
      <c r="FP58" s="1832"/>
      <c r="FQ58" s="1832"/>
      <c r="FR58" s="1832"/>
      <c r="FS58" s="1832"/>
      <c r="FT58" s="1832"/>
      <c r="FU58" s="1832"/>
      <c r="FV58" s="1832"/>
      <c r="FW58" s="1832"/>
      <c r="FX58" s="1832"/>
      <c r="FY58" s="1832"/>
    </row>
    <row r="59" s="1746" customFormat="true" ht="12.75" hidden="false" customHeight="false" outlineLevel="0" collapsed="false">
      <c r="T59" s="1960"/>
      <c r="AB59" s="1960"/>
      <c r="BA59" s="1960"/>
      <c r="BB59" s="1960"/>
      <c r="BC59" s="1960"/>
      <c r="BD59" s="1960"/>
      <c r="BE59" s="1960"/>
      <c r="BF59" s="1960"/>
      <c r="BG59" s="1960"/>
      <c r="BH59" s="1960"/>
      <c r="BI59" s="1960"/>
      <c r="BJ59" s="1960"/>
      <c r="BK59" s="1960"/>
      <c r="BL59" s="1960"/>
      <c r="BM59" s="1960"/>
      <c r="BN59" s="1960"/>
      <c r="BO59" s="1960"/>
      <c r="BP59" s="1960"/>
      <c r="BQ59" s="1960"/>
      <c r="BR59" s="1960"/>
      <c r="BS59" s="1960"/>
      <c r="BT59" s="1960"/>
      <c r="BU59" s="1960"/>
      <c r="BV59" s="1960"/>
      <c r="BW59" s="1960"/>
      <c r="BX59" s="1960"/>
      <c r="BY59" s="1960"/>
      <c r="BZ59" s="1960"/>
      <c r="CA59" s="1960"/>
      <c r="CB59" s="1960"/>
      <c r="CC59" s="1960"/>
      <c r="CD59" s="1960"/>
      <c r="CE59" s="1960"/>
      <c r="CF59" s="1960"/>
      <c r="CG59" s="1960"/>
      <c r="CH59" s="1960"/>
      <c r="CI59" s="1960"/>
      <c r="CS59" s="1747"/>
      <c r="CT59" s="1747"/>
      <c r="CU59" s="1747"/>
      <c r="CV59" s="1747"/>
      <c r="CW59" s="1747"/>
      <c r="CX59" s="1748"/>
      <c r="CY59" s="1747"/>
      <c r="CZ59" s="1750"/>
      <c r="DA59" s="1749"/>
      <c r="DB59" s="1749"/>
      <c r="DC59" s="1749"/>
      <c r="DD59" s="1749"/>
      <c r="DE59" s="1748"/>
      <c r="DF59" s="1747"/>
      <c r="DG59" s="1747"/>
      <c r="DH59" s="1747"/>
      <c r="DJ59" s="1832"/>
      <c r="DK59" s="1832"/>
      <c r="DL59" s="1832"/>
      <c r="DM59" s="1832"/>
      <c r="DN59" s="1832"/>
      <c r="DO59" s="1832"/>
      <c r="DP59" s="1832"/>
      <c r="DQ59" s="1832"/>
      <c r="DR59" s="1832"/>
      <c r="DS59" s="1832"/>
      <c r="DT59" s="1832"/>
      <c r="DU59" s="1832"/>
      <c r="DV59" s="1832"/>
      <c r="DW59" s="1832"/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  <c r="EA59" s="1832"/>
      <c r="EB59" s="1832"/>
      <c r="EC59" s="1832"/>
      <c r="ED59" s="1832"/>
      <c r="EE59" s="1832"/>
      <c r="EF59" s="1832"/>
      <c r="EG59" s="1832"/>
      <c r="EH59" s="1832"/>
      <c r="EI59" s="1832"/>
      <c r="EJ59" s="1832"/>
      <c r="EK59" s="1832"/>
      <c r="EL59" s="1832"/>
      <c r="EM59" s="1832"/>
      <c r="EN59" s="1832"/>
      <c r="EO59" s="1832"/>
      <c r="EP59" s="1832"/>
      <c r="EQ59" s="1832"/>
      <c r="ER59" s="1832"/>
      <c r="ES59" s="1832"/>
      <c r="ET59" s="1832"/>
      <c r="EU59" s="1832"/>
      <c r="EV59" s="1832"/>
      <c r="EW59" s="1832"/>
      <c r="EX59" s="1832"/>
      <c r="EY59" s="1832"/>
      <c r="EZ59" s="1832"/>
      <c r="FA59" s="1832"/>
      <c r="FB59" s="1832"/>
      <c r="FC59" s="1832"/>
      <c r="FD59" s="1832"/>
      <c r="FE59" s="1832"/>
      <c r="FF59" s="1832"/>
      <c r="FG59" s="1832"/>
      <c r="FH59" s="1832"/>
      <c r="FI59" s="1832"/>
      <c r="FJ59" s="1832"/>
      <c r="FK59" s="1832"/>
      <c r="FL59" s="1832"/>
      <c r="FM59" s="1832"/>
      <c r="FN59" s="1832"/>
      <c r="FO59" s="1832"/>
      <c r="FP59" s="1832"/>
      <c r="FQ59" s="1832"/>
      <c r="FR59" s="1832"/>
      <c r="FS59" s="1832"/>
      <c r="FT59" s="1832"/>
      <c r="FU59" s="1832"/>
      <c r="FV59" s="1832"/>
      <c r="FW59" s="1832"/>
      <c r="FX59" s="1832"/>
      <c r="FY59" s="1832"/>
    </row>
    <row r="60" s="1746" customFormat="true" ht="12.75" hidden="false" customHeight="false" outlineLevel="0" collapsed="false">
      <c r="T60" s="1960"/>
      <c r="AB60" s="1960"/>
      <c r="BA60" s="1960"/>
      <c r="BB60" s="1960"/>
      <c r="BC60" s="1960"/>
      <c r="BD60" s="1960"/>
      <c r="BE60" s="1960"/>
      <c r="BF60" s="1960"/>
      <c r="BG60" s="1960"/>
      <c r="BH60" s="1960"/>
      <c r="BI60" s="1960"/>
      <c r="BJ60" s="1960"/>
      <c r="BK60" s="1960"/>
      <c r="BL60" s="1960"/>
      <c r="BM60" s="1960"/>
      <c r="BN60" s="1960"/>
      <c r="BO60" s="1960"/>
      <c r="BP60" s="1960"/>
      <c r="BQ60" s="1960"/>
      <c r="BR60" s="1960"/>
      <c r="BS60" s="1960"/>
      <c r="BT60" s="1960"/>
      <c r="BU60" s="1960"/>
      <c r="BV60" s="1960"/>
      <c r="BW60" s="1960"/>
      <c r="BX60" s="1960"/>
      <c r="BY60" s="1960"/>
      <c r="BZ60" s="1960"/>
      <c r="CA60" s="1960"/>
      <c r="CB60" s="1960"/>
      <c r="CC60" s="1960"/>
      <c r="CD60" s="1960"/>
      <c r="CE60" s="1960"/>
      <c r="CF60" s="1960"/>
      <c r="CG60" s="1960"/>
      <c r="CH60" s="1960"/>
      <c r="CI60" s="1960"/>
      <c r="CS60" s="1747"/>
      <c r="CT60" s="1747"/>
      <c r="CU60" s="1747"/>
      <c r="CV60" s="1747"/>
      <c r="CW60" s="1747"/>
      <c r="CX60" s="1748"/>
      <c r="CY60" s="1747"/>
      <c r="CZ60" s="1750"/>
      <c r="DA60" s="1749"/>
      <c r="DB60" s="1749"/>
      <c r="DC60" s="1749"/>
      <c r="DD60" s="1749"/>
      <c r="DE60" s="1748"/>
      <c r="DF60" s="1747"/>
      <c r="DG60" s="1747"/>
      <c r="DH60" s="1747"/>
      <c r="DJ60" s="1832"/>
      <c r="DK60" s="1832"/>
      <c r="DL60" s="1832"/>
      <c r="DM60" s="1832"/>
      <c r="DN60" s="1832"/>
      <c r="DO60" s="1832"/>
      <c r="DP60" s="1832"/>
      <c r="DQ60" s="1832"/>
      <c r="DR60" s="1832"/>
      <c r="DS60" s="1832"/>
      <c r="DT60" s="1832"/>
      <c r="DU60" s="1832"/>
      <c r="DV60" s="1832"/>
      <c r="DW60" s="1832"/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  <c r="EA60" s="1832"/>
      <c r="EB60" s="1832"/>
      <c r="EC60" s="1832"/>
      <c r="ED60" s="1832"/>
      <c r="EE60" s="1832"/>
      <c r="EF60" s="1832"/>
      <c r="EG60" s="1832"/>
      <c r="EH60" s="1832"/>
      <c r="EI60" s="1832"/>
      <c r="EJ60" s="1832"/>
      <c r="EK60" s="1832"/>
      <c r="EL60" s="1832"/>
      <c r="EM60" s="1832"/>
      <c r="EN60" s="1832"/>
      <c r="EO60" s="1832"/>
      <c r="EP60" s="1832"/>
      <c r="EQ60" s="1832"/>
      <c r="ER60" s="1832"/>
      <c r="ES60" s="1832"/>
      <c r="ET60" s="1832"/>
      <c r="EU60" s="1832"/>
      <c r="EV60" s="1832"/>
      <c r="EW60" s="1832"/>
      <c r="EX60" s="1832"/>
      <c r="EY60" s="1832"/>
      <c r="EZ60" s="1832"/>
      <c r="FA60" s="1832"/>
      <c r="FB60" s="1832"/>
      <c r="FC60" s="1832"/>
      <c r="FD60" s="1832"/>
      <c r="FE60" s="1832"/>
      <c r="FF60" s="1832"/>
      <c r="FG60" s="1832"/>
      <c r="FH60" s="1832"/>
      <c r="FI60" s="1832"/>
      <c r="FJ60" s="1832"/>
      <c r="FK60" s="1832"/>
      <c r="FL60" s="1832"/>
      <c r="FM60" s="1832"/>
      <c r="FN60" s="1832"/>
      <c r="FO60" s="1832"/>
      <c r="FP60" s="1832"/>
      <c r="FQ60" s="1832"/>
      <c r="FR60" s="1832"/>
      <c r="FS60" s="1832"/>
      <c r="FT60" s="1832"/>
      <c r="FU60" s="1832"/>
      <c r="FV60" s="1832"/>
      <c r="FW60" s="1832"/>
      <c r="FX60" s="1832"/>
      <c r="FY60" s="1832"/>
    </row>
    <row r="61" s="1746" customFormat="true" ht="12.75" hidden="false" customHeight="false" outlineLevel="0" collapsed="false">
      <c r="T61" s="1960"/>
      <c r="AB61" s="1960"/>
      <c r="BA61" s="1960"/>
      <c r="BB61" s="1960"/>
      <c r="BC61" s="1960"/>
      <c r="BD61" s="1960"/>
      <c r="BE61" s="1960"/>
      <c r="BF61" s="1960"/>
      <c r="BG61" s="1960"/>
      <c r="BH61" s="1960"/>
      <c r="BI61" s="1960"/>
      <c r="BJ61" s="1960"/>
      <c r="BK61" s="1960"/>
      <c r="BL61" s="1960"/>
      <c r="BM61" s="1960"/>
      <c r="BN61" s="1960"/>
      <c r="BO61" s="1960"/>
      <c r="BP61" s="1960"/>
      <c r="BQ61" s="1960"/>
      <c r="BR61" s="1960"/>
      <c r="BS61" s="1960"/>
      <c r="BT61" s="1960"/>
      <c r="BU61" s="1960"/>
      <c r="BV61" s="1960"/>
      <c r="BW61" s="1960"/>
      <c r="BX61" s="1960"/>
      <c r="BY61" s="1960"/>
      <c r="BZ61" s="1960"/>
      <c r="CA61" s="1960"/>
      <c r="CB61" s="1960"/>
      <c r="CC61" s="1960"/>
      <c r="CD61" s="1960"/>
      <c r="CE61" s="1960"/>
      <c r="CF61" s="1960"/>
      <c r="CG61" s="1960"/>
      <c r="CH61" s="1960"/>
      <c r="CI61" s="1960"/>
      <c r="CS61" s="1747"/>
      <c r="CT61" s="1747"/>
      <c r="CU61" s="1747"/>
      <c r="CV61" s="1747"/>
      <c r="CW61" s="1747"/>
      <c r="CX61" s="1748"/>
      <c r="CY61" s="1747"/>
      <c r="CZ61" s="1750"/>
      <c r="DA61" s="1749"/>
      <c r="DB61" s="1749"/>
      <c r="DC61" s="1749"/>
      <c r="DD61" s="1749"/>
      <c r="DE61" s="1748"/>
      <c r="DF61" s="1747"/>
      <c r="DG61" s="1747"/>
      <c r="DH61" s="1747"/>
      <c r="DJ61" s="1832"/>
      <c r="DK61" s="1832"/>
      <c r="DL61" s="1832"/>
      <c r="DM61" s="1832"/>
      <c r="DN61" s="1832"/>
      <c r="DO61" s="1832"/>
      <c r="DP61" s="1832"/>
      <c r="DQ61" s="1832"/>
      <c r="DR61" s="1832"/>
      <c r="DS61" s="1832"/>
      <c r="DT61" s="1832"/>
      <c r="DU61" s="1832"/>
      <c r="DV61" s="1832"/>
      <c r="DW61" s="1832"/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  <c r="EA61" s="1832"/>
      <c r="EB61" s="1832"/>
      <c r="EC61" s="1832"/>
      <c r="ED61" s="1832"/>
      <c r="EE61" s="1832"/>
      <c r="EF61" s="1832"/>
      <c r="EG61" s="1832"/>
      <c r="EH61" s="1832"/>
      <c r="EI61" s="1832"/>
      <c r="EJ61" s="1832"/>
      <c r="EK61" s="1832"/>
      <c r="EL61" s="1832"/>
      <c r="EM61" s="1832"/>
      <c r="EN61" s="1832"/>
      <c r="EO61" s="1832"/>
      <c r="EP61" s="1832"/>
      <c r="EQ61" s="1832"/>
      <c r="ER61" s="1832"/>
      <c r="ES61" s="1832"/>
      <c r="ET61" s="1832"/>
      <c r="EU61" s="1832"/>
      <c r="EV61" s="1832"/>
      <c r="EW61" s="1832"/>
      <c r="EX61" s="1832"/>
      <c r="EY61" s="1832"/>
      <c r="EZ61" s="1832"/>
      <c r="FA61" s="1832"/>
      <c r="FB61" s="1832"/>
      <c r="FC61" s="1832"/>
      <c r="FD61" s="1832"/>
      <c r="FE61" s="1832"/>
      <c r="FF61" s="1832"/>
      <c r="FG61" s="1832"/>
      <c r="FH61" s="1832"/>
      <c r="FI61" s="1832"/>
      <c r="FJ61" s="1832"/>
      <c r="FK61" s="1832"/>
      <c r="FL61" s="1832"/>
      <c r="FM61" s="1832"/>
      <c r="FN61" s="1832"/>
      <c r="FO61" s="1832"/>
      <c r="FP61" s="1832"/>
      <c r="FQ61" s="1832"/>
      <c r="FR61" s="1832"/>
      <c r="FS61" s="1832"/>
      <c r="FT61" s="1832"/>
      <c r="FU61" s="1832"/>
      <c r="FV61" s="1832"/>
      <c r="FW61" s="1832"/>
      <c r="FX61" s="1832"/>
      <c r="FY61" s="1832"/>
    </row>
    <row r="62" s="1746" customFormat="true" ht="12.75" hidden="false" customHeight="false" outlineLevel="0" collapsed="false">
      <c r="T62" s="1960"/>
      <c r="AB62" s="1960"/>
      <c r="BA62" s="1960"/>
      <c r="BB62" s="1960"/>
      <c r="BC62" s="1960"/>
      <c r="BD62" s="1960"/>
      <c r="BE62" s="1960"/>
      <c r="BF62" s="1960"/>
      <c r="BG62" s="1960"/>
      <c r="BH62" s="1960"/>
      <c r="BI62" s="1960"/>
      <c r="BJ62" s="1960"/>
      <c r="BK62" s="1960"/>
      <c r="BL62" s="1960"/>
      <c r="BM62" s="1960"/>
      <c r="BN62" s="1960"/>
      <c r="BO62" s="1960"/>
      <c r="BP62" s="1960"/>
      <c r="BQ62" s="1960"/>
      <c r="BR62" s="1960"/>
      <c r="BS62" s="1960"/>
      <c r="BT62" s="1960"/>
      <c r="BU62" s="1960"/>
      <c r="BV62" s="1960"/>
      <c r="BW62" s="1960"/>
      <c r="BX62" s="1960"/>
      <c r="BY62" s="1960"/>
      <c r="BZ62" s="1960"/>
      <c r="CA62" s="1960"/>
      <c r="CB62" s="1960"/>
      <c r="CC62" s="1960"/>
      <c r="CD62" s="1960"/>
      <c r="CE62" s="1960"/>
      <c r="CF62" s="1960"/>
      <c r="CG62" s="1960"/>
      <c r="CH62" s="1960"/>
      <c r="CI62" s="1960"/>
      <c r="CS62" s="1747"/>
      <c r="CT62" s="1747"/>
      <c r="CU62" s="1747"/>
      <c r="CV62" s="1747"/>
      <c r="CW62" s="1747"/>
      <c r="CX62" s="1748"/>
      <c r="CY62" s="1747"/>
      <c r="CZ62" s="1750"/>
      <c r="DA62" s="1749"/>
      <c r="DB62" s="1749"/>
      <c r="DC62" s="1749"/>
      <c r="DD62" s="1749"/>
      <c r="DE62" s="1748"/>
      <c r="DF62" s="1747"/>
      <c r="DG62" s="1747"/>
      <c r="DH62" s="1747"/>
      <c r="DJ62" s="1832"/>
      <c r="DK62" s="1832"/>
      <c r="DL62" s="1832"/>
      <c r="DM62" s="1832"/>
      <c r="DN62" s="1832"/>
      <c r="DO62" s="1832"/>
      <c r="DP62" s="1832"/>
      <c r="DQ62" s="1832"/>
      <c r="DR62" s="1832"/>
      <c r="DS62" s="1832"/>
      <c r="DT62" s="1832"/>
      <c r="DU62" s="1832"/>
      <c r="DV62" s="1832"/>
      <c r="DW62" s="1832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  <c r="EA62" s="1832"/>
      <c r="EB62" s="1832"/>
      <c r="EC62" s="1832"/>
      <c r="ED62" s="1832"/>
      <c r="EE62" s="1832"/>
      <c r="EF62" s="1832"/>
      <c r="EG62" s="1832"/>
      <c r="EH62" s="1832"/>
      <c r="EI62" s="1832"/>
      <c r="EJ62" s="1832"/>
      <c r="EK62" s="1832"/>
      <c r="EL62" s="1832"/>
      <c r="EM62" s="1832"/>
      <c r="EN62" s="1832"/>
      <c r="EO62" s="1832"/>
      <c r="EP62" s="1832"/>
      <c r="EQ62" s="1832"/>
      <c r="ER62" s="1832"/>
      <c r="ES62" s="1832"/>
      <c r="ET62" s="1832"/>
      <c r="EU62" s="1832"/>
      <c r="EV62" s="1832"/>
      <c r="EW62" s="1832"/>
      <c r="EX62" s="1832"/>
      <c r="EY62" s="1832"/>
      <c r="EZ62" s="1832"/>
      <c r="FA62" s="1832"/>
      <c r="FB62" s="1832"/>
      <c r="FC62" s="1832"/>
      <c r="FD62" s="1832"/>
      <c r="FE62" s="1832"/>
      <c r="FF62" s="1832"/>
      <c r="FG62" s="1832"/>
      <c r="FH62" s="1832"/>
      <c r="FI62" s="1832"/>
      <c r="FJ62" s="1832"/>
      <c r="FK62" s="1832"/>
      <c r="FL62" s="1832"/>
      <c r="FM62" s="1832"/>
      <c r="FN62" s="1832"/>
      <c r="FO62" s="1832"/>
      <c r="FP62" s="1832"/>
      <c r="FQ62" s="1832"/>
      <c r="FR62" s="1832"/>
      <c r="FS62" s="1832"/>
      <c r="FT62" s="1832"/>
      <c r="FU62" s="1832"/>
      <c r="FV62" s="1832"/>
      <c r="FW62" s="1832"/>
      <c r="FX62" s="1832"/>
      <c r="FY62" s="1832"/>
    </row>
    <row r="63" s="1746" customFormat="true" ht="12.75" hidden="false" customHeight="false" outlineLevel="0" collapsed="false">
      <c r="T63" s="1960"/>
      <c r="AB63" s="1960"/>
      <c r="BA63" s="1960"/>
      <c r="BB63" s="1960"/>
      <c r="BC63" s="1960"/>
      <c r="BD63" s="1960"/>
      <c r="BE63" s="1960"/>
      <c r="BF63" s="1960"/>
      <c r="BG63" s="1960"/>
      <c r="BH63" s="1960"/>
      <c r="BI63" s="1960"/>
      <c r="BJ63" s="1960"/>
      <c r="BK63" s="1960"/>
      <c r="BL63" s="1960"/>
      <c r="BM63" s="1960"/>
      <c r="BN63" s="1960"/>
      <c r="BO63" s="1960"/>
      <c r="BP63" s="1960"/>
      <c r="BQ63" s="1960"/>
      <c r="BR63" s="1960"/>
      <c r="BS63" s="1960"/>
      <c r="BT63" s="1960"/>
      <c r="BU63" s="1960"/>
      <c r="BV63" s="1960"/>
      <c r="BW63" s="1960"/>
      <c r="BX63" s="1960"/>
      <c r="BY63" s="1960"/>
      <c r="BZ63" s="1960"/>
      <c r="CA63" s="1960"/>
      <c r="CB63" s="1960"/>
      <c r="CC63" s="1960"/>
      <c r="CD63" s="1960"/>
      <c r="CE63" s="1960"/>
      <c r="CF63" s="1960"/>
      <c r="CG63" s="1960"/>
      <c r="CH63" s="1960"/>
      <c r="CI63" s="1960"/>
      <c r="CS63" s="1747"/>
      <c r="CT63" s="1747"/>
      <c r="CU63" s="1747"/>
      <c r="CV63" s="1747"/>
      <c r="CW63" s="1747"/>
      <c r="CX63" s="1748"/>
      <c r="CY63" s="1747"/>
      <c r="CZ63" s="1750"/>
      <c r="DA63" s="1749"/>
      <c r="DB63" s="1749"/>
      <c r="DC63" s="1749"/>
      <c r="DD63" s="1749"/>
      <c r="DE63" s="1748"/>
      <c r="DF63" s="1747"/>
      <c r="DG63" s="1747"/>
      <c r="DH63" s="1747"/>
      <c r="DJ63" s="1832"/>
      <c r="DK63" s="1832"/>
      <c r="DL63" s="1832"/>
      <c r="DM63" s="1832"/>
      <c r="DN63" s="1832"/>
      <c r="DO63" s="1832"/>
      <c r="DP63" s="1832"/>
      <c r="DQ63" s="1832"/>
      <c r="DR63" s="1832"/>
      <c r="DS63" s="1832"/>
      <c r="DT63" s="1832"/>
      <c r="DU63" s="1832"/>
      <c r="DV63" s="1832"/>
      <c r="DW63" s="1832"/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  <c r="EA63" s="1832"/>
      <c r="EB63" s="1832"/>
      <c r="EC63" s="1832"/>
      <c r="ED63" s="1832"/>
      <c r="EE63" s="1832"/>
      <c r="EF63" s="1832"/>
      <c r="EG63" s="1832"/>
      <c r="EH63" s="1832"/>
      <c r="EI63" s="1832"/>
      <c r="EJ63" s="1832"/>
      <c r="EK63" s="1832"/>
      <c r="EL63" s="1832"/>
      <c r="EM63" s="1832"/>
      <c r="EN63" s="1832"/>
      <c r="EO63" s="1832"/>
      <c r="EP63" s="1832"/>
      <c r="EQ63" s="1832"/>
      <c r="ER63" s="1832"/>
      <c r="ES63" s="1832"/>
      <c r="ET63" s="1832"/>
      <c r="EU63" s="1832"/>
      <c r="EV63" s="1832"/>
      <c r="EW63" s="1832"/>
      <c r="EX63" s="1832"/>
      <c r="EY63" s="1832"/>
      <c r="EZ63" s="1832"/>
      <c r="FA63" s="1832"/>
      <c r="FB63" s="1832"/>
      <c r="FC63" s="1832"/>
      <c r="FD63" s="1832"/>
      <c r="FE63" s="1832"/>
      <c r="FF63" s="1832"/>
      <c r="FG63" s="1832"/>
      <c r="FH63" s="1832"/>
      <c r="FI63" s="1832"/>
      <c r="FJ63" s="1832"/>
      <c r="FK63" s="1832"/>
      <c r="FL63" s="1832"/>
      <c r="FM63" s="1832"/>
      <c r="FN63" s="1832"/>
      <c r="FO63" s="1832"/>
      <c r="FP63" s="1832"/>
      <c r="FQ63" s="1832"/>
      <c r="FR63" s="1832"/>
      <c r="FS63" s="1832"/>
      <c r="FT63" s="1832"/>
      <c r="FU63" s="1832"/>
      <c r="FV63" s="1832"/>
      <c r="FW63" s="1832"/>
      <c r="FX63" s="1832"/>
      <c r="FY63" s="1832"/>
    </row>
    <row r="64" s="1746" customFormat="true" ht="12.75" hidden="false" customHeight="false" outlineLevel="0" collapsed="false">
      <c r="T64" s="1960"/>
      <c r="AB64" s="1960"/>
      <c r="BA64" s="1960"/>
      <c r="BB64" s="1960"/>
      <c r="BC64" s="1960"/>
      <c r="BD64" s="1960"/>
      <c r="BE64" s="1960"/>
      <c r="BF64" s="1960"/>
      <c r="BG64" s="1960"/>
      <c r="BH64" s="1960"/>
      <c r="BI64" s="1960"/>
      <c r="BJ64" s="1960"/>
      <c r="BK64" s="1960"/>
      <c r="BL64" s="1960"/>
      <c r="BM64" s="1960"/>
      <c r="BN64" s="1960"/>
      <c r="BO64" s="1960"/>
      <c r="BP64" s="1960"/>
      <c r="BQ64" s="1960"/>
      <c r="BR64" s="1960"/>
      <c r="BS64" s="1960"/>
      <c r="BT64" s="1960"/>
      <c r="BU64" s="1960"/>
      <c r="BV64" s="1960"/>
      <c r="BW64" s="1960"/>
      <c r="BX64" s="1960"/>
      <c r="BY64" s="1960"/>
      <c r="BZ64" s="1960"/>
      <c r="CA64" s="1960"/>
      <c r="CB64" s="1960"/>
      <c r="CC64" s="1960"/>
      <c r="CD64" s="1960"/>
      <c r="CE64" s="1960"/>
      <c r="CF64" s="1960"/>
      <c r="CG64" s="1960"/>
      <c r="CH64" s="1960"/>
      <c r="CI64" s="1960"/>
      <c r="CS64" s="1747"/>
      <c r="CT64" s="1747"/>
      <c r="CU64" s="1747"/>
      <c r="CV64" s="1747"/>
      <c r="CW64" s="1747"/>
      <c r="CX64" s="1748"/>
      <c r="CY64" s="1747"/>
      <c r="CZ64" s="1750"/>
      <c r="DA64" s="1749"/>
      <c r="DB64" s="1749"/>
      <c r="DC64" s="1749"/>
      <c r="DD64" s="1749"/>
      <c r="DE64" s="1748"/>
      <c r="DF64" s="1747"/>
      <c r="DG64" s="1747"/>
      <c r="DH64" s="1747"/>
      <c r="DJ64" s="1832"/>
      <c r="DK64" s="1832"/>
      <c r="DL64" s="1832"/>
      <c r="DM64" s="1832"/>
      <c r="DN64" s="1832"/>
      <c r="DO64" s="1832"/>
      <c r="DP64" s="1832"/>
      <c r="DQ64" s="1832"/>
      <c r="DR64" s="1832"/>
      <c r="DS64" s="1832"/>
      <c r="DT64" s="1832"/>
      <c r="DU64" s="1832"/>
      <c r="DV64" s="1832"/>
      <c r="DW64" s="1832"/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  <c r="EA64" s="1832"/>
      <c r="EB64" s="1832"/>
      <c r="EC64" s="1832"/>
      <c r="ED64" s="1832"/>
      <c r="EE64" s="1832"/>
      <c r="EF64" s="1832"/>
      <c r="EG64" s="1832"/>
      <c r="EH64" s="1832"/>
      <c r="EI64" s="1832"/>
      <c r="EJ64" s="1832"/>
      <c r="EK64" s="1832"/>
      <c r="EL64" s="1832"/>
      <c r="EM64" s="1832"/>
      <c r="EN64" s="1832"/>
      <c r="EO64" s="1832"/>
      <c r="EP64" s="1832"/>
      <c r="EQ64" s="1832"/>
      <c r="ER64" s="1832"/>
      <c r="ES64" s="1832"/>
      <c r="ET64" s="1832"/>
      <c r="EU64" s="1832"/>
      <c r="EV64" s="1832"/>
      <c r="EW64" s="1832"/>
      <c r="EX64" s="1832"/>
      <c r="EY64" s="1832"/>
      <c r="EZ64" s="1832"/>
      <c r="FA64" s="1832"/>
      <c r="FB64" s="1832"/>
      <c r="FC64" s="1832"/>
      <c r="FD64" s="1832"/>
      <c r="FE64" s="1832"/>
      <c r="FF64" s="1832"/>
      <c r="FG64" s="1832"/>
      <c r="FH64" s="1832"/>
      <c r="FI64" s="1832"/>
      <c r="FJ64" s="1832"/>
      <c r="FK64" s="1832"/>
      <c r="FL64" s="1832"/>
      <c r="FM64" s="1832"/>
      <c r="FN64" s="1832"/>
      <c r="FO64" s="1832"/>
      <c r="FP64" s="1832"/>
      <c r="FQ64" s="1832"/>
      <c r="FR64" s="1832"/>
      <c r="FS64" s="1832"/>
      <c r="FT64" s="1832"/>
      <c r="FU64" s="1832"/>
      <c r="FV64" s="1832"/>
      <c r="FW64" s="1832"/>
      <c r="FX64" s="1832"/>
      <c r="FY64" s="1832"/>
    </row>
    <row r="65" customFormat="false" ht="12.75" hidden="false" customHeight="false" outlineLevel="0" collapsed="false">
      <c r="DJ65" s="1832"/>
      <c r="DK65" s="1832"/>
      <c r="DL65" s="1832"/>
      <c r="DM65" s="1832"/>
      <c r="DN65" s="1832"/>
      <c r="DO65" s="1832"/>
      <c r="DP65" s="1832"/>
      <c r="DQ65" s="1832"/>
      <c r="DR65" s="1832"/>
      <c r="DS65" s="1832"/>
      <c r="DT65" s="1832"/>
      <c r="DU65" s="1832"/>
      <c r="DV65" s="1832"/>
      <c r="DW65" s="1832"/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  <c r="EA65" s="1832"/>
      <c r="EB65" s="1832"/>
      <c r="EC65" s="1832"/>
      <c r="ED65" s="1832"/>
      <c r="EE65" s="1832"/>
      <c r="EF65" s="1832"/>
      <c r="EG65" s="1832"/>
      <c r="EH65" s="1832"/>
      <c r="EI65" s="1832"/>
      <c r="EJ65" s="1832"/>
      <c r="EK65" s="1832"/>
      <c r="EL65" s="1832"/>
      <c r="EM65" s="1832"/>
      <c r="EN65" s="1832"/>
      <c r="EO65" s="1832"/>
      <c r="EP65" s="1832"/>
      <c r="EQ65" s="1832"/>
      <c r="ER65" s="1832"/>
      <c r="ES65" s="1832"/>
      <c r="ET65" s="1832"/>
      <c r="EU65" s="1832"/>
      <c r="EV65" s="1832"/>
      <c r="EW65" s="1832"/>
      <c r="EX65" s="1832"/>
      <c r="EY65" s="1832"/>
      <c r="EZ65" s="1832"/>
      <c r="FA65" s="1832"/>
      <c r="FB65" s="1832"/>
      <c r="FC65" s="1832"/>
      <c r="FD65" s="1832"/>
      <c r="FE65" s="1832"/>
      <c r="FF65" s="1832"/>
      <c r="FG65" s="1832"/>
      <c r="FH65" s="1832"/>
      <c r="FI65" s="1832"/>
      <c r="FJ65" s="1832"/>
      <c r="FK65" s="1832"/>
      <c r="FL65" s="1832"/>
      <c r="FM65" s="1832"/>
      <c r="FN65" s="1832"/>
      <c r="FO65" s="1832"/>
      <c r="FP65" s="1832"/>
      <c r="FQ65" s="1832"/>
      <c r="FR65" s="1832"/>
      <c r="FS65" s="1832"/>
      <c r="FT65" s="1832"/>
      <c r="FU65" s="1832"/>
      <c r="FV65" s="1832"/>
      <c r="FW65" s="1832"/>
      <c r="FX65" s="1832"/>
      <c r="FY65" s="1832"/>
    </row>
    <row r="66" customFormat="false" ht="12.75" hidden="false" customHeight="false" outlineLevel="0" collapsed="false">
      <c r="DJ66" s="1832"/>
      <c r="DK66" s="1832"/>
      <c r="DL66" s="1832"/>
      <c r="DM66" s="1832"/>
      <c r="DN66" s="1832"/>
      <c r="DO66" s="1832"/>
      <c r="DP66" s="1832"/>
      <c r="DQ66" s="1832"/>
      <c r="DR66" s="1832"/>
      <c r="DS66" s="1832"/>
      <c r="DT66" s="1832"/>
      <c r="DU66" s="1832"/>
      <c r="DV66" s="1832"/>
      <c r="DW66" s="1832"/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  <c r="EA66" s="1832"/>
      <c r="EB66" s="1832"/>
      <c r="EC66" s="1832"/>
      <c r="ED66" s="1832"/>
      <c r="EE66" s="1832"/>
      <c r="EF66" s="1832"/>
      <c r="EG66" s="1832"/>
      <c r="EH66" s="1832"/>
      <c r="EI66" s="1832"/>
      <c r="EJ66" s="1832"/>
      <c r="EK66" s="1832"/>
      <c r="EL66" s="1832"/>
      <c r="EM66" s="1832"/>
      <c r="EN66" s="1832"/>
      <c r="EO66" s="1832"/>
      <c r="EP66" s="1832"/>
      <c r="EQ66" s="1832"/>
      <c r="ER66" s="1832"/>
      <c r="ES66" s="1832"/>
      <c r="ET66" s="1832"/>
      <c r="EU66" s="1832"/>
      <c r="EV66" s="1832"/>
      <c r="EW66" s="1832"/>
      <c r="EX66" s="1832"/>
      <c r="EY66" s="1832"/>
      <c r="EZ66" s="1832"/>
      <c r="FA66" s="1832"/>
      <c r="FB66" s="1832"/>
      <c r="FC66" s="1832"/>
      <c r="FD66" s="1832"/>
      <c r="FE66" s="1832"/>
      <c r="FF66" s="1832"/>
      <c r="FG66" s="1832"/>
      <c r="FH66" s="1832"/>
      <c r="FI66" s="1832"/>
      <c r="FJ66" s="1832"/>
      <c r="FK66" s="1832"/>
      <c r="FL66" s="1832"/>
      <c r="FM66" s="1832"/>
      <c r="FN66" s="1832"/>
      <c r="FO66" s="1832"/>
      <c r="FP66" s="1832"/>
      <c r="FQ66" s="1832"/>
      <c r="FR66" s="1832"/>
      <c r="FS66" s="1832"/>
      <c r="FT66" s="1832"/>
      <c r="FU66" s="1832"/>
      <c r="FV66" s="1832"/>
      <c r="FW66" s="1832"/>
      <c r="FX66" s="1832"/>
      <c r="FY66" s="1832"/>
    </row>
    <row r="67" customFormat="false" ht="12.75" hidden="false" customHeight="false" outlineLevel="0" collapsed="false">
      <c r="DJ67" s="1832"/>
      <c r="DK67" s="1832"/>
      <c r="DL67" s="1832"/>
      <c r="DM67" s="1832"/>
      <c r="DN67" s="1832"/>
      <c r="DO67" s="1832"/>
      <c r="DP67" s="1832"/>
      <c r="DQ67" s="1832"/>
      <c r="DR67" s="1832"/>
      <c r="DS67" s="1832"/>
      <c r="DT67" s="1832"/>
      <c r="DU67" s="1832"/>
      <c r="DV67" s="1832"/>
      <c r="DW67" s="1832"/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  <c r="EA67" s="1832"/>
      <c r="EB67" s="1832"/>
      <c r="EC67" s="1832"/>
      <c r="ED67" s="1832"/>
      <c r="EE67" s="1832"/>
      <c r="EF67" s="1832"/>
      <c r="EG67" s="1832"/>
      <c r="EH67" s="1832"/>
      <c r="EI67" s="1832"/>
      <c r="EJ67" s="1832"/>
      <c r="EK67" s="1832"/>
      <c r="EL67" s="1832"/>
      <c r="EM67" s="1832"/>
      <c r="EN67" s="1832"/>
      <c r="EO67" s="1832"/>
      <c r="EP67" s="1832"/>
      <c r="EQ67" s="1832"/>
      <c r="ER67" s="1832"/>
      <c r="ES67" s="1832"/>
      <c r="ET67" s="1832"/>
      <c r="EU67" s="1832"/>
      <c r="EV67" s="1832"/>
      <c r="EW67" s="1832"/>
      <c r="EX67" s="1832"/>
      <c r="EY67" s="1832"/>
      <c r="EZ67" s="1832"/>
      <c r="FA67" s="1832"/>
      <c r="FB67" s="1832"/>
      <c r="FC67" s="1832"/>
      <c r="FD67" s="1832"/>
      <c r="FE67" s="1832"/>
      <c r="FF67" s="1832"/>
      <c r="FG67" s="1832"/>
      <c r="FH67" s="1832"/>
      <c r="FI67" s="1832"/>
      <c r="FJ67" s="1832"/>
      <c r="FK67" s="1832"/>
      <c r="FL67" s="1832"/>
      <c r="FM67" s="1832"/>
      <c r="FN67" s="1832"/>
      <c r="FO67" s="1832"/>
      <c r="FP67" s="1832"/>
      <c r="FQ67" s="1832"/>
      <c r="FR67" s="1832"/>
      <c r="FS67" s="1832"/>
      <c r="FT67" s="1832"/>
      <c r="FU67" s="1832"/>
      <c r="FV67" s="1832"/>
      <c r="FW67" s="1832"/>
      <c r="FX67" s="1832"/>
      <c r="FY67" s="1832"/>
    </row>
    <row r="68" s="1746" customFormat="true" ht="12.75" hidden="false" customHeight="false" outlineLevel="0" collapsed="false">
      <c r="D68" s="1960"/>
      <c r="E68" s="1960"/>
      <c r="F68" s="1960"/>
      <c r="G68" s="1960"/>
      <c r="H68" s="1960"/>
      <c r="I68" s="1960"/>
      <c r="J68" s="1960"/>
      <c r="K68" s="1960"/>
      <c r="L68" s="1960"/>
      <c r="M68" s="1960"/>
      <c r="N68" s="1960"/>
      <c r="O68" s="1960"/>
      <c r="P68" s="1960"/>
      <c r="Q68" s="1960"/>
      <c r="R68" s="1960"/>
      <c r="S68" s="1960"/>
      <c r="T68" s="1960"/>
      <c r="U68" s="1960"/>
      <c r="V68" s="1960"/>
      <c r="W68" s="1960"/>
      <c r="X68" s="1960"/>
      <c r="Y68" s="1960"/>
      <c r="Z68" s="1960"/>
      <c r="AA68" s="1960"/>
      <c r="AB68" s="1960"/>
      <c r="AC68" s="1960"/>
      <c r="AD68" s="1960"/>
      <c r="AE68" s="1960"/>
      <c r="AF68" s="1960"/>
      <c r="AG68" s="1960"/>
      <c r="AH68" s="1960"/>
      <c r="AI68" s="1960"/>
      <c r="AJ68" s="1960"/>
      <c r="AK68" s="1960"/>
      <c r="AL68" s="1960"/>
      <c r="AM68" s="1960"/>
      <c r="AN68" s="1960"/>
      <c r="AO68" s="1960"/>
      <c r="AP68" s="1960"/>
      <c r="AQ68" s="1960"/>
      <c r="AR68" s="1960"/>
      <c r="AS68" s="1960"/>
      <c r="AT68" s="1960"/>
      <c r="AU68" s="1960"/>
      <c r="AV68" s="1960"/>
      <c r="AW68" s="1960"/>
      <c r="AX68" s="1960"/>
      <c r="AY68" s="1960"/>
      <c r="AZ68" s="1960"/>
      <c r="BA68" s="1960"/>
      <c r="BB68" s="1960"/>
      <c r="BC68" s="1960"/>
      <c r="BD68" s="1960"/>
      <c r="BE68" s="1960"/>
      <c r="BF68" s="1960"/>
      <c r="BG68" s="1960"/>
      <c r="BH68" s="1960"/>
      <c r="BI68" s="1960"/>
      <c r="BJ68" s="1960"/>
      <c r="BK68" s="1960"/>
      <c r="BL68" s="1960"/>
      <c r="BM68" s="1960"/>
      <c r="BN68" s="1960"/>
      <c r="BO68" s="1960"/>
      <c r="BP68" s="1960"/>
      <c r="BQ68" s="1960"/>
      <c r="BR68" s="1960"/>
      <c r="BS68" s="1960"/>
      <c r="BT68" s="1960"/>
      <c r="BU68" s="1960"/>
      <c r="BV68" s="1960"/>
      <c r="BW68" s="1960"/>
      <c r="BX68" s="1960"/>
      <c r="BY68" s="1960"/>
      <c r="BZ68" s="1960"/>
      <c r="CA68" s="1960"/>
      <c r="CB68" s="1960"/>
      <c r="CC68" s="1960"/>
      <c r="CD68" s="1960"/>
      <c r="CE68" s="1960"/>
      <c r="CF68" s="1960"/>
      <c r="CG68" s="1960"/>
      <c r="CH68" s="1960"/>
      <c r="CI68" s="1960"/>
      <c r="CJ68" s="1960"/>
      <c r="CK68" s="1960"/>
      <c r="CL68" s="1960"/>
      <c r="CM68" s="1960"/>
      <c r="CN68" s="1960"/>
      <c r="CO68" s="1960"/>
      <c r="CP68" s="1960"/>
      <c r="CQ68" s="1960"/>
      <c r="CR68" s="1749"/>
      <c r="CZ68" s="1964"/>
      <c r="DE68" s="1960"/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2.7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2.7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2.7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2.7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2.7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2.7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2.7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2.7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2.7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2.7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2.7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2.7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2.7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2.7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2.7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2.7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2.7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2.7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2.7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2.7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2.7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2.7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2.7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colBreaks count="1" manualBreakCount="1">
    <brk id="21" man="true" max="65535" min="0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W313"/>
  <sheetViews>
    <sheetView showFormulas="false" showGridLines="false" showRowColHeaders="true" showZeros="true" rightToLeft="false" tabSelected="false" showOutlineSymbols="true" defaultGridColor="true" view="pageBreakPreview" topLeftCell="CL1" colorId="64" zoomScale="100" zoomScaleNormal="100" zoomScalePageLayoutView="100" workbookViewId="0">
      <selection pane="topLeft" activeCell="CZ37" activeCellId="0" sqref="CZ37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2" width="10.84"/>
    <col collapsed="false" customWidth="true" hidden="false" outlineLevel="0" max="2" min="2" style="2" width="17"/>
    <col collapsed="false" customWidth="true" hidden="false" outlineLevel="0" max="3" min="3" style="1960" width="8.67"/>
    <col collapsed="false" customWidth="true" hidden="false" outlineLevel="0" max="8" min="4" style="40" width="10.84"/>
    <col collapsed="false" customWidth="true" hidden="false" outlineLevel="0" max="9" min="9" style="40" width="0.33"/>
    <col collapsed="false" customWidth="true" hidden="false" outlineLevel="0" max="14" min="10" style="40" width="10.84"/>
    <col collapsed="false" customWidth="true" hidden="false" outlineLevel="0" max="15" min="15" style="40" width="0.33"/>
    <col collapsed="false" customWidth="true" hidden="false" outlineLevel="0" max="20" min="16" style="40" width="10.84"/>
    <col collapsed="false" customWidth="true" hidden="false" outlineLevel="0" max="21" min="21" style="40" width="0.52"/>
    <col collapsed="false" customWidth="true" hidden="false" outlineLevel="0" max="22" min="22" style="40" width="11.5"/>
    <col collapsed="false" customWidth="true" hidden="false" outlineLevel="0" max="28" min="23" style="40" width="10.84"/>
    <col collapsed="false" customWidth="true" hidden="false" outlineLevel="0" max="29" min="29" style="40" width="0.33"/>
    <col collapsed="false" customWidth="true" hidden="false" outlineLevel="0" max="36" min="30" style="40" width="10.84"/>
    <col collapsed="false" customWidth="true" hidden="false" outlineLevel="0" max="37" min="37" style="40" width="0.16"/>
    <col collapsed="false" customWidth="true" hidden="false" outlineLevel="0" max="45" min="38" style="40" width="10.84"/>
    <col collapsed="false" customWidth="true" hidden="false" outlineLevel="0" max="46" min="46" style="40" width="0.16"/>
    <col collapsed="false" customWidth="true" hidden="false" outlineLevel="0" max="53" min="47" style="40" width="10.84"/>
    <col collapsed="false" customWidth="true" hidden="false" outlineLevel="0" max="54" min="54" style="40" width="0.33"/>
    <col collapsed="false" customWidth="true" hidden="false" outlineLevel="0" max="61" min="55" style="40" width="10.84"/>
    <col collapsed="false" customWidth="true" hidden="false" outlineLevel="0" max="62" min="62" style="40" width="0.33"/>
    <col collapsed="false" customWidth="true" hidden="false" outlineLevel="0" max="65" min="63" style="40" width="10.84"/>
    <col collapsed="false" customWidth="true" hidden="false" outlineLevel="0" max="66" min="66" style="40" width="10.5"/>
    <col collapsed="false" customWidth="true" hidden="false" outlineLevel="0" max="70" min="67" style="40" width="10.84"/>
    <col collapsed="false" customWidth="true" hidden="false" outlineLevel="0" max="71" min="71" style="40" width="0.52"/>
    <col collapsed="false" customWidth="true" hidden="false" outlineLevel="0" max="75" min="72" style="40" width="10.84"/>
    <col collapsed="false" customWidth="true" hidden="false" outlineLevel="0" max="78" min="76" style="40" width="8.52"/>
    <col collapsed="false" customWidth="true" hidden="false" outlineLevel="0" max="79" min="79" style="40" width="0.52"/>
    <col collapsed="false" customWidth="true" hidden="false" outlineLevel="0" max="86" min="80" style="40" width="9.66"/>
    <col collapsed="false" customWidth="true" hidden="false" outlineLevel="0" max="87" min="87" style="40" width="0.33"/>
    <col collapsed="false" customWidth="true" hidden="false" outlineLevel="0" max="88" min="88" style="40" width="10.84"/>
    <col collapsed="false" customWidth="true" hidden="false" outlineLevel="0" max="89" min="89" style="40" width="9.16"/>
    <col collapsed="false" customWidth="true" hidden="false" outlineLevel="0" max="90" min="90" style="40" width="8.67"/>
    <col collapsed="false" customWidth="true" hidden="false" outlineLevel="0" max="92" min="91" style="40" width="12.17"/>
    <col collapsed="false" customWidth="true" hidden="false" outlineLevel="0" max="93" min="93" style="40" width="7.15"/>
    <col collapsed="false" customWidth="true" hidden="false" outlineLevel="0" max="94" min="94" style="40" width="10.99"/>
    <col collapsed="false" customWidth="true" hidden="false" outlineLevel="0" max="95" min="95" style="40" width="0.52"/>
    <col collapsed="false" customWidth="true" hidden="false" outlineLevel="0" max="98" min="96" style="42" width="9.33"/>
    <col collapsed="false" customWidth="true" hidden="false" outlineLevel="0" max="99" min="99" style="42" width="10.5"/>
    <col collapsed="false" customWidth="true" hidden="false" outlineLevel="0" max="100" min="100" style="42" width="9.83"/>
    <col collapsed="false" customWidth="true" hidden="false" outlineLevel="0" max="101" min="101" style="42" width="9.33"/>
    <col collapsed="false" customWidth="true" hidden="false" outlineLevel="0" max="102" min="102" style="2" width="6.5"/>
    <col collapsed="false" customWidth="true" hidden="false" outlineLevel="0" max="103" min="103" style="2" width="0.52"/>
    <col collapsed="false" customWidth="true" hidden="false" outlineLevel="0" max="104" min="104" style="42" width="10.65"/>
    <col collapsed="false" customWidth="true" hidden="false" outlineLevel="0" max="105" min="105" style="42" width="10.16"/>
    <col collapsed="false" customWidth="true" hidden="false" outlineLevel="0" max="106" min="106" style="42" width="8.52"/>
    <col collapsed="false" customWidth="true" hidden="false" outlineLevel="0" max="107" min="107" style="42" width="10.33"/>
    <col collapsed="false" customWidth="true" hidden="false" outlineLevel="0" max="108" min="108" style="42" width="10.84"/>
    <col collapsed="false" customWidth="true" hidden="false" outlineLevel="0" max="109" min="109" style="40" width="12.83"/>
    <col collapsed="false" customWidth="true" hidden="false" outlineLevel="0" max="110" min="110" style="40" width="10"/>
    <col collapsed="false" customWidth="true" hidden="false" outlineLevel="0" max="112" min="111" style="40" width="10.5"/>
    <col collapsed="false" customWidth="true" hidden="false" outlineLevel="0" max="113" min="113" style="2" width="4.33"/>
    <col collapsed="false" customWidth="true" hidden="false" outlineLevel="0" max="115" min="114" style="14" width="10.84"/>
    <col collapsed="false" customWidth="true" hidden="false" outlineLevel="0" max="118" min="116" style="14" width="11.5"/>
    <col collapsed="false" customWidth="true" hidden="false" outlineLevel="0" max="126" min="126" style="2" width="20.98"/>
  </cols>
  <sheetData>
    <row r="1" customFormat="false" ht="6.75" hidden="false" customHeight="true" outlineLevel="0" collapsed="false">
      <c r="DU1" s="40"/>
      <c r="DV1" s="40"/>
      <c r="DW1" s="40"/>
    </row>
    <row r="2" customFormat="false" ht="22.5" hidden="false" customHeight="false" outlineLevel="0" collapsed="false">
      <c r="A2" s="44" t="s">
        <v>1038</v>
      </c>
      <c r="B2" s="1965"/>
      <c r="C2" s="1966"/>
      <c r="D2" s="42"/>
      <c r="E2" s="42"/>
      <c r="F2" s="42"/>
      <c r="G2" s="42"/>
      <c r="H2" s="42"/>
      <c r="I2" s="42"/>
      <c r="J2" s="1967"/>
      <c r="K2" s="1967"/>
      <c r="L2" s="1967"/>
      <c r="M2" s="1967"/>
      <c r="N2" s="1967"/>
      <c r="O2" s="1967"/>
      <c r="P2" s="1967"/>
      <c r="Q2" s="1967"/>
      <c r="R2" s="1967"/>
      <c r="S2" s="1967"/>
      <c r="T2" s="1968"/>
      <c r="W2" s="631"/>
      <c r="X2" s="631"/>
      <c r="AA2" s="631"/>
      <c r="AO2" s="631"/>
      <c r="BK2" s="631"/>
      <c r="BL2" s="631"/>
      <c r="BM2" s="631"/>
      <c r="BN2" s="1967"/>
      <c r="BO2" s="631"/>
      <c r="BP2" s="631"/>
      <c r="BQ2" s="631"/>
      <c r="BR2" s="631"/>
      <c r="CJ2" s="919"/>
      <c r="CK2" s="919"/>
      <c r="CL2" s="919"/>
      <c r="CM2" s="919"/>
      <c r="CN2" s="919"/>
      <c r="CO2" s="919"/>
      <c r="CP2" s="919"/>
      <c r="CQ2" s="920"/>
      <c r="CR2" s="1969"/>
      <c r="CS2" s="919"/>
      <c r="CT2" s="919"/>
      <c r="CU2" s="919"/>
      <c r="CV2" s="919"/>
      <c r="CW2" s="919"/>
      <c r="CX2" s="1182"/>
      <c r="CY2" s="924"/>
      <c r="CZ2" s="919" t="n">
        <v>35.319975742922</v>
      </c>
      <c r="DA2" s="919"/>
      <c r="DB2" s="919"/>
      <c r="DC2" s="919"/>
      <c r="DD2" s="919" t="n">
        <v>1527.13866353834</v>
      </c>
      <c r="DE2" s="1180"/>
      <c r="DF2" s="1180"/>
      <c r="DG2" s="1180"/>
      <c r="DH2" s="1968"/>
    </row>
    <row r="3" customFormat="false" ht="12.75" hidden="false" customHeight="false" outlineLevel="0" collapsed="false">
      <c r="C3" s="1746"/>
      <c r="D3" s="1184"/>
      <c r="E3" s="1184"/>
      <c r="F3" s="1184"/>
      <c r="G3" s="1184"/>
      <c r="H3" s="1184"/>
      <c r="I3" s="37"/>
      <c r="J3" s="36"/>
      <c r="K3" s="36"/>
      <c r="L3" s="36"/>
      <c r="M3" s="36"/>
      <c r="N3" s="36"/>
      <c r="O3" s="36"/>
      <c r="P3" s="36"/>
      <c r="Q3" s="36"/>
      <c r="R3" s="36"/>
      <c r="S3" s="36"/>
      <c r="U3" s="652"/>
      <c r="V3" s="1186"/>
      <c r="W3" s="1184"/>
      <c r="X3" s="1184"/>
      <c r="Y3" s="1184"/>
      <c r="Z3" s="1184"/>
      <c r="AA3" s="1184"/>
      <c r="AB3" s="1184"/>
      <c r="AC3" s="1185"/>
      <c r="AD3" s="1186"/>
      <c r="AE3" s="1184"/>
      <c r="AF3" s="1184"/>
      <c r="AG3" s="1184"/>
      <c r="AH3" s="1184"/>
      <c r="AI3" s="1184"/>
      <c r="AJ3" s="1188"/>
      <c r="AK3" s="1185"/>
      <c r="AL3" s="1186"/>
      <c r="AM3" s="1184"/>
      <c r="AN3" s="1184"/>
      <c r="AO3" s="1184"/>
      <c r="AP3" s="1184"/>
      <c r="AQ3" s="1184"/>
      <c r="AR3" s="1184"/>
      <c r="AS3" s="937"/>
      <c r="AT3" s="1185"/>
      <c r="AU3" s="1186"/>
      <c r="AV3" s="1184"/>
      <c r="AW3" s="1184"/>
      <c r="AX3" s="1184"/>
      <c r="AY3" s="1184"/>
      <c r="AZ3" s="1184"/>
      <c r="BA3" s="653"/>
      <c r="BB3" s="1185"/>
      <c r="BC3" s="1970"/>
      <c r="BD3" s="1971"/>
      <c r="BE3" s="1971"/>
      <c r="BF3" s="1971"/>
      <c r="BG3" s="1971"/>
      <c r="BH3" s="1971"/>
      <c r="BI3" s="653"/>
      <c r="BJ3" s="352"/>
      <c r="BK3" s="1186"/>
      <c r="BL3" s="1184"/>
      <c r="BM3" s="1184"/>
      <c r="BN3" s="1184"/>
      <c r="BO3" s="1184"/>
      <c r="BP3" s="1184"/>
      <c r="BQ3" s="1184"/>
      <c r="BR3" s="653"/>
      <c r="BS3" s="1185"/>
      <c r="BT3" s="1186"/>
      <c r="BU3" s="1184"/>
      <c r="BV3" s="1184"/>
      <c r="BW3" s="1184"/>
      <c r="BX3" s="1184"/>
      <c r="BY3" s="1184"/>
      <c r="BZ3" s="1184"/>
      <c r="CA3" s="1185"/>
      <c r="CB3" s="1186"/>
      <c r="CC3" s="1184"/>
      <c r="CD3" s="1184"/>
      <c r="CE3" s="1184"/>
      <c r="CF3" s="1184"/>
      <c r="CG3" s="1184"/>
      <c r="CH3" s="937"/>
      <c r="CI3" s="1185"/>
      <c r="CJ3" s="36"/>
      <c r="CK3" s="36"/>
      <c r="CL3" s="36"/>
      <c r="CM3" s="36"/>
      <c r="CN3" s="36"/>
      <c r="CO3" s="36"/>
      <c r="CP3" s="36"/>
      <c r="CQ3" s="1185"/>
    </row>
    <row r="4" s="79" customFormat="true" ht="12.75" hidden="false" customHeight="false" outlineLevel="0" collapsed="false">
      <c r="C4" s="1780"/>
      <c r="D4" s="362" t="n">
        <v>45292</v>
      </c>
      <c r="E4" s="362"/>
      <c r="F4" s="362"/>
      <c r="G4" s="362"/>
      <c r="H4" s="362"/>
      <c r="I4" s="509"/>
      <c r="J4" s="362" t="n">
        <v>45323</v>
      </c>
      <c r="K4" s="362"/>
      <c r="L4" s="362"/>
      <c r="M4" s="362"/>
      <c r="N4" s="362"/>
      <c r="P4" s="362" t="n">
        <v>45352</v>
      </c>
      <c r="Q4" s="362"/>
      <c r="R4" s="362"/>
      <c r="S4" s="362"/>
      <c r="T4" s="362"/>
      <c r="U4" s="664"/>
      <c r="V4" s="366" t="n">
        <v>45383</v>
      </c>
      <c r="W4" s="366"/>
      <c r="X4" s="366"/>
      <c r="Y4" s="366"/>
      <c r="Z4" s="366"/>
      <c r="AA4" s="366"/>
      <c r="AB4" s="366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364" t="n">
        <v>45444</v>
      </c>
      <c r="AM4" s="364"/>
      <c r="AN4" s="364"/>
      <c r="AO4" s="364"/>
      <c r="AP4" s="364"/>
      <c r="AQ4" s="364"/>
      <c r="AR4" s="364"/>
      <c r="AS4" s="364"/>
      <c r="AT4" s="367"/>
      <c r="AU4" s="362" t="n">
        <v>45474</v>
      </c>
      <c r="AV4" s="362"/>
      <c r="AW4" s="362"/>
      <c r="AX4" s="362"/>
      <c r="AY4" s="362"/>
      <c r="AZ4" s="362"/>
      <c r="BA4" s="362"/>
      <c r="BB4" s="664"/>
      <c r="BC4" s="1972" t="n">
        <v>45505</v>
      </c>
      <c r="BD4" s="1972"/>
      <c r="BE4" s="1972"/>
      <c r="BF4" s="1972"/>
      <c r="BG4" s="1972"/>
      <c r="BH4" s="1972"/>
      <c r="BI4" s="1972"/>
      <c r="BJ4" s="507"/>
      <c r="BK4" s="366" t="n">
        <v>45536</v>
      </c>
      <c r="BL4" s="366"/>
      <c r="BM4" s="366"/>
      <c r="BN4" s="366"/>
      <c r="BO4" s="366"/>
      <c r="BP4" s="366"/>
      <c r="BQ4" s="366"/>
      <c r="BR4" s="366"/>
      <c r="BS4" s="367"/>
      <c r="BT4" s="366" t="n">
        <v>45566</v>
      </c>
      <c r="BU4" s="366"/>
      <c r="BV4" s="366"/>
      <c r="BW4" s="366"/>
      <c r="BX4" s="366"/>
      <c r="BY4" s="366"/>
      <c r="BZ4" s="366"/>
      <c r="CA4" s="367"/>
      <c r="CB4" s="364" t="n">
        <v>45597</v>
      </c>
      <c r="CC4" s="364"/>
      <c r="CD4" s="364"/>
      <c r="CE4" s="364"/>
      <c r="CF4" s="364"/>
      <c r="CG4" s="364"/>
      <c r="CH4" s="364"/>
      <c r="CI4" s="367"/>
      <c r="CJ4" s="362" t="n">
        <v>45627</v>
      </c>
      <c r="CK4" s="362"/>
      <c r="CL4" s="362"/>
      <c r="CM4" s="362"/>
      <c r="CN4" s="362"/>
      <c r="CO4" s="362"/>
      <c r="CP4" s="362"/>
      <c r="CQ4" s="664"/>
      <c r="CR4" s="1205" t="s">
        <v>3</v>
      </c>
      <c r="CS4" s="1205"/>
      <c r="CT4" s="1205"/>
      <c r="CU4" s="1205"/>
      <c r="CV4" s="1205"/>
      <c r="CW4" s="1205"/>
      <c r="CX4" s="1205"/>
      <c r="CZ4" s="1973" t="s">
        <v>4</v>
      </c>
      <c r="DA4" s="1973"/>
      <c r="DB4" s="1973"/>
      <c r="DC4" s="1973"/>
      <c r="DD4" s="1973"/>
      <c r="DE4" s="1973"/>
      <c r="DF4" s="1973"/>
      <c r="DG4" s="1973"/>
      <c r="DH4" s="1973"/>
    </row>
    <row r="5" s="91" customFormat="true" ht="26.25" hidden="false" customHeight="true" outlineLevel="0" collapsed="false">
      <c r="B5" s="85"/>
      <c r="C5" s="1974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210"/>
    </row>
    <row r="6" customFormat="false" ht="5.25" hidden="false" customHeight="true" outlineLevel="0" collapsed="false">
      <c r="I6" s="37"/>
      <c r="O6" s="671"/>
      <c r="P6" s="37"/>
      <c r="Q6" s="37"/>
      <c r="R6" s="37"/>
      <c r="S6" s="37"/>
      <c r="U6" s="671"/>
      <c r="V6" s="1213"/>
      <c r="W6" s="37"/>
      <c r="X6" s="37"/>
      <c r="Y6" s="37"/>
      <c r="Z6" s="37"/>
      <c r="AA6" s="37"/>
      <c r="AC6" s="671"/>
      <c r="AK6" s="671"/>
      <c r="AL6" s="1213"/>
      <c r="AM6" s="37"/>
      <c r="AN6" s="37"/>
      <c r="AO6" s="37"/>
      <c r="AP6" s="37"/>
      <c r="AQ6" s="37"/>
      <c r="AR6" s="37"/>
      <c r="AS6" s="1193"/>
      <c r="AT6" s="373"/>
      <c r="AU6" s="1213"/>
      <c r="AV6" s="37"/>
      <c r="AW6" s="37"/>
      <c r="AX6" s="37"/>
      <c r="AY6" s="37"/>
      <c r="AZ6" s="37"/>
      <c r="BB6" s="373"/>
      <c r="BC6" s="37"/>
      <c r="BD6" s="37"/>
      <c r="BE6" s="37"/>
      <c r="BF6" s="37"/>
      <c r="BG6" s="37"/>
      <c r="BH6" s="37"/>
      <c r="BJ6" s="373"/>
      <c r="BK6" s="37"/>
      <c r="BL6" s="37"/>
      <c r="BM6" s="37"/>
      <c r="BN6" s="37"/>
      <c r="BO6" s="37"/>
      <c r="BP6" s="37"/>
      <c r="BQ6" s="37"/>
      <c r="BS6" s="373"/>
      <c r="BT6" s="37"/>
      <c r="BU6" s="37"/>
      <c r="BV6" s="37"/>
      <c r="BW6" s="37"/>
      <c r="BX6" s="37"/>
      <c r="BY6" s="37"/>
      <c r="BZ6" s="37"/>
      <c r="CA6" s="373"/>
      <c r="CB6" s="37"/>
      <c r="CC6" s="37"/>
      <c r="CD6" s="37"/>
      <c r="CE6" s="37"/>
      <c r="CF6" s="37"/>
      <c r="CG6" s="37"/>
      <c r="CI6" s="373"/>
      <c r="CQ6" s="671"/>
      <c r="DI6" s="14"/>
    </row>
    <row r="7" customFormat="false" ht="15" hidden="false" customHeight="true" outlineLevel="0" collapsed="false">
      <c r="A7" s="700" t="s">
        <v>1039</v>
      </c>
      <c r="B7" s="707"/>
      <c r="C7" s="1975" t="s">
        <v>1040</v>
      </c>
      <c r="D7" s="1976"/>
      <c r="E7" s="1977"/>
      <c r="F7" s="1977"/>
      <c r="G7" s="1977"/>
      <c r="H7" s="1221"/>
      <c r="I7" s="1978"/>
      <c r="J7" s="1976"/>
      <c r="K7" s="1977"/>
      <c r="L7" s="1977"/>
      <c r="M7" s="1977"/>
      <c r="N7" s="1221"/>
      <c r="O7" s="1222"/>
      <c r="P7" s="1976"/>
      <c r="Q7" s="1977"/>
      <c r="R7" s="1977"/>
      <c r="S7" s="1977"/>
      <c r="T7" s="1221"/>
      <c r="U7" s="1220"/>
      <c r="V7" s="1976"/>
      <c r="W7" s="1977"/>
      <c r="X7" s="1977"/>
      <c r="Y7" s="1977"/>
      <c r="Z7" s="1977"/>
      <c r="AA7" s="1977"/>
      <c r="AB7" s="1221"/>
      <c r="AC7" s="1220"/>
      <c r="AD7" s="1976"/>
      <c r="AE7" s="1977"/>
      <c r="AF7" s="1977"/>
      <c r="AG7" s="1977"/>
      <c r="AH7" s="1977"/>
      <c r="AI7" s="1977"/>
      <c r="AJ7" s="1221"/>
      <c r="AK7" s="1220"/>
      <c r="AL7" s="1976"/>
      <c r="AM7" s="1977"/>
      <c r="AN7" s="1977"/>
      <c r="AO7" s="1977"/>
      <c r="AP7" s="1977"/>
      <c r="AQ7" s="1977"/>
      <c r="AR7" s="1977"/>
      <c r="AS7" s="1221"/>
      <c r="AT7" s="1979"/>
      <c r="AU7" s="1976"/>
      <c r="AV7" s="1977"/>
      <c r="AW7" s="1977"/>
      <c r="AX7" s="1977"/>
      <c r="AY7" s="1977"/>
      <c r="AZ7" s="1977"/>
      <c r="BA7" s="1221"/>
      <c r="BB7" s="1979"/>
      <c r="BC7" s="1976"/>
      <c r="BD7" s="1977"/>
      <c r="BE7" s="1977"/>
      <c r="BF7" s="1977"/>
      <c r="BG7" s="1977"/>
      <c r="BH7" s="1977"/>
      <c r="BI7" s="1221"/>
      <c r="BJ7" s="1979"/>
      <c r="BK7" s="1976"/>
      <c r="BL7" s="1977"/>
      <c r="BM7" s="1977"/>
      <c r="BN7" s="1977"/>
      <c r="BO7" s="1977"/>
      <c r="BP7" s="1977"/>
      <c r="BQ7" s="1977"/>
      <c r="BR7" s="1221"/>
      <c r="BS7" s="1979"/>
      <c r="BT7" s="1976"/>
      <c r="BU7" s="1977"/>
      <c r="BV7" s="1980"/>
      <c r="BW7" s="1977"/>
      <c r="BX7" s="1977"/>
      <c r="BY7" s="1977"/>
      <c r="BZ7" s="1221"/>
      <c r="CA7" s="1979"/>
      <c r="CB7" s="1976"/>
      <c r="CC7" s="1977"/>
      <c r="CD7" s="1980"/>
      <c r="CE7" s="1977"/>
      <c r="CF7" s="1977"/>
      <c r="CG7" s="1977"/>
      <c r="CH7" s="1221"/>
      <c r="CI7" s="1979"/>
      <c r="CJ7" s="1976"/>
      <c r="CK7" s="1977"/>
      <c r="CL7" s="1980"/>
      <c r="CM7" s="1977"/>
      <c r="CN7" s="1977"/>
      <c r="CO7" s="1977"/>
      <c r="CP7" s="1221"/>
      <c r="CQ7" s="1981"/>
      <c r="CR7" s="1977"/>
      <c r="CS7" s="1977"/>
      <c r="CT7" s="1977"/>
      <c r="CU7" s="1977" t="n">
        <f aca="false">CR7-CS7</f>
        <v>0</v>
      </c>
      <c r="CV7" s="1977" t="n">
        <f aca="false">CR7-CT7</f>
        <v>0</v>
      </c>
      <c r="CW7" s="1977"/>
      <c r="CX7" s="1982" t="str">
        <f aca="false">IFERROR(+CR7/CW7-1, "-")</f>
        <v>-</v>
      </c>
      <c r="CY7" s="105"/>
      <c r="CZ7" s="1977"/>
      <c r="DA7" s="1977"/>
      <c r="DB7" s="1977"/>
      <c r="DC7" s="1977"/>
      <c r="DD7" s="1977"/>
      <c r="DE7" s="406" t="e">
        <f aca="false">+CZ7/DD7-1</f>
        <v>#DIV/0!</v>
      </c>
      <c r="DF7" s="401" t="e">
        <f aca="false">+DA7/DD7-1</f>
        <v>#DIV/0!</v>
      </c>
      <c r="DG7" s="401" t="e">
        <f aca="false">+DB7/DD7-1</f>
        <v>#DIV/0!</v>
      </c>
      <c r="DH7" s="705" t="e">
        <f aca="false">+DC7/DD7-1</f>
        <v>#DIV/0!</v>
      </c>
      <c r="DI7" s="1227"/>
    </row>
    <row r="8" s="36" customFormat="true" ht="15" hidden="false" customHeight="true" outlineLevel="0" collapsed="false">
      <c r="A8" s="590"/>
      <c r="B8" s="1983" t="s">
        <v>1041</v>
      </c>
      <c r="C8" s="1975" t="s">
        <v>1042</v>
      </c>
      <c r="D8" s="1984"/>
      <c r="E8" s="1985"/>
      <c r="F8" s="1985"/>
      <c r="G8" s="1985"/>
      <c r="H8" s="1239"/>
      <c r="I8" s="281"/>
      <c r="J8" s="1984"/>
      <c r="K8" s="1985"/>
      <c r="L8" s="1985"/>
      <c r="M8" s="1985"/>
      <c r="N8" s="1239"/>
      <c r="O8" s="1986"/>
      <c r="P8" s="1984"/>
      <c r="Q8" s="1985"/>
      <c r="R8" s="1985"/>
      <c r="S8" s="1985"/>
      <c r="T8" s="1239"/>
      <c r="U8" s="557"/>
      <c r="V8" s="1984"/>
      <c r="W8" s="1985"/>
      <c r="X8" s="1985"/>
      <c r="Y8" s="1985"/>
      <c r="Z8" s="1985"/>
      <c r="AA8" s="1985"/>
      <c r="AB8" s="1239"/>
      <c r="AC8" s="557"/>
      <c r="AD8" s="1984"/>
      <c r="AE8" s="1985"/>
      <c r="AF8" s="1985"/>
      <c r="AG8" s="1985"/>
      <c r="AH8" s="1985"/>
      <c r="AI8" s="1985"/>
      <c r="AJ8" s="1239"/>
      <c r="AK8" s="557"/>
      <c r="AL8" s="1984"/>
      <c r="AM8" s="1985"/>
      <c r="AN8" s="1985"/>
      <c r="AO8" s="1985"/>
      <c r="AP8" s="1985"/>
      <c r="AQ8" s="1985"/>
      <c r="AR8" s="1985"/>
      <c r="AS8" s="1239"/>
      <c r="AT8" s="558"/>
      <c r="AU8" s="1984"/>
      <c r="AV8" s="1985"/>
      <c r="AW8" s="1985"/>
      <c r="AX8" s="1985"/>
      <c r="AY8" s="1985"/>
      <c r="AZ8" s="1985"/>
      <c r="BA8" s="1239"/>
      <c r="BB8" s="558"/>
      <c r="BC8" s="1984"/>
      <c r="BD8" s="1985"/>
      <c r="BE8" s="1985"/>
      <c r="BF8" s="1985"/>
      <c r="BG8" s="1985"/>
      <c r="BH8" s="1985"/>
      <c r="BI8" s="1239"/>
      <c r="BJ8" s="558"/>
      <c r="BK8" s="1984"/>
      <c r="BL8" s="1985"/>
      <c r="BM8" s="1985"/>
      <c r="BN8" s="1985"/>
      <c r="BO8" s="1985"/>
      <c r="BP8" s="1985"/>
      <c r="BQ8" s="1985"/>
      <c r="BR8" s="1239"/>
      <c r="BS8" s="558"/>
      <c r="BT8" s="1984"/>
      <c r="BU8" s="1985"/>
      <c r="BV8" s="1985"/>
      <c r="BW8" s="1985"/>
      <c r="BX8" s="1985"/>
      <c r="BY8" s="1985"/>
      <c r="BZ8" s="1239"/>
      <c r="CA8" s="558"/>
      <c r="CB8" s="1984"/>
      <c r="CC8" s="1985"/>
      <c r="CD8" s="1985"/>
      <c r="CE8" s="1985"/>
      <c r="CF8" s="1985"/>
      <c r="CG8" s="1985"/>
      <c r="CH8" s="1239"/>
      <c r="CI8" s="558"/>
      <c r="CJ8" s="1984"/>
      <c r="CK8" s="1985"/>
      <c r="CL8" s="1985"/>
      <c r="CM8" s="1985"/>
      <c r="CN8" s="1985"/>
      <c r="CO8" s="1985"/>
      <c r="CP8" s="1239"/>
      <c r="CQ8" s="422"/>
      <c r="CR8" s="1985"/>
      <c r="CS8" s="1985"/>
      <c r="CT8" s="1985"/>
      <c r="CU8" s="1985" t="n">
        <f aca="false">CR8-CS8</f>
        <v>0</v>
      </c>
      <c r="CV8" s="1985" t="n">
        <f aca="false">CR8-CT8</f>
        <v>0</v>
      </c>
      <c r="CW8" s="1985"/>
      <c r="CX8" s="805" t="str">
        <f aca="false">IFERROR(+CR8/CW8-1, "-")</f>
        <v>-</v>
      </c>
      <c r="CY8" s="38"/>
      <c r="CZ8" s="1985"/>
      <c r="DA8" s="1985"/>
      <c r="DB8" s="1985"/>
      <c r="DC8" s="1985"/>
      <c r="DD8" s="1985"/>
      <c r="DE8" s="556" t="e">
        <f aca="false">+CZ8/DD8-1</f>
        <v>#DIV/0!</v>
      </c>
      <c r="DF8" s="556" t="e">
        <f aca="false">+DA8/DD8-1</f>
        <v>#DIV/0!</v>
      </c>
      <c r="DG8" s="556" t="e">
        <f aca="false">+DB8/DD8-1</f>
        <v>#DIV/0!</v>
      </c>
      <c r="DH8" s="1239" t="e">
        <f aca="false">+DC8/DD8-1</f>
        <v>#DIV/0!</v>
      </c>
      <c r="DI8" s="1227"/>
      <c r="DJ8" s="14"/>
      <c r="DK8" s="14"/>
      <c r="DL8" s="14"/>
      <c r="DM8" s="14"/>
      <c r="DN8" s="14"/>
      <c r="DU8" s="400" t="n">
        <f aca="false">CS8-CZ8</f>
        <v>0</v>
      </c>
      <c r="DV8" s="400" t="n">
        <f aca="false">CT8-DC8</f>
        <v>0</v>
      </c>
      <c r="DW8" s="400" t="n">
        <f aca="false">CW8-DD8</f>
        <v>0</v>
      </c>
    </row>
    <row r="9" s="36" customFormat="true" ht="15" hidden="false" customHeight="true" outlineLevel="0" collapsed="false">
      <c r="A9" s="591"/>
      <c r="B9" s="857" t="s">
        <v>1043</v>
      </c>
      <c r="C9" s="1975" t="s">
        <v>1044</v>
      </c>
      <c r="D9" s="1987"/>
      <c r="E9" s="1988"/>
      <c r="F9" s="1988"/>
      <c r="G9" s="1988"/>
      <c r="H9" s="885"/>
      <c r="I9" s="281"/>
      <c r="J9" s="1987"/>
      <c r="K9" s="1988"/>
      <c r="L9" s="1988"/>
      <c r="M9" s="1988"/>
      <c r="N9" s="885"/>
      <c r="O9" s="1989"/>
      <c r="P9" s="1987"/>
      <c r="Q9" s="1988"/>
      <c r="R9" s="1988"/>
      <c r="S9" s="1988"/>
      <c r="T9" s="885"/>
      <c r="U9" s="422"/>
      <c r="V9" s="1987"/>
      <c r="W9" s="1988"/>
      <c r="X9" s="1988"/>
      <c r="Y9" s="1988"/>
      <c r="Z9" s="1988"/>
      <c r="AA9" s="1988"/>
      <c r="AB9" s="885"/>
      <c r="AC9" s="422"/>
      <c r="AD9" s="1987"/>
      <c r="AE9" s="1988"/>
      <c r="AF9" s="1988"/>
      <c r="AG9" s="1988"/>
      <c r="AH9" s="1988"/>
      <c r="AI9" s="1988"/>
      <c r="AJ9" s="885"/>
      <c r="AK9" s="422"/>
      <c r="AL9" s="1987"/>
      <c r="AM9" s="1988"/>
      <c r="AN9" s="1988"/>
      <c r="AO9" s="1988"/>
      <c r="AP9" s="1988"/>
      <c r="AQ9" s="1988"/>
      <c r="AR9" s="1988"/>
      <c r="AS9" s="885"/>
      <c r="AT9" s="423"/>
      <c r="AU9" s="1987"/>
      <c r="AV9" s="1988"/>
      <c r="AW9" s="1988"/>
      <c r="AX9" s="1988"/>
      <c r="AY9" s="1988"/>
      <c r="AZ9" s="1988"/>
      <c r="BA9" s="885"/>
      <c r="BB9" s="423"/>
      <c r="BC9" s="1987"/>
      <c r="BD9" s="1988"/>
      <c r="BE9" s="1988"/>
      <c r="BF9" s="1988"/>
      <c r="BG9" s="1988"/>
      <c r="BH9" s="1988"/>
      <c r="BI9" s="885"/>
      <c r="BJ9" s="423"/>
      <c r="BK9" s="1987"/>
      <c r="BL9" s="1988"/>
      <c r="BM9" s="1988"/>
      <c r="BN9" s="1988"/>
      <c r="BO9" s="1988"/>
      <c r="BP9" s="1988"/>
      <c r="BQ9" s="1988"/>
      <c r="BR9" s="885"/>
      <c r="BS9" s="423"/>
      <c r="BT9" s="1987"/>
      <c r="BU9" s="1988"/>
      <c r="BV9" s="1988"/>
      <c r="BW9" s="1988"/>
      <c r="BX9" s="1988"/>
      <c r="BY9" s="1988"/>
      <c r="BZ9" s="885"/>
      <c r="CA9" s="423"/>
      <c r="CB9" s="1987"/>
      <c r="CC9" s="1988"/>
      <c r="CD9" s="1988"/>
      <c r="CE9" s="1988"/>
      <c r="CF9" s="1988"/>
      <c r="CG9" s="1988"/>
      <c r="CH9" s="885"/>
      <c r="CI9" s="423"/>
      <c r="CJ9" s="1987"/>
      <c r="CK9" s="1988"/>
      <c r="CL9" s="1988"/>
      <c r="CM9" s="1988"/>
      <c r="CN9" s="1988"/>
      <c r="CO9" s="1988"/>
      <c r="CP9" s="885"/>
      <c r="CQ9" s="422"/>
      <c r="CR9" s="1988"/>
      <c r="CS9" s="1988"/>
      <c r="CT9" s="1988"/>
      <c r="CU9" s="1988" t="n">
        <f aca="false">CR9-CS9</f>
        <v>0</v>
      </c>
      <c r="CV9" s="1988" t="n">
        <f aca="false">CR9-CT9</f>
        <v>0</v>
      </c>
      <c r="CW9" s="1988"/>
      <c r="CX9" s="805" t="str">
        <f aca="false">IFERROR(+CR9/CW9-1, "-")</f>
        <v>-</v>
      </c>
      <c r="CY9" s="38"/>
      <c r="CZ9" s="1988"/>
      <c r="DA9" s="1988"/>
      <c r="DB9" s="1988"/>
      <c r="DC9" s="1988"/>
      <c r="DD9" s="1988"/>
      <c r="DE9" s="245" t="e">
        <f aca="false">+CZ9/DD9-1</f>
        <v>#DIV/0!</v>
      </c>
      <c r="DF9" s="245" t="e">
        <f aca="false">+DA9/DD9-1</f>
        <v>#DIV/0!</v>
      </c>
      <c r="DG9" s="245" t="e">
        <f aca="false">+DB9/DD9-1</f>
        <v>#DIV/0!</v>
      </c>
      <c r="DH9" s="885" t="e">
        <f aca="false">+DC9/DD9-1</f>
        <v>#DIV/0!</v>
      </c>
      <c r="DI9" s="1227"/>
      <c r="DJ9" s="14"/>
      <c r="DK9" s="14"/>
      <c r="DL9" s="14"/>
      <c r="DM9" s="14"/>
      <c r="DN9" s="14"/>
      <c r="DU9" s="400" t="n">
        <f aca="false">(CS9-CZ9)*10^6</f>
        <v>0</v>
      </c>
      <c r="DV9" s="400" t="n">
        <f aca="false">(CT9-DC9)*10^6</f>
        <v>0</v>
      </c>
      <c r="DW9" s="400" t="n">
        <f aca="false">(CW9-DD9)*10^6</f>
        <v>0</v>
      </c>
    </row>
    <row r="10" customFormat="false" ht="5.25" hidden="false" customHeight="true" outlineLevel="0" collapsed="false">
      <c r="A10" s="601"/>
      <c r="B10" s="1990"/>
      <c r="C10" s="1975" t="s">
        <v>1045</v>
      </c>
      <c r="D10" s="1991"/>
      <c r="E10" s="1992"/>
      <c r="F10" s="1992"/>
      <c r="G10" s="1992"/>
      <c r="H10" s="1993"/>
      <c r="I10" s="734"/>
      <c r="J10" s="1991"/>
      <c r="K10" s="1992"/>
      <c r="L10" s="1992"/>
      <c r="M10" s="1992"/>
      <c r="N10" s="1993"/>
      <c r="O10" s="1994"/>
      <c r="P10" s="1991"/>
      <c r="Q10" s="1992"/>
      <c r="R10" s="1992"/>
      <c r="S10" s="1992"/>
      <c r="T10" s="1993"/>
      <c r="U10" s="690"/>
      <c r="V10" s="1991"/>
      <c r="W10" s="1992"/>
      <c r="X10" s="1992"/>
      <c r="Y10" s="1992"/>
      <c r="Z10" s="1992"/>
      <c r="AA10" s="1992"/>
      <c r="AB10" s="1993"/>
      <c r="AC10" s="690"/>
      <c r="AD10" s="1991"/>
      <c r="AE10" s="1992"/>
      <c r="AF10" s="1992"/>
      <c r="AG10" s="1992"/>
      <c r="AH10" s="1992"/>
      <c r="AI10" s="1992"/>
      <c r="AJ10" s="1993"/>
      <c r="AK10" s="690"/>
      <c r="AL10" s="1991"/>
      <c r="AM10" s="1992"/>
      <c r="AN10" s="1992"/>
      <c r="AO10" s="1992"/>
      <c r="AP10" s="1992"/>
      <c r="AQ10" s="1992"/>
      <c r="AR10" s="1992"/>
      <c r="AS10" s="1993"/>
      <c r="AT10" s="883"/>
      <c r="AU10" s="1991"/>
      <c r="AV10" s="1992"/>
      <c r="AW10" s="1992"/>
      <c r="AX10" s="1992"/>
      <c r="AY10" s="1992"/>
      <c r="AZ10" s="1992"/>
      <c r="BA10" s="1993"/>
      <c r="BB10" s="883"/>
      <c r="BC10" s="1991"/>
      <c r="BD10" s="1992"/>
      <c r="BE10" s="1992"/>
      <c r="BF10" s="1992"/>
      <c r="BG10" s="1992"/>
      <c r="BH10" s="1992"/>
      <c r="BI10" s="1993"/>
      <c r="BJ10" s="883"/>
      <c r="BK10" s="1991"/>
      <c r="BL10" s="1992"/>
      <c r="BM10" s="1992"/>
      <c r="BN10" s="1992"/>
      <c r="BO10" s="1992"/>
      <c r="BP10" s="1992"/>
      <c r="BQ10" s="1992"/>
      <c r="BR10" s="1993"/>
      <c r="BS10" s="883"/>
      <c r="BT10" s="1991"/>
      <c r="BU10" s="1992"/>
      <c r="BV10" s="1992"/>
      <c r="BW10" s="1992"/>
      <c r="BX10" s="1992"/>
      <c r="BY10" s="1992"/>
      <c r="BZ10" s="1993"/>
      <c r="CA10" s="883"/>
      <c r="CB10" s="1991"/>
      <c r="CC10" s="1992"/>
      <c r="CD10" s="1992"/>
      <c r="CE10" s="1992"/>
      <c r="CF10" s="1992"/>
      <c r="CG10" s="1992"/>
      <c r="CH10" s="1993"/>
      <c r="CI10" s="883"/>
      <c r="CJ10" s="1991"/>
      <c r="CK10" s="1992"/>
      <c r="CL10" s="1992"/>
      <c r="CM10" s="1992"/>
      <c r="CN10" s="1992"/>
      <c r="CO10" s="1992"/>
      <c r="CP10" s="1993"/>
      <c r="CQ10" s="732"/>
      <c r="CR10" s="1992"/>
      <c r="CS10" s="1992"/>
      <c r="CT10" s="1992"/>
      <c r="CU10" s="1992"/>
      <c r="CV10" s="1992"/>
      <c r="CW10" s="1992"/>
      <c r="CX10" s="885" t="str">
        <f aca="false">IFERROR(+CR10/CW10-1, "-")</f>
        <v>-</v>
      </c>
      <c r="CY10" s="105"/>
      <c r="CZ10" s="1992"/>
      <c r="DA10" s="1992"/>
      <c r="DB10" s="1992"/>
      <c r="DC10" s="1992"/>
      <c r="DD10" s="1992"/>
      <c r="DE10" s="960"/>
      <c r="DF10" s="960"/>
      <c r="DG10" s="960"/>
      <c r="DH10" s="1993"/>
      <c r="DI10" s="1227"/>
      <c r="DU10" s="400" t="n">
        <f aca="false">(CS10-CZ10)*10^6</f>
        <v>0</v>
      </c>
      <c r="DV10" s="400" t="n">
        <f aca="false">(CT10-DC10)*10^6</f>
        <v>0</v>
      </c>
      <c r="DW10" s="400" t="n">
        <f aca="false">(CW10-DD10)*10^6</f>
        <v>0</v>
      </c>
    </row>
    <row r="11" customFormat="false" ht="15" hidden="false" customHeight="true" outlineLevel="0" collapsed="false">
      <c r="A11" s="700" t="s">
        <v>1046</v>
      </c>
      <c r="B11" s="707"/>
      <c r="C11" s="1975" t="s">
        <v>1047</v>
      </c>
      <c r="D11" s="1976"/>
      <c r="E11" s="1977"/>
      <c r="F11" s="1977"/>
      <c r="G11" s="1977"/>
      <c r="H11" s="705"/>
      <c r="I11" s="1995"/>
      <c r="J11" s="1976"/>
      <c r="K11" s="1977"/>
      <c r="L11" s="1977"/>
      <c r="M11" s="1977"/>
      <c r="N11" s="705"/>
      <c r="O11" s="1098"/>
      <c r="P11" s="1976"/>
      <c r="Q11" s="1977"/>
      <c r="R11" s="1977"/>
      <c r="S11" s="1977"/>
      <c r="T11" s="705"/>
      <c r="U11" s="403"/>
      <c r="V11" s="1976"/>
      <c r="W11" s="1977"/>
      <c r="X11" s="1977"/>
      <c r="Y11" s="1977"/>
      <c r="Z11" s="1977"/>
      <c r="AA11" s="1977"/>
      <c r="AB11" s="705"/>
      <c r="AC11" s="403"/>
      <c r="AD11" s="1976"/>
      <c r="AE11" s="1977"/>
      <c r="AF11" s="1977"/>
      <c r="AG11" s="1977"/>
      <c r="AH11" s="1977"/>
      <c r="AI11" s="1977"/>
      <c r="AJ11" s="705"/>
      <c r="AK11" s="403"/>
      <c r="AL11" s="1976"/>
      <c r="AM11" s="1977"/>
      <c r="AN11" s="1977"/>
      <c r="AO11" s="1977"/>
      <c r="AP11" s="1977"/>
      <c r="AQ11" s="1977"/>
      <c r="AR11" s="1977"/>
      <c r="AS11" s="705"/>
      <c r="AT11" s="407"/>
      <c r="AU11" s="1976"/>
      <c r="AV11" s="1977"/>
      <c r="AW11" s="1977"/>
      <c r="AX11" s="1977"/>
      <c r="AY11" s="1977"/>
      <c r="AZ11" s="1977"/>
      <c r="BA11" s="705"/>
      <c r="BB11" s="407"/>
      <c r="BC11" s="1976"/>
      <c r="BD11" s="1977"/>
      <c r="BE11" s="1977"/>
      <c r="BF11" s="1977"/>
      <c r="BG11" s="1977"/>
      <c r="BH11" s="1977"/>
      <c r="BI11" s="705"/>
      <c r="BJ11" s="407"/>
      <c r="BK11" s="1976"/>
      <c r="BL11" s="1977"/>
      <c r="BM11" s="1977"/>
      <c r="BN11" s="1977"/>
      <c r="BO11" s="1977"/>
      <c r="BP11" s="1977"/>
      <c r="BQ11" s="1977"/>
      <c r="BR11" s="705"/>
      <c r="BS11" s="407"/>
      <c r="BT11" s="1976"/>
      <c r="BU11" s="1977"/>
      <c r="BV11" s="1977"/>
      <c r="BW11" s="1977"/>
      <c r="BX11" s="1977"/>
      <c r="BY11" s="1977"/>
      <c r="BZ11" s="705"/>
      <c r="CA11" s="407"/>
      <c r="CB11" s="1976"/>
      <c r="CC11" s="1977"/>
      <c r="CD11" s="1977"/>
      <c r="CE11" s="1977"/>
      <c r="CF11" s="1977"/>
      <c r="CG11" s="1977"/>
      <c r="CH11" s="705"/>
      <c r="CI11" s="407"/>
      <c r="CJ11" s="1976"/>
      <c r="CK11" s="1977"/>
      <c r="CL11" s="1977"/>
      <c r="CM11" s="1977"/>
      <c r="CN11" s="1977"/>
      <c r="CO11" s="1977"/>
      <c r="CP11" s="705"/>
      <c r="CQ11" s="703"/>
      <c r="CR11" s="1977"/>
      <c r="CS11" s="1977"/>
      <c r="CT11" s="1977"/>
      <c r="CU11" s="1977" t="n">
        <f aca="false">CR11-CS11</f>
        <v>0</v>
      </c>
      <c r="CV11" s="1977" t="n">
        <f aca="false">CR11-CT11</f>
        <v>0</v>
      </c>
      <c r="CW11" s="1977"/>
      <c r="CX11" s="1996" t="str">
        <f aca="false">IFERROR(+CR11/CW11-1, "-")</f>
        <v>-</v>
      </c>
      <c r="CY11" s="105"/>
      <c r="CZ11" s="1977"/>
      <c r="DA11" s="1977"/>
      <c r="DB11" s="1977"/>
      <c r="DC11" s="1977"/>
      <c r="DD11" s="1977"/>
      <c r="DE11" s="401" t="e">
        <f aca="false">+CZ11/DD11-1</f>
        <v>#DIV/0!</v>
      </c>
      <c r="DF11" s="401" t="e">
        <f aca="false">+DA11/DD11-1</f>
        <v>#DIV/0!</v>
      </c>
      <c r="DG11" s="401" t="e">
        <f aca="false">+DB11/DD11-1</f>
        <v>#DIV/0!</v>
      </c>
      <c r="DH11" s="705" t="e">
        <f aca="false">+DC11/DD11-1</f>
        <v>#DIV/0!</v>
      </c>
      <c r="DI11" s="1227"/>
      <c r="DU11" s="400" t="n">
        <f aca="false">(CS11-CZ11)*10^6</f>
        <v>0</v>
      </c>
      <c r="DV11" s="400" t="n">
        <f aca="false">(CT11-DC11)*10^6</f>
        <v>0</v>
      </c>
      <c r="DW11" s="400" t="n">
        <f aca="false">(CW11-DD11)*10^6</f>
        <v>0</v>
      </c>
    </row>
    <row r="12" s="36" customFormat="true" ht="15" hidden="false" customHeight="true" outlineLevel="0" collapsed="false">
      <c r="A12" s="590"/>
      <c r="B12" s="1983" t="s">
        <v>1041</v>
      </c>
      <c r="C12" s="1975" t="s">
        <v>1048</v>
      </c>
      <c r="D12" s="1984"/>
      <c r="E12" s="1985"/>
      <c r="F12" s="1985"/>
      <c r="G12" s="1985"/>
      <c r="H12" s="1239"/>
      <c r="I12" s="281"/>
      <c r="J12" s="1984"/>
      <c r="K12" s="1985"/>
      <c r="L12" s="1985"/>
      <c r="M12" s="1985"/>
      <c r="N12" s="1239"/>
      <c r="O12" s="1986"/>
      <c r="P12" s="1984"/>
      <c r="Q12" s="1985"/>
      <c r="R12" s="1985"/>
      <c r="S12" s="1985"/>
      <c r="T12" s="1239"/>
      <c r="U12" s="557"/>
      <c r="V12" s="1984"/>
      <c r="W12" s="1985"/>
      <c r="X12" s="1985"/>
      <c r="Y12" s="1985"/>
      <c r="Z12" s="1985"/>
      <c r="AA12" s="1985"/>
      <c r="AB12" s="1239"/>
      <c r="AC12" s="557"/>
      <c r="AD12" s="1984"/>
      <c r="AE12" s="1985"/>
      <c r="AF12" s="1985"/>
      <c r="AG12" s="1985"/>
      <c r="AH12" s="1985"/>
      <c r="AI12" s="1985"/>
      <c r="AJ12" s="1239"/>
      <c r="AK12" s="557"/>
      <c r="AL12" s="1984"/>
      <c r="AM12" s="1985"/>
      <c r="AN12" s="1985"/>
      <c r="AO12" s="1985"/>
      <c r="AP12" s="1985"/>
      <c r="AQ12" s="1985"/>
      <c r="AR12" s="1985"/>
      <c r="AS12" s="1239"/>
      <c r="AT12" s="558"/>
      <c r="AU12" s="1984"/>
      <c r="AV12" s="1985"/>
      <c r="AW12" s="1985"/>
      <c r="AX12" s="1985"/>
      <c r="AY12" s="1985"/>
      <c r="AZ12" s="1985"/>
      <c r="BA12" s="1239"/>
      <c r="BB12" s="558"/>
      <c r="BC12" s="1984"/>
      <c r="BD12" s="1985"/>
      <c r="BE12" s="1985"/>
      <c r="BF12" s="1985"/>
      <c r="BG12" s="1985"/>
      <c r="BH12" s="1985"/>
      <c r="BI12" s="1239"/>
      <c r="BJ12" s="558"/>
      <c r="BK12" s="1984"/>
      <c r="BL12" s="1985"/>
      <c r="BM12" s="1985"/>
      <c r="BN12" s="1985"/>
      <c r="BO12" s="1985"/>
      <c r="BP12" s="1985"/>
      <c r="BQ12" s="1985"/>
      <c r="BR12" s="1239"/>
      <c r="BS12" s="558"/>
      <c r="BT12" s="1984"/>
      <c r="BU12" s="1985"/>
      <c r="BV12" s="1985"/>
      <c r="BW12" s="1985"/>
      <c r="BX12" s="1985"/>
      <c r="BY12" s="1985"/>
      <c r="BZ12" s="1239"/>
      <c r="CA12" s="558"/>
      <c r="CB12" s="1984"/>
      <c r="CC12" s="1985"/>
      <c r="CD12" s="1985"/>
      <c r="CE12" s="1985"/>
      <c r="CF12" s="1985"/>
      <c r="CG12" s="1985"/>
      <c r="CH12" s="1239"/>
      <c r="CI12" s="558"/>
      <c r="CJ12" s="1984"/>
      <c r="CK12" s="1985"/>
      <c r="CL12" s="1985"/>
      <c r="CM12" s="1985"/>
      <c r="CN12" s="1985"/>
      <c r="CO12" s="1985"/>
      <c r="CP12" s="1239"/>
      <c r="CQ12" s="422"/>
      <c r="CR12" s="1985"/>
      <c r="CS12" s="1985"/>
      <c r="CT12" s="1985"/>
      <c r="CU12" s="1985" t="n">
        <f aca="false">CR12-CS12</f>
        <v>0</v>
      </c>
      <c r="CV12" s="1985" t="n">
        <f aca="false">CR12-CT12</f>
        <v>0</v>
      </c>
      <c r="CW12" s="1985"/>
      <c r="CX12" s="805" t="str">
        <f aca="false">IFERROR(+CR12/CW12-1, "-")</f>
        <v>-</v>
      </c>
      <c r="CY12" s="38"/>
      <c r="CZ12" s="1985"/>
      <c r="DA12" s="1985"/>
      <c r="DB12" s="1985"/>
      <c r="DC12" s="1985"/>
      <c r="DD12" s="1985"/>
      <c r="DE12" s="556" t="e">
        <f aca="false">+CZ12/DD12-1</f>
        <v>#DIV/0!</v>
      </c>
      <c r="DF12" s="556" t="e">
        <f aca="false">+DA12/DD12-1</f>
        <v>#DIV/0!</v>
      </c>
      <c r="DG12" s="556" t="e">
        <f aca="false">+DB12/DD12-1</f>
        <v>#DIV/0!</v>
      </c>
      <c r="DH12" s="1239" t="e">
        <f aca="false">+DC12/DD12-1</f>
        <v>#DIV/0!</v>
      </c>
      <c r="DI12" s="1227"/>
      <c r="DJ12" s="14"/>
      <c r="DK12" s="14"/>
      <c r="DL12" s="14"/>
      <c r="DM12" s="14"/>
      <c r="DN12" s="14"/>
      <c r="DU12" s="400" t="n">
        <f aca="false">(CS12-CZ12)*10^6</f>
        <v>0</v>
      </c>
      <c r="DV12" s="400" t="n">
        <f aca="false">(CT12-DC12)*10^6</f>
        <v>0</v>
      </c>
      <c r="DW12" s="400" t="n">
        <f aca="false">(CW12-DD12)*10^6</f>
        <v>0</v>
      </c>
    </row>
    <row r="13" s="36" customFormat="true" ht="15" hidden="false" customHeight="true" outlineLevel="0" collapsed="false">
      <c r="A13" s="591"/>
      <c r="B13" s="857" t="s">
        <v>1043</v>
      </c>
      <c r="C13" s="1975" t="s">
        <v>1049</v>
      </c>
      <c r="D13" s="1987"/>
      <c r="E13" s="1988"/>
      <c r="F13" s="1988"/>
      <c r="G13" s="1988"/>
      <c r="H13" s="885"/>
      <c r="I13" s="281"/>
      <c r="J13" s="1987"/>
      <c r="K13" s="1988"/>
      <c r="L13" s="1988"/>
      <c r="M13" s="1988"/>
      <c r="N13" s="885"/>
      <c r="O13" s="1989"/>
      <c r="P13" s="1987"/>
      <c r="Q13" s="1988"/>
      <c r="R13" s="1988"/>
      <c r="S13" s="1988"/>
      <c r="T13" s="885"/>
      <c r="U13" s="422"/>
      <c r="V13" s="1987"/>
      <c r="W13" s="1988"/>
      <c r="X13" s="1988"/>
      <c r="Y13" s="1988"/>
      <c r="Z13" s="1988"/>
      <c r="AA13" s="1988"/>
      <c r="AB13" s="885"/>
      <c r="AC13" s="422"/>
      <c r="AD13" s="1987"/>
      <c r="AE13" s="1988"/>
      <c r="AF13" s="1988"/>
      <c r="AG13" s="1988"/>
      <c r="AH13" s="1988"/>
      <c r="AI13" s="1988"/>
      <c r="AJ13" s="885"/>
      <c r="AK13" s="422"/>
      <c r="AL13" s="1987"/>
      <c r="AM13" s="1988"/>
      <c r="AN13" s="1988"/>
      <c r="AO13" s="1988"/>
      <c r="AP13" s="1988"/>
      <c r="AQ13" s="1988"/>
      <c r="AR13" s="1988"/>
      <c r="AS13" s="885"/>
      <c r="AT13" s="423"/>
      <c r="AU13" s="1987"/>
      <c r="AV13" s="1988"/>
      <c r="AW13" s="1988"/>
      <c r="AX13" s="1988"/>
      <c r="AY13" s="1988"/>
      <c r="AZ13" s="1988"/>
      <c r="BA13" s="885"/>
      <c r="BB13" s="423"/>
      <c r="BC13" s="1987"/>
      <c r="BD13" s="1988"/>
      <c r="BE13" s="1988"/>
      <c r="BF13" s="1988"/>
      <c r="BG13" s="1988"/>
      <c r="BH13" s="1988"/>
      <c r="BI13" s="885"/>
      <c r="BJ13" s="423"/>
      <c r="BK13" s="1987"/>
      <c r="BL13" s="1988"/>
      <c r="BM13" s="1988"/>
      <c r="BN13" s="1988"/>
      <c r="BO13" s="1988"/>
      <c r="BP13" s="1988"/>
      <c r="BQ13" s="1988"/>
      <c r="BR13" s="885"/>
      <c r="BS13" s="423"/>
      <c r="BT13" s="1987"/>
      <c r="BU13" s="1988"/>
      <c r="BV13" s="1988"/>
      <c r="BW13" s="1988"/>
      <c r="BX13" s="1988"/>
      <c r="BY13" s="1988"/>
      <c r="BZ13" s="885"/>
      <c r="CA13" s="423"/>
      <c r="CB13" s="1987"/>
      <c r="CC13" s="1988"/>
      <c r="CD13" s="1988"/>
      <c r="CE13" s="1988"/>
      <c r="CF13" s="1988"/>
      <c r="CG13" s="1988"/>
      <c r="CH13" s="885"/>
      <c r="CI13" s="423"/>
      <c r="CJ13" s="1987"/>
      <c r="CK13" s="1988"/>
      <c r="CL13" s="1988"/>
      <c r="CM13" s="1988"/>
      <c r="CN13" s="1988"/>
      <c r="CO13" s="1988"/>
      <c r="CP13" s="885"/>
      <c r="CQ13" s="422"/>
      <c r="CR13" s="1988"/>
      <c r="CS13" s="1988"/>
      <c r="CT13" s="1988"/>
      <c r="CU13" s="1988" t="n">
        <f aca="false">CR13-CS13</f>
        <v>0</v>
      </c>
      <c r="CV13" s="1988" t="n">
        <f aca="false">CR13-CT13</f>
        <v>0</v>
      </c>
      <c r="CW13" s="1988"/>
      <c r="CX13" s="805" t="str">
        <f aca="false">IFERROR(+CR13/CW13-1, "-")</f>
        <v>-</v>
      </c>
      <c r="CY13" s="38"/>
      <c r="CZ13" s="1988"/>
      <c r="DA13" s="1988"/>
      <c r="DB13" s="1988"/>
      <c r="DC13" s="1988"/>
      <c r="DD13" s="1988"/>
      <c r="DE13" s="245" t="e">
        <f aca="false">+CZ13/DD13-1</f>
        <v>#DIV/0!</v>
      </c>
      <c r="DF13" s="245" t="e">
        <f aca="false">+DA13/DD13-1</f>
        <v>#DIV/0!</v>
      </c>
      <c r="DG13" s="245" t="e">
        <f aca="false">+DB13/DD13-1</f>
        <v>#DIV/0!</v>
      </c>
      <c r="DH13" s="885" t="e">
        <f aca="false">+DC13/DD13-1</f>
        <v>#DIV/0!</v>
      </c>
      <c r="DI13" s="1227"/>
      <c r="DJ13" s="14"/>
      <c r="DK13" s="14"/>
      <c r="DL13" s="14"/>
      <c r="DM13" s="14"/>
      <c r="DN13" s="14"/>
      <c r="DU13" s="400" t="n">
        <f aca="false">(CS13-CZ13)*10^6</f>
        <v>0</v>
      </c>
      <c r="DV13" s="400" t="n">
        <f aca="false">(CT13-DC13)*10^6</f>
        <v>0</v>
      </c>
      <c r="DW13" s="400" t="n">
        <f aca="false">(CW13-DD13)*10^6</f>
        <v>0</v>
      </c>
    </row>
    <row r="14" customFormat="false" ht="6" hidden="false" customHeight="true" outlineLevel="0" collapsed="false">
      <c r="A14" s="601"/>
      <c r="B14" s="887"/>
      <c r="C14" s="1975" t="s">
        <v>1050</v>
      </c>
      <c r="D14" s="1991"/>
      <c r="E14" s="1992"/>
      <c r="F14" s="1992"/>
      <c r="G14" s="1992"/>
      <c r="H14" s="1993"/>
      <c r="I14" s="734"/>
      <c r="J14" s="1991"/>
      <c r="K14" s="1992"/>
      <c r="L14" s="1992"/>
      <c r="M14" s="1992"/>
      <c r="N14" s="1993"/>
      <c r="O14" s="1994"/>
      <c r="P14" s="1991"/>
      <c r="Q14" s="1992"/>
      <c r="R14" s="1992"/>
      <c r="S14" s="1992"/>
      <c r="T14" s="1993"/>
      <c r="U14" s="690"/>
      <c r="V14" s="1991"/>
      <c r="W14" s="1992"/>
      <c r="X14" s="1992"/>
      <c r="Y14" s="1992"/>
      <c r="Z14" s="1992"/>
      <c r="AA14" s="1992"/>
      <c r="AB14" s="1993"/>
      <c r="AC14" s="690"/>
      <c r="AD14" s="1991"/>
      <c r="AE14" s="1992"/>
      <c r="AF14" s="1992"/>
      <c r="AG14" s="1992"/>
      <c r="AH14" s="1992"/>
      <c r="AI14" s="1992"/>
      <c r="AJ14" s="1993"/>
      <c r="AK14" s="690"/>
      <c r="AL14" s="1991"/>
      <c r="AM14" s="1992"/>
      <c r="AN14" s="1992"/>
      <c r="AO14" s="1992"/>
      <c r="AP14" s="1992"/>
      <c r="AQ14" s="1992"/>
      <c r="AR14" s="1992"/>
      <c r="AS14" s="1993"/>
      <c r="AT14" s="883"/>
      <c r="AU14" s="1991"/>
      <c r="AV14" s="1992"/>
      <c r="AW14" s="1992"/>
      <c r="AX14" s="1992"/>
      <c r="AY14" s="1992"/>
      <c r="AZ14" s="1992"/>
      <c r="BA14" s="1993"/>
      <c r="BB14" s="883"/>
      <c r="BC14" s="1991"/>
      <c r="BD14" s="1992"/>
      <c r="BE14" s="1992"/>
      <c r="BF14" s="1992"/>
      <c r="BG14" s="1992"/>
      <c r="BH14" s="1992"/>
      <c r="BI14" s="1993"/>
      <c r="BJ14" s="883"/>
      <c r="BK14" s="1991"/>
      <c r="BL14" s="1992"/>
      <c r="BM14" s="1992"/>
      <c r="BN14" s="1992"/>
      <c r="BO14" s="1992"/>
      <c r="BP14" s="1992"/>
      <c r="BQ14" s="1992"/>
      <c r="BR14" s="1993"/>
      <c r="BS14" s="883"/>
      <c r="BT14" s="1991"/>
      <c r="BU14" s="1992"/>
      <c r="BV14" s="1992"/>
      <c r="BW14" s="1992"/>
      <c r="BX14" s="1992"/>
      <c r="BY14" s="1992"/>
      <c r="BZ14" s="1993"/>
      <c r="CA14" s="883"/>
      <c r="CB14" s="1991"/>
      <c r="CC14" s="1992"/>
      <c r="CD14" s="1992"/>
      <c r="CE14" s="1992"/>
      <c r="CF14" s="1992"/>
      <c r="CG14" s="1992"/>
      <c r="CH14" s="1993"/>
      <c r="CI14" s="883"/>
      <c r="CJ14" s="1991"/>
      <c r="CK14" s="1992"/>
      <c r="CL14" s="1992"/>
      <c r="CM14" s="1992"/>
      <c r="CN14" s="1992"/>
      <c r="CO14" s="1992"/>
      <c r="CP14" s="1993"/>
      <c r="CQ14" s="732"/>
      <c r="CR14" s="1992"/>
      <c r="CS14" s="1992"/>
      <c r="CT14" s="1992"/>
      <c r="CU14" s="1992"/>
      <c r="CV14" s="1992"/>
      <c r="CW14" s="1992"/>
      <c r="CX14" s="885" t="str">
        <f aca="false">IFERROR(+CR14/CW14-1, "-")</f>
        <v>-</v>
      </c>
      <c r="CY14" s="105"/>
      <c r="CZ14" s="1992"/>
      <c r="DA14" s="1992"/>
      <c r="DB14" s="1992"/>
      <c r="DC14" s="1992"/>
      <c r="DD14" s="1992"/>
      <c r="DE14" s="960"/>
      <c r="DF14" s="960"/>
      <c r="DG14" s="960"/>
      <c r="DH14" s="1993"/>
      <c r="DI14" s="1227"/>
      <c r="DU14" s="400" t="n">
        <f aca="false">(CS14-CZ14)*10^6</f>
        <v>0</v>
      </c>
      <c r="DV14" s="400" t="n">
        <f aca="false">(CT14-DC14)*10^6</f>
        <v>0</v>
      </c>
      <c r="DW14" s="400" t="n">
        <f aca="false">(CW14-DD14)*10^6</f>
        <v>0</v>
      </c>
    </row>
    <row r="15" customFormat="false" ht="15" hidden="false" customHeight="true" outlineLevel="0" collapsed="false">
      <c r="A15" s="700" t="s">
        <v>1051</v>
      </c>
      <c r="B15" s="707"/>
      <c r="C15" s="1975" t="s">
        <v>1052</v>
      </c>
      <c r="D15" s="1976"/>
      <c r="E15" s="1977"/>
      <c r="F15" s="1977"/>
      <c r="G15" s="1977"/>
      <c r="H15" s="705"/>
      <c r="I15" s="1995"/>
      <c r="J15" s="1976"/>
      <c r="K15" s="1977"/>
      <c r="L15" s="1977"/>
      <c r="M15" s="1977"/>
      <c r="N15" s="705"/>
      <c r="O15" s="1098"/>
      <c r="P15" s="1976"/>
      <c r="Q15" s="1977"/>
      <c r="R15" s="1977"/>
      <c r="S15" s="1977"/>
      <c r="T15" s="705"/>
      <c r="U15" s="403"/>
      <c r="V15" s="1976"/>
      <c r="W15" s="1977"/>
      <c r="X15" s="1977"/>
      <c r="Y15" s="1977"/>
      <c r="Z15" s="1977"/>
      <c r="AA15" s="1977"/>
      <c r="AB15" s="705"/>
      <c r="AC15" s="403"/>
      <c r="AD15" s="1976"/>
      <c r="AE15" s="1977"/>
      <c r="AF15" s="1977"/>
      <c r="AG15" s="1977"/>
      <c r="AH15" s="1977"/>
      <c r="AI15" s="1977"/>
      <c r="AJ15" s="705"/>
      <c r="AK15" s="403"/>
      <c r="AL15" s="1976"/>
      <c r="AM15" s="1977"/>
      <c r="AN15" s="1977"/>
      <c r="AO15" s="1977"/>
      <c r="AP15" s="1977"/>
      <c r="AQ15" s="1977"/>
      <c r="AR15" s="1977"/>
      <c r="AS15" s="705"/>
      <c r="AT15" s="407"/>
      <c r="AU15" s="1976"/>
      <c r="AV15" s="1977"/>
      <c r="AW15" s="1977"/>
      <c r="AX15" s="1977"/>
      <c r="AY15" s="1977"/>
      <c r="AZ15" s="1977"/>
      <c r="BA15" s="705"/>
      <c r="BB15" s="407"/>
      <c r="BC15" s="1976"/>
      <c r="BD15" s="1977"/>
      <c r="BE15" s="1977"/>
      <c r="BF15" s="1977"/>
      <c r="BG15" s="1977"/>
      <c r="BH15" s="1977"/>
      <c r="BI15" s="705"/>
      <c r="BJ15" s="407"/>
      <c r="BK15" s="1976"/>
      <c r="BL15" s="1977"/>
      <c r="BM15" s="1977"/>
      <c r="BN15" s="1977"/>
      <c r="BO15" s="1977"/>
      <c r="BP15" s="1977"/>
      <c r="BQ15" s="1977"/>
      <c r="BR15" s="705"/>
      <c r="BS15" s="407"/>
      <c r="BT15" s="1976"/>
      <c r="BU15" s="1977"/>
      <c r="BV15" s="1977"/>
      <c r="BW15" s="1977"/>
      <c r="BX15" s="1977"/>
      <c r="BY15" s="1977"/>
      <c r="BZ15" s="705"/>
      <c r="CA15" s="407"/>
      <c r="CB15" s="1976"/>
      <c r="CC15" s="1977"/>
      <c r="CD15" s="1977"/>
      <c r="CE15" s="1977"/>
      <c r="CF15" s="1977"/>
      <c r="CG15" s="1977"/>
      <c r="CH15" s="705"/>
      <c r="CI15" s="407"/>
      <c r="CJ15" s="1976"/>
      <c r="CK15" s="1977"/>
      <c r="CL15" s="1977"/>
      <c r="CM15" s="1977"/>
      <c r="CN15" s="1977"/>
      <c r="CO15" s="1977"/>
      <c r="CP15" s="705"/>
      <c r="CQ15" s="703"/>
      <c r="CR15" s="1977"/>
      <c r="CS15" s="1977"/>
      <c r="CT15" s="1977"/>
      <c r="CU15" s="1977" t="n">
        <f aca="false">CR15-CS15</f>
        <v>0</v>
      </c>
      <c r="CV15" s="1977" t="n">
        <f aca="false">CR15-CT15</f>
        <v>0</v>
      </c>
      <c r="CW15" s="1977"/>
      <c r="CX15" s="1996" t="str">
        <f aca="false">IFERROR(+CR15/CW15-1, "-")</f>
        <v>-</v>
      </c>
      <c r="CY15" s="105"/>
      <c r="CZ15" s="1977"/>
      <c r="DA15" s="1977"/>
      <c r="DB15" s="1977"/>
      <c r="DC15" s="1977"/>
      <c r="DD15" s="1977"/>
      <c r="DE15" s="401" t="e">
        <f aca="false">+CZ15/DD15-1</f>
        <v>#DIV/0!</v>
      </c>
      <c r="DF15" s="401" t="e">
        <f aca="false">+DA15/DD15-1</f>
        <v>#DIV/0!</v>
      </c>
      <c r="DG15" s="401" t="e">
        <f aca="false">+DB15/DD15-1</f>
        <v>#DIV/0!</v>
      </c>
      <c r="DH15" s="705" t="e">
        <f aca="false">+DC15/DD15-1</f>
        <v>#DIV/0!</v>
      </c>
      <c r="DI15" s="1227"/>
      <c r="DU15" s="400" t="n">
        <f aca="false">(CS15-CZ15)*10^6</f>
        <v>0</v>
      </c>
      <c r="DV15" s="400" t="n">
        <f aca="false">(CT15-DC15)*10^6</f>
        <v>0</v>
      </c>
      <c r="DW15" s="400" t="n">
        <f aca="false">(CW15-DD15)*10^6</f>
        <v>0</v>
      </c>
    </row>
    <row r="16" s="36" customFormat="true" ht="15" hidden="false" customHeight="true" outlineLevel="0" collapsed="false">
      <c r="A16" s="590"/>
      <c r="B16" s="1983" t="s">
        <v>1041</v>
      </c>
      <c r="C16" s="1975" t="s">
        <v>1053</v>
      </c>
      <c r="D16" s="1984"/>
      <c r="E16" s="1985"/>
      <c r="F16" s="1985"/>
      <c r="G16" s="1985"/>
      <c r="H16" s="1239"/>
      <c r="I16" s="281"/>
      <c r="J16" s="1984"/>
      <c r="K16" s="1985"/>
      <c r="L16" s="1985"/>
      <c r="M16" s="1985"/>
      <c r="N16" s="1239"/>
      <c r="O16" s="1986"/>
      <c r="P16" s="1984"/>
      <c r="Q16" s="1985"/>
      <c r="R16" s="1985"/>
      <c r="S16" s="1985"/>
      <c r="T16" s="1239"/>
      <c r="U16" s="557"/>
      <c r="V16" s="1984"/>
      <c r="W16" s="1985"/>
      <c r="X16" s="1985"/>
      <c r="Y16" s="1985"/>
      <c r="Z16" s="1985"/>
      <c r="AA16" s="1985"/>
      <c r="AB16" s="1239"/>
      <c r="AC16" s="557"/>
      <c r="AD16" s="1984"/>
      <c r="AE16" s="1985"/>
      <c r="AF16" s="1985"/>
      <c r="AG16" s="1985"/>
      <c r="AH16" s="1985"/>
      <c r="AI16" s="1985"/>
      <c r="AJ16" s="1239"/>
      <c r="AK16" s="557"/>
      <c r="AL16" s="1984"/>
      <c r="AM16" s="1985"/>
      <c r="AN16" s="1985"/>
      <c r="AO16" s="1985"/>
      <c r="AP16" s="1985"/>
      <c r="AQ16" s="1985"/>
      <c r="AR16" s="1985"/>
      <c r="AS16" s="1239"/>
      <c r="AT16" s="558"/>
      <c r="AU16" s="1984"/>
      <c r="AV16" s="1985"/>
      <c r="AW16" s="1985"/>
      <c r="AX16" s="1985"/>
      <c r="AY16" s="1985"/>
      <c r="AZ16" s="1985"/>
      <c r="BA16" s="1239"/>
      <c r="BB16" s="558"/>
      <c r="BC16" s="1984"/>
      <c r="BD16" s="1985"/>
      <c r="BE16" s="1985"/>
      <c r="BF16" s="1985"/>
      <c r="BG16" s="1985"/>
      <c r="BH16" s="1985"/>
      <c r="BI16" s="1239"/>
      <c r="BJ16" s="558"/>
      <c r="BK16" s="1984"/>
      <c r="BL16" s="1985"/>
      <c r="BM16" s="1985"/>
      <c r="BN16" s="1985"/>
      <c r="BO16" s="1985"/>
      <c r="BP16" s="1985"/>
      <c r="BQ16" s="1985"/>
      <c r="BR16" s="1239"/>
      <c r="BS16" s="558"/>
      <c r="BT16" s="1984"/>
      <c r="BU16" s="1985"/>
      <c r="BV16" s="1985"/>
      <c r="BW16" s="1985"/>
      <c r="BX16" s="1985"/>
      <c r="BY16" s="1985"/>
      <c r="BZ16" s="1239"/>
      <c r="CA16" s="558"/>
      <c r="CB16" s="1984"/>
      <c r="CC16" s="1985"/>
      <c r="CD16" s="1985"/>
      <c r="CE16" s="1985"/>
      <c r="CF16" s="1985"/>
      <c r="CG16" s="1985"/>
      <c r="CH16" s="1239"/>
      <c r="CI16" s="558"/>
      <c r="CJ16" s="1984"/>
      <c r="CK16" s="1985"/>
      <c r="CL16" s="1985"/>
      <c r="CM16" s="1985"/>
      <c r="CN16" s="1985"/>
      <c r="CO16" s="1985"/>
      <c r="CP16" s="1239"/>
      <c r="CQ16" s="422"/>
      <c r="CR16" s="1985"/>
      <c r="CS16" s="1985"/>
      <c r="CT16" s="1985"/>
      <c r="CU16" s="1985" t="n">
        <f aca="false">CR16-CS16</f>
        <v>0</v>
      </c>
      <c r="CV16" s="1985" t="n">
        <f aca="false">CR16-CT16</f>
        <v>0</v>
      </c>
      <c r="CW16" s="1985"/>
      <c r="CX16" s="805" t="str">
        <f aca="false">IFERROR(+CR16/CW16-1, "-")</f>
        <v>-</v>
      </c>
      <c r="CY16" s="38"/>
      <c r="CZ16" s="1985"/>
      <c r="DA16" s="1985"/>
      <c r="DB16" s="1985"/>
      <c r="DC16" s="1985"/>
      <c r="DD16" s="1985"/>
      <c r="DE16" s="556" t="e">
        <f aca="false">+CZ16/DD16-1</f>
        <v>#DIV/0!</v>
      </c>
      <c r="DF16" s="556" t="e">
        <f aca="false">+DA16/DD16-1</f>
        <v>#DIV/0!</v>
      </c>
      <c r="DG16" s="556" t="e">
        <f aca="false">+DB16/DD16-1</f>
        <v>#DIV/0!</v>
      </c>
      <c r="DH16" s="1239" t="e">
        <f aca="false">+DC16/DD16-1</f>
        <v>#DIV/0!</v>
      </c>
      <c r="DI16" s="1227"/>
      <c r="DJ16" s="14"/>
      <c r="DK16" s="14"/>
      <c r="DL16" s="14"/>
      <c r="DM16" s="14"/>
      <c r="DN16" s="14"/>
      <c r="DU16" s="400" t="n">
        <f aca="false">(CS16-CZ16)*10^6</f>
        <v>0</v>
      </c>
      <c r="DV16" s="400" t="n">
        <f aca="false">(CT16-DC16)*10^6</f>
        <v>0</v>
      </c>
      <c r="DW16" s="400" t="n">
        <f aca="false">(CW16-DD16)*10^6</f>
        <v>0</v>
      </c>
    </row>
    <row r="17" s="36" customFormat="true" ht="15" hidden="false" customHeight="true" outlineLevel="0" collapsed="false">
      <c r="A17" s="591"/>
      <c r="B17" s="857" t="s">
        <v>1043</v>
      </c>
      <c r="C17" s="1975" t="s">
        <v>1054</v>
      </c>
      <c r="D17" s="1987"/>
      <c r="E17" s="1988"/>
      <c r="F17" s="1988"/>
      <c r="G17" s="1988"/>
      <c r="H17" s="885"/>
      <c r="I17" s="281"/>
      <c r="J17" s="1987"/>
      <c r="K17" s="1988"/>
      <c r="L17" s="1988"/>
      <c r="M17" s="1988"/>
      <c r="N17" s="885"/>
      <c r="O17" s="1989"/>
      <c r="P17" s="1987"/>
      <c r="Q17" s="1988"/>
      <c r="R17" s="1988"/>
      <c r="S17" s="1988"/>
      <c r="T17" s="885"/>
      <c r="U17" s="422"/>
      <c r="V17" s="1987"/>
      <c r="W17" s="1988"/>
      <c r="X17" s="1988"/>
      <c r="Y17" s="1988"/>
      <c r="Z17" s="1988"/>
      <c r="AA17" s="1988"/>
      <c r="AB17" s="885"/>
      <c r="AC17" s="422"/>
      <c r="AD17" s="1987"/>
      <c r="AE17" s="1988"/>
      <c r="AF17" s="1988"/>
      <c r="AG17" s="1988"/>
      <c r="AH17" s="1988"/>
      <c r="AI17" s="1988"/>
      <c r="AJ17" s="885"/>
      <c r="AK17" s="422"/>
      <c r="AL17" s="1987"/>
      <c r="AM17" s="1988"/>
      <c r="AN17" s="1988"/>
      <c r="AO17" s="1988"/>
      <c r="AP17" s="1988"/>
      <c r="AQ17" s="1988"/>
      <c r="AR17" s="1988"/>
      <c r="AS17" s="885"/>
      <c r="AT17" s="423"/>
      <c r="AU17" s="1987"/>
      <c r="AV17" s="1988"/>
      <c r="AW17" s="1988"/>
      <c r="AX17" s="1988"/>
      <c r="AY17" s="1988"/>
      <c r="AZ17" s="1988"/>
      <c r="BA17" s="885"/>
      <c r="BB17" s="423"/>
      <c r="BC17" s="1987"/>
      <c r="BD17" s="1988"/>
      <c r="BE17" s="1988"/>
      <c r="BF17" s="1988"/>
      <c r="BG17" s="1988"/>
      <c r="BH17" s="1988"/>
      <c r="BI17" s="885"/>
      <c r="BJ17" s="423"/>
      <c r="BK17" s="1987"/>
      <c r="BL17" s="1988"/>
      <c r="BM17" s="1988"/>
      <c r="BN17" s="1988"/>
      <c r="BO17" s="1988"/>
      <c r="BP17" s="1988"/>
      <c r="BQ17" s="1988"/>
      <c r="BR17" s="885"/>
      <c r="BS17" s="423"/>
      <c r="BT17" s="1987"/>
      <c r="BU17" s="1988"/>
      <c r="BV17" s="1988"/>
      <c r="BW17" s="1988"/>
      <c r="BX17" s="1988"/>
      <c r="BY17" s="1988"/>
      <c r="BZ17" s="885"/>
      <c r="CA17" s="423"/>
      <c r="CB17" s="1987"/>
      <c r="CC17" s="1988"/>
      <c r="CD17" s="1988"/>
      <c r="CE17" s="1988"/>
      <c r="CF17" s="1988"/>
      <c r="CG17" s="1988"/>
      <c r="CH17" s="885"/>
      <c r="CI17" s="423"/>
      <c r="CJ17" s="1987"/>
      <c r="CK17" s="1988"/>
      <c r="CL17" s="1988"/>
      <c r="CM17" s="1988"/>
      <c r="CN17" s="1988"/>
      <c r="CO17" s="1988"/>
      <c r="CP17" s="885"/>
      <c r="CQ17" s="422"/>
      <c r="CR17" s="1988"/>
      <c r="CS17" s="1988"/>
      <c r="CT17" s="1988"/>
      <c r="CU17" s="1988" t="n">
        <f aca="false">CR17-CS17</f>
        <v>0</v>
      </c>
      <c r="CV17" s="1988" t="n">
        <f aca="false">CR17-CT17</f>
        <v>0</v>
      </c>
      <c r="CW17" s="144"/>
      <c r="CX17" s="805" t="str">
        <f aca="false">IFERROR(+CR17/CW17-1, "-")</f>
        <v>-</v>
      </c>
      <c r="CY17" s="38"/>
      <c r="CZ17" s="1988"/>
      <c r="DA17" s="1988"/>
      <c r="DB17" s="1988"/>
      <c r="DC17" s="1988"/>
      <c r="DD17" s="1988"/>
      <c r="DE17" s="245" t="e">
        <f aca="false">+CZ17/DD17-1</f>
        <v>#DIV/0!</v>
      </c>
      <c r="DF17" s="245" t="e">
        <f aca="false">+DA17/DD17-1</f>
        <v>#DIV/0!</v>
      </c>
      <c r="DG17" s="245" t="e">
        <f aca="false">+DB17/DD17-1</f>
        <v>#DIV/0!</v>
      </c>
      <c r="DH17" s="885" t="e">
        <f aca="false">+DC17/DD17-1</f>
        <v>#DIV/0!</v>
      </c>
      <c r="DI17" s="1227"/>
      <c r="DJ17" s="14"/>
      <c r="DK17" s="14"/>
      <c r="DL17" s="14"/>
      <c r="DM17" s="14"/>
      <c r="DN17" s="14"/>
      <c r="DU17" s="400" t="n">
        <f aca="false">(CS17-CZ17)*10^6</f>
        <v>0</v>
      </c>
      <c r="DV17" s="400" t="n">
        <f aca="false">(CT17-DC17)*10^6</f>
        <v>0</v>
      </c>
      <c r="DW17" s="400" t="n">
        <f aca="false">(CW17-DD17)*10^6</f>
        <v>0</v>
      </c>
    </row>
    <row r="18" customFormat="false" ht="5.25" hidden="false" customHeight="true" outlineLevel="0" collapsed="false">
      <c r="A18" s="601"/>
      <c r="B18" s="1990"/>
      <c r="C18" s="1975" t="s">
        <v>1055</v>
      </c>
      <c r="D18" s="1991"/>
      <c r="E18" s="1992"/>
      <c r="F18" s="1992"/>
      <c r="G18" s="1992"/>
      <c r="H18" s="1993"/>
      <c r="I18" s="734"/>
      <c r="J18" s="1991"/>
      <c r="K18" s="1992"/>
      <c r="L18" s="1992"/>
      <c r="M18" s="1992"/>
      <c r="N18" s="1993"/>
      <c r="O18" s="1994"/>
      <c r="P18" s="1991"/>
      <c r="Q18" s="1992"/>
      <c r="R18" s="1992"/>
      <c r="S18" s="1992"/>
      <c r="T18" s="1993"/>
      <c r="U18" s="690"/>
      <c r="V18" s="1991"/>
      <c r="W18" s="1992"/>
      <c r="X18" s="1992"/>
      <c r="Y18" s="1992"/>
      <c r="Z18" s="1992"/>
      <c r="AA18" s="1992"/>
      <c r="AB18" s="1993"/>
      <c r="AC18" s="690"/>
      <c r="AD18" s="1991"/>
      <c r="AE18" s="1992"/>
      <c r="AF18" s="1992"/>
      <c r="AG18" s="1992"/>
      <c r="AH18" s="1992"/>
      <c r="AI18" s="1992"/>
      <c r="AJ18" s="1993"/>
      <c r="AK18" s="690"/>
      <c r="AL18" s="1991"/>
      <c r="AM18" s="1992"/>
      <c r="AN18" s="1992"/>
      <c r="AO18" s="1992"/>
      <c r="AP18" s="1992"/>
      <c r="AQ18" s="1992"/>
      <c r="AR18" s="1992"/>
      <c r="AS18" s="1993"/>
      <c r="AT18" s="883"/>
      <c r="AU18" s="1991"/>
      <c r="AV18" s="1992"/>
      <c r="AW18" s="1992"/>
      <c r="AX18" s="1992"/>
      <c r="AY18" s="1992"/>
      <c r="AZ18" s="1992"/>
      <c r="BA18" s="1993"/>
      <c r="BB18" s="883"/>
      <c r="BC18" s="1991"/>
      <c r="BD18" s="1992"/>
      <c r="BE18" s="1992"/>
      <c r="BF18" s="1992"/>
      <c r="BG18" s="1992"/>
      <c r="BH18" s="1992"/>
      <c r="BI18" s="1993"/>
      <c r="BJ18" s="883"/>
      <c r="BK18" s="1991"/>
      <c r="BL18" s="1992"/>
      <c r="BM18" s="1992"/>
      <c r="BN18" s="1992"/>
      <c r="BO18" s="1992"/>
      <c r="BP18" s="1992"/>
      <c r="BQ18" s="1992"/>
      <c r="BR18" s="1993"/>
      <c r="BS18" s="883"/>
      <c r="BT18" s="1991"/>
      <c r="BU18" s="1992"/>
      <c r="BV18" s="1992"/>
      <c r="BW18" s="1992"/>
      <c r="BX18" s="1992"/>
      <c r="BY18" s="1992"/>
      <c r="BZ18" s="1993"/>
      <c r="CA18" s="883"/>
      <c r="CB18" s="1991"/>
      <c r="CC18" s="1992"/>
      <c r="CD18" s="1992"/>
      <c r="CE18" s="1992"/>
      <c r="CF18" s="1992"/>
      <c r="CG18" s="1992"/>
      <c r="CH18" s="1993"/>
      <c r="CI18" s="883"/>
      <c r="CJ18" s="1991"/>
      <c r="CK18" s="1992"/>
      <c r="CL18" s="1992"/>
      <c r="CM18" s="1992"/>
      <c r="CN18" s="1992"/>
      <c r="CO18" s="1992"/>
      <c r="CP18" s="1993"/>
      <c r="CQ18" s="732"/>
      <c r="CR18" s="1992"/>
      <c r="CS18" s="1992"/>
      <c r="CT18" s="1992"/>
      <c r="CU18" s="1992"/>
      <c r="CV18" s="1992"/>
      <c r="CW18" s="1992"/>
      <c r="CX18" s="885" t="str">
        <f aca="false">IFERROR(+CR18/CW18-1, "-")</f>
        <v>-</v>
      </c>
      <c r="CY18" s="105"/>
      <c r="CZ18" s="1992"/>
      <c r="DA18" s="1992"/>
      <c r="DB18" s="1992"/>
      <c r="DC18" s="1992"/>
      <c r="DD18" s="1992"/>
      <c r="DE18" s="960"/>
      <c r="DF18" s="960"/>
      <c r="DG18" s="960"/>
      <c r="DH18" s="1993"/>
      <c r="DI18" s="1227"/>
      <c r="DU18" s="400" t="n">
        <f aca="false">(CS18-CZ18)*10^6</f>
        <v>0</v>
      </c>
      <c r="DV18" s="400" t="n">
        <f aca="false">(CT18-DC18)*10^6</f>
        <v>0</v>
      </c>
      <c r="DW18" s="400" t="n">
        <f aca="false">(CW18-DD18)*10^6</f>
        <v>0</v>
      </c>
    </row>
    <row r="19" customFormat="false" ht="15" hidden="false" customHeight="true" outlineLevel="0" collapsed="false">
      <c r="A19" s="700" t="s">
        <v>1056</v>
      </c>
      <c r="B19" s="707"/>
      <c r="C19" s="1975" t="s">
        <v>1057</v>
      </c>
      <c r="D19" s="1997"/>
      <c r="E19" s="1977"/>
      <c r="F19" s="1977"/>
      <c r="G19" s="1977"/>
      <c r="H19" s="705"/>
      <c r="I19" s="1995"/>
      <c r="J19" s="1997"/>
      <c r="K19" s="1977"/>
      <c r="L19" s="1977"/>
      <c r="M19" s="1977"/>
      <c r="N19" s="705"/>
      <c r="O19" s="1098"/>
      <c r="P19" s="1997"/>
      <c r="Q19" s="1977"/>
      <c r="R19" s="1977"/>
      <c r="S19" s="1977"/>
      <c r="T19" s="705"/>
      <c r="U19" s="403"/>
      <c r="V19" s="1997"/>
      <c r="W19" s="1977"/>
      <c r="X19" s="1977"/>
      <c r="Y19" s="1977"/>
      <c r="Z19" s="1977"/>
      <c r="AA19" s="1977"/>
      <c r="AB19" s="705"/>
      <c r="AC19" s="403"/>
      <c r="AD19" s="1997"/>
      <c r="AE19" s="1977"/>
      <c r="AF19" s="1977"/>
      <c r="AG19" s="1977"/>
      <c r="AH19" s="1977"/>
      <c r="AI19" s="1977"/>
      <c r="AJ19" s="705"/>
      <c r="AK19" s="403"/>
      <c r="AL19" s="1997"/>
      <c r="AM19" s="1977"/>
      <c r="AN19" s="1977"/>
      <c r="AO19" s="1977"/>
      <c r="AP19" s="1977"/>
      <c r="AQ19" s="1977"/>
      <c r="AR19" s="1977"/>
      <c r="AS19" s="705"/>
      <c r="AT19" s="407"/>
      <c r="AU19" s="1997"/>
      <c r="AV19" s="1977"/>
      <c r="AW19" s="1977"/>
      <c r="AX19" s="1977"/>
      <c r="AY19" s="1977"/>
      <c r="AZ19" s="1977"/>
      <c r="BA19" s="705"/>
      <c r="BB19" s="407"/>
      <c r="BC19" s="1997"/>
      <c r="BD19" s="1977"/>
      <c r="BE19" s="1977"/>
      <c r="BF19" s="1977"/>
      <c r="BG19" s="1977"/>
      <c r="BH19" s="1977"/>
      <c r="BI19" s="705"/>
      <c r="BJ19" s="407"/>
      <c r="BK19" s="1997"/>
      <c r="BL19" s="1977"/>
      <c r="BM19" s="1977"/>
      <c r="BN19" s="1977"/>
      <c r="BO19" s="1977"/>
      <c r="BP19" s="1977"/>
      <c r="BQ19" s="1977"/>
      <c r="BR19" s="705"/>
      <c r="BS19" s="407"/>
      <c r="BT19" s="1997"/>
      <c r="BU19" s="1977"/>
      <c r="BV19" s="1977"/>
      <c r="BW19" s="1977"/>
      <c r="BX19" s="1977"/>
      <c r="BY19" s="1977"/>
      <c r="BZ19" s="705"/>
      <c r="CA19" s="407"/>
      <c r="CB19" s="1997"/>
      <c r="CC19" s="1977"/>
      <c r="CD19" s="1977"/>
      <c r="CE19" s="1977"/>
      <c r="CF19" s="1977"/>
      <c r="CG19" s="1977"/>
      <c r="CH19" s="705"/>
      <c r="CI19" s="407"/>
      <c r="CJ19" s="1997"/>
      <c r="CK19" s="1977"/>
      <c r="CL19" s="1977"/>
      <c r="CM19" s="1977"/>
      <c r="CN19" s="1977"/>
      <c r="CO19" s="1977"/>
      <c r="CP19" s="705"/>
      <c r="CQ19" s="703"/>
      <c r="CR19" s="1980"/>
      <c r="CS19" s="1977"/>
      <c r="CT19" s="1977"/>
      <c r="CU19" s="1977" t="n">
        <f aca="false">CR19-CS19</f>
        <v>0</v>
      </c>
      <c r="CV19" s="1977" t="n">
        <f aca="false">CR19-CT19</f>
        <v>0</v>
      </c>
      <c r="CW19" s="1977"/>
      <c r="CX19" s="1998" t="str">
        <f aca="false">IFERROR(+CR19/CW19-1, "-")</f>
        <v>-</v>
      </c>
      <c r="CY19" s="105"/>
      <c r="CZ19" s="1977"/>
      <c r="DA19" s="1977"/>
      <c r="DB19" s="1977"/>
      <c r="DC19" s="1977"/>
      <c r="DD19" s="1977"/>
      <c r="DE19" s="401" t="e">
        <f aca="false">+CZ19/DD19-1</f>
        <v>#DIV/0!</v>
      </c>
      <c r="DF19" s="401" t="e">
        <f aca="false">+DA19/DD19-1</f>
        <v>#DIV/0!</v>
      </c>
      <c r="DG19" s="401" t="e">
        <f aca="false">+DB19/DD19-1</f>
        <v>#DIV/0!</v>
      </c>
      <c r="DH19" s="705" t="e">
        <f aca="false">+DC19/DD19-1</f>
        <v>#DIV/0!</v>
      </c>
      <c r="DI19" s="1227"/>
      <c r="DU19" s="400" t="n">
        <f aca="false">(CS19-CZ19)*10^6</f>
        <v>0</v>
      </c>
      <c r="DV19" s="400" t="n">
        <f aca="false">(CT19-DC19)*10^6</f>
        <v>0</v>
      </c>
      <c r="DW19" s="400" t="n">
        <f aca="false">(CW19-DD19)*10^6</f>
        <v>0</v>
      </c>
    </row>
    <row r="20" s="36" customFormat="true" ht="15" hidden="false" customHeight="true" outlineLevel="0" collapsed="false">
      <c r="A20" s="590"/>
      <c r="B20" s="1983" t="s">
        <v>1058</v>
      </c>
      <c r="C20" s="1975" t="s">
        <v>1059</v>
      </c>
      <c r="D20" s="1999"/>
      <c r="E20" s="2000"/>
      <c r="F20" s="2000"/>
      <c r="G20" s="2000"/>
      <c r="H20" s="2001"/>
      <c r="I20" s="2002"/>
      <c r="J20" s="1999"/>
      <c r="K20" s="2000"/>
      <c r="L20" s="2000"/>
      <c r="M20" s="2000"/>
      <c r="N20" s="2001"/>
      <c r="O20" s="2003"/>
      <c r="P20" s="1999"/>
      <c r="Q20" s="2000"/>
      <c r="R20" s="2000"/>
      <c r="S20" s="2000"/>
      <c r="T20" s="2001"/>
      <c r="U20" s="2004"/>
      <c r="V20" s="1999"/>
      <c r="W20" s="2000"/>
      <c r="X20" s="2000"/>
      <c r="Y20" s="2000"/>
      <c r="Z20" s="2000"/>
      <c r="AA20" s="2000"/>
      <c r="AB20" s="2001"/>
      <c r="AC20" s="2004"/>
      <c r="AD20" s="1999"/>
      <c r="AE20" s="2000"/>
      <c r="AF20" s="2000"/>
      <c r="AG20" s="2000"/>
      <c r="AH20" s="2000"/>
      <c r="AI20" s="2000"/>
      <c r="AJ20" s="2001"/>
      <c r="AK20" s="2004"/>
      <c r="AL20" s="1999"/>
      <c r="AM20" s="2000"/>
      <c r="AN20" s="2000"/>
      <c r="AO20" s="2000"/>
      <c r="AP20" s="2000"/>
      <c r="AQ20" s="2000"/>
      <c r="AR20" s="2000"/>
      <c r="AS20" s="2001"/>
      <c r="AT20" s="2005"/>
      <c r="AU20" s="1999"/>
      <c r="AV20" s="2000"/>
      <c r="AW20" s="2000"/>
      <c r="AX20" s="2000"/>
      <c r="AY20" s="2000"/>
      <c r="AZ20" s="2000"/>
      <c r="BA20" s="2001"/>
      <c r="BB20" s="2005"/>
      <c r="BC20" s="1999"/>
      <c r="BD20" s="2000"/>
      <c r="BE20" s="2000"/>
      <c r="BF20" s="2000"/>
      <c r="BG20" s="2000"/>
      <c r="BH20" s="2000"/>
      <c r="BI20" s="2001"/>
      <c r="BJ20" s="2005"/>
      <c r="BK20" s="1999"/>
      <c r="BL20" s="2000"/>
      <c r="BM20" s="2000"/>
      <c r="BN20" s="2000"/>
      <c r="BO20" s="2000"/>
      <c r="BP20" s="2000"/>
      <c r="BQ20" s="2000"/>
      <c r="BR20" s="2001"/>
      <c r="BS20" s="2005"/>
      <c r="BT20" s="1999"/>
      <c r="BU20" s="2000"/>
      <c r="BV20" s="2000"/>
      <c r="BW20" s="2000"/>
      <c r="BX20" s="2000"/>
      <c r="BY20" s="2000"/>
      <c r="BZ20" s="2001"/>
      <c r="CA20" s="2005"/>
      <c r="CB20" s="1999"/>
      <c r="CC20" s="2000"/>
      <c r="CD20" s="2000"/>
      <c r="CE20" s="2000"/>
      <c r="CF20" s="2000"/>
      <c r="CG20" s="2000"/>
      <c r="CH20" s="2001"/>
      <c r="CI20" s="2005"/>
      <c r="CJ20" s="1999"/>
      <c r="CK20" s="2000"/>
      <c r="CL20" s="2000"/>
      <c r="CM20" s="2000"/>
      <c r="CN20" s="2000"/>
      <c r="CO20" s="2000"/>
      <c r="CP20" s="2001"/>
      <c r="CQ20" s="2006"/>
      <c r="CR20" s="2000"/>
      <c r="CS20" s="2000"/>
      <c r="CT20" s="2000"/>
      <c r="CU20" s="2000" t="n">
        <f aca="false">CR20-CS20</f>
        <v>0</v>
      </c>
      <c r="CV20" s="2000" t="n">
        <f aca="false">CR20-CT20</f>
        <v>0</v>
      </c>
      <c r="CW20" s="2000"/>
      <c r="CX20" s="805" t="str">
        <f aca="false">IFERROR(+CR20/CW20-1, "-")</f>
        <v>-</v>
      </c>
      <c r="CY20" s="38"/>
      <c r="CZ20" s="2000"/>
      <c r="DA20" s="2000"/>
      <c r="DB20" s="2000"/>
      <c r="DC20" s="2007"/>
      <c r="DD20" s="2000"/>
      <c r="DE20" s="2008" t="e">
        <f aca="false">+CZ20/DD20-1</f>
        <v>#DIV/0!</v>
      </c>
      <c r="DF20" s="2008" t="e">
        <f aca="false">+DA20/DD20-1</f>
        <v>#DIV/0!</v>
      </c>
      <c r="DG20" s="2008" t="e">
        <f aca="false">+DB20/DD20-1</f>
        <v>#DIV/0!</v>
      </c>
      <c r="DH20" s="2001" t="e">
        <f aca="false">+DC20/DD20-1</f>
        <v>#DIV/0!</v>
      </c>
      <c r="DI20" s="1227"/>
      <c r="DJ20" s="14"/>
      <c r="DK20" s="14"/>
      <c r="DL20" s="14"/>
      <c r="DM20" s="14"/>
      <c r="DN20" s="14"/>
      <c r="DU20" s="400" t="n">
        <f aca="false">(CS20-CZ20)*10^6</f>
        <v>0</v>
      </c>
      <c r="DV20" s="400" t="n">
        <f aca="false">(CT20-DC20)*10^6</f>
        <v>0</v>
      </c>
      <c r="DW20" s="400" t="n">
        <f aca="false">(CW20-DD20)*10^6</f>
        <v>0</v>
      </c>
    </row>
    <row r="21" s="36" customFormat="true" ht="15" hidden="false" customHeight="true" outlineLevel="0" collapsed="false">
      <c r="A21" s="591"/>
      <c r="B21" s="2009" t="s">
        <v>1060</v>
      </c>
      <c r="C21" s="1975" t="s">
        <v>1061</v>
      </c>
      <c r="D21" s="2010"/>
      <c r="E21" s="1988"/>
      <c r="F21" s="1988"/>
      <c r="G21" s="1988"/>
      <c r="H21" s="885"/>
      <c r="I21" s="281"/>
      <c r="J21" s="2010"/>
      <c r="K21" s="1988"/>
      <c r="L21" s="1988"/>
      <c r="M21" s="1988"/>
      <c r="N21" s="885"/>
      <c r="O21" s="1989"/>
      <c r="P21" s="2010"/>
      <c r="Q21" s="1988"/>
      <c r="R21" s="1988"/>
      <c r="S21" s="1988"/>
      <c r="T21" s="885"/>
      <c r="U21" s="422"/>
      <c r="V21" s="2010"/>
      <c r="W21" s="1988"/>
      <c r="X21" s="1988"/>
      <c r="Y21" s="1988"/>
      <c r="Z21" s="1988"/>
      <c r="AA21" s="1988"/>
      <c r="AB21" s="885"/>
      <c r="AC21" s="422"/>
      <c r="AD21" s="2010"/>
      <c r="AE21" s="1988"/>
      <c r="AF21" s="1988"/>
      <c r="AG21" s="1988"/>
      <c r="AH21" s="1988"/>
      <c r="AI21" s="1988"/>
      <c r="AJ21" s="885"/>
      <c r="AK21" s="422"/>
      <c r="AL21" s="2010"/>
      <c r="AM21" s="1988"/>
      <c r="AN21" s="1988"/>
      <c r="AO21" s="1988"/>
      <c r="AP21" s="1988"/>
      <c r="AQ21" s="1988"/>
      <c r="AR21" s="1988"/>
      <c r="AS21" s="885"/>
      <c r="AT21" s="423"/>
      <c r="AU21" s="2010"/>
      <c r="AV21" s="1988"/>
      <c r="AW21" s="1988"/>
      <c r="AX21" s="1988"/>
      <c r="AY21" s="1988"/>
      <c r="AZ21" s="1988"/>
      <c r="BA21" s="885"/>
      <c r="BB21" s="423"/>
      <c r="BC21" s="2010"/>
      <c r="BD21" s="1988"/>
      <c r="BE21" s="1988"/>
      <c r="BF21" s="1988"/>
      <c r="BG21" s="1988"/>
      <c r="BH21" s="1988"/>
      <c r="BI21" s="885"/>
      <c r="BJ21" s="423"/>
      <c r="BK21" s="2010"/>
      <c r="BL21" s="1988"/>
      <c r="BM21" s="1988"/>
      <c r="BN21" s="1988"/>
      <c r="BO21" s="1988"/>
      <c r="BP21" s="1988"/>
      <c r="BQ21" s="1988"/>
      <c r="BR21" s="885"/>
      <c r="BS21" s="423"/>
      <c r="BT21" s="2010"/>
      <c r="BU21" s="1988"/>
      <c r="BV21" s="1988"/>
      <c r="BW21" s="1988"/>
      <c r="BX21" s="1988"/>
      <c r="BY21" s="1988"/>
      <c r="BZ21" s="885"/>
      <c r="CA21" s="423"/>
      <c r="CB21" s="2010"/>
      <c r="CC21" s="1988"/>
      <c r="CD21" s="1988"/>
      <c r="CE21" s="1988"/>
      <c r="CF21" s="1988"/>
      <c r="CG21" s="1988"/>
      <c r="CH21" s="885"/>
      <c r="CI21" s="423"/>
      <c r="CJ21" s="2010"/>
      <c r="CK21" s="1988"/>
      <c r="CL21" s="1988"/>
      <c r="CM21" s="1988"/>
      <c r="CN21" s="1988"/>
      <c r="CO21" s="1988"/>
      <c r="CP21" s="885"/>
      <c r="CQ21" s="422"/>
      <c r="CR21" s="2011"/>
      <c r="CS21" s="1988"/>
      <c r="CT21" s="1988"/>
      <c r="CU21" s="1988" t="n">
        <f aca="false">CR21-CS21</f>
        <v>0</v>
      </c>
      <c r="CV21" s="1988" t="n">
        <f aca="false">CR21-CT21</f>
        <v>0</v>
      </c>
      <c r="CW21" s="1988"/>
      <c r="CX21" s="805" t="str">
        <f aca="false">IFERROR(+CR21/CW21-1, "-")</f>
        <v>-</v>
      </c>
      <c r="CY21" s="38"/>
      <c r="CZ21" s="1988"/>
      <c r="DA21" s="1988"/>
      <c r="DB21" s="1988"/>
      <c r="DC21" s="1988"/>
      <c r="DD21" s="1988"/>
      <c r="DE21" s="245" t="e">
        <f aca="false">+CZ21/DD21-1</f>
        <v>#DIV/0!</v>
      </c>
      <c r="DF21" s="245" t="e">
        <f aca="false">+DA21/DD21-1</f>
        <v>#DIV/0!</v>
      </c>
      <c r="DG21" s="245" t="e">
        <f aca="false">+DB21/DD21-1</f>
        <v>#DIV/0!</v>
      </c>
      <c r="DH21" s="885" t="e">
        <f aca="false">+DC21/DD21-1</f>
        <v>#DIV/0!</v>
      </c>
      <c r="DI21" s="1227"/>
      <c r="DJ21" s="14"/>
      <c r="DK21" s="14"/>
      <c r="DL21" s="14"/>
      <c r="DM21" s="14"/>
      <c r="DN21" s="14"/>
      <c r="DU21" s="400" t="n">
        <f aca="false">(CS21-CZ21)*10^6</f>
        <v>0</v>
      </c>
      <c r="DV21" s="400" t="n">
        <f aca="false">(CT21-DC21)*10^6</f>
        <v>0</v>
      </c>
      <c r="DW21" s="400" t="n">
        <f aca="false">(CW21-DD21)*10^6</f>
        <v>0</v>
      </c>
    </row>
    <row r="22" s="36" customFormat="true" ht="15" hidden="false" customHeight="true" outlineLevel="0" collapsed="false">
      <c r="A22" s="591"/>
      <c r="B22" s="2009" t="s">
        <v>1062</v>
      </c>
      <c r="C22" s="1975" t="s">
        <v>1063</v>
      </c>
      <c r="D22" s="1987"/>
      <c r="E22" s="1988"/>
      <c r="F22" s="1988"/>
      <c r="G22" s="1988"/>
      <c r="H22" s="885"/>
      <c r="I22" s="281"/>
      <c r="J22" s="1987"/>
      <c r="K22" s="1988"/>
      <c r="L22" s="1988"/>
      <c r="M22" s="1988"/>
      <c r="N22" s="885"/>
      <c r="O22" s="1989"/>
      <c r="P22" s="1987"/>
      <c r="Q22" s="1988"/>
      <c r="R22" s="1988"/>
      <c r="S22" s="1988"/>
      <c r="T22" s="885"/>
      <c r="U22" s="422"/>
      <c r="V22" s="1987"/>
      <c r="W22" s="1988"/>
      <c r="X22" s="1988"/>
      <c r="Y22" s="1988"/>
      <c r="Z22" s="1988"/>
      <c r="AA22" s="1988"/>
      <c r="AB22" s="885"/>
      <c r="AC22" s="422"/>
      <c r="AD22" s="1987"/>
      <c r="AE22" s="1988"/>
      <c r="AF22" s="1988"/>
      <c r="AG22" s="1988"/>
      <c r="AH22" s="1988"/>
      <c r="AI22" s="1988"/>
      <c r="AJ22" s="885"/>
      <c r="AK22" s="422"/>
      <c r="AL22" s="1987"/>
      <c r="AM22" s="1988"/>
      <c r="AN22" s="1988"/>
      <c r="AO22" s="1988"/>
      <c r="AP22" s="1988"/>
      <c r="AQ22" s="1988"/>
      <c r="AR22" s="1988"/>
      <c r="AS22" s="885"/>
      <c r="AT22" s="423"/>
      <c r="AU22" s="1987"/>
      <c r="AV22" s="1988"/>
      <c r="AW22" s="1988"/>
      <c r="AX22" s="1988"/>
      <c r="AY22" s="1988"/>
      <c r="AZ22" s="1988"/>
      <c r="BA22" s="885"/>
      <c r="BB22" s="423"/>
      <c r="BC22" s="1987"/>
      <c r="BD22" s="1988"/>
      <c r="BE22" s="1988"/>
      <c r="BF22" s="1988"/>
      <c r="BG22" s="1988"/>
      <c r="BH22" s="1988"/>
      <c r="BI22" s="885"/>
      <c r="BJ22" s="423"/>
      <c r="BK22" s="1987"/>
      <c r="BL22" s="1988"/>
      <c r="BM22" s="1988"/>
      <c r="BN22" s="1988"/>
      <c r="BO22" s="1988"/>
      <c r="BP22" s="1988"/>
      <c r="BQ22" s="1988"/>
      <c r="BR22" s="885"/>
      <c r="BS22" s="423"/>
      <c r="BT22" s="1987"/>
      <c r="BU22" s="1988"/>
      <c r="BV22" s="1988"/>
      <c r="BW22" s="1988"/>
      <c r="BX22" s="1988"/>
      <c r="BY22" s="1988"/>
      <c r="BZ22" s="885"/>
      <c r="CA22" s="423"/>
      <c r="CB22" s="1987"/>
      <c r="CC22" s="1988"/>
      <c r="CD22" s="1988"/>
      <c r="CE22" s="1988"/>
      <c r="CF22" s="1988"/>
      <c r="CG22" s="1988"/>
      <c r="CH22" s="885"/>
      <c r="CI22" s="423"/>
      <c r="CJ22" s="1987"/>
      <c r="CK22" s="1988"/>
      <c r="CL22" s="1988"/>
      <c r="CM22" s="1988"/>
      <c r="CN22" s="1988"/>
      <c r="CO22" s="1988"/>
      <c r="CP22" s="885"/>
      <c r="CQ22" s="422"/>
      <c r="CR22" s="1988"/>
      <c r="CS22" s="1988"/>
      <c r="CT22" s="1988"/>
      <c r="CU22" s="1988" t="n">
        <f aca="false">CR22-CS22</f>
        <v>0</v>
      </c>
      <c r="CV22" s="1988" t="n">
        <f aca="false">CR22-CT22</f>
        <v>0</v>
      </c>
      <c r="CW22" s="1988"/>
      <c r="CX22" s="805" t="str">
        <f aca="false">IFERROR(+CR22/CW22-1, "-")</f>
        <v>-</v>
      </c>
      <c r="CY22" s="38"/>
      <c r="CZ22" s="1988"/>
      <c r="DA22" s="1988"/>
      <c r="DB22" s="1988"/>
      <c r="DC22" s="1988"/>
      <c r="DD22" s="1988"/>
      <c r="DE22" s="245" t="e">
        <f aca="false">+CZ22/DD22-1</f>
        <v>#DIV/0!</v>
      </c>
      <c r="DF22" s="245" t="e">
        <f aca="false">+DA22/DD22-1</f>
        <v>#DIV/0!</v>
      </c>
      <c r="DG22" s="245" t="e">
        <f aca="false">+DB22/DD22-1</f>
        <v>#DIV/0!</v>
      </c>
      <c r="DH22" s="885" t="e">
        <f aca="false">+DC22/DD22-1</f>
        <v>#DIV/0!</v>
      </c>
      <c r="DI22" s="1227"/>
      <c r="DJ22" s="14"/>
      <c r="DK22" s="14"/>
      <c r="DL22" s="14"/>
      <c r="DM22" s="14"/>
      <c r="DN22" s="14"/>
      <c r="DU22" s="400" t="n">
        <f aca="false">(CS22-CZ22)*10^6</f>
        <v>0</v>
      </c>
      <c r="DV22" s="400" t="n">
        <f aca="false">(CT22-DC22)*10^6</f>
        <v>0</v>
      </c>
      <c r="DW22" s="400" t="n">
        <f aca="false">(CW22-DD22)*10^6</f>
        <v>0</v>
      </c>
    </row>
    <row r="23" s="36" customFormat="true" ht="15" hidden="false" customHeight="true" outlineLevel="0" collapsed="false">
      <c r="A23" s="591"/>
      <c r="B23" s="857" t="s">
        <v>1064</v>
      </c>
      <c r="C23" s="1975" t="s">
        <v>1065</v>
      </c>
      <c r="D23" s="2012"/>
      <c r="E23" s="2013"/>
      <c r="F23" s="2013"/>
      <c r="G23" s="2013"/>
      <c r="H23" s="2014"/>
      <c r="I23" s="2002"/>
      <c r="J23" s="2012"/>
      <c r="K23" s="2013"/>
      <c r="L23" s="2013"/>
      <c r="M23" s="2013"/>
      <c r="N23" s="2014"/>
      <c r="O23" s="2015"/>
      <c r="P23" s="2012"/>
      <c r="Q23" s="2013"/>
      <c r="R23" s="2013"/>
      <c r="S23" s="2013"/>
      <c r="T23" s="2014"/>
      <c r="U23" s="2006"/>
      <c r="V23" s="2012"/>
      <c r="W23" s="2013"/>
      <c r="X23" s="2013"/>
      <c r="Y23" s="2013"/>
      <c r="Z23" s="2013"/>
      <c r="AA23" s="2013"/>
      <c r="AB23" s="2014"/>
      <c r="AC23" s="2006"/>
      <c r="AD23" s="2012"/>
      <c r="AE23" s="2013"/>
      <c r="AF23" s="2013"/>
      <c r="AG23" s="2013"/>
      <c r="AH23" s="2013"/>
      <c r="AI23" s="2013"/>
      <c r="AJ23" s="2014"/>
      <c r="AK23" s="2006"/>
      <c r="AL23" s="2012"/>
      <c r="AM23" s="2013"/>
      <c r="AN23" s="2013"/>
      <c r="AO23" s="2013"/>
      <c r="AP23" s="2013"/>
      <c r="AQ23" s="2013"/>
      <c r="AR23" s="2013"/>
      <c r="AS23" s="2014"/>
      <c r="AT23" s="2016"/>
      <c r="AU23" s="2012"/>
      <c r="AV23" s="2013"/>
      <c r="AW23" s="2013"/>
      <c r="AX23" s="2013"/>
      <c r="AY23" s="2013"/>
      <c r="AZ23" s="2013"/>
      <c r="BA23" s="2014"/>
      <c r="BB23" s="2016"/>
      <c r="BC23" s="2012"/>
      <c r="BD23" s="2013"/>
      <c r="BE23" s="2013"/>
      <c r="BF23" s="2013"/>
      <c r="BG23" s="2013"/>
      <c r="BH23" s="2013"/>
      <c r="BI23" s="2014"/>
      <c r="BJ23" s="2016"/>
      <c r="BK23" s="2012"/>
      <c r="BL23" s="2013"/>
      <c r="BM23" s="2013"/>
      <c r="BN23" s="2013"/>
      <c r="BO23" s="2013"/>
      <c r="BP23" s="2013"/>
      <c r="BQ23" s="2013"/>
      <c r="BR23" s="2014"/>
      <c r="BS23" s="2016"/>
      <c r="BT23" s="2012"/>
      <c r="BU23" s="2013"/>
      <c r="BV23" s="2013"/>
      <c r="BW23" s="2013"/>
      <c r="BX23" s="2013"/>
      <c r="BY23" s="2013"/>
      <c r="BZ23" s="2014"/>
      <c r="CA23" s="2016"/>
      <c r="CB23" s="2012"/>
      <c r="CC23" s="2013"/>
      <c r="CD23" s="2013"/>
      <c r="CE23" s="2013"/>
      <c r="CF23" s="2013"/>
      <c r="CG23" s="2013"/>
      <c r="CH23" s="2014"/>
      <c r="CI23" s="2016"/>
      <c r="CJ23" s="2012"/>
      <c r="CK23" s="2013"/>
      <c r="CL23" s="2013"/>
      <c r="CM23" s="2013"/>
      <c r="CN23" s="2013"/>
      <c r="CO23" s="2013"/>
      <c r="CP23" s="2014"/>
      <c r="CQ23" s="2006"/>
      <c r="CR23" s="2013"/>
      <c r="CS23" s="2013"/>
      <c r="CT23" s="2013"/>
      <c r="CU23" s="2013" t="n">
        <f aca="false">CR23-CS23</f>
        <v>0</v>
      </c>
      <c r="CV23" s="2013" t="n">
        <f aca="false">CR23-CT23</f>
        <v>0</v>
      </c>
      <c r="CW23" s="2013"/>
      <c r="CX23" s="805" t="str">
        <f aca="false">IFERROR(+CR23/CW23-1, "-")</f>
        <v>-</v>
      </c>
      <c r="CY23" s="38"/>
      <c r="CZ23" s="2013"/>
      <c r="DA23" s="2013"/>
      <c r="DB23" s="2013"/>
      <c r="DC23" s="2013"/>
      <c r="DD23" s="2013"/>
      <c r="DE23" s="2017" t="e">
        <f aca="false">+CZ23/DD23-1</f>
        <v>#DIV/0!</v>
      </c>
      <c r="DF23" s="2017" t="e">
        <f aca="false">+DA23/DD23-1</f>
        <v>#DIV/0!</v>
      </c>
      <c r="DG23" s="2017" t="e">
        <f aca="false">+DB23/DD23-1</f>
        <v>#DIV/0!</v>
      </c>
      <c r="DH23" s="2014" t="e">
        <f aca="false">+DC23/DD23-1</f>
        <v>#DIV/0!</v>
      </c>
      <c r="DI23" s="1227"/>
      <c r="DJ23" s="14"/>
      <c r="DK23" s="14"/>
      <c r="DL23" s="14"/>
      <c r="DM23" s="14"/>
      <c r="DN23" s="14"/>
      <c r="DU23" s="400" t="n">
        <f aca="false">(CS23-CZ23)*10^6</f>
        <v>0</v>
      </c>
      <c r="DV23" s="400" t="n">
        <f aca="false">(CT23-DC23)*10^6</f>
        <v>0</v>
      </c>
      <c r="DW23" s="400" t="n">
        <f aca="false">(CW23-DD23)*10^6</f>
        <v>0</v>
      </c>
    </row>
    <row r="24" s="36" customFormat="true" ht="15" hidden="false" customHeight="true" outlineLevel="0" collapsed="false">
      <c r="A24" s="591"/>
      <c r="B24" s="2009" t="s">
        <v>1060</v>
      </c>
      <c r="C24" s="1975" t="s">
        <v>1066</v>
      </c>
      <c r="D24" s="1987"/>
      <c r="E24" s="1988"/>
      <c r="F24" s="1988"/>
      <c r="G24" s="1988"/>
      <c r="H24" s="885"/>
      <c r="I24" s="281"/>
      <c r="J24" s="1987"/>
      <c r="K24" s="1988"/>
      <c r="L24" s="1988"/>
      <c r="M24" s="1988"/>
      <c r="N24" s="885"/>
      <c r="O24" s="1989"/>
      <c r="P24" s="1987"/>
      <c r="Q24" s="1988"/>
      <c r="R24" s="1988"/>
      <c r="S24" s="1988"/>
      <c r="T24" s="885"/>
      <c r="U24" s="422"/>
      <c r="V24" s="1987"/>
      <c r="W24" s="1988"/>
      <c r="X24" s="1988"/>
      <c r="Y24" s="1988"/>
      <c r="Z24" s="1988"/>
      <c r="AA24" s="1988"/>
      <c r="AB24" s="885"/>
      <c r="AC24" s="422"/>
      <c r="AD24" s="1987"/>
      <c r="AE24" s="1988"/>
      <c r="AF24" s="1988"/>
      <c r="AG24" s="1988"/>
      <c r="AH24" s="1988"/>
      <c r="AI24" s="1988"/>
      <c r="AJ24" s="885"/>
      <c r="AK24" s="422"/>
      <c r="AL24" s="1987"/>
      <c r="AM24" s="1988"/>
      <c r="AN24" s="1988"/>
      <c r="AO24" s="1988"/>
      <c r="AP24" s="1988"/>
      <c r="AQ24" s="1988"/>
      <c r="AR24" s="1988"/>
      <c r="AS24" s="885"/>
      <c r="AT24" s="423"/>
      <c r="AU24" s="1987"/>
      <c r="AV24" s="1988"/>
      <c r="AW24" s="1988"/>
      <c r="AX24" s="1988"/>
      <c r="AY24" s="1988"/>
      <c r="AZ24" s="1988"/>
      <c r="BA24" s="885"/>
      <c r="BB24" s="423"/>
      <c r="BC24" s="1987"/>
      <c r="BD24" s="1988"/>
      <c r="BE24" s="1988"/>
      <c r="BF24" s="1988"/>
      <c r="BG24" s="1988"/>
      <c r="BH24" s="1988"/>
      <c r="BI24" s="885"/>
      <c r="BJ24" s="423"/>
      <c r="BK24" s="1987"/>
      <c r="BL24" s="1988"/>
      <c r="BM24" s="1988"/>
      <c r="BN24" s="1988"/>
      <c r="BO24" s="1988"/>
      <c r="BP24" s="1988"/>
      <c r="BQ24" s="1988"/>
      <c r="BR24" s="885"/>
      <c r="BS24" s="423"/>
      <c r="BT24" s="1987"/>
      <c r="BU24" s="1988"/>
      <c r="BV24" s="1988"/>
      <c r="BW24" s="1988"/>
      <c r="BX24" s="1988"/>
      <c r="BY24" s="1988"/>
      <c r="BZ24" s="885"/>
      <c r="CA24" s="423"/>
      <c r="CB24" s="1987"/>
      <c r="CC24" s="1988"/>
      <c r="CD24" s="1988"/>
      <c r="CE24" s="1988"/>
      <c r="CF24" s="1988"/>
      <c r="CG24" s="1988"/>
      <c r="CH24" s="885"/>
      <c r="CI24" s="423"/>
      <c r="CJ24" s="1987"/>
      <c r="CK24" s="1988"/>
      <c r="CL24" s="1988"/>
      <c r="CM24" s="1988"/>
      <c r="CN24" s="1988"/>
      <c r="CO24" s="1988"/>
      <c r="CP24" s="885"/>
      <c r="CQ24" s="422"/>
      <c r="CR24" s="1988"/>
      <c r="CS24" s="1988"/>
      <c r="CT24" s="1988"/>
      <c r="CU24" s="1988" t="n">
        <f aca="false">CR24-CS24</f>
        <v>0</v>
      </c>
      <c r="CV24" s="1988" t="n">
        <f aca="false">CR24-CT24</f>
        <v>0</v>
      </c>
      <c r="CW24" s="1988"/>
      <c r="CX24" s="805" t="str">
        <f aca="false">IFERROR(+CR24/CW24-1, "-")</f>
        <v>-</v>
      </c>
      <c r="CY24" s="38"/>
      <c r="CZ24" s="1988"/>
      <c r="DA24" s="1988"/>
      <c r="DB24" s="1988"/>
      <c r="DC24" s="1988"/>
      <c r="DD24" s="1988"/>
      <c r="DE24" s="245" t="e">
        <f aca="false">+CZ24/DD24-1</f>
        <v>#DIV/0!</v>
      </c>
      <c r="DF24" s="245" t="e">
        <f aca="false">+DA24/DD24-1</f>
        <v>#DIV/0!</v>
      </c>
      <c r="DG24" s="245" t="e">
        <f aca="false">+DB24/DD24-1</f>
        <v>#DIV/0!</v>
      </c>
      <c r="DH24" s="885" t="e">
        <f aca="false">+DC24/DD24-1</f>
        <v>#DIV/0!</v>
      </c>
      <c r="DI24" s="1227"/>
      <c r="DJ24" s="14"/>
      <c r="DK24" s="14"/>
      <c r="DL24" s="14"/>
      <c r="DM24" s="14"/>
      <c r="DN24" s="14"/>
      <c r="DU24" s="400" t="n">
        <f aca="false">(CS24-CZ24)*10^6</f>
        <v>0</v>
      </c>
      <c r="DV24" s="400" t="n">
        <f aca="false">(CT24-DC24)*10^6</f>
        <v>0</v>
      </c>
      <c r="DW24" s="400" t="n">
        <f aca="false">(CW24-DD24)*10^6</f>
        <v>0</v>
      </c>
    </row>
    <row r="25" s="36" customFormat="true" ht="15" hidden="false" customHeight="true" outlineLevel="0" collapsed="false">
      <c r="A25" s="591"/>
      <c r="B25" s="2009" t="s">
        <v>1062</v>
      </c>
      <c r="C25" s="1975" t="s">
        <v>1067</v>
      </c>
      <c r="D25" s="1987"/>
      <c r="E25" s="1988"/>
      <c r="F25" s="1988"/>
      <c r="G25" s="1988"/>
      <c r="H25" s="885"/>
      <c r="I25" s="281"/>
      <c r="J25" s="1987"/>
      <c r="K25" s="1988"/>
      <c r="L25" s="1988"/>
      <c r="M25" s="1988"/>
      <c r="N25" s="885"/>
      <c r="O25" s="1989"/>
      <c r="P25" s="1987"/>
      <c r="Q25" s="1988"/>
      <c r="R25" s="1988"/>
      <c r="S25" s="1988"/>
      <c r="T25" s="885"/>
      <c r="U25" s="422"/>
      <c r="V25" s="1987"/>
      <c r="W25" s="1988"/>
      <c r="X25" s="1988"/>
      <c r="Y25" s="1988"/>
      <c r="Z25" s="1988"/>
      <c r="AA25" s="1988"/>
      <c r="AB25" s="885"/>
      <c r="AC25" s="422"/>
      <c r="AD25" s="1987"/>
      <c r="AE25" s="1988"/>
      <c r="AF25" s="1988"/>
      <c r="AG25" s="1988"/>
      <c r="AH25" s="1988"/>
      <c r="AI25" s="1988"/>
      <c r="AJ25" s="885"/>
      <c r="AK25" s="422"/>
      <c r="AL25" s="1987"/>
      <c r="AM25" s="1988"/>
      <c r="AN25" s="1988"/>
      <c r="AO25" s="1988"/>
      <c r="AP25" s="1988"/>
      <c r="AQ25" s="1988"/>
      <c r="AR25" s="1988"/>
      <c r="AS25" s="885"/>
      <c r="AT25" s="423"/>
      <c r="AU25" s="1987"/>
      <c r="AV25" s="1988"/>
      <c r="AW25" s="1988"/>
      <c r="AX25" s="1988"/>
      <c r="AY25" s="1988"/>
      <c r="AZ25" s="1988"/>
      <c r="BA25" s="885"/>
      <c r="BB25" s="423"/>
      <c r="BC25" s="1987"/>
      <c r="BD25" s="1988"/>
      <c r="BE25" s="1988"/>
      <c r="BF25" s="1988"/>
      <c r="BG25" s="1988"/>
      <c r="BH25" s="1988"/>
      <c r="BI25" s="885"/>
      <c r="BJ25" s="423"/>
      <c r="BK25" s="1987"/>
      <c r="BL25" s="1988"/>
      <c r="BM25" s="1988"/>
      <c r="BN25" s="1988"/>
      <c r="BO25" s="1988"/>
      <c r="BP25" s="1988"/>
      <c r="BQ25" s="1988"/>
      <c r="BR25" s="885"/>
      <c r="BS25" s="423"/>
      <c r="BT25" s="1987"/>
      <c r="BU25" s="1988"/>
      <c r="BV25" s="1988"/>
      <c r="BW25" s="1988"/>
      <c r="BX25" s="1988"/>
      <c r="BY25" s="1988"/>
      <c r="BZ25" s="885"/>
      <c r="CA25" s="423"/>
      <c r="CB25" s="1987"/>
      <c r="CC25" s="1988"/>
      <c r="CD25" s="1988"/>
      <c r="CE25" s="1988"/>
      <c r="CF25" s="1988"/>
      <c r="CG25" s="1988"/>
      <c r="CH25" s="885"/>
      <c r="CI25" s="423"/>
      <c r="CJ25" s="1987"/>
      <c r="CK25" s="1988"/>
      <c r="CL25" s="1988"/>
      <c r="CM25" s="1988"/>
      <c r="CN25" s="1988"/>
      <c r="CO25" s="1988"/>
      <c r="CP25" s="885"/>
      <c r="CQ25" s="422"/>
      <c r="CR25" s="1988"/>
      <c r="CS25" s="1988"/>
      <c r="CT25" s="1988"/>
      <c r="CU25" s="1988" t="n">
        <f aca="false">CR25-CS25</f>
        <v>0</v>
      </c>
      <c r="CV25" s="1988" t="n">
        <f aca="false">CR25-CT25</f>
        <v>0</v>
      </c>
      <c r="CW25" s="1988"/>
      <c r="CX25" s="805" t="str">
        <f aca="false">IFERROR(+CR25/CW25-1, "-")</f>
        <v>-</v>
      </c>
      <c r="CY25" s="38"/>
      <c r="CZ25" s="1988"/>
      <c r="DA25" s="1988"/>
      <c r="DB25" s="1988"/>
      <c r="DC25" s="1988"/>
      <c r="DD25" s="1988"/>
      <c r="DE25" s="245" t="e">
        <f aca="false">+CZ25/DD25-1</f>
        <v>#DIV/0!</v>
      </c>
      <c r="DF25" s="245" t="e">
        <f aca="false">+DA25/DD25-1</f>
        <v>#DIV/0!</v>
      </c>
      <c r="DG25" s="245" t="e">
        <f aca="false">+DB25/DD25-1</f>
        <v>#DIV/0!</v>
      </c>
      <c r="DH25" s="885" t="e">
        <f aca="false">+DC25/DD25-1</f>
        <v>#DIV/0!</v>
      </c>
      <c r="DI25" s="1227"/>
      <c r="DJ25" s="14"/>
      <c r="DK25" s="14"/>
      <c r="DL25" s="14"/>
      <c r="DM25" s="14"/>
      <c r="DN25" s="14"/>
      <c r="DU25" s="400" t="n">
        <f aca="false">(CS25-CZ25)*10^6</f>
        <v>0</v>
      </c>
      <c r="DV25" s="400" t="n">
        <f aca="false">(CT25-DC25)*10^6</f>
        <v>0</v>
      </c>
      <c r="DW25" s="400" t="n">
        <f aca="false">(CW25-DD25)*10^6</f>
        <v>0</v>
      </c>
    </row>
    <row r="26" customFormat="false" ht="3.75" hidden="false" customHeight="true" outlineLevel="0" collapsed="false">
      <c r="A26" s="601"/>
      <c r="B26" s="887"/>
      <c r="C26" s="1975" t="s">
        <v>1068</v>
      </c>
      <c r="D26" s="2018"/>
      <c r="E26" s="2019"/>
      <c r="F26" s="2019"/>
      <c r="G26" s="2019"/>
      <c r="H26" s="1247"/>
      <c r="I26" s="281"/>
      <c r="J26" s="2018"/>
      <c r="K26" s="2019"/>
      <c r="L26" s="2019"/>
      <c r="M26" s="2019"/>
      <c r="N26" s="1247"/>
      <c r="O26" s="2020"/>
      <c r="P26" s="2018"/>
      <c r="Q26" s="2019"/>
      <c r="R26" s="2019"/>
      <c r="S26" s="2019"/>
      <c r="T26" s="1247"/>
      <c r="U26" s="547"/>
      <c r="V26" s="2018"/>
      <c r="W26" s="2019"/>
      <c r="X26" s="2019"/>
      <c r="Y26" s="2019"/>
      <c r="Z26" s="2019"/>
      <c r="AA26" s="2019"/>
      <c r="AB26" s="1247"/>
      <c r="AC26" s="547"/>
      <c r="AD26" s="2018"/>
      <c r="AE26" s="2019"/>
      <c r="AF26" s="2019"/>
      <c r="AG26" s="2019"/>
      <c r="AH26" s="2019"/>
      <c r="AI26" s="2019"/>
      <c r="AJ26" s="1247"/>
      <c r="AK26" s="547"/>
      <c r="AL26" s="2018"/>
      <c r="AM26" s="2019"/>
      <c r="AN26" s="2019"/>
      <c r="AO26" s="2019"/>
      <c r="AP26" s="2019"/>
      <c r="AQ26" s="2019"/>
      <c r="AR26" s="2019"/>
      <c r="AS26" s="1247"/>
      <c r="AT26" s="548"/>
      <c r="AU26" s="2018"/>
      <c r="AV26" s="2019"/>
      <c r="AW26" s="2019"/>
      <c r="AX26" s="2019"/>
      <c r="AY26" s="2019"/>
      <c r="AZ26" s="2019"/>
      <c r="BA26" s="1247"/>
      <c r="BB26" s="548"/>
      <c r="BC26" s="2018"/>
      <c r="BD26" s="2019"/>
      <c r="BE26" s="2019"/>
      <c r="BF26" s="2019"/>
      <c r="BG26" s="2019"/>
      <c r="BH26" s="2019"/>
      <c r="BI26" s="1247"/>
      <c r="BJ26" s="548"/>
      <c r="BK26" s="2018"/>
      <c r="BL26" s="2019"/>
      <c r="BM26" s="2019"/>
      <c r="BN26" s="2019"/>
      <c r="BO26" s="2019"/>
      <c r="BP26" s="2019"/>
      <c r="BQ26" s="2019"/>
      <c r="BR26" s="1247"/>
      <c r="BS26" s="548"/>
      <c r="BT26" s="2018"/>
      <c r="BU26" s="2019"/>
      <c r="BV26" s="2019"/>
      <c r="BW26" s="2019"/>
      <c r="BX26" s="2019"/>
      <c r="BY26" s="2019"/>
      <c r="BZ26" s="1247"/>
      <c r="CA26" s="548"/>
      <c r="CB26" s="2018"/>
      <c r="CC26" s="2019"/>
      <c r="CD26" s="2019"/>
      <c r="CE26" s="2019"/>
      <c r="CF26" s="2019"/>
      <c r="CG26" s="2019"/>
      <c r="CH26" s="1247"/>
      <c r="CI26" s="548"/>
      <c r="CJ26" s="2018"/>
      <c r="CK26" s="2019"/>
      <c r="CL26" s="2019"/>
      <c r="CM26" s="2019"/>
      <c r="CN26" s="2019"/>
      <c r="CO26" s="2019"/>
      <c r="CP26" s="1247"/>
      <c r="CQ26" s="422"/>
      <c r="CR26" s="2019"/>
      <c r="CS26" s="2019"/>
      <c r="CT26" s="2019"/>
      <c r="CU26" s="2019"/>
      <c r="CV26" s="2019"/>
      <c r="CW26" s="2019"/>
      <c r="CX26" s="885" t="str">
        <f aca="false">IFERROR(+CR26/CW26-1, "-")</f>
        <v>-</v>
      </c>
      <c r="CY26" s="206"/>
      <c r="CZ26" s="2019"/>
      <c r="DA26" s="2019"/>
      <c r="DB26" s="2019"/>
      <c r="DC26" s="2019"/>
      <c r="DD26" s="2019"/>
      <c r="DE26" s="546"/>
      <c r="DF26" s="546"/>
      <c r="DG26" s="546"/>
      <c r="DH26" s="1247"/>
      <c r="DI26" s="1227"/>
      <c r="DU26" s="400" t="n">
        <f aca="false">(CS26-CZ26)*10^6</f>
        <v>0</v>
      </c>
      <c r="DV26" s="400" t="n">
        <f aca="false">(CT26-DC26)*10^6</f>
        <v>0</v>
      </c>
      <c r="DW26" s="400" t="n">
        <f aca="false">(CW26-DD26)*10^6</f>
        <v>0</v>
      </c>
    </row>
    <row r="27" customFormat="false" ht="15" hidden="false" customHeight="true" outlineLevel="0" collapsed="false">
      <c r="A27" s="700" t="s">
        <v>1069</v>
      </c>
      <c r="B27" s="707"/>
      <c r="C27" s="1975" t="s">
        <v>1070</v>
      </c>
      <c r="D27" s="2021"/>
      <c r="E27" s="1977"/>
      <c r="F27" s="1977"/>
      <c r="G27" s="1977"/>
      <c r="H27" s="705"/>
      <c r="I27" s="1995"/>
      <c r="J27" s="2021"/>
      <c r="K27" s="1977"/>
      <c r="L27" s="1977"/>
      <c r="M27" s="1977"/>
      <c r="N27" s="705"/>
      <c r="O27" s="1098"/>
      <c r="P27" s="2021"/>
      <c r="Q27" s="1977"/>
      <c r="R27" s="1977"/>
      <c r="S27" s="1977"/>
      <c r="T27" s="705"/>
      <c r="U27" s="403"/>
      <c r="V27" s="2021"/>
      <c r="W27" s="1977"/>
      <c r="X27" s="1977"/>
      <c r="Y27" s="1977"/>
      <c r="Z27" s="1977"/>
      <c r="AA27" s="1977"/>
      <c r="AB27" s="705"/>
      <c r="AC27" s="403"/>
      <c r="AD27" s="2021"/>
      <c r="AE27" s="1977"/>
      <c r="AF27" s="1977"/>
      <c r="AG27" s="1977"/>
      <c r="AH27" s="1977"/>
      <c r="AI27" s="1977"/>
      <c r="AJ27" s="705"/>
      <c r="AK27" s="403"/>
      <c r="AL27" s="2021"/>
      <c r="AM27" s="1977"/>
      <c r="AN27" s="1977"/>
      <c r="AO27" s="1977"/>
      <c r="AP27" s="1977"/>
      <c r="AQ27" s="1977"/>
      <c r="AR27" s="1977"/>
      <c r="AS27" s="705"/>
      <c r="AT27" s="407"/>
      <c r="AU27" s="2021"/>
      <c r="AV27" s="1977"/>
      <c r="AW27" s="1977"/>
      <c r="AX27" s="1977"/>
      <c r="AY27" s="1977"/>
      <c r="AZ27" s="1977"/>
      <c r="BA27" s="705"/>
      <c r="BB27" s="407"/>
      <c r="BC27" s="2021"/>
      <c r="BD27" s="1977"/>
      <c r="BE27" s="1977"/>
      <c r="BF27" s="1977"/>
      <c r="BG27" s="1977"/>
      <c r="BH27" s="1977"/>
      <c r="BI27" s="705"/>
      <c r="BJ27" s="407"/>
      <c r="BK27" s="2021"/>
      <c r="BL27" s="1977"/>
      <c r="BM27" s="1977"/>
      <c r="BN27" s="1977"/>
      <c r="BO27" s="1977"/>
      <c r="BP27" s="1977"/>
      <c r="BQ27" s="1977"/>
      <c r="BR27" s="705"/>
      <c r="BS27" s="407"/>
      <c r="BT27" s="2021"/>
      <c r="BU27" s="1977"/>
      <c r="BV27" s="1977"/>
      <c r="BW27" s="1977"/>
      <c r="BX27" s="1977"/>
      <c r="BY27" s="1977"/>
      <c r="BZ27" s="705"/>
      <c r="CA27" s="407"/>
      <c r="CB27" s="2021"/>
      <c r="CC27" s="1977"/>
      <c r="CD27" s="1977"/>
      <c r="CE27" s="1977"/>
      <c r="CF27" s="1977"/>
      <c r="CG27" s="1977"/>
      <c r="CH27" s="705"/>
      <c r="CI27" s="407"/>
      <c r="CJ27" s="2021"/>
      <c r="CK27" s="1977"/>
      <c r="CL27" s="1977"/>
      <c r="CM27" s="1977"/>
      <c r="CN27" s="1977"/>
      <c r="CO27" s="1977"/>
      <c r="CP27" s="705"/>
      <c r="CQ27" s="703"/>
      <c r="CR27" s="1977"/>
      <c r="CS27" s="1977"/>
      <c r="CT27" s="1977"/>
      <c r="CU27" s="1980" t="n">
        <f aca="false">CR27-CS27</f>
        <v>0</v>
      </c>
      <c r="CV27" s="1980" t="n">
        <f aca="false">CR27-CT27</f>
        <v>0</v>
      </c>
      <c r="CW27" s="1977"/>
      <c r="CX27" s="2022" t="str">
        <f aca="false">IFERROR(+CR27/CW27-1, "-")</f>
        <v>-</v>
      </c>
      <c r="CY27" s="105"/>
      <c r="CZ27" s="1977"/>
      <c r="DA27" s="1977"/>
      <c r="DB27" s="1977"/>
      <c r="DC27" s="1977"/>
      <c r="DD27" s="1977"/>
      <c r="DE27" s="401" t="e">
        <f aca="false">+CZ27/DD27-1</f>
        <v>#DIV/0!</v>
      </c>
      <c r="DF27" s="401" t="e">
        <f aca="false">+DA27/DD27-1</f>
        <v>#DIV/0!</v>
      </c>
      <c r="DG27" s="401" t="e">
        <f aca="false">+DB27/DD27-1</f>
        <v>#DIV/0!</v>
      </c>
      <c r="DH27" s="705" t="e">
        <f aca="false">+DC27/DD27-1</f>
        <v>#DIV/0!</v>
      </c>
      <c r="DI27" s="1227"/>
      <c r="DU27" s="400" t="n">
        <f aca="false">(CS27-CZ27)*10^6</f>
        <v>0</v>
      </c>
      <c r="DV27" s="400" t="n">
        <f aca="false">(CT27-DC27)*10^6</f>
        <v>0</v>
      </c>
      <c r="DW27" s="400" t="n">
        <f aca="false">(CW27-DD27)*10^6</f>
        <v>0</v>
      </c>
    </row>
    <row r="28" s="36" customFormat="true" ht="15" hidden="false" customHeight="true" outlineLevel="0" collapsed="false">
      <c r="A28" s="590"/>
      <c r="B28" s="1983" t="s">
        <v>1071</v>
      </c>
      <c r="C28" s="1975" t="s">
        <v>1072</v>
      </c>
      <c r="D28" s="2023"/>
      <c r="E28" s="2000"/>
      <c r="F28" s="2000"/>
      <c r="G28" s="2000"/>
      <c r="H28" s="2001"/>
      <c r="I28" s="2002"/>
      <c r="J28" s="2023"/>
      <c r="K28" s="2000"/>
      <c r="L28" s="2000"/>
      <c r="M28" s="2000"/>
      <c r="N28" s="2001"/>
      <c r="O28" s="2003"/>
      <c r="P28" s="2023"/>
      <c r="Q28" s="2000"/>
      <c r="R28" s="2000"/>
      <c r="S28" s="2000"/>
      <c r="T28" s="2001"/>
      <c r="U28" s="2004"/>
      <c r="V28" s="2023"/>
      <c r="W28" s="2000"/>
      <c r="X28" s="2000"/>
      <c r="Y28" s="2000"/>
      <c r="Z28" s="2000"/>
      <c r="AA28" s="2000"/>
      <c r="AB28" s="2001"/>
      <c r="AC28" s="2004"/>
      <c r="AD28" s="2023"/>
      <c r="AE28" s="2000"/>
      <c r="AF28" s="2000"/>
      <c r="AG28" s="2000"/>
      <c r="AH28" s="2000"/>
      <c r="AI28" s="2000"/>
      <c r="AJ28" s="2001"/>
      <c r="AK28" s="2004"/>
      <c r="AL28" s="2023"/>
      <c r="AM28" s="2000"/>
      <c r="AN28" s="2000"/>
      <c r="AO28" s="2000"/>
      <c r="AP28" s="2000"/>
      <c r="AQ28" s="2000"/>
      <c r="AR28" s="2000"/>
      <c r="AS28" s="2001"/>
      <c r="AT28" s="2005"/>
      <c r="AU28" s="2023"/>
      <c r="AV28" s="2000"/>
      <c r="AW28" s="2000"/>
      <c r="AX28" s="2000"/>
      <c r="AY28" s="2000"/>
      <c r="AZ28" s="2000"/>
      <c r="BA28" s="2001"/>
      <c r="BB28" s="2005"/>
      <c r="BC28" s="2023"/>
      <c r="BD28" s="2000"/>
      <c r="BE28" s="2000"/>
      <c r="BF28" s="2000"/>
      <c r="BG28" s="2000"/>
      <c r="BH28" s="2000"/>
      <c r="BI28" s="2001"/>
      <c r="BJ28" s="2005"/>
      <c r="BK28" s="2023"/>
      <c r="BL28" s="2000"/>
      <c r="BM28" s="2000"/>
      <c r="BN28" s="2000"/>
      <c r="BO28" s="2000"/>
      <c r="BP28" s="2000"/>
      <c r="BQ28" s="2000"/>
      <c r="BR28" s="2001"/>
      <c r="BS28" s="2005"/>
      <c r="BT28" s="2023"/>
      <c r="BU28" s="2000"/>
      <c r="BV28" s="2000"/>
      <c r="BW28" s="2000"/>
      <c r="BX28" s="2000"/>
      <c r="BY28" s="2000"/>
      <c r="BZ28" s="2001"/>
      <c r="CA28" s="2005"/>
      <c r="CB28" s="2023"/>
      <c r="CC28" s="2000"/>
      <c r="CD28" s="2000"/>
      <c r="CE28" s="2000"/>
      <c r="CF28" s="2000"/>
      <c r="CG28" s="2000"/>
      <c r="CH28" s="2001"/>
      <c r="CI28" s="2005"/>
      <c r="CJ28" s="2023"/>
      <c r="CK28" s="2000"/>
      <c r="CL28" s="2000"/>
      <c r="CM28" s="2000"/>
      <c r="CN28" s="2000"/>
      <c r="CO28" s="2000"/>
      <c r="CP28" s="2001"/>
      <c r="CQ28" s="2006"/>
      <c r="CR28" s="2007"/>
      <c r="CS28" s="2000"/>
      <c r="CT28" s="2000"/>
      <c r="CU28" s="2000" t="n">
        <f aca="false">CR28-CS28</f>
        <v>0</v>
      </c>
      <c r="CV28" s="2000" t="n">
        <f aca="false">CR28-CT28</f>
        <v>0</v>
      </c>
      <c r="CW28" s="2000"/>
      <c r="CX28" s="805" t="str">
        <f aca="false">IFERROR(+CR28/CW28-1, "-")</f>
        <v>-</v>
      </c>
      <c r="CY28" s="38"/>
      <c r="CZ28" s="2000"/>
      <c r="DA28" s="2000"/>
      <c r="DB28" s="2000"/>
      <c r="DC28" s="2000"/>
      <c r="DD28" s="2000"/>
      <c r="DE28" s="2008" t="e">
        <f aca="false">+CZ28/DD28-1</f>
        <v>#DIV/0!</v>
      </c>
      <c r="DF28" s="2008" t="e">
        <f aca="false">+DA28/DD28-1</f>
        <v>#DIV/0!</v>
      </c>
      <c r="DG28" s="2008" t="e">
        <f aca="false">+DB28/DD28-1</f>
        <v>#DIV/0!</v>
      </c>
      <c r="DH28" s="2001" t="e">
        <f aca="false">+DC28/DD28-1</f>
        <v>#DIV/0!</v>
      </c>
      <c r="DI28" s="1227"/>
      <c r="DJ28" s="14"/>
      <c r="DK28" s="14"/>
      <c r="DL28" s="14"/>
      <c r="DM28" s="14"/>
      <c r="DN28" s="14"/>
      <c r="DU28" s="400" t="n">
        <f aca="false">(CS28-CZ28)*10^6</f>
        <v>0</v>
      </c>
      <c r="DV28" s="400" t="n">
        <f aca="false">(CT28-DC28)*10^6</f>
        <v>0</v>
      </c>
      <c r="DW28" s="400" t="n">
        <f aca="false">(CW28-DD28)*10^6</f>
        <v>0</v>
      </c>
    </row>
    <row r="29" s="36" customFormat="true" ht="15" hidden="false" customHeight="true" outlineLevel="0" collapsed="false">
      <c r="A29" s="591"/>
      <c r="B29" s="2009" t="s">
        <v>1060</v>
      </c>
      <c r="C29" s="1975" t="s">
        <v>1073</v>
      </c>
      <c r="D29" s="2024"/>
      <c r="E29" s="1988"/>
      <c r="F29" s="1988"/>
      <c r="G29" s="1988"/>
      <c r="H29" s="885"/>
      <c r="I29" s="281"/>
      <c r="J29" s="2024"/>
      <c r="K29" s="1988"/>
      <c r="L29" s="1988"/>
      <c r="M29" s="1988"/>
      <c r="N29" s="885"/>
      <c r="O29" s="1989"/>
      <c r="P29" s="2024"/>
      <c r="Q29" s="1988"/>
      <c r="R29" s="1988"/>
      <c r="S29" s="1988"/>
      <c r="T29" s="885"/>
      <c r="U29" s="422"/>
      <c r="V29" s="2024"/>
      <c r="W29" s="1988"/>
      <c r="X29" s="1988"/>
      <c r="Y29" s="1988"/>
      <c r="Z29" s="1988"/>
      <c r="AA29" s="1988"/>
      <c r="AB29" s="885"/>
      <c r="AC29" s="422"/>
      <c r="AD29" s="2024"/>
      <c r="AE29" s="1988"/>
      <c r="AF29" s="1988"/>
      <c r="AG29" s="1988"/>
      <c r="AH29" s="1988"/>
      <c r="AI29" s="1988"/>
      <c r="AJ29" s="885"/>
      <c r="AK29" s="422"/>
      <c r="AL29" s="2024"/>
      <c r="AM29" s="1988"/>
      <c r="AN29" s="1988"/>
      <c r="AO29" s="1988"/>
      <c r="AP29" s="1988"/>
      <c r="AQ29" s="1988"/>
      <c r="AR29" s="1988"/>
      <c r="AS29" s="2025"/>
      <c r="AT29" s="423"/>
      <c r="AU29" s="2024"/>
      <c r="AV29" s="1988"/>
      <c r="AW29" s="1988"/>
      <c r="AX29" s="1988"/>
      <c r="AY29" s="1988"/>
      <c r="AZ29" s="1988"/>
      <c r="BA29" s="885"/>
      <c r="BB29" s="423"/>
      <c r="BC29" s="2024"/>
      <c r="BD29" s="1988"/>
      <c r="BE29" s="1988"/>
      <c r="BF29" s="1988"/>
      <c r="BG29" s="1988"/>
      <c r="BH29" s="1988"/>
      <c r="BI29" s="885"/>
      <c r="BJ29" s="423"/>
      <c r="BK29" s="2024"/>
      <c r="BL29" s="1988"/>
      <c r="BM29" s="1988"/>
      <c r="BN29" s="1988"/>
      <c r="BO29" s="1988"/>
      <c r="BP29" s="1988"/>
      <c r="BQ29" s="1988"/>
      <c r="BR29" s="885"/>
      <c r="BS29" s="423"/>
      <c r="BT29" s="2024"/>
      <c r="BU29" s="1988"/>
      <c r="BV29" s="1988"/>
      <c r="BW29" s="1988"/>
      <c r="BX29" s="1988"/>
      <c r="BY29" s="1988"/>
      <c r="BZ29" s="885"/>
      <c r="CA29" s="423"/>
      <c r="CB29" s="2024"/>
      <c r="CC29" s="1988"/>
      <c r="CD29" s="1988"/>
      <c r="CE29" s="1988"/>
      <c r="CF29" s="1988"/>
      <c r="CG29" s="1988"/>
      <c r="CH29" s="885"/>
      <c r="CI29" s="423"/>
      <c r="CJ29" s="2024"/>
      <c r="CK29" s="1988"/>
      <c r="CL29" s="1988"/>
      <c r="CM29" s="1988"/>
      <c r="CN29" s="1988"/>
      <c r="CO29" s="1988"/>
      <c r="CP29" s="885"/>
      <c r="CQ29" s="422"/>
      <c r="CR29" s="2026"/>
      <c r="CS29" s="1988"/>
      <c r="CT29" s="1988"/>
      <c r="CU29" s="1988" t="n">
        <f aca="false">CR29-CS29</f>
        <v>0</v>
      </c>
      <c r="CV29" s="1988" t="n">
        <f aca="false">CR29-CT29</f>
        <v>0</v>
      </c>
      <c r="CW29" s="1988"/>
      <c r="CX29" s="805" t="str">
        <f aca="false">IFERROR(+CR29/CW29-1, "-")</f>
        <v>-</v>
      </c>
      <c r="CY29" s="38"/>
      <c r="CZ29" s="1988"/>
      <c r="DA29" s="1988"/>
      <c r="DB29" s="1988"/>
      <c r="DC29" s="1988"/>
      <c r="DD29" s="1988"/>
      <c r="DE29" s="245" t="e">
        <f aca="false">+CZ29/DD29-1</f>
        <v>#DIV/0!</v>
      </c>
      <c r="DF29" s="245" t="e">
        <f aca="false">+DA29/DD29-1</f>
        <v>#DIV/0!</v>
      </c>
      <c r="DG29" s="245" t="e">
        <f aca="false">+DB29/DD29-1</f>
        <v>#DIV/0!</v>
      </c>
      <c r="DH29" s="885" t="e">
        <f aca="false">+DC29/DD29-1</f>
        <v>#DIV/0!</v>
      </c>
      <c r="DI29" s="1227"/>
      <c r="DJ29" s="14"/>
      <c r="DK29" s="14"/>
      <c r="DL29" s="14"/>
      <c r="DM29" s="14"/>
      <c r="DN29" s="14"/>
      <c r="DU29" s="400" t="n">
        <f aca="false">(CS29-CZ29)*10^6</f>
        <v>0</v>
      </c>
      <c r="DV29" s="400" t="n">
        <f aca="false">(CT29-DC29)*10^6</f>
        <v>0</v>
      </c>
      <c r="DW29" s="400" t="n">
        <f aca="false">(CW29-DD29)*10^6</f>
        <v>0</v>
      </c>
    </row>
    <row r="30" s="36" customFormat="true" ht="15" hidden="false" customHeight="true" outlineLevel="0" collapsed="false">
      <c r="A30" s="591"/>
      <c r="B30" s="2009" t="s">
        <v>1062</v>
      </c>
      <c r="C30" s="1975" t="s">
        <v>1074</v>
      </c>
      <c r="D30" s="1987"/>
      <c r="E30" s="1988"/>
      <c r="F30" s="1988"/>
      <c r="G30" s="1988"/>
      <c r="H30" s="885"/>
      <c r="I30" s="281"/>
      <c r="J30" s="1987"/>
      <c r="K30" s="1988"/>
      <c r="L30" s="1988"/>
      <c r="M30" s="1988"/>
      <c r="N30" s="885"/>
      <c r="O30" s="1989"/>
      <c r="P30" s="1987"/>
      <c r="Q30" s="1988"/>
      <c r="R30" s="1988"/>
      <c r="S30" s="1988"/>
      <c r="T30" s="885"/>
      <c r="U30" s="422"/>
      <c r="V30" s="1987"/>
      <c r="W30" s="1988"/>
      <c r="X30" s="1988"/>
      <c r="Y30" s="1988"/>
      <c r="Z30" s="1988"/>
      <c r="AA30" s="1988"/>
      <c r="AB30" s="885"/>
      <c r="AC30" s="422"/>
      <c r="AD30" s="1987"/>
      <c r="AE30" s="1988"/>
      <c r="AF30" s="1988"/>
      <c r="AG30" s="1988"/>
      <c r="AH30" s="1988"/>
      <c r="AI30" s="1988"/>
      <c r="AJ30" s="885"/>
      <c r="AK30" s="422"/>
      <c r="AL30" s="1987"/>
      <c r="AM30" s="1988"/>
      <c r="AN30" s="1988"/>
      <c r="AO30" s="1988"/>
      <c r="AP30" s="1988"/>
      <c r="AQ30" s="1988"/>
      <c r="AR30" s="1988"/>
      <c r="AS30" s="885"/>
      <c r="AT30" s="423"/>
      <c r="AU30" s="1987"/>
      <c r="AV30" s="1988"/>
      <c r="AW30" s="1988"/>
      <c r="AX30" s="1988"/>
      <c r="AY30" s="1988"/>
      <c r="AZ30" s="1988"/>
      <c r="BA30" s="885"/>
      <c r="BB30" s="423"/>
      <c r="BC30" s="1987"/>
      <c r="BD30" s="1988"/>
      <c r="BE30" s="1988"/>
      <c r="BF30" s="1988"/>
      <c r="BG30" s="1988"/>
      <c r="BH30" s="1988"/>
      <c r="BI30" s="885"/>
      <c r="BJ30" s="423"/>
      <c r="BK30" s="1987"/>
      <c r="BL30" s="1988"/>
      <c r="BM30" s="1988"/>
      <c r="BN30" s="1988"/>
      <c r="BO30" s="1988"/>
      <c r="BP30" s="1988"/>
      <c r="BQ30" s="1988"/>
      <c r="BR30" s="885"/>
      <c r="BS30" s="423"/>
      <c r="BT30" s="1987"/>
      <c r="BU30" s="1988"/>
      <c r="BV30" s="1988"/>
      <c r="BW30" s="1988"/>
      <c r="BX30" s="1988"/>
      <c r="BY30" s="1988"/>
      <c r="BZ30" s="885"/>
      <c r="CA30" s="423"/>
      <c r="CB30" s="1987"/>
      <c r="CC30" s="1988"/>
      <c r="CD30" s="1988"/>
      <c r="CE30" s="1988"/>
      <c r="CF30" s="1988"/>
      <c r="CG30" s="1988"/>
      <c r="CH30" s="885"/>
      <c r="CI30" s="423"/>
      <c r="CJ30" s="1987"/>
      <c r="CK30" s="1988"/>
      <c r="CL30" s="1988"/>
      <c r="CM30" s="1988"/>
      <c r="CN30" s="1988"/>
      <c r="CO30" s="1988"/>
      <c r="CP30" s="885"/>
      <c r="CQ30" s="422"/>
      <c r="CR30" s="1988"/>
      <c r="CS30" s="1988"/>
      <c r="CT30" s="1988"/>
      <c r="CU30" s="1988" t="n">
        <f aca="false">CR30-CS30</f>
        <v>0</v>
      </c>
      <c r="CV30" s="1988" t="n">
        <f aca="false">CR30-CT30</f>
        <v>0</v>
      </c>
      <c r="CW30" s="1988"/>
      <c r="CX30" s="885" t="str">
        <f aca="false">IFERROR(+CR30/CW30-1, "-")</f>
        <v>-</v>
      </c>
      <c r="CY30" s="38"/>
      <c r="CZ30" s="1988"/>
      <c r="DA30" s="1988"/>
      <c r="DB30" s="1988"/>
      <c r="DC30" s="1988"/>
      <c r="DD30" s="1988"/>
      <c r="DE30" s="245" t="e">
        <f aca="false">+CZ30/DD30-1</f>
        <v>#DIV/0!</v>
      </c>
      <c r="DF30" s="245" t="e">
        <f aca="false">+DA30/DD30-1</f>
        <v>#DIV/0!</v>
      </c>
      <c r="DG30" s="245" t="e">
        <f aca="false">+DB30/DD30-1</f>
        <v>#DIV/0!</v>
      </c>
      <c r="DH30" s="885" t="e">
        <f aca="false">+DC30/DD30-1</f>
        <v>#DIV/0!</v>
      </c>
      <c r="DI30" s="1227"/>
      <c r="DJ30" s="14"/>
      <c r="DK30" s="14"/>
      <c r="DL30" s="14"/>
      <c r="DM30" s="14"/>
      <c r="DN30" s="14"/>
      <c r="DU30" s="400" t="n">
        <f aca="false">(CS30-CZ30)*10^6</f>
        <v>0</v>
      </c>
      <c r="DV30" s="400" t="n">
        <f aca="false">(CT30-DC30)*10^6</f>
        <v>0</v>
      </c>
      <c r="DW30" s="400" t="n">
        <f aca="false">(CW30-DD30)*10^6</f>
        <v>0</v>
      </c>
    </row>
    <row r="31" s="172" customFormat="true" ht="15" hidden="false" customHeight="true" outlineLevel="0" collapsed="false">
      <c r="A31" s="2027"/>
      <c r="B31" s="2028" t="s">
        <v>1075</v>
      </c>
      <c r="C31" s="1975" t="s">
        <v>1076</v>
      </c>
      <c r="D31" s="2029"/>
      <c r="E31" s="2030"/>
      <c r="F31" s="2030"/>
      <c r="G31" s="2030"/>
      <c r="H31" s="2031"/>
      <c r="I31" s="2032"/>
      <c r="J31" s="2029"/>
      <c r="K31" s="2030"/>
      <c r="L31" s="2030"/>
      <c r="M31" s="2030"/>
      <c r="N31" s="2031"/>
      <c r="O31" s="2033"/>
      <c r="P31" s="2029"/>
      <c r="Q31" s="2030"/>
      <c r="R31" s="2030"/>
      <c r="S31" s="2030"/>
      <c r="T31" s="2031"/>
      <c r="U31" s="523"/>
      <c r="V31" s="2029"/>
      <c r="W31" s="2030"/>
      <c r="X31" s="2030"/>
      <c r="Y31" s="2030"/>
      <c r="Z31" s="2030"/>
      <c r="AA31" s="2030"/>
      <c r="AB31" s="2031"/>
      <c r="AC31" s="523"/>
      <c r="AD31" s="2029"/>
      <c r="AE31" s="2030"/>
      <c r="AF31" s="2030"/>
      <c r="AG31" s="2030"/>
      <c r="AH31" s="2030"/>
      <c r="AI31" s="2030"/>
      <c r="AJ31" s="2031"/>
      <c r="AK31" s="523"/>
      <c r="AL31" s="2029"/>
      <c r="AM31" s="2030"/>
      <c r="AN31" s="2030"/>
      <c r="AO31" s="2030"/>
      <c r="AP31" s="2030"/>
      <c r="AQ31" s="2030"/>
      <c r="AR31" s="2030"/>
      <c r="AS31" s="2031"/>
      <c r="AT31" s="525"/>
      <c r="AU31" s="2029"/>
      <c r="AV31" s="2030"/>
      <c r="AW31" s="2030"/>
      <c r="AX31" s="2030"/>
      <c r="AY31" s="2030"/>
      <c r="AZ31" s="2030"/>
      <c r="BA31" s="2031"/>
      <c r="BB31" s="525"/>
      <c r="BC31" s="2029"/>
      <c r="BD31" s="2030"/>
      <c r="BE31" s="2030"/>
      <c r="BF31" s="2030"/>
      <c r="BG31" s="2030"/>
      <c r="BH31" s="2030"/>
      <c r="BI31" s="2031"/>
      <c r="BJ31" s="525"/>
      <c r="BK31" s="2029"/>
      <c r="BL31" s="2030"/>
      <c r="BM31" s="2030"/>
      <c r="BN31" s="2030"/>
      <c r="BO31" s="2030"/>
      <c r="BP31" s="2030"/>
      <c r="BQ31" s="2030"/>
      <c r="BR31" s="2031"/>
      <c r="BS31" s="525"/>
      <c r="BT31" s="2029"/>
      <c r="BU31" s="2030"/>
      <c r="BV31" s="2030"/>
      <c r="BW31" s="2030"/>
      <c r="BX31" s="2030"/>
      <c r="BY31" s="2030"/>
      <c r="BZ31" s="2031"/>
      <c r="CA31" s="525"/>
      <c r="CB31" s="2029"/>
      <c r="CC31" s="2030"/>
      <c r="CD31" s="2030"/>
      <c r="CE31" s="2030"/>
      <c r="CF31" s="2030"/>
      <c r="CG31" s="2030"/>
      <c r="CH31" s="2031"/>
      <c r="CI31" s="525"/>
      <c r="CJ31" s="2029"/>
      <c r="CK31" s="2030"/>
      <c r="CL31" s="2030"/>
      <c r="CM31" s="2030"/>
      <c r="CN31" s="2030"/>
      <c r="CO31" s="2030"/>
      <c r="CP31" s="2031"/>
      <c r="CQ31" s="523"/>
      <c r="CR31" s="2030"/>
      <c r="CS31" s="2030"/>
      <c r="CT31" s="2030"/>
      <c r="CU31" s="2030" t="n">
        <f aca="false">CR31-CS31</f>
        <v>0</v>
      </c>
      <c r="CV31" s="2030" t="n">
        <f aca="false">CR31-CT31</f>
        <v>0</v>
      </c>
      <c r="CW31" s="2030"/>
      <c r="CX31" s="805" t="str">
        <f aca="false">IFERROR(+CR31/CW31-1, "-")</f>
        <v>-</v>
      </c>
      <c r="CY31" s="134"/>
      <c r="CZ31" s="2030"/>
      <c r="DA31" s="2030"/>
      <c r="DB31" s="2030"/>
      <c r="DC31" s="2030"/>
      <c r="DD31" s="2030"/>
      <c r="DE31" s="1150" t="e">
        <f aca="false">+CZ31/DD31-1</f>
        <v>#DIV/0!</v>
      </c>
      <c r="DF31" s="1150" t="e">
        <f aca="false">+DA31/DD31-1</f>
        <v>#DIV/0!</v>
      </c>
      <c r="DG31" s="1150" t="e">
        <f aca="false">+DB31/DD31-1</f>
        <v>#DIV/0!</v>
      </c>
      <c r="DH31" s="2031" t="e">
        <f aca="false">+DC31/DD31-1</f>
        <v>#DIV/0!</v>
      </c>
      <c r="DI31" s="1227"/>
      <c r="DJ31" s="14"/>
      <c r="DK31" s="14"/>
      <c r="DL31" s="14"/>
      <c r="DM31" s="14"/>
      <c r="DN31" s="14"/>
      <c r="DU31" s="400" t="n">
        <f aca="false">(CS31-CZ31)*10^6</f>
        <v>0</v>
      </c>
      <c r="DV31" s="400" t="n">
        <f aca="false">(CT31-DC31)*10^6</f>
        <v>0</v>
      </c>
      <c r="DW31" s="400" t="n">
        <f aca="false">(CW31-DD31)*10^6</f>
        <v>0</v>
      </c>
    </row>
    <row r="32" s="36" customFormat="true" ht="15" hidden="false" customHeight="true" outlineLevel="0" collapsed="false">
      <c r="A32" s="591"/>
      <c r="B32" s="2009" t="s">
        <v>1060</v>
      </c>
      <c r="C32" s="1975" t="s">
        <v>1077</v>
      </c>
      <c r="D32" s="1987"/>
      <c r="E32" s="1988"/>
      <c r="F32" s="1988"/>
      <c r="G32" s="1988"/>
      <c r="H32" s="885"/>
      <c r="I32" s="281"/>
      <c r="J32" s="1987"/>
      <c r="K32" s="1988"/>
      <c r="L32" s="1988"/>
      <c r="M32" s="1988"/>
      <c r="N32" s="885"/>
      <c r="O32" s="1989"/>
      <c r="P32" s="1987"/>
      <c r="Q32" s="1988"/>
      <c r="R32" s="1988"/>
      <c r="S32" s="1988"/>
      <c r="T32" s="885"/>
      <c r="U32" s="422"/>
      <c r="V32" s="1987"/>
      <c r="W32" s="1988"/>
      <c r="X32" s="1988"/>
      <c r="Y32" s="1988"/>
      <c r="Z32" s="1988"/>
      <c r="AA32" s="1988"/>
      <c r="AB32" s="885"/>
      <c r="AC32" s="422"/>
      <c r="AD32" s="1987"/>
      <c r="AE32" s="1988"/>
      <c r="AF32" s="1988"/>
      <c r="AG32" s="1988"/>
      <c r="AH32" s="1988"/>
      <c r="AI32" s="1988"/>
      <c r="AJ32" s="885"/>
      <c r="AK32" s="422"/>
      <c r="AL32" s="1987"/>
      <c r="AM32" s="1988"/>
      <c r="AN32" s="1988"/>
      <c r="AO32" s="1988"/>
      <c r="AP32" s="1988"/>
      <c r="AQ32" s="1988"/>
      <c r="AR32" s="1988"/>
      <c r="AS32" s="885"/>
      <c r="AT32" s="423"/>
      <c r="AU32" s="1987"/>
      <c r="AV32" s="1988"/>
      <c r="AW32" s="1988"/>
      <c r="AX32" s="1988"/>
      <c r="AY32" s="1988"/>
      <c r="AZ32" s="1988"/>
      <c r="BA32" s="885"/>
      <c r="BB32" s="423"/>
      <c r="BC32" s="1987"/>
      <c r="BD32" s="1988"/>
      <c r="BE32" s="1988"/>
      <c r="BF32" s="1988"/>
      <c r="BG32" s="1988"/>
      <c r="BH32" s="1988"/>
      <c r="BI32" s="885"/>
      <c r="BJ32" s="423"/>
      <c r="BK32" s="1987"/>
      <c r="BL32" s="1988"/>
      <c r="BM32" s="1988"/>
      <c r="BN32" s="1988"/>
      <c r="BO32" s="1988"/>
      <c r="BP32" s="1988"/>
      <c r="BQ32" s="1988"/>
      <c r="BR32" s="885"/>
      <c r="BS32" s="423"/>
      <c r="BT32" s="1987"/>
      <c r="BU32" s="1988"/>
      <c r="BV32" s="1988"/>
      <c r="BW32" s="1988"/>
      <c r="BX32" s="1988"/>
      <c r="BY32" s="1988"/>
      <c r="BZ32" s="885"/>
      <c r="CA32" s="423"/>
      <c r="CB32" s="1987"/>
      <c r="CC32" s="1988"/>
      <c r="CD32" s="1988"/>
      <c r="CE32" s="1988"/>
      <c r="CF32" s="1988"/>
      <c r="CG32" s="1988"/>
      <c r="CH32" s="885"/>
      <c r="CI32" s="423"/>
      <c r="CJ32" s="1987"/>
      <c r="CK32" s="1988"/>
      <c r="CL32" s="1988"/>
      <c r="CM32" s="1988"/>
      <c r="CN32" s="1988"/>
      <c r="CO32" s="1988"/>
      <c r="CP32" s="885"/>
      <c r="CQ32" s="422"/>
      <c r="CR32" s="1988"/>
      <c r="CS32" s="1988"/>
      <c r="CT32" s="1988"/>
      <c r="CU32" s="1988" t="n">
        <f aca="false">CR32-CS32</f>
        <v>0</v>
      </c>
      <c r="CV32" s="1988" t="n">
        <f aca="false">CR32-CT32</f>
        <v>0</v>
      </c>
      <c r="CW32" s="1988"/>
      <c r="CX32" s="885" t="str">
        <f aca="false">IFERROR(+CR32/CW32-1, "-")</f>
        <v>-</v>
      </c>
      <c r="CY32" s="38"/>
      <c r="CZ32" s="1988"/>
      <c r="DA32" s="1988"/>
      <c r="DB32" s="1988"/>
      <c r="DC32" s="1988"/>
      <c r="DD32" s="1988"/>
      <c r="DE32" s="245" t="e">
        <f aca="false">+CZ32/DD32-1</f>
        <v>#DIV/0!</v>
      </c>
      <c r="DF32" s="245" t="e">
        <f aca="false">+DA32/DD32-1</f>
        <v>#DIV/0!</v>
      </c>
      <c r="DG32" s="245" t="e">
        <f aca="false">+DB32/DD32-1</f>
        <v>#DIV/0!</v>
      </c>
      <c r="DH32" s="885" t="e">
        <f aca="false">+DC32/DD32-1</f>
        <v>#DIV/0!</v>
      </c>
      <c r="DI32" s="1227"/>
      <c r="DJ32" s="14"/>
      <c r="DK32" s="14"/>
      <c r="DL32" s="14"/>
      <c r="DM32" s="14"/>
      <c r="DN32" s="14"/>
      <c r="DU32" s="400" t="n">
        <f aca="false">(CS32-CZ32)*10^6</f>
        <v>0</v>
      </c>
      <c r="DV32" s="400" t="n">
        <f aca="false">(CT32-DC32)*10^6</f>
        <v>0</v>
      </c>
      <c r="DW32" s="400" t="n">
        <f aca="false">(CW32-DD32)*10^6</f>
        <v>0</v>
      </c>
    </row>
    <row r="33" customFormat="false" ht="15" hidden="false" customHeight="true" outlineLevel="0" collapsed="false">
      <c r="A33" s="601"/>
      <c r="B33" s="2034" t="s">
        <v>1062</v>
      </c>
      <c r="C33" s="1975" t="s">
        <v>1078</v>
      </c>
      <c r="D33" s="2035"/>
      <c r="E33" s="2036"/>
      <c r="F33" s="2036"/>
      <c r="G33" s="2036"/>
      <c r="H33" s="1247"/>
      <c r="I33" s="281"/>
      <c r="J33" s="2035"/>
      <c r="K33" s="2036"/>
      <c r="L33" s="2036"/>
      <c r="M33" s="2036"/>
      <c r="N33" s="1247"/>
      <c r="O33" s="2037"/>
      <c r="P33" s="2035"/>
      <c r="Q33" s="2036"/>
      <c r="R33" s="2036"/>
      <c r="S33" s="2036"/>
      <c r="T33" s="1247"/>
      <c r="U33" s="1091"/>
      <c r="V33" s="2035"/>
      <c r="W33" s="2036"/>
      <c r="X33" s="2036"/>
      <c r="Y33" s="2019"/>
      <c r="Z33" s="2019"/>
      <c r="AA33" s="2036"/>
      <c r="AB33" s="1247"/>
      <c r="AC33" s="1091"/>
      <c r="AD33" s="2035"/>
      <c r="AE33" s="2036"/>
      <c r="AF33" s="2036"/>
      <c r="AG33" s="2019"/>
      <c r="AH33" s="2019"/>
      <c r="AI33" s="2036"/>
      <c r="AJ33" s="1247"/>
      <c r="AK33" s="1091"/>
      <c r="AL33" s="2035"/>
      <c r="AM33" s="2036"/>
      <c r="AN33" s="2036"/>
      <c r="AO33" s="2036"/>
      <c r="AP33" s="2019"/>
      <c r="AQ33" s="2019"/>
      <c r="AR33" s="2036"/>
      <c r="AS33" s="1247"/>
      <c r="AT33" s="1306"/>
      <c r="AU33" s="2035"/>
      <c r="AV33" s="2036"/>
      <c r="AW33" s="2036"/>
      <c r="AX33" s="2019"/>
      <c r="AY33" s="2019"/>
      <c r="AZ33" s="2036"/>
      <c r="BA33" s="1247"/>
      <c r="BB33" s="1306"/>
      <c r="BC33" s="2035"/>
      <c r="BD33" s="2036"/>
      <c r="BE33" s="2036"/>
      <c r="BF33" s="2019"/>
      <c r="BG33" s="2019"/>
      <c r="BH33" s="2036"/>
      <c r="BI33" s="1247"/>
      <c r="BJ33" s="1306"/>
      <c r="BK33" s="2035"/>
      <c r="BL33" s="2036"/>
      <c r="BM33" s="2036"/>
      <c r="BN33" s="2036"/>
      <c r="BO33" s="2019"/>
      <c r="BP33" s="2019"/>
      <c r="BQ33" s="2036"/>
      <c r="BR33" s="1247"/>
      <c r="BS33" s="1306"/>
      <c r="BT33" s="2035"/>
      <c r="BU33" s="2036"/>
      <c r="BV33" s="2036"/>
      <c r="BW33" s="2019"/>
      <c r="BX33" s="2019"/>
      <c r="BY33" s="2036"/>
      <c r="BZ33" s="1247"/>
      <c r="CA33" s="1306"/>
      <c r="CB33" s="2035"/>
      <c r="CC33" s="2036"/>
      <c r="CD33" s="2036"/>
      <c r="CE33" s="2019"/>
      <c r="CF33" s="2019"/>
      <c r="CG33" s="2036"/>
      <c r="CH33" s="1247"/>
      <c r="CI33" s="1306"/>
      <c r="CJ33" s="2035"/>
      <c r="CK33" s="2036"/>
      <c r="CL33" s="2036"/>
      <c r="CM33" s="2019"/>
      <c r="CN33" s="2019"/>
      <c r="CO33" s="2036"/>
      <c r="CP33" s="1247"/>
      <c r="CQ33" s="1091"/>
      <c r="CR33" s="2036"/>
      <c r="CS33" s="2036"/>
      <c r="CT33" s="2036"/>
      <c r="CU33" s="2019" t="n">
        <f aca="false">CR33-CS33</f>
        <v>0</v>
      </c>
      <c r="CV33" s="2019" t="n">
        <f aca="false">CR33-CT33</f>
        <v>0</v>
      </c>
      <c r="CW33" s="2036"/>
      <c r="CX33" s="1090" t="str">
        <f aca="false">IFERROR(+CR33/CW33-1, "-")</f>
        <v>-</v>
      </c>
      <c r="CY33" s="206"/>
      <c r="CZ33" s="2036"/>
      <c r="DA33" s="2036"/>
      <c r="DB33" s="2036"/>
      <c r="DC33" s="2036"/>
      <c r="DD33" s="2036"/>
      <c r="DE33" s="546" t="e">
        <f aca="false">+CZ33/DD33-1</f>
        <v>#DIV/0!</v>
      </c>
      <c r="DF33" s="546" t="e">
        <f aca="false">+DA33/DD33-1</f>
        <v>#DIV/0!</v>
      </c>
      <c r="DG33" s="546" t="e">
        <f aca="false">+DB33/DD33-1</f>
        <v>#DIV/0!</v>
      </c>
      <c r="DH33" s="1247" t="e">
        <f aca="false">+DC33/DD33-1</f>
        <v>#DIV/0!</v>
      </c>
      <c r="DI33" s="1227"/>
      <c r="DU33" s="400" t="n">
        <f aca="false">(CS33-CZ33)*10^6</f>
        <v>0</v>
      </c>
      <c r="DV33" s="400" t="n">
        <f aca="false">(CT33-DC33)*10^6</f>
        <v>0</v>
      </c>
      <c r="DW33" s="400" t="n">
        <f aca="false">(CW33-DD33)*10^6</f>
        <v>0</v>
      </c>
    </row>
    <row r="34" customFormat="false" ht="4.5" hidden="false" customHeight="true" outlineLevel="0" collapsed="false">
      <c r="CV34" s="42" t="n">
        <f aca="false">CR34-CT34</f>
        <v>0</v>
      </c>
      <c r="CZ34" s="40"/>
      <c r="DD34" s="40"/>
      <c r="DU34" s="400" t="n">
        <f aca="false">(CS34-CZ34)*10^6</f>
        <v>0</v>
      </c>
      <c r="DV34" s="400" t="n">
        <f aca="false">(CT34-DC34)*10^6</f>
        <v>0</v>
      </c>
      <c r="DW34" s="400" t="n">
        <f aca="false">(CW34-DD34)*10^6</f>
        <v>0</v>
      </c>
    </row>
    <row r="35" customFormat="false" ht="28.5" hidden="false" customHeight="true" outlineLevel="0" collapsed="false">
      <c r="CS35" s="244"/>
      <c r="CT35" s="244"/>
      <c r="CU35" s="244"/>
      <c r="CV35" s="244"/>
      <c r="DD35" s="40"/>
      <c r="DU35" s="400" t="n">
        <f aca="false">(CS35-CZ35)*10^6</f>
        <v>0</v>
      </c>
      <c r="DV35" s="400" t="n">
        <f aca="false">(CT35-DC35)*10^6</f>
        <v>0</v>
      </c>
      <c r="DW35" s="400" t="n">
        <f aca="false">(CW35-DD35)*10^6</f>
        <v>0</v>
      </c>
    </row>
    <row r="36" customFormat="false" ht="12.75" hidden="false" customHeight="false" outlineLevel="0" collapsed="false">
      <c r="DU36" s="400" t="n">
        <f aca="false">(CS36-CZ36)*10^6</f>
        <v>0</v>
      </c>
      <c r="DV36" s="400" t="n">
        <f aca="false">(CT36-DC36)*10^6</f>
        <v>0</v>
      </c>
      <c r="DW36" s="400" t="n">
        <f aca="false">(CW36-DD36)*10^6</f>
        <v>0</v>
      </c>
    </row>
    <row r="37" customFormat="false" ht="12.75" hidden="false" customHeight="false" outlineLevel="0" collapsed="false">
      <c r="DU37" s="400" t="n">
        <f aca="false">(CS37-CZ37)*10^6</f>
        <v>0</v>
      </c>
      <c r="DV37" s="400" t="n">
        <f aca="false">(CT37-DC37)*10^6</f>
        <v>0</v>
      </c>
      <c r="DW37" s="400" t="n">
        <f aca="false">(CW37-DD37)*10^6</f>
        <v>0</v>
      </c>
    </row>
    <row r="38" customFormat="false" ht="12.75" hidden="false" customHeight="false" outlineLevel="0" collapsed="false">
      <c r="DU38" s="400" t="n">
        <f aca="false">(CS38-CZ38)*10^6</f>
        <v>0</v>
      </c>
      <c r="DV38" s="400" t="n">
        <f aca="false">(CT38-DC38)*10^6</f>
        <v>0</v>
      </c>
      <c r="DW38" s="400" t="n">
        <f aca="false">(CW38-DD38)*10^6</f>
        <v>0</v>
      </c>
    </row>
    <row r="39" customFormat="false" ht="12.75" hidden="false" customHeight="false" outlineLevel="0" collapsed="false">
      <c r="DU39" s="400" t="n">
        <f aca="false">(CS39-CZ39)*10^6</f>
        <v>0</v>
      </c>
      <c r="DV39" s="400" t="n">
        <f aca="false">(CT39-DC39)*10^6</f>
        <v>0</v>
      </c>
      <c r="DW39" s="400" t="n">
        <f aca="false">(CW39-DD39)*10^6</f>
        <v>0</v>
      </c>
    </row>
    <row r="40" customFormat="false" ht="12.75" hidden="false" customHeight="false" outlineLevel="0" collapsed="false">
      <c r="DU40" s="400" t="n">
        <f aca="false">(CS40-CZ40)*10^6</f>
        <v>0</v>
      </c>
      <c r="DV40" s="400" t="n">
        <f aca="false">(CT40-DC40)*10^6</f>
        <v>0</v>
      </c>
      <c r="DW40" s="400" t="n">
        <f aca="false">(CW40-DD40)*10^6</f>
        <v>0</v>
      </c>
    </row>
    <row r="41" customFormat="false" ht="12.75" hidden="false" customHeight="false" outlineLevel="0" collapsed="false">
      <c r="DU41" s="400" t="n">
        <f aca="false">(CS41-CZ41)*10^6</f>
        <v>0</v>
      </c>
      <c r="DV41" s="400" t="n">
        <f aca="false">(CT41-DC41)*10^6</f>
        <v>0</v>
      </c>
      <c r="DW41" s="400" t="n">
        <f aca="false">(CW41-DD41)*10^6</f>
        <v>0</v>
      </c>
    </row>
    <row r="42" customFormat="false" ht="12.75" hidden="false" customHeight="false" outlineLevel="0" collapsed="false">
      <c r="DU42" s="400" t="n">
        <f aca="false">(CS42-CZ42)*10^6</f>
        <v>0</v>
      </c>
      <c r="DV42" s="400" t="n">
        <f aca="false">(CT42-DC42)*10^6</f>
        <v>0</v>
      </c>
      <c r="DW42" s="400" t="n">
        <f aca="false">(CW42-DD42)*10^6</f>
        <v>0</v>
      </c>
    </row>
    <row r="43" customFormat="false" ht="12.75" hidden="false" customHeight="false" outlineLevel="0" collapsed="false">
      <c r="DU43" s="400" t="n">
        <f aca="false">(CS43-CZ43)*10^6</f>
        <v>0</v>
      </c>
      <c r="DV43" s="400" t="n">
        <f aca="false">(CT43-DC43)*10^6</f>
        <v>0</v>
      </c>
      <c r="DW43" s="400" t="n">
        <f aca="false">(CW43-DD43)*10^6</f>
        <v>0</v>
      </c>
    </row>
    <row r="44" customFormat="false" ht="12.75" hidden="false" customHeight="false" outlineLevel="0" collapsed="false">
      <c r="DU44" s="400" t="n">
        <f aca="false">(CS44-CZ44)*10^6</f>
        <v>0</v>
      </c>
      <c r="DV44" s="400" t="n">
        <f aca="false">(CT44-DC44)*10^6</f>
        <v>0</v>
      </c>
      <c r="DW44" s="400" t="n">
        <f aca="false">(CW44-DD44)*10^6</f>
        <v>0</v>
      </c>
    </row>
    <row r="45" customFormat="false" ht="12.75" hidden="false" customHeight="false" outlineLevel="0" collapsed="false">
      <c r="DU45" s="400" t="n">
        <f aca="false">(CS45-CZ45)*10^6</f>
        <v>0</v>
      </c>
      <c r="DV45" s="400" t="n">
        <f aca="false">(CT45-DC45)*10^6</f>
        <v>0</v>
      </c>
      <c r="DW45" s="400" t="n">
        <f aca="false">(CW45-DD45)*10^6</f>
        <v>0</v>
      </c>
    </row>
    <row r="46" customFormat="false" ht="12.75" hidden="false" customHeight="false" outlineLevel="0" collapsed="false">
      <c r="DU46" s="400" t="n">
        <f aca="false">(CS46-CZ46)*10^6</f>
        <v>0</v>
      </c>
      <c r="DV46" s="400" t="n">
        <f aca="false">(CT46-DC46)*10^6</f>
        <v>0</v>
      </c>
      <c r="DW46" s="400" t="n">
        <f aca="false">(CW46-DD46)*10^6</f>
        <v>0</v>
      </c>
    </row>
    <row r="47" customFormat="false" ht="12.75" hidden="false" customHeight="false" outlineLevel="0" collapsed="false">
      <c r="DU47" s="400" t="n">
        <f aca="false">(CS47-CZ47)*10^6</f>
        <v>0</v>
      </c>
      <c r="DV47" s="400" t="n">
        <f aca="false">(CT47-DC47)*10^6</f>
        <v>0</v>
      </c>
      <c r="DW47" s="400" t="n">
        <f aca="false">(CW47-DD47)*10^6</f>
        <v>0</v>
      </c>
    </row>
    <row r="48" customFormat="false" ht="12.75" hidden="false" customHeight="false" outlineLevel="0" collapsed="false">
      <c r="DU48" s="400" t="n">
        <f aca="false">(CS48-CZ48)*10^6</f>
        <v>0</v>
      </c>
      <c r="DV48" s="400" t="n">
        <f aca="false">(CT48-DC48)*10^6</f>
        <v>0</v>
      </c>
      <c r="DW48" s="400" t="n">
        <f aca="false">(CW48-DD48)*10^6</f>
        <v>0</v>
      </c>
    </row>
    <row r="49" customFormat="false" ht="12.75" hidden="false" customHeight="false" outlineLevel="0" collapsed="false">
      <c r="DU49" s="400" t="n">
        <f aca="false">(CS49-CZ49)*10^6</f>
        <v>0</v>
      </c>
      <c r="DV49" s="400" t="n">
        <f aca="false">(CT49-DC49)*10^6</f>
        <v>0</v>
      </c>
      <c r="DW49" s="400" t="n">
        <f aca="false">(CW49-DD49)*10^6</f>
        <v>0</v>
      </c>
    </row>
    <row r="50" customFormat="false" ht="12.75" hidden="false" customHeight="false" outlineLevel="0" collapsed="false">
      <c r="DU50" s="400" t="n">
        <f aca="false">(CS50-CZ50)*10^6</f>
        <v>0</v>
      </c>
      <c r="DV50" s="400" t="n">
        <f aca="false">(CT50-DC50)*10^6</f>
        <v>0</v>
      </c>
      <c r="DW50" s="400" t="n">
        <f aca="false">(CW50-DD50)*10^6</f>
        <v>0</v>
      </c>
    </row>
    <row r="51" customFormat="false" ht="12.75" hidden="false" customHeight="false" outlineLevel="0" collapsed="false">
      <c r="DU51" s="400" t="n">
        <f aca="false">(CS51-CZ51)*10^6</f>
        <v>0</v>
      </c>
      <c r="DV51" s="400" t="n">
        <f aca="false">(CT51-DC51)*10^6</f>
        <v>0</v>
      </c>
      <c r="DW51" s="400" t="n">
        <f aca="false">(CW51-DD51)*10^6</f>
        <v>0</v>
      </c>
    </row>
    <row r="52" customFormat="false" ht="12.75" hidden="false" customHeight="false" outlineLevel="0" collapsed="false">
      <c r="DU52" s="400" t="n">
        <f aca="false">(CS52-CZ52)*10^6</f>
        <v>0</v>
      </c>
      <c r="DV52" s="400" t="n">
        <f aca="false">(CT52-DC52)*10^6</f>
        <v>0</v>
      </c>
      <c r="DW52" s="400" t="n">
        <f aca="false">(CW52-DD52)*10^6</f>
        <v>0</v>
      </c>
    </row>
    <row r="53" customFormat="false" ht="12.75" hidden="false" customHeight="false" outlineLevel="0" collapsed="false">
      <c r="DU53" s="400" t="n">
        <f aca="false">(CS53-CZ53)*10^6</f>
        <v>0</v>
      </c>
      <c r="DV53" s="400" t="n">
        <f aca="false">(CT53-DC53)*10^6</f>
        <v>0</v>
      </c>
      <c r="DW53" s="400" t="n">
        <f aca="false">(CW53-DD53)*10^6</f>
        <v>0</v>
      </c>
    </row>
    <row r="54" customFormat="false" ht="12.75" hidden="false" customHeight="false" outlineLevel="0" collapsed="false">
      <c r="DU54" s="400" t="n">
        <f aca="false">(CS54-CZ54)*10^6</f>
        <v>0</v>
      </c>
      <c r="DV54" s="400" t="n">
        <f aca="false">(CT54-DC54)*10^6</f>
        <v>0</v>
      </c>
      <c r="DW54" s="400" t="n">
        <f aca="false">(CW54-DD54)*10^6</f>
        <v>0</v>
      </c>
    </row>
    <row r="55" customFormat="false" ht="12.75" hidden="false" customHeight="false" outlineLevel="0" collapsed="false">
      <c r="DU55" s="400" t="n">
        <f aca="false">(CS55-CZ55)*10^6</f>
        <v>0</v>
      </c>
      <c r="DV55" s="400" t="n">
        <f aca="false">(CT55-DC55)*10^6</f>
        <v>0</v>
      </c>
      <c r="DW55" s="400" t="n">
        <f aca="false">(CW55-DD55)*10^6</f>
        <v>0</v>
      </c>
    </row>
    <row r="56" customFormat="false" ht="12.75" hidden="false" customHeight="false" outlineLevel="0" collapsed="false">
      <c r="DU56" s="400" t="n">
        <f aca="false">(CS56-CZ56)*10^6</f>
        <v>0</v>
      </c>
      <c r="DV56" s="400" t="n">
        <f aca="false">(CT56-DC56)*10^6</f>
        <v>0</v>
      </c>
      <c r="DW56" s="400" t="n">
        <f aca="false">(CW56-DD56)*10^6</f>
        <v>0</v>
      </c>
    </row>
    <row r="57" customFormat="false" ht="12.75" hidden="false" customHeight="false" outlineLevel="0" collapsed="false">
      <c r="DU57" s="400" t="n">
        <f aca="false">(CS57-CZ57)*10^6</f>
        <v>0</v>
      </c>
      <c r="DV57" s="400" t="n">
        <f aca="false">(CT57-DC57)*10^6</f>
        <v>0</v>
      </c>
      <c r="DW57" s="400" t="n">
        <f aca="false">(CW57-DD57)*10^6</f>
        <v>0</v>
      </c>
    </row>
    <row r="58" customFormat="false" ht="12.75" hidden="false" customHeight="false" outlineLevel="0" collapsed="false">
      <c r="DU58" s="400" t="n">
        <f aca="false">(CS58-CZ58)*10^6</f>
        <v>0</v>
      </c>
      <c r="DV58" s="400" t="n">
        <f aca="false">(CT58-DC58)*10^6</f>
        <v>0</v>
      </c>
      <c r="DW58" s="400" t="n">
        <f aca="false">(CW58-DD58)*10^6</f>
        <v>0</v>
      </c>
    </row>
    <row r="59" customFormat="false" ht="12.75" hidden="false" customHeight="false" outlineLevel="0" collapsed="false">
      <c r="DU59" s="400" t="n">
        <f aca="false">(CS59-CZ59)*10^6</f>
        <v>0</v>
      </c>
      <c r="DV59" s="400" t="n">
        <f aca="false">(CT59-DC59)*10^6</f>
        <v>0</v>
      </c>
      <c r="DW59" s="400" t="n">
        <f aca="false">(CW59-DD59)*10^6</f>
        <v>0</v>
      </c>
    </row>
    <row r="60" customFormat="false" ht="12.75" hidden="false" customHeight="false" outlineLevel="0" collapsed="false">
      <c r="DU60" s="400" t="n">
        <f aca="false">(CS60-CZ60)*10^6</f>
        <v>0</v>
      </c>
      <c r="DV60" s="400" t="n">
        <f aca="false">(CT60-DC60)*10^6</f>
        <v>0</v>
      </c>
      <c r="DW60" s="400" t="n">
        <f aca="false">(CW60-DD60)*10^6</f>
        <v>0</v>
      </c>
    </row>
    <row r="61" customFormat="false" ht="12.75" hidden="false" customHeight="false" outlineLevel="0" collapsed="false">
      <c r="DU61" s="400" t="n">
        <f aca="false">(CS61-CZ61)*10^6</f>
        <v>0</v>
      </c>
      <c r="DV61" s="400" t="n">
        <f aca="false">(CT61-DC61)*10^6</f>
        <v>0</v>
      </c>
      <c r="DW61" s="400" t="n">
        <f aca="false">(CW61-DD61)*10^6</f>
        <v>0</v>
      </c>
    </row>
    <row r="62" customFormat="false" ht="12.75" hidden="false" customHeight="false" outlineLevel="0" collapsed="false">
      <c r="C62" s="1746"/>
      <c r="DU62" s="400" t="n">
        <f aca="false">(CS62-CZ62)*10^6</f>
        <v>0</v>
      </c>
      <c r="DV62" s="400" t="n">
        <f aca="false">(CT62-DC62)*10^6</f>
        <v>0</v>
      </c>
      <c r="DW62" s="400" t="n">
        <f aca="false">(CW62-DD62)*10^6</f>
        <v>0</v>
      </c>
    </row>
    <row r="63" customFormat="false" ht="12.75" hidden="false" customHeight="false" outlineLevel="0" collapsed="false">
      <c r="DU63" s="400" t="n">
        <f aca="false">(CS63-CZ63)*10^6</f>
        <v>0</v>
      </c>
      <c r="DV63" s="400" t="n">
        <f aca="false">(CT63-DC63)*10^6</f>
        <v>0</v>
      </c>
      <c r="DW63" s="400" t="n">
        <f aca="false">(CW63-DD63)*10^6</f>
        <v>0</v>
      </c>
    </row>
    <row r="64" customFormat="false" ht="12.75" hidden="false" customHeight="false" outlineLevel="0" collapsed="false">
      <c r="DU64" s="400" t="n">
        <f aca="false">(CS64-CZ64)*10^6</f>
        <v>0</v>
      </c>
      <c r="DV64" s="400" t="n">
        <f aca="false">(CT64-DC64)*10^6</f>
        <v>0</v>
      </c>
      <c r="DW64" s="400" t="n">
        <f aca="false">(CW64-DD64)*10^6</f>
        <v>0</v>
      </c>
    </row>
    <row r="65" customFormat="false" ht="12.75" hidden="false" customHeight="false" outlineLevel="0" collapsed="false">
      <c r="DU65" s="400" t="n">
        <f aca="false">(CS65-CZ65)*10^6</f>
        <v>0</v>
      </c>
      <c r="DV65" s="400" t="n">
        <f aca="false">(CT65-DC65)*10^6</f>
        <v>0</v>
      </c>
      <c r="DW65" s="400" t="n">
        <f aca="false">(CW65-DD65)*10^6</f>
        <v>0</v>
      </c>
    </row>
    <row r="66" customFormat="false" ht="12.75" hidden="false" customHeight="false" outlineLevel="0" collapsed="false">
      <c r="DU66" s="400" t="n">
        <f aca="false">(CS66-CZ66)*10^6</f>
        <v>0</v>
      </c>
      <c r="DV66" s="400" t="n">
        <f aca="false">(CT66-DC66)*10^6</f>
        <v>0</v>
      </c>
      <c r="DW66" s="400" t="n">
        <f aca="false">(CW66-DD66)*10^6</f>
        <v>0</v>
      </c>
    </row>
    <row r="67" customFormat="false" ht="12.75" hidden="false" customHeight="false" outlineLevel="0" collapsed="false">
      <c r="DU67" s="400" t="n">
        <f aca="false">(CS67-CZ67)*10^6</f>
        <v>0</v>
      </c>
      <c r="DV67" s="400" t="n">
        <f aca="false">(CT67-DC67)*10^6</f>
        <v>0</v>
      </c>
      <c r="DW67" s="400" t="n">
        <f aca="false">(CW67-DD67)*10^6</f>
        <v>0</v>
      </c>
    </row>
    <row r="68" customFormat="false" ht="12.75" hidden="false" customHeight="false" outlineLevel="0" collapsed="false">
      <c r="DU68" s="400" t="n">
        <f aca="false">(CS68-CZ68)*10^6</f>
        <v>0</v>
      </c>
      <c r="DV68" s="400" t="n">
        <f aca="false">(CT68-DC68)*10^6</f>
        <v>0</v>
      </c>
      <c r="DW68" s="400" t="n">
        <f aca="false">(CW68-DD68)*10^6</f>
        <v>0</v>
      </c>
    </row>
    <row r="69" customFormat="false" ht="12.75" hidden="false" customHeight="false" outlineLevel="0" collapsed="false">
      <c r="DU69" s="400" t="n">
        <f aca="false">(CS69-CZ69)*10^6</f>
        <v>0</v>
      </c>
      <c r="DV69" s="400" t="n">
        <f aca="false">(CT69-DC69)*10^6</f>
        <v>0</v>
      </c>
      <c r="DW69" s="400" t="n">
        <f aca="false">(CW69-DD69)*10^6</f>
        <v>0</v>
      </c>
    </row>
    <row r="70" customFormat="false" ht="12.75" hidden="false" customHeight="false" outlineLevel="0" collapsed="false">
      <c r="DU70" s="400" t="n">
        <f aca="false">(CS70-CZ70)*10^6</f>
        <v>0</v>
      </c>
      <c r="DV70" s="400" t="n">
        <f aca="false">(CT70-DC70)*10^6</f>
        <v>0</v>
      </c>
      <c r="DW70" s="400" t="n">
        <f aca="false">(CW70-DD70)*10^6</f>
        <v>0</v>
      </c>
    </row>
    <row r="71" customFormat="false" ht="12.75" hidden="false" customHeight="false" outlineLevel="0" collapsed="false">
      <c r="DU71" s="400" t="n">
        <f aca="false">(CS71-CZ71)*10^6</f>
        <v>0</v>
      </c>
      <c r="DV71" s="400" t="n">
        <f aca="false">(CT71-DC71)*10^6</f>
        <v>0</v>
      </c>
      <c r="DW71" s="400" t="n">
        <f aca="false">(CW71-DD71)*10^6</f>
        <v>0</v>
      </c>
    </row>
    <row r="72" customFormat="false" ht="12.75" hidden="false" customHeight="false" outlineLevel="0" collapsed="false">
      <c r="DU72" s="400" t="n">
        <f aca="false">(CS72-CZ72)*10^6</f>
        <v>0</v>
      </c>
      <c r="DV72" s="400" t="n">
        <f aca="false">(CT72-DC72)*10^6</f>
        <v>0</v>
      </c>
      <c r="DW72" s="400" t="n">
        <f aca="false">(CW72-DD72)*10^6</f>
        <v>0</v>
      </c>
    </row>
    <row r="73" customFormat="false" ht="12.75" hidden="false" customHeight="false" outlineLevel="0" collapsed="false">
      <c r="DU73" s="400" t="n">
        <f aca="false">(CS73-CZ73)*10^6</f>
        <v>0</v>
      </c>
      <c r="DV73" s="400" t="n">
        <f aca="false">(CT73-DC73)*10^6</f>
        <v>0</v>
      </c>
      <c r="DW73" s="400" t="n">
        <f aca="false">(CW73-DD73)*10^6</f>
        <v>0</v>
      </c>
    </row>
    <row r="74" customFormat="false" ht="12.75" hidden="false" customHeight="false" outlineLevel="0" collapsed="false">
      <c r="DU74" s="400" t="n">
        <f aca="false">(CS74-CZ74)*10^6</f>
        <v>0</v>
      </c>
      <c r="DV74" s="400" t="n">
        <f aca="false">(CT74-DC74)*10^6</f>
        <v>0</v>
      </c>
      <c r="DW74" s="400" t="n">
        <f aca="false">(CW74-DD74)*10^6</f>
        <v>0</v>
      </c>
    </row>
    <row r="75" customFormat="false" ht="12.75" hidden="false" customHeight="false" outlineLevel="0" collapsed="false">
      <c r="DU75" s="400" t="n">
        <f aca="false">(CS75-CZ75)*10^6</f>
        <v>0</v>
      </c>
      <c r="DV75" s="400" t="n">
        <f aca="false">(CT75-DC75)*10^6</f>
        <v>0</v>
      </c>
      <c r="DW75" s="400" t="n">
        <f aca="false">(CW75-DD75)*10^6</f>
        <v>0</v>
      </c>
    </row>
    <row r="76" customFormat="false" ht="12.75" hidden="false" customHeight="false" outlineLevel="0" collapsed="false">
      <c r="DU76" s="400" t="n">
        <f aca="false">(CS76-CZ76)*10^6</f>
        <v>0</v>
      </c>
      <c r="DV76" s="400" t="n">
        <f aca="false">(CT76-DC76)*10^6</f>
        <v>0</v>
      </c>
      <c r="DW76" s="400" t="n">
        <f aca="false">(CW76-DD76)*10^6</f>
        <v>0</v>
      </c>
    </row>
    <row r="77" customFormat="false" ht="12.75" hidden="false" customHeight="false" outlineLevel="0" collapsed="false">
      <c r="DU77" s="400" t="n">
        <f aca="false">(CS77-CZ77)*10^6</f>
        <v>0</v>
      </c>
      <c r="DV77" s="400" t="n">
        <f aca="false">(CT77-DC77)*10^6</f>
        <v>0</v>
      </c>
      <c r="DW77" s="400" t="n">
        <f aca="false">(CW77-DD77)*10^6</f>
        <v>0</v>
      </c>
    </row>
    <row r="78" customFormat="false" ht="12.75" hidden="false" customHeight="false" outlineLevel="0" collapsed="false">
      <c r="DU78" s="400" t="n">
        <f aca="false">(CS78-CZ78)*10^6</f>
        <v>0</v>
      </c>
      <c r="DV78" s="400" t="n">
        <f aca="false">(CT78-DC78)*10^6</f>
        <v>0</v>
      </c>
      <c r="DW78" s="400" t="n">
        <f aca="false">(CW78-DD78)*10^6</f>
        <v>0</v>
      </c>
    </row>
    <row r="79" customFormat="false" ht="12.75" hidden="false" customHeight="false" outlineLevel="0" collapsed="false">
      <c r="DU79" s="400" t="n">
        <f aca="false">(CS79-CZ79)*10^6</f>
        <v>0</v>
      </c>
      <c r="DV79" s="400" t="n">
        <f aca="false">(CT79-DC79)*10^6</f>
        <v>0</v>
      </c>
      <c r="DW79" s="400" t="n">
        <f aca="false">(CW79-DD79)*10^6</f>
        <v>0</v>
      </c>
    </row>
    <row r="80" customFormat="false" ht="12.75" hidden="false" customHeight="false" outlineLevel="0" collapsed="false">
      <c r="DU80" s="400" t="n">
        <f aca="false">(CS80-CZ80)*10^6</f>
        <v>0</v>
      </c>
      <c r="DV80" s="400" t="n">
        <f aca="false">(CT80-DC80)*10^6</f>
        <v>0</v>
      </c>
      <c r="DW80" s="400" t="n">
        <f aca="false">(CW80-DD80)*10^6</f>
        <v>0</v>
      </c>
    </row>
    <row r="81" customFormat="false" ht="12.75" hidden="false" customHeight="false" outlineLevel="0" collapsed="false">
      <c r="DU81" s="400" t="n">
        <f aca="false">(CS81-CZ81)*10^6</f>
        <v>0</v>
      </c>
      <c r="DV81" s="400" t="n">
        <f aca="false">(CT81-DC81)*10^6</f>
        <v>0</v>
      </c>
      <c r="DW81" s="400" t="n">
        <f aca="false">(CW81-DD81)*10^6</f>
        <v>0</v>
      </c>
    </row>
    <row r="82" customFormat="false" ht="12.75" hidden="false" customHeight="false" outlineLevel="0" collapsed="false">
      <c r="DU82" s="400" t="n">
        <f aca="false">(CS82-CZ82)*10^6</f>
        <v>0</v>
      </c>
      <c r="DV82" s="400" t="n">
        <f aca="false">(CT82-DC82)*10^6</f>
        <v>0</v>
      </c>
      <c r="DW82" s="400" t="n">
        <f aca="false">(CW82-DD82)*10^6</f>
        <v>0</v>
      </c>
    </row>
    <row r="83" customFormat="false" ht="12.75" hidden="false" customHeight="false" outlineLevel="0" collapsed="false">
      <c r="DU83" s="400" t="n">
        <f aca="false">(CS83-CZ83)*10^6</f>
        <v>0</v>
      </c>
      <c r="DV83" s="400" t="n">
        <f aca="false">(CT83-DC83)*10^6</f>
        <v>0</v>
      </c>
      <c r="DW83" s="400" t="n">
        <f aca="false">(CW83-DD83)*10^6</f>
        <v>0</v>
      </c>
    </row>
    <row r="84" customFormat="false" ht="12.75" hidden="false" customHeight="false" outlineLevel="0" collapsed="false">
      <c r="DU84" s="400" t="n">
        <f aca="false">(CS84-CZ84)*10^6</f>
        <v>0</v>
      </c>
      <c r="DV84" s="400" t="n">
        <f aca="false">(CT84-DC84)*10^6</f>
        <v>0</v>
      </c>
      <c r="DW84" s="400" t="n">
        <f aca="false">(CW84-DD84)*10^6</f>
        <v>0</v>
      </c>
    </row>
    <row r="85" customFormat="false" ht="12.75" hidden="false" customHeight="false" outlineLevel="0" collapsed="false">
      <c r="DU85" s="400" t="n">
        <f aca="false">(CS85-CZ85)*10^6</f>
        <v>0</v>
      </c>
      <c r="DV85" s="400" t="n">
        <f aca="false">(CT85-DC85)*10^6</f>
        <v>0</v>
      </c>
      <c r="DW85" s="400" t="n">
        <f aca="false">(CW85-DD85)*10^6</f>
        <v>0</v>
      </c>
    </row>
    <row r="86" customFormat="false" ht="12.75" hidden="false" customHeight="false" outlineLevel="0" collapsed="false">
      <c r="DU86" s="400" t="n">
        <f aca="false">(CS86-CZ86)*10^6</f>
        <v>0</v>
      </c>
      <c r="DV86" s="400" t="n">
        <f aca="false">(CT86-DC86)*10^6</f>
        <v>0</v>
      </c>
      <c r="DW86" s="400" t="n">
        <f aca="false">(CW86-DD86)*10^6</f>
        <v>0</v>
      </c>
    </row>
    <row r="87" customFormat="false" ht="12.75" hidden="false" customHeight="false" outlineLevel="0" collapsed="false">
      <c r="DU87" s="400" t="n">
        <f aca="false">(CS87-CZ87)*10^6</f>
        <v>0</v>
      </c>
      <c r="DV87" s="400" t="n">
        <f aca="false">(CT87-DC87)*10^6</f>
        <v>0</v>
      </c>
      <c r="DW87" s="400" t="n">
        <f aca="false">(CW87-DD87)*10^6</f>
        <v>0</v>
      </c>
    </row>
    <row r="88" customFormat="false" ht="12.75" hidden="false" customHeight="false" outlineLevel="0" collapsed="false">
      <c r="DU88" s="400" t="n">
        <f aca="false">(CS88-CZ88)*10^6</f>
        <v>0</v>
      </c>
      <c r="DV88" s="400" t="n">
        <f aca="false">(CT88-DC88)*10^6</f>
        <v>0</v>
      </c>
      <c r="DW88" s="400" t="n">
        <f aca="false">(CW88-DD88)*10^6</f>
        <v>0</v>
      </c>
    </row>
    <row r="89" customFormat="false" ht="12.75" hidden="false" customHeight="false" outlineLevel="0" collapsed="false">
      <c r="DU89" s="400" t="n">
        <f aca="false">(CS89-CZ89)*10^6</f>
        <v>0</v>
      </c>
      <c r="DV89" s="400" t="n">
        <f aca="false">(CT89-DC89)*10^6</f>
        <v>0</v>
      </c>
      <c r="DW89" s="400" t="n">
        <f aca="false">(CW89-DD89)*10^6</f>
        <v>0</v>
      </c>
    </row>
    <row r="90" customFormat="false" ht="12.75" hidden="false" customHeight="false" outlineLevel="0" collapsed="false">
      <c r="DU90" s="400" t="n">
        <f aca="false">(CS90-CZ90)*10^6</f>
        <v>0</v>
      </c>
      <c r="DV90" s="400" t="n">
        <f aca="false">(CT90-DC90)*10^6</f>
        <v>0</v>
      </c>
      <c r="DW90" s="400" t="n">
        <f aca="false">(CW90-DD90)*10^6</f>
        <v>0</v>
      </c>
    </row>
    <row r="91" customFormat="false" ht="12.75" hidden="false" customHeight="false" outlineLevel="0" collapsed="false">
      <c r="DU91" s="400" t="n">
        <f aca="false">(CS91-CZ91)*10^6</f>
        <v>0</v>
      </c>
      <c r="DV91" s="400" t="n">
        <f aca="false">(CT91-DC91)*10^6</f>
        <v>0</v>
      </c>
      <c r="DW91" s="400" t="n">
        <f aca="false">(CW91-DD91)*10^6</f>
        <v>0</v>
      </c>
    </row>
    <row r="92" customFormat="false" ht="12.75" hidden="false" customHeight="false" outlineLevel="0" collapsed="false">
      <c r="DU92" s="400" t="n">
        <f aca="false">(CS92-CZ92)*10^6</f>
        <v>0</v>
      </c>
      <c r="DV92" s="400" t="n">
        <f aca="false">(CT92-DC92)*10^6</f>
        <v>0</v>
      </c>
      <c r="DW92" s="400" t="n">
        <f aca="false">(CW92-DD92)*10^6</f>
        <v>0</v>
      </c>
    </row>
    <row r="93" customFormat="false" ht="12.75" hidden="false" customHeight="false" outlineLevel="0" collapsed="false">
      <c r="DU93" s="400" t="n">
        <f aca="false">(CS93-CZ93)*10^6</f>
        <v>0</v>
      </c>
      <c r="DV93" s="400" t="n">
        <f aca="false">(CT93-DC93)*10^6</f>
        <v>0</v>
      </c>
      <c r="DW93" s="400" t="n">
        <f aca="false">(CW93-DD93)*10^6</f>
        <v>0</v>
      </c>
    </row>
    <row r="94" customFormat="false" ht="12.75" hidden="false" customHeight="false" outlineLevel="0" collapsed="false">
      <c r="DU94" s="400" t="n">
        <f aca="false">(CS94-CZ94)*10^6</f>
        <v>0</v>
      </c>
      <c r="DV94" s="400" t="n">
        <f aca="false">(CT94-DC94)*10^6</f>
        <v>0</v>
      </c>
      <c r="DW94" s="400" t="n">
        <f aca="false">(CW94-DD94)*10^6</f>
        <v>0</v>
      </c>
    </row>
    <row r="95" customFormat="false" ht="12.75" hidden="false" customHeight="false" outlineLevel="0" collapsed="false">
      <c r="DU95" s="400" t="n">
        <f aca="false">(CS95-CZ95)*10^6</f>
        <v>0</v>
      </c>
      <c r="DV95" s="400" t="n">
        <f aca="false">(CT95-DC95)*10^6</f>
        <v>0</v>
      </c>
      <c r="DW95" s="400" t="n">
        <f aca="false">(CW95-DD95)*10^6</f>
        <v>0</v>
      </c>
    </row>
    <row r="96" customFormat="false" ht="12.75" hidden="false" customHeight="false" outlineLevel="0" collapsed="false">
      <c r="DU96" s="400" t="n">
        <f aca="false">(CS96-CZ96)*10^6</f>
        <v>0</v>
      </c>
      <c r="DV96" s="400" t="n">
        <f aca="false">(CT96-DC96)*10^6</f>
        <v>0</v>
      </c>
      <c r="DW96" s="400" t="n">
        <f aca="false">(CW96-DD96)*10^6</f>
        <v>0</v>
      </c>
    </row>
    <row r="97" customFormat="false" ht="12.75" hidden="false" customHeight="false" outlineLevel="0" collapsed="false">
      <c r="DU97" s="400" t="n">
        <f aca="false">(CS97-CZ97)*10^6</f>
        <v>0</v>
      </c>
      <c r="DV97" s="400" t="n">
        <f aca="false">(CT97-DC97)*10^6</f>
        <v>0</v>
      </c>
      <c r="DW97" s="400" t="n">
        <f aca="false">(CW97-DD97)*10^6</f>
        <v>0</v>
      </c>
    </row>
    <row r="98" customFormat="false" ht="12.75" hidden="false" customHeight="false" outlineLevel="0" collapsed="false">
      <c r="DU98" s="400" t="n">
        <f aca="false">(CS98-CZ98)*10^6</f>
        <v>0</v>
      </c>
      <c r="DV98" s="400" t="n">
        <f aca="false">(CT98-DC98)*10^6</f>
        <v>0</v>
      </c>
      <c r="DW98" s="400" t="n">
        <f aca="false">(CW98-DD98)*10^6</f>
        <v>0</v>
      </c>
    </row>
    <row r="99" customFormat="false" ht="12.75" hidden="false" customHeight="false" outlineLevel="0" collapsed="false">
      <c r="DU99" s="400" t="n">
        <f aca="false">(CS99-CZ99)*10^6</f>
        <v>0</v>
      </c>
      <c r="DV99" s="400" t="n">
        <f aca="false">(CT99-DC99)*10^6</f>
        <v>0</v>
      </c>
      <c r="DW99" s="400" t="n">
        <f aca="false">(CW99-DD99)*10^6</f>
        <v>0</v>
      </c>
    </row>
    <row r="100" customFormat="false" ht="12.75" hidden="false" customHeight="false" outlineLevel="0" collapsed="false">
      <c r="DU100" s="400" t="n">
        <f aca="false">(CS100-CZ100)*10^6</f>
        <v>0</v>
      </c>
      <c r="DV100" s="400" t="n">
        <f aca="false">(CT100-DC100)*10^6</f>
        <v>0</v>
      </c>
      <c r="DW100" s="400" t="n">
        <f aca="false">(CW100-DD100)*10^6</f>
        <v>0</v>
      </c>
    </row>
    <row r="101" customFormat="false" ht="12.75" hidden="false" customHeight="false" outlineLevel="0" collapsed="false">
      <c r="DU101" s="400" t="n">
        <f aca="false">(CS101-CZ101)*10^6</f>
        <v>0</v>
      </c>
      <c r="DV101" s="400" t="n">
        <f aca="false">(CT101-DC101)*10^6</f>
        <v>0</v>
      </c>
      <c r="DW101" s="400" t="n">
        <f aca="false">(CW101-DD101)*10^6</f>
        <v>0</v>
      </c>
    </row>
    <row r="102" customFormat="false" ht="12.75" hidden="false" customHeight="false" outlineLevel="0" collapsed="false">
      <c r="DU102" s="400" t="n">
        <f aca="false">(CS102-CZ102)*10^6</f>
        <v>0</v>
      </c>
      <c r="DV102" s="400" t="n">
        <f aca="false">(CT102-DC102)*10^6</f>
        <v>0</v>
      </c>
      <c r="DW102" s="400" t="n">
        <f aca="false">(CW102-DD102)*10^6</f>
        <v>0</v>
      </c>
    </row>
    <row r="103" customFormat="false" ht="12.75" hidden="false" customHeight="false" outlineLevel="0" collapsed="false">
      <c r="DU103" s="400" t="n">
        <f aca="false">(CS103-CZ103)*10^6</f>
        <v>0</v>
      </c>
      <c r="DV103" s="400" t="n">
        <f aca="false">(CT103-DC103)*10^6</f>
        <v>0</v>
      </c>
      <c r="DW103" s="400" t="n">
        <f aca="false">(CW103-DD103)*10^6</f>
        <v>0</v>
      </c>
    </row>
    <row r="104" customFormat="false" ht="12.75" hidden="false" customHeight="false" outlineLevel="0" collapsed="false">
      <c r="DU104" s="400" t="n">
        <f aca="false">(CS104-CZ104)*10^6</f>
        <v>0</v>
      </c>
      <c r="DV104" s="400" t="n">
        <f aca="false">(CT104-DC104)*10^6</f>
        <v>0</v>
      </c>
      <c r="DW104" s="400" t="n">
        <f aca="false">(CW104-DD104)*10^6</f>
        <v>0</v>
      </c>
    </row>
    <row r="105" customFormat="false" ht="12.75" hidden="false" customHeight="false" outlineLevel="0" collapsed="false">
      <c r="DU105" s="400" t="n">
        <f aca="false">(CS105-CZ105)*10^6</f>
        <v>0</v>
      </c>
      <c r="DV105" s="400" t="n">
        <f aca="false">(CT105-DC105)*10^6</f>
        <v>0</v>
      </c>
      <c r="DW105" s="400" t="n">
        <f aca="false">(CW105-DD105)*10^6</f>
        <v>0</v>
      </c>
    </row>
    <row r="106" customFormat="false" ht="12.75" hidden="false" customHeight="false" outlineLevel="0" collapsed="false">
      <c r="DU106" s="400" t="n">
        <f aca="false">(CS106-CZ106)*10^6</f>
        <v>0</v>
      </c>
      <c r="DV106" s="400" t="n">
        <f aca="false">(CT106-DC106)*10^6</f>
        <v>0</v>
      </c>
      <c r="DW106" s="400" t="n">
        <f aca="false">(CW106-DD106)*10^6</f>
        <v>0</v>
      </c>
    </row>
    <row r="107" customFormat="false" ht="12.75" hidden="false" customHeight="false" outlineLevel="0" collapsed="false">
      <c r="DU107" s="400" t="n">
        <f aca="false">(CS107-CZ107)*10^6</f>
        <v>0</v>
      </c>
      <c r="DV107" s="400" t="n">
        <f aca="false">(CT107-DC107)*10^6</f>
        <v>0</v>
      </c>
      <c r="DW107" s="400" t="n">
        <f aca="false">(CW107-DD107)*10^6</f>
        <v>0</v>
      </c>
    </row>
    <row r="108" customFormat="false" ht="12.75" hidden="false" customHeight="false" outlineLevel="0" collapsed="false">
      <c r="DU108" s="400" t="n">
        <f aca="false">(CS108-CZ108)*10^6</f>
        <v>0</v>
      </c>
      <c r="DV108" s="400" t="n">
        <f aca="false">(CT108-DC108)*10^6</f>
        <v>0</v>
      </c>
      <c r="DW108" s="400" t="n">
        <f aca="false">(CW108-DD108)*10^6</f>
        <v>0</v>
      </c>
    </row>
    <row r="109" customFormat="false" ht="12.75" hidden="false" customHeight="false" outlineLevel="0" collapsed="false">
      <c r="DU109" s="400" t="n">
        <f aca="false">(CS109-CZ109)*10^6</f>
        <v>0</v>
      </c>
      <c r="DV109" s="400" t="n">
        <f aca="false">(CT109-DC109)*10^6</f>
        <v>0</v>
      </c>
      <c r="DW109" s="400" t="n">
        <f aca="false">(CW109-DD109)*10^6</f>
        <v>0</v>
      </c>
    </row>
    <row r="110" customFormat="false" ht="12.75" hidden="false" customHeight="false" outlineLevel="0" collapsed="false">
      <c r="DU110" s="400" t="n">
        <f aca="false">(CS110-CZ110)*10^6</f>
        <v>0</v>
      </c>
      <c r="DV110" s="400" t="n">
        <f aca="false">(CT110-DC110)*10^6</f>
        <v>0</v>
      </c>
      <c r="DW110" s="400" t="n">
        <f aca="false">(CW110-DD110)*10^6</f>
        <v>0</v>
      </c>
    </row>
    <row r="111" customFormat="false" ht="12.75" hidden="false" customHeight="false" outlineLevel="0" collapsed="false">
      <c r="DU111" s="400" t="n">
        <f aca="false">(CS111-CZ111)*10^6</f>
        <v>0</v>
      </c>
      <c r="DV111" s="400" t="n">
        <f aca="false">(CT111-DC111)*10^6</f>
        <v>0</v>
      </c>
      <c r="DW111" s="400" t="n">
        <f aca="false">(CW111-DD111)*10^6</f>
        <v>0</v>
      </c>
    </row>
    <row r="112" customFormat="false" ht="12.75" hidden="false" customHeight="false" outlineLevel="0" collapsed="false">
      <c r="DU112" s="400" t="n">
        <f aca="false">(CS112-CZ112)*10^6</f>
        <v>0</v>
      </c>
      <c r="DV112" s="400" t="n">
        <f aca="false">(CT112-DC112)*10^6</f>
        <v>0</v>
      </c>
      <c r="DW112" s="400" t="n">
        <f aca="false">(CW112-DD112)*10^6</f>
        <v>0</v>
      </c>
    </row>
    <row r="113" customFormat="false" ht="12.75" hidden="false" customHeight="false" outlineLevel="0" collapsed="false">
      <c r="DU113" s="400" t="n">
        <f aca="false">(CS113-CZ113)*10^6</f>
        <v>0</v>
      </c>
      <c r="DV113" s="400" t="n">
        <f aca="false">(CT113-DC113)*10^6</f>
        <v>0</v>
      </c>
      <c r="DW113" s="400" t="n">
        <f aca="false">(CW113-DD113)*10^6</f>
        <v>0</v>
      </c>
    </row>
    <row r="114" customFormat="false" ht="12.75" hidden="false" customHeight="false" outlineLevel="0" collapsed="false">
      <c r="DU114" s="400" t="n">
        <f aca="false">(CS114-CZ114)*10^6</f>
        <v>0</v>
      </c>
      <c r="DV114" s="400" t="n">
        <f aca="false">(CT114-DC114)*10^6</f>
        <v>0</v>
      </c>
      <c r="DW114" s="400" t="n">
        <f aca="false">(CW114-DD114)*10^6</f>
        <v>0</v>
      </c>
    </row>
    <row r="115" customFormat="false" ht="12.75" hidden="false" customHeight="false" outlineLevel="0" collapsed="false">
      <c r="DU115" s="400" t="n">
        <f aca="false">(CS115-CZ115)*10^6</f>
        <v>0</v>
      </c>
      <c r="DV115" s="400" t="n">
        <f aca="false">(CT115-DC115)*10^6</f>
        <v>0</v>
      </c>
      <c r="DW115" s="400" t="n">
        <f aca="false">(CW115-DD115)*10^6</f>
        <v>0</v>
      </c>
    </row>
    <row r="116" customFormat="false" ht="12.75" hidden="false" customHeight="false" outlineLevel="0" collapsed="false">
      <c r="DU116" s="400" t="n">
        <f aca="false">(CS116-CZ116)*10^6</f>
        <v>0</v>
      </c>
      <c r="DV116" s="400" t="n">
        <f aca="false">(CT116-DC116)*10^6</f>
        <v>0</v>
      </c>
      <c r="DW116" s="400" t="n">
        <f aca="false">(CW116-DD116)*10^6</f>
        <v>0</v>
      </c>
    </row>
    <row r="117" customFormat="false" ht="12.75" hidden="false" customHeight="false" outlineLevel="0" collapsed="false">
      <c r="DU117" s="400" t="n">
        <f aca="false">(CS117-CZ117)*10^6</f>
        <v>0</v>
      </c>
      <c r="DV117" s="400" t="n">
        <f aca="false">(CT117-DC117)*10^6</f>
        <v>0</v>
      </c>
      <c r="DW117" s="400" t="n">
        <f aca="false">(CW117-DD117)*10^6</f>
        <v>0</v>
      </c>
    </row>
    <row r="118" customFormat="false" ht="12.75" hidden="false" customHeight="false" outlineLevel="0" collapsed="false">
      <c r="DU118" s="400" t="n">
        <f aca="false">(CS118-CZ118)*10^6</f>
        <v>0</v>
      </c>
      <c r="DV118" s="400" t="n">
        <f aca="false">(CT118-DC118)*10^6</f>
        <v>0</v>
      </c>
      <c r="DW118" s="400" t="n">
        <f aca="false">(CW118-DD118)*10^6</f>
        <v>0</v>
      </c>
    </row>
    <row r="119" customFormat="false" ht="12.75" hidden="false" customHeight="false" outlineLevel="0" collapsed="false">
      <c r="DU119" s="400" t="n">
        <f aca="false">(CS119-CZ119)*10^6</f>
        <v>0</v>
      </c>
      <c r="DV119" s="400" t="n">
        <f aca="false">(CT119-DC119)*10^6</f>
        <v>0</v>
      </c>
      <c r="DW119" s="400" t="n">
        <f aca="false">(CW119-DD119)*10^6</f>
        <v>0</v>
      </c>
    </row>
    <row r="120" customFormat="false" ht="12.75" hidden="false" customHeight="false" outlineLevel="0" collapsed="false">
      <c r="DU120" s="400" t="n">
        <f aca="false">(CS120-CZ120)*10^6</f>
        <v>0</v>
      </c>
      <c r="DV120" s="400" t="n">
        <f aca="false">(CT120-DC120)*10^6</f>
        <v>0</v>
      </c>
      <c r="DW120" s="400" t="n">
        <f aca="false">(CW120-DD120)*10^6</f>
        <v>0</v>
      </c>
    </row>
    <row r="121" customFormat="false" ht="12.75" hidden="false" customHeight="false" outlineLevel="0" collapsed="false">
      <c r="DU121" s="400" t="n">
        <f aca="false">(CS121-CZ121)*10^6</f>
        <v>0</v>
      </c>
      <c r="DV121" s="400" t="n">
        <f aca="false">(CT121-DC121)*10^6</f>
        <v>0</v>
      </c>
      <c r="DW121" s="400" t="n">
        <f aca="false">(CW121-DD121)*10^6</f>
        <v>0</v>
      </c>
    </row>
    <row r="122" customFormat="false" ht="12.75" hidden="false" customHeight="false" outlineLevel="0" collapsed="false">
      <c r="DU122" s="400" t="n">
        <f aca="false">(CS122-CZ122)*10^6</f>
        <v>0</v>
      </c>
      <c r="DV122" s="400" t="n">
        <f aca="false">(CT122-DC122)*10^6</f>
        <v>0</v>
      </c>
      <c r="DW122" s="400" t="n">
        <f aca="false">(CW122-DD122)*10^6</f>
        <v>0</v>
      </c>
    </row>
    <row r="123" customFormat="false" ht="12.75" hidden="false" customHeight="false" outlineLevel="0" collapsed="false">
      <c r="DU123" s="400" t="n">
        <f aca="false">(CS123-CZ123)*10^6</f>
        <v>0</v>
      </c>
      <c r="DV123" s="400" t="n">
        <f aca="false">(CT123-DC123)*10^6</f>
        <v>0</v>
      </c>
      <c r="DW123" s="400" t="n">
        <f aca="false">(CW123-DD123)*10^6</f>
        <v>0</v>
      </c>
    </row>
    <row r="124" customFormat="false" ht="12.75" hidden="false" customHeight="false" outlineLevel="0" collapsed="false">
      <c r="DU124" s="400" t="n">
        <f aca="false">(CS124-CZ124)*10^6</f>
        <v>0</v>
      </c>
      <c r="DV124" s="400" t="n">
        <f aca="false">(CT124-DC124)*10^6</f>
        <v>0</v>
      </c>
      <c r="DW124" s="400" t="n">
        <f aca="false">(CW124-DD124)*10^6</f>
        <v>0</v>
      </c>
    </row>
    <row r="125" customFormat="false" ht="12.75" hidden="false" customHeight="false" outlineLevel="0" collapsed="false">
      <c r="DU125" s="400" t="n">
        <f aca="false">(CS125-CZ125)*10^6</f>
        <v>0</v>
      </c>
      <c r="DV125" s="400" t="n">
        <f aca="false">(CT125-DC125)*10^6</f>
        <v>0</v>
      </c>
      <c r="DW125" s="400" t="n">
        <f aca="false">(CW125-DD125)*10^6</f>
        <v>0</v>
      </c>
    </row>
    <row r="126" customFormat="false" ht="12.75" hidden="false" customHeight="false" outlineLevel="0" collapsed="false">
      <c r="DU126" s="400" t="n">
        <f aca="false">(CS126-CZ126)*10^6</f>
        <v>0</v>
      </c>
      <c r="DV126" s="400" t="n">
        <f aca="false">(CT126-DC126)*10^6</f>
        <v>0</v>
      </c>
      <c r="DW126" s="400" t="n">
        <f aca="false">(CW126-DD126)*10^6</f>
        <v>0</v>
      </c>
    </row>
    <row r="127" customFormat="false" ht="12.75" hidden="false" customHeight="false" outlineLevel="0" collapsed="false">
      <c r="DU127" s="400" t="n">
        <f aca="false">(CS127-CZ127)*10^6</f>
        <v>0</v>
      </c>
      <c r="DV127" s="400" t="n">
        <f aca="false">(CT127-DC127)*10^6</f>
        <v>0</v>
      </c>
      <c r="DW127" s="400" t="n">
        <f aca="false">(CW127-DD127)*10^6</f>
        <v>0</v>
      </c>
    </row>
    <row r="128" customFormat="false" ht="12.75" hidden="false" customHeight="false" outlineLevel="0" collapsed="false">
      <c r="DU128" s="400" t="n">
        <f aca="false">(CS128-CZ128)*10^6</f>
        <v>0</v>
      </c>
      <c r="DV128" s="400" t="n">
        <f aca="false">(CT128-DC128)*10^6</f>
        <v>0</v>
      </c>
      <c r="DW128" s="400" t="n">
        <f aca="false">(CW128-DD128)*10^6</f>
        <v>0</v>
      </c>
    </row>
    <row r="129" customFormat="false" ht="12.75" hidden="false" customHeight="false" outlineLevel="0" collapsed="false">
      <c r="DU129" s="400" t="n">
        <f aca="false">(CS129-CZ129)*10^6</f>
        <v>0</v>
      </c>
      <c r="DV129" s="400" t="n">
        <f aca="false">(CT129-DC129)*10^6</f>
        <v>0</v>
      </c>
      <c r="DW129" s="400" t="n">
        <f aca="false">(CW129-DD129)*10^6</f>
        <v>0</v>
      </c>
    </row>
    <row r="130" customFormat="false" ht="12.75" hidden="false" customHeight="false" outlineLevel="0" collapsed="false">
      <c r="DU130" s="400" t="n">
        <f aca="false">(CS130-CZ130)*10^6</f>
        <v>0</v>
      </c>
      <c r="DV130" s="400" t="n">
        <f aca="false">(CT130-DC130)*10^6</f>
        <v>0</v>
      </c>
      <c r="DW130" s="400" t="n">
        <f aca="false">(CW130-DD130)*10^6</f>
        <v>0</v>
      </c>
    </row>
    <row r="131" customFormat="false" ht="12.75" hidden="false" customHeight="false" outlineLevel="0" collapsed="false">
      <c r="DU131" s="400" t="n">
        <f aca="false">(CS131-CZ131)*10^6</f>
        <v>0</v>
      </c>
      <c r="DV131" s="400" t="n">
        <f aca="false">(CT131-DC131)*10^6</f>
        <v>0</v>
      </c>
      <c r="DW131" s="400" t="n">
        <f aca="false">(CW131-DD131)*10^6</f>
        <v>0</v>
      </c>
    </row>
    <row r="132" customFormat="false" ht="12.75" hidden="false" customHeight="false" outlineLevel="0" collapsed="false">
      <c r="DU132" s="400" t="n">
        <f aca="false">(CS132-CZ132)*10^6</f>
        <v>0</v>
      </c>
      <c r="DV132" s="400" t="n">
        <f aca="false">(CT132-DC132)*10^6</f>
        <v>0</v>
      </c>
      <c r="DW132" s="400" t="n">
        <f aca="false">(CW132-DD132)*10^6</f>
        <v>0</v>
      </c>
    </row>
    <row r="133" customFormat="false" ht="12.75" hidden="false" customHeight="false" outlineLevel="0" collapsed="false">
      <c r="DU133" s="400" t="n">
        <f aca="false">(CS133-CZ133)*10^6</f>
        <v>0</v>
      </c>
      <c r="DV133" s="400" t="n">
        <f aca="false">(CT133-DC133)*10^6</f>
        <v>0</v>
      </c>
      <c r="DW133" s="400" t="n">
        <f aca="false">(CW133-DD133)*10^6</f>
        <v>0</v>
      </c>
    </row>
    <row r="134" customFormat="false" ht="12.75" hidden="false" customHeight="false" outlineLevel="0" collapsed="false">
      <c r="DU134" s="400" t="n">
        <f aca="false">(CS134-CZ134)*10^6</f>
        <v>0</v>
      </c>
      <c r="DV134" s="400" t="n">
        <f aca="false">(CT134-DC134)*10^6</f>
        <v>0</v>
      </c>
      <c r="DW134" s="400" t="n">
        <f aca="false">(CW134-DD134)*10^6</f>
        <v>0</v>
      </c>
    </row>
    <row r="135" customFormat="false" ht="12.75" hidden="false" customHeight="false" outlineLevel="0" collapsed="false">
      <c r="DU135" s="400" t="n">
        <f aca="false">(CS135-CZ135)*10^6</f>
        <v>0</v>
      </c>
      <c r="DV135" s="400" t="n">
        <f aca="false">(CT135-DC135)*10^6</f>
        <v>0</v>
      </c>
      <c r="DW135" s="400" t="n">
        <f aca="false">(CW135-DD135)*10^6</f>
        <v>0</v>
      </c>
    </row>
    <row r="136" customFormat="false" ht="12.75" hidden="false" customHeight="false" outlineLevel="0" collapsed="false">
      <c r="DU136" s="400" t="n">
        <f aca="false">(CS136-CZ136)*10^6</f>
        <v>0</v>
      </c>
      <c r="DV136" s="400" t="n">
        <f aca="false">(CT136-DC136)*10^6</f>
        <v>0</v>
      </c>
      <c r="DW136" s="400" t="n">
        <f aca="false">(CW136-DD136)*10^6</f>
        <v>0</v>
      </c>
    </row>
    <row r="137" customFormat="false" ht="12.75" hidden="false" customHeight="false" outlineLevel="0" collapsed="false">
      <c r="DU137" s="400" t="n">
        <f aca="false">(CS137-CZ137)*10^6</f>
        <v>0</v>
      </c>
      <c r="DV137" s="400" t="n">
        <f aca="false">(CT137-DC137)*10^6</f>
        <v>0</v>
      </c>
      <c r="DW137" s="400" t="n">
        <f aca="false">(CW137-DD137)*10^6</f>
        <v>0</v>
      </c>
    </row>
    <row r="138" customFormat="false" ht="12.75" hidden="false" customHeight="false" outlineLevel="0" collapsed="false">
      <c r="DU138" s="400" t="n">
        <f aca="false">(CS138-CZ138)*10^6</f>
        <v>0</v>
      </c>
      <c r="DV138" s="400" t="n">
        <f aca="false">(CT138-DC138)*10^6</f>
        <v>0</v>
      </c>
      <c r="DW138" s="400" t="n">
        <f aca="false">(CW138-DD138)*10^6</f>
        <v>0</v>
      </c>
    </row>
    <row r="139" customFormat="false" ht="12.75" hidden="false" customHeight="false" outlineLevel="0" collapsed="false">
      <c r="DU139" s="400" t="n">
        <f aca="false">(CS139-CZ139)*10^6</f>
        <v>0</v>
      </c>
      <c r="DV139" s="400" t="n">
        <f aca="false">(CT139-DC139)*10^6</f>
        <v>0</v>
      </c>
      <c r="DW139" s="400" t="n">
        <f aca="false">(CW139-DD139)*10^6</f>
        <v>0</v>
      </c>
    </row>
    <row r="140" customFormat="false" ht="12.75" hidden="false" customHeight="false" outlineLevel="0" collapsed="false">
      <c r="DU140" s="400" t="n">
        <f aca="false">(CS140-CZ140)*10^6</f>
        <v>0</v>
      </c>
      <c r="DV140" s="400" t="n">
        <f aca="false">(CT140-DC140)*10^6</f>
        <v>0</v>
      </c>
      <c r="DW140" s="400" t="n">
        <f aca="false">(CW140-DD140)*10^6</f>
        <v>0</v>
      </c>
    </row>
    <row r="141" customFormat="false" ht="12.75" hidden="false" customHeight="false" outlineLevel="0" collapsed="false">
      <c r="DU141" s="400" t="n">
        <f aca="false">(CS141-CZ141)*10^6</f>
        <v>0</v>
      </c>
      <c r="DV141" s="400" t="n">
        <f aca="false">(CT141-DC141)*10^6</f>
        <v>0</v>
      </c>
      <c r="DW141" s="400" t="n">
        <f aca="false">(CW141-DD141)*10^6</f>
        <v>0</v>
      </c>
    </row>
    <row r="142" customFormat="false" ht="12.75" hidden="false" customHeight="false" outlineLevel="0" collapsed="false">
      <c r="DU142" s="400" t="n">
        <f aca="false">(CS142-CZ142)*10^6</f>
        <v>0</v>
      </c>
      <c r="DV142" s="400" t="n">
        <f aca="false">(CT142-DC142)*10^6</f>
        <v>0</v>
      </c>
      <c r="DW142" s="400" t="n">
        <f aca="false">(CW142-DD142)*10^6</f>
        <v>0</v>
      </c>
    </row>
    <row r="143" customFormat="false" ht="12.75" hidden="false" customHeight="false" outlineLevel="0" collapsed="false">
      <c r="DU143" s="400" t="n">
        <f aca="false">(CS143-CZ143)*10^6</f>
        <v>0</v>
      </c>
      <c r="DV143" s="400" t="n">
        <f aca="false">(CT143-DC143)*10^6</f>
        <v>0</v>
      </c>
      <c r="DW143" s="400" t="n">
        <f aca="false">(CW143-DD143)*10^6</f>
        <v>0</v>
      </c>
    </row>
    <row r="144" customFormat="false" ht="12.75" hidden="false" customHeight="false" outlineLevel="0" collapsed="false">
      <c r="DU144" s="400" t="n">
        <f aca="false">(CS144-CZ144)*10^6</f>
        <v>0</v>
      </c>
      <c r="DV144" s="400" t="n">
        <f aca="false">(CT144-DC144)*10^6</f>
        <v>0</v>
      </c>
      <c r="DW144" s="400" t="n">
        <f aca="false">(CW144-DD144)*10^6</f>
        <v>0</v>
      </c>
    </row>
    <row r="145" customFormat="false" ht="12.75" hidden="false" customHeight="false" outlineLevel="0" collapsed="false">
      <c r="DU145" s="400" t="n">
        <f aca="false">(CS145-CZ145)*10^6</f>
        <v>0</v>
      </c>
      <c r="DV145" s="400" t="n">
        <f aca="false">(CT145-DC145)*10^6</f>
        <v>0</v>
      </c>
      <c r="DW145" s="400" t="n">
        <f aca="false">(CW145-DD145)*10^6</f>
        <v>0</v>
      </c>
    </row>
    <row r="146" customFormat="false" ht="12.75" hidden="false" customHeight="false" outlineLevel="0" collapsed="false">
      <c r="DU146" s="400" t="n">
        <f aca="false">(CS146-CZ146)*10^6</f>
        <v>0</v>
      </c>
      <c r="DV146" s="400" t="n">
        <f aca="false">(CT146-DC146)*10^6</f>
        <v>0</v>
      </c>
      <c r="DW146" s="400" t="n">
        <f aca="false">(CW146-DD146)*10^6</f>
        <v>0</v>
      </c>
    </row>
    <row r="147" customFormat="false" ht="12.75" hidden="false" customHeight="false" outlineLevel="0" collapsed="false">
      <c r="DU147" s="400" t="n">
        <f aca="false">(CS147-CZ147)*10^6</f>
        <v>0</v>
      </c>
      <c r="DV147" s="400" t="n">
        <f aca="false">(CT147-DC147)*10^6</f>
        <v>0</v>
      </c>
      <c r="DW147" s="400" t="n">
        <f aca="false">(CW147-DD147)*10^6</f>
        <v>0</v>
      </c>
    </row>
    <row r="148" customFormat="false" ht="12.75" hidden="false" customHeight="false" outlineLevel="0" collapsed="false">
      <c r="DU148" s="400" t="n">
        <f aca="false">(CS148-CZ148)*10^6</f>
        <v>0</v>
      </c>
      <c r="DV148" s="400" t="n">
        <f aca="false">(CT148-DC148)*10^6</f>
        <v>0</v>
      </c>
      <c r="DW148" s="400" t="n">
        <f aca="false">(CW148-DD148)*10^6</f>
        <v>0</v>
      </c>
    </row>
    <row r="149" customFormat="false" ht="12.75" hidden="false" customHeight="false" outlineLevel="0" collapsed="false">
      <c r="DU149" s="400" t="n">
        <f aca="false">(CS149-CZ149)*10^6</f>
        <v>0</v>
      </c>
      <c r="DV149" s="400" t="n">
        <f aca="false">(CT149-DC149)*10^6</f>
        <v>0</v>
      </c>
      <c r="DW149" s="400" t="n">
        <f aca="false">(CW149-DD149)*10^6</f>
        <v>0</v>
      </c>
    </row>
    <row r="150" customFormat="false" ht="12.75" hidden="false" customHeight="false" outlineLevel="0" collapsed="false">
      <c r="DU150" s="400" t="n">
        <f aca="false">(CS150-CZ150)*10^6</f>
        <v>0</v>
      </c>
      <c r="DV150" s="400" t="n">
        <f aca="false">(CT150-DC150)*10^6</f>
        <v>0</v>
      </c>
      <c r="DW150" s="400" t="n">
        <f aca="false">(CW150-DD150)*10^6</f>
        <v>0</v>
      </c>
    </row>
    <row r="151" customFormat="false" ht="12.75" hidden="false" customHeight="false" outlineLevel="0" collapsed="false">
      <c r="DU151" s="400" t="n">
        <f aca="false">(CS151-CZ151)*10^6</f>
        <v>0</v>
      </c>
      <c r="DV151" s="400" t="n">
        <f aca="false">(CT151-DC151)*10^6</f>
        <v>0</v>
      </c>
      <c r="DW151" s="400" t="n">
        <f aca="false">(CW151-DD151)*10^6</f>
        <v>0</v>
      </c>
    </row>
    <row r="152" customFormat="false" ht="12.75" hidden="false" customHeight="false" outlineLevel="0" collapsed="false">
      <c r="DU152" s="400" t="n">
        <f aca="false">(CS152-CZ152)*10^6</f>
        <v>0</v>
      </c>
      <c r="DV152" s="400" t="n">
        <f aca="false">(CT152-DC152)*10^6</f>
        <v>0</v>
      </c>
      <c r="DW152" s="400" t="n">
        <f aca="false">(CW152-DD152)*10^6</f>
        <v>0</v>
      </c>
    </row>
    <row r="153" customFormat="false" ht="12.75" hidden="false" customHeight="false" outlineLevel="0" collapsed="false">
      <c r="DU153" s="400" t="n">
        <f aca="false">(CS153-CZ153)*10^6</f>
        <v>0</v>
      </c>
      <c r="DV153" s="400" t="n">
        <f aca="false">(CT153-DC153)*10^6</f>
        <v>0</v>
      </c>
      <c r="DW153" s="400" t="n">
        <f aca="false">(CW153-DD153)*10^6</f>
        <v>0</v>
      </c>
    </row>
    <row r="154" customFormat="false" ht="12.75" hidden="false" customHeight="false" outlineLevel="0" collapsed="false">
      <c r="DU154" s="400" t="n">
        <f aca="false">(CS154-CZ154)*10^6</f>
        <v>0</v>
      </c>
      <c r="DV154" s="400" t="n">
        <f aca="false">(CT154-DC154)*10^6</f>
        <v>0</v>
      </c>
      <c r="DW154" s="400" t="n">
        <f aca="false">(CW154-DD154)*10^6</f>
        <v>0</v>
      </c>
    </row>
    <row r="155" customFormat="false" ht="12.75" hidden="false" customHeight="false" outlineLevel="0" collapsed="false">
      <c r="DU155" s="400" t="n">
        <f aca="false">(CS155-CZ155)*10^6</f>
        <v>0</v>
      </c>
      <c r="DV155" s="400" t="n">
        <f aca="false">(CT155-DC155)*10^6</f>
        <v>0</v>
      </c>
      <c r="DW155" s="400" t="n">
        <f aca="false">(CW155-DD155)*10^6</f>
        <v>0</v>
      </c>
    </row>
    <row r="156" customFormat="false" ht="12.75" hidden="false" customHeight="false" outlineLevel="0" collapsed="false">
      <c r="DU156" s="400" t="n">
        <f aca="false">(CS156-CZ156)*10^6</f>
        <v>0</v>
      </c>
      <c r="DV156" s="400" t="n">
        <f aca="false">(CT156-DC156)*10^6</f>
        <v>0</v>
      </c>
      <c r="DW156" s="400" t="n">
        <f aca="false">(CW156-DD156)*10^6</f>
        <v>0</v>
      </c>
    </row>
    <row r="157" customFormat="false" ht="12.75" hidden="false" customHeight="false" outlineLevel="0" collapsed="false">
      <c r="DU157" s="400" t="n">
        <f aca="false">(CS157-CZ157)*10^6</f>
        <v>0</v>
      </c>
      <c r="DV157" s="400" t="n">
        <f aca="false">(CT157-DC157)*10^6</f>
        <v>0</v>
      </c>
      <c r="DW157" s="400" t="n">
        <f aca="false">(CW157-DD157)*10^6</f>
        <v>0</v>
      </c>
    </row>
    <row r="158" customFormat="false" ht="12.75" hidden="false" customHeight="false" outlineLevel="0" collapsed="false">
      <c r="DU158" s="400" t="n">
        <f aca="false">(CS158-CZ158)*10^6</f>
        <v>0</v>
      </c>
      <c r="DV158" s="400" t="n">
        <f aca="false">(CT158-DC158)*10^6</f>
        <v>0</v>
      </c>
      <c r="DW158" s="400" t="n">
        <f aca="false">(CW158-DD158)*10^6</f>
        <v>0</v>
      </c>
    </row>
    <row r="159" customFormat="false" ht="12.75" hidden="false" customHeight="false" outlineLevel="0" collapsed="false">
      <c r="DU159" s="400" t="n">
        <f aca="false">(CS159-CZ159)*10^6</f>
        <v>0</v>
      </c>
      <c r="DV159" s="400" t="n">
        <f aca="false">(CT159-DC159)*10^6</f>
        <v>0</v>
      </c>
      <c r="DW159" s="400" t="n">
        <f aca="false">(CW159-DD159)*10^6</f>
        <v>0</v>
      </c>
    </row>
    <row r="160" customFormat="false" ht="12.75" hidden="false" customHeight="false" outlineLevel="0" collapsed="false">
      <c r="DU160" s="400" t="n">
        <f aca="false">(CS160-CZ160)*10^6</f>
        <v>0</v>
      </c>
      <c r="DV160" s="400" t="n">
        <f aca="false">(CT160-DC160)*10^6</f>
        <v>0</v>
      </c>
      <c r="DW160" s="400" t="n">
        <f aca="false">(CW160-DD160)*10^6</f>
        <v>0</v>
      </c>
    </row>
    <row r="161" customFormat="false" ht="12.75" hidden="false" customHeight="false" outlineLevel="0" collapsed="false">
      <c r="DU161" s="400" t="n">
        <f aca="false">(CS161-CZ161)*10^6</f>
        <v>0</v>
      </c>
      <c r="DV161" s="400" t="n">
        <f aca="false">(CT161-DC161)*10^6</f>
        <v>0</v>
      </c>
      <c r="DW161" s="400" t="n">
        <f aca="false">(CW161-DD161)*10^6</f>
        <v>0</v>
      </c>
    </row>
    <row r="162" customFormat="false" ht="12.75" hidden="false" customHeight="false" outlineLevel="0" collapsed="false">
      <c r="DU162" s="400" t="n">
        <f aca="false">(CS162-CZ162)*10^6</f>
        <v>0</v>
      </c>
      <c r="DV162" s="400" t="n">
        <f aca="false">(CT162-DC162)*10^6</f>
        <v>0</v>
      </c>
      <c r="DW162" s="400" t="n">
        <f aca="false">(CW162-DD162)*10^6</f>
        <v>0</v>
      </c>
    </row>
    <row r="163" customFormat="false" ht="12.75" hidden="false" customHeight="false" outlineLevel="0" collapsed="false">
      <c r="DU163" s="400" t="n">
        <f aca="false">(CS163-CZ163)*10^6</f>
        <v>0</v>
      </c>
      <c r="DV163" s="400" t="n">
        <f aca="false">(CT163-DC163)*10^6</f>
        <v>0</v>
      </c>
      <c r="DW163" s="400" t="n">
        <f aca="false">(CW163-DD163)*10^6</f>
        <v>0</v>
      </c>
    </row>
    <row r="164" customFormat="false" ht="12.75" hidden="false" customHeight="false" outlineLevel="0" collapsed="false">
      <c r="DU164" s="400" t="n">
        <f aca="false">(CS164-CZ164)*10^6</f>
        <v>0</v>
      </c>
      <c r="DV164" s="400" t="n">
        <f aca="false">(CT164-DC164)*10^6</f>
        <v>0</v>
      </c>
      <c r="DW164" s="400" t="n">
        <f aca="false">(CW164-DD164)*10^6</f>
        <v>0</v>
      </c>
    </row>
    <row r="165" customFormat="false" ht="12.75" hidden="false" customHeight="false" outlineLevel="0" collapsed="false">
      <c r="DU165" s="400" t="n">
        <f aca="false">(CS165-CZ165)*10^6</f>
        <v>0</v>
      </c>
      <c r="DV165" s="400" t="n">
        <f aca="false">(CT165-DC165)*10^6</f>
        <v>0</v>
      </c>
      <c r="DW165" s="400" t="n">
        <f aca="false">(CW165-DD165)*10^6</f>
        <v>0</v>
      </c>
    </row>
    <row r="166" customFormat="false" ht="12.75" hidden="false" customHeight="false" outlineLevel="0" collapsed="false">
      <c r="DU166" s="400" t="n">
        <f aca="false">(CS166-CZ166)*10^6</f>
        <v>0</v>
      </c>
      <c r="DV166" s="400" t="n">
        <f aca="false">(CT166-DC166)*10^6</f>
        <v>0</v>
      </c>
      <c r="DW166" s="400" t="n">
        <f aca="false">(CW166-DD166)*10^6</f>
        <v>0</v>
      </c>
    </row>
    <row r="167" customFormat="false" ht="12.75" hidden="false" customHeight="false" outlineLevel="0" collapsed="false">
      <c r="DU167" s="400" t="n">
        <f aca="false">(CS167-CZ167)*10^6</f>
        <v>0</v>
      </c>
      <c r="DV167" s="400" t="n">
        <f aca="false">(CT167-DC167)*10^6</f>
        <v>0</v>
      </c>
      <c r="DW167" s="400" t="n">
        <f aca="false">(CW167-DD167)*10^6</f>
        <v>0</v>
      </c>
    </row>
    <row r="168" customFormat="false" ht="12.75" hidden="false" customHeight="false" outlineLevel="0" collapsed="false">
      <c r="DU168" s="400" t="n">
        <f aca="false">(CS168-CZ168)*10^6</f>
        <v>0</v>
      </c>
      <c r="DV168" s="400" t="n">
        <f aca="false">(CT168-DC168)*10^6</f>
        <v>0</v>
      </c>
      <c r="DW168" s="400" t="n">
        <f aca="false">(CW168-DD168)*10^6</f>
        <v>0</v>
      </c>
    </row>
    <row r="169" customFormat="false" ht="12.75" hidden="false" customHeight="false" outlineLevel="0" collapsed="false">
      <c r="DU169" s="400" t="n">
        <f aca="false">(CS169-CZ169)*10^6</f>
        <v>0</v>
      </c>
      <c r="DV169" s="400" t="n">
        <f aca="false">(CT169-DC169)*10^6</f>
        <v>0</v>
      </c>
      <c r="DW169" s="400" t="n">
        <f aca="false">(CW169-DD169)*10^6</f>
        <v>0</v>
      </c>
    </row>
    <row r="170" customFormat="false" ht="12.75" hidden="false" customHeight="false" outlineLevel="0" collapsed="false">
      <c r="DU170" s="400" t="n">
        <f aca="false">(CS170-CZ170)*10^6</f>
        <v>0</v>
      </c>
      <c r="DV170" s="400" t="n">
        <f aca="false">(CT170-DC170)*10^6</f>
        <v>0</v>
      </c>
      <c r="DW170" s="400" t="n">
        <f aca="false">(CW170-DD170)*10^6</f>
        <v>0</v>
      </c>
    </row>
    <row r="171" customFormat="false" ht="12.75" hidden="false" customHeight="false" outlineLevel="0" collapsed="false">
      <c r="DU171" s="400" t="n">
        <f aca="false">(CS171-CZ171)*10^6</f>
        <v>0</v>
      </c>
      <c r="DV171" s="400" t="n">
        <f aca="false">(CT171-DC171)*10^6</f>
        <v>0</v>
      </c>
      <c r="DW171" s="400" t="n">
        <f aca="false">(CW171-DD171)*10^6</f>
        <v>0</v>
      </c>
    </row>
    <row r="172" customFormat="false" ht="12.75" hidden="false" customHeight="false" outlineLevel="0" collapsed="false">
      <c r="DU172" s="400" t="n">
        <f aca="false">(CS172-CZ172)*10^6</f>
        <v>0</v>
      </c>
      <c r="DV172" s="400" t="n">
        <f aca="false">(CT172-DC172)*10^6</f>
        <v>0</v>
      </c>
      <c r="DW172" s="400" t="n">
        <f aca="false">(CW172-DD172)*10^6</f>
        <v>0</v>
      </c>
    </row>
    <row r="173" customFormat="false" ht="12.75" hidden="false" customHeight="false" outlineLevel="0" collapsed="false">
      <c r="DU173" s="400" t="n">
        <f aca="false">(CS173-CZ173)*10^6</f>
        <v>0</v>
      </c>
      <c r="DV173" s="400" t="n">
        <f aca="false">(CT173-DC173)*10^6</f>
        <v>0</v>
      </c>
      <c r="DW173" s="400" t="n">
        <f aca="false">(CW173-DD173)*10^6</f>
        <v>0</v>
      </c>
    </row>
    <row r="174" customFormat="false" ht="12.75" hidden="false" customHeight="false" outlineLevel="0" collapsed="false">
      <c r="DU174" s="400" t="n">
        <f aca="false">(CS174-CZ174)*10^6</f>
        <v>0</v>
      </c>
      <c r="DV174" s="400" t="n">
        <f aca="false">(CT174-DC174)*10^6</f>
        <v>0</v>
      </c>
      <c r="DW174" s="400" t="n">
        <f aca="false">(CW174-DD174)*10^6</f>
        <v>0</v>
      </c>
    </row>
    <row r="175" customFormat="false" ht="12.75" hidden="false" customHeight="false" outlineLevel="0" collapsed="false">
      <c r="DU175" s="400" t="n">
        <f aca="false">(CS175-CZ175)*10^6</f>
        <v>0</v>
      </c>
      <c r="DV175" s="400" t="n">
        <f aca="false">(CT175-DC175)*10^6</f>
        <v>0</v>
      </c>
      <c r="DW175" s="400" t="n">
        <f aca="false">(CW175-DD175)*10^6</f>
        <v>0</v>
      </c>
    </row>
    <row r="176" customFormat="false" ht="12.75" hidden="false" customHeight="false" outlineLevel="0" collapsed="false">
      <c r="DU176" s="400" t="n">
        <f aca="false">(CS176-CZ176)*10^6</f>
        <v>0</v>
      </c>
      <c r="DV176" s="400" t="n">
        <f aca="false">(CT176-DC176)*10^6</f>
        <v>0</v>
      </c>
      <c r="DW176" s="400" t="n">
        <f aca="false">(CW176-DD176)*10^6</f>
        <v>0</v>
      </c>
    </row>
    <row r="177" customFormat="false" ht="12.75" hidden="false" customHeight="false" outlineLevel="0" collapsed="false">
      <c r="DU177" s="400" t="n">
        <f aca="false">(CS177-CZ177)*10^6</f>
        <v>0</v>
      </c>
      <c r="DV177" s="400" t="n">
        <f aca="false">(CT177-DC177)*10^6</f>
        <v>0</v>
      </c>
      <c r="DW177" s="400" t="n">
        <f aca="false">(CW177-DD177)*10^6</f>
        <v>0</v>
      </c>
    </row>
    <row r="178" customFormat="false" ht="12.75" hidden="false" customHeight="false" outlineLevel="0" collapsed="false">
      <c r="DU178" s="400" t="n">
        <f aca="false">(CS178-CZ178)*10^6</f>
        <v>0</v>
      </c>
      <c r="DV178" s="400" t="n">
        <f aca="false">(CT178-DC178)*10^6</f>
        <v>0</v>
      </c>
      <c r="DW178" s="400" t="n">
        <f aca="false">(CW178-DD178)*10^6</f>
        <v>0</v>
      </c>
    </row>
    <row r="179" customFormat="false" ht="12.75" hidden="false" customHeight="false" outlineLevel="0" collapsed="false">
      <c r="DU179" s="400" t="n">
        <f aca="false">(CS179-CZ179)*10^6</f>
        <v>0</v>
      </c>
      <c r="DV179" s="400" t="n">
        <f aca="false">(CT179-DC179)*10^6</f>
        <v>0</v>
      </c>
      <c r="DW179" s="400" t="n">
        <f aca="false">(CW179-DD179)*10^6</f>
        <v>0</v>
      </c>
    </row>
    <row r="180" customFormat="false" ht="12.75" hidden="false" customHeight="false" outlineLevel="0" collapsed="false">
      <c r="DU180" s="400" t="n">
        <f aca="false">(CS180-CZ180)*10^6</f>
        <v>0</v>
      </c>
      <c r="DV180" s="400" t="n">
        <f aca="false">(CT180-DC180)*10^6</f>
        <v>0</v>
      </c>
      <c r="DW180" s="400" t="n">
        <f aca="false">(CW180-DD180)*10^6</f>
        <v>0</v>
      </c>
    </row>
    <row r="181" customFormat="false" ht="12.75" hidden="false" customHeight="false" outlineLevel="0" collapsed="false">
      <c r="DU181" s="400" t="n">
        <f aca="false">(CS181-CZ181)*10^6</f>
        <v>0</v>
      </c>
      <c r="DV181" s="400" t="n">
        <f aca="false">(CT181-DC181)*10^6</f>
        <v>0</v>
      </c>
      <c r="DW181" s="400" t="n">
        <f aca="false">(CW181-DD181)*10^6</f>
        <v>0</v>
      </c>
    </row>
    <row r="182" customFormat="false" ht="12.75" hidden="false" customHeight="false" outlineLevel="0" collapsed="false">
      <c r="DU182" s="400" t="n">
        <f aca="false">(CS182-CZ182)*10^6</f>
        <v>0</v>
      </c>
      <c r="DV182" s="400" t="n">
        <f aca="false">(CT182-DC182)*10^6</f>
        <v>0</v>
      </c>
      <c r="DW182" s="400" t="n">
        <f aca="false">(CW182-DD182)*10^6</f>
        <v>0</v>
      </c>
    </row>
    <row r="183" customFormat="false" ht="12.75" hidden="false" customHeight="false" outlineLevel="0" collapsed="false">
      <c r="DU183" s="400" t="n">
        <f aca="false">(CS183-CZ183)*10^6</f>
        <v>0</v>
      </c>
      <c r="DV183" s="400" t="n">
        <f aca="false">(CT183-DC183)*10^6</f>
        <v>0</v>
      </c>
      <c r="DW183" s="400" t="n">
        <f aca="false">(CW183-DD183)*10^6</f>
        <v>0</v>
      </c>
    </row>
    <row r="184" customFormat="false" ht="12.75" hidden="false" customHeight="false" outlineLevel="0" collapsed="false">
      <c r="DU184" s="400" t="n">
        <f aca="false">(CS184-CZ184)*10^6</f>
        <v>0</v>
      </c>
      <c r="DV184" s="400" t="n">
        <f aca="false">(CT184-DC184)*10^6</f>
        <v>0</v>
      </c>
      <c r="DW184" s="400" t="n">
        <f aca="false">(CW184-DD184)*10^6</f>
        <v>0</v>
      </c>
    </row>
    <row r="185" customFormat="false" ht="12.75" hidden="false" customHeight="false" outlineLevel="0" collapsed="false">
      <c r="DU185" s="400" t="n">
        <f aca="false">(CS185-CZ185)*10^6</f>
        <v>0</v>
      </c>
      <c r="DV185" s="400" t="n">
        <f aca="false">(CT185-DC185)*10^6</f>
        <v>0</v>
      </c>
      <c r="DW185" s="400" t="n">
        <f aca="false">(CW185-DD185)*10^6</f>
        <v>0</v>
      </c>
    </row>
    <row r="186" customFormat="false" ht="12.75" hidden="false" customHeight="false" outlineLevel="0" collapsed="false">
      <c r="DU186" s="400" t="n">
        <f aca="false">(CS186-CZ186)*10^6</f>
        <v>0</v>
      </c>
      <c r="DV186" s="400" t="n">
        <f aca="false">(CT186-DC186)*10^6</f>
        <v>0</v>
      </c>
      <c r="DW186" s="400" t="n">
        <f aca="false">(CW186-DD186)*10^6</f>
        <v>0</v>
      </c>
    </row>
    <row r="187" customFormat="false" ht="12.75" hidden="false" customHeight="false" outlineLevel="0" collapsed="false">
      <c r="DU187" s="400" t="n">
        <f aca="false">(CS187-CZ187)*10^6</f>
        <v>0</v>
      </c>
      <c r="DV187" s="400" t="n">
        <f aca="false">(CT187-DC187)*10^6</f>
        <v>0</v>
      </c>
      <c r="DW187" s="400" t="n">
        <f aca="false">(CW187-DD187)*10^6</f>
        <v>0</v>
      </c>
    </row>
    <row r="188" customFormat="false" ht="12.75" hidden="false" customHeight="false" outlineLevel="0" collapsed="false">
      <c r="DU188" s="400" t="n">
        <f aca="false">(CS188-CZ188)*10^6</f>
        <v>0</v>
      </c>
      <c r="DV188" s="400" t="n">
        <f aca="false">(CT188-DC188)*10^6</f>
        <v>0</v>
      </c>
      <c r="DW188" s="400" t="n">
        <f aca="false">(CW188-DD188)*10^6</f>
        <v>0</v>
      </c>
    </row>
    <row r="189" customFormat="false" ht="12.75" hidden="false" customHeight="false" outlineLevel="0" collapsed="false">
      <c r="DU189" s="400" t="n">
        <f aca="false">(CS189-CZ189)*10^6</f>
        <v>0</v>
      </c>
      <c r="DV189" s="400" t="n">
        <f aca="false">(CT189-DC189)*10^6</f>
        <v>0</v>
      </c>
      <c r="DW189" s="400" t="n">
        <f aca="false">(CW189-DD189)*10^6</f>
        <v>0</v>
      </c>
    </row>
    <row r="306" customFormat="false" ht="12.75" hidden="false" customHeight="false" outlineLevel="0" collapsed="false">
      <c r="DU306" s="285"/>
      <c r="DV306" s="285"/>
      <c r="DW306" s="285"/>
    </row>
    <row r="307" customFormat="false" ht="12.75" hidden="false" customHeight="false" outlineLevel="0" collapsed="false">
      <c r="DU307" s="285"/>
      <c r="DV307" s="285"/>
      <c r="DW307" s="285"/>
    </row>
    <row r="308" customFormat="false" ht="12.75" hidden="false" customHeight="false" outlineLevel="0" collapsed="false">
      <c r="DU308" s="285"/>
      <c r="DV308" s="285"/>
      <c r="DW308" s="285"/>
    </row>
    <row r="309" customFormat="false" ht="12.75" hidden="false" customHeight="false" outlineLevel="0" collapsed="false">
      <c r="DU309" s="285"/>
      <c r="DV309" s="285"/>
      <c r="DW309" s="285"/>
    </row>
    <row r="310" customFormat="false" ht="12.75" hidden="false" customHeight="false" outlineLevel="0" collapsed="false">
      <c r="DU310" s="285"/>
      <c r="DV310" s="285"/>
      <c r="DW310" s="285"/>
    </row>
    <row r="311" customFormat="false" ht="12.75" hidden="false" customHeight="false" outlineLevel="0" collapsed="false">
      <c r="DU311" s="285"/>
      <c r="DV311" s="285"/>
      <c r="DW311" s="285"/>
    </row>
    <row r="312" customFormat="false" ht="12.75" hidden="false" customHeight="false" outlineLevel="0" collapsed="false">
      <c r="DU312" s="285"/>
      <c r="DV312" s="285"/>
      <c r="DW312" s="285"/>
    </row>
    <row r="313" customFormat="false" ht="12.75" hidden="false" customHeight="false" outlineLevel="0" collapsed="false">
      <c r="DU313" s="285"/>
      <c r="DV313" s="285"/>
      <c r="DW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Z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R13" activeCellId="0" sqref="CR13"/>
    </sheetView>
  </sheetViews>
  <sheetFormatPr defaultColWidth="11.515625" defaultRowHeight="12.75" zeroHeight="false" outlineLevelRow="0" outlineLevelCol="0"/>
  <cols>
    <col collapsed="false" customWidth="true" hidden="false" outlineLevel="0" max="1" min="1" style="36" width="3.16"/>
    <col collapsed="false" customWidth="true" hidden="false" outlineLevel="0" max="2" min="2" style="36" width="35.51"/>
    <col collapsed="false" customWidth="true" hidden="false" outlineLevel="0" max="3" min="3" style="36" width="8.16"/>
    <col collapsed="false" customWidth="true" hidden="false" outlineLevel="0" max="4" min="4" style="36" width="9.66"/>
    <col collapsed="false" customWidth="true" hidden="false" outlineLevel="0" max="5" min="5" style="36" width="15.66"/>
    <col collapsed="false" customWidth="true" hidden="false" outlineLevel="0" max="7" min="6" style="36" width="8.33"/>
    <col collapsed="false" customWidth="true" hidden="false" outlineLevel="0" max="8" min="8" style="36" width="5.5"/>
    <col collapsed="false" customWidth="true" hidden="false" outlineLevel="0" max="9" min="9" style="36" width="0.33"/>
    <col collapsed="false" customWidth="true" hidden="false" outlineLevel="0" max="10" min="10" style="36" width="9.66"/>
    <col collapsed="false" customWidth="true" hidden="false" outlineLevel="0" max="11" min="11" style="36" width="7.49"/>
    <col collapsed="false" customWidth="true" hidden="false" outlineLevel="0" max="12" min="12" style="36" width="10.33"/>
    <col collapsed="false" customWidth="true" hidden="false" outlineLevel="0" max="14" min="13" style="36" width="7.49"/>
    <col collapsed="false" customWidth="true" hidden="false" outlineLevel="0" max="15" min="15" style="36" width="0.33"/>
    <col collapsed="false" customWidth="true" hidden="false" outlineLevel="0" max="16" min="16" style="36" width="6.83"/>
    <col collapsed="false" customWidth="true" hidden="false" outlineLevel="0" max="18" min="17" style="36" width="8.52"/>
    <col collapsed="false" customWidth="true" hidden="false" outlineLevel="0" max="19" min="19" style="36" width="6.83"/>
    <col collapsed="false" customWidth="true" hidden="false" outlineLevel="0" max="20" min="20" style="40" width="6.5"/>
    <col collapsed="false" customWidth="true" hidden="false" outlineLevel="0" max="21" min="21" style="36" width="0.33"/>
    <col collapsed="false" customWidth="true" hidden="false" outlineLevel="0" max="22" min="22" style="36" width="10"/>
    <col collapsed="false" customWidth="true" hidden="false" outlineLevel="0" max="23" min="23" style="36" width="8.33"/>
    <col collapsed="false" customWidth="true" hidden="false" outlineLevel="0" max="27" min="24" style="36" width="10"/>
    <col collapsed="false" customWidth="true" hidden="false" outlineLevel="0" max="28" min="28" style="40" width="10"/>
    <col collapsed="false" customWidth="true" hidden="false" outlineLevel="0" max="29" min="29" style="36" width="0.16"/>
    <col collapsed="false" customWidth="true" hidden="false" outlineLevel="0" max="30" min="30" style="36" width="12.5"/>
    <col collapsed="false" customWidth="true" hidden="false" outlineLevel="0" max="31" min="31" style="36" width="12.33"/>
    <col collapsed="false" customWidth="true" hidden="false" outlineLevel="0" max="32" min="32" style="36" width="12.66"/>
    <col collapsed="false" customWidth="true" hidden="false" outlineLevel="0" max="33" min="33" style="36" width="13.83"/>
    <col collapsed="false" customWidth="true" hidden="false" outlineLevel="0" max="34" min="34" style="36" width="13.17"/>
    <col collapsed="false" customWidth="true" hidden="false" outlineLevel="0" max="35" min="35" style="36" width="11.33"/>
    <col collapsed="false" customWidth="true" hidden="false" outlineLevel="0" max="36" min="36" style="36" width="7.49"/>
    <col collapsed="false" customWidth="true" hidden="false" outlineLevel="0" max="37" min="37" style="36" width="0.16"/>
    <col collapsed="false" customWidth="true" hidden="false" outlineLevel="0" max="38" min="38" style="36" width="10"/>
    <col collapsed="false" customWidth="true" hidden="false" outlineLevel="0" max="39" min="39" style="36" width="12.5"/>
    <col collapsed="false" customWidth="true" hidden="false" outlineLevel="0" max="40" min="40" style="36" width="10.16"/>
    <col collapsed="false" customWidth="true" hidden="false" outlineLevel="0" max="41" min="41" style="36" width="13.02"/>
    <col collapsed="false" customWidth="true" hidden="false" outlineLevel="0" max="42" min="42" style="36" width="10"/>
    <col collapsed="false" customWidth="true" hidden="false" outlineLevel="0" max="44" min="43" style="36" width="10.16"/>
    <col collapsed="false" customWidth="true" hidden="false" outlineLevel="0" max="45" min="45" style="40" width="10.16"/>
    <col collapsed="false" customWidth="true" hidden="false" outlineLevel="0" max="46" min="46" style="40" width="0.16"/>
    <col collapsed="false" customWidth="true" hidden="false" outlineLevel="0" max="53" min="47" style="40" width="9.83"/>
    <col collapsed="false" customWidth="true" hidden="false" outlineLevel="0" max="54" min="54" style="40" width="0.16"/>
    <col collapsed="false" customWidth="true" hidden="false" outlineLevel="0" max="56" min="55" style="40" width="12.5"/>
    <col collapsed="false" customWidth="true" hidden="false" outlineLevel="0" max="57" min="57" style="40" width="10.33"/>
    <col collapsed="false" customWidth="true" hidden="false" outlineLevel="0" max="58" min="58" style="40" width="10.5"/>
    <col collapsed="false" customWidth="true" hidden="false" outlineLevel="0" max="59" min="59" style="40" width="11.99"/>
    <col collapsed="false" customWidth="true" hidden="false" outlineLevel="0" max="60" min="60" style="40" width="12.5"/>
    <col collapsed="false" customWidth="true" hidden="false" outlineLevel="0" max="61" min="61" style="40" width="6.83"/>
    <col collapsed="false" customWidth="true" hidden="false" outlineLevel="0" max="62" min="62" style="40" width="0.52"/>
    <col collapsed="false" customWidth="true" hidden="false" outlineLevel="0" max="63" min="63" style="40" width="12.17"/>
    <col collapsed="false" customWidth="true" hidden="false" outlineLevel="0" max="64" min="64" style="40" width="12.33"/>
    <col collapsed="false" customWidth="true" hidden="false" outlineLevel="0" max="65" min="65" style="40" width="13.66"/>
    <col collapsed="false" customWidth="true" hidden="false" outlineLevel="0" max="66" min="66" style="40" width="15.49"/>
    <col collapsed="false" customWidth="true" hidden="false" outlineLevel="0" max="67" min="67" style="40" width="12.33"/>
    <col collapsed="false" customWidth="false" hidden="false" outlineLevel="0" max="68" min="68" style="40" width="11.5"/>
    <col collapsed="false" customWidth="true" hidden="false" outlineLevel="0" max="69" min="69" style="40" width="11.84"/>
    <col collapsed="false" customWidth="true" hidden="false" outlineLevel="0" max="70" min="70" style="40" width="6.83"/>
    <col collapsed="false" customWidth="true" hidden="false" outlineLevel="0" max="71" min="71" style="40" width="0.52"/>
    <col collapsed="false" customWidth="true" hidden="false" outlineLevel="0" max="72" min="72" style="40" width="10.16"/>
    <col collapsed="false" customWidth="true" hidden="false" outlineLevel="0" max="73" min="73" style="40" width="9.83"/>
    <col collapsed="false" customWidth="true" hidden="false" outlineLevel="0" max="74" min="74" style="40" width="13.5"/>
    <col collapsed="false" customWidth="true" hidden="false" outlineLevel="0" max="75" min="75" style="40" width="10.5"/>
    <col collapsed="false" customWidth="true" hidden="false" outlineLevel="0" max="76" min="76" style="40" width="12.33"/>
    <col collapsed="false" customWidth="true" hidden="false" outlineLevel="0" max="77" min="77" style="40" width="11.84"/>
    <col collapsed="false" customWidth="true" hidden="false" outlineLevel="0" max="78" min="78" style="40" width="8.33"/>
    <col collapsed="false" customWidth="true" hidden="false" outlineLevel="0" max="79" min="79" style="40" width="0.16"/>
    <col collapsed="false" customWidth="true" hidden="false" outlineLevel="0" max="80" min="80" style="40" width="10.16"/>
    <col collapsed="false" customWidth="true" hidden="false" outlineLevel="0" max="81" min="81" style="40" width="9.16"/>
    <col collapsed="false" customWidth="true" hidden="false" outlineLevel="0" max="82" min="82" style="40" width="10.99"/>
    <col collapsed="false" customWidth="true" hidden="false" outlineLevel="0" max="83" min="83" style="40" width="10.16"/>
    <col collapsed="false" customWidth="true" hidden="false" outlineLevel="0" max="84" min="84" style="40" width="9.66"/>
    <col collapsed="false" customWidth="true" hidden="false" outlineLevel="0" max="85" min="85" style="40" width="10.5"/>
    <col collapsed="false" customWidth="true" hidden="false" outlineLevel="0" max="86" min="86" style="40" width="6.83"/>
    <col collapsed="false" customWidth="true" hidden="false" outlineLevel="0" max="87" min="87" style="40" width="0.16"/>
    <col collapsed="false" customWidth="true" hidden="false" outlineLevel="0" max="88" min="88" style="40" width="13.83"/>
    <col collapsed="false" customWidth="true" hidden="false" outlineLevel="0" max="89" min="89" style="40" width="9.83"/>
    <col collapsed="false" customWidth="true" hidden="false" outlineLevel="0" max="90" min="90" style="40" width="10.5"/>
    <col collapsed="false" customWidth="false" hidden="false" outlineLevel="0" max="91" min="91" style="40" width="11.5"/>
    <col collapsed="false" customWidth="true" hidden="false" outlineLevel="0" max="92" min="92" style="40" width="10.99"/>
    <col collapsed="false" customWidth="true" hidden="false" outlineLevel="0" max="93" min="93" style="40" width="10.16"/>
    <col collapsed="false" customWidth="true" hidden="false" outlineLevel="0" max="94" min="94" style="40" width="10.65"/>
    <col collapsed="false" customWidth="true" hidden="false" outlineLevel="0" max="95" min="95" style="40" width="0.52"/>
    <col collapsed="false" customWidth="true" hidden="false" outlineLevel="0" max="96" min="96" style="42" width="11.64"/>
    <col collapsed="false" customWidth="true" hidden="false" outlineLevel="0" max="98" min="97" style="42" width="12.17"/>
    <col collapsed="false" customWidth="true" hidden="false" outlineLevel="0" max="100" min="99" style="42" width="10.99"/>
    <col collapsed="false" customWidth="true" hidden="false" outlineLevel="0" max="101" min="101" style="42" width="12.17"/>
    <col collapsed="false" customWidth="true" hidden="false" outlineLevel="0" max="102" min="102" style="40" width="6.66"/>
    <col collapsed="false" customWidth="true" hidden="false" outlineLevel="0" max="103" min="103" style="36" width="0.67"/>
    <col collapsed="false" customWidth="true" hidden="false" outlineLevel="0" max="104" min="104" style="42" width="12.17"/>
    <col collapsed="false" customWidth="true" hidden="false" outlineLevel="0" max="106" min="105" style="42" width="11.64"/>
    <col collapsed="false" customWidth="true" hidden="false" outlineLevel="0" max="107" min="107" style="42" width="12.17"/>
    <col collapsed="false" customWidth="true" hidden="false" outlineLevel="0" max="108" min="108" style="2038" width="11.64"/>
    <col collapsed="false" customWidth="true" hidden="false" outlineLevel="0" max="109" min="109" style="36" width="10.5"/>
    <col collapsed="false" customWidth="true" hidden="false" outlineLevel="0" max="111" min="110" style="36" width="8.33"/>
    <col collapsed="false" customWidth="true" hidden="false" outlineLevel="0" max="112" min="112" style="36" width="8.52"/>
    <col collapsed="false" customWidth="true" hidden="false" outlineLevel="0" max="113" min="113" style="14" width="8.52"/>
    <col collapsed="false" customWidth="true" hidden="true" outlineLevel="0" max="114" min="114" style="14" width="10.65"/>
    <col collapsed="false" customWidth="true" hidden="true" outlineLevel="0" max="115" min="115" style="256" width="15.15"/>
    <col collapsed="false" customWidth="false" hidden="true" outlineLevel="0" max="117" min="116" style="14" width="11.5"/>
    <col collapsed="false" customWidth="true" hidden="true" outlineLevel="0" max="118" min="118" style="14" width="17.52"/>
    <col collapsed="false" customWidth="false" hidden="true" outlineLevel="0" max="120" min="119" style="14" width="11.5"/>
    <col collapsed="false" customWidth="false" hidden="true" outlineLevel="0" max="121" min="121" style="1179" width="11.5"/>
    <col collapsed="false" customWidth="false" hidden="true" outlineLevel="0" max="122" min="122" style="36" width="11.5"/>
    <col collapsed="false" customWidth="false" hidden="false" outlineLevel="0" max="126" min="123" style="36" width="11.5"/>
    <col collapsed="false" customWidth="false" hidden="true" outlineLevel="0" max="127" min="127" style="36" width="11.5"/>
    <col collapsed="false" customWidth="false" hidden="true" outlineLevel="0" max="128" min="128" style="2" width="11.5"/>
    <col collapsed="false" customWidth="true" hidden="true" outlineLevel="0" max="129" min="129" style="2" width="20.98"/>
    <col collapsed="false" customWidth="false" hidden="true" outlineLevel="0" max="130" min="130" style="2" width="11.52"/>
    <col collapsed="false" customWidth="false" hidden="true" outlineLevel="0" max="132" min="131" style="36" width="11.52"/>
    <col collapsed="false" customWidth="false" hidden="false" outlineLevel="0" max="1024" min="133" style="36" width="11.5"/>
  </cols>
  <sheetData>
    <row r="1" customFormat="false" ht="11.25" hidden="false" customHeight="true" outlineLevel="0" collapsed="false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U1" s="212"/>
      <c r="V1" s="212"/>
      <c r="W1" s="212"/>
      <c r="X1" s="212"/>
      <c r="Y1" s="212"/>
      <c r="Z1" s="212"/>
      <c r="AA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CT1" s="2039"/>
      <c r="CU1" s="2040" t="n">
        <f aca="false">+CT1+CR12+CR26</f>
        <v>0</v>
      </c>
      <c r="DX1" s="40"/>
      <c r="DY1" s="40"/>
      <c r="DZ1" s="40"/>
    </row>
    <row r="2" customFormat="false" ht="18" hidden="false" customHeight="true" outlineLevel="0" collapsed="false">
      <c r="A2" s="44" t="s">
        <v>1079</v>
      </c>
      <c r="B2" s="2041"/>
      <c r="D2" s="266" t="n">
        <f aca="false">D7-D12-D26</f>
        <v>0</v>
      </c>
      <c r="E2" s="266" t="n">
        <f aca="false">D2*1000000</f>
        <v>0</v>
      </c>
      <c r="F2" s="284" t="n">
        <v>0</v>
      </c>
      <c r="P2" s="2042"/>
      <c r="AO2" s="2042"/>
      <c r="BK2" s="631"/>
      <c r="BL2" s="631"/>
      <c r="BM2" s="631"/>
      <c r="BN2" s="2043"/>
      <c r="BO2" s="631"/>
      <c r="BP2" s="631"/>
      <c r="BQ2" s="631"/>
      <c r="BR2" s="631"/>
      <c r="BT2" s="632"/>
      <c r="CB2" s="2044" t="n">
        <f aca="false">+CB7-CB12-CB26</f>
        <v>0</v>
      </c>
      <c r="CQ2" s="2045"/>
      <c r="CR2" s="2046" t="n">
        <f aca="false">+CR7-CR26-CR12</f>
        <v>0</v>
      </c>
      <c r="CS2" s="919" t="n">
        <v>-197.322714654521</v>
      </c>
      <c r="CT2" s="919"/>
      <c r="CU2" s="919"/>
      <c r="CV2" s="919"/>
      <c r="CW2" s="919"/>
      <c r="CX2" s="1180"/>
      <c r="CY2" s="924"/>
      <c r="CZ2" s="920" t="n">
        <v>-1360.18509567119</v>
      </c>
      <c r="DA2" s="920"/>
      <c r="DB2" s="920"/>
      <c r="DC2" s="920"/>
      <c r="DD2" s="2047"/>
      <c r="DE2" s="924"/>
      <c r="DF2" s="924"/>
      <c r="DG2" s="924"/>
      <c r="DH2" s="924"/>
      <c r="DK2" s="256" t="n">
        <v>0</v>
      </c>
      <c r="DN2" s="696"/>
    </row>
    <row r="3" customFormat="false" ht="12" hidden="false" customHeight="true" outlineLevel="0" collapsed="false">
      <c r="D3" s="2048"/>
      <c r="E3" s="2049" t="n">
        <v>0</v>
      </c>
      <c r="F3" s="2050"/>
      <c r="G3" s="2049" t="n">
        <v>0</v>
      </c>
      <c r="H3" s="653"/>
      <c r="I3" s="1185"/>
      <c r="J3" s="1971"/>
      <c r="K3" s="1971"/>
      <c r="L3" s="1971"/>
      <c r="M3" s="1971"/>
      <c r="N3" s="1971"/>
      <c r="O3" s="352"/>
      <c r="P3" s="1971"/>
      <c r="Q3" s="1971"/>
      <c r="R3" s="1971"/>
      <c r="S3" s="1971"/>
      <c r="T3" s="653"/>
      <c r="U3" s="352"/>
      <c r="V3" s="1970"/>
      <c r="W3" s="1971"/>
      <c r="X3" s="1971"/>
      <c r="Y3" s="1971"/>
      <c r="Z3" s="1971"/>
      <c r="AA3" s="1971"/>
      <c r="AB3" s="937"/>
      <c r="AC3" s="352"/>
      <c r="AD3" s="1970"/>
      <c r="AE3" s="1971"/>
      <c r="AF3" s="1971"/>
      <c r="AG3" s="1971"/>
      <c r="AH3" s="1971"/>
      <c r="AI3" s="1971"/>
      <c r="AJ3" s="2051"/>
      <c r="AK3" s="352"/>
      <c r="AL3" s="1970"/>
      <c r="AM3" s="1971"/>
      <c r="AN3" s="1971"/>
      <c r="AO3" s="1971"/>
      <c r="AP3" s="1971"/>
      <c r="AQ3" s="1971"/>
      <c r="AR3" s="1971"/>
      <c r="AS3" s="937"/>
      <c r="AT3" s="652"/>
      <c r="AU3" s="936"/>
      <c r="AV3" s="653"/>
      <c r="AW3" s="653"/>
      <c r="AX3" s="653"/>
      <c r="AY3" s="653"/>
      <c r="AZ3" s="653"/>
      <c r="BA3" s="653"/>
      <c r="BB3" s="652"/>
      <c r="BC3" s="936"/>
      <c r="BD3" s="653"/>
      <c r="BE3" s="653"/>
      <c r="BF3" s="653"/>
      <c r="BG3" s="653"/>
      <c r="BH3" s="653"/>
      <c r="BI3" s="937"/>
      <c r="BJ3" s="652"/>
      <c r="BK3" s="2052"/>
      <c r="BL3" s="1184"/>
      <c r="BM3" s="1184"/>
      <c r="BN3" s="1184"/>
      <c r="BO3" s="1184"/>
      <c r="BP3" s="1184"/>
      <c r="BQ3" s="1184"/>
      <c r="BR3" s="937"/>
      <c r="BS3" s="652"/>
      <c r="BT3" s="936"/>
      <c r="BU3" s="653"/>
      <c r="BV3" s="653"/>
      <c r="BW3" s="653"/>
      <c r="BX3" s="653"/>
      <c r="BY3" s="653"/>
      <c r="BZ3" s="653"/>
      <c r="CA3" s="652"/>
      <c r="CB3" s="936"/>
      <c r="CC3" s="653"/>
      <c r="CD3" s="653"/>
      <c r="CE3" s="653"/>
      <c r="CF3" s="653"/>
      <c r="CG3" s="653"/>
      <c r="CH3" s="937"/>
      <c r="CI3" s="652"/>
      <c r="CJ3" s="2052"/>
      <c r="CK3" s="1184"/>
      <c r="CL3" s="1184"/>
      <c r="CM3" s="1184"/>
      <c r="CN3" s="1184"/>
      <c r="CO3" s="1184"/>
      <c r="CP3" s="937"/>
      <c r="CQ3" s="652"/>
      <c r="CY3" s="2053"/>
      <c r="CZ3" s="2054" t="n">
        <v>0</v>
      </c>
      <c r="DA3" s="2055"/>
      <c r="DB3" s="651"/>
      <c r="DC3" s="651"/>
      <c r="DD3" s="2055" t="n">
        <v>0</v>
      </c>
      <c r="DE3" s="1184"/>
      <c r="DF3" s="1184"/>
      <c r="DG3" s="1184"/>
      <c r="DH3" s="2056"/>
      <c r="DI3" s="141"/>
      <c r="DK3" s="256" t="n">
        <v>0</v>
      </c>
    </row>
    <row r="4" s="360" customFormat="true" ht="15" hidden="false" customHeight="true" outlineLevel="0" collapsed="false">
      <c r="D4" s="362" t="n">
        <v>45292</v>
      </c>
      <c r="E4" s="362"/>
      <c r="F4" s="362"/>
      <c r="G4" s="362"/>
      <c r="H4" s="362"/>
      <c r="I4" s="361"/>
      <c r="J4" s="362" t="n">
        <v>45323</v>
      </c>
      <c r="K4" s="362"/>
      <c r="L4" s="362"/>
      <c r="M4" s="362"/>
      <c r="N4" s="362"/>
      <c r="O4" s="367"/>
      <c r="P4" s="362" t="n">
        <v>45352</v>
      </c>
      <c r="Q4" s="362"/>
      <c r="R4" s="362"/>
      <c r="S4" s="362"/>
      <c r="T4" s="362"/>
      <c r="U4" s="664"/>
      <c r="V4" s="362" t="n">
        <v>45383</v>
      </c>
      <c r="W4" s="362"/>
      <c r="X4" s="362"/>
      <c r="Y4" s="362"/>
      <c r="Z4" s="362"/>
      <c r="AA4" s="362"/>
      <c r="AB4" s="362"/>
      <c r="AC4" s="664"/>
      <c r="AD4" s="362" t="n">
        <v>45413</v>
      </c>
      <c r="AE4" s="362"/>
      <c r="AF4" s="362"/>
      <c r="AG4" s="362"/>
      <c r="AH4" s="362"/>
      <c r="AI4" s="362"/>
      <c r="AJ4" s="362"/>
      <c r="AK4" s="664"/>
      <c r="AL4" s="364" t="n">
        <v>45444</v>
      </c>
      <c r="AM4" s="364"/>
      <c r="AN4" s="364"/>
      <c r="AO4" s="364"/>
      <c r="AP4" s="364"/>
      <c r="AQ4" s="364"/>
      <c r="AR4" s="364"/>
      <c r="AS4" s="364"/>
      <c r="AT4" s="367"/>
      <c r="AU4" s="362" t="n">
        <v>45474</v>
      </c>
      <c r="AV4" s="362"/>
      <c r="AW4" s="362"/>
      <c r="AX4" s="362"/>
      <c r="AY4" s="362"/>
      <c r="AZ4" s="362"/>
      <c r="BA4" s="362"/>
      <c r="BB4" s="367"/>
      <c r="BC4" s="364" t="n">
        <v>45505</v>
      </c>
      <c r="BD4" s="364"/>
      <c r="BE4" s="364"/>
      <c r="BF4" s="364"/>
      <c r="BG4" s="364"/>
      <c r="BH4" s="364"/>
      <c r="BI4" s="364"/>
      <c r="BJ4" s="367"/>
      <c r="BK4" s="364" t="n">
        <v>45536</v>
      </c>
      <c r="BL4" s="364"/>
      <c r="BM4" s="364"/>
      <c r="BN4" s="364"/>
      <c r="BO4" s="364"/>
      <c r="BP4" s="364"/>
      <c r="BQ4" s="364"/>
      <c r="BR4" s="364"/>
      <c r="BS4" s="367"/>
      <c r="BT4" s="362" t="n">
        <v>45566</v>
      </c>
      <c r="BU4" s="362"/>
      <c r="BV4" s="362"/>
      <c r="BW4" s="362"/>
      <c r="BX4" s="362"/>
      <c r="BY4" s="362"/>
      <c r="BZ4" s="362"/>
      <c r="CA4" s="367"/>
      <c r="CB4" s="364" t="n">
        <v>45597</v>
      </c>
      <c r="CC4" s="364"/>
      <c r="CD4" s="364"/>
      <c r="CE4" s="364"/>
      <c r="CF4" s="364"/>
      <c r="CG4" s="364"/>
      <c r="CH4" s="364"/>
      <c r="CI4" s="367"/>
      <c r="CJ4" s="364" t="n">
        <v>45627</v>
      </c>
      <c r="CK4" s="364"/>
      <c r="CL4" s="364"/>
      <c r="CM4" s="364"/>
      <c r="CN4" s="364"/>
      <c r="CO4" s="364"/>
      <c r="CP4" s="364"/>
      <c r="CQ4" s="664"/>
      <c r="CR4" s="1205" t="s">
        <v>3</v>
      </c>
      <c r="CS4" s="1205"/>
      <c r="CT4" s="1205"/>
      <c r="CU4" s="1205"/>
      <c r="CV4" s="1205"/>
      <c r="CW4" s="1205"/>
      <c r="CX4" s="1205"/>
      <c r="CY4" s="375"/>
      <c r="CZ4" s="2057" t="s">
        <v>4</v>
      </c>
      <c r="DA4" s="2057"/>
      <c r="DB4" s="2057"/>
      <c r="DC4" s="2057"/>
      <c r="DD4" s="2057"/>
      <c r="DE4" s="2057"/>
      <c r="DF4" s="2057"/>
      <c r="DG4" s="2057"/>
      <c r="DH4" s="2057"/>
      <c r="DI4" s="141"/>
      <c r="DJ4" s="625"/>
      <c r="DK4" s="625"/>
      <c r="DL4" s="76"/>
      <c r="DM4" s="76"/>
      <c r="DN4" s="76"/>
      <c r="DO4" s="76"/>
      <c r="DP4" s="76"/>
      <c r="DQ4" s="2058"/>
      <c r="DX4" s="79"/>
      <c r="DY4" s="79"/>
      <c r="DZ4" s="79"/>
    </row>
    <row r="5" s="1118" customFormat="true" ht="31.5" hidden="false" customHeight="true" outlineLevel="0" collapsed="false">
      <c r="B5" s="85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2059"/>
      <c r="CZ5" s="86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41"/>
      <c r="DJ5" s="383" t="s">
        <v>6</v>
      </c>
      <c r="DK5" s="383" t="s">
        <v>7</v>
      </c>
      <c r="DL5" s="383" t="s">
        <v>9</v>
      </c>
      <c r="DM5" s="383" t="s">
        <v>102</v>
      </c>
      <c r="DN5" s="141" t="n">
        <v>0</v>
      </c>
      <c r="DO5" s="141"/>
      <c r="DP5" s="141"/>
      <c r="DQ5" s="2060"/>
      <c r="DX5" s="91"/>
      <c r="DY5" s="91"/>
      <c r="DZ5" s="91"/>
    </row>
    <row r="6" customFormat="false" ht="6" hidden="false" customHeight="true" outlineLevel="0" collapsed="false">
      <c r="H6" s="40"/>
      <c r="I6" s="103"/>
      <c r="J6" s="37"/>
      <c r="K6" s="37"/>
      <c r="L6" s="37"/>
      <c r="M6" s="37"/>
      <c r="N6" s="37"/>
      <c r="O6" s="373"/>
      <c r="P6" s="37"/>
      <c r="Q6" s="37"/>
      <c r="R6" s="37"/>
      <c r="S6" s="37"/>
      <c r="U6" s="373"/>
      <c r="V6" s="37"/>
      <c r="W6" s="37"/>
      <c r="X6" s="37"/>
      <c r="Y6" s="37"/>
      <c r="Z6" s="37"/>
      <c r="AA6" s="37"/>
      <c r="AC6" s="373"/>
      <c r="AJ6" s="40"/>
      <c r="AK6" s="671"/>
      <c r="AL6" s="37"/>
      <c r="AM6" s="37"/>
      <c r="AN6" s="37"/>
      <c r="AO6" s="37"/>
      <c r="AP6" s="37"/>
      <c r="AQ6" s="37"/>
      <c r="AR6" s="37"/>
      <c r="AT6" s="671"/>
      <c r="AU6" s="37"/>
      <c r="AV6" s="37"/>
      <c r="AW6" s="37"/>
      <c r="AX6" s="37"/>
      <c r="AY6" s="37"/>
      <c r="AZ6" s="37"/>
      <c r="BB6" s="671"/>
      <c r="BC6" s="37"/>
      <c r="BD6" s="37"/>
      <c r="BE6" s="37"/>
      <c r="BF6" s="37"/>
      <c r="BG6" s="37"/>
      <c r="BH6" s="37"/>
      <c r="BJ6" s="671"/>
      <c r="BK6" s="37"/>
      <c r="BL6" s="37"/>
      <c r="BM6" s="37"/>
      <c r="BN6" s="37"/>
      <c r="BO6" s="37"/>
      <c r="BP6" s="37"/>
      <c r="BQ6" s="37"/>
      <c r="BS6" s="373"/>
      <c r="BT6" s="37"/>
      <c r="BU6" s="37"/>
      <c r="BV6" s="37"/>
      <c r="BW6" s="37"/>
      <c r="BX6" s="37"/>
      <c r="BY6" s="37"/>
      <c r="BZ6" s="37"/>
      <c r="CA6" s="373"/>
      <c r="CB6" s="37"/>
      <c r="CC6" s="37"/>
      <c r="CD6" s="37"/>
      <c r="CE6" s="37"/>
      <c r="CF6" s="37"/>
      <c r="CG6" s="37"/>
      <c r="CI6" s="373"/>
      <c r="CJ6" s="36"/>
      <c r="CK6" s="36"/>
      <c r="CL6" s="36"/>
      <c r="CM6" s="36"/>
      <c r="CN6" s="36"/>
      <c r="CO6" s="36"/>
      <c r="CQ6" s="671"/>
      <c r="CY6" s="1195"/>
      <c r="CZ6" s="2061"/>
      <c r="DA6" s="2038"/>
      <c r="DH6" s="2062"/>
      <c r="DI6" s="141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</row>
    <row r="7" customFormat="false" ht="19.5" hidden="false" customHeight="true" outlineLevel="0" collapsed="false">
      <c r="A7" s="397" t="s">
        <v>1080</v>
      </c>
      <c r="B7" s="2063"/>
      <c r="C7" s="679" t="s">
        <v>1081</v>
      </c>
      <c r="D7" s="400"/>
      <c r="E7" s="400"/>
      <c r="F7" s="400"/>
      <c r="G7" s="400"/>
      <c r="H7" s="401"/>
      <c r="I7" s="126"/>
      <c r="J7" s="400"/>
      <c r="K7" s="400"/>
      <c r="L7" s="400"/>
      <c r="M7" s="400"/>
      <c r="N7" s="401"/>
      <c r="O7" s="407"/>
      <c r="P7" s="400"/>
      <c r="Q7" s="400"/>
      <c r="R7" s="400"/>
      <c r="S7" s="400"/>
      <c r="T7" s="401"/>
      <c r="U7" s="407"/>
      <c r="V7" s="400"/>
      <c r="W7" s="400"/>
      <c r="X7" s="400"/>
      <c r="Y7" s="400"/>
      <c r="Z7" s="400"/>
      <c r="AA7" s="400"/>
      <c r="AB7" s="401"/>
      <c r="AC7" s="407"/>
      <c r="AD7" s="400"/>
      <c r="AE7" s="400"/>
      <c r="AF7" s="400"/>
      <c r="AG7" s="400"/>
      <c r="AH7" s="400"/>
      <c r="AI7" s="400"/>
      <c r="AJ7" s="401"/>
      <c r="AK7" s="403"/>
      <c r="AL7" s="400"/>
      <c r="AM7" s="400"/>
      <c r="AN7" s="400"/>
      <c r="AO7" s="400"/>
      <c r="AP7" s="400"/>
      <c r="AQ7" s="400"/>
      <c r="AR7" s="400"/>
      <c r="AS7" s="401"/>
      <c r="AT7" s="403"/>
      <c r="AU7" s="400"/>
      <c r="AV7" s="400"/>
      <c r="AW7" s="400"/>
      <c r="AX7" s="400"/>
      <c r="AY7" s="400"/>
      <c r="AZ7" s="400"/>
      <c r="BA7" s="401"/>
      <c r="BB7" s="403"/>
      <c r="BC7" s="400"/>
      <c r="BD7" s="400"/>
      <c r="BE7" s="400"/>
      <c r="BF7" s="400"/>
      <c r="BG7" s="400"/>
      <c r="BH7" s="400"/>
      <c r="BI7" s="401"/>
      <c r="BJ7" s="403"/>
      <c r="BK7" s="400"/>
      <c r="BL7" s="400"/>
      <c r="BM7" s="400"/>
      <c r="BN7" s="400"/>
      <c r="BO7" s="400"/>
      <c r="BP7" s="400"/>
      <c r="BQ7" s="400"/>
      <c r="BR7" s="401"/>
      <c r="BS7" s="407"/>
      <c r="BT7" s="400"/>
      <c r="BU7" s="400"/>
      <c r="BV7" s="400"/>
      <c r="BW7" s="400"/>
      <c r="BX7" s="400"/>
      <c r="BY7" s="400"/>
      <c r="BZ7" s="401"/>
      <c r="CA7" s="407"/>
      <c r="CB7" s="400"/>
      <c r="CC7" s="400"/>
      <c r="CD7" s="400"/>
      <c r="CE7" s="400"/>
      <c r="CF7" s="400"/>
      <c r="CG7" s="400"/>
      <c r="CH7" s="401"/>
      <c r="CI7" s="407"/>
      <c r="CJ7" s="400"/>
      <c r="CK7" s="400"/>
      <c r="CL7" s="400"/>
      <c r="CM7" s="400"/>
      <c r="CN7" s="400"/>
      <c r="CO7" s="400"/>
      <c r="CP7" s="401"/>
      <c r="CQ7" s="703"/>
      <c r="CR7" s="400"/>
      <c r="CS7" s="400"/>
      <c r="CT7" s="400"/>
      <c r="CU7" s="400" t="n">
        <f aca="false">+CR7-CS7</f>
        <v>0</v>
      </c>
      <c r="CV7" s="400" t="n">
        <f aca="false">+CR7-CT7</f>
        <v>0</v>
      </c>
      <c r="CW7" s="400"/>
      <c r="CX7" s="2064" t="str">
        <f aca="false">IFERROR(+CR7/CW7-1, "-")</f>
        <v>-</v>
      </c>
      <c r="CY7" s="2065"/>
      <c r="CZ7" s="411"/>
      <c r="DA7" s="400"/>
      <c r="DB7" s="400"/>
      <c r="DC7" s="400"/>
      <c r="DD7" s="400"/>
      <c r="DE7" s="406" t="e">
        <f aca="false">+CZ7/DD7-1</f>
        <v>#DIV/0!</v>
      </c>
      <c r="DF7" s="406" t="e">
        <f aca="false">+DA7/DD7-1</f>
        <v>#DIV/0!</v>
      </c>
      <c r="DG7" s="406" t="e">
        <f aca="false">+DB7/DD7-1</f>
        <v>#DIV/0!</v>
      </c>
      <c r="DH7" s="406" t="e">
        <f aca="false">+DC7/DD7-1</f>
        <v>#DIV/0!</v>
      </c>
      <c r="DI7" s="141"/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2066" t="e">
        <f aca="false">+DN10+DN23+DN28</f>
        <v>#VALUE!</v>
      </c>
      <c r="DO7" s="118" t="e">
        <f aca="false">DN7-CR7</f>
        <v>#VALUE!</v>
      </c>
      <c r="DP7" s="118"/>
    </row>
    <row r="8" customFormat="false" ht="1.5" hidden="false" customHeight="true" outlineLevel="0" collapsed="false">
      <c r="A8" s="38"/>
      <c r="B8" s="38"/>
      <c r="C8" s="679" t="s">
        <v>1082</v>
      </c>
      <c r="D8" s="144"/>
      <c r="E8" s="144"/>
      <c r="F8" s="144"/>
      <c r="G8" s="144"/>
      <c r="H8" s="245"/>
      <c r="I8" s="204"/>
      <c r="J8" s="144"/>
      <c r="K8" s="144"/>
      <c r="L8" s="144"/>
      <c r="M8" s="144"/>
      <c r="N8" s="245"/>
      <c r="O8" s="423"/>
      <c r="P8" s="144"/>
      <c r="Q8" s="144"/>
      <c r="R8" s="144"/>
      <c r="S8" s="144"/>
      <c r="T8" s="245"/>
      <c r="U8" s="423"/>
      <c r="V8" s="144"/>
      <c r="W8" s="144"/>
      <c r="X8" s="144"/>
      <c r="Y8" s="281"/>
      <c r="Z8" s="144"/>
      <c r="AA8" s="144"/>
      <c r="AB8" s="245"/>
      <c r="AC8" s="423"/>
      <c r="AD8" s="144"/>
      <c r="AE8" s="144"/>
      <c r="AF8" s="144"/>
      <c r="AG8" s="281"/>
      <c r="AH8" s="144"/>
      <c r="AI8" s="144"/>
      <c r="AJ8" s="245"/>
      <c r="AK8" s="422"/>
      <c r="AL8" s="144"/>
      <c r="AM8" s="144"/>
      <c r="AN8" s="144"/>
      <c r="AO8" s="144"/>
      <c r="AP8" s="281"/>
      <c r="AQ8" s="281"/>
      <c r="AR8" s="144"/>
      <c r="AS8" s="245"/>
      <c r="AT8" s="422"/>
      <c r="AU8" s="144"/>
      <c r="AV8" s="144"/>
      <c r="AW8" s="144"/>
      <c r="AX8" s="281"/>
      <c r="AY8" s="281"/>
      <c r="AZ8" s="144"/>
      <c r="BA8" s="245"/>
      <c r="BB8" s="422"/>
      <c r="BC8" s="144"/>
      <c r="BD8" s="144"/>
      <c r="BE8" s="144"/>
      <c r="BF8" s="281"/>
      <c r="BG8" s="281"/>
      <c r="BH8" s="144"/>
      <c r="BI8" s="245"/>
      <c r="BJ8" s="422"/>
      <c r="BK8" s="144"/>
      <c r="BL8" s="144"/>
      <c r="BM8" s="144"/>
      <c r="BN8" s="144"/>
      <c r="BO8" s="281"/>
      <c r="BP8" s="281"/>
      <c r="BQ8" s="144"/>
      <c r="BR8" s="245"/>
      <c r="BS8" s="423"/>
      <c r="BT8" s="144"/>
      <c r="BU8" s="144"/>
      <c r="BV8" s="144"/>
      <c r="BW8" s="281"/>
      <c r="BX8" s="281"/>
      <c r="BY8" s="144"/>
      <c r="BZ8" s="245"/>
      <c r="CA8" s="423"/>
      <c r="CB8" s="144"/>
      <c r="CC8" s="144"/>
      <c r="CD8" s="144"/>
      <c r="CE8" s="281"/>
      <c r="CF8" s="281"/>
      <c r="CG8" s="144"/>
      <c r="CH8" s="245"/>
      <c r="CI8" s="423"/>
      <c r="CJ8" s="144"/>
      <c r="CK8" s="144"/>
      <c r="CL8" s="144"/>
      <c r="CM8" s="281"/>
      <c r="CN8" s="281"/>
      <c r="CO8" s="144"/>
      <c r="CP8" s="245"/>
      <c r="CQ8" s="422"/>
      <c r="CR8" s="144"/>
      <c r="CS8" s="144"/>
      <c r="CT8" s="144"/>
      <c r="CU8" s="144"/>
      <c r="CV8" s="144"/>
      <c r="CW8" s="144"/>
      <c r="CX8" s="245" t="str">
        <f aca="false">IFERROR(+CR8/CW8-1, "-")</f>
        <v>-</v>
      </c>
      <c r="CY8" s="425"/>
      <c r="CZ8" s="426"/>
      <c r="DA8" s="144"/>
      <c r="DB8" s="144"/>
      <c r="DC8" s="144"/>
      <c r="DD8" s="144"/>
      <c r="DE8" s="245"/>
      <c r="DF8" s="245"/>
      <c r="DG8" s="245"/>
      <c r="DH8" s="245"/>
      <c r="DI8" s="141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N8" s="488"/>
      <c r="DO8" s="118" t="n">
        <f aca="false">DN8-CR8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customFormat="false" ht="3.75" hidden="false" customHeight="true" outlineLevel="0" collapsed="false">
      <c r="A9" s="38"/>
      <c r="B9" s="38"/>
      <c r="C9" s="679" t="s">
        <v>1083</v>
      </c>
      <c r="D9" s="144"/>
      <c r="E9" s="144"/>
      <c r="F9" s="144"/>
      <c r="G9" s="144"/>
      <c r="H9" s="245"/>
      <c r="I9" s="204"/>
      <c r="J9" s="144"/>
      <c r="K9" s="144"/>
      <c r="L9" s="144"/>
      <c r="M9" s="144"/>
      <c r="N9" s="245"/>
      <c r="O9" s="423"/>
      <c r="P9" s="144"/>
      <c r="Q9" s="144"/>
      <c r="R9" s="144"/>
      <c r="S9" s="144"/>
      <c r="T9" s="245"/>
      <c r="U9" s="423"/>
      <c r="V9" s="144"/>
      <c r="W9" s="144"/>
      <c r="X9" s="144"/>
      <c r="Y9" s="281"/>
      <c r="Z9" s="144"/>
      <c r="AA9" s="144"/>
      <c r="AB9" s="245"/>
      <c r="AC9" s="423"/>
      <c r="AD9" s="144"/>
      <c r="AE9" s="144"/>
      <c r="AF9" s="144"/>
      <c r="AG9" s="281"/>
      <c r="AH9" s="144"/>
      <c r="AI9" s="144"/>
      <c r="AJ9" s="245"/>
      <c r="AK9" s="422"/>
      <c r="AL9" s="144"/>
      <c r="AM9" s="144"/>
      <c r="AN9" s="144"/>
      <c r="AO9" s="144"/>
      <c r="AP9" s="281"/>
      <c r="AQ9" s="281"/>
      <c r="AR9" s="144"/>
      <c r="AS9" s="245"/>
      <c r="AT9" s="422"/>
      <c r="AU9" s="144"/>
      <c r="AV9" s="144"/>
      <c r="AW9" s="144"/>
      <c r="AX9" s="281"/>
      <c r="AY9" s="281"/>
      <c r="AZ9" s="144"/>
      <c r="BA9" s="245"/>
      <c r="BB9" s="422"/>
      <c r="BC9" s="144"/>
      <c r="BD9" s="144"/>
      <c r="BE9" s="144"/>
      <c r="BF9" s="281"/>
      <c r="BG9" s="281"/>
      <c r="BH9" s="144"/>
      <c r="BI9" s="245"/>
      <c r="BJ9" s="422"/>
      <c r="BK9" s="144"/>
      <c r="BL9" s="144"/>
      <c r="BM9" s="144"/>
      <c r="BN9" s="144"/>
      <c r="BO9" s="281"/>
      <c r="BP9" s="281"/>
      <c r="BQ9" s="144"/>
      <c r="BR9" s="245"/>
      <c r="BS9" s="423"/>
      <c r="BT9" s="144"/>
      <c r="BU9" s="144"/>
      <c r="BV9" s="144"/>
      <c r="BW9" s="281"/>
      <c r="BX9" s="281"/>
      <c r="BY9" s="144"/>
      <c r="BZ9" s="245"/>
      <c r="CA9" s="423"/>
      <c r="CB9" s="144"/>
      <c r="CC9" s="144"/>
      <c r="CD9" s="144"/>
      <c r="CE9" s="281"/>
      <c r="CF9" s="281"/>
      <c r="CG9" s="144"/>
      <c r="CH9" s="245"/>
      <c r="CI9" s="423"/>
      <c r="CJ9" s="144"/>
      <c r="CK9" s="144"/>
      <c r="CL9" s="144"/>
      <c r="CM9" s="281"/>
      <c r="CN9" s="281"/>
      <c r="CO9" s="144"/>
      <c r="CP9" s="245"/>
      <c r="CQ9" s="422"/>
      <c r="CR9" s="144"/>
      <c r="CS9" s="144"/>
      <c r="CT9" s="144"/>
      <c r="CU9" s="144"/>
      <c r="CV9" s="144"/>
      <c r="CW9" s="144"/>
      <c r="CX9" s="245" t="str">
        <f aca="false">IFERROR(+CR9/CW9-1, "-")</f>
        <v>-</v>
      </c>
      <c r="CY9" s="425"/>
      <c r="CZ9" s="426"/>
      <c r="DA9" s="144"/>
      <c r="DB9" s="144"/>
      <c r="DC9" s="144"/>
      <c r="DD9" s="144"/>
      <c r="DE9" s="245"/>
      <c r="DF9" s="245"/>
      <c r="DG9" s="245"/>
      <c r="DH9" s="245"/>
      <c r="DI9" s="141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N9" s="488"/>
      <c r="DO9" s="118" t="n">
        <f aca="false">DN9-CR9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customFormat="false" ht="23.25" hidden="false" customHeight="true" outlineLevel="0" collapsed="false">
      <c r="A10" s="2067"/>
      <c r="B10" s="1932" t="s">
        <v>1084</v>
      </c>
      <c r="C10" s="679" t="s">
        <v>1085</v>
      </c>
      <c r="D10" s="400"/>
      <c r="E10" s="400"/>
      <c r="F10" s="400"/>
      <c r="G10" s="400"/>
      <c r="H10" s="401"/>
      <c r="I10" s="126"/>
      <c r="J10" s="400"/>
      <c r="K10" s="400"/>
      <c r="L10" s="400"/>
      <c r="M10" s="400"/>
      <c r="N10" s="401"/>
      <c r="O10" s="407"/>
      <c r="P10" s="400"/>
      <c r="Q10" s="400"/>
      <c r="R10" s="400"/>
      <c r="S10" s="400"/>
      <c r="T10" s="401"/>
      <c r="U10" s="407"/>
      <c r="V10" s="400"/>
      <c r="W10" s="400"/>
      <c r="X10" s="400"/>
      <c r="Y10" s="399"/>
      <c r="Z10" s="400"/>
      <c r="AA10" s="400"/>
      <c r="AB10" s="401"/>
      <c r="AC10" s="407"/>
      <c r="AD10" s="400"/>
      <c r="AE10" s="400"/>
      <c r="AF10" s="400"/>
      <c r="AG10" s="399"/>
      <c r="AH10" s="400"/>
      <c r="AI10" s="400"/>
      <c r="AJ10" s="401"/>
      <c r="AK10" s="403"/>
      <c r="AL10" s="400"/>
      <c r="AM10" s="400"/>
      <c r="AN10" s="400"/>
      <c r="AO10" s="400"/>
      <c r="AP10" s="399"/>
      <c r="AQ10" s="399"/>
      <c r="AR10" s="400"/>
      <c r="AS10" s="401"/>
      <c r="AT10" s="403"/>
      <c r="AU10" s="400"/>
      <c r="AV10" s="400"/>
      <c r="AW10" s="400"/>
      <c r="AX10" s="399"/>
      <c r="AY10" s="399"/>
      <c r="AZ10" s="400"/>
      <c r="BA10" s="401"/>
      <c r="BB10" s="403"/>
      <c r="BC10" s="400"/>
      <c r="BD10" s="400"/>
      <c r="BE10" s="400"/>
      <c r="BF10" s="399"/>
      <c r="BG10" s="399"/>
      <c r="BH10" s="400"/>
      <c r="BI10" s="401"/>
      <c r="BJ10" s="403"/>
      <c r="BK10" s="400"/>
      <c r="BL10" s="400"/>
      <c r="BM10" s="400"/>
      <c r="BN10" s="400"/>
      <c r="BO10" s="399"/>
      <c r="BP10" s="399"/>
      <c r="BQ10" s="400"/>
      <c r="BR10" s="401"/>
      <c r="BS10" s="407"/>
      <c r="BT10" s="400"/>
      <c r="BU10" s="400"/>
      <c r="BV10" s="400"/>
      <c r="BW10" s="399"/>
      <c r="BX10" s="399"/>
      <c r="BY10" s="400"/>
      <c r="BZ10" s="401"/>
      <c r="CA10" s="407"/>
      <c r="CB10" s="400"/>
      <c r="CC10" s="400"/>
      <c r="CD10" s="400"/>
      <c r="CE10" s="399"/>
      <c r="CF10" s="399"/>
      <c r="CG10" s="400"/>
      <c r="CH10" s="401"/>
      <c r="CI10" s="407"/>
      <c r="CJ10" s="400"/>
      <c r="CK10" s="400"/>
      <c r="CL10" s="400"/>
      <c r="CM10" s="399"/>
      <c r="CN10" s="399"/>
      <c r="CO10" s="400"/>
      <c r="CP10" s="401"/>
      <c r="CQ10" s="703"/>
      <c r="CR10" s="400"/>
      <c r="CS10" s="400"/>
      <c r="CT10" s="400"/>
      <c r="CU10" s="400" t="n">
        <f aca="false">+CR10-CS10</f>
        <v>0</v>
      </c>
      <c r="CV10" s="400" t="n">
        <f aca="false">+CR10-CT10</f>
        <v>0</v>
      </c>
      <c r="CW10" s="400"/>
      <c r="CX10" s="2064" t="str">
        <f aca="false">IFERROR(+CR10/CW10-1, "-")</f>
        <v>-</v>
      </c>
      <c r="CY10" s="2065"/>
      <c r="CZ10" s="411"/>
      <c r="DA10" s="400"/>
      <c r="DB10" s="400"/>
      <c r="DC10" s="400"/>
      <c r="DD10" s="400"/>
      <c r="DE10" s="401" t="e">
        <f aca="false">+CZ10/DD10-1</f>
        <v>#DIV/0!</v>
      </c>
      <c r="DF10" s="401" t="e">
        <f aca="false">+DA10/DD10-1</f>
        <v>#DIV/0!</v>
      </c>
      <c r="DG10" s="401" t="e">
        <f aca="false">+DB10/DD10-1</f>
        <v>#DIV/0!</v>
      </c>
      <c r="DH10" s="401" t="e">
        <f aca="false">+DC10/DD10-1</f>
        <v>#DIV/0!</v>
      </c>
      <c r="DI10" s="141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N10" s="2066" t="n">
        <f aca="false">SUM(DN11:DN21)</f>
        <v>25352.068138175</v>
      </c>
      <c r="DO10" s="118" t="n">
        <f aca="false">DN10-CR10</f>
        <v>25352.068138175</v>
      </c>
      <c r="DP10" s="14" t="n">
        <v>-38.5723770000004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s="976" customFormat="true" ht="15" hidden="false" customHeight="true" outlineLevel="0" collapsed="false">
      <c r="A11" s="2068"/>
      <c r="B11" s="2069" t="s">
        <v>1086</v>
      </c>
      <c r="C11" s="679" t="s">
        <v>1087</v>
      </c>
      <c r="D11" s="555"/>
      <c r="E11" s="555"/>
      <c r="F11" s="555"/>
      <c r="G11" s="555"/>
      <c r="H11" s="556"/>
      <c r="I11" s="2070"/>
      <c r="J11" s="555"/>
      <c r="K11" s="555"/>
      <c r="L11" s="555"/>
      <c r="M11" s="555"/>
      <c r="N11" s="556"/>
      <c r="O11" s="558"/>
      <c r="P11" s="555"/>
      <c r="Q11" s="555"/>
      <c r="R11" s="555"/>
      <c r="S11" s="555"/>
      <c r="T11" s="556"/>
      <c r="U11" s="558"/>
      <c r="V11" s="555"/>
      <c r="W11" s="555"/>
      <c r="X11" s="555"/>
      <c r="Y11" s="554"/>
      <c r="Z11" s="555"/>
      <c r="AA11" s="555"/>
      <c r="AB11" s="556"/>
      <c r="AC11" s="558"/>
      <c r="AD11" s="555"/>
      <c r="AE11" s="555"/>
      <c r="AF11" s="555"/>
      <c r="AG11" s="554"/>
      <c r="AH11" s="555"/>
      <c r="AI11" s="555"/>
      <c r="AJ11" s="556"/>
      <c r="AK11" s="557"/>
      <c r="AL11" s="555"/>
      <c r="AM11" s="555"/>
      <c r="AN11" s="555"/>
      <c r="AO11" s="555"/>
      <c r="AP11" s="554"/>
      <c r="AQ11" s="554"/>
      <c r="AR11" s="555"/>
      <c r="AS11" s="556"/>
      <c r="AT11" s="557"/>
      <c r="AU11" s="555"/>
      <c r="AV11" s="555"/>
      <c r="AW11" s="555"/>
      <c r="AX11" s="554"/>
      <c r="AY11" s="554"/>
      <c r="AZ11" s="555"/>
      <c r="BA11" s="556"/>
      <c r="BB11" s="557"/>
      <c r="BC11" s="555"/>
      <c r="BD11" s="555"/>
      <c r="BE11" s="555"/>
      <c r="BF11" s="554"/>
      <c r="BG11" s="554"/>
      <c r="BH11" s="555"/>
      <c r="BI11" s="556"/>
      <c r="BJ11" s="557"/>
      <c r="BK11" s="555"/>
      <c r="BL11" s="555"/>
      <c r="BM11" s="555"/>
      <c r="BN11" s="555"/>
      <c r="BO11" s="554"/>
      <c r="BP11" s="554"/>
      <c r="BQ11" s="555"/>
      <c r="BR11" s="556"/>
      <c r="BS11" s="558"/>
      <c r="BT11" s="555"/>
      <c r="BU11" s="555"/>
      <c r="BV11" s="555"/>
      <c r="BW11" s="554"/>
      <c r="BX11" s="554"/>
      <c r="BY11" s="555"/>
      <c r="BZ11" s="556"/>
      <c r="CA11" s="558"/>
      <c r="CB11" s="555"/>
      <c r="CC11" s="555"/>
      <c r="CD11" s="555"/>
      <c r="CE11" s="554"/>
      <c r="CF11" s="554"/>
      <c r="CG11" s="555"/>
      <c r="CH11" s="556"/>
      <c r="CI11" s="558"/>
      <c r="CJ11" s="555"/>
      <c r="CK11" s="555"/>
      <c r="CL11" s="555"/>
      <c r="CM11" s="554"/>
      <c r="CN11" s="554"/>
      <c r="CO11" s="555"/>
      <c r="CP11" s="556"/>
      <c r="CQ11" s="422"/>
      <c r="CR11" s="1006"/>
      <c r="CS11" s="1006"/>
      <c r="CT11" s="1006"/>
      <c r="CU11" s="555" t="n">
        <f aca="false">+CR11-CS11</f>
        <v>0</v>
      </c>
      <c r="CV11" s="555" t="n">
        <f aca="false">+CR11-CT11</f>
        <v>0</v>
      </c>
      <c r="CW11" s="1006"/>
      <c r="CX11" s="245" t="str">
        <f aca="false">IFERROR(+CR11/CW11-1, "-")</f>
        <v>-</v>
      </c>
      <c r="CY11" s="2071"/>
      <c r="CZ11" s="560"/>
      <c r="DA11" s="555"/>
      <c r="DB11" s="555"/>
      <c r="DC11" s="555"/>
      <c r="DD11" s="555"/>
      <c r="DE11" s="556" t="e">
        <f aca="false">+CZ11/DD11-1</f>
        <v>#DIV/0!</v>
      </c>
      <c r="DF11" s="556" t="e">
        <f aca="false">+DA11/DD11-1</f>
        <v>#DIV/0!</v>
      </c>
      <c r="DG11" s="556" t="e">
        <f aca="false">+DB11/DD11-1</f>
        <v>#DIV/0!</v>
      </c>
      <c r="DH11" s="556" t="e">
        <f aca="false">+DC11/DD11-1</f>
        <v>#DIV/0!</v>
      </c>
      <c r="DI11" s="141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2072" t="n">
        <v>22508.785767</v>
      </c>
      <c r="DO11" s="118" t="n">
        <f aca="false">DN11-CR11</f>
        <v>22508.785767</v>
      </c>
      <c r="DP11" s="975"/>
      <c r="DQ11" s="2073"/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s="976" customFormat="true" ht="15" hidden="false" customHeight="true" outlineLevel="0" collapsed="false">
      <c r="A12" s="2074"/>
      <c r="B12" s="2075" t="s">
        <v>1088</v>
      </c>
      <c r="C12" s="679" t="s">
        <v>1089</v>
      </c>
      <c r="D12" s="144"/>
      <c r="E12" s="144"/>
      <c r="F12" s="144"/>
      <c r="G12" s="144"/>
      <c r="H12" s="245"/>
      <c r="I12" s="2070"/>
      <c r="J12" s="144"/>
      <c r="K12" s="144"/>
      <c r="L12" s="144"/>
      <c r="M12" s="144"/>
      <c r="N12" s="245"/>
      <c r="O12" s="423"/>
      <c r="P12" s="144"/>
      <c r="Q12" s="144"/>
      <c r="R12" s="144"/>
      <c r="S12" s="144"/>
      <c r="T12" s="245"/>
      <c r="U12" s="423"/>
      <c r="V12" s="144"/>
      <c r="W12" s="144"/>
      <c r="X12" s="144"/>
      <c r="Y12" s="281"/>
      <c r="Z12" s="144"/>
      <c r="AA12" s="144"/>
      <c r="AB12" s="245"/>
      <c r="AC12" s="423"/>
      <c r="AD12" s="144"/>
      <c r="AE12" s="144"/>
      <c r="AF12" s="144"/>
      <c r="AG12" s="281"/>
      <c r="AH12" s="144"/>
      <c r="AI12" s="144"/>
      <c r="AJ12" s="245"/>
      <c r="AK12" s="1989"/>
      <c r="AL12" s="144"/>
      <c r="AM12" s="144"/>
      <c r="AN12" s="144"/>
      <c r="AO12" s="144"/>
      <c r="AP12" s="281"/>
      <c r="AQ12" s="281"/>
      <c r="AR12" s="144"/>
      <c r="AS12" s="245"/>
      <c r="AT12" s="422"/>
      <c r="AU12" s="144"/>
      <c r="AV12" s="144"/>
      <c r="AW12" s="144"/>
      <c r="AX12" s="281"/>
      <c r="AY12" s="281"/>
      <c r="AZ12" s="144"/>
      <c r="BA12" s="245"/>
      <c r="BB12" s="422"/>
      <c r="BC12" s="144"/>
      <c r="BD12" s="144"/>
      <c r="BE12" s="144"/>
      <c r="BF12" s="281"/>
      <c r="BG12" s="281"/>
      <c r="BH12" s="144"/>
      <c r="BI12" s="245"/>
      <c r="BJ12" s="422"/>
      <c r="BK12" s="144"/>
      <c r="BL12" s="144"/>
      <c r="BM12" s="144"/>
      <c r="BN12" s="144"/>
      <c r="BO12" s="281"/>
      <c r="BP12" s="281"/>
      <c r="BQ12" s="144"/>
      <c r="BR12" s="245"/>
      <c r="BS12" s="423"/>
      <c r="BT12" s="144"/>
      <c r="BU12" s="144"/>
      <c r="BV12" s="144"/>
      <c r="BW12" s="281"/>
      <c r="BX12" s="281"/>
      <c r="BY12" s="144"/>
      <c r="BZ12" s="245"/>
      <c r="CA12" s="423"/>
      <c r="CB12" s="144"/>
      <c r="CC12" s="144"/>
      <c r="CD12" s="144"/>
      <c r="CE12" s="281"/>
      <c r="CF12" s="281"/>
      <c r="CG12" s="144"/>
      <c r="CH12" s="245"/>
      <c r="CI12" s="423"/>
      <c r="CJ12" s="144"/>
      <c r="CK12" s="144"/>
      <c r="CL12" s="144"/>
      <c r="CM12" s="281"/>
      <c r="CN12" s="281"/>
      <c r="CO12" s="144"/>
      <c r="CP12" s="245"/>
      <c r="CQ12" s="1989"/>
      <c r="CR12" s="173"/>
      <c r="CS12" s="173"/>
      <c r="CT12" s="173"/>
      <c r="CU12" s="144" t="n">
        <f aca="false">+CR12-CS12</f>
        <v>0</v>
      </c>
      <c r="CV12" s="144" t="n">
        <f aca="false">+CR12-CT12</f>
        <v>0</v>
      </c>
      <c r="CW12" s="173"/>
      <c r="CX12" s="245" t="str">
        <f aca="false">IFERROR(+CR12/CW12-1, "-")</f>
        <v>-</v>
      </c>
      <c r="CY12" s="2071"/>
      <c r="CZ12" s="426"/>
      <c r="DA12" s="144"/>
      <c r="DB12" s="144"/>
      <c r="DC12" s="144"/>
      <c r="DD12" s="144"/>
      <c r="DE12" s="245" t="e">
        <f aca="false">+CZ12/DD12-1</f>
        <v>#DIV/0!</v>
      </c>
      <c r="DF12" s="245"/>
      <c r="DG12" s="245"/>
      <c r="DH12" s="245"/>
      <c r="DI12" s="141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488" t="n">
        <v>306.263429175</v>
      </c>
      <c r="DO12" s="118" t="n">
        <f aca="false">DN12-CR12</f>
        <v>306.263429175</v>
      </c>
      <c r="DP12" s="975"/>
      <c r="DQ12" s="2073"/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customFormat="false" ht="15" hidden="false" customHeight="true" outlineLevel="0" collapsed="false">
      <c r="A13" s="2076"/>
      <c r="B13" s="2077" t="s">
        <v>1090</v>
      </c>
      <c r="C13" s="679" t="s">
        <v>1091</v>
      </c>
      <c r="D13" s="144"/>
      <c r="E13" s="144"/>
      <c r="F13" s="144"/>
      <c r="G13" s="144"/>
      <c r="H13" s="1081"/>
      <c r="I13" s="1070"/>
      <c r="J13" s="144"/>
      <c r="K13" s="144"/>
      <c r="L13" s="144"/>
      <c r="M13" s="144"/>
      <c r="N13" s="1081"/>
      <c r="O13" s="423"/>
      <c r="P13" s="144"/>
      <c r="Q13" s="144"/>
      <c r="R13" s="144"/>
      <c r="S13" s="144"/>
      <c r="T13" s="1081"/>
      <c r="U13" s="423"/>
      <c r="V13" s="144"/>
      <c r="W13" s="144"/>
      <c r="X13" s="144"/>
      <c r="Y13" s="281"/>
      <c r="Z13" s="144"/>
      <c r="AA13" s="144"/>
      <c r="AB13" s="245"/>
      <c r="AC13" s="423"/>
      <c r="AD13" s="144"/>
      <c r="AE13" s="144"/>
      <c r="AF13" s="144"/>
      <c r="AG13" s="281"/>
      <c r="AH13" s="144"/>
      <c r="AI13" s="144"/>
      <c r="AJ13" s="245"/>
      <c r="AK13" s="1989"/>
      <c r="AL13" s="144"/>
      <c r="AM13" s="144"/>
      <c r="AN13" s="144"/>
      <c r="AO13" s="144"/>
      <c r="AP13" s="281"/>
      <c r="AQ13" s="281"/>
      <c r="AR13" s="144"/>
      <c r="AS13" s="245"/>
      <c r="AT13" s="422"/>
      <c r="AU13" s="144"/>
      <c r="AV13" s="144"/>
      <c r="AW13" s="144"/>
      <c r="AX13" s="281"/>
      <c r="AY13" s="281"/>
      <c r="AZ13" s="144"/>
      <c r="BA13" s="245"/>
      <c r="BB13" s="422"/>
      <c r="BC13" s="144"/>
      <c r="BD13" s="144"/>
      <c r="BE13" s="144"/>
      <c r="BF13" s="281"/>
      <c r="BG13" s="281"/>
      <c r="BH13" s="144"/>
      <c r="BI13" s="245"/>
      <c r="BJ13" s="422"/>
      <c r="BK13" s="144"/>
      <c r="BL13" s="144"/>
      <c r="BM13" s="144"/>
      <c r="BN13" s="144"/>
      <c r="BO13" s="281"/>
      <c r="BP13" s="281"/>
      <c r="BQ13" s="144"/>
      <c r="BR13" s="245"/>
      <c r="BS13" s="423"/>
      <c r="BT13" s="144"/>
      <c r="BU13" s="144"/>
      <c r="BV13" s="144"/>
      <c r="BW13" s="281"/>
      <c r="BX13" s="281"/>
      <c r="BY13" s="144"/>
      <c r="BZ13" s="245"/>
      <c r="CA13" s="423"/>
      <c r="CB13" s="144"/>
      <c r="CC13" s="144"/>
      <c r="CD13" s="144"/>
      <c r="CE13" s="281"/>
      <c r="CF13" s="281"/>
      <c r="CG13" s="144"/>
      <c r="CH13" s="245"/>
      <c r="CI13" s="423"/>
      <c r="CJ13" s="144"/>
      <c r="CK13" s="144"/>
      <c r="CL13" s="144"/>
      <c r="CM13" s="281"/>
      <c r="CN13" s="281"/>
      <c r="CO13" s="144"/>
      <c r="CP13" s="245"/>
      <c r="CQ13" s="422"/>
      <c r="CR13" s="173"/>
      <c r="CS13" s="173"/>
      <c r="CT13" s="173"/>
      <c r="CU13" s="144" t="n">
        <f aca="false">+CR13-CS13</f>
        <v>0</v>
      </c>
      <c r="CV13" s="144" t="n">
        <f aca="false">+CR13-CT13</f>
        <v>0</v>
      </c>
      <c r="CW13" s="173"/>
      <c r="CX13" s="245" t="str">
        <f aca="false">IFERROR(+CR13/CW13-1, "-")</f>
        <v>-</v>
      </c>
      <c r="CY13" s="2059"/>
      <c r="CZ13" s="426"/>
      <c r="DA13" s="144"/>
      <c r="DB13" s="144"/>
      <c r="DC13" s="144"/>
      <c r="DD13" s="144"/>
      <c r="DE13" s="245" t="e">
        <f aca="false">+CZ13/DD13-1</f>
        <v>#DIV/0!</v>
      </c>
      <c r="DF13" s="245" t="e">
        <f aca="false">+DA13/DD13-1</f>
        <v>#DIV/0!</v>
      </c>
      <c r="DG13" s="245" t="e">
        <f aca="false">+DB13/DD13-1</f>
        <v>#DIV/0!</v>
      </c>
      <c r="DH13" s="245" t="e">
        <f aca="false">+DC13/DD13-1</f>
        <v>#DIV/0!</v>
      </c>
      <c r="DI13" s="141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488" t="n">
        <v>99.531468</v>
      </c>
      <c r="DO13" s="118" t="n">
        <f aca="false">DN13-CR13</f>
        <v>99.531468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customFormat="false" ht="14.25" hidden="false" customHeight="true" outlineLevel="0" collapsed="false">
      <c r="A14" s="2076"/>
      <c r="B14" s="2077" t="s">
        <v>1092</v>
      </c>
      <c r="C14" s="679" t="s">
        <v>1093</v>
      </c>
      <c r="D14" s="144"/>
      <c r="E14" s="144"/>
      <c r="F14" s="144"/>
      <c r="G14" s="144"/>
      <c r="H14" s="1081"/>
      <c r="I14" s="1070"/>
      <c r="J14" s="144"/>
      <c r="K14" s="144"/>
      <c r="L14" s="144"/>
      <c r="M14" s="144"/>
      <c r="N14" s="1081"/>
      <c r="O14" s="423"/>
      <c r="P14" s="144"/>
      <c r="Q14" s="144"/>
      <c r="R14" s="144"/>
      <c r="S14" s="144"/>
      <c r="T14" s="1081"/>
      <c r="U14" s="423"/>
      <c r="V14" s="144"/>
      <c r="W14" s="144"/>
      <c r="X14" s="144"/>
      <c r="Y14" s="281"/>
      <c r="Z14" s="144"/>
      <c r="AA14" s="144"/>
      <c r="AB14" s="245"/>
      <c r="AC14" s="423"/>
      <c r="AD14" s="144"/>
      <c r="AE14" s="144"/>
      <c r="AF14" s="144"/>
      <c r="AG14" s="281"/>
      <c r="AH14" s="144"/>
      <c r="AI14" s="144"/>
      <c r="AJ14" s="245"/>
      <c r="AK14" s="1989"/>
      <c r="AL14" s="144"/>
      <c r="AM14" s="144"/>
      <c r="AN14" s="144"/>
      <c r="AO14" s="144"/>
      <c r="AP14" s="281"/>
      <c r="AQ14" s="281"/>
      <c r="AR14" s="144"/>
      <c r="AS14" s="245"/>
      <c r="AT14" s="422"/>
      <c r="AU14" s="144"/>
      <c r="AV14" s="144"/>
      <c r="AW14" s="144"/>
      <c r="AX14" s="281"/>
      <c r="AY14" s="281"/>
      <c r="AZ14" s="144"/>
      <c r="BA14" s="245"/>
      <c r="BB14" s="422"/>
      <c r="BC14" s="144"/>
      <c r="BD14" s="144"/>
      <c r="BE14" s="144"/>
      <c r="BF14" s="281"/>
      <c r="BG14" s="281"/>
      <c r="BH14" s="144"/>
      <c r="BI14" s="245"/>
      <c r="BJ14" s="422"/>
      <c r="BK14" s="144"/>
      <c r="BL14" s="144"/>
      <c r="BM14" s="144"/>
      <c r="BN14" s="144"/>
      <c r="BO14" s="281"/>
      <c r="BP14" s="281"/>
      <c r="BQ14" s="144"/>
      <c r="BR14" s="245"/>
      <c r="BS14" s="423"/>
      <c r="BT14" s="144"/>
      <c r="BU14" s="144"/>
      <c r="BV14" s="144"/>
      <c r="BW14" s="281"/>
      <c r="BX14" s="281"/>
      <c r="BY14" s="144"/>
      <c r="BZ14" s="245"/>
      <c r="CA14" s="423"/>
      <c r="CB14" s="144"/>
      <c r="CC14" s="144"/>
      <c r="CD14" s="144"/>
      <c r="CE14" s="281"/>
      <c r="CF14" s="281"/>
      <c r="CG14" s="144"/>
      <c r="CH14" s="245"/>
      <c r="CI14" s="423"/>
      <c r="CJ14" s="144"/>
      <c r="CK14" s="144"/>
      <c r="CL14" s="144"/>
      <c r="CM14" s="281"/>
      <c r="CN14" s="281"/>
      <c r="CO14" s="144"/>
      <c r="CP14" s="245"/>
      <c r="CQ14" s="422"/>
      <c r="CR14" s="173"/>
      <c r="CS14" s="173"/>
      <c r="CT14" s="173"/>
      <c r="CU14" s="144" t="n">
        <f aca="false">+CR14-CS14</f>
        <v>0</v>
      </c>
      <c r="CV14" s="144" t="n">
        <f aca="false">+CR14-CT14</f>
        <v>0</v>
      </c>
      <c r="CW14" s="173"/>
      <c r="CX14" s="245" t="str">
        <f aca="false">IFERROR(+CR14/CW14-1, "-")</f>
        <v>-</v>
      </c>
      <c r="CY14" s="2059"/>
      <c r="CZ14" s="426"/>
      <c r="DA14" s="144"/>
      <c r="DB14" s="144"/>
      <c r="DC14" s="144"/>
      <c r="DD14" s="144"/>
      <c r="DE14" s="245"/>
      <c r="DF14" s="245"/>
      <c r="DG14" s="245" t="e">
        <f aca="false">+DB14/DD14-1</f>
        <v>#DIV/0!</v>
      </c>
      <c r="DH14" s="245" t="e">
        <f aca="false">+DC14/DD14-1</f>
        <v>#DIV/0!</v>
      </c>
      <c r="DI14" s="141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N14" s="488" t="n">
        <f aca="false">0/(10^6)</f>
        <v>0</v>
      </c>
      <c r="DO14" s="118" t="n">
        <f aca="false">DN14-CR14</f>
        <v>0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</row>
    <row r="15" customFormat="false" ht="15" hidden="false" customHeight="true" outlineLevel="0" collapsed="false">
      <c r="A15" s="2076"/>
      <c r="B15" s="2077" t="s">
        <v>1094</v>
      </c>
      <c r="C15" s="679" t="s">
        <v>1095</v>
      </c>
      <c r="D15" s="144"/>
      <c r="E15" s="144"/>
      <c r="F15" s="144"/>
      <c r="G15" s="144"/>
      <c r="H15" s="1081"/>
      <c r="I15" s="1070"/>
      <c r="J15" s="144"/>
      <c r="K15" s="144"/>
      <c r="L15" s="144"/>
      <c r="M15" s="144"/>
      <c r="N15" s="1081"/>
      <c r="O15" s="423"/>
      <c r="P15" s="144"/>
      <c r="Q15" s="144"/>
      <c r="R15" s="144"/>
      <c r="S15" s="144"/>
      <c r="T15" s="1081"/>
      <c r="U15" s="423"/>
      <c r="V15" s="144"/>
      <c r="W15" s="144"/>
      <c r="X15" s="144"/>
      <c r="Y15" s="281"/>
      <c r="Z15" s="144"/>
      <c r="AA15" s="144"/>
      <c r="AB15" s="245"/>
      <c r="AC15" s="423"/>
      <c r="AD15" s="144"/>
      <c r="AE15" s="144"/>
      <c r="AF15" s="144"/>
      <c r="AG15" s="281"/>
      <c r="AH15" s="144"/>
      <c r="AI15" s="144"/>
      <c r="AJ15" s="245"/>
      <c r="AK15" s="1989"/>
      <c r="AL15" s="144"/>
      <c r="AM15" s="144"/>
      <c r="AN15" s="144"/>
      <c r="AO15" s="144"/>
      <c r="AP15" s="281"/>
      <c r="AQ15" s="281"/>
      <c r="AR15" s="144"/>
      <c r="AS15" s="245"/>
      <c r="AT15" s="422"/>
      <c r="AU15" s="144"/>
      <c r="AV15" s="144"/>
      <c r="AW15" s="144"/>
      <c r="AX15" s="281"/>
      <c r="AY15" s="281"/>
      <c r="AZ15" s="144"/>
      <c r="BA15" s="245"/>
      <c r="BB15" s="422"/>
      <c r="BC15" s="144"/>
      <c r="BD15" s="144"/>
      <c r="BE15" s="144"/>
      <c r="BF15" s="281"/>
      <c r="BG15" s="281"/>
      <c r="BH15" s="144"/>
      <c r="BI15" s="245"/>
      <c r="BJ15" s="422"/>
      <c r="BK15" s="144"/>
      <c r="BL15" s="144"/>
      <c r="BM15" s="144"/>
      <c r="BN15" s="144"/>
      <c r="BO15" s="281"/>
      <c r="BP15" s="281"/>
      <c r="BQ15" s="144"/>
      <c r="BR15" s="245"/>
      <c r="BS15" s="423"/>
      <c r="BT15" s="144"/>
      <c r="BU15" s="144"/>
      <c r="BV15" s="144"/>
      <c r="BW15" s="281"/>
      <c r="BX15" s="281"/>
      <c r="BY15" s="144"/>
      <c r="BZ15" s="245"/>
      <c r="CA15" s="423"/>
      <c r="CB15" s="144"/>
      <c r="CC15" s="144"/>
      <c r="CD15" s="144"/>
      <c r="CE15" s="281"/>
      <c r="CF15" s="281"/>
      <c r="CG15" s="144"/>
      <c r="CH15" s="245"/>
      <c r="CI15" s="423"/>
      <c r="CJ15" s="144"/>
      <c r="CK15" s="144"/>
      <c r="CL15" s="144"/>
      <c r="CM15" s="281"/>
      <c r="CN15" s="281"/>
      <c r="CO15" s="144"/>
      <c r="CP15" s="245"/>
      <c r="CQ15" s="422"/>
      <c r="CR15" s="173"/>
      <c r="CS15" s="173"/>
      <c r="CT15" s="173"/>
      <c r="CU15" s="144" t="n">
        <f aca="false">+CR15-CS15</f>
        <v>0</v>
      </c>
      <c r="CV15" s="144" t="n">
        <f aca="false">+CR15-CT15</f>
        <v>0</v>
      </c>
      <c r="CW15" s="173"/>
      <c r="CX15" s="245" t="str">
        <f aca="false">IFERROR(+CR15/CW15-1, "-")</f>
        <v>-</v>
      </c>
      <c r="CY15" s="2059"/>
      <c r="CZ15" s="426"/>
      <c r="DA15" s="144"/>
      <c r="DB15" s="144"/>
      <c r="DC15" s="144"/>
      <c r="DD15" s="144"/>
      <c r="DE15" s="245" t="e">
        <f aca="false">+CZ15/DD15-1</f>
        <v>#DIV/0!</v>
      </c>
      <c r="DF15" s="245"/>
      <c r="DG15" s="245"/>
      <c r="DH15" s="245"/>
      <c r="DI15" s="141"/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N15" s="488" t="n">
        <v>1010.387318</v>
      </c>
      <c r="DO15" s="118" t="n">
        <f aca="false">DN15-CR15</f>
        <v>1010.387318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</row>
    <row r="16" customFormat="false" ht="15" hidden="false" customHeight="true" outlineLevel="0" collapsed="false">
      <c r="A16" s="2076"/>
      <c r="B16" s="2077" t="s">
        <v>1096</v>
      </c>
      <c r="C16" s="679" t="s">
        <v>1097</v>
      </c>
      <c r="D16" s="144"/>
      <c r="E16" s="144"/>
      <c r="F16" s="144"/>
      <c r="G16" s="144"/>
      <c r="H16" s="1081"/>
      <c r="I16" s="1070"/>
      <c r="J16" s="144"/>
      <c r="K16" s="144"/>
      <c r="L16" s="144"/>
      <c r="M16" s="144"/>
      <c r="N16" s="1081"/>
      <c r="O16" s="423"/>
      <c r="P16" s="144"/>
      <c r="Q16" s="144"/>
      <c r="R16" s="144"/>
      <c r="S16" s="144"/>
      <c r="T16" s="1081"/>
      <c r="U16" s="423"/>
      <c r="V16" s="144"/>
      <c r="W16" s="144"/>
      <c r="X16" s="144"/>
      <c r="Y16" s="281"/>
      <c r="Z16" s="144"/>
      <c r="AA16" s="144"/>
      <c r="AB16" s="245"/>
      <c r="AC16" s="423"/>
      <c r="AD16" s="144"/>
      <c r="AE16" s="144"/>
      <c r="AF16" s="144"/>
      <c r="AG16" s="281"/>
      <c r="AH16" s="144"/>
      <c r="AI16" s="144"/>
      <c r="AJ16" s="245"/>
      <c r="AK16" s="1989"/>
      <c r="AL16" s="144"/>
      <c r="AM16" s="144"/>
      <c r="AN16" s="144"/>
      <c r="AO16" s="144"/>
      <c r="AP16" s="281"/>
      <c r="AQ16" s="281"/>
      <c r="AR16" s="144"/>
      <c r="AS16" s="245"/>
      <c r="AT16" s="422"/>
      <c r="AU16" s="144"/>
      <c r="AV16" s="144"/>
      <c r="AW16" s="144"/>
      <c r="AX16" s="281"/>
      <c r="AY16" s="281"/>
      <c r="AZ16" s="144"/>
      <c r="BA16" s="245"/>
      <c r="BB16" s="422"/>
      <c r="BC16" s="144"/>
      <c r="BD16" s="144"/>
      <c r="BE16" s="144"/>
      <c r="BF16" s="281"/>
      <c r="BG16" s="281"/>
      <c r="BH16" s="144"/>
      <c r="BI16" s="245"/>
      <c r="BJ16" s="422"/>
      <c r="BK16" s="144"/>
      <c r="BL16" s="144"/>
      <c r="BM16" s="144"/>
      <c r="BN16" s="144"/>
      <c r="BO16" s="281"/>
      <c r="BP16" s="281"/>
      <c r="BQ16" s="144"/>
      <c r="BR16" s="245"/>
      <c r="BS16" s="423"/>
      <c r="BT16" s="144"/>
      <c r="BU16" s="144"/>
      <c r="BV16" s="144"/>
      <c r="BW16" s="281"/>
      <c r="BX16" s="281"/>
      <c r="BY16" s="144"/>
      <c r="BZ16" s="245"/>
      <c r="CA16" s="423"/>
      <c r="CB16" s="144"/>
      <c r="CC16" s="144"/>
      <c r="CD16" s="144"/>
      <c r="CE16" s="281"/>
      <c r="CF16" s="281"/>
      <c r="CG16" s="144"/>
      <c r="CH16" s="245"/>
      <c r="CI16" s="423"/>
      <c r="CJ16" s="144"/>
      <c r="CK16" s="144"/>
      <c r="CL16" s="144"/>
      <c r="CM16" s="281"/>
      <c r="CN16" s="281"/>
      <c r="CO16" s="144"/>
      <c r="CP16" s="245"/>
      <c r="CQ16" s="422"/>
      <c r="CR16" s="173"/>
      <c r="CS16" s="173"/>
      <c r="CT16" s="173"/>
      <c r="CU16" s="144" t="n">
        <f aca="false">+CR16-CS16</f>
        <v>0</v>
      </c>
      <c r="CV16" s="144" t="n">
        <f aca="false">+CR16-CT16</f>
        <v>0</v>
      </c>
      <c r="CW16" s="173"/>
      <c r="CX16" s="245" t="str">
        <f aca="false">IFERROR(+CR16/CW16-1, "-")</f>
        <v>-</v>
      </c>
      <c r="CY16" s="2059"/>
      <c r="CZ16" s="426"/>
      <c r="DA16" s="144"/>
      <c r="DB16" s="144"/>
      <c r="DC16" s="144"/>
      <c r="DD16" s="144"/>
      <c r="DE16" s="245"/>
      <c r="DF16" s="245"/>
      <c r="DG16" s="245"/>
      <c r="DH16" s="245"/>
      <c r="DI16" s="141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N16" s="488" t="n">
        <f aca="false">0/(10^6)</f>
        <v>0</v>
      </c>
      <c r="DO16" s="118" t="n">
        <f aca="false">DN16-CR16</f>
        <v>0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</row>
    <row r="17" customFormat="false" ht="15" hidden="false" customHeight="true" outlineLevel="0" collapsed="false">
      <c r="A17" s="2076"/>
      <c r="B17" s="2077" t="s">
        <v>1098</v>
      </c>
      <c r="C17" s="679" t="s">
        <v>1099</v>
      </c>
      <c r="D17" s="144"/>
      <c r="E17" s="144"/>
      <c r="F17" s="144"/>
      <c r="G17" s="144"/>
      <c r="H17" s="1081"/>
      <c r="I17" s="1070"/>
      <c r="J17" s="144"/>
      <c r="K17" s="144"/>
      <c r="L17" s="144"/>
      <c r="M17" s="144"/>
      <c r="N17" s="1081"/>
      <c r="O17" s="423"/>
      <c r="P17" s="144"/>
      <c r="Q17" s="144"/>
      <c r="R17" s="144"/>
      <c r="S17" s="144"/>
      <c r="T17" s="1081"/>
      <c r="U17" s="423"/>
      <c r="V17" s="144"/>
      <c r="W17" s="144"/>
      <c r="X17" s="144"/>
      <c r="Y17" s="281"/>
      <c r="Z17" s="144"/>
      <c r="AA17" s="144"/>
      <c r="AB17" s="245"/>
      <c r="AC17" s="423"/>
      <c r="AD17" s="144"/>
      <c r="AE17" s="144"/>
      <c r="AF17" s="144"/>
      <c r="AG17" s="281"/>
      <c r="AH17" s="144"/>
      <c r="AI17" s="144"/>
      <c r="AJ17" s="245"/>
      <c r="AK17" s="1989"/>
      <c r="AL17" s="144"/>
      <c r="AM17" s="144"/>
      <c r="AN17" s="144"/>
      <c r="AO17" s="144"/>
      <c r="AP17" s="281"/>
      <c r="AQ17" s="281"/>
      <c r="AR17" s="144"/>
      <c r="AS17" s="245"/>
      <c r="AT17" s="422"/>
      <c r="AU17" s="144"/>
      <c r="AV17" s="144"/>
      <c r="AW17" s="144"/>
      <c r="AX17" s="281"/>
      <c r="AY17" s="281"/>
      <c r="AZ17" s="144"/>
      <c r="BA17" s="245"/>
      <c r="BB17" s="422"/>
      <c r="BC17" s="144"/>
      <c r="BD17" s="144"/>
      <c r="BE17" s="144"/>
      <c r="BF17" s="281"/>
      <c r="BG17" s="281"/>
      <c r="BH17" s="144"/>
      <c r="BI17" s="245"/>
      <c r="BJ17" s="422"/>
      <c r="BK17" s="144"/>
      <c r="BL17" s="144"/>
      <c r="BM17" s="144"/>
      <c r="BN17" s="144"/>
      <c r="BO17" s="281"/>
      <c r="BP17" s="281"/>
      <c r="BQ17" s="144"/>
      <c r="BR17" s="245"/>
      <c r="BS17" s="423"/>
      <c r="BT17" s="144"/>
      <c r="BU17" s="144"/>
      <c r="BV17" s="144"/>
      <c r="BW17" s="281"/>
      <c r="BX17" s="281"/>
      <c r="BY17" s="144"/>
      <c r="BZ17" s="245"/>
      <c r="CA17" s="423"/>
      <c r="CB17" s="144"/>
      <c r="CC17" s="144"/>
      <c r="CD17" s="144"/>
      <c r="CE17" s="281"/>
      <c r="CF17" s="281"/>
      <c r="CG17" s="144"/>
      <c r="CH17" s="245"/>
      <c r="CI17" s="423"/>
      <c r="CJ17" s="144"/>
      <c r="CK17" s="144"/>
      <c r="CL17" s="144"/>
      <c r="CM17" s="281"/>
      <c r="CN17" s="281"/>
      <c r="CO17" s="144"/>
      <c r="CP17" s="245"/>
      <c r="CQ17" s="422"/>
      <c r="CR17" s="173"/>
      <c r="CS17" s="173"/>
      <c r="CT17" s="173"/>
      <c r="CU17" s="144" t="n">
        <f aca="false">+CR17-CS17</f>
        <v>0</v>
      </c>
      <c r="CV17" s="144" t="n">
        <f aca="false">+CR17-CT17</f>
        <v>0</v>
      </c>
      <c r="CW17" s="173"/>
      <c r="CX17" s="245" t="str">
        <f aca="false">IFERROR(+CR17/CW17-1, "-")</f>
        <v>-</v>
      </c>
      <c r="CY17" s="2059"/>
      <c r="CZ17" s="426"/>
      <c r="DA17" s="144"/>
      <c r="DB17" s="144"/>
      <c r="DC17" s="144"/>
      <c r="DD17" s="144"/>
      <c r="DE17" s="245"/>
      <c r="DF17" s="245"/>
      <c r="DG17" s="245"/>
      <c r="DH17" s="245"/>
      <c r="DI17" s="141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N17" s="488" t="n">
        <f aca="false">0/(10^6)</f>
        <v>0</v>
      </c>
      <c r="DO17" s="118" t="n">
        <f aca="false">DN17-CR17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customFormat="false" ht="15" hidden="false" customHeight="true" outlineLevel="0" collapsed="false">
      <c r="A18" s="2076"/>
      <c r="B18" s="2077" t="s">
        <v>1100</v>
      </c>
      <c r="C18" s="679" t="s">
        <v>1101</v>
      </c>
      <c r="D18" s="144"/>
      <c r="E18" s="144"/>
      <c r="F18" s="144"/>
      <c r="G18" s="144"/>
      <c r="H18" s="1081"/>
      <c r="I18" s="1070"/>
      <c r="J18" s="144"/>
      <c r="K18" s="144"/>
      <c r="L18" s="144"/>
      <c r="M18" s="144"/>
      <c r="N18" s="1081"/>
      <c r="O18" s="423"/>
      <c r="P18" s="144"/>
      <c r="Q18" s="144"/>
      <c r="R18" s="144"/>
      <c r="S18" s="144"/>
      <c r="T18" s="1081"/>
      <c r="U18" s="423"/>
      <c r="V18" s="144"/>
      <c r="W18" s="144"/>
      <c r="X18" s="144"/>
      <c r="Y18" s="281"/>
      <c r="Z18" s="144"/>
      <c r="AA18" s="144"/>
      <c r="AB18" s="245"/>
      <c r="AC18" s="423"/>
      <c r="AD18" s="144"/>
      <c r="AE18" s="144"/>
      <c r="AF18" s="144"/>
      <c r="AG18" s="281"/>
      <c r="AH18" s="144"/>
      <c r="AI18" s="144"/>
      <c r="AJ18" s="245"/>
      <c r="AK18" s="1989"/>
      <c r="AL18" s="144"/>
      <c r="AM18" s="144"/>
      <c r="AN18" s="144"/>
      <c r="AO18" s="144"/>
      <c r="AP18" s="281"/>
      <c r="AQ18" s="281"/>
      <c r="AR18" s="144"/>
      <c r="AS18" s="245"/>
      <c r="AT18" s="422"/>
      <c r="AU18" s="144"/>
      <c r="AV18" s="144"/>
      <c r="AW18" s="144"/>
      <c r="AX18" s="281"/>
      <c r="AY18" s="281"/>
      <c r="AZ18" s="144"/>
      <c r="BA18" s="245"/>
      <c r="BB18" s="422"/>
      <c r="BC18" s="144"/>
      <c r="BD18" s="144"/>
      <c r="BE18" s="144"/>
      <c r="BF18" s="281"/>
      <c r="BG18" s="281"/>
      <c r="BH18" s="144"/>
      <c r="BI18" s="245"/>
      <c r="BJ18" s="422"/>
      <c r="BK18" s="144"/>
      <c r="BL18" s="144"/>
      <c r="BM18" s="144"/>
      <c r="BN18" s="144"/>
      <c r="BO18" s="281"/>
      <c r="BP18" s="281"/>
      <c r="BQ18" s="144"/>
      <c r="BR18" s="245"/>
      <c r="BS18" s="423"/>
      <c r="BT18" s="144"/>
      <c r="BU18" s="144"/>
      <c r="BV18" s="144"/>
      <c r="BW18" s="281"/>
      <c r="BX18" s="281"/>
      <c r="BY18" s="144"/>
      <c r="BZ18" s="245"/>
      <c r="CA18" s="423"/>
      <c r="CB18" s="144"/>
      <c r="CC18" s="144"/>
      <c r="CD18" s="144"/>
      <c r="CE18" s="281"/>
      <c r="CF18" s="281"/>
      <c r="CG18" s="144"/>
      <c r="CH18" s="245"/>
      <c r="CI18" s="423"/>
      <c r="CJ18" s="144"/>
      <c r="CK18" s="144"/>
      <c r="CL18" s="144"/>
      <c r="CM18" s="281"/>
      <c r="CN18" s="281"/>
      <c r="CO18" s="144"/>
      <c r="CP18" s="245"/>
      <c r="CQ18" s="422"/>
      <c r="CR18" s="173"/>
      <c r="CS18" s="173"/>
      <c r="CT18" s="173"/>
      <c r="CU18" s="144" t="n">
        <f aca="false">+CR18-CS18</f>
        <v>0</v>
      </c>
      <c r="CV18" s="144" t="n">
        <f aca="false">+CR18-CT18</f>
        <v>0</v>
      </c>
      <c r="CW18" s="173"/>
      <c r="CX18" s="245" t="str">
        <f aca="false">IFERROR(+CR18/CW18-1, "-")</f>
        <v>-</v>
      </c>
      <c r="CY18" s="2059"/>
      <c r="CZ18" s="426"/>
      <c r="DA18" s="144"/>
      <c r="DB18" s="144"/>
      <c r="DC18" s="144"/>
      <c r="DD18" s="144"/>
      <c r="DE18" s="245" t="e">
        <f aca="false">+CZ18/DD18-1</f>
        <v>#DIV/0!</v>
      </c>
      <c r="DF18" s="245" t="e">
        <f aca="false">+DA18/DD18-1</f>
        <v>#DIV/0!</v>
      </c>
      <c r="DG18" s="245" t="e">
        <f aca="false">+DB18/DD18-1</f>
        <v>#DIV/0!</v>
      </c>
      <c r="DH18" s="245" t="e">
        <f aca="false">+DC18/DD18-1</f>
        <v>#DIV/0!</v>
      </c>
      <c r="DI18" s="141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N18" s="488" t="n">
        <v>1427.100156</v>
      </c>
      <c r="DO18" s="118" t="n">
        <f aca="false">DN18-CR18</f>
        <v>1427.100156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customFormat="false" ht="15" hidden="false" customHeight="true" outlineLevel="0" collapsed="false">
      <c r="A19" s="2076"/>
      <c r="B19" s="2077" t="s">
        <v>1102</v>
      </c>
      <c r="C19" s="679" t="s">
        <v>1103</v>
      </c>
      <c r="D19" s="144"/>
      <c r="E19" s="144"/>
      <c r="F19" s="144"/>
      <c r="G19" s="144"/>
      <c r="H19" s="1081"/>
      <c r="I19" s="1070"/>
      <c r="J19" s="144"/>
      <c r="K19" s="144"/>
      <c r="L19" s="144"/>
      <c r="M19" s="144"/>
      <c r="N19" s="1081"/>
      <c r="O19" s="423"/>
      <c r="P19" s="144"/>
      <c r="Q19" s="144"/>
      <c r="R19" s="144"/>
      <c r="S19" s="144"/>
      <c r="T19" s="1081"/>
      <c r="U19" s="423"/>
      <c r="V19" s="144"/>
      <c r="W19" s="144"/>
      <c r="X19" s="144"/>
      <c r="Y19" s="281"/>
      <c r="Z19" s="144"/>
      <c r="AA19" s="144"/>
      <c r="AB19" s="245"/>
      <c r="AC19" s="423"/>
      <c r="AD19" s="144"/>
      <c r="AE19" s="144"/>
      <c r="AF19" s="144"/>
      <c r="AG19" s="281"/>
      <c r="AH19" s="144"/>
      <c r="AI19" s="144"/>
      <c r="AJ19" s="245"/>
      <c r="AK19" s="1989"/>
      <c r="AL19" s="144"/>
      <c r="AM19" s="144"/>
      <c r="AN19" s="144"/>
      <c r="AO19" s="144"/>
      <c r="AP19" s="281"/>
      <c r="AQ19" s="281"/>
      <c r="AR19" s="144"/>
      <c r="AS19" s="245"/>
      <c r="AT19" s="422"/>
      <c r="AU19" s="144"/>
      <c r="AV19" s="144"/>
      <c r="AW19" s="144"/>
      <c r="AX19" s="281"/>
      <c r="AY19" s="281"/>
      <c r="AZ19" s="144"/>
      <c r="BA19" s="245"/>
      <c r="BB19" s="422"/>
      <c r="BC19" s="144"/>
      <c r="BD19" s="144"/>
      <c r="BE19" s="144"/>
      <c r="BF19" s="281"/>
      <c r="BG19" s="281"/>
      <c r="BH19" s="144"/>
      <c r="BI19" s="245"/>
      <c r="BJ19" s="422"/>
      <c r="BK19" s="144"/>
      <c r="BL19" s="144"/>
      <c r="BM19" s="144"/>
      <c r="BN19" s="144"/>
      <c r="BO19" s="281"/>
      <c r="BP19" s="281"/>
      <c r="BQ19" s="144"/>
      <c r="BR19" s="245"/>
      <c r="BS19" s="423"/>
      <c r="BT19" s="144"/>
      <c r="BU19" s="144"/>
      <c r="BV19" s="144"/>
      <c r="BW19" s="281"/>
      <c r="BX19" s="281"/>
      <c r="BY19" s="144"/>
      <c r="BZ19" s="245"/>
      <c r="CA19" s="423"/>
      <c r="CB19" s="144"/>
      <c r="CC19" s="144"/>
      <c r="CD19" s="144"/>
      <c r="CE19" s="281"/>
      <c r="CF19" s="281"/>
      <c r="CG19" s="144"/>
      <c r="CH19" s="245"/>
      <c r="CI19" s="423"/>
      <c r="CJ19" s="144"/>
      <c r="CK19" s="144"/>
      <c r="CL19" s="144"/>
      <c r="CM19" s="281"/>
      <c r="CN19" s="281"/>
      <c r="CO19" s="144"/>
      <c r="CP19" s="245"/>
      <c r="CQ19" s="422"/>
      <c r="CR19" s="173"/>
      <c r="CS19" s="173"/>
      <c r="CT19" s="173"/>
      <c r="CU19" s="144" t="n">
        <f aca="false">+CR19-CS19</f>
        <v>0</v>
      </c>
      <c r="CV19" s="144" t="n">
        <f aca="false">+CR19-CT19</f>
        <v>0</v>
      </c>
      <c r="CW19" s="173"/>
      <c r="CX19" s="245" t="str">
        <f aca="false">IFERROR(+CR19/CW19-1, "-")</f>
        <v>-</v>
      </c>
      <c r="CY19" s="2059"/>
      <c r="CZ19" s="426"/>
      <c r="DA19" s="144"/>
      <c r="DB19" s="144"/>
      <c r="DC19" s="144"/>
      <c r="DD19" s="144"/>
      <c r="DE19" s="245"/>
      <c r="DF19" s="245"/>
      <c r="DG19" s="245"/>
      <c r="DH19" s="245"/>
      <c r="DI19" s="141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N19" s="488" t="n">
        <f aca="false">0/(10^6)</f>
        <v>0</v>
      </c>
      <c r="DO19" s="118" t="n">
        <f aca="false">DN19-CR19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customFormat="false" ht="15" hidden="false" customHeight="true" outlineLevel="0" collapsed="false">
      <c r="A20" s="2076"/>
      <c r="B20" s="2077" t="s">
        <v>1104</v>
      </c>
      <c r="C20" s="679" t="s">
        <v>1105</v>
      </c>
      <c r="D20" s="144"/>
      <c r="E20" s="144"/>
      <c r="F20" s="144"/>
      <c r="G20" s="144"/>
      <c r="H20" s="1081"/>
      <c r="I20" s="1070"/>
      <c r="J20" s="144"/>
      <c r="K20" s="144"/>
      <c r="L20" s="144"/>
      <c r="M20" s="144"/>
      <c r="N20" s="1081"/>
      <c r="O20" s="423"/>
      <c r="P20" s="144"/>
      <c r="Q20" s="144"/>
      <c r="R20" s="144"/>
      <c r="S20" s="144"/>
      <c r="T20" s="1081"/>
      <c r="U20" s="423"/>
      <c r="V20" s="144"/>
      <c r="W20" s="144"/>
      <c r="X20" s="144"/>
      <c r="Y20" s="281"/>
      <c r="Z20" s="144"/>
      <c r="AA20" s="144"/>
      <c r="AB20" s="245"/>
      <c r="AC20" s="423"/>
      <c r="AD20" s="144"/>
      <c r="AE20" s="144"/>
      <c r="AF20" s="144"/>
      <c r="AG20" s="281"/>
      <c r="AH20" s="144"/>
      <c r="AI20" s="144"/>
      <c r="AJ20" s="245"/>
      <c r="AK20" s="1989"/>
      <c r="AL20" s="144"/>
      <c r="AM20" s="144"/>
      <c r="AN20" s="144"/>
      <c r="AO20" s="144"/>
      <c r="AP20" s="281"/>
      <c r="AQ20" s="281"/>
      <c r="AR20" s="144"/>
      <c r="AS20" s="245"/>
      <c r="AT20" s="422"/>
      <c r="AU20" s="144"/>
      <c r="AV20" s="144"/>
      <c r="AW20" s="144"/>
      <c r="AX20" s="281"/>
      <c r="AY20" s="281"/>
      <c r="AZ20" s="144"/>
      <c r="BA20" s="245"/>
      <c r="BB20" s="422"/>
      <c r="BC20" s="144"/>
      <c r="BD20" s="144"/>
      <c r="BE20" s="144"/>
      <c r="BF20" s="281"/>
      <c r="BG20" s="281"/>
      <c r="BH20" s="144"/>
      <c r="BI20" s="245"/>
      <c r="BJ20" s="422"/>
      <c r="BK20" s="144"/>
      <c r="BL20" s="144"/>
      <c r="BM20" s="144"/>
      <c r="BN20" s="144"/>
      <c r="BO20" s="281"/>
      <c r="BP20" s="281"/>
      <c r="BQ20" s="144"/>
      <c r="BR20" s="245"/>
      <c r="BS20" s="423"/>
      <c r="BT20" s="144"/>
      <c r="BU20" s="144"/>
      <c r="BV20" s="144"/>
      <c r="BW20" s="281"/>
      <c r="BX20" s="281"/>
      <c r="BY20" s="144"/>
      <c r="BZ20" s="245"/>
      <c r="CA20" s="423"/>
      <c r="CB20" s="144"/>
      <c r="CC20" s="144"/>
      <c r="CD20" s="144"/>
      <c r="CE20" s="281"/>
      <c r="CF20" s="281"/>
      <c r="CG20" s="144"/>
      <c r="CH20" s="245"/>
      <c r="CI20" s="423"/>
      <c r="CJ20" s="144"/>
      <c r="CK20" s="144"/>
      <c r="CL20" s="144"/>
      <c r="CM20" s="281"/>
      <c r="CN20" s="281"/>
      <c r="CO20" s="144"/>
      <c r="CP20" s="245"/>
      <c r="CQ20" s="422"/>
      <c r="CR20" s="173"/>
      <c r="CS20" s="173"/>
      <c r="CT20" s="173"/>
      <c r="CU20" s="144" t="n">
        <f aca="false">+CR20-CS20</f>
        <v>0</v>
      </c>
      <c r="CV20" s="144" t="n">
        <f aca="false">+CR20-CT20</f>
        <v>0</v>
      </c>
      <c r="CW20" s="173"/>
      <c r="CX20" s="245" t="str">
        <f aca="false">IFERROR(+CR20/CW20-1, "-")</f>
        <v>-</v>
      </c>
      <c r="CY20" s="2059"/>
      <c r="CZ20" s="426"/>
      <c r="DA20" s="144"/>
      <c r="DB20" s="144"/>
      <c r="DC20" s="144"/>
      <c r="DD20" s="144"/>
      <c r="DE20" s="245"/>
      <c r="DF20" s="245"/>
      <c r="DG20" s="245"/>
      <c r="DH20" s="245"/>
      <c r="DI20" s="141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N20" s="488" t="n">
        <f aca="false">0/(10^6)</f>
        <v>0</v>
      </c>
      <c r="DO20" s="118" t="n">
        <f aca="false">DN20-CR20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customFormat="false" ht="15" hidden="false" customHeight="true" outlineLevel="0" collapsed="false">
      <c r="A21" s="601"/>
      <c r="B21" s="2078" t="s">
        <v>1106</v>
      </c>
      <c r="C21" s="679" t="s">
        <v>1107</v>
      </c>
      <c r="D21" s="545"/>
      <c r="E21" s="2079"/>
      <c r="F21" s="2079"/>
      <c r="G21" s="2079"/>
      <c r="H21" s="583"/>
      <c r="I21" s="1070"/>
      <c r="J21" s="545"/>
      <c r="K21" s="2079"/>
      <c r="L21" s="2079"/>
      <c r="M21" s="2079"/>
      <c r="N21" s="583"/>
      <c r="O21" s="548"/>
      <c r="P21" s="545"/>
      <c r="Q21" s="2079"/>
      <c r="R21" s="2079"/>
      <c r="S21" s="2079"/>
      <c r="T21" s="583"/>
      <c r="U21" s="548"/>
      <c r="V21" s="545"/>
      <c r="W21" s="2079"/>
      <c r="X21" s="2079"/>
      <c r="Y21" s="544"/>
      <c r="Z21" s="2079"/>
      <c r="AA21" s="2079"/>
      <c r="AB21" s="546"/>
      <c r="AC21" s="548"/>
      <c r="AD21" s="545"/>
      <c r="AE21" s="2079"/>
      <c r="AF21" s="2079"/>
      <c r="AG21" s="544"/>
      <c r="AH21" s="2079"/>
      <c r="AI21" s="2079"/>
      <c r="AJ21" s="546"/>
      <c r="AK21" s="2020"/>
      <c r="AL21" s="545"/>
      <c r="AM21" s="2079"/>
      <c r="AN21" s="2079"/>
      <c r="AO21" s="2079"/>
      <c r="AP21" s="544"/>
      <c r="AQ21" s="544"/>
      <c r="AR21" s="2079"/>
      <c r="AS21" s="546"/>
      <c r="AT21" s="547"/>
      <c r="AU21" s="545"/>
      <c r="AV21" s="2079"/>
      <c r="AW21" s="2079"/>
      <c r="AX21" s="544"/>
      <c r="AY21" s="544"/>
      <c r="AZ21" s="2079"/>
      <c r="BA21" s="546"/>
      <c r="BB21" s="547"/>
      <c r="BC21" s="545"/>
      <c r="BD21" s="2079"/>
      <c r="BE21" s="2079"/>
      <c r="BF21" s="544"/>
      <c r="BG21" s="544"/>
      <c r="BH21" s="2079"/>
      <c r="BI21" s="546"/>
      <c r="BJ21" s="547"/>
      <c r="BK21" s="545"/>
      <c r="BL21" s="2079"/>
      <c r="BM21" s="2079"/>
      <c r="BN21" s="2079"/>
      <c r="BO21" s="544"/>
      <c r="BP21" s="544"/>
      <c r="BQ21" s="2079"/>
      <c r="BR21" s="546"/>
      <c r="BS21" s="548"/>
      <c r="BT21" s="545"/>
      <c r="BU21" s="2079"/>
      <c r="BV21" s="2079"/>
      <c r="BW21" s="544"/>
      <c r="BX21" s="544"/>
      <c r="BY21" s="2079"/>
      <c r="BZ21" s="546"/>
      <c r="CA21" s="548"/>
      <c r="CB21" s="545"/>
      <c r="CC21" s="2079"/>
      <c r="CD21" s="2079"/>
      <c r="CE21" s="544"/>
      <c r="CF21" s="544"/>
      <c r="CG21" s="2079"/>
      <c r="CH21" s="546"/>
      <c r="CI21" s="548"/>
      <c r="CJ21" s="545"/>
      <c r="CK21" s="2079"/>
      <c r="CL21" s="2079"/>
      <c r="CM21" s="544"/>
      <c r="CN21" s="544"/>
      <c r="CO21" s="2079"/>
      <c r="CP21" s="546"/>
      <c r="CQ21" s="1989"/>
      <c r="CR21" s="2079"/>
      <c r="CS21" s="2079"/>
      <c r="CT21" s="2079"/>
      <c r="CU21" s="2079" t="n">
        <f aca="false">+CR21-CS21</f>
        <v>0</v>
      </c>
      <c r="CV21" s="2079" t="n">
        <f aca="false">+CR21-CT21</f>
        <v>0</v>
      </c>
      <c r="CW21" s="2079"/>
      <c r="CX21" s="245" t="str">
        <f aca="false">IFERROR(+CR21/CW21-1, "-")</f>
        <v>-</v>
      </c>
      <c r="CY21" s="2059"/>
      <c r="CZ21" s="2080"/>
      <c r="DA21" s="2079"/>
      <c r="DB21" s="2079"/>
      <c r="DC21" s="2079"/>
      <c r="DD21" s="2079"/>
      <c r="DE21" s="546"/>
      <c r="DF21" s="546"/>
      <c r="DG21" s="546"/>
      <c r="DH21" s="546"/>
      <c r="DI21" s="141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N21" s="2081" t="n">
        <f aca="false">0/(10^6)</f>
        <v>0</v>
      </c>
      <c r="DO21" s="118" t="n">
        <f aca="false">DN21-CR21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</row>
    <row r="22" customFormat="false" ht="4.5" hidden="false" customHeight="true" outlineLevel="0" collapsed="false">
      <c r="A22" s="38"/>
      <c r="B22" s="38"/>
      <c r="C22" s="679" t="s">
        <v>1108</v>
      </c>
      <c r="D22" s="240"/>
      <c r="E22" s="144"/>
      <c r="F22" s="144"/>
      <c r="G22" s="144"/>
      <c r="H22" s="245"/>
      <c r="I22" s="1070"/>
      <c r="J22" s="240"/>
      <c r="K22" s="144"/>
      <c r="L22" s="144"/>
      <c r="M22" s="144"/>
      <c r="N22" s="245"/>
      <c r="O22" s="423"/>
      <c r="P22" s="240"/>
      <c r="Q22" s="144"/>
      <c r="R22" s="144"/>
      <c r="S22" s="144"/>
      <c r="T22" s="245"/>
      <c r="U22" s="423"/>
      <c r="V22" s="240"/>
      <c r="W22" s="144"/>
      <c r="X22" s="144"/>
      <c r="Y22" s="281"/>
      <c r="Z22" s="144"/>
      <c r="AA22" s="144"/>
      <c r="AB22" s="245"/>
      <c r="AC22" s="423"/>
      <c r="AD22" s="240"/>
      <c r="AE22" s="144"/>
      <c r="AF22" s="144"/>
      <c r="AG22" s="281"/>
      <c r="AH22" s="144"/>
      <c r="AI22" s="144"/>
      <c r="AJ22" s="245"/>
      <c r="AK22" s="422"/>
      <c r="AL22" s="240"/>
      <c r="AM22" s="144"/>
      <c r="AN22" s="144"/>
      <c r="AO22" s="144"/>
      <c r="AP22" s="281"/>
      <c r="AQ22" s="281"/>
      <c r="AR22" s="144"/>
      <c r="AS22" s="245"/>
      <c r="AT22" s="422"/>
      <c r="AU22" s="240"/>
      <c r="AV22" s="144"/>
      <c r="AW22" s="144"/>
      <c r="AX22" s="281"/>
      <c r="AY22" s="281"/>
      <c r="AZ22" s="144"/>
      <c r="BA22" s="245"/>
      <c r="BB22" s="422"/>
      <c r="BC22" s="240"/>
      <c r="BD22" s="144"/>
      <c r="BE22" s="144"/>
      <c r="BF22" s="281"/>
      <c r="BG22" s="281"/>
      <c r="BH22" s="144"/>
      <c r="BI22" s="245"/>
      <c r="BJ22" s="422"/>
      <c r="BK22" s="240"/>
      <c r="BL22" s="144"/>
      <c r="BM22" s="144"/>
      <c r="BN22" s="144"/>
      <c r="BO22" s="281"/>
      <c r="BP22" s="281"/>
      <c r="BQ22" s="144"/>
      <c r="BR22" s="245"/>
      <c r="BS22" s="423"/>
      <c r="BT22" s="240"/>
      <c r="BU22" s="144"/>
      <c r="BV22" s="144"/>
      <c r="BW22" s="281"/>
      <c r="BX22" s="281"/>
      <c r="BY22" s="144"/>
      <c r="BZ22" s="245"/>
      <c r="CA22" s="423"/>
      <c r="CB22" s="240"/>
      <c r="CC22" s="144"/>
      <c r="CD22" s="144"/>
      <c r="CE22" s="281"/>
      <c r="CF22" s="281"/>
      <c r="CG22" s="144"/>
      <c r="CH22" s="245"/>
      <c r="CI22" s="423"/>
      <c r="CJ22" s="240"/>
      <c r="CK22" s="144"/>
      <c r="CL22" s="144"/>
      <c r="CM22" s="281"/>
      <c r="CN22" s="281"/>
      <c r="CO22" s="144"/>
      <c r="CP22" s="245"/>
      <c r="CQ22" s="422"/>
      <c r="CR22" s="144"/>
      <c r="CS22" s="144"/>
      <c r="CT22" s="144"/>
      <c r="CU22" s="144"/>
      <c r="CV22" s="144"/>
      <c r="CW22" s="144"/>
      <c r="CX22" s="245" t="str">
        <f aca="false">IFERROR(+CR22/CW22-1, "-")</f>
        <v>-</v>
      </c>
      <c r="CY22" s="2059"/>
      <c r="CZ22" s="426"/>
      <c r="DA22" s="144"/>
      <c r="DB22" s="144"/>
      <c r="DC22" s="144"/>
      <c r="DD22" s="144"/>
      <c r="DE22" s="245"/>
      <c r="DF22" s="245"/>
      <c r="DG22" s="245"/>
      <c r="DH22" s="245"/>
      <c r="DI22" s="141"/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N22" s="282"/>
      <c r="DO22" s="118" t="n">
        <f aca="false">DN22-CR22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customFormat="false" ht="23.25" hidden="false" customHeight="true" outlineLevel="0" collapsed="false">
      <c r="A23" s="2067"/>
      <c r="B23" s="1932" t="s">
        <v>1109</v>
      </c>
      <c r="C23" s="679" t="s">
        <v>1110</v>
      </c>
      <c r="D23" s="400"/>
      <c r="E23" s="400"/>
      <c r="F23" s="400"/>
      <c r="G23" s="400"/>
      <c r="H23" s="401"/>
      <c r="I23" s="126"/>
      <c r="J23" s="400"/>
      <c r="K23" s="400"/>
      <c r="L23" s="400"/>
      <c r="M23" s="400"/>
      <c r="N23" s="401"/>
      <c r="O23" s="407"/>
      <c r="P23" s="400"/>
      <c r="Q23" s="400"/>
      <c r="R23" s="400"/>
      <c r="S23" s="400"/>
      <c r="T23" s="401"/>
      <c r="U23" s="407"/>
      <c r="V23" s="400"/>
      <c r="W23" s="400"/>
      <c r="X23" s="400"/>
      <c r="Y23" s="399"/>
      <c r="Z23" s="400"/>
      <c r="AA23" s="400"/>
      <c r="AB23" s="401"/>
      <c r="AC23" s="407"/>
      <c r="AD23" s="400"/>
      <c r="AE23" s="400"/>
      <c r="AF23" s="400"/>
      <c r="AG23" s="399"/>
      <c r="AH23" s="400"/>
      <c r="AI23" s="400"/>
      <c r="AJ23" s="401"/>
      <c r="AK23" s="403"/>
      <c r="AL23" s="400"/>
      <c r="AM23" s="400"/>
      <c r="AN23" s="400"/>
      <c r="AO23" s="400"/>
      <c r="AP23" s="399"/>
      <c r="AQ23" s="399"/>
      <c r="AR23" s="400"/>
      <c r="AS23" s="401"/>
      <c r="AT23" s="403"/>
      <c r="AU23" s="400"/>
      <c r="AV23" s="400"/>
      <c r="AW23" s="400"/>
      <c r="AX23" s="399"/>
      <c r="AY23" s="399"/>
      <c r="AZ23" s="400"/>
      <c r="BA23" s="401"/>
      <c r="BB23" s="403"/>
      <c r="BC23" s="400"/>
      <c r="BD23" s="400"/>
      <c r="BE23" s="400"/>
      <c r="BF23" s="399"/>
      <c r="BG23" s="399"/>
      <c r="BH23" s="400"/>
      <c r="BI23" s="401"/>
      <c r="BJ23" s="403"/>
      <c r="BK23" s="400"/>
      <c r="BL23" s="400"/>
      <c r="BM23" s="400"/>
      <c r="BN23" s="400"/>
      <c r="BO23" s="399"/>
      <c r="BP23" s="399"/>
      <c r="BQ23" s="400"/>
      <c r="BR23" s="401"/>
      <c r="BS23" s="407"/>
      <c r="BT23" s="400"/>
      <c r="BU23" s="400"/>
      <c r="BV23" s="400"/>
      <c r="BW23" s="399"/>
      <c r="BX23" s="399"/>
      <c r="BY23" s="400"/>
      <c r="BZ23" s="401"/>
      <c r="CA23" s="407"/>
      <c r="CB23" s="400"/>
      <c r="CC23" s="400"/>
      <c r="CD23" s="400"/>
      <c r="CE23" s="399"/>
      <c r="CF23" s="399"/>
      <c r="CG23" s="400"/>
      <c r="CH23" s="401"/>
      <c r="CI23" s="407"/>
      <c r="CJ23" s="400"/>
      <c r="CK23" s="400"/>
      <c r="CL23" s="400"/>
      <c r="CM23" s="399"/>
      <c r="CN23" s="399"/>
      <c r="CO23" s="400"/>
      <c r="CP23" s="401"/>
      <c r="CQ23" s="703"/>
      <c r="CR23" s="400"/>
      <c r="CS23" s="400"/>
      <c r="CT23" s="400"/>
      <c r="CU23" s="400" t="n">
        <f aca="false">+CR23-CS23</f>
        <v>0</v>
      </c>
      <c r="CV23" s="400" t="n">
        <f aca="false">+CR23-CT23</f>
        <v>0</v>
      </c>
      <c r="CW23" s="400"/>
      <c r="CX23" s="2064" t="str">
        <f aca="false">IFERROR(+CR23/CW23-1, "-")</f>
        <v>-</v>
      </c>
      <c r="CY23" s="2065"/>
      <c r="CZ23" s="411"/>
      <c r="DA23" s="400"/>
      <c r="DB23" s="400"/>
      <c r="DC23" s="400"/>
      <c r="DD23" s="400"/>
      <c r="DE23" s="401" t="e">
        <f aca="false">+CZ23/DD23-1</f>
        <v>#DIV/0!</v>
      </c>
      <c r="DF23" s="401" t="e">
        <f aca="false">+DA23/DD23-1</f>
        <v>#DIV/0!</v>
      </c>
      <c r="DG23" s="401" t="e">
        <f aca="false">+DB23/DD23-1</f>
        <v>#DIV/0!</v>
      </c>
      <c r="DH23" s="401" t="e">
        <f aca="false">+DC23/DD23-1</f>
        <v>#DIV/0!</v>
      </c>
      <c r="DI23" s="141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2066" t="e">
        <f aca="false">SUM(DN24:DN26)</f>
        <v>#VALUE!</v>
      </c>
      <c r="DO23" s="118" t="e">
        <f aca="false">DN23-CR23</f>
        <v>#VALUE!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</row>
    <row r="24" s="976" customFormat="true" ht="15" hidden="false" customHeight="true" outlineLevel="0" collapsed="false">
      <c r="A24" s="590"/>
      <c r="B24" s="714" t="s">
        <v>1111</v>
      </c>
      <c r="C24" s="679" t="s">
        <v>1112</v>
      </c>
      <c r="D24" s="555"/>
      <c r="E24" s="555"/>
      <c r="F24" s="555"/>
      <c r="G24" s="555"/>
      <c r="H24" s="245"/>
      <c r="I24" s="2070"/>
      <c r="J24" s="555"/>
      <c r="K24" s="555"/>
      <c r="L24" s="555"/>
      <c r="M24" s="555"/>
      <c r="N24" s="245"/>
      <c r="O24" s="423"/>
      <c r="P24" s="555"/>
      <c r="Q24" s="555"/>
      <c r="R24" s="555"/>
      <c r="S24" s="555"/>
      <c r="T24" s="245"/>
      <c r="U24" s="423"/>
      <c r="V24" s="555"/>
      <c r="W24" s="555"/>
      <c r="X24" s="555"/>
      <c r="Y24" s="281"/>
      <c r="Z24" s="555"/>
      <c r="AA24" s="555"/>
      <c r="AB24" s="245"/>
      <c r="AC24" s="423"/>
      <c r="AD24" s="555"/>
      <c r="AE24" s="555"/>
      <c r="AF24" s="555"/>
      <c r="AG24" s="281"/>
      <c r="AH24" s="555"/>
      <c r="AI24" s="555"/>
      <c r="AJ24" s="245"/>
      <c r="AK24" s="422"/>
      <c r="AL24" s="555"/>
      <c r="AM24" s="555"/>
      <c r="AN24" s="555"/>
      <c r="AO24" s="555"/>
      <c r="AP24" s="281"/>
      <c r="AQ24" s="281"/>
      <c r="AR24" s="555"/>
      <c r="AS24" s="245"/>
      <c r="AT24" s="422"/>
      <c r="AU24" s="555"/>
      <c r="AV24" s="555"/>
      <c r="AW24" s="555"/>
      <c r="AX24" s="281"/>
      <c r="AY24" s="281"/>
      <c r="AZ24" s="555"/>
      <c r="BA24" s="245"/>
      <c r="BB24" s="422"/>
      <c r="BC24" s="555"/>
      <c r="BD24" s="555"/>
      <c r="BE24" s="555"/>
      <c r="BF24" s="281"/>
      <c r="BG24" s="281"/>
      <c r="BH24" s="555"/>
      <c r="BI24" s="245"/>
      <c r="BJ24" s="422"/>
      <c r="BK24" s="555"/>
      <c r="BL24" s="555"/>
      <c r="BM24" s="555"/>
      <c r="BN24" s="555"/>
      <c r="BO24" s="281"/>
      <c r="BP24" s="281"/>
      <c r="BQ24" s="555"/>
      <c r="BR24" s="245"/>
      <c r="BS24" s="423"/>
      <c r="BT24" s="555"/>
      <c r="BU24" s="555"/>
      <c r="BV24" s="555"/>
      <c r="BW24" s="281"/>
      <c r="BX24" s="281"/>
      <c r="BY24" s="555"/>
      <c r="BZ24" s="245"/>
      <c r="CA24" s="423"/>
      <c r="CB24" s="555"/>
      <c r="CC24" s="555"/>
      <c r="CD24" s="555"/>
      <c r="CE24" s="281"/>
      <c r="CF24" s="281"/>
      <c r="CG24" s="555"/>
      <c r="CH24" s="245"/>
      <c r="CI24" s="423"/>
      <c r="CJ24" s="555"/>
      <c r="CK24" s="555"/>
      <c r="CL24" s="555"/>
      <c r="CM24" s="281"/>
      <c r="CN24" s="281"/>
      <c r="CO24" s="555"/>
      <c r="CP24" s="245"/>
      <c r="CQ24" s="422"/>
      <c r="CR24" s="555"/>
      <c r="CS24" s="555"/>
      <c r="CT24" s="555"/>
      <c r="CU24" s="555" t="n">
        <f aca="false">+CR24-CS24</f>
        <v>0</v>
      </c>
      <c r="CV24" s="555" t="n">
        <f aca="false">+CR24-CT24</f>
        <v>0</v>
      </c>
      <c r="CW24" s="555"/>
      <c r="CX24" s="245" t="str">
        <f aca="false">IFERROR(+CR24/CW24-1, "-")</f>
        <v>-</v>
      </c>
      <c r="CY24" s="2071"/>
      <c r="CZ24" s="560"/>
      <c r="DA24" s="555"/>
      <c r="DB24" s="555"/>
      <c r="DC24" s="555"/>
      <c r="DD24" s="555"/>
      <c r="DE24" s="556" t="e">
        <f aca="false">+CZ24/DD24-1</f>
        <v>#DIV/0!</v>
      </c>
      <c r="DF24" s="556" t="e">
        <f aca="false">+DA24/DD24-1</f>
        <v>#DIV/0!</v>
      </c>
      <c r="DG24" s="556" t="e">
        <f aca="false">+DB24/DD24-1</f>
        <v>#DIV/0!</v>
      </c>
      <c r="DH24" s="556" t="e">
        <f aca="false">+DC24/DD24-1</f>
        <v>#DIV/0!</v>
      </c>
      <c r="DI24" s="141"/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2072" t="n">
        <v>452.757857</v>
      </c>
      <c r="DO24" s="118" t="n">
        <f aca="false">DN24-CR24</f>
        <v>452.757857</v>
      </c>
      <c r="DP24" s="975"/>
      <c r="DQ24" s="2073"/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s="976" customFormat="true" ht="15" hidden="false" customHeight="true" outlineLevel="0" collapsed="false">
      <c r="A25" s="2074"/>
      <c r="B25" s="857" t="s">
        <v>1113</v>
      </c>
      <c r="C25" s="679" t="s">
        <v>1114</v>
      </c>
      <c r="D25" s="144"/>
      <c r="E25" s="144"/>
      <c r="F25" s="144"/>
      <c r="G25" s="144"/>
      <c r="H25" s="245"/>
      <c r="I25" s="2070"/>
      <c r="J25" s="144"/>
      <c r="K25" s="144"/>
      <c r="L25" s="144"/>
      <c r="M25" s="144"/>
      <c r="N25" s="245"/>
      <c r="O25" s="423"/>
      <c r="P25" s="144"/>
      <c r="Q25" s="144"/>
      <c r="R25" s="144"/>
      <c r="S25" s="144"/>
      <c r="T25" s="245"/>
      <c r="U25" s="423"/>
      <c r="V25" s="144"/>
      <c r="W25" s="144"/>
      <c r="X25" s="144"/>
      <c r="Y25" s="281"/>
      <c r="Z25" s="184"/>
      <c r="AA25" s="144"/>
      <c r="AB25" s="245"/>
      <c r="AC25" s="423"/>
      <c r="AD25" s="144"/>
      <c r="AE25" s="144"/>
      <c r="AF25" s="144"/>
      <c r="AG25" s="281"/>
      <c r="AH25" s="184"/>
      <c r="AI25" s="144"/>
      <c r="AJ25" s="245"/>
      <c r="AK25" s="422"/>
      <c r="AL25" s="144"/>
      <c r="AM25" s="144"/>
      <c r="AN25" s="144"/>
      <c r="AO25" s="144"/>
      <c r="AP25" s="281"/>
      <c r="AQ25" s="281"/>
      <c r="AR25" s="144"/>
      <c r="AS25" s="245"/>
      <c r="AT25" s="422"/>
      <c r="AU25" s="144"/>
      <c r="AV25" s="144"/>
      <c r="AW25" s="144"/>
      <c r="AX25" s="281"/>
      <c r="AY25" s="281"/>
      <c r="AZ25" s="144"/>
      <c r="BA25" s="245"/>
      <c r="BB25" s="422"/>
      <c r="BC25" s="144"/>
      <c r="BD25" s="144"/>
      <c r="BE25" s="144"/>
      <c r="BF25" s="281"/>
      <c r="BG25" s="281"/>
      <c r="BH25" s="144"/>
      <c r="BI25" s="245"/>
      <c r="BJ25" s="422"/>
      <c r="BK25" s="144"/>
      <c r="BL25" s="144"/>
      <c r="BM25" s="144"/>
      <c r="BN25" s="144"/>
      <c r="BO25" s="281"/>
      <c r="BP25" s="281"/>
      <c r="BQ25" s="144"/>
      <c r="BR25" s="245"/>
      <c r="BS25" s="423"/>
      <c r="BT25" s="144"/>
      <c r="BU25" s="144"/>
      <c r="BV25" s="144"/>
      <c r="BW25" s="281"/>
      <c r="BX25" s="281"/>
      <c r="BY25" s="144"/>
      <c r="BZ25" s="245"/>
      <c r="CA25" s="423"/>
      <c r="CB25" s="144"/>
      <c r="CC25" s="144"/>
      <c r="CD25" s="144"/>
      <c r="CE25" s="281"/>
      <c r="CF25" s="281"/>
      <c r="CG25" s="144"/>
      <c r="CH25" s="245"/>
      <c r="CI25" s="423"/>
      <c r="CJ25" s="144"/>
      <c r="CK25" s="144"/>
      <c r="CL25" s="144"/>
      <c r="CM25" s="281"/>
      <c r="CN25" s="281"/>
      <c r="CO25" s="144"/>
      <c r="CP25" s="245"/>
      <c r="CQ25" s="422"/>
      <c r="CR25" s="173"/>
      <c r="CS25" s="173"/>
      <c r="CT25" s="173"/>
      <c r="CU25" s="184" t="n">
        <f aca="false">+CR25-CS25</f>
        <v>0</v>
      </c>
      <c r="CV25" s="184" t="n">
        <f aca="false">+CR25-CT25</f>
        <v>0</v>
      </c>
      <c r="CW25" s="173"/>
      <c r="CX25" s="245" t="str">
        <f aca="false">IFERROR(+CR25/CW25-1, "-")</f>
        <v>-</v>
      </c>
      <c r="CY25" s="2071"/>
      <c r="CZ25" s="426"/>
      <c r="DA25" s="144"/>
      <c r="DB25" s="144"/>
      <c r="DC25" s="144"/>
      <c r="DD25" s="144"/>
      <c r="DE25" s="245"/>
      <c r="DF25" s="245"/>
      <c r="DG25" s="245"/>
      <c r="DH25" s="245"/>
      <c r="DI25" s="141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488" t="n">
        <f aca="false">0/(10^6)</f>
        <v>0</v>
      </c>
      <c r="DO25" s="118" t="n">
        <f aca="false">DN25-CR25</f>
        <v>0</v>
      </c>
      <c r="DP25" s="975"/>
      <c r="DQ25" s="2073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</row>
    <row r="26" customFormat="false" ht="15" hidden="false" customHeight="true" outlineLevel="0" collapsed="false">
      <c r="A26" s="601"/>
      <c r="B26" s="887" t="s">
        <v>1115</v>
      </c>
      <c r="C26" s="679" t="s">
        <v>1116</v>
      </c>
      <c r="D26" s="545"/>
      <c r="E26" s="545"/>
      <c r="F26" s="545"/>
      <c r="G26" s="545"/>
      <c r="H26" s="546"/>
      <c r="I26" s="1070"/>
      <c r="J26" s="545"/>
      <c r="K26" s="545"/>
      <c r="L26" s="545"/>
      <c r="M26" s="545"/>
      <c r="N26" s="546"/>
      <c r="O26" s="548"/>
      <c r="P26" s="545"/>
      <c r="Q26" s="545"/>
      <c r="R26" s="545"/>
      <c r="S26" s="545"/>
      <c r="T26" s="546"/>
      <c r="U26" s="548"/>
      <c r="V26" s="545"/>
      <c r="W26" s="545"/>
      <c r="X26" s="545"/>
      <c r="Y26" s="544"/>
      <c r="Z26" s="2079"/>
      <c r="AA26" s="545"/>
      <c r="AB26" s="546"/>
      <c r="AC26" s="548"/>
      <c r="AD26" s="545"/>
      <c r="AE26" s="545"/>
      <c r="AF26" s="545"/>
      <c r="AG26" s="544"/>
      <c r="AH26" s="2079"/>
      <c r="AI26" s="545"/>
      <c r="AJ26" s="546"/>
      <c r="AK26" s="547"/>
      <c r="AL26" s="545"/>
      <c r="AM26" s="545"/>
      <c r="AN26" s="545"/>
      <c r="AO26" s="545"/>
      <c r="AP26" s="544"/>
      <c r="AQ26" s="544"/>
      <c r="AR26" s="545"/>
      <c r="AS26" s="546"/>
      <c r="AT26" s="547"/>
      <c r="AU26" s="545"/>
      <c r="AV26" s="545"/>
      <c r="AW26" s="545"/>
      <c r="AX26" s="544"/>
      <c r="AY26" s="544"/>
      <c r="AZ26" s="545"/>
      <c r="BA26" s="546"/>
      <c r="BB26" s="547"/>
      <c r="BC26" s="545"/>
      <c r="BD26" s="545"/>
      <c r="BE26" s="545"/>
      <c r="BF26" s="544"/>
      <c r="BG26" s="544"/>
      <c r="BH26" s="545"/>
      <c r="BI26" s="546"/>
      <c r="BJ26" s="547"/>
      <c r="BK26" s="545"/>
      <c r="BL26" s="545"/>
      <c r="BM26" s="545"/>
      <c r="BN26" s="545"/>
      <c r="BO26" s="544"/>
      <c r="BP26" s="544"/>
      <c r="BQ26" s="545"/>
      <c r="BR26" s="546"/>
      <c r="BS26" s="548"/>
      <c r="BT26" s="545"/>
      <c r="BU26" s="545"/>
      <c r="BV26" s="545"/>
      <c r="BW26" s="544"/>
      <c r="BX26" s="544"/>
      <c r="BY26" s="545"/>
      <c r="BZ26" s="546"/>
      <c r="CA26" s="548"/>
      <c r="CB26" s="545"/>
      <c r="CC26" s="545"/>
      <c r="CD26" s="545"/>
      <c r="CE26" s="544"/>
      <c r="CF26" s="544"/>
      <c r="CG26" s="545"/>
      <c r="CH26" s="546"/>
      <c r="CI26" s="548"/>
      <c r="CJ26" s="545"/>
      <c r="CK26" s="545"/>
      <c r="CL26" s="545"/>
      <c r="CM26" s="544"/>
      <c r="CN26" s="544"/>
      <c r="CO26" s="545"/>
      <c r="CP26" s="546"/>
      <c r="CQ26" s="422"/>
      <c r="CR26" s="2079"/>
      <c r="CS26" s="2079"/>
      <c r="CT26" s="2079"/>
      <c r="CU26" s="2079" t="n">
        <f aca="false">+CR26-CS26</f>
        <v>0</v>
      </c>
      <c r="CV26" s="2079" t="n">
        <f aca="false">+CR26-CT26</f>
        <v>0</v>
      </c>
      <c r="CW26" s="2079"/>
      <c r="CX26" s="245" t="str">
        <f aca="false">IFERROR(+CR26/CW26-1, "-")</f>
        <v>-</v>
      </c>
      <c r="CY26" s="2059"/>
      <c r="CZ26" s="550"/>
      <c r="DA26" s="545"/>
      <c r="DB26" s="545"/>
      <c r="DC26" s="545"/>
      <c r="DD26" s="545"/>
      <c r="DE26" s="546"/>
      <c r="DF26" s="546"/>
      <c r="DG26" s="546"/>
      <c r="DH26" s="546"/>
      <c r="DI26" s="141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2081" t="e">
        <f aca="false">#VALUE!</f>
        <v>#VALUE!</v>
      </c>
      <c r="DO26" s="118" t="e">
        <f aca="false">DN26-CR26</f>
        <v>#VALUE!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s="976" customFormat="true" ht="3.75" hidden="false" customHeight="true" outlineLevel="0" collapsed="false">
      <c r="C27" s="679" t="s">
        <v>1117</v>
      </c>
      <c r="D27" s="1068"/>
      <c r="E27" s="173"/>
      <c r="F27" s="173"/>
      <c r="G27" s="173"/>
      <c r="H27" s="245"/>
      <c r="I27" s="2070"/>
      <c r="J27" s="1068"/>
      <c r="K27" s="173"/>
      <c r="L27" s="173"/>
      <c r="M27" s="173"/>
      <c r="N27" s="245"/>
      <c r="O27" s="423"/>
      <c r="P27" s="1068"/>
      <c r="Q27" s="173"/>
      <c r="R27" s="173"/>
      <c r="S27" s="173"/>
      <c r="T27" s="245"/>
      <c r="U27" s="423"/>
      <c r="V27" s="1068"/>
      <c r="W27" s="173"/>
      <c r="X27" s="173"/>
      <c r="Y27" s="281"/>
      <c r="Z27" s="184"/>
      <c r="AA27" s="173"/>
      <c r="AB27" s="245"/>
      <c r="AC27" s="423"/>
      <c r="AD27" s="1068"/>
      <c r="AE27" s="173"/>
      <c r="AF27" s="173"/>
      <c r="AG27" s="281"/>
      <c r="AH27" s="184"/>
      <c r="AI27" s="173"/>
      <c r="AJ27" s="245"/>
      <c r="AK27" s="422"/>
      <c r="AL27" s="1068"/>
      <c r="AM27" s="173"/>
      <c r="AN27" s="173"/>
      <c r="AO27" s="173"/>
      <c r="AP27" s="281"/>
      <c r="AQ27" s="281"/>
      <c r="AR27" s="173"/>
      <c r="AS27" s="245"/>
      <c r="AT27" s="422"/>
      <c r="AU27" s="1068"/>
      <c r="AV27" s="173"/>
      <c r="AW27" s="173"/>
      <c r="AX27" s="281"/>
      <c r="AY27" s="281"/>
      <c r="AZ27" s="173"/>
      <c r="BA27" s="245"/>
      <c r="BB27" s="422"/>
      <c r="BC27" s="1068"/>
      <c r="BD27" s="173"/>
      <c r="BE27" s="173"/>
      <c r="BF27" s="281"/>
      <c r="BG27" s="281"/>
      <c r="BH27" s="173"/>
      <c r="BI27" s="245"/>
      <c r="BJ27" s="422"/>
      <c r="BK27" s="1068"/>
      <c r="BL27" s="173"/>
      <c r="BM27" s="173"/>
      <c r="BN27" s="173"/>
      <c r="BO27" s="281"/>
      <c r="BP27" s="281"/>
      <c r="BQ27" s="173"/>
      <c r="BR27" s="245"/>
      <c r="BS27" s="423"/>
      <c r="BT27" s="1068"/>
      <c r="BU27" s="173"/>
      <c r="BV27" s="173"/>
      <c r="BW27" s="281"/>
      <c r="BX27" s="281"/>
      <c r="BY27" s="173"/>
      <c r="BZ27" s="245"/>
      <c r="CA27" s="423"/>
      <c r="CB27" s="1068"/>
      <c r="CC27" s="173"/>
      <c r="CD27" s="173"/>
      <c r="CE27" s="281"/>
      <c r="CF27" s="281"/>
      <c r="CG27" s="173"/>
      <c r="CH27" s="245"/>
      <c r="CI27" s="423"/>
      <c r="CJ27" s="1068"/>
      <c r="CK27" s="173"/>
      <c r="CL27" s="173"/>
      <c r="CM27" s="281"/>
      <c r="CN27" s="281"/>
      <c r="CO27" s="173"/>
      <c r="CP27" s="245"/>
      <c r="CQ27" s="422"/>
      <c r="CR27" s="184"/>
      <c r="CS27" s="184"/>
      <c r="CT27" s="184"/>
      <c r="CU27" s="184"/>
      <c r="CV27" s="184"/>
      <c r="CW27" s="184"/>
      <c r="CX27" s="245" t="str">
        <f aca="false">IFERROR(+CR27/CW27-1, "-")</f>
        <v>-</v>
      </c>
      <c r="CY27" s="2071"/>
      <c r="CZ27" s="2082"/>
      <c r="DA27" s="173"/>
      <c r="DB27" s="173"/>
      <c r="DC27" s="173"/>
      <c r="DD27" s="173"/>
      <c r="DE27" s="245"/>
      <c r="DF27" s="245"/>
      <c r="DG27" s="245"/>
      <c r="DH27" s="245"/>
      <c r="DI27" s="141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2083"/>
      <c r="DO27" s="118" t="n">
        <f aca="false">DN27-CR27</f>
        <v>0</v>
      </c>
      <c r="DP27" s="975"/>
      <c r="DQ27" s="2073"/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</row>
    <row r="28" customFormat="false" ht="23.25" hidden="false" customHeight="true" outlineLevel="0" collapsed="false">
      <c r="A28" s="2067"/>
      <c r="B28" s="1932" t="s">
        <v>1118</v>
      </c>
      <c r="C28" s="679" t="s">
        <v>1119</v>
      </c>
      <c r="D28" s="400"/>
      <c r="E28" s="400"/>
      <c r="F28" s="400"/>
      <c r="G28" s="400"/>
      <c r="H28" s="401"/>
      <c r="I28" s="126"/>
      <c r="J28" s="400"/>
      <c r="K28" s="400"/>
      <c r="L28" s="400"/>
      <c r="M28" s="400"/>
      <c r="N28" s="2084"/>
      <c r="O28" s="407"/>
      <c r="P28" s="400"/>
      <c r="Q28" s="400"/>
      <c r="R28" s="400"/>
      <c r="S28" s="400"/>
      <c r="T28" s="2084"/>
      <c r="U28" s="407"/>
      <c r="V28" s="400"/>
      <c r="W28" s="400"/>
      <c r="X28" s="400"/>
      <c r="Y28" s="399"/>
      <c r="Z28" s="400"/>
      <c r="AA28" s="400"/>
      <c r="AB28" s="401"/>
      <c r="AC28" s="407"/>
      <c r="AD28" s="400"/>
      <c r="AE28" s="400"/>
      <c r="AF28" s="400"/>
      <c r="AG28" s="399"/>
      <c r="AH28" s="400"/>
      <c r="AI28" s="400"/>
      <c r="AJ28" s="401"/>
      <c r="AK28" s="403"/>
      <c r="AL28" s="400"/>
      <c r="AM28" s="400"/>
      <c r="AN28" s="400"/>
      <c r="AO28" s="400"/>
      <c r="AP28" s="399"/>
      <c r="AQ28" s="399"/>
      <c r="AR28" s="400"/>
      <c r="AS28" s="401"/>
      <c r="AT28" s="403"/>
      <c r="AU28" s="400"/>
      <c r="AV28" s="400"/>
      <c r="AW28" s="400"/>
      <c r="AX28" s="399"/>
      <c r="AY28" s="399"/>
      <c r="AZ28" s="400"/>
      <c r="BA28" s="401"/>
      <c r="BB28" s="403"/>
      <c r="BC28" s="400"/>
      <c r="BD28" s="400"/>
      <c r="BE28" s="400"/>
      <c r="BF28" s="399"/>
      <c r="BG28" s="399"/>
      <c r="BH28" s="400"/>
      <c r="BI28" s="401"/>
      <c r="BJ28" s="403"/>
      <c r="BK28" s="400"/>
      <c r="BL28" s="400"/>
      <c r="BM28" s="400"/>
      <c r="BN28" s="400"/>
      <c r="BO28" s="399"/>
      <c r="BP28" s="399"/>
      <c r="BQ28" s="400"/>
      <c r="BR28" s="401"/>
      <c r="BS28" s="407"/>
      <c r="BT28" s="400"/>
      <c r="BU28" s="400"/>
      <c r="BV28" s="400"/>
      <c r="BW28" s="399"/>
      <c r="BX28" s="399"/>
      <c r="BY28" s="400"/>
      <c r="BZ28" s="401"/>
      <c r="CA28" s="407"/>
      <c r="CB28" s="400"/>
      <c r="CC28" s="400"/>
      <c r="CD28" s="400"/>
      <c r="CE28" s="399"/>
      <c r="CF28" s="399"/>
      <c r="CG28" s="400"/>
      <c r="CH28" s="401"/>
      <c r="CI28" s="407"/>
      <c r="CJ28" s="400"/>
      <c r="CK28" s="400"/>
      <c r="CL28" s="400"/>
      <c r="CM28" s="399"/>
      <c r="CN28" s="399"/>
      <c r="CO28" s="400"/>
      <c r="CP28" s="401"/>
      <c r="CQ28" s="703"/>
      <c r="CR28" s="400"/>
      <c r="CS28" s="400"/>
      <c r="CT28" s="400"/>
      <c r="CU28" s="400" t="n">
        <f aca="false">+CR28-CS28</f>
        <v>0</v>
      </c>
      <c r="CV28" s="400" t="n">
        <f aca="false">+CR28-CT28</f>
        <v>0</v>
      </c>
      <c r="CW28" s="400"/>
      <c r="CX28" s="2064" t="str">
        <f aca="false">IFERROR(+CR28/CW28-1, "-")</f>
        <v>-</v>
      </c>
      <c r="CY28" s="2065"/>
      <c r="CZ28" s="411"/>
      <c r="DA28" s="400"/>
      <c r="DB28" s="400"/>
      <c r="DC28" s="400"/>
      <c r="DD28" s="400"/>
      <c r="DE28" s="401" t="e">
        <f aca="false">+CZ28/DD28-1</f>
        <v>#DIV/0!</v>
      </c>
      <c r="DF28" s="401" t="e">
        <f aca="false">+DA28/DD28-1</f>
        <v>#DIV/0!</v>
      </c>
      <c r="DG28" s="401" t="e">
        <f aca="false">+DB28/DD28-1</f>
        <v>#DIV/0!</v>
      </c>
      <c r="DH28" s="401" t="e">
        <f aca="false">+DC28/DD28-1</f>
        <v>#DIV/0!</v>
      </c>
      <c r="DI28" s="141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2066" t="n">
        <f aca="false">SUM(DN29:DN41)</f>
        <v>2369.341548</v>
      </c>
      <c r="DO28" s="118" t="n">
        <f aca="false">DN28-CR28</f>
        <v>2369.341548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</row>
    <row r="29" customFormat="false" ht="15" hidden="false" customHeight="true" outlineLevel="0" collapsed="false">
      <c r="A29" s="590"/>
      <c r="B29" s="714" t="s">
        <v>1120</v>
      </c>
      <c r="C29" s="679" t="s">
        <v>1121</v>
      </c>
      <c r="D29" s="555"/>
      <c r="E29" s="555"/>
      <c r="F29" s="555"/>
      <c r="G29" s="555"/>
      <c r="H29" s="556"/>
      <c r="I29" s="1070"/>
      <c r="J29" s="555"/>
      <c r="K29" s="555"/>
      <c r="L29" s="555"/>
      <c r="M29" s="555"/>
      <c r="N29" s="556"/>
      <c r="O29" s="558"/>
      <c r="P29" s="555"/>
      <c r="Q29" s="555"/>
      <c r="R29" s="555"/>
      <c r="S29" s="555"/>
      <c r="T29" s="556"/>
      <c r="U29" s="558"/>
      <c r="V29" s="555"/>
      <c r="W29" s="555"/>
      <c r="X29" s="555"/>
      <c r="Y29" s="554"/>
      <c r="Z29" s="555"/>
      <c r="AA29" s="555"/>
      <c r="AB29" s="556"/>
      <c r="AC29" s="558"/>
      <c r="AD29" s="555"/>
      <c r="AE29" s="555"/>
      <c r="AF29" s="555"/>
      <c r="AG29" s="554"/>
      <c r="AH29" s="555"/>
      <c r="AI29" s="555"/>
      <c r="AJ29" s="556"/>
      <c r="AK29" s="557"/>
      <c r="AL29" s="555"/>
      <c r="AM29" s="555"/>
      <c r="AN29" s="555"/>
      <c r="AO29" s="555"/>
      <c r="AP29" s="554"/>
      <c r="AQ29" s="554"/>
      <c r="AR29" s="555"/>
      <c r="AS29" s="556"/>
      <c r="AT29" s="557"/>
      <c r="AU29" s="555"/>
      <c r="AV29" s="555"/>
      <c r="AW29" s="555"/>
      <c r="AX29" s="554"/>
      <c r="AY29" s="554"/>
      <c r="AZ29" s="555"/>
      <c r="BA29" s="556"/>
      <c r="BB29" s="557"/>
      <c r="BC29" s="555"/>
      <c r="BD29" s="555"/>
      <c r="BE29" s="555"/>
      <c r="BF29" s="554"/>
      <c r="BG29" s="554"/>
      <c r="BH29" s="555"/>
      <c r="BI29" s="556"/>
      <c r="BJ29" s="557"/>
      <c r="BK29" s="555"/>
      <c r="BL29" s="555"/>
      <c r="BM29" s="555"/>
      <c r="BN29" s="555"/>
      <c r="BO29" s="554"/>
      <c r="BP29" s="554"/>
      <c r="BQ29" s="555"/>
      <c r="BR29" s="556"/>
      <c r="BS29" s="558"/>
      <c r="BT29" s="555"/>
      <c r="BU29" s="555"/>
      <c r="BV29" s="555"/>
      <c r="BW29" s="554"/>
      <c r="BX29" s="554"/>
      <c r="BY29" s="555"/>
      <c r="BZ29" s="556"/>
      <c r="CA29" s="558"/>
      <c r="CB29" s="555"/>
      <c r="CC29" s="555"/>
      <c r="CD29" s="555"/>
      <c r="CE29" s="554"/>
      <c r="CF29" s="554"/>
      <c r="CG29" s="555"/>
      <c r="CH29" s="556"/>
      <c r="CI29" s="558"/>
      <c r="CJ29" s="555"/>
      <c r="CK29" s="555"/>
      <c r="CL29" s="555"/>
      <c r="CM29" s="554"/>
      <c r="CN29" s="554"/>
      <c r="CO29" s="555"/>
      <c r="CP29" s="556"/>
      <c r="CQ29" s="422"/>
      <c r="CR29" s="555"/>
      <c r="CS29" s="555"/>
      <c r="CT29" s="555"/>
      <c r="CU29" s="555" t="n">
        <f aca="false">+CR29-CS29</f>
        <v>0</v>
      </c>
      <c r="CV29" s="555" t="n">
        <f aca="false">+CR29-CT29</f>
        <v>0</v>
      </c>
      <c r="CW29" s="555"/>
      <c r="CX29" s="245" t="str">
        <f aca="false">IFERROR(+CR29/CW29-1, "-")</f>
        <v>-</v>
      </c>
      <c r="CY29" s="2059"/>
      <c r="CZ29" s="560"/>
      <c r="DA29" s="555"/>
      <c r="DB29" s="555"/>
      <c r="DC29" s="555"/>
      <c r="DD29" s="555"/>
      <c r="DE29" s="556"/>
      <c r="DF29" s="556"/>
      <c r="DG29" s="556"/>
      <c r="DH29" s="556"/>
      <c r="DI29" s="141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N29" s="2072" t="n">
        <f aca="false">0/(10^6)</f>
        <v>0</v>
      </c>
      <c r="DO29" s="118" t="n">
        <f aca="false">DN29-CR29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customFormat="false" ht="15" hidden="false" customHeight="true" outlineLevel="0" collapsed="false">
      <c r="A30" s="2074"/>
      <c r="B30" s="857" t="s">
        <v>1122</v>
      </c>
      <c r="C30" s="679" t="s">
        <v>1123</v>
      </c>
      <c r="D30" s="144"/>
      <c r="E30" s="144"/>
      <c r="F30" s="144"/>
      <c r="G30" s="144"/>
      <c r="H30" s="245"/>
      <c r="I30" s="2070"/>
      <c r="J30" s="144"/>
      <c r="K30" s="144"/>
      <c r="L30" s="144"/>
      <c r="M30" s="144"/>
      <c r="N30" s="245"/>
      <c r="O30" s="423"/>
      <c r="P30" s="144"/>
      <c r="Q30" s="144"/>
      <c r="R30" s="144"/>
      <c r="S30" s="144"/>
      <c r="T30" s="245"/>
      <c r="U30" s="423"/>
      <c r="V30" s="144"/>
      <c r="W30" s="144"/>
      <c r="X30" s="144"/>
      <c r="Y30" s="281"/>
      <c r="Z30" s="173"/>
      <c r="AA30" s="144"/>
      <c r="AB30" s="245"/>
      <c r="AC30" s="423"/>
      <c r="AD30" s="144"/>
      <c r="AE30" s="144"/>
      <c r="AF30" s="144"/>
      <c r="AG30" s="281"/>
      <c r="AH30" s="173"/>
      <c r="AI30" s="144"/>
      <c r="AJ30" s="245"/>
      <c r="AK30" s="422"/>
      <c r="AL30" s="144"/>
      <c r="AM30" s="144"/>
      <c r="AN30" s="144"/>
      <c r="AO30" s="144"/>
      <c r="AP30" s="281"/>
      <c r="AQ30" s="281"/>
      <c r="AR30" s="144"/>
      <c r="AS30" s="245"/>
      <c r="AT30" s="422"/>
      <c r="AU30" s="144"/>
      <c r="AV30" s="144"/>
      <c r="AW30" s="144"/>
      <c r="AX30" s="281"/>
      <c r="AY30" s="281"/>
      <c r="AZ30" s="144"/>
      <c r="BA30" s="245"/>
      <c r="BB30" s="422"/>
      <c r="BC30" s="144"/>
      <c r="BD30" s="144"/>
      <c r="BE30" s="144"/>
      <c r="BF30" s="281"/>
      <c r="BG30" s="281"/>
      <c r="BH30" s="144"/>
      <c r="BI30" s="245"/>
      <c r="BJ30" s="422"/>
      <c r="BK30" s="144"/>
      <c r="BL30" s="144"/>
      <c r="BM30" s="144"/>
      <c r="BN30" s="144"/>
      <c r="BO30" s="281"/>
      <c r="BP30" s="281"/>
      <c r="BQ30" s="144"/>
      <c r="BR30" s="245"/>
      <c r="BS30" s="423"/>
      <c r="BT30" s="144"/>
      <c r="BU30" s="144"/>
      <c r="BV30" s="144"/>
      <c r="BW30" s="281"/>
      <c r="BX30" s="281"/>
      <c r="BY30" s="144"/>
      <c r="BZ30" s="245"/>
      <c r="CA30" s="423"/>
      <c r="CB30" s="144"/>
      <c r="CC30" s="144"/>
      <c r="CD30" s="144"/>
      <c r="CE30" s="281"/>
      <c r="CF30" s="281"/>
      <c r="CG30" s="144"/>
      <c r="CH30" s="245"/>
      <c r="CI30" s="423"/>
      <c r="CJ30" s="144"/>
      <c r="CK30" s="144"/>
      <c r="CL30" s="144"/>
      <c r="CM30" s="281"/>
      <c r="CN30" s="281"/>
      <c r="CO30" s="144"/>
      <c r="CP30" s="245"/>
      <c r="CQ30" s="422"/>
      <c r="CR30" s="173"/>
      <c r="CS30" s="173"/>
      <c r="CT30" s="173"/>
      <c r="CU30" s="173" t="n">
        <f aca="false">+CR30-CS30</f>
        <v>0</v>
      </c>
      <c r="CV30" s="173" t="n">
        <f aca="false">+CR30-CT30</f>
        <v>0</v>
      </c>
      <c r="CW30" s="173"/>
      <c r="CX30" s="245" t="str">
        <f aca="false">IFERROR(+CR30/CW30-1, "-")</f>
        <v>-</v>
      </c>
      <c r="CY30" s="2071"/>
      <c r="CZ30" s="426"/>
      <c r="DA30" s="144"/>
      <c r="DB30" s="144"/>
      <c r="DC30" s="144"/>
      <c r="DD30" s="144"/>
      <c r="DE30" s="245"/>
      <c r="DF30" s="245"/>
      <c r="DG30" s="245"/>
      <c r="DH30" s="245"/>
      <c r="DI30" s="141"/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N30" s="488" t="n">
        <f aca="false">0/(10^6)</f>
        <v>0</v>
      </c>
      <c r="DO30" s="118" t="n">
        <f aca="false">DN30-CR30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</row>
    <row r="31" customFormat="false" ht="15" hidden="false" customHeight="true" outlineLevel="0" collapsed="false">
      <c r="A31" s="591"/>
      <c r="B31" s="857" t="s">
        <v>1124</v>
      </c>
      <c r="C31" s="679" t="s">
        <v>1125</v>
      </c>
      <c r="D31" s="144"/>
      <c r="E31" s="144"/>
      <c r="F31" s="144"/>
      <c r="G31" s="144"/>
      <c r="H31" s="245"/>
      <c r="I31" s="204"/>
      <c r="J31" s="144"/>
      <c r="K31" s="144"/>
      <c r="L31" s="144"/>
      <c r="M31" s="144"/>
      <c r="N31" s="245"/>
      <c r="O31" s="423"/>
      <c r="P31" s="144"/>
      <c r="Q31" s="144"/>
      <c r="R31" s="144"/>
      <c r="S31" s="144"/>
      <c r="T31" s="245"/>
      <c r="U31" s="423"/>
      <c r="V31" s="144"/>
      <c r="W31" s="144"/>
      <c r="X31" s="144"/>
      <c r="Y31" s="281"/>
      <c r="Z31" s="173"/>
      <c r="AA31" s="144"/>
      <c r="AB31" s="245"/>
      <c r="AC31" s="423"/>
      <c r="AD31" s="144"/>
      <c r="AE31" s="144"/>
      <c r="AF31" s="144"/>
      <c r="AG31" s="281"/>
      <c r="AH31" s="173"/>
      <c r="AI31" s="144"/>
      <c r="AJ31" s="245"/>
      <c r="AK31" s="422"/>
      <c r="AL31" s="144"/>
      <c r="AM31" s="144"/>
      <c r="AN31" s="144"/>
      <c r="AO31" s="144"/>
      <c r="AP31" s="281"/>
      <c r="AQ31" s="281"/>
      <c r="AR31" s="144"/>
      <c r="AS31" s="245"/>
      <c r="AT31" s="422"/>
      <c r="AU31" s="144"/>
      <c r="AV31" s="144"/>
      <c r="AW31" s="144"/>
      <c r="AX31" s="281"/>
      <c r="AY31" s="281"/>
      <c r="AZ31" s="144"/>
      <c r="BA31" s="245"/>
      <c r="BB31" s="422"/>
      <c r="BC31" s="144"/>
      <c r="BD31" s="144"/>
      <c r="BE31" s="144"/>
      <c r="BF31" s="281"/>
      <c r="BG31" s="281"/>
      <c r="BH31" s="144"/>
      <c r="BI31" s="245"/>
      <c r="BJ31" s="422"/>
      <c r="BK31" s="144"/>
      <c r="BL31" s="144"/>
      <c r="BM31" s="144"/>
      <c r="BN31" s="144"/>
      <c r="BO31" s="281"/>
      <c r="BP31" s="281"/>
      <c r="BQ31" s="144"/>
      <c r="BR31" s="245"/>
      <c r="BS31" s="423"/>
      <c r="BT31" s="144"/>
      <c r="BU31" s="144"/>
      <c r="BV31" s="144"/>
      <c r="BW31" s="281"/>
      <c r="BX31" s="281"/>
      <c r="BY31" s="144"/>
      <c r="BZ31" s="245"/>
      <c r="CA31" s="423"/>
      <c r="CB31" s="144"/>
      <c r="CC31" s="144"/>
      <c r="CD31" s="144"/>
      <c r="CE31" s="281"/>
      <c r="CF31" s="281"/>
      <c r="CG31" s="144"/>
      <c r="CH31" s="245"/>
      <c r="CI31" s="423"/>
      <c r="CJ31" s="144"/>
      <c r="CK31" s="144"/>
      <c r="CL31" s="144"/>
      <c r="CM31" s="281"/>
      <c r="CN31" s="281"/>
      <c r="CO31" s="144"/>
      <c r="CP31" s="245"/>
      <c r="CQ31" s="422"/>
      <c r="CR31" s="173"/>
      <c r="CS31" s="173"/>
      <c r="CT31" s="173"/>
      <c r="CU31" s="173" t="n">
        <f aca="false">+CR31-CS31</f>
        <v>0</v>
      </c>
      <c r="CV31" s="173" t="n">
        <f aca="false">+CR31-CT31</f>
        <v>0</v>
      </c>
      <c r="CW31" s="173"/>
      <c r="CX31" s="245" t="str">
        <f aca="false">IFERROR(+CR31/CW31-1, "-")</f>
        <v>-</v>
      </c>
      <c r="CY31" s="425"/>
      <c r="CZ31" s="426"/>
      <c r="DA31" s="144"/>
      <c r="DB31" s="144"/>
      <c r="DC31" s="144"/>
      <c r="DD31" s="144"/>
      <c r="DE31" s="245" t="e">
        <f aca="false">+CZ31/DD31-1</f>
        <v>#DIV/0!</v>
      </c>
      <c r="DF31" s="245" t="e">
        <f aca="false">+DA31/DD31-1</f>
        <v>#DIV/0!</v>
      </c>
      <c r="DG31" s="245" t="e">
        <f aca="false">+DB31/DD31-1</f>
        <v>#DIV/0!</v>
      </c>
      <c r="DH31" s="245" t="e">
        <f aca="false">+DC31/DD31-1</f>
        <v>#DIV/0!</v>
      </c>
      <c r="DI31" s="141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N31" s="488" t="n">
        <v>1943.46301</v>
      </c>
      <c r="DO31" s="118" t="n">
        <f aca="false">DN31-CR31</f>
        <v>1943.46301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</row>
    <row r="32" customFormat="false" ht="15" hidden="false" customHeight="true" outlineLevel="0" collapsed="false">
      <c r="A32" s="591"/>
      <c r="B32" s="857" t="s">
        <v>1126</v>
      </c>
      <c r="C32" s="679" t="s">
        <v>1127</v>
      </c>
      <c r="D32" s="144"/>
      <c r="E32" s="144"/>
      <c r="F32" s="144"/>
      <c r="G32" s="144"/>
      <c r="H32" s="245"/>
      <c r="I32" s="204"/>
      <c r="J32" s="144"/>
      <c r="K32" s="144"/>
      <c r="L32" s="144"/>
      <c r="M32" s="144"/>
      <c r="N32" s="245"/>
      <c r="O32" s="423"/>
      <c r="P32" s="144"/>
      <c r="Q32" s="144"/>
      <c r="R32" s="144"/>
      <c r="S32" s="144"/>
      <c r="T32" s="245"/>
      <c r="U32" s="423"/>
      <c r="V32" s="144"/>
      <c r="W32" s="144"/>
      <c r="X32" s="144"/>
      <c r="Y32" s="281"/>
      <c r="Z32" s="173"/>
      <c r="AA32" s="144"/>
      <c r="AB32" s="245"/>
      <c r="AC32" s="423"/>
      <c r="AD32" s="144"/>
      <c r="AE32" s="144"/>
      <c r="AF32" s="144"/>
      <c r="AG32" s="281"/>
      <c r="AH32" s="173"/>
      <c r="AI32" s="144"/>
      <c r="AJ32" s="245"/>
      <c r="AK32" s="422"/>
      <c r="AL32" s="144"/>
      <c r="AM32" s="144"/>
      <c r="AN32" s="144"/>
      <c r="AO32" s="144"/>
      <c r="AP32" s="281"/>
      <c r="AQ32" s="281"/>
      <c r="AR32" s="144"/>
      <c r="AS32" s="245"/>
      <c r="AT32" s="422"/>
      <c r="AU32" s="144"/>
      <c r="AV32" s="144"/>
      <c r="AW32" s="144"/>
      <c r="AX32" s="281"/>
      <c r="AY32" s="281"/>
      <c r="AZ32" s="144"/>
      <c r="BA32" s="245"/>
      <c r="BB32" s="422"/>
      <c r="BC32" s="144"/>
      <c r="BD32" s="144"/>
      <c r="BE32" s="144"/>
      <c r="BF32" s="281"/>
      <c r="BG32" s="281"/>
      <c r="BH32" s="144"/>
      <c r="BI32" s="245"/>
      <c r="BJ32" s="422"/>
      <c r="BK32" s="144"/>
      <c r="BL32" s="144"/>
      <c r="BM32" s="144"/>
      <c r="BN32" s="144"/>
      <c r="BO32" s="281"/>
      <c r="BP32" s="281"/>
      <c r="BQ32" s="144"/>
      <c r="BR32" s="245"/>
      <c r="BS32" s="423"/>
      <c r="BT32" s="144"/>
      <c r="BU32" s="144"/>
      <c r="BV32" s="144"/>
      <c r="BW32" s="281"/>
      <c r="BX32" s="281"/>
      <c r="BY32" s="144"/>
      <c r="BZ32" s="245"/>
      <c r="CA32" s="423"/>
      <c r="CB32" s="144"/>
      <c r="CC32" s="144"/>
      <c r="CD32" s="144"/>
      <c r="CE32" s="281"/>
      <c r="CF32" s="281"/>
      <c r="CG32" s="144"/>
      <c r="CH32" s="245"/>
      <c r="CI32" s="423"/>
      <c r="CJ32" s="144"/>
      <c r="CK32" s="144"/>
      <c r="CL32" s="144"/>
      <c r="CM32" s="281"/>
      <c r="CN32" s="281"/>
      <c r="CO32" s="144"/>
      <c r="CP32" s="245"/>
      <c r="CQ32" s="422"/>
      <c r="CR32" s="173"/>
      <c r="CS32" s="173"/>
      <c r="CT32" s="173"/>
      <c r="CU32" s="173" t="n">
        <f aca="false">+CR32-CS32</f>
        <v>0</v>
      </c>
      <c r="CV32" s="173" t="n">
        <f aca="false">+CR32-CT32</f>
        <v>0</v>
      </c>
      <c r="CW32" s="173"/>
      <c r="CX32" s="245" t="str">
        <f aca="false">IFERROR(+CR32/CW32-1, "-")</f>
        <v>-</v>
      </c>
      <c r="CY32" s="425"/>
      <c r="CZ32" s="426"/>
      <c r="DA32" s="144"/>
      <c r="DB32" s="144"/>
      <c r="DC32" s="144"/>
      <c r="DD32" s="144"/>
      <c r="DE32" s="245"/>
      <c r="DF32" s="245"/>
      <c r="DG32" s="245"/>
      <c r="DH32" s="245"/>
      <c r="DI32" s="141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N32" s="488" t="n">
        <f aca="false">0/(10^6)</f>
        <v>0</v>
      </c>
      <c r="DO32" s="118" t="n">
        <f aca="false">DN32-CR32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</row>
    <row r="33" customFormat="false" ht="15" hidden="false" customHeight="true" outlineLevel="0" collapsed="false">
      <c r="A33" s="591"/>
      <c r="B33" s="857" t="s">
        <v>1128</v>
      </c>
      <c r="C33" s="679" t="s">
        <v>1129</v>
      </c>
      <c r="D33" s="144"/>
      <c r="E33" s="144"/>
      <c r="F33" s="144"/>
      <c r="G33" s="144"/>
      <c r="H33" s="245"/>
      <c r="I33" s="204"/>
      <c r="J33" s="144"/>
      <c r="K33" s="144"/>
      <c r="L33" s="144"/>
      <c r="M33" s="144"/>
      <c r="N33" s="245"/>
      <c r="O33" s="423"/>
      <c r="P33" s="144"/>
      <c r="Q33" s="144"/>
      <c r="R33" s="144"/>
      <c r="S33" s="144"/>
      <c r="T33" s="245"/>
      <c r="U33" s="423"/>
      <c r="V33" s="144"/>
      <c r="W33" s="144"/>
      <c r="X33" s="144"/>
      <c r="Y33" s="281"/>
      <c r="Z33" s="173"/>
      <c r="AA33" s="144"/>
      <c r="AB33" s="245"/>
      <c r="AC33" s="423"/>
      <c r="AD33" s="144"/>
      <c r="AE33" s="144"/>
      <c r="AF33" s="144"/>
      <c r="AG33" s="281"/>
      <c r="AH33" s="173"/>
      <c r="AI33" s="144"/>
      <c r="AJ33" s="245"/>
      <c r="AK33" s="422"/>
      <c r="AL33" s="144"/>
      <c r="AM33" s="144"/>
      <c r="AN33" s="144"/>
      <c r="AO33" s="144"/>
      <c r="AP33" s="281"/>
      <c r="AQ33" s="281"/>
      <c r="AR33" s="144"/>
      <c r="AS33" s="245"/>
      <c r="AT33" s="422"/>
      <c r="AU33" s="144"/>
      <c r="AV33" s="144"/>
      <c r="AW33" s="144"/>
      <c r="AX33" s="281"/>
      <c r="AY33" s="281"/>
      <c r="AZ33" s="144"/>
      <c r="BA33" s="245"/>
      <c r="BB33" s="422"/>
      <c r="BC33" s="144"/>
      <c r="BD33" s="144"/>
      <c r="BE33" s="144"/>
      <c r="BF33" s="281"/>
      <c r="BG33" s="281"/>
      <c r="BH33" s="144"/>
      <c r="BI33" s="245"/>
      <c r="BJ33" s="422"/>
      <c r="BK33" s="144"/>
      <c r="BL33" s="144"/>
      <c r="BM33" s="144"/>
      <c r="BN33" s="144"/>
      <c r="BO33" s="281"/>
      <c r="BP33" s="281"/>
      <c r="BQ33" s="144"/>
      <c r="BR33" s="245"/>
      <c r="BS33" s="423"/>
      <c r="BT33" s="144"/>
      <c r="BU33" s="144"/>
      <c r="BV33" s="144"/>
      <c r="BW33" s="281"/>
      <c r="BX33" s="281"/>
      <c r="BY33" s="144"/>
      <c r="BZ33" s="245"/>
      <c r="CA33" s="423"/>
      <c r="CB33" s="144"/>
      <c r="CC33" s="144"/>
      <c r="CD33" s="144"/>
      <c r="CE33" s="281"/>
      <c r="CF33" s="281"/>
      <c r="CG33" s="144"/>
      <c r="CH33" s="245"/>
      <c r="CI33" s="423"/>
      <c r="CJ33" s="144"/>
      <c r="CK33" s="144"/>
      <c r="CL33" s="144"/>
      <c r="CM33" s="281"/>
      <c r="CN33" s="281"/>
      <c r="CO33" s="144"/>
      <c r="CP33" s="245"/>
      <c r="CQ33" s="422"/>
      <c r="CR33" s="173"/>
      <c r="CS33" s="173"/>
      <c r="CT33" s="173"/>
      <c r="CU33" s="173" t="n">
        <f aca="false">+CR33-CS33</f>
        <v>0</v>
      </c>
      <c r="CV33" s="173" t="n">
        <f aca="false">+CR33-CT33</f>
        <v>0</v>
      </c>
      <c r="CW33" s="173"/>
      <c r="CX33" s="245" t="str">
        <f aca="false">IFERROR(+CR33/CW33-1, "-")</f>
        <v>-</v>
      </c>
      <c r="CY33" s="425"/>
      <c r="CZ33" s="426"/>
      <c r="DA33" s="144"/>
      <c r="DB33" s="144"/>
      <c r="DC33" s="144"/>
      <c r="DD33" s="144"/>
      <c r="DE33" s="245"/>
      <c r="DF33" s="245"/>
      <c r="DG33" s="245"/>
      <c r="DH33" s="245"/>
      <c r="DI33" s="141"/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N33" s="488" t="n">
        <f aca="false">0/(10^6)</f>
        <v>0</v>
      </c>
      <c r="DO33" s="118" t="n">
        <f aca="false">DN33-CR33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</row>
    <row r="34" customFormat="false" ht="15" hidden="false" customHeight="true" outlineLevel="0" collapsed="false">
      <c r="A34" s="591"/>
      <c r="B34" s="857" t="s">
        <v>1130</v>
      </c>
      <c r="C34" s="679" t="s">
        <v>1131</v>
      </c>
      <c r="D34" s="144"/>
      <c r="E34" s="144"/>
      <c r="F34" s="144"/>
      <c r="G34" s="144"/>
      <c r="H34" s="245"/>
      <c r="I34" s="204"/>
      <c r="J34" s="144"/>
      <c r="K34" s="144"/>
      <c r="L34" s="144"/>
      <c r="M34" s="144"/>
      <c r="N34" s="245"/>
      <c r="O34" s="423"/>
      <c r="P34" s="144"/>
      <c r="Q34" s="144"/>
      <c r="R34" s="144"/>
      <c r="S34" s="144"/>
      <c r="T34" s="245"/>
      <c r="U34" s="423"/>
      <c r="V34" s="144"/>
      <c r="W34" s="144"/>
      <c r="X34" s="144"/>
      <c r="Y34" s="281"/>
      <c r="Z34" s="173"/>
      <c r="AA34" s="144"/>
      <c r="AB34" s="245"/>
      <c r="AC34" s="423"/>
      <c r="AD34" s="144"/>
      <c r="AE34" s="144"/>
      <c r="AF34" s="144"/>
      <c r="AG34" s="281"/>
      <c r="AH34" s="173"/>
      <c r="AI34" s="144"/>
      <c r="AJ34" s="245"/>
      <c r="AK34" s="422"/>
      <c r="AL34" s="144"/>
      <c r="AM34" s="144"/>
      <c r="AN34" s="144"/>
      <c r="AO34" s="144"/>
      <c r="AP34" s="281"/>
      <c r="AQ34" s="281"/>
      <c r="AR34" s="144"/>
      <c r="AS34" s="245"/>
      <c r="AT34" s="422"/>
      <c r="AU34" s="144"/>
      <c r="AV34" s="144"/>
      <c r="AW34" s="144"/>
      <c r="AX34" s="281"/>
      <c r="AY34" s="281"/>
      <c r="AZ34" s="144"/>
      <c r="BA34" s="245"/>
      <c r="BB34" s="422"/>
      <c r="BC34" s="144"/>
      <c r="BD34" s="144"/>
      <c r="BE34" s="144"/>
      <c r="BF34" s="281"/>
      <c r="BG34" s="281"/>
      <c r="BH34" s="144"/>
      <c r="BI34" s="245"/>
      <c r="BJ34" s="422"/>
      <c r="BK34" s="144"/>
      <c r="BL34" s="144"/>
      <c r="BM34" s="144"/>
      <c r="BN34" s="144"/>
      <c r="BO34" s="281"/>
      <c r="BP34" s="281"/>
      <c r="BQ34" s="144"/>
      <c r="BR34" s="245"/>
      <c r="BS34" s="423"/>
      <c r="BT34" s="144"/>
      <c r="BU34" s="144"/>
      <c r="BV34" s="144"/>
      <c r="BW34" s="281"/>
      <c r="BX34" s="281"/>
      <c r="BY34" s="144"/>
      <c r="BZ34" s="245"/>
      <c r="CA34" s="423"/>
      <c r="CB34" s="144"/>
      <c r="CC34" s="144"/>
      <c r="CD34" s="144"/>
      <c r="CE34" s="281"/>
      <c r="CF34" s="281"/>
      <c r="CG34" s="144"/>
      <c r="CH34" s="245"/>
      <c r="CI34" s="423"/>
      <c r="CJ34" s="144"/>
      <c r="CK34" s="144"/>
      <c r="CL34" s="144"/>
      <c r="CM34" s="281"/>
      <c r="CN34" s="281"/>
      <c r="CO34" s="144"/>
      <c r="CP34" s="245"/>
      <c r="CQ34" s="422"/>
      <c r="CR34" s="173"/>
      <c r="CS34" s="173"/>
      <c r="CT34" s="173"/>
      <c r="CU34" s="173" t="n">
        <f aca="false">+CR34-CS34</f>
        <v>0</v>
      </c>
      <c r="CV34" s="173" t="n">
        <f aca="false">+CR34-CT34</f>
        <v>0</v>
      </c>
      <c r="CW34" s="173"/>
      <c r="CX34" s="245" t="str">
        <f aca="false">IFERROR(+CR34/CW34-1, "-")</f>
        <v>-</v>
      </c>
      <c r="CY34" s="425"/>
      <c r="CZ34" s="426"/>
      <c r="DA34" s="144"/>
      <c r="DB34" s="144"/>
      <c r="DC34" s="144"/>
      <c r="DD34" s="144"/>
      <c r="DE34" s="245"/>
      <c r="DF34" s="245"/>
      <c r="DG34" s="245"/>
      <c r="DH34" s="245"/>
      <c r="DI34" s="141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N34" s="488" t="n">
        <f aca="false">0/(10^6)</f>
        <v>0</v>
      </c>
      <c r="DO34" s="118" t="n">
        <f aca="false">DN34-CR34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</row>
    <row r="35" customFormat="false" ht="15" hidden="false" customHeight="true" outlineLevel="0" collapsed="false">
      <c r="A35" s="591"/>
      <c r="B35" s="857" t="s">
        <v>1132</v>
      </c>
      <c r="C35" s="679" t="s">
        <v>1133</v>
      </c>
      <c r="D35" s="144"/>
      <c r="E35" s="144"/>
      <c r="F35" s="144"/>
      <c r="G35" s="144"/>
      <c r="H35" s="245"/>
      <c r="I35" s="204"/>
      <c r="J35" s="144"/>
      <c r="K35" s="144"/>
      <c r="L35" s="144"/>
      <c r="M35" s="144"/>
      <c r="N35" s="245"/>
      <c r="O35" s="423"/>
      <c r="P35" s="144"/>
      <c r="Q35" s="144"/>
      <c r="R35" s="144"/>
      <c r="S35" s="144"/>
      <c r="T35" s="245"/>
      <c r="U35" s="423"/>
      <c r="V35" s="144"/>
      <c r="W35" s="144"/>
      <c r="X35" s="144"/>
      <c r="Y35" s="281"/>
      <c r="Z35" s="173"/>
      <c r="AA35" s="144"/>
      <c r="AB35" s="245"/>
      <c r="AC35" s="423"/>
      <c r="AD35" s="144"/>
      <c r="AE35" s="144"/>
      <c r="AF35" s="144"/>
      <c r="AG35" s="281"/>
      <c r="AH35" s="173"/>
      <c r="AI35" s="144"/>
      <c r="AJ35" s="245"/>
      <c r="AK35" s="422"/>
      <c r="AL35" s="144"/>
      <c r="AM35" s="144"/>
      <c r="AN35" s="144"/>
      <c r="AO35" s="144"/>
      <c r="AP35" s="281"/>
      <c r="AQ35" s="281"/>
      <c r="AR35" s="144"/>
      <c r="AS35" s="245"/>
      <c r="AT35" s="422"/>
      <c r="AU35" s="144"/>
      <c r="AV35" s="144"/>
      <c r="AW35" s="144"/>
      <c r="AX35" s="281"/>
      <c r="AY35" s="281"/>
      <c r="AZ35" s="144"/>
      <c r="BA35" s="245"/>
      <c r="BB35" s="422"/>
      <c r="BC35" s="144"/>
      <c r="BD35" s="144"/>
      <c r="BE35" s="144"/>
      <c r="BF35" s="281"/>
      <c r="BG35" s="281"/>
      <c r="BH35" s="144"/>
      <c r="BI35" s="245"/>
      <c r="BJ35" s="422"/>
      <c r="BK35" s="144"/>
      <c r="BL35" s="144"/>
      <c r="BM35" s="144"/>
      <c r="BN35" s="144"/>
      <c r="BO35" s="281"/>
      <c r="BP35" s="281"/>
      <c r="BQ35" s="144"/>
      <c r="BR35" s="245"/>
      <c r="BS35" s="423"/>
      <c r="BT35" s="144"/>
      <c r="BU35" s="144"/>
      <c r="BV35" s="144"/>
      <c r="BW35" s="281"/>
      <c r="BX35" s="281"/>
      <c r="BY35" s="144"/>
      <c r="BZ35" s="245"/>
      <c r="CA35" s="423"/>
      <c r="CB35" s="144"/>
      <c r="CC35" s="144"/>
      <c r="CD35" s="144"/>
      <c r="CE35" s="281"/>
      <c r="CF35" s="281"/>
      <c r="CG35" s="144"/>
      <c r="CH35" s="245"/>
      <c r="CI35" s="423"/>
      <c r="CJ35" s="144"/>
      <c r="CK35" s="144"/>
      <c r="CL35" s="144"/>
      <c r="CM35" s="281"/>
      <c r="CN35" s="281"/>
      <c r="CO35" s="144"/>
      <c r="CP35" s="245"/>
      <c r="CQ35" s="422"/>
      <c r="CR35" s="173"/>
      <c r="CS35" s="173"/>
      <c r="CT35" s="173"/>
      <c r="CU35" s="173" t="n">
        <f aca="false">+CR35-CS35</f>
        <v>0</v>
      </c>
      <c r="CV35" s="173" t="n">
        <f aca="false">+CR35-CT35</f>
        <v>0</v>
      </c>
      <c r="CW35" s="173"/>
      <c r="CX35" s="245" t="str">
        <f aca="false">IFERROR(+CR35/CW35-1, "-")</f>
        <v>-</v>
      </c>
      <c r="CY35" s="425"/>
      <c r="CZ35" s="426"/>
      <c r="DA35" s="144"/>
      <c r="DB35" s="144"/>
      <c r="DC35" s="144"/>
      <c r="DD35" s="144"/>
      <c r="DE35" s="245"/>
      <c r="DF35" s="245"/>
      <c r="DG35" s="245"/>
      <c r="DH35" s="245"/>
      <c r="DI35" s="141"/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N35" s="488" t="n">
        <v>22.204944</v>
      </c>
      <c r="DO35" s="118" t="n">
        <f aca="false">DN35-CR35</f>
        <v>22.204944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</row>
    <row r="36" customFormat="false" ht="15" hidden="false" customHeight="true" outlineLevel="0" collapsed="false">
      <c r="A36" s="591"/>
      <c r="B36" s="857" t="s">
        <v>1134</v>
      </c>
      <c r="C36" s="679" t="s">
        <v>1135</v>
      </c>
      <c r="D36" s="144"/>
      <c r="E36" s="144"/>
      <c r="F36" s="144"/>
      <c r="G36" s="144"/>
      <c r="H36" s="245"/>
      <c r="I36" s="204"/>
      <c r="J36" s="144"/>
      <c r="K36" s="144"/>
      <c r="L36" s="144"/>
      <c r="M36" s="144"/>
      <c r="N36" s="245"/>
      <c r="O36" s="423"/>
      <c r="P36" s="144"/>
      <c r="Q36" s="144"/>
      <c r="R36" s="144"/>
      <c r="S36" s="144"/>
      <c r="T36" s="245"/>
      <c r="U36" s="423"/>
      <c r="V36" s="144"/>
      <c r="W36" s="144"/>
      <c r="X36" s="144"/>
      <c r="Y36" s="281"/>
      <c r="Z36" s="173"/>
      <c r="AA36" s="144"/>
      <c r="AB36" s="245"/>
      <c r="AC36" s="423"/>
      <c r="AD36" s="144"/>
      <c r="AE36" s="144"/>
      <c r="AF36" s="144"/>
      <c r="AG36" s="281"/>
      <c r="AH36" s="173"/>
      <c r="AI36" s="144"/>
      <c r="AJ36" s="245"/>
      <c r="AK36" s="422"/>
      <c r="AL36" s="144"/>
      <c r="AM36" s="144"/>
      <c r="AN36" s="144"/>
      <c r="AO36" s="144"/>
      <c r="AP36" s="281"/>
      <c r="AQ36" s="281"/>
      <c r="AR36" s="144"/>
      <c r="AS36" s="245"/>
      <c r="AT36" s="422"/>
      <c r="AU36" s="144"/>
      <c r="AV36" s="144"/>
      <c r="AW36" s="144"/>
      <c r="AX36" s="281"/>
      <c r="AY36" s="281"/>
      <c r="AZ36" s="144"/>
      <c r="BA36" s="245"/>
      <c r="BB36" s="422"/>
      <c r="BC36" s="144"/>
      <c r="BD36" s="144"/>
      <c r="BE36" s="144"/>
      <c r="BF36" s="281"/>
      <c r="BG36" s="281"/>
      <c r="BH36" s="144"/>
      <c r="BI36" s="245"/>
      <c r="BJ36" s="422"/>
      <c r="BK36" s="144"/>
      <c r="BL36" s="144"/>
      <c r="BM36" s="144"/>
      <c r="BN36" s="144"/>
      <c r="BO36" s="281"/>
      <c r="BP36" s="281"/>
      <c r="BQ36" s="144"/>
      <c r="BR36" s="245"/>
      <c r="BS36" s="423"/>
      <c r="BT36" s="144"/>
      <c r="BU36" s="144"/>
      <c r="BV36" s="144"/>
      <c r="BW36" s="281"/>
      <c r="BX36" s="281"/>
      <c r="BY36" s="144"/>
      <c r="BZ36" s="245"/>
      <c r="CA36" s="423"/>
      <c r="CB36" s="144"/>
      <c r="CC36" s="144"/>
      <c r="CD36" s="144"/>
      <c r="CE36" s="281"/>
      <c r="CF36" s="281"/>
      <c r="CG36" s="144"/>
      <c r="CH36" s="245"/>
      <c r="CI36" s="423"/>
      <c r="CJ36" s="144"/>
      <c r="CK36" s="144"/>
      <c r="CL36" s="144"/>
      <c r="CM36" s="281"/>
      <c r="CN36" s="281"/>
      <c r="CO36" s="144"/>
      <c r="CP36" s="245"/>
      <c r="CQ36" s="422"/>
      <c r="CR36" s="173"/>
      <c r="CS36" s="173"/>
      <c r="CT36" s="173"/>
      <c r="CU36" s="173" t="n">
        <f aca="false">+CR36-CS36</f>
        <v>0</v>
      </c>
      <c r="CV36" s="173" t="n">
        <f aca="false">+CR36-CT36</f>
        <v>0</v>
      </c>
      <c r="CW36" s="173"/>
      <c r="CX36" s="245" t="str">
        <f aca="false">IFERROR(+CR36/CW36-1, "-")</f>
        <v>-</v>
      </c>
      <c r="CY36" s="425"/>
      <c r="CZ36" s="426"/>
      <c r="DA36" s="144"/>
      <c r="DB36" s="144"/>
      <c r="DC36" s="144"/>
      <c r="DD36" s="144"/>
      <c r="DE36" s="245"/>
      <c r="DF36" s="245"/>
      <c r="DG36" s="245"/>
      <c r="DH36" s="245"/>
      <c r="DI36" s="141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N36" s="488" t="n">
        <f aca="false">0/(10^6)</f>
        <v>0</v>
      </c>
      <c r="DO36" s="118" t="n">
        <f aca="false">DN36-CR36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customFormat="false" ht="15" hidden="false" customHeight="true" outlineLevel="0" collapsed="false">
      <c r="A37" s="2074"/>
      <c r="B37" s="857" t="s">
        <v>1136</v>
      </c>
      <c r="C37" s="679" t="s">
        <v>1137</v>
      </c>
      <c r="D37" s="144"/>
      <c r="E37" s="144"/>
      <c r="F37" s="144"/>
      <c r="G37" s="144"/>
      <c r="H37" s="245"/>
      <c r="I37" s="2070"/>
      <c r="J37" s="144"/>
      <c r="K37" s="144"/>
      <c r="L37" s="144"/>
      <c r="M37" s="144"/>
      <c r="N37" s="245"/>
      <c r="O37" s="423"/>
      <c r="P37" s="144"/>
      <c r="Q37" s="144"/>
      <c r="R37" s="144"/>
      <c r="S37" s="144"/>
      <c r="T37" s="245"/>
      <c r="U37" s="423"/>
      <c r="V37" s="144"/>
      <c r="W37" s="144"/>
      <c r="X37" s="144"/>
      <c r="Y37" s="281"/>
      <c r="Z37" s="173"/>
      <c r="AA37" s="144"/>
      <c r="AB37" s="245"/>
      <c r="AC37" s="423"/>
      <c r="AD37" s="144"/>
      <c r="AE37" s="144"/>
      <c r="AF37" s="144"/>
      <c r="AG37" s="281"/>
      <c r="AH37" s="173"/>
      <c r="AI37" s="144"/>
      <c r="AJ37" s="245"/>
      <c r="AK37" s="422"/>
      <c r="AL37" s="144"/>
      <c r="AM37" s="144"/>
      <c r="AN37" s="144"/>
      <c r="AO37" s="144"/>
      <c r="AP37" s="281"/>
      <c r="AQ37" s="281"/>
      <c r="AR37" s="144"/>
      <c r="AS37" s="245"/>
      <c r="AT37" s="422"/>
      <c r="AU37" s="144"/>
      <c r="AV37" s="144"/>
      <c r="AW37" s="144"/>
      <c r="AX37" s="281"/>
      <c r="AY37" s="281"/>
      <c r="AZ37" s="144"/>
      <c r="BA37" s="245"/>
      <c r="BB37" s="422"/>
      <c r="BC37" s="144"/>
      <c r="BD37" s="144"/>
      <c r="BE37" s="144"/>
      <c r="BF37" s="281"/>
      <c r="BG37" s="281"/>
      <c r="BH37" s="144"/>
      <c r="BI37" s="245"/>
      <c r="BJ37" s="422"/>
      <c r="BK37" s="144"/>
      <c r="BL37" s="144"/>
      <c r="BM37" s="144"/>
      <c r="BN37" s="144"/>
      <c r="BO37" s="281"/>
      <c r="BP37" s="281"/>
      <c r="BQ37" s="144"/>
      <c r="BR37" s="245"/>
      <c r="BS37" s="423"/>
      <c r="BT37" s="144"/>
      <c r="BU37" s="144"/>
      <c r="BV37" s="144"/>
      <c r="BW37" s="281"/>
      <c r="BX37" s="281"/>
      <c r="BY37" s="144"/>
      <c r="BZ37" s="245"/>
      <c r="CA37" s="423"/>
      <c r="CB37" s="144"/>
      <c r="CC37" s="144"/>
      <c r="CD37" s="144"/>
      <c r="CE37" s="281"/>
      <c r="CF37" s="281"/>
      <c r="CG37" s="144"/>
      <c r="CH37" s="245"/>
      <c r="CI37" s="423"/>
      <c r="CJ37" s="144"/>
      <c r="CK37" s="144"/>
      <c r="CL37" s="144"/>
      <c r="CM37" s="281"/>
      <c r="CN37" s="281"/>
      <c r="CO37" s="144"/>
      <c r="CP37" s="245"/>
      <c r="CQ37" s="422"/>
      <c r="CR37" s="173"/>
      <c r="CS37" s="173"/>
      <c r="CT37" s="173"/>
      <c r="CU37" s="173" t="n">
        <f aca="false">+CR37-CS37</f>
        <v>0</v>
      </c>
      <c r="CV37" s="173" t="n">
        <f aca="false">+CR37-CT37</f>
        <v>0</v>
      </c>
      <c r="CW37" s="173"/>
      <c r="CX37" s="245" t="str">
        <f aca="false">IFERROR(+CR37/CW37-1, "-")</f>
        <v>-</v>
      </c>
      <c r="CY37" s="2071"/>
      <c r="CZ37" s="426"/>
      <c r="DA37" s="144"/>
      <c r="DB37" s="144"/>
      <c r="DC37" s="144"/>
      <c r="DD37" s="144"/>
      <c r="DE37" s="245" t="e">
        <f aca="false">+CZ37/DD37-1</f>
        <v>#DIV/0!</v>
      </c>
      <c r="DF37" s="245" t="e">
        <f aca="false">+DA37/DD37-1</f>
        <v>#DIV/0!</v>
      </c>
      <c r="DG37" s="245" t="e">
        <f aca="false">+DB37/DD37-1</f>
        <v>#DIV/0!</v>
      </c>
      <c r="DH37" s="245" t="e">
        <f aca="false">+DC37/DD37-1</f>
        <v>#DIV/0!</v>
      </c>
      <c r="DI37" s="141"/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N37" s="488" t="n">
        <v>364.6338</v>
      </c>
      <c r="DO37" s="118" t="n">
        <f aca="false">DN37-CR37</f>
        <v>364.6338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</row>
    <row r="38" customFormat="false" ht="15" hidden="false" customHeight="true" outlineLevel="0" collapsed="false">
      <c r="A38" s="591"/>
      <c r="B38" s="857" t="s">
        <v>1138</v>
      </c>
      <c r="C38" s="679" t="s">
        <v>1139</v>
      </c>
      <c r="D38" s="144"/>
      <c r="E38" s="144"/>
      <c r="F38" s="144"/>
      <c r="G38" s="144"/>
      <c r="H38" s="245"/>
      <c r="I38" s="204"/>
      <c r="J38" s="144"/>
      <c r="K38" s="144"/>
      <c r="L38" s="144"/>
      <c r="M38" s="144"/>
      <c r="N38" s="245"/>
      <c r="O38" s="423"/>
      <c r="P38" s="144"/>
      <c r="Q38" s="144"/>
      <c r="R38" s="144"/>
      <c r="S38" s="144"/>
      <c r="T38" s="245"/>
      <c r="U38" s="423"/>
      <c r="V38" s="144"/>
      <c r="W38" s="144"/>
      <c r="X38" s="144"/>
      <c r="Y38" s="281"/>
      <c r="Z38" s="173"/>
      <c r="AA38" s="144"/>
      <c r="AB38" s="245"/>
      <c r="AC38" s="423"/>
      <c r="AD38" s="144"/>
      <c r="AE38" s="144"/>
      <c r="AF38" s="144"/>
      <c r="AG38" s="281"/>
      <c r="AH38" s="173"/>
      <c r="AI38" s="144"/>
      <c r="AJ38" s="245"/>
      <c r="AK38" s="422"/>
      <c r="AL38" s="144"/>
      <c r="AM38" s="144"/>
      <c r="AN38" s="144"/>
      <c r="AO38" s="144"/>
      <c r="AP38" s="281"/>
      <c r="AQ38" s="281"/>
      <c r="AR38" s="144"/>
      <c r="AS38" s="245"/>
      <c r="AT38" s="422"/>
      <c r="AU38" s="144"/>
      <c r="AV38" s="144"/>
      <c r="AW38" s="144"/>
      <c r="AX38" s="281"/>
      <c r="AY38" s="281"/>
      <c r="AZ38" s="144"/>
      <c r="BA38" s="245"/>
      <c r="BB38" s="422"/>
      <c r="BC38" s="144"/>
      <c r="BD38" s="144"/>
      <c r="BE38" s="144"/>
      <c r="BF38" s="281"/>
      <c r="BG38" s="281"/>
      <c r="BH38" s="144"/>
      <c r="BI38" s="245"/>
      <c r="BJ38" s="422"/>
      <c r="BK38" s="144"/>
      <c r="BL38" s="144"/>
      <c r="BM38" s="144"/>
      <c r="BN38" s="144"/>
      <c r="BO38" s="281"/>
      <c r="BP38" s="281"/>
      <c r="BQ38" s="144"/>
      <c r="BR38" s="245"/>
      <c r="BS38" s="423"/>
      <c r="BT38" s="144"/>
      <c r="BU38" s="144"/>
      <c r="BV38" s="144"/>
      <c r="BW38" s="281"/>
      <c r="BX38" s="281"/>
      <c r="BY38" s="144"/>
      <c r="BZ38" s="245"/>
      <c r="CA38" s="423"/>
      <c r="CB38" s="144"/>
      <c r="CC38" s="144"/>
      <c r="CD38" s="144"/>
      <c r="CE38" s="281"/>
      <c r="CF38" s="281"/>
      <c r="CG38" s="144"/>
      <c r="CH38" s="245"/>
      <c r="CI38" s="423"/>
      <c r="CJ38" s="144"/>
      <c r="CK38" s="144"/>
      <c r="CL38" s="144"/>
      <c r="CM38" s="281"/>
      <c r="CN38" s="281"/>
      <c r="CO38" s="144"/>
      <c r="CP38" s="245"/>
      <c r="CQ38" s="422"/>
      <c r="CR38" s="173"/>
      <c r="CS38" s="173"/>
      <c r="CT38" s="173"/>
      <c r="CU38" s="173" t="n">
        <f aca="false">+CR38-CS38</f>
        <v>0</v>
      </c>
      <c r="CV38" s="173" t="n">
        <f aca="false">+CR38-CT38</f>
        <v>0</v>
      </c>
      <c r="CW38" s="173"/>
      <c r="CX38" s="245" t="str">
        <f aca="false">IFERROR(+CR38/CW38-1, "-")</f>
        <v>-</v>
      </c>
      <c r="CY38" s="425"/>
      <c r="CZ38" s="426"/>
      <c r="DA38" s="144"/>
      <c r="DB38" s="144"/>
      <c r="DC38" s="144"/>
      <c r="DD38" s="144"/>
      <c r="DE38" s="245"/>
      <c r="DF38" s="245"/>
      <c r="DG38" s="245"/>
      <c r="DH38" s="245"/>
      <c r="DI38" s="141"/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N38" s="488" t="n">
        <v>0</v>
      </c>
      <c r="DO38" s="118" t="n">
        <f aca="false">DN38-CR38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</row>
    <row r="39" customFormat="false" ht="15" hidden="false" customHeight="true" outlineLevel="0" collapsed="false">
      <c r="A39" s="591"/>
      <c r="B39" s="857" t="s">
        <v>1140</v>
      </c>
      <c r="C39" s="679" t="s">
        <v>1141</v>
      </c>
      <c r="D39" s="144"/>
      <c r="E39" s="144"/>
      <c r="F39" s="144"/>
      <c r="G39" s="144"/>
      <c r="H39" s="245"/>
      <c r="I39" s="204"/>
      <c r="J39" s="144"/>
      <c r="K39" s="144"/>
      <c r="L39" s="144"/>
      <c r="M39" s="144"/>
      <c r="N39" s="245"/>
      <c r="O39" s="423"/>
      <c r="P39" s="144"/>
      <c r="Q39" s="144"/>
      <c r="R39" s="144"/>
      <c r="S39" s="144"/>
      <c r="T39" s="245"/>
      <c r="U39" s="423"/>
      <c r="V39" s="144"/>
      <c r="W39" s="144"/>
      <c r="X39" s="144"/>
      <c r="Y39" s="281"/>
      <c r="Z39" s="173"/>
      <c r="AA39" s="144"/>
      <c r="AB39" s="245"/>
      <c r="AC39" s="423"/>
      <c r="AD39" s="144"/>
      <c r="AE39" s="144"/>
      <c r="AF39" s="144"/>
      <c r="AG39" s="281"/>
      <c r="AH39" s="173"/>
      <c r="AI39" s="144"/>
      <c r="AJ39" s="245"/>
      <c r="AK39" s="422"/>
      <c r="AL39" s="144"/>
      <c r="AM39" s="144"/>
      <c r="AN39" s="144"/>
      <c r="AO39" s="144"/>
      <c r="AP39" s="281"/>
      <c r="AQ39" s="281"/>
      <c r="AR39" s="144"/>
      <c r="AS39" s="245"/>
      <c r="AT39" s="422"/>
      <c r="AU39" s="144"/>
      <c r="AV39" s="144"/>
      <c r="AW39" s="144"/>
      <c r="AX39" s="281"/>
      <c r="AY39" s="281"/>
      <c r="AZ39" s="144"/>
      <c r="BA39" s="245"/>
      <c r="BB39" s="422"/>
      <c r="BC39" s="144"/>
      <c r="BD39" s="144"/>
      <c r="BE39" s="144"/>
      <c r="BF39" s="281"/>
      <c r="BG39" s="281"/>
      <c r="BH39" s="144"/>
      <c r="BI39" s="245"/>
      <c r="BJ39" s="422"/>
      <c r="BK39" s="144"/>
      <c r="BL39" s="144"/>
      <c r="BM39" s="144"/>
      <c r="BN39" s="144"/>
      <c r="BO39" s="281"/>
      <c r="BP39" s="281"/>
      <c r="BQ39" s="144"/>
      <c r="BR39" s="245"/>
      <c r="BS39" s="423"/>
      <c r="BT39" s="144"/>
      <c r="BU39" s="144"/>
      <c r="BV39" s="144"/>
      <c r="BW39" s="281"/>
      <c r="BX39" s="281"/>
      <c r="BY39" s="144"/>
      <c r="BZ39" s="245"/>
      <c r="CA39" s="423"/>
      <c r="CB39" s="144"/>
      <c r="CC39" s="144"/>
      <c r="CD39" s="144"/>
      <c r="CE39" s="281"/>
      <c r="CF39" s="281"/>
      <c r="CG39" s="144"/>
      <c r="CH39" s="245"/>
      <c r="CI39" s="423"/>
      <c r="CJ39" s="144"/>
      <c r="CK39" s="144"/>
      <c r="CL39" s="144"/>
      <c r="CM39" s="281"/>
      <c r="CN39" s="281"/>
      <c r="CO39" s="144"/>
      <c r="CP39" s="245"/>
      <c r="CQ39" s="422"/>
      <c r="CR39" s="173"/>
      <c r="CS39" s="173"/>
      <c r="CT39" s="173"/>
      <c r="CU39" s="173" t="n">
        <f aca="false">+CR39-CS39</f>
        <v>0</v>
      </c>
      <c r="CV39" s="173" t="n">
        <f aca="false">+CR39-CT39</f>
        <v>0</v>
      </c>
      <c r="CW39" s="173"/>
      <c r="CX39" s="245" t="str">
        <f aca="false">IFERROR(+CR39/CW39-1, "-")</f>
        <v>-</v>
      </c>
      <c r="CY39" s="425"/>
      <c r="CZ39" s="426"/>
      <c r="DA39" s="144"/>
      <c r="DB39" s="144"/>
      <c r="DC39" s="144"/>
      <c r="DD39" s="144"/>
      <c r="DE39" s="245"/>
      <c r="DF39" s="245"/>
      <c r="DG39" s="245"/>
      <c r="DH39" s="245"/>
      <c r="DI39" s="141"/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N39" s="488" t="n">
        <v>2.806203</v>
      </c>
      <c r="DO39" s="118" t="n">
        <f aca="false">DN39-CR39</f>
        <v>2.806203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</row>
    <row r="40" customFormat="false" ht="15" hidden="false" customHeight="true" outlineLevel="0" collapsed="false">
      <c r="A40" s="591"/>
      <c r="B40" s="857" t="s">
        <v>1142</v>
      </c>
      <c r="C40" s="679" t="s">
        <v>1143</v>
      </c>
      <c r="D40" s="421"/>
      <c r="E40" s="144"/>
      <c r="F40" s="144"/>
      <c r="G40" s="144"/>
      <c r="H40" s="245"/>
      <c r="I40" s="204"/>
      <c r="J40" s="421"/>
      <c r="K40" s="144"/>
      <c r="L40" s="144"/>
      <c r="M40" s="144"/>
      <c r="N40" s="245"/>
      <c r="O40" s="423"/>
      <c r="P40" s="421"/>
      <c r="Q40" s="144"/>
      <c r="R40" s="144"/>
      <c r="S40" s="144"/>
      <c r="T40" s="245"/>
      <c r="U40" s="423"/>
      <c r="V40" s="421"/>
      <c r="W40" s="144"/>
      <c r="X40" s="144"/>
      <c r="Y40" s="281"/>
      <c r="Z40" s="173"/>
      <c r="AA40" s="144"/>
      <c r="AB40" s="245"/>
      <c r="AC40" s="423"/>
      <c r="AD40" s="421"/>
      <c r="AE40" s="144"/>
      <c r="AF40" s="144"/>
      <c r="AG40" s="281"/>
      <c r="AH40" s="173"/>
      <c r="AI40" s="144"/>
      <c r="AJ40" s="245"/>
      <c r="AK40" s="422"/>
      <c r="AL40" s="421"/>
      <c r="AM40" s="144"/>
      <c r="AN40" s="144"/>
      <c r="AO40" s="144"/>
      <c r="AP40" s="281"/>
      <c r="AQ40" s="281"/>
      <c r="AR40" s="144"/>
      <c r="AS40" s="245"/>
      <c r="AT40" s="422"/>
      <c r="AU40" s="421"/>
      <c r="AV40" s="144"/>
      <c r="AW40" s="144"/>
      <c r="AX40" s="281"/>
      <c r="AY40" s="281"/>
      <c r="AZ40" s="144"/>
      <c r="BA40" s="245"/>
      <c r="BB40" s="422"/>
      <c r="BC40" s="421"/>
      <c r="BD40" s="144"/>
      <c r="BE40" s="144"/>
      <c r="BF40" s="281"/>
      <c r="BG40" s="281"/>
      <c r="BH40" s="144"/>
      <c r="BI40" s="245"/>
      <c r="BJ40" s="422"/>
      <c r="BK40" s="421"/>
      <c r="BL40" s="144"/>
      <c r="BM40" s="144"/>
      <c r="BN40" s="144"/>
      <c r="BO40" s="281"/>
      <c r="BP40" s="281"/>
      <c r="BQ40" s="144"/>
      <c r="BR40" s="245"/>
      <c r="BS40" s="423"/>
      <c r="BT40" s="421"/>
      <c r="BU40" s="144"/>
      <c r="BV40" s="144"/>
      <c r="BW40" s="281"/>
      <c r="BX40" s="281"/>
      <c r="BY40" s="144"/>
      <c r="BZ40" s="245"/>
      <c r="CA40" s="423"/>
      <c r="CB40" s="421"/>
      <c r="CC40" s="144"/>
      <c r="CD40" s="144"/>
      <c r="CE40" s="281"/>
      <c r="CF40" s="281"/>
      <c r="CG40" s="144"/>
      <c r="CH40" s="245"/>
      <c r="CI40" s="423"/>
      <c r="CJ40" s="421"/>
      <c r="CK40" s="144"/>
      <c r="CL40" s="144"/>
      <c r="CM40" s="281"/>
      <c r="CN40" s="281"/>
      <c r="CO40" s="144"/>
      <c r="CP40" s="245"/>
      <c r="CQ40" s="422"/>
      <c r="CR40" s="173"/>
      <c r="CS40" s="173"/>
      <c r="CT40" s="173"/>
      <c r="CU40" s="173" t="n">
        <f aca="false">+CR40-CS40</f>
        <v>0</v>
      </c>
      <c r="CV40" s="173" t="n">
        <f aca="false">+CR40-CT40</f>
        <v>0</v>
      </c>
      <c r="CW40" s="173"/>
      <c r="CX40" s="245" t="str">
        <f aca="false">IFERROR(+CR40/CW40-1, "-")</f>
        <v>-</v>
      </c>
      <c r="CY40" s="425"/>
      <c r="CZ40" s="426"/>
      <c r="DA40" s="144"/>
      <c r="DB40" s="144"/>
      <c r="DC40" s="144"/>
      <c r="DD40" s="144"/>
      <c r="DE40" s="245" t="e">
        <f aca="false">+CZ40/DD40-1</f>
        <v>#DIV/0!</v>
      </c>
      <c r="DF40" s="245" t="e">
        <f aca="false">+DA40/DD40-1</f>
        <v>#DIV/0!</v>
      </c>
      <c r="DG40" s="245" t="e">
        <f aca="false">+DB40/DD40-1</f>
        <v>#DIV/0!</v>
      </c>
      <c r="DH40" s="245" t="e">
        <f aca="false">+DC40/DD40-1</f>
        <v>#DIV/0!</v>
      </c>
      <c r="DI40" s="141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N40" s="2085" t="n">
        <v>7.294191</v>
      </c>
      <c r="DO40" s="118" t="n">
        <f aca="false">DN40-CR40</f>
        <v>7.294191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customFormat="false" ht="15" hidden="false" customHeight="true" outlineLevel="0" collapsed="false">
      <c r="A41" s="601"/>
      <c r="B41" s="887" t="s">
        <v>1144</v>
      </c>
      <c r="C41" s="679" t="s">
        <v>1145</v>
      </c>
      <c r="D41" s="545"/>
      <c r="E41" s="2079"/>
      <c r="F41" s="2079"/>
      <c r="G41" s="2079"/>
      <c r="H41" s="546"/>
      <c r="I41" s="2086"/>
      <c r="J41" s="545"/>
      <c r="K41" s="2079"/>
      <c r="L41" s="2079"/>
      <c r="M41" s="2079"/>
      <c r="N41" s="546"/>
      <c r="O41" s="1306"/>
      <c r="P41" s="545"/>
      <c r="Q41" s="2079"/>
      <c r="R41" s="2079"/>
      <c r="S41" s="2079"/>
      <c r="T41" s="546"/>
      <c r="U41" s="1306"/>
      <c r="V41" s="545"/>
      <c r="W41" s="2079"/>
      <c r="X41" s="2079"/>
      <c r="Y41" s="281"/>
      <c r="Z41" s="2079"/>
      <c r="AA41" s="2079"/>
      <c r="AB41" s="546"/>
      <c r="AC41" s="1306"/>
      <c r="AD41" s="545"/>
      <c r="AE41" s="2079"/>
      <c r="AF41" s="2079"/>
      <c r="AG41" s="281"/>
      <c r="AH41" s="2079"/>
      <c r="AI41" s="2079"/>
      <c r="AJ41" s="546"/>
      <c r="AK41" s="1091"/>
      <c r="AL41" s="545"/>
      <c r="AM41" s="2079"/>
      <c r="AN41" s="2079"/>
      <c r="AO41" s="2079"/>
      <c r="AP41" s="281"/>
      <c r="AQ41" s="281"/>
      <c r="AR41" s="2079"/>
      <c r="AS41" s="546"/>
      <c r="AT41" s="1091"/>
      <c r="AU41" s="545"/>
      <c r="AV41" s="2079"/>
      <c r="AW41" s="2079"/>
      <c r="AX41" s="2079"/>
      <c r="AY41" s="2079"/>
      <c r="AZ41" s="2079"/>
      <c r="BA41" s="546"/>
      <c r="BB41" s="1091"/>
      <c r="BC41" s="545"/>
      <c r="BD41" s="2079"/>
      <c r="BE41" s="2079"/>
      <c r="BF41" s="2079"/>
      <c r="BG41" s="2079"/>
      <c r="BH41" s="2079"/>
      <c r="BI41" s="546"/>
      <c r="BJ41" s="1091"/>
      <c r="BK41" s="545"/>
      <c r="BL41" s="2079"/>
      <c r="BM41" s="2079"/>
      <c r="BN41" s="2079"/>
      <c r="BO41" s="2079"/>
      <c r="BP41" s="2079"/>
      <c r="BQ41" s="2079"/>
      <c r="BR41" s="546"/>
      <c r="BS41" s="1306"/>
      <c r="BT41" s="545"/>
      <c r="BU41" s="2079"/>
      <c r="BV41" s="2079"/>
      <c r="BW41" s="2079"/>
      <c r="BX41" s="2079"/>
      <c r="BY41" s="2079"/>
      <c r="BZ41" s="546"/>
      <c r="CA41" s="1306"/>
      <c r="CB41" s="545"/>
      <c r="CC41" s="2079"/>
      <c r="CD41" s="2079"/>
      <c r="CE41" s="2079"/>
      <c r="CF41" s="2079"/>
      <c r="CG41" s="2079"/>
      <c r="CH41" s="546"/>
      <c r="CI41" s="1306"/>
      <c r="CJ41" s="545"/>
      <c r="CK41" s="2079"/>
      <c r="CL41" s="2079"/>
      <c r="CM41" s="2079"/>
      <c r="CN41" s="2079"/>
      <c r="CO41" s="2079"/>
      <c r="CP41" s="546"/>
      <c r="CQ41" s="1091"/>
      <c r="CR41" s="2079"/>
      <c r="CS41" s="2079"/>
      <c r="CT41" s="2079"/>
      <c r="CU41" s="2079" t="n">
        <f aca="false">+CR41-CS41</f>
        <v>0</v>
      </c>
      <c r="CV41" s="2079" t="n">
        <f aca="false">+CR41-CT41</f>
        <v>0</v>
      </c>
      <c r="CW41" s="2079"/>
      <c r="CX41" s="236" t="str">
        <f aca="false">IFERROR(+CR41/CW41-1, "-")</f>
        <v>-</v>
      </c>
      <c r="CY41" s="2087"/>
      <c r="CZ41" s="2088"/>
      <c r="DA41" s="2089"/>
      <c r="DB41" s="2089"/>
      <c r="DC41" s="2089"/>
      <c r="DD41" s="2089"/>
      <c r="DE41" s="1307" t="e">
        <f aca="false">+CZ41/DD41-1</f>
        <v>#DIV/0!</v>
      </c>
      <c r="DF41" s="1307" t="e">
        <f aca="false">+DA41/DD41-1</f>
        <v>#DIV/0!</v>
      </c>
      <c r="DG41" s="1307" t="e">
        <f aca="false">+DB41/DD41-1</f>
        <v>#DIV/0!</v>
      </c>
      <c r="DH41" s="1307" t="e">
        <f aca="false">+DC41/DD41-1</f>
        <v>#DIV/0!</v>
      </c>
      <c r="DI41" s="141"/>
      <c r="DJ41" s="117" t="n">
        <f aca="false">SUM(D41,J41,P41,V41,AD41,AL41,AU41,BC41,BK41,BT41,CB41,CJ41)-CR41</f>
        <v>0</v>
      </c>
      <c r="DK41" s="117" t="n">
        <f aca="false">SUM(E41,K41,Q41,W41,AE41,AM41,AV41,BD41,BL41,BU41,CC41,CK41)-CS41</f>
        <v>0</v>
      </c>
      <c r="DL41" s="117" t="n">
        <f aca="false">SUM(G41,M41,S41,AA41,AI41,AR41,AZ41,BH41,BQ41,BY41,CG41,CO41)-CW41</f>
        <v>0</v>
      </c>
      <c r="DM41" s="117" t="n">
        <f aca="false">SUM(D41,J41,P41,V41,AD41,AL41,AU41,BC41,,BN41,BV41,CD41,CL41)-CT41</f>
        <v>0</v>
      </c>
      <c r="DN41" s="2081" t="n">
        <v>28.9394</v>
      </c>
      <c r="DO41" s="118" t="n">
        <f aca="false">DN41-CR41</f>
        <v>28.9394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</row>
    <row r="42" customFormat="false" ht="30" hidden="false" customHeight="true" outlineLevel="0" collapsed="false">
      <c r="DA42" s="40"/>
      <c r="DI42" s="141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</row>
    <row r="43" customFormat="false" ht="23.25" hidden="false" customHeight="true" outlineLevel="0" collapsed="false">
      <c r="BZ43" s="260"/>
      <c r="CA43" s="260"/>
      <c r="CB43" s="260"/>
      <c r="CC43" s="260"/>
      <c r="CD43" s="260"/>
      <c r="CE43" s="260"/>
      <c r="CF43" s="260"/>
      <c r="CG43" s="260"/>
      <c r="CH43" s="260"/>
      <c r="CI43" s="260"/>
      <c r="CJ43" s="260"/>
      <c r="CK43" s="260"/>
      <c r="CL43" s="260"/>
      <c r="CM43" s="260"/>
      <c r="CN43" s="260"/>
      <c r="CO43" s="260"/>
      <c r="CP43" s="260"/>
      <c r="CQ43" s="260"/>
      <c r="CR43" s="2090"/>
      <c r="CS43" s="2090"/>
      <c r="CT43" s="2090"/>
      <c r="CU43" s="244"/>
      <c r="CV43" s="244"/>
      <c r="CW43" s="271"/>
      <c r="CX43" s="260"/>
      <c r="CY43" s="14"/>
      <c r="CZ43" s="271"/>
      <c r="DA43" s="271"/>
      <c r="DB43" s="271"/>
      <c r="DC43" s="271"/>
      <c r="DD43" s="243"/>
      <c r="DI43" s="141"/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</row>
    <row r="44" customFormat="false" ht="20.25" hidden="false" customHeight="true" outlineLevel="0" collapsed="false">
      <c r="BZ44" s="260"/>
      <c r="CA44" s="260"/>
      <c r="CB44" s="260"/>
      <c r="CC44" s="260"/>
      <c r="CD44" s="260"/>
      <c r="CE44" s="260"/>
      <c r="CF44" s="260"/>
      <c r="CG44" s="260"/>
      <c r="CH44" s="260"/>
      <c r="CI44" s="260"/>
      <c r="CJ44" s="260"/>
      <c r="CK44" s="260"/>
      <c r="CL44" s="260"/>
      <c r="CM44" s="260"/>
      <c r="CN44" s="260"/>
      <c r="CO44" s="260"/>
      <c r="CP44" s="260"/>
      <c r="CQ44" s="260"/>
      <c r="CR44" s="2090"/>
      <c r="CS44" s="2090"/>
      <c r="CT44" s="643"/>
      <c r="CU44" s="643"/>
      <c r="CV44" s="643"/>
      <c r="CW44" s="643"/>
      <c r="CX44" s="260"/>
      <c r="CY44" s="14"/>
      <c r="CZ44" s="643"/>
      <c r="DA44" s="643"/>
      <c r="DB44" s="643"/>
      <c r="DC44" s="643"/>
      <c r="DD44" s="2091"/>
      <c r="DI44" s="141"/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</row>
    <row r="45" customFormat="false" ht="12.75" hidden="false" customHeight="false" outlineLevel="0" collapsed="false">
      <c r="BZ45" s="260"/>
      <c r="CA45" s="260"/>
      <c r="CB45" s="260"/>
      <c r="CC45" s="260"/>
      <c r="CD45" s="260"/>
      <c r="CE45" s="260"/>
      <c r="CF45" s="260"/>
      <c r="CG45" s="260"/>
      <c r="CH45" s="260"/>
      <c r="CI45" s="260"/>
      <c r="CJ45" s="260"/>
      <c r="CK45" s="260"/>
      <c r="CL45" s="260"/>
      <c r="CM45" s="260"/>
      <c r="CN45" s="260"/>
      <c r="CO45" s="260"/>
      <c r="CP45" s="260"/>
      <c r="CQ45" s="260"/>
      <c r="CR45" s="643"/>
      <c r="CS45" s="643"/>
      <c r="CT45" s="643"/>
      <c r="CU45" s="643"/>
      <c r="CV45" s="643"/>
      <c r="CW45" s="643"/>
      <c r="CX45" s="260"/>
      <c r="CY45" s="14"/>
      <c r="CZ45" s="643"/>
      <c r="DA45" s="643"/>
      <c r="DB45" s="643"/>
      <c r="DC45" s="643"/>
      <c r="DD45" s="2091"/>
      <c r="DI45" s="141"/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</row>
    <row r="46" customFormat="false" ht="12.75" hidden="false" customHeight="false" outlineLevel="0" collapsed="false">
      <c r="BZ46" s="260"/>
      <c r="CA46" s="260"/>
      <c r="CB46" s="260"/>
      <c r="CC46" s="260"/>
      <c r="CD46" s="260"/>
      <c r="CE46" s="260"/>
      <c r="CF46" s="260"/>
      <c r="CG46" s="260"/>
      <c r="CH46" s="260"/>
      <c r="CI46" s="260"/>
      <c r="CJ46" s="260"/>
      <c r="CK46" s="260"/>
      <c r="CL46" s="260"/>
      <c r="CM46" s="260"/>
      <c r="CN46" s="260"/>
      <c r="CO46" s="260"/>
      <c r="CP46" s="260"/>
      <c r="CQ46" s="260"/>
      <c r="CR46" s="643"/>
      <c r="CS46" s="643"/>
      <c r="CT46" s="643"/>
      <c r="CU46" s="643"/>
      <c r="CV46" s="643"/>
      <c r="CW46" s="643"/>
      <c r="CX46" s="260"/>
      <c r="CY46" s="14"/>
      <c r="CZ46" s="643"/>
      <c r="DA46" s="643"/>
      <c r="DB46" s="643"/>
      <c r="DC46" s="643"/>
      <c r="DD46" s="2091"/>
      <c r="DI46" s="141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customFormat="false" ht="12.75" hidden="false" customHeight="false" outlineLevel="0" collapsed="false">
      <c r="BZ47" s="260"/>
      <c r="CA47" s="260"/>
      <c r="CB47" s="260"/>
      <c r="CC47" s="260"/>
      <c r="CD47" s="260"/>
      <c r="CE47" s="260"/>
      <c r="CF47" s="260"/>
      <c r="CG47" s="260"/>
      <c r="CH47" s="260"/>
      <c r="CI47" s="260"/>
      <c r="CJ47" s="260"/>
      <c r="CK47" s="260"/>
      <c r="CL47" s="260"/>
      <c r="CM47" s="260"/>
      <c r="CN47" s="260"/>
      <c r="CO47" s="260"/>
      <c r="CP47" s="260"/>
      <c r="CQ47" s="260"/>
      <c r="CR47" s="643"/>
      <c r="CS47" s="643"/>
      <c r="CT47" s="643"/>
      <c r="CU47" s="643"/>
      <c r="CV47" s="643"/>
      <c r="CW47" s="643"/>
      <c r="CX47" s="260"/>
      <c r="CY47" s="14"/>
      <c r="CZ47" s="643"/>
      <c r="DA47" s="643"/>
      <c r="DB47" s="643"/>
      <c r="DC47" s="643"/>
      <c r="DD47" s="2091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</row>
    <row r="48" customFormat="false" ht="12.75" hidden="false" customHeight="true" outlineLevel="0" collapsed="false">
      <c r="B48" s="36" t="s">
        <v>1146</v>
      </c>
      <c r="BZ48" s="260"/>
      <c r="CA48" s="260"/>
      <c r="CB48" s="260"/>
      <c r="CC48" s="260"/>
      <c r="CD48" s="260"/>
      <c r="CE48" s="260"/>
      <c r="CF48" s="260"/>
      <c r="CG48" s="260"/>
      <c r="CH48" s="260"/>
      <c r="CI48" s="260"/>
      <c r="CJ48" s="260"/>
      <c r="CK48" s="260"/>
      <c r="CL48" s="260"/>
      <c r="CM48" s="260"/>
      <c r="CN48" s="260"/>
      <c r="CO48" s="260"/>
      <c r="CP48" s="260"/>
      <c r="CQ48" s="260"/>
      <c r="CR48" s="643"/>
      <c r="CS48" s="643"/>
      <c r="CT48" s="643"/>
      <c r="CU48" s="643"/>
      <c r="CV48" s="643"/>
      <c r="CW48" s="643"/>
      <c r="CX48" s="260"/>
      <c r="CY48" s="14"/>
      <c r="CZ48" s="643"/>
      <c r="DA48" s="643"/>
      <c r="DB48" s="643"/>
      <c r="DC48" s="643"/>
      <c r="DD48" s="2091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customFormat="false" ht="12.75" hidden="false" customHeight="true" outlineLevel="0" collapsed="false">
      <c r="B49" s="36" t="s">
        <v>1147</v>
      </c>
      <c r="BZ49" s="260"/>
      <c r="CA49" s="260"/>
      <c r="CB49" s="260"/>
      <c r="CC49" s="260"/>
      <c r="CD49" s="260"/>
      <c r="CE49" s="260"/>
      <c r="CF49" s="260"/>
      <c r="CG49" s="260"/>
      <c r="CH49" s="260"/>
      <c r="CI49" s="260"/>
      <c r="CJ49" s="260"/>
      <c r="CK49" s="260"/>
      <c r="CL49" s="260"/>
      <c r="CM49" s="260"/>
      <c r="CN49" s="260"/>
      <c r="CO49" s="260"/>
      <c r="CP49" s="260"/>
      <c r="CQ49" s="260"/>
      <c r="CR49" s="643"/>
      <c r="CS49" s="643"/>
      <c r="CT49" s="643"/>
      <c r="CU49" s="643"/>
      <c r="CV49" s="643"/>
      <c r="CW49" s="643"/>
      <c r="CX49" s="260"/>
      <c r="CY49" s="14"/>
      <c r="CZ49" s="643"/>
      <c r="DA49" s="643"/>
      <c r="DB49" s="643"/>
      <c r="DC49" s="643"/>
      <c r="DD49" s="2091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customFormat="false" ht="12.75" hidden="false" customHeight="true" outlineLevel="0" collapsed="false">
      <c r="B50" s="36" t="s">
        <v>1148</v>
      </c>
      <c r="BZ50" s="260"/>
      <c r="CA50" s="260"/>
      <c r="CB50" s="260"/>
      <c r="CC50" s="260"/>
      <c r="CD50" s="260"/>
      <c r="CE50" s="260"/>
      <c r="CF50" s="260"/>
      <c r="CG50" s="260"/>
      <c r="CH50" s="260"/>
      <c r="CI50" s="260"/>
      <c r="CJ50" s="260"/>
      <c r="CK50" s="260"/>
      <c r="CL50" s="260"/>
      <c r="CM50" s="260"/>
      <c r="CN50" s="260"/>
      <c r="CO50" s="260"/>
      <c r="CP50" s="260"/>
      <c r="CQ50" s="260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55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customFormat="false" ht="12.75" hidden="false" customHeight="true" outlineLevel="0" collapsed="false">
      <c r="B51" s="36" t="s">
        <v>1149</v>
      </c>
      <c r="BZ51" s="260"/>
      <c r="CA51" s="260"/>
      <c r="CB51" s="260"/>
      <c r="CC51" s="260"/>
      <c r="CD51" s="260"/>
      <c r="CE51" s="260"/>
      <c r="CF51" s="260"/>
      <c r="CG51" s="260"/>
      <c r="CH51" s="260"/>
      <c r="CI51" s="260"/>
      <c r="CJ51" s="260"/>
      <c r="CK51" s="260"/>
      <c r="CL51" s="260"/>
      <c r="CM51" s="260"/>
      <c r="CN51" s="260"/>
      <c r="CO51" s="260"/>
      <c r="CP51" s="260"/>
      <c r="CQ51" s="260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55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customFormat="false" ht="12.75" hidden="false" customHeight="true" outlineLevel="0" collapsed="false">
      <c r="B52" s="36" t="s">
        <v>1150</v>
      </c>
      <c r="BZ52" s="260"/>
      <c r="CA52" s="260"/>
      <c r="CB52" s="260"/>
      <c r="CC52" s="260"/>
      <c r="CD52" s="260"/>
      <c r="CE52" s="260"/>
      <c r="CF52" s="260"/>
      <c r="CG52" s="260"/>
      <c r="CH52" s="260"/>
      <c r="CI52" s="260"/>
      <c r="CJ52" s="260"/>
      <c r="CK52" s="260"/>
      <c r="CL52" s="260"/>
      <c r="CM52" s="260"/>
      <c r="CN52" s="260"/>
      <c r="CO52" s="260"/>
      <c r="CP52" s="260"/>
      <c r="CQ52" s="260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55"/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12.75" hidden="false" customHeight="true" outlineLevel="0" collapsed="false">
      <c r="B53" s="36" t="s">
        <v>1151</v>
      </c>
      <c r="BZ53" s="260"/>
      <c r="CA53" s="260"/>
      <c r="CB53" s="260"/>
      <c r="CC53" s="260"/>
      <c r="CD53" s="260"/>
      <c r="CE53" s="260"/>
      <c r="CF53" s="260"/>
      <c r="CG53" s="260"/>
      <c r="CH53" s="260"/>
      <c r="CI53" s="260"/>
      <c r="CJ53" s="260"/>
      <c r="CK53" s="260"/>
      <c r="CL53" s="260"/>
      <c r="CM53" s="260"/>
      <c r="CN53" s="260"/>
      <c r="CO53" s="260"/>
      <c r="CP53" s="260"/>
      <c r="CQ53" s="260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55"/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12.75" hidden="false" customHeight="true" outlineLevel="0" collapsed="false">
      <c r="B54" s="36" t="s">
        <v>1152</v>
      </c>
      <c r="BZ54" s="260"/>
      <c r="CA54" s="260"/>
      <c r="CB54" s="260"/>
      <c r="CC54" s="260"/>
      <c r="CD54" s="260"/>
      <c r="CE54" s="260"/>
      <c r="CF54" s="260"/>
      <c r="CG54" s="260"/>
      <c r="CH54" s="260"/>
      <c r="CI54" s="260"/>
      <c r="CJ54" s="260"/>
      <c r="CK54" s="260"/>
      <c r="CL54" s="260"/>
      <c r="CM54" s="260"/>
      <c r="CN54" s="260"/>
      <c r="CO54" s="260"/>
      <c r="CP54" s="260"/>
      <c r="CQ54" s="260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55"/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2.75" hidden="false" customHeight="true" outlineLevel="0" collapsed="false">
      <c r="B55" s="36" t="s">
        <v>1153</v>
      </c>
      <c r="BZ55" s="260"/>
      <c r="CA55" s="260"/>
      <c r="CB55" s="260"/>
      <c r="CC55" s="260"/>
      <c r="CD55" s="260"/>
      <c r="CE55" s="260"/>
      <c r="CF55" s="260"/>
      <c r="CG55" s="260"/>
      <c r="CH55" s="260"/>
      <c r="CI55" s="260"/>
      <c r="CJ55" s="260"/>
      <c r="CK55" s="260"/>
      <c r="CL55" s="260"/>
      <c r="CM55" s="260"/>
      <c r="CN55" s="260"/>
      <c r="CO55" s="260"/>
      <c r="CP55" s="260"/>
      <c r="CQ55" s="260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55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12.75" hidden="false" customHeight="true" outlineLevel="0" collapsed="false">
      <c r="BZ56" s="260"/>
      <c r="CA56" s="260"/>
      <c r="CB56" s="260"/>
      <c r="CC56" s="260"/>
      <c r="CD56" s="260"/>
      <c r="CE56" s="260"/>
      <c r="CF56" s="260"/>
      <c r="CG56" s="260"/>
      <c r="CH56" s="260"/>
      <c r="CI56" s="260"/>
      <c r="CJ56" s="260"/>
      <c r="CK56" s="260"/>
      <c r="CL56" s="260"/>
      <c r="CM56" s="260"/>
      <c r="CN56" s="260"/>
      <c r="CO56" s="260"/>
      <c r="CP56" s="260"/>
      <c r="CQ56" s="260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55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customFormat="false" ht="12.75" hidden="false" customHeight="true" outlineLevel="0" collapsed="false">
      <c r="BZ57" s="260"/>
      <c r="CA57" s="260"/>
      <c r="CB57" s="260"/>
      <c r="CC57" s="260"/>
      <c r="CD57" s="260"/>
      <c r="CE57" s="260"/>
      <c r="CF57" s="260"/>
      <c r="CG57" s="260"/>
      <c r="CH57" s="260"/>
      <c r="CI57" s="260"/>
      <c r="CJ57" s="260"/>
      <c r="CK57" s="260"/>
      <c r="CL57" s="260"/>
      <c r="CM57" s="260"/>
      <c r="CN57" s="260"/>
      <c r="CO57" s="260"/>
      <c r="CP57" s="260"/>
      <c r="CQ57" s="260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55"/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2.75" hidden="false" customHeight="false" outlineLevel="0" collapsed="false">
      <c r="BZ58" s="260"/>
      <c r="CA58" s="260"/>
      <c r="CB58" s="260"/>
      <c r="CC58" s="260"/>
      <c r="CD58" s="260"/>
      <c r="CE58" s="260"/>
      <c r="CF58" s="260"/>
      <c r="CG58" s="260"/>
      <c r="CH58" s="260"/>
      <c r="CI58" s="260"/>
      <c r="CJ58" s="260"/>
      <c r="CK58" s="260"/>
      <c r="CL58" s="260"/>
      <c r="CM58" s="260"/>
      <c r="CN58" s="260"/>
      <c r="CO58" s="260"/>
      <c r="CP58" s="260"/>
      <c r="CQ58" s="260"/>
      <c r="CR58" s="643"/>
      <c r="CS58" s="643"/>
      <c r="CT58" s="643"/>
      <c r="CU58" s="643"/>
      <c r="CV58" s="643"/>
      <c r="CW58" s="643"/>
      <c r="CX58" s="260"/>
      <c r="CY58" s="14"/>
      <c r="CZ58" s="643"/>
      <c r="DA58" s="643"/>
      <c r="DB58" s="643"/>
      <c r="DC58" s="643"/>
      <c r="DD58" s="2091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2.75" hidden="false" customHeight="false" outlineLevel="0" collapsed="false">
      <c r="BZ59" s="260"/>
      <c r="CA59" s="260"/>
      <c r="CB59" s="260"/>
      <c r="CC59" s="260"/>
      <c r="CD59" s="260"/>
      <c r="CE59" s="260"/>
      <c r="CF59" s="260"/>
      <c r="CG59" s="260"/>
      <c r="CH59" s="260"/>
      <c r="CI59" s="260"/>
      <c r="CJ59" s="260"/>
      <c r="CK59" s="260"/>
      <c r="CL59" s="260"/>
      <c r="CM59" s="260"/>
      <c r="CN59" s="260"/>
      <c r="CO59" s="260"/>
      <c r="CP59" s="260"/>
      <c r="CQ59" s="260"/>
      <c r="CR59" s="643"/>
      <c r="CS59" s="643"/>
      <c r="CT59" s="643"/>
      <c r="CU59" s="643"/>
      <c r="CV59" s="643"/>
      <c r="CW59" s="643"/>
      <c r="CX59" s="260"/>
      <c r="CY59" s="14"/>
      <c r="CZ59" s="643"/>
      <c r="DA59" s="643"/>
      <c r="DB59" s="643"/>
      <c r="DC59" s="643"/>
      <c r="DD59" s="2091"/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2.75" hidden="false" customHeight="false" outlineLevel="0" collapsed="false">
      <c r="BZ60" s="260"/>
      <c r="CA60" s="260"/>
      <c r="CB60" s="260"/>
      <c r="CC60" s="260"/>
      <c r="CD60" s="260"/>
      <c r="CE60" s="260"/>
      <c r="CF60" s="260"/>
      <c r="CG60" s="260"/>
      <c r="CH60" s="260"/>
      <c r="CI60" s="260"/>
      <c r="CJ60" s="260"/>
      <c r="CK60" s="260"/>
      <c r="CL60" s="260"/>
      <c r="CM60" s="260"/>
      <c r="CN60" s="260"/>
      <c r="CO60" s="260"/>
      <c r="CP60" s="260"/>
      <c r="CQ60" s="260"/>
      <c r="CR60" s="643"/>
      <c r="CS60" s="643"/>
      <c r="CT60" s="643"/>
      <c r="CU60" s="643"/>
      <c r="CV60" s="643"/>
      <c r="CW60" s="643"/>
      <c r="CX60" s="260"/>
      <c r="CY60" s="14"/>
      <c r="CZ60" s="643"/>
      <c r="DA60" s="643"/>
      <c r="DB60" s="643"/>
      <c r="DC60" s="643"/>
      <c r="DD60" s="2091"/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2.75" hidden="false" customHeight="false" outlineLevel="0" collapsed="false">
      <c r="BZ61" s="260"/>
      <c r="CA61" s="260"/>
      <c r="CB61" s="260"/>
      <c r="CC61" s="260"/>
      <c r="CD61" s="260"/>
      <c r="CE61" s="260"/>
      <c r="CF61" s="260"/>
      <c r="CG61" s="260"/>
      <c r="CH61" s="260"/>
      <c r="CI61" s="260"/>
      <c r="CJ61" s="260"/>
      <c r="CK61" s="260"/>
      <c r="CL61" s="260"/>
      <c r="CM61" s="260"/>
      <c r="CN61" s="260"/>
      <c r="CO61" s="260"/>
      <c r="CP61" s="260"/>
      <c r="CQ61" s="260"/>
      <c r="CR61" s="643"/>
      <c r="CS61" s="643"/>
      <c r="CT61" s="643"/>
      <c r="CU61" s="643"/>
      <c r="CV61" s="643"/>
      <c r="CW61" s="643"/>
      <c r="CX61" s="260"/>
      <c r="CY61" s="14"/>
      <c r="CZ61" s="643"/>
      <c r="DA61" s="643"/>
      <c r="DB61" s="643"/>
      <c r="DC61" s="643"/>
      <c r="DD61" s="2091"/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2.75" hidden="false" customHeight="false" outlineLevel="0" collapsed="false">
      <c r="BZ62" s="260"/>
      <c r="CA62" s="260"/>
      <c r="CB62" s="260"/>
      <c r="CC62" s="260"/>
      <c r="CD62" s="260"/>
      <c r="CE62" s="260"/>
      <c r="CF62" s="260"/>
      <c r="CG62" s="260"/>
      <c r="CH62" s="260"/>
      <c r="CI62" s="260"/>
      <c r="CJ62" s="260"/>
      <c r="CK62" s="260"/>
      <c r="CL62" s="260"/>
      <c r="CM62" s="260"/>
      <c r="CN62" s="260"/>
      <c r="CO62" s="260"/>
      <c r="CP62" s="260"/>
      <c r="CQ62" s="260"/>
      <c r="CR62" s="643"/>
      <c r="CS62" s="643"/>
      <c r="CT62" s="643"/>
      <c r="CU62" s="643"/>
      <c r="CV62" s="643"/>
      <c r="CW62" s="643"/>
      <c r="CX62" s="260"/>
      <c r="CY62" s="14"/>
      <c r="CZ62" s="643"/>
      <c r="DA62" s="643"/>
      <c r="DB62" s="643"/>
      <c r="DC62" s="643"/>
      <c r="DD62" s="2091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12.75" hidden="false" customHeight="false" outlineLevel="0" collapsed="false">
      <c r="BZ63" s="260"/>
      <c r="CA63" s="260"/>
      <c r="CB63" s="260"/>
      <c r="CC63" s="260"/>
      <c r="CD63" s="260"/>
      <c r="CE63" s="260"/>
      <c r="CF63" s="260"/>
      <c r="CG63" s="260"/>
      <c r="CH63" s="260"/>
      <c r="CI63" s="260"/>
      <c r="CJ63" s="260"/>
      <c r="CK63" s="260"/>
      <c r="CL63" s="260"/>
      <c r="CM63" s="260"/>
      <c r="CN63" s="260"/>
      <c r="CO63" s="260"/>
      <c r="CP63" s="260"/>
      <c r="CQ63" s="260"/>
      <c r="CR63" s="643"/>
      <c r="CS63" s="643"/>
      <c r="CT63" s="643"/>
      <c r="CU63" s="643"/>
      <c r="CV63" s="643"/>
      <c r="CW63" s="643"/>
      <c r="CX63" s="260"/>
      <c r="CY63" s="14"/>
      <c r="CZ63" s="643"/>
      <c r="DA63" s="643"/>
      <c r="DB63" s="643"/>
      <c r="DC63" s="643"/>
      <c r="DD63" s="2091"/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2.75" hidden="false" customHeight="false" outlineLevel="0" collapsed="false"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  <c r="CO64" s="260"/>
      <c r="CP64" s="260"/>
      <c r="CQ64" s="260"/>
      <c r="CR64" s="643"/>
      <c r="CS64" s="643"/>
      <c r="CT64" s="643"/>
      <c r="CU64" s="643"/>
      <c r="CV64" s="643"/>
      <c r="CW64" s="643"/>
      <c r="CX64" s="260"/>
      <c r="CY64" s="14"/>
      <c r="CZ64" s="643"/>
      <c r="DA64" s="643"/>
      <c r="DB64" s="643"/>
      <c r="DC64" s="643"/>
      <c r="DD64" s="2091"/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2.75" hidden="false" customHeight="false" outlineLevel="0" collapsed="false"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2.75" hidden="false" customHeight="false" outlineLevel="0" collapsed="false"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2.75" hidden="false" customHeight="false" outlineLevel="0" collapsed="false"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2.75" hidden="false" customHeight="false" outlineLevel="0" collapsed="false"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2.7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2.7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2.7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2.7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2.7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2.7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2.7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2.7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2.7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2.7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2.7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2.7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2.7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2.7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2.7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2.7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2.7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2.7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2.7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2.7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2.7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2.7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2.7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37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11.515625" defaultRowHeight="18.75" zeroHeight="false" outlineLevelRow="0" outlineLevelCol="0"/>
  <cols>
    <col collapsed="false" customWidth="true" hidden="false" outlineLevel="0" max="1" min="1" style="2092" width="174.02"/>
    <col collapsed="false" customWidth="true" hidden="false" outlineLevel="0" max="2" min="2" style="2093" width="39.83"/>
    <col collapsed="false" customWidth="true" hidden="false" outlineLevel="0" max="3" min="3" style="2094" width="20.17"/>
    <col collapsed="false" customWidth="true" hidden="false" outlineLevel="0" max="4" min="4" style="2095" width="46.83"/>
    <col collapsed="false" customWidth="true" hidden="false" outlineLevel="0" max="5" min="5" style="2095" width="14.01"/>
    <col collapsed="false" customWidth="true" hidden="false" outlineLevel="0" max="7" min="6" style="2095" width="18.33"/>
    <col collapsed="false" customWidth="true" hidden="false" outlineLevel="0" max="8" min="8" style="2095" width="21.33"/>
    <col collapsed="false" customWidth="true" hidden="false" outlineLevel="0" max="9" min="9" style="2095" width="20.33"/>
    <col collapsed="false" customWidth="true" hidden="false" outlineLevel="0" max="11" min="10" style="2095" width="18.33"/>
    <col collapsed="false" customWidth="true" hidden="false" outlineLevel="0" max="12" min="12" style="2095" width="21.33"/>
    <col collapsed="false" customWidth="true" hidden="false" outlineLevel="0" max="15" min="13" style="2095" width="18.33"/>
    <col collapsed="false" customWidth="true" hidden="false" outlineLevel="0" max="16" min="16" style="2093" width="21.33"/>
    <col collapsed="false" customWidth="true" hidden="false" outlineLevel="0" max="17" min="17" style="2095" width="18.33"/>
    <col collapsed="false" customWidth="true" hidden="false" outlineLevel="0" max="18" min="18" style="2095" width="20.33"/>
    <col collapsed="false" customWidth="true" hidden="false" outlineLevel="0" max="19" min="19" style="2095" width="18.33"/>
    <col collapsed="false" customWidth="true" hidden="false" outlineLevel="0" max="20" min="20" style="2095" width="21.33"/>
    <col collapsed="false" customWidth="true" hidden="false" outlineLevel="0" max="21" min="21" style="2095" width="20.33"/>
    <col collapsed="false" customWidth="true" hidden="false" outlineLevel="0" max="23" min="22" style="2095" width="18.33"/>
    <col collapsed="false" customWidth="true" hidden="false" outlineLevel="0" max="24" min="24" style="2095" width="21.33"/>
    <col collapsed="false" customWidth="true" hidden="false" outlineLevel="0" max="27" min="25" style="2095" width="18.33"/>
    <col collapsed="false" customWidth="true" hidden="false" outlineLevel="0" max="28" min="28" style="2095" width="21.33"/>
    <col collapsed="false" customWidth="true" hidden="false" outlineLevel="0" max="31" min="29" style="2095" width="20.33"/>
    <col collapsed="false" customWidth="true" hidden="false" outlineLevel="0" max="32" min="32" style="2095" width="21.33"/>
    <col collapsed="false" customWidth="true" hidden="false" outlineLevel="0" max="35" min="33" style="2095" width="20.33"/>
    <col collapsed="false" customWidth="true" hidden="false" outlineLevel="0" max="36" min="36" style="2095" width="21.33"/>
    <col collapsed="false" customWidth="true" hidden="false" outlineLevel="0" max="37" min="37" style="2095" width="20.33"/>
    <col collapsed="false" customWidth="true" hidden="false" outlineLevel="0" max="38" min="38" style="2095" width="16.67"/>
    <col collapsed="false" customWidth="true" hidden="false" outlineLevel="0" max="39" min="39" style="2095" width="20.33"/>
    <col collapsed="false" customWidth="true" hidden="false" outlineLevel="0" max="40" min="40" style="2095" width="21.33"/>
    <col collapsed="false" customWidth="true" hidden="false" outlineLevel="0" max="41" min="41" style="2095" width="20.33"/>
    <col collapsed="false" customWidth="true" hidden="false" outlineLevel="0" max="42" min="42" style="2095" width="18.33"/>
    <col collapsed="false" customWidth="true" hidden="false" outlineLevel="0" max="43" min="43" style="2095" width="20.33"/>
    <col collapsed="false" customWidth="true" hidden="false" outlineLevel="0" max="44" min="44" style="2095" width="21.33"/>
    <col collapsed="false" customWidth="true" hidden="false" outlineLevel="0" max="47" min="45" style="2095" width="18.33"/>
    <col collapsed="false" customWidth="true" hidden="false" outlineLevel="0" max="48" min="48" style="2095" width="21.33"/>
    <col collapsed="false" customWidth="true" hidden="false" outlineLevel="0" max="51" min="49" style="2095" width="20.33"/>
    <col collapsed="false" customWidth="true" hidden="false" outlineLevel="0" max="52" min="52" style="2095" width="21.33"/>
    <col collapsed="false" customWidth="true" hidden="false" outlineLevel="0" max="53" min="53" style="2093" width="20.33"/>
    <col collapsed="false" customWidth="true" hidden="false" outlineLevel="0" max="54" min="54" style="2096" width="21.5"/>
    <col collapsed="false" customWidth="true" hidden="true" outlineLevel="0" max="55" min="55" style="2097" width="21.5"/>
    <col collapsed="false" customWidth="false" hidden="false" outlineLevel="0" max="1024" min="56" style="2097" width="11.5"/>
  </cols>
  <sheetData>
    <row r="1" customFormat="false" ht="18.75" hidden="false" customHeight="false" outlineLevel="0" collapsed="false">
      <c r="A1" s="2098" t="s">
        <v>1154</v>
      </c>
      <c r="B1" s="2099"/>
      <c r="C1" s="2098"/>
      <c r="D1" s="2100"/>
      <c r="E1" s="2100"/>
      <c r="F1" s="2100"/>
      <c r="G1" s="2100"/>
      <c r="H1" s="2100"/>
      <c r="I1" s="2100"/>
      <c r="J1" s="2100"/>
      <c r="K1" s="2100"/>
      <c r="L1" s="2100"/>
      <c r="M1" s="2100"/>
      <c r="N1" s="2100"/>
      <c r="O1" s="2100"/>
      <c r="P1" s="2099"/>
      <c r="Q1" s="2100"/>
      <c r="R1" s="2100"/>
      <c r="S1" s="2100"/>
      <c r="T1" s="2100"/>
      <c r="U1" s="2100"/>
      <c r="V1" s="2100"/>
      <c r="W1" s="2100"/>
      <c r="X1" s="2100"/>
      <c r="Y1" s="2100"/>
      <c r="Z1" s="2100"/>
      <c r="AA1" s="2100"/>
      <c r="AB1" s="2100"/>
      <c r="AC1" s="2100"/>
      <c r="AD1" s="2100"/>
      <c r="AE1" s="2100"/>
      <c r="AF1" s="2100"/>
      <c r="AG1" s="2100"/>
      <c r="AH1" s="2100"/>
      <c r="AI1" s="2100"/>
      <c r="AJ1" s="2100"/>
      <c r="AK1" s="2100"/>
      <c r="AL1" s="2100"/>
      <c r="AM1" s="2100"/>
      <c r="AN1" s="2100"/>
      <c r="AO1" s="2100"/>
      <c r="AP1" s="2100"/>
      <c r="AQ1" s="2100"/>
      <c r="AR1" s="2100"/>
      <c r="AS1" s="2100"/>
      <c r="AT1" s="2100"/>
      <c r="AU1" s="2100"/>
      <c r="AV1" s="2100"/>
      <c r="AW1" s="2100"/>
      <c r="AX1" s="2100"/>
      <c r="AY1" s="2100"/>
      <c r="AZ1" s="2100"/>
      <c r="BA1" s="2099"/>
      <c r="BB1" s="2099"/>
    </row>
    <row r="2" customFormat="false" ht="18.75" hidden="false" customHeight="false" outlineLevel="0" collapsed="false">
      <c r="A2" s="2101"/>
      <c r="B2" s="2102"/>
      <c r="C2" s="2103"/>
      <c r="D2" s="2104"/>
      <c r="E2" s="2104"/>
      <c r="F2" s="2105"/>
      <c r="G2" s="2105"/>
      <c r="H2" s="2105"/>
      <c r="I2" s="2105"/>
      <c r="J2" s="2105"/>
      <c r="K2" s="2105"/>
      <c r="L2" s="2105"/>
      <c r="M2" s="2105"/>
      <c r="N2" s="2105"/>
      <c r="O2" s="2105"/>
      <c r="P2" s="2105"/>
      <c r="Q2" s="2102"/>
      <c r="R2" s="2105"/>
      <c r="S2" s="2105"/>
      <c r="T2" s="2105"/>
      <c r="U2" s="2105"/>
      <c r="V2" s="2105"/>
      <c r="W2" s="2105"/>
      <c r="X2" s="2105"/>
      <c r="Y2" s="2105"/>
      <c r="Z2" s="2105"/>
      <c r="AA2" s="2105"/>
      <c r="AB2" s="2105"/>
      <c r="AC2" s="2105"/>
      <c r="AD2" s="2105"/>
      <c r="AE2" s="2105"/>
      <c r="AF2" s="2105"/>
      <c r="AG2" s="2105"/>
      <c r="AH2" s="2105"/>
      <c r="AI2" s="2105"/>
      <c r="AJ2" s="2105"/>
      <c r="AK2" s="2105"/>
      <c r="AL2" s="2105"/>
      <c r="AM2" s="2105"/>
      <c r="AN2" s="2105"/>
      <c r="AO2" s="2105"/>
      <c r="AP2" s="2105"/>
      <c r="AQ2" s="2105"/>
      <c r="AR2" s="2105"/>
      <c r="AS2" s="2105"/>
      <c r="AT2" s="2105"/>
      <c r="AU2" s="2105"/>
      <c r="AV2" s="2105"/>
      <c r="AW2" s="2105"/>
      <c r="AX2" s="2105"/>
      <c r="AY2" s="2105"/>
      <c r="AZ2" s="2105"/>
      <c r="BA2" s="2106" t="s">
        <v>1155</v>
      </c>
      <c r="BB2" s="2107"/>
      <c r="BC2" s="2102"/>
    </row>
    <row r="3" customFormat="false" ht="18.75" hidden="false" customHeight="false" outlineLevel="0" collapsed="false">
      <c r="A3" s="2101"/>
      <c r="B3" s="2102"/>
      <c r="C3" s="2103"/>
      <c r="D3" s="2104"/>
      <c r="E3" s="2104"/>
      <c r="F3" s="2105"/>
      <c r="G3" s="2105"/>
      <c r="H3" s="2105"/>
      <c r="I3" s="2105"/>
      <c r="J3" s="2105"/>
      <c r="K3" s="2105"/>
      <c r="L3" s="2105"/>
      <c r="M3" s="2105"/>
      <c r="N3" s="2105"/>
      <c r="O3" s="2105"/>
      <c r="P3" s="2105"/>
      <c r="Q3" s="2102"/>
      <c r="R3" s="2105"/>
      <c r="S3" s="2105"/>
      <c r="T3" s="2105"/>
      <c r="U3" s="2105"/>
      <c r="V3" s="2105"/>
      <c r="W3" s="2105"/>
      <c r="X3" s="2105"/>
      <c r="Y3" s="2105"/>
      <c r="Z3" s="2105"/>
      <c r="AA3" s="2105"/>
      <c r="AB3" s="2105"/>
      <c r="AC3" s="2105"/>
      <c r="AD3" s="2105"/>
      <c r="AE3" s="2105"/>
      <c r="AF3" s="2105"/>
      <c r="AG3" s="2105"/>
      <c r="AH3" s="2105"/>
      <c r="AI3" s="2105"/>
      <c r="AJ3" s="2105"/>
      <c r="AK3" s="2105"/>
      <c r="AL3" s="2105"/>
      <c r="AM3" s="2105"/>
      <c r="AN3" s="2105"/>
      <c r="AO3" s="2105"/>
      <c r="AP3" s="2105"/>
      <c r="AQ3" s="2105"/>
      <c r="AR3" s="2105"/>
      <c r="AS3" s="2105"/>
      <c r="AT3" s="2105"/>
      <c r="AU3" s="2105"/>
      <c r="AV3" s="2105"/>
      <c r="AW3" s="2105"/>
      <c r="AX3" s="2105"/>
      <c r="AY3" s="2105"/>
      <c r="AZ3" s="2105"/>
      <c r="BA3" s="2105"/>
      <c r="BC3" s="2102"/>
    </row>
    <row r="4" s="2096" customFormat="true" ht="15" hidden="false" customHeight="true" outlineLevel="0" collapsed="false">
      <c r="A4" s="2108" t="s">
        <v>1156</v>
      </c>
      <c r="B4" s="2108" t="s">
        <v>1157</v>
      </c>
      <c r="C4" s="2108" t="s">
        <v>1158</v>
      </c>
      <c r="D4" s="2108" t="s">
        <v>1159</v>
      </c>
      <c r="E4" s="2109" t="s">
        <v>1160</v>
      </c>
      <c r="F4" s="2110" t="s">
        <v>1161</v>
      </c>
      <c r="G4" s="2110"/>
      <c r="H4" s="2110"/>
      <c r="I4" s="2110"/>
      <c r="J4" s="2111" t="s">
        <v>1162</v>
      </c>
      <c r="K4" s="2111"/>
      <c r="L4" s="2111"/>
      <c r="M4" s="2111"/>
      <c r="N4" s="2111" t="s">
        <v>1163</v>
      </c>
      <c r="O4" s="2111"/>
      <c r="P4" s="2111"/>
      <c r="Q4" s="2111"/>
      <c r="R4" s="2110" t="s">
        <v>1164</v>
      </c>
      <c r="S4" s="2110"/>
      <c r="T4" s="2110"/>
      <c r="U4" s="2110"/>
      <c r="V4" s="2110" t="s">
        <v>1165</v>
      </c>
      <c r="W4" s="2110"/>
      <c r="X4" s="2110"/>
      <c r="Y4" s="2110"/>
      <c r="Z4" s="2110" t="s">
        <v>1166</v>
      </c>
      <c r="AA4" s="2110"/>
      <c r="AB4" s="2110"/>
      <c r="AC4" s="2110"/>
      <c r="AD4" s="2110" t="s">
        <v>1167</v>
      </c>
      <c r="AE4" s="2110"/>
      <c r="AF4" s="2110"/>
      <c r="AG4" s="2110"/>
      <c r="AH4" s="2110" t="s">
        <v>1168</v>
      </c>
      <c r="AI4" s="2110"/>
      <c r="AJ4" s="2110"/>
      <c r="AK4" s="2110"/>
      <c r="AL4" s="2110" t="s">
        <v>1169</v>
      </c>
      <c r="AM4" s="2110"/>
      <c r="AN4" s="2110"/>
      <c r="AO4" s="2110"/>
      <c r="AP4" s="2110" t="s">
        <v>1170</v>
      </c>
      <c r="AQ4" s="2110"/>
      <c r="AR4" s="2110"/>
      <c r="AS4" s="2110"/>
      <c r="AT4" s="2110" t="s">
        <v>1171</v>
      </c>
      <c r="AU4" s="2110"/>
      <c r="AV4" s="2110"/>
      <c r="AW4" s="2110"/>
      <c r="AX4" s="2110" t="s">
        <v>1172</v>
      </c>
      <c r="AY4" s="2110"/>
      <c r="AZ4" s="2110"/>
      <c r="BA4" s="2110"/>
      <c r="BB4" s="2112" t="s">
        <v>1173</v>
      </c>
      <c r="BC4" s="2108" t="s">
        <v>1174</v>
      </c>
    </row>
    <row r="5" s="2096" customFormat="true" ht="18.75" hidden="false" customHeight="false" outlineLevel="0" collapsed="false">
      <c r="A5" s="2108"/>
      <c r="B5" s="2108"/>
      <c r="C5" s="2108"/>
      <c r="D5" s="2108"/>
      <c r="E5" s="2109"/>
      <c r="F5" s="2113" t="s">
        <v>1175</v>
      </c>
      <c r="G5" s="2113" t="s">
        <v>1176</v>
      </c>
      <c r="H5" s="2113" t="s">
        <v>1177</v>
      </c>
      <c r="I5" s="2110" t="s">
        <v>1178</v>
      </c>
      <c r="J5" s="2113" t="s">
        <v>1175</v>
      </c>
      <c r="K5" s="2113" t="s">
        <v>1176</v>
      </c>
      <c r="L5" s="2113" t="s">
        <v>1177</v>
      </c>
      <c r="M5" s="2110" t="s">
        <v>1178</v>
      </c>
      <c r="N5" s="2113" t="s">
        <v>1175</v>
      </c>
      <c r="O5" s="2113" t="s">
        <v>1176</v>
      </c>
      <c r="P5" s="2113" t="s">
        <v>1177</v>
      </c>
      <c r="Q5" s="2111" t="s">
        <v>1178</v>
      </c>
      <c r="R5" s="2113" t="s">
        <v>1175</v>
      </c>
      <c r="S5" s="2113" t="s">
        <v>1176</v>
      </c>
      <c r="T5" s="2113" t="s">
        <v>1177</v>
      </c>
      <c r="U5" s="2110" t="s">
        <v>1178</v>
      </c>
      <c r="V5" s="2113" t="s">
        <v>1175</v>
      </c>
      <c r="W5" s="2113" t="s">
        <v>1176</v>
      </c>
      <c r="X5" s="2113" t="s">
        <v>1177</v>
      </c>
      <c r="Y5" s="2110" t="s">
        <v>1178</v>
      </c>
      <c r="Z5" s="2113" t="s">
        <v>1175</v>
      </c>
      <c r="AA5" s="2113" t="s">
        <v>1176</v>
      </c>
      <c r="AB5" s="2113" t="s">
        <v>1177</v>
      </c>
      <c r="AC5" s="2110" t="s">
        <v>1178</v>
      </c>
      <c r="AD5" s="2113" t="s">
        <v>1175</v>
      </c>
      <c r="AE5" s="2113" t="s">
        <v>1176</v>
      </c>
      <c r="AF5" s="2113" t="s">
        <v>1177</v>
      </c>
      <c r="AG5" s="2110" t="s">
        <v>1178</v>
      </c>
      <c r="AH5" s="2114" t="s">
        <v>1175</v>
      </c>
      <c r="AI5" s="2114" t="s">
        <v>1176</v>
      </c>
      <c r="AJ5" s="2114" t="s">
        <v>1177</v>
      </c>
      <c r="AK5" s="2115" t="s">
        <v>1178</v>
      </c>
      <c r="AL5" s="2113" t="s">
        <v>1175</v>
      </c>
      <c r="AM5" s="2113" t="s">
        <v>1176</v>
      </c>
      <c r="AN5" s="2113" t="s">
        <v>1177</v>
      </c>
      <c r="AO5" s="2110" t="s">
        <v>1178</v>
      </c>
      <c r="AP5" s="2113" t="s">
        <v>1175</v>
      </c>
      <c r="AQ5" s="2113" t="s">
        <v>1176</v>
      </c>
      <c r="AR5" s="2113" t="s">
        <v>1177</v>
      </c>
      <c r="AS5" s="2110" t="s">
        <v>1178</v>
      </c>
      <c r="AT5" s="2113" t="s">
        <v>1175</v>
      </c>
      <c r="AU5" s="2113" t="s">
        <v>1176</v>
      </c>
      <c r="AV5" s="2113" t="s">
        <v>1177</v>
      </c>
      <c r="AW5" s="2110" t="s">
        <v>1178</v>
      </c>
      <c r="AX5" s="2113" t="s">
        <v>1175</v>
      </c>
      <c r="AY5" s="2113" t="s">
        <v>1176</v>
      </c>
      <c r="AZ5" s="2113" t="s">
        <v>1177</v>
      </c>
      <c r="BA5" s="2110" t="s">
        <v>1178</v>
      </c>
      <c r="BB5" s="2112" t="s">
        <v>1179</v>
      </c>
      <c r="BC5" s="2108"/>
    </row>
    <row r="6" customFormat="false" ht="18.75" hidden="false" customHeight="false" outlineLevel="0" collapsed="false">
      <c r="A6" s="2116"/>
      <c r="B6" s="2096"/>
      <c r="C6" s="2117"/>
      <c r="D6" s="2118"/>
      <c r="E6" s="2118"/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096"/>
      <c r="R6" s="2119"/>
      <c r="S6" s="2119"/>
      <c r="T6" s="2119"/>
      <c r="U6" s="2119"/>
      <c r="V6" s="2119"/>
      <c r="W6" s="2119"/>
      <c r="X6" s="2119"/>
      <c r="Y6" s="2119"/>
      <c r="Z6" s="2119"/>
      <c r="AA6" s="2119"/>
      <c r="AB6" s="2119"/>
      <c r="AC6" s="2119"/>
      <c r="AD6" s="2119"/>
      <c r="AE6" s="2119"/>
      <c r="AF6" s="2119"/>
      <c r="AG6" s="2119"/>
      <c r="AH6" s="2120"/>
      <c r="AI6" s="2120"/>
      <c r="AJ6" s="2120"/>
      <c r="AK6" s="2120"/>
      <c r="AL6" s="2119"/>
      <c r="AM6" s="2119"/>
      <c r="AN6" s="2119"/>
      <c r="AO6" s="2119"/>
      <c r="AP6" s="2119"/>
      <c r="AQ6" s="2119"/>
      <c r="AR6" s="2119"/>
      <c r="AS6" s="2119"/>
      <c r="AT6" s="2119"/>
      <c r="AU6" s="2119"/>
      <c r="AV6" s="2119"/>
      <c r="AW6" s="2119"/>
      <c r="AX6" s="2119"/>
      <c r="AY6" s="2119"/>
      <c r="AZ6" s="2119"/>
      <c r="BA6" s="2119"/>
      <c r="BC6" s="2093"/>
    </row>
    <row r="7" s="2128" customFormat="true" ht="18.75" hidden="false" customHeight="false" outlineLevel="0" collapsed="false">
      <c r="A7" s="2121"/>
      <c r="B7" s="2122"/>
      <c r="C7" s="2123"/>
      <c r="D7" s="2121"/>
      <c r="E7" s="2121"/>
      <c r="F7" s="2124"/>
      <c r="G7" s="2124"/>
      <c r="H7" s="2124"/>
      <c r="I7" s="2124"/>
      <c r="J7" s="2124"/>
      <c r="K7" s="2124"/>
      <c r="L7" s="2124"/>
      <c r="M7" s="2124"/>
      <c r="N7" s="2124"/>
      <c r="O7" s="2124"/>
      <c r="P7" s="2124"/>
      <c r="Q7" s="2124"/>
      <c r="R7" s="2124"/>
      <c r="S7" s="2124"/>
      <c r="T7" s="2124"/>
      <c r="U7" s="2124"/>
      <c r="V7" s="2124"/>
      <c r="W7" s="2124"/>
      <c r="X7" s="2124"/>
      <c r="Y7" s="2124"/>
      <c r="Z7" s="2124"/>
      <c r="AA7" s="2124"/>
      <c r="AB7" s="2124"/>
      <c r="AC7" s="2124"/>
      <c r="AD7" s="2124"/>
      <c r="AE7" s="2124"/>
      <c r="AF7" s="2124"/>
      <c r="AG7" s="2124"/>
      <c r="AH7" s="2124"/>
      <c r="AI7" s="2124"/>
      <c r="AJ7" s="2124"/>
      <c r="AK7" s="2124"/>
      <c r="AL7" s="2124"/>
      <c r="AM7" s="2124"/>
      <c r="AN7" s="2124"/>
      <c r="AO7" s="2124"/>
      <c r="AP7" s="2124"/>
      <c r="AQ7" s="2124"/>
      <c r="AR7" s="2124"/>
      <c r="AS7" s="2124"/>
      <c r="AT7" s="2124"/>
      <c r="AU7" s="2124"/>
      <c r="AV7" s="2124"/>
      <c r="AW7" s="2124"/>
      <c r="AX7" s="2125"/>
      <c r="AY7" s="2125"/>
      <c r="AZ7" s="2125"/>
      <c r="BA7" s="2125"/>
      <c r="BB7" s="2126" t="n">
        <f aca="false">+I7+M7+Q7+U7+Y7+AC7+AG7+AK7+AO7+AS7+AW7+BA7</f>
        <v>0</v>
      </c>
      <c r="BC7" s="2127"/>
    </row>
    <row r="8" s="2128" customFormat="true" ht="30" hidden="false" customHeight="true" outlineLevel="0" collapsed="false">
      <c r="A8" s="2129" t="s">
        <v>1180</v>
      </c>
      <c r="B8" s="2130"/>
      <c r="C8" s="2131"/>
      <c r="D8" s="2132"/>
      <c r="E8" s="2132"/>
      <c r="F8" s="2133" t="n">
        <f aca="false">SUM(F7:F7)</f>
        <v>0</v>
      </c>
      <c r="G8" s="2133" t="n">
        <f aca="false">SUM(G7:G7)</f>
        <v>0</v>
      </c>
      <c r="H8" s="2133" t="n">
        <f aca="false">SUM(H7:H7)</f>
        <v>0</v>
      </c>
      <c r="I8" s="2133" t="n">
        <f aca="false">SUM(I7:I7)</f>
        <v>0</v>
      </c>
      <c r="J8" s="2133" t="n">
        <f aca="false">SUM(J7:J7)</f>
        <v>0</v>
      </c>
      <c r="K8" s="2133" t="n">
        <f aca="false">SUM(K7:K7)</f>
        <v>0</v>
      </c>
      <c r="L8" s="2133" t="n">
        <f aca="false">SUM(L7:L7)</f>
        <v>0</v>
      </c>
      <c r="M8" s="2133" t="n">
        <f aca="false">SUM(M7:M7)</f>
        <v>0</v>
      </c>
      <c r="N8" s="2133" t="n">
        <f aca="false">SUM(N7:N7)</f>
        <v>0</v>
      </c>
      <c r="O8" s="2133" t="n">
        <f aca="false">SUM(O7:O7)</f>
        <v>0</v>
      </c>
      <c r="P8" s="2133" t="n">
        <f aca="false">SUM(P7:P7)</f>
        <v>0</v>
      </c>
      <c r="Q8" s="2133" t="n">
        <f aca="false">SUM(Q7:Q7)</f>
        <v>0</v>
      </c>
      <c r="R8" s="2133" t="n">
        <f aca="false">SUM(R7:R7)</f>
        <v>0</v>
      </c>
      <c r="S8" s="2133" t="n">
        <f aca="false">SUM(S7:S7)</f>
        <v>0</v>
      </c>
      <c r="T8" s="2133" t="n">
        <f aca="false">SUM(T7:T7)</f>
        <v>0</v>
      </c>
      <c r="U8" s="2133" t="n">
        <f aca="false">SUM(U7:U7)</f>
        <v>0</v>
      </c>
      <c r="V8" s="2133" t="n">
        <f aca="false">SUM(V7:V7)</f>
        <v>0</v>
      </c>
      <c r="W8" s="2133" t="n">
        <f aca="false">SUM(W7:W7)</f>
        <v>0</v>
      </c>
      <c r="X8" s="2133" t="n">
        <f aca="false">SUM(X7:X7)</f>
        <v>0</v>
      </c>
      <c r="Y8" s="2133" t="n">
        <f aca="false">SUM(Y7:Y7)</f>
        <v>0</v>
      </c>
      <c r="Z8" s="2133" t="n">
        <f aca="false">SUM(Z7:Z7)</f>
        <v>0</v>
      </c>
      <c r="AA8" s="2133" t="n">
        <f aca="false">SUM(AA7:AA7)</f>
        <v>0</v>
      </c>
      <c r="AB8" s="2133" t="n">
        <f aca="false">SUM(AB7:AB7)</f>
        <v>0</v>
      </c>
      <c r="AC8" s="2133" t="n">
        <f aca="false">SUM(AC7:AC7)</f>
        <v>0</v>
      </c>
      <c r="AD8" s="2133" t="n">
        <f aca="false">SUM(AD7:AD7)</f>
        <v>0</v>
      </c>
      <c r="AE8" s="2133" t="n">
        <f aca="false">SUM(AE7:AE7)</f>
        <v>0</v>
      </c>
      <c r="AF8" s="2133" t="n">
        <f aca="false">SUM(AF7:AF7)</f>
        <v>0</v>
      </c>
      <c r="AG8" s="2133" t="n">
        <f aca="false">SUM(AG7:AG7)</f>
        <v>0</v>
      </c>
      <c r="AH8" s="2133" t="n">
        <f aca="false">SUM(AH7:AH7)</f>
        <v>0</v>
      </c>
      <c r="AI8" s="2133" t="n">
        <f aca="false">SUM(AI7:AI7)</f>
        <v>0</v>
      </c>
      <c r="AJ8" s="2133" t="n">
        <f aca="false">SUM(AJ7:AJ7)</f>
        <v>0</v>
      </c>
      <c r="AK8" s="2133" t="n">
        <f aca="false">SUM(AK7:AK7)</f>
        <v>0</v>
      </c>
      <c r="AL8" s="2133" t="n">
        <f aca="false">SUM(AL7:AL7)</f>
        <v>0</v>
      </c>
      <c r="AM8" s="2133" t="n">
        <f aca="false">SUM(AM7:AM7)</f>
        <v>0</v>
      </c>
      <c r="AN8" s="2133" t="n">
        <f aca="false">SUM(AN7:AN7)</f>
        <v>0</v>
      </c>
      <c r="AO8" s="2133" t="n">
        <f aca="false">SUM(AO7:AO7)</f>
        <v>0</v>
      </c>
      <c r="AP8" s="2133" t="n">
        <f aca="false">SUM(AP7:AP7)</f>
        <v>0</v>
      </c>
      <c r="AQ8" s="2133" t="n">
        <f aca="false">SUM(AQ7:AQ7)</f>
        <v>0</v>
      </c>
      <c r="AR8" s="2133" t="n">
        <f aca="false">SUM(AR7:AR7)</f>
        <v>0</v>
      </c>
      <c r="AS8" s="2133" t="n">
        <f aca="false">SUM(AS7:AS7)</f>
        <v>0</v>
      </c>
      <c r="AT8" s="2133" t="n">
        <f aca="false">SUM(AT7:AT7)</f>
        <v>0</v>
      </c>
      <c r="AU8" s="2133" t="n">
        <f aca="false">SUM(AU7:AU7)</f>
        <v>0</v>
      </c>
      <c r="AV8" s="2133" t="n">
        <f aca="false">SUM(AV7:AV7)</f>
        <v>0</v>
      </c>
      <c r="AW8" s="2133" t="n">
        <f aca="false">SUM(AW7:AW7)</f>
        <v>0</v>
      </c>
      <c r="AX8" s="2133" t="n">
        <f aca="false">SUM(AX7:AX7)</f>
        <v>0</v>
      </c>
      <c r="AY8" s="2133" t="n">
        <f aca="false">SUM(AY7:AY7)</f>
        <v>0</v>
      </c>
      <c r="AZ8" s="2133" t="n">
        <f aca="false">SUM(AZ7:AZ7)</f>
        <v>0</v>
      </c>
      <c r="BA8" s="2133" t="n">
        <f aca="false">SUM(BA7:BA7)</f>
        <v>0</v>
      </c>
      <c r="BB8" s="2133" t="n">
        <f aca="false">SUM(BB7:BB7)</f>
        <v>0</v>
      </c>
      <c r="BC8" s="2134" t="n">
        <f aca="false">SUM(BC7:BC7)</f>
        <v>0</v>
      </c>
    </row>
    <row r="9" s="2128" customFormat="true" ht="30" hidden="false" customHeight="true" outlineLevel="0" collapsed="false">
      <c r="A9" s="2135"/>
      <c r="B9" s="2136"/>
      <c r="C9" s="2137"/>
      <c r="D9" s="2138"/>
      <c r="E9" s="2138"/>
      <c r="F9" s="2139"/>
      <c r="G9" s="2139"/>
      <c r="H9" s="2139"/>
      <c r="I9" s="2139"/>
      <c r="J9" s="2139"/>
      <c r="K9" s="2139"/>
      <c r="L9" s="2139"/>
      <c r="M9" s="2139"/>
      <c r="N9" s="2139"/>
      <c r="O9" s="2139"/>
      <c r="P9" s="2139"/>
      <c r="Q9" s="2139"/>
      <c r="R9" s="2139"/>
      <c r="S9" s="2139"/>
      <c r="T9" s="2139"/>
      <c r="U9" s="2139"/>
      <c r="V9" s="2139"/>
      <c r="W9" s="2139"/>
      <c r="X9" s="2139"/>
      <c r="Y9" s="2139"/>
      <c r="Z9" s="2139"/>
      <c r="AA9" s="2139"/>
      <c r="AB9" s="2139"/>
      <c r="AC9" s="2139"/>
      <c r="AD9" s="2139"/>
      <c r="AE9" s="2139"/>
      <c r="AF9" s="2139"/>
      <c r="AG9" s="2139"/>
      <c r="AH9" s="2139"/>
      <c r="AI9" s="2139"/>
      <c r="AJ9" s="2139"/>
      <c r="AK9" s="2139"/>
      <c r="AL9" s="2139"/>
      <c r="AM9" s="2139"/>
      <c r="AN9" s="2139"/>
      <c r="AO9" s="2139"/>
      <c r="AP9" s="2139"/>
      <c r="AQ9" s="2139"/>
      <c r="AR9" s="2139"/>
      <c r="AS9" s="2139"/>
      <c r="AT9" s="2139"/>
      <c r="AU9" s="2139"/>
      <c r="AV9" s="2139"/>
      <c r="AW9" s="2139"/>
      <c r="AX9" s="2139"/>
      <c r="AY9" s="2139"/>
      <c r="AZ9" s="2139"/>
      <c r="BA9" s="2139"/>
      <c r="BB9" s="2140"/>
      <c r="BC9" s="2139"/>
    </row>
    <row r="10" s="2128" customFormat="true" ht="30" hidden="false" customHeight="true" outlineLevel="0" collapsed="false">
      <c r="A10" s="2092"/>
      <c r="B10" s="2093"/>
      <c r="C10" s="2094"/>
      <c r="D10" s="2095"/>
      <c r="E10" s="2095"/>
      <c r="F10" s="2095"/>
      <c r="G10" s="2095"/>
      <c r="H10" s="2095"/>
      <c r="I10" s="2095"/>
      <c r="J10" s="2095"/>
      <c r="K10" s="2095"/>
      <c r="L10" s="2095"/>
      <c r="M10" s="2095"/>
      <c r="N10" s="2095"/>
      <c r="O10" s="2095"/>
      <c r="P10" s="2093"/>
      <c r="Q10" s="2095"/>
      <c r="R10" s="2095"/>
      <c r="S10" s="2095"/>
      <c r="T10" s="2095"/>
      <c r="U10" s="2095"/>
      <c r="V10" s="2095"/>
      <c r="W10" s="2095"/>
      <c r="X10" s="2095"/>
      <c r="Y10" s="2095"/>
      <c r="Z10" s="2095"/>
      <c r="AA10" s="2095"/>
      <c r="AB10" s="2095"/>
      <c r="AC10" s="2095"/>
      <c r="AD10" s="2095"/>
      <c r="AE10" s="2095"/>
      <c r="AF10" s="2095"/>
      <c r="AG10" s="2095"/>
      <c r="AH10" s="2095"/>
      <c r="AI10" s="2095"/>
      <c r="AJ10" s="2095"/>
      <c r="AK10" s="2095"/>
      <c r="AL10" s="2095"/>
      <c r="AM10" s="2095"/>
      <c r="AN10" s="2095"/>
      <c r="AO10" s="2095"/>
      <c r="AP10" s="2095"/>
      <c r="AQ10" s="2095"/>
      <c r="AR10" s="2095"/>
      <c r="AS10" s="2095"/>
      <c r="AT10" s="2095"/>
      <c r="AU10" s="2095"/>
      <c r="AV10" s="2095"/>
      <c r="AW10" s="2095"/>
      <c r="AX10" s="2095"/>
      <c r="AY10" s="2095"/>
      <c r="AZ10" s="2095"/>
      <c r="BA10" s="2093"/>
      <c r="BB10" s="2096"/>
    </row>
    <row r="11" s="2128" customFormat="true" ht="30" hidden="false" customHeight="true" outlineLevel="0" collapsed="false">
      <c r="A11" s="2092"/>
      <c r="B11" s="2093"/>
      <c r="C11" s="2094"/>
      <c r="D11" s="2095"/>
      <c r="E11" s="2095"/>
      <c r="F11" s="2095"/>
      <c r="G11" s="2095"/>
      <c r="H11" s="2095"/>
      <c r="I11" s="2095"/>
      <c r="J11" s="2095"/>
      <c r="K11" s="2095"/>
      <c r="L11" s="2095"/>
      <c r="M11" s="2095"/>
      <c r="N11" s="2095"/>
      <c r="O11" s="2095"/>
      <c r="P11" s="2093"/>
      <c r="Q11" s="2095"/>
      <c r="R11" s="2095"/>
      <c r="S11" s="2095"/>
      <c r="T11" s="2095"/>
      <c r="U11" s="2095"/>
      <c r="V11" s="2095"/>
      <c r="W11" s="2095"/>
      <c r="X11" s="2095"/>
      <c r="Y11" s="2095"/>
      <c r="Z11" s="2095"/>
      <c r="AA11" s="2095"/>
      <c r="AB11" s="2095"/>
      <c r="AC11" s="2095"/>
      <c r="AD11" s="2095"/>
      <c r="AE11" s="2095"/>
      <c r="AF11" s="2095"/>
      <c r="AG11" s="2095"/>
      <c r="AH11" s="2095"/>
      <c r="AI11" s="2095"/>
      <c r="AJ11" s="2095"/>
      <c r="AK11" s="2095"/>
      <c r="AL11" s="2095"/>
      <c r="AM11" s="2095"/>
      <c r="AN11" s="2095"/>
      <c r="AO11" s="2095"/>
      <c r="AP11" s="2095"/>
      <c r="AQ11" s="2095"/>
      <c r="AR11" s="2095"/>
      <c r="AS11" s="2095"/>
      <c r="AT11" s="2095"/>
      <c r="AU11" s="2095"/>
      <c r="AV11" s="2095"/>
      <c r="AW11" s="2095"/>
      <c r="AX11" s="2095"/>
      <c r="AY11" s="2095"/>
      <c r="AZ11" s="2095"/>
      <c r="BA11" s="2093"/>
      <c r="BB11" s="2119"/>
      <c r="BC11" s="2141"/>
    </row>
    <row r="12" s="2128" customFormat="true" ht="30" hidden="false" customHeight="true" outlineLevel="0" collapsed="false">
      <c r="A12" s="2092"/>
      <c r="B12" s="2093"/>
      <c r="C12" s="2094"/>
      <c r="D12" s="2095"/>
      <c r="E12" s="2095"/>
      <c r="F12" s="2095"/>
      <c r="G12" s="2095"/>
      <c r="H12" s="2095"/>
      <c r="I12" s="2095"/>
      <c r="J12" s="2095"/>
      <c r="K12" s="2095"/>
      <c r="L12" s="2095"/>
      <c r="M12" s="2095"/>
      <c r="N12" s="2095"/>
      <c r="O12" s="2095"/>
      <c r="P12" s="2093"/>
      <c r="Q12" s="2095"/>
      <c r="R12" s="2095"/>
      <c r="S12" s="2095"/>
      <c r="T12" s="2095"/>
      <c r="U12" s="2095"/>
      <c r="V12" s="2095"/>
      <c r="W12" s="2095"/>
      <c r="X12" s="2095"/>
      <c r="Y12" s="2095"/>
      <c r="Z12" s="2095"/>
      <c r="AA12" s="2095"/>
      <c r="AB12" s="2095"/>
      <c r="AC12" s="2095"/>
      <c r="AD12" s="2095"/>
      <c r="AE12" s="2095"/>
      <c r="AF12" s="2095"/>
      <c r="AG12" s="2095"/>
      <c r="AH12" s="2095"/>
      <c r="AI12" s="2095"/>
      <c r="AJ12" s="2095"/>
      <c r="AK12" s="2095"/>
      <c r="AL12" s="2095"/>
      <c r="AM12" s="2095"/>
      <c r="AN12" s="2095"/>
      <c r="AO12" s="2095"/>
      <c r="AP12" s="2095"/>
      <c r="AQ12" s="2095"/>
      <c r="AR12" s="2095"/>
      <c r="AS12" s="2095"/>
      <c r="AT12" s="2095"/>
      <c r="AU12" s="2095"/>
      <c r="AV12" s="2095"/>
      <c r="AW12" s="2095"/>
      <c r="AX12" s="2095"/>
      <c r="AY12" s="2095"/>
      <c r="AZ12" s="2095"/>
      <c r="BA12" s="2093"/>
      <c r="BB12" s="2119"/>
    </row>
    <row r="13" s="2128" customFormat="true" ht="30" hidden="false" customHeight="true" outlineLevel="0" collapsed="false">
      <c r="A13" s="2092"/>
      <c r="B13" s="2093"/>
      <c r="C13" s="2094"/>
      <c r="D13" s="2095"/>
      <c r="E13" s="2095"/>
      <c r="F13" s="2095"/>
      <c r="G13" s="2095"/>
      <c r="H13" s="2095"/>
      <c r="I13" s="2095"/>
      <c r="J13" s="2095"/>
      <c r="K13" s="2095"/>
      <c r="L13" s="2095"/>
      <c r="M13" s="2095"/>
      <c r="N13" s="2095"/>
      <c r="O13" s="2095"/>
      <c r="P13" s="2093"/>
      <c r="Q13" s="2095"/>
      <c r="R13" s="2095"/>
      <c r="S13" s="2095"/>
      <c r="T13" s="2095"/>
      <c r="U13" s="2095"/>
      <c r="V13" s="2095"/>
      <c r="W13" s="2095"/>
      <c r="X13" s="2095"/>
      <c r="Y13" s="2095"/>
      <c r="Z13" s="2095"/>
      <c r="AA13" s="2095"/>
      <c r="AB13" s="2095"/>
      <c r="AC13" s="2095"/>
      <c r="AD13" s="2095"/>
      <c r="AE13" s="2095"/>
      <c r="AF13" s="2095"/>
      <c r="AG13" s="2095"/>
      <c r="AH13" s="2095"/>
      <c r="AI13" s="2095"/>
      <c r="AJ13" s="2095"/>
      <c r="AK13" s="2095"/>
      <c r="AL13" s="2095"/>
      <c r="AM13" s="2095"/>
      <c r="AN13" s="2095"/>
      <c r="AO13" s="2095"/>
      <c r="AP13" s="2095"/>
      <c r="AQ13" s="2095"/>
      <c r="AR13" s="2095"/>
      <c r="AS13" s="2095"/>
      <c r="AT13" s="2095"/>
      <c r="AU13" s="2095"/>
      <c r="AV13" s="2095"/>
      <c r="AW13" s="2095"/>
      <c r="AX13" s="2095"/>
      <c r="AY13" s="2095"/>
      <c r="AZ13" s="2095"/>
      <c r="BA13" s="2093"/>
      <c r="BC13" s="2142" t="n">
        <f aca="false">BB13+BB14</f>
        <v>0</v>
      </c>
    </row>
    <row r="14" s="2128" customFormat="true" ht="30" hidden="false" customHeight="true" outlineLevel="0" collapsed="false">
      <c r="A14" s="2092"/>
      <c r="B14" s="2093"/>
      <c r="C14" s="2094"/>
      <c r="D14" s="2095"/>
      <c r="E14" s="2095"/>
      <c r="F14" s="2095"/>
      <c r="G14" s="2095"/>
      <c r="H14" s="2095"/>
      <c r="I14" s="2095"/>
      <c r="J14" s="2095"/>
      <c r="K14" s="2095"/>
      <c r="L14" s="2095"/>
      <c r="M14" s="2095"/>
      <c r="N14" s="2095"/>
      <c r="O14" s="2095"/>
      <c r="P14" s="2093"/>
      <c r="Q14" s="2095"/>
      <c r="R14" s="2095"/>
      <c r="S14" s="2095"/>
      <c r="T14" s="2095"/>
      <c r="U14" s="2095"/>
      <c r="V14" s="2095"/>
      <c r="W14" s="2095"/>
      <c r="X14" s="2095"/>
      <c r="Y14" s="2095"/>
      <c r="Z14" s="2095"/>
      <c r="AA14" s="2095"/>
      <c r="AB14" s="2095"/>
      <c r="AC14" s="2095"/>
      <c r="AD14" s="2095"/>
      <c r="AE14" s="2095"/>
      <c r="AF14" s="2095"/>
      <c r="AG14" s="2095"/>
      <c r="AH14" s="2095"/>
      <c r="AI14" s="2095"/>
      <c r="AJ14" s="2095"/>
      <c r="AK14" s="2095"/>
      <c r="AL14" s="2095"/>
      <c r="AM14" s="2095"/>
      <c r="AN14" s="2095"/>
      <c r="AO14" s="2095"/>
      <c r="AP14" s="2095"/>
      <c r="AQ14" s="2095"/>
      <c r="AR14" s="2095"/>
      <c r="AS14" s="2095"/>
      <c r="AT14" s="2095"/>
      <c r="AU14" s="2095"/>
      <c r="AV14" s="2095"/>
      <c r="AW14" s="2095"/>
      <c r="AX14" s="2095"/>
      <c r="AY14" s="2095"/>
      <c r="AZ14" s="2095"/>
      <c r="BA14" s="2093"/>
      <c r="BC14" s="2142" t="n">
        <f aca="false">BC13-BB12</f>
        <v>0</v>
      </c>
    </row>
    <row r="15" s="2128" customFormat="true" ht="30" hidden="false" customHeight="true" outlineLevel="0" collapsed="false">
      <c r="A15" s="2092"/>
      <c r="B15" s="2093"/>
      <c r="C15" s="2094"/>
      <c r="D15" s="2095"/>
      <c r="E15" s="2095"/>
      <c r="F15" s="2095"/>
      <c r="G15" s="2095"/>
      <c r="H15" s="2095"/>
      <c r="I15" s="2095"/>
      <c r="J15" s="2095"/>
      <c r="K15" s="2095"/>
      <c r="L15" s="2095"/>
      <c r="M15" s="2095"/>
      <c r="N15" s="2095"/>
      <c r="O15" s="2095"/>
      <c r="P15" s="2093"/>
      <c r="Q15" s="2095"/>
      <c r="R15" s="2095"/>
      <c r="S15" s="2095"/>
      <c r="T15" s="2095"/>
      <c r="U15" s="2095"/>
      <c r="V15" s="2095"/>
      <c r="W15" s="2095"/>
      <c r="X15" s="2095"/>
      <c r="Y15" s="2095"/>
      <c r="Z15" s="2095"/>
      <c r="AA15" s="2095"/>
      <c r="AB15" s="2095"/>
      <c r="AC15" s="2095"/>
      <c r="AD15" s="2095"/>
      <c r="AE15" s="2095"/>
      <c r="AF15" s="2095"/>
      <c r="AG15" s="2095"/>
      <c r="AH15" s="2095"/>
      <c r="AI15" s="2095"/>
      <c r="AJ15" s="2095"/>
      <c r="AK15" s="2095"/>
      <c r="AL15" s="2095"/>
      <c r="AM15" s="2095"/>
      <c r="AN15" s="2095"/>
      <c r="AO15" s="2095"/>
      <c r="AP15" s="2095"/>
      <c r="AQ15" s="2095"/>
      <c r="AR15" s="2095"/>
      <c r="AS15" s="2095"/>
      <c r="AT15" s="2095"/>
      <c r="AU15" s="2095"/>
      <c r="AV15" s="2095"/>
      <c r="AW15" s="2095"/>
      <c r="AX15" s="2095"/>
      <c r="AY15" s="2095"/>
      <c r="AZ15" s="2095"/>
      <c r="BA15" s="2093"/>
      <c r="BB15" s="2119"/>
    </row>
    <row r="16" s="2144" customFormat="true" ht="30" hidden="false" customHeight="true" outlineLevel="0" collapsed="false">
      <c r="A16" s="2092"/>
      <c r="B16" s="2093"/>
      <c r="C16" s="2094"/>
      <c r="D16" s="2095"/>
      <c r="E16" s="2095"/>
      <c r="F16" s="2095"/>
      <c r="G16" s="2095"/>
      <c r="H16" s="2095"/>
      <c r="I16" s="2095"/>
      <c r="J16" s="2095"/>
      <c r="K16" s="2095"/>
      <c r="L16" s="2095"/>
      <c r="M16" s="2095"/>
      <c r="N16" s="2095"/>
      <c r="O16" s="2095"/>
      <c r="P16" s="2093"/>
      <c r="Q16" s="2095"/>
      <c r="R16" s="2095"/>
      <c r="S16" s="2095"/>
      <c r="T16" s="2095"/>
      <c r="U16" s="2095"/>
      <c r="V16" s="2095"/>
      <c r="W16" s="2095"/>
      <c r="X16" s="2095"/>
      <c r="Y16" s="2095"/>
      <c r="Z16" s="2095"/>
      <c r="AA16" s="2095"/>
      <c r="AB16" s="2095"/>
      <c r="AC16" s="2095"/>
      <c r="AD16" s="2095"/>
      <c r="AE16" s="2095"/>
      <c r="AF16" s="2095"/>
      <c r="AG16" s="2095"/>
      <c r="AH16" s="2095"/>
      <c r="AI16" s="2095"/>
      <c r="AJ16" s="2095"/>
      <c r="AK16" s="2095"/>
      <c r="AL16" s="2095"/>
      <c r="AM16" s="2095"/>
      <c r="AN16" s="2095"/>
      <c r="AO16" s="2095"/>
      <c r="AP16" s="2095"/>
      <c r="AQ16" s="2095"/>
      <c r="AR16" s="2095"/>
      <c r="AS16" s="2095"/>
      <c r="AT16" s="2095"/>
      <c r="AU16" s="2095"/>
      <c r="AV16" s="2095"/>
      <c r="AW16" s="2095"/>
      <c r="AX16" s="2095"/>
      <c r="AY16" s="2095"/>
      <c r="AZ16" s="2095"/>
      <c r="BA16" s="2093"/>
      <c r="BB16" s="2143"/>
    </row>
    <row r="17" s="2128" customFormat="true" ht="30" hidden="false" customHeight="true" outlineLevel="0" collapsed="false">
      <c r="A17" s="2092"/>
      <c r="B17" s="2093"/>
      <c r="C17" s="2094"/>
      <c r="D17" s="2095"/>
      <c r="E17" s="2095"/>
      <c r="F17" s="2095"/>
      <c r="G17" s="2095"/>
      <c r="H17" s="2095"/>
      <c r="I17" s="2095"/>
      <c r="J17" s="2095"/>
      <c r="K17" s="2095"/>
      <c r="L17" s="2095"/>
      <c r="M17" s="2095"/>
      <c r="N17" s="2095"/>
      <c r="O17" s="2095"/>
      <c r="P17" s="2093"/>
      <c r="Q17" s="2095"/>
      <c r="R17" s="2095"/>
      <c r="S17" s="2095"/>
      <c r="T17" s="2095"/>
      <c r="U17" s="2095"/>
      <c r="V17" s="2095"/>
      <c r="W17" s="2095"/>
      <c r="X17" s="2095"/>
      <c r="Y17" s="2095"/>
      <c r="Z17" s="2095"/>
      <c r="AA17" s="2095"/>
      <c r="AB17" s="2095"/>
      <c r="AC17" s="2095"/>
      <c r="AD17" s="2095"/>
      <c r="AE17" s="2095"/>
      <c r="AF17" s="2095"/>
      <c r="AG17" s="2095"/>
      <c r="AH17" s="2095"/>
      <c r="AI17" s="2095"/>
      <c r="AJ17" s="2095"/>
      <c r="AK17" s="2095"/>
      <c r="AL17" s="2095"/>
      <c r="AM17" s="2095"/>
      <c r="AN17" s="2095"/>
      <c r="AO17" s="2095"/>
      <c r="AP17" s="2095"/>
      <c r="AQ17" s="2095"/>
      <c r="AR17" s="2095"/>
      <c r="AS17" s="2095"/>
      <c r="AT17" s="2095"/>
      <c r="AU17" s="2095"/>
      <c r="AV17" s="2095"/>
      <c r="AW17" s="2095"/>
      <c r="AX17" s="2095"/>
      <c r="AY17" s="2095"/>
      <c r="AZ17" s="2095"/>
      <c r="BA17" s="2093"/>
      <c r="BB17" s="2145"/>
    </row>
    <row r="18" s="2128" customFormat="true" ht="30" hidden="false" customHeight="true" outlineLevel="0" collapsed="false">
      <c r="A18" s="2092"/>
      <c r="B18" s="2093"/>
      <c r="C18" s="2094"/>
      <c r="D18" s="2095"/>
      <c r="E18" s="2095"/>
      <c r="F18" s="2095"/>
      <c r="G18" s="2095"/>
      <c r="H18" s="2095"/>
      <c r="I18" s="2095"/>
      <c r="J18" s="2095"/>
      <c r="K18" s="2095"/>
      <c r="L18" s="2095"/>
      <c r="M18" s="2095"/>
      <c r="N18" s="2095"/>
      <c r="O18" s="2095"/>
      <c r="P18" s="2095"/>
      <c r="Q18" s="2095"/>
      <c r="R18" s="2095"/>
      <c r="S18" s="2095"/>
      <c r="T18" s="2095"/>
      <c r="U18" s="2095"/>
      <c r="V18" s="2095"/>
      <c r="W18" s="2095"/>
      <c r="X18" s="2095"/>
      <c r="Y18" s="2095"/>
      <c r="Z18" s="2095"/>
      <c r="AA18" s="2095"/>
      <c r="AB18" s="2095"/>
      <c r="AC18" s="2095"/>
      <c r="AD18" s="2095"/>
      <c r="AE18" s="2095"/>
      <c r="AF18" s="2095"/>
      <c r="AG18" s="2095"/>
      <c r="AH18" s="2095"/>
      <c r="AI18" s="2095"/>
      <c r="AJ18" s="2095"/>
      <c r="AK18" s="2095"/>
      <c r="AL18" s="2095"/>
      <c r="AM18" s="2095"/>
      <c r="AN18" s="2095"/>
      <c r="AO18" s="2095"/>
      <c r="AP18" s="2095"/>
      <c r="AQ18" s="2095"/>
      <c r="AR18" s="2095"/>
      <c r="AS18" s="2095"/>
      <c r="AT18" s="2095"/>
      <c r="AU18" s="2095"/>
      <c r="AV18" s="2095"/>
      <c r="AW18" s="2095"/>
      <c r="AX18" s="2095"/>
      <c r="AY18" s="2095"/>
      <c r="AZ18" s="2095"/>
      <c r="BA18" s="2093"/>
      <c r="BB18" s="2096"/>
    </row>
    <row r="19" s="2128" customFormat="true" ht="30" hidden="false" customHeight="true" outlineLevel="0" collapsed="false">
      <c r="A19" s="2092"/>
      <c r="B19" s="2093"/>
      <c r="C19" s="2094"/>
      <c r="D19" s="2095"/>
      <c r="E19" s="2095"/>
      <c r="F19" s="2095"/>
      <c r="G19" s="2095"/>
      <c r="H19" s="2095"/>
      <c r="I19" s="2095"/>
      <c r="J19" s="2095"/>
      <c r="K19" s="2095"/>
      <c r="L19" s="2095"/>
      <c r="M19" s="2095"/>
      <c r="N19" s="2095"/>
      <c r="O19" s="2095"/>
      <c r="P19" s="2093"/>
      <c r="Q19" s="2095"/>
      <c r="R19" s="2095"/>
      <c r="S19" s="2095"/>
      <c r="T19" s="2095"/>
      <c r="U19" s="2095"/>
      <c r="V19" s="2095"/>
      <c r="W19" s="2095"/>
      <c r="X19" s="2095"/>
      <c r="Y19" s="2095"/>
      <c r="Z19" s="2095"/>
      <c r="AA19" s="2095"/>
      <c r="AB19" s="2095"/>
      <c r="AC19" s="2095"/>
      <c r="AD19" s="2095"/>
      <c r="AE19" s="2095"/>
      <c r="AF19" s="2095"/>
      <c r="AG19" s="2095"/>
      <c r="AH19" s="2095"/>
      <c r="AI19" s="2095"/>
      <c r="AJ19" s="2095"/>
      <c r="AK19" s="2095"/>
      <c r="AL19" s="2095"/>
      <c r="AM19" s="2095"/>
      <c r="AN19" s="2095"/>
      <c r="AO19" s="2095"/>
      <c r="AP19" s="2095"/>
      <c r="AQ19" s="2095"/>
      <c r="AR19" s="2095"/>
      <c r="AS19" s="2095"/>
      <c r="AT19" s="2095"/>
      <c r="AU19" s="2095"/>
      <c r="AV19" s="2095"/>
      <c r="AW19" s="2095"/>
      <c r="AX19" s="2095"/>
      <c r="AY19" s="2095"/>
      <c r="AZ19" s="2095"/>
      <c r="BA19" s="2093"/>
      <c r="BB19" s="2096"/>
    </row>
    <row r="20" s="2128" customFormat="true" ht="30" hidden="false" customHeight="true" outlineLevel="0" collapsed="false">
      <c r="A20" s="2092"/>
      <c r="B20" s="2093"/>
      <c r="C20" s="2094"/>
      <c r="D20" s="2095"/>
      <c r="E20" s="2095"/>
      <c r="F20" s="2095"/>
      <c r="G20" s="2095"/>
      <c r="H20" s="2095"/>
      <c r="I20" s="2095"/>
      <c r="J20" s="2095"/>
      <c r="K20" s="2095"/>
      <c r="L20" s="2095"/>
      <c r="M20" s="2095"/>
      <c r="N20" s="2095"/>
      <c r="O20" s="2095"/>
      <c r="P20" s="2093"/>
      <c r="Q20" s="2095"/>
      <c r="R20" s="2095"/>
      <c r="S20" s="2095"/>
      <c r="T20" s="2095"/>
      <c r="U20" s="2095"/>
      <c r="V20" s="2095"/>
      <c r="W20" s="2095"/>
      <c r="X20" s="2095"/>
      <c r="Y20" s="2095"/>
      <c r="Z20" s="2095"/>
      <c r="AA20" s="2095"/>
      <c r="AB20" s="2095"/>
      <c r="AC20" s="2095"/>
      <c r="AD20" s="2095"/>
      <c r="AE20" s="2095"/>
      <c r="AF20" s="2095"/>
      <c r="AG20" s="2095"/>
      <c r="AH20" s="2095"/>
      <c r="AI20" s="2095"/>
      <c r="AJ20" s="2095"/>
      <c r="AK20" s="2095"/>
      <c r="AL20" s="2095"/>
      <c r="AM20" s="2095"/>
      <c r="AN20" s="2095"/>
      <c r="AO20" s="2095"/>
      <c r="AP20" s="2095"/>
      <c r="AQ20" s="2095"/>
      <c r="AR20" s="2095"/>
      <c r="AS20" s="2095"/>
      <c r="AT20" s="2095"/>
      <c r="AU20" s="2095"/>
      <c r="AV20" s="2095"/>
      <c r="AW20" s="2095"/>
      <c r="AX20" s="2095"/>
      <c r="AY20" s="2095"/>
      <c r="AZ20" s="2095"/>
      <c r="BA20" s="2093"/>
      <c r="BB20" s="2096"/>
    </row>
    <row r="21" s="2128" customFormat="true" ht="30" hidden="false" customHeight="true" outlineLevel="0" collapsed="false">
      <c r="A21" s="2092"/>
      <c r="B21" s="2093"/>
      <c r="C21" s="2094"/>
      <c r="D21" s="2095"/>
      <c r="E21" s="2095"/>
      <c r="F21" s="2095"/>
      <c r="G21" s="2095"/>
      <c r="H21" s="2095"/>
      <c r="I21" s="2095"/>
      <c r="J21" s="2095"/>
      <c r="K21" s="2095"/>
      <c r="L21" s="2095"/>
      <c r="M21" s="2095"/>
      <c r="N21" s="2095"/>
      <c r="O21" s="2095"/>
      <c r="P21" s="2093"/>
      <c r="Q21" s="2095"/>
      <c r="R21" s="2095"/>
      <c r="S21" s="2095"/>
      <c r="T21" s="2095"/>
      <c r="U21" s="2095"/>
      <c r="V21" s="2095"/>
      <c r="W21" s="2095"/>
      <c r="X21" s="2095"/>
      <c r="Y21" s="2095"/>
      <c r="Z21" s="2095"/>
      <c r="AA21" s="2095"/>
      <c r="AB21" s="2095"/>
      <c r="AC21" s="2095"/>
      <c r="AD21" s="2095"/>
      <c r="AE21" s="2095"/>
      <c r="AF21" s="2095"/>
      <c r="AG21" s="2095"/>
      <c r="AH21" s="2095"/>
      <c r="AI21" s="2095"/>
      <c r="AJ21" s="2095"/>
      <c r="AK21" s="2095"/>
      <c r="AL21" s="2095"/>
      <c r="AM21" s="2095"/>
      <c r="AN21" s="2095"/>
      <c r="AO21" s="2095"/>
      <c r="AP21" s="2095"/>
      <c r="AQ21" s="2095"/>
      <c r="AR21" s="2095"/>
      <c r="AS21" s="2095"/>
      <c r="AT21" s="2095"/>
      <c r="AU21" s="2095"/>
      <c r="AV21" s="2095"/>
      <c r="AW21" s="2095"/>
      <c r="AX21" s="2095"/>
      <c r="AY21" s="2095"/>
      <c r="AZ21" s="2095"/>
      <c r="BA21" s="2093"/>
      <c r="BB21" s="2096"/>
    </row>
    <row r="22" s="2128" customFormat="true" ht="30" hidden="false" customHeight="true" outlineLevel="0" collapsed="false">
      <c r="A22" s="2092"/>
      <c r="B22" s="2093"/>
      <c r="C22" s="2094"/>
      <c r="D22" s="2095"/>
      <c r="E22" s="2095"/>
      <c r="F22" s="2095"/>
      <c r="G22" s="2095"/>
      <c r="H22" s="2095"/>
      <c r="I22" s="2095"/>
      <c r="J22" s="2095"/>
      <c r="K22" s="2095"/>
      <c r="L22" s="2095"/>
      <c r="M22" s="2095"/>
      <c r="N22" s="2095"/>
      <c r="O22" s="2095"/>
      <c r="P22" s="2093"/>
      <c r="Q22" s="2095"/>
      <c r="R22" s="2095"/>
      <c r="S22" s="2095"/>
      <c r="T22" s="2095"/>
      <c r="U22" s="2095"/>
      <c r="V22" s="2095"/>
      <c r="W22" s="2095"/>
      <c r="X22" s="2095"/>
      <c r="Y22" s="2095"/>
      <c r="Z22" s="2095"/>
      <c r="AA22" s="2095"/>
      <c r="AB22" s="2095"/>
      <c r="AC22" s="2095"/>
      <c r="AD22" s="2095"/>
      <c r="AE22" s="2095"/>
      <c r="AF22" s="2095"/>
      <c r="AG22" s="2095"/>
      <c r="AH22" s="2095"/>
      <c r="AI22" s="2095"/>
      <c r="AJ22" s="2095"/>
      <c r="AK22" s="2095"/>
      <c r="AL22" s="2095"/>
      <c r="AM22" s="2095"/>
      <c r="AN22" s="2095"/>
      <c r="AO22" s="2095"/>
      <c r="AP22" s="2095"/>
      <c r="AQ22" s="2095"/>
      <c r="AR22" s="2095"/>
      <c r="AS22" s="2095"/>
      <c r="AT22" s="2095"/>
      <c r="AU22" s="2095"/>
      <c r="AV22" s="2095"/>
      <c r="AW22" s="2095"/>
      <c r="AX22" s="2095"/>
      <c r="AY22" s="2095"/>
      <c r="AZ22" s="2095"/>
      <c r="BA22" s="2093"/>
      <c r="BB22" s="2096"/>
    </row>
    <row r="23" s="2128" customFormat="true" ht="30" hidden="false" customHeight="true" outlineLevel="0" collapsed="false">
      <c r="A23" s="2092"/>
      <c r="B23" s="2093"/>
      <c r="C23" s="2094"/>
      <c r="D23" s="2095"/>
      <c r="E23" s="2095"/>
      <c r="F23" s="2095"/>
      <c r="G23" s="2095"/>
      <c r="H23" s="2095"/>
      <c r="I23" s="2095"/>
      <c r="J23" s="2095"/>
      <c r="K23" s="2095"/>
      <c r="L23" s="2095"/>
      <c r="M23" s="2095"/>
      <c r="N23" s="2095"/>
      <c r="O23" s="2095"/>
      <c r="P23" s="2093"/>
      <c r="Q23" s="2095"/>
      <c r="R23" s="2095"/>
      <c r="S23" s="2095"/>
      <c r="T23" s="2095"/>
      <c r="U23" s="2095"/>
      <c r="V23" s="2095"/>
      <c r="W23" s="2095"/>
      <c r="X23" s="2095"/>
      <c r="Y23" s="2095"/>
      <c r="Z23" s="2095"/>
      <c r="AA23" s="2095"/>
      <c r="AB23" s="2095"/>
      <c r="AC23" s="2095"/>
      <c r="AD23" s="2095"/>
      <c r="AE23" s="2095"/>
      <c r="AF23" s="2095"/>
      <c r="AG23" s="2095"/>
      <c r="AH23" s="2095"/>
      <c r="AI23" s="2095"/>
      <c r="AJ23" s="2095"/>
      <c r="AK23" s="2095"/>
      <c r="AL23" s="2095"/>
      <c r="AM23" s="2095"/>
      <c r="AN23" s="2095"/>
      <c r="AO23" s="2095"/>
      <c r="AP23" s="2095"/>
      <c r="AQ23" s="2095"/>
      <c r="AR23" s="2095"/>
      <c r="AS23" s="2095"/>
      <c r="AT23" s="2095"/>
      <c r="AU23" s="2095"/>
      <c r="AV23" s="2095"/>
      <c r="AW23" s="2095"/>
      <c r="AX23" s="2095"/>
      <c r="AY23" s="2095"/>
      <c r="AZ23" s="2095"/>
      <c r="BA23" s="2093"/>
      <c r="BB23" s="2096"/>
    </row>
    <row r="24" s="2128" customFormat="true" ht="30" hidden="false" customHeight="true" outlineLevel="0" collapsed="false">
      <c r="A24" s="2092"/>
      <c r="B24" s="2093"/>
      <c r="C24" s="2094"/>
      <c r="D24" s="2095"/>
      <c r="E24" s="2095"/>
      <c r="F24" s="2095"/>
      <c r="G24" s="2095"/>
      <c r="H24" s="2095"/>
      <c r="I24" s="2095"/>
      <c r="J24" s="2095"/>
      <c r="K24" s="2095"/>
      <c r="L24" s="2095"/>
      <c r="M24" s="2095"/>
      <c r="N24" s="2095"/>
      <c r="O24" s="2095"/>
      <c r="P24" s="2093"/>
      <c r="Q24" s="2095"/>
      <c r="R24" s="2095"/>
      <c r="S24" s="2095"/>
      <c r="T24" s="2095"/>
      <c r="U24" s="2095"/>
      <c r="V24" s="2095"/>
      <c r="W24" s="2095"/>
      <c r="X24" s="2095"/>
      <c r="Y24" s="2095"/>
      <c r="Z24" s="2095"/>
      <c r="AA24" s="2095"/>
      <c r="AB24" s="2095"/>
      <c r="AC24" s="2095"/>
      <c r="AD24" s="2095"/>
      <c r="AE24" s="2095"/>
      <c r="AF24" s="2095"/>
      <c r="AG24" s="2095"/>
      <c r="AH24" s="2095"/>
      <c r="AI24" s="2095"/>
      <c r="AJ24" s="2095"/>
      <c r="AK24" s="2095"/>
      <c r="AL24" s="2095"/>
      <c r="AM24" s="2095"/>
      <c r="AN24" s="2095"/>
      <c r="AO24" s="2095"/>
      <c r="AP24" s="2095"/>
      <c r="AQ24" s="2095"/>
      <c r="AR24" s="2095"/>
      <c r="AS24" s="2095"/>
      <c r="AT24" s="2095"/>
      <c r="AU24" s="2095"/>
      <c r="AV24" s="2095"/>
      <c r="AW24" s="2095"/>
      <c r="AX24" s="2095"/>
      <c r="AY24" s="2095"/>
      <c r="AZ24" s="2095"/>
      <c r="BA24" s="2093"/>
      <c r="BB24" s="2096"/>
    </row>
    <row r="25" s="2128" customFormat="true" ht="30" hidden="false" customHeight="true" outlineLevel="0" collapsed="false">
      <c r="A25" s="2092"/>
      <c r="B25" s="2093"/>
      <c r="C25" s="2094"/>
      <c r="D25" s="2095"/>
      <c r="E25" s="2095"/>
      <c r="F25" s="2095"/>
      <c r="G25" s="2095"/>
      <c r="H25" s="2095"/>
      <c r="I25" s="2095"/>
      <c r="J25" s="2095"/>
      <c r="K25" s="2095"/>
      <c r="L25" s="2095"/>
      <c r="M25" s="2095"/>
      <c r="N25" s="2095"/>
      <c r="O25" s="2095"/>
      <c r="P25" s="2093"/>
      <c r="Q25" s="2095"/>
      <c r="R25" s="2095"/>
      <c r="S25" s="2095"/>
      <c r="T25" s="2095"/>
      <c r="U25" s="2095"/>
      <c r="V25" s="2095"/>
      <c r="W25" s="2095"/>
      <c r="X25" s="2095"/>
      <c r="Y25" s="2095"/>
      <c r="Z25" s="2095"/>
      <c r="AA25" s="2095"/>
      <c r="AB25" s="2095"/>
      <c r="AC25" s="2095"/>
      <c r="AD25" s="2095"/>
      <c r="AE25" s="2095"/>
      <c r="AF25" s="2095"/>
      <c r="AG25" s="2095"/>
      <c r="AH25" s="2095"/>
      <c r="AI25" s="2095"/>
      <c r="AJ25" s="2095"/>
      <c r="AK25" s="2095"/>
      <c r="AL25" s="2095"/>
      <c r="AM25" s="2095"/>
      <c r="AN25" s="2095"/>
      <c r="AO25" s="2095"/>
      <c r="AP25" s="2095"/>
      <c r="AQ25" s="2095"/>
      <c r="AR25" s="2095"/>
      <c r="AS25" s="2095"/>
      <c r="AT25" s="2095"/>
      <c r="AU25" s="2095"/>
      <c r="AV25" s="2095"/>
      <c r="AW25" s="2095"/>
      <c r="AX25" s="2095"/>
      <c r="AY25" s="2095"/>
      <c r="AZ25" s="2095"/>
      <c r="BA25" s="2093"/>
      <c r="BB25" s="2096"/>
    </row>
    <row r="26" s="2128" customFormat="true" ht="30" hidden="false" customHeight="true" outlineLevel="0" collapsed="false">
      <c r="A26" s="2092"/>
      <c r="B26" s="2093"/>
      <c r="C26" s="2094"/>
      <c r="D26" s="2095"/>
      <c r="E26" s="2095"/>
      <c r="F26" s="2095"/>
      <c r="G26" s="2095"/>
      <c r="H26" s="2095"/>
      <c r="I26" s="2095"/>
      <c r="J26" s="2095"/>
      <c r="K26" s="2095"/>
      <c r="L26" s="2095"/>
      <c r="M26" s="2095"/>
      <c r="N26" s="2095"/>
      <c r="O26" s="2095"/>
      <c r="P26" s="2093"/>
      <c r="Q26" s="2095"/>
      <c r="R26" s="2095"/>
      <c r="S26" s="2095"/>
      <c r="T26" s="2095"/>
      <c r="U26" s="2095"/>
      <c r="V26" s="2095"/>
      <c r="W26" s="2095"/>
      <c r="X26" s="2095"/>
      <c r="Y26" s="2095"/>
      <c r="Z26" s="2095"/>
      <c r="AA26" s="2095"/>
      <c r="AB26" s="2095"/>
      <c r="AC26" s="2095"/>
      <c r="AD26" s="2095"/>
      <c r="AE26" s="2095"/>
      <c r="AF26" s="2095"/>
      <c r="AG26" s="2095"/>
      <c r="AH26" s="2095"/>
      <c r="AI26" s="2095"/>
      <c r="AJ26" s="2095"/>
      <c r="AK26" s="2095"/>
      <c r="AL26" s="2095"/>
      <c r="AM26" s="2095"/>
      <c r="AN26" s="2095"/>
      <c r="AO26" s="2095"/>
      <c r="AP26" s="2095"/>
      <c r="AQ26" s="2095"/>
      <c r="AR26" s="2095"/>
      <c r="AS26" s="2095"/>
      <c r="AT26" s="2095"/>
      <c r="AU26" s="2095"/>
      <c r="AV26" s="2095"/>
      <c r="AW26" s="2095"/>
      <c r="AX26" s="2095"/>
      <c r="AY26" s="2095"/>
      <c r="AZ26" s="2095"/>
      <c r="BA26" s="2093"/>
      <c r="BB26" s="2096"/>
    </row>
    <row r="27" s="2128" customFormat="true" ht="30" hidden="false" customHeight="true" outlineLevel="0" collapsed="false">
      <c r="A27" s="2092"/>
      <c r="B27" s="2093"/>
      <c r="C27" s="2094"/>
      <c r="D27" s="2095"/>
      <c r="E27" s="2095"/>
      <c r="F27" s="2095"/>
      <c r="G27" s="2095"/>
      <c r="H27" s="2095"/>
      <c r="I27" s="2095"/>
      <c r="J27" s="2095"/>
      <c r="K27" s="2095"/>
      <c r="L27" s="2095"/>
      <c r="M27" s="2095"/>
      <c r="N27" s="2095"/>
      <c r="O27" s="2095"/>
      <c r="P27" s="2093"/>
      <c r="Q27" s="2095"/>
      <c r="R27" s="2095"/>
      <c r="S27" s="2095"/>
      <c r="T27" s="2095"/>
      <c r="U27" s="2095"/>
      <c r="V27" s="2095"/>
      <c r="W27" s="2095"/>
      <c r="X27" s="2095"/>
      <c r="Y27" s="2095"/>
      <c r="Z27" s="2095"/>
      <c r="AA27" s="2095"/>
      <c r="AB27" s="2095"/>
      <c r="AC27" s="2095"/>
      <c r="AD27" s="2095"/>
      <c r="AE27" s="2095"/>
      <c r="AF27" s="2095"/>
      <c r="AG27" s="2095"/>
      <c r="AH27" s="2095"/>
      <c r="AI27" s="2095"/>
      <c r="AJ27" s="2095"/>
      <c r="AK27" s="2095"/>
      <c r="AL27" s="2095"/>
      <c r="AM27" s="2095"/>
      <c r="AN27" s="2095"/>
      <c r="AO27" s="2095"/>
      <c r="AP27" s="2095"/>
      <c r="AQ27" s="2095"/>
      <c r="AR27" s="2095"/>
      <c r="AS27" s="2095"/>
      <c r="AT27" s="2095"/>
      <c r="AU27" s="2095"/>
      <c r="AV27" s="2095"/>
      <c r="AW27" s="2095"/>
      <c r="AX27" s="2095"/>
      <c r="AY27" s="2095"/>
      <c r="AZ27" s="2095"/>
      <c r="BA27" s="2093"/>
      <c r="BB27" s="2096"/>
    </row>
    <row r="28" s="2128" customFormat="true" ht="30" hidden="false" customHeight="true" outlineLevel="0" collapsed="false">
      <c r="A28" s="2092"/>
      <c r="B28" s="2093"/>
      <c r="C28" s="2094"/>
      <c r="D28" s="2095"/>
      <c r="E28" s="2095"/>
      <c r="F28" s="2095"/>
      <c r="G28" s="2095"/>
      <c r="H28" s="2095"/>
      <c r="I28" s="2095"/>
      <c r="J28" s="2095"/>
      <c r="K28" s="2095"/>
      <c r="L28" s="2095"/>
      <c r="M28" s="2095"/>
      <c r="N28" s="2095"/>
      <c r="O28" s="2095"/>
      <c r="P28" s="2093"/>
      <c r="Q28" s="2095"/>
      <c r="R28" s="2095"/>
      <c r="S28" s="2095"/>
      <c r="T28" s="2095"/>
      <c r="U28" s="2095"/>
      <c r="V28" s="2095"/>
      <c r="W28" s="2095"/>
      <c r="X28" s="2095"/>
      <c r="Y28" s="2095"/>
      <c r="Z28" s="2095"/>
      <c r="AA28" s="2095"/>
      <c r="AB28" s="2095"/>
      <c r="AC28" s="2095"/>
      <c r="AD28" s="2095"/>
      <c r="AE28" s="2095"/>
      <c r="AF28" s="2095"/>
      <c r="AG28" s="2095"/>
      <c r="AH28" s="2095"/>
      <c r="AI28" s="2095"/>
      <c r="AJ28" s="2095"/>
      <c r="AK28" s="2095"/>
      <c r="AL28" s="2095"/>
      <c r="AM28" s="2095"/>
      <c r="AN28" s="2095"/>
      <c r="AO28" s="2095"/>
      <c r="AP28" s="2095"/>
      <c r="AQ28" s="2095"/>
      <c r="AR28" s="2095"/>
      <c r="AS28" s="2095"/>
      <c r="AT28" s="2095"/>
      <c r="AU28" s="2095"/>
      <c r="AV28" s="2095"/>
      <c r="AW28" s="2095"/>
      <c r="AX28" s="2095"/>
      <c r="AY28" s="2095"/>
      <c r="AZ28" s="2095"/>
      <c r="BA28" s="2093"/>
      <c r="BB28" s="2096"/>
    </row>
    <row r="29" s="2128" customFormat="true" ht="30" hidden="false" customHeight="true" outlineLevel="0" collapsed="false">
      <c r="A29" s="2092"/>
      <c r="B29" s="2093"/>
      <c r="C29" s="2094"/>
      <c r="D29" s="2095"/>
      <c r="E29" s="2095"/>
      <c r="F29" s="2095"/>
      <c r="G29" s="2095"/>
      <c r="H29" s="2095"/>
      <c r="I29" s="2095"/>
      <c r="J29" s="2095"/>
      <c r="K29" s="2095"/>
      <c r="L29" s="2095"/>
      <c r="M29" s="2095"/>
      <c r="N29" s="2095"/>
      <c r="O29" s="2095"/>
      <c r="P29" s="2093"/>
      <c r="Q29" s="2095"/>
      <c r="R29" s="2095"/>
      <c r="S29" s="2095"/>
      <c r="T29" s="2095"/>
      <c r="U29" s="2095"/>
      <c r="V29" s="2095"/>
      <c r="W29" s="2095"/>
      <c r="X29" s="2095"/>
      <c r="Y29" s="2095"/>
      <c r="Z29" s="2095"/>
      <c r="AA29" s="2095"/>
      <c r="AB29" s="2095"/>
      <c r="AC29" s="2095"/>
      <c r="AD29" s="2095"/>
      <c r="AE29" s="2095"/>
      <c r="AF29" s="2095"/>
      <c r="AG29" s="2095"/>
      <c r="AH29" s="2095"/>
      <c r="AI29" s="2095"/>
      <c r="AJ29" s="2095"/>
      <c r="AK29" s="2095"/>
      <c r="AL29" s="2095"/>
      <c r="AM29" s="2095"/>
      <c r="AN29" s="2095"/>
      <c r="AO29" s="2095"/>
      <c r="AP29" s="2095"/>
      <c r="AQ29" s="2095"/>
      <c r="AR29" s="2095"/>
      <c r="AS29" s="2095"/>
      <c r="AT29" s="2095"/>
      <c r="AU29" s="2095"/>
      <c r="AV29" s="2095"/>
      <c r="AW29" s="2095"/>
      <c r="AX29" s="2095"/>
      <c r="AY29" s="2095"/>
      <c r="AZ29" s="2095"/>
      <c r="BA29" s="2093"/>
      <c r="BB29" s="2096"/>
    </row>
    <row r="30" s="2128" customFormat="true" ht="30" hidden="false" customHeight="true" outlineLevel="0" collapsed="false">
      <c r="A30" s="2092"/>
      <c r="B30" s="2093"/>
      <c r="C30" s="2094"/>
      <c r="D30" s="2095"/>
      <c r="E30" s="2095"/>
      <c r="F30" s="2095"/>
      <c r="G30" s="2095"/>
      <c r="H30" s="2095"/>
      <c r="I30" s="2095"/>
      <c r="J30" s="2095"/>
      <c r="K30" s="2095"/>
      <c r="L30" s="2095"/>
      <c r="M30" s="2095"/>
      <c r="N30" s="2095"/>
      <c r="O30" s="2095"/>
      <c r="P30" s="2093"/>
      <c r="Q30" s="2095"/>
      <c r="R30" s="2095"/>
      <c r="S30" s="2095"/>
      <c r="T30" s="2095"/>
      <c r="U30" s="2095"/>
      <c r="V30" s="2095"/>
      <c r="W30" s="2095"/>
      <c r="X30" s="2095"/>
      <c r="Y30" s="2095"/>
      <c r="Z30" s="2095"/>
      <c r="AA30" s="2095"/>
      <c r="AB30" s="2095"/>
      <c r="AC30" s="2095"/>
      <c r="AD30" s="2095"/>
      <c r="AE30" s="2095"/>
      <c r="AF30" s="2095"/>
      <c r="AG30" s="2095"/>
      <c r="AH30" s="2095"/>
      <c r="AI30" s="2095"/>
      <c r="AJ30" s="2095"/>
      <c r="AK30" s="2095"/>
      <c r="AL30" s="2095"/>
      <c r="AM30" s="2095"/>
      <c r="AN30" s="2095"/>
      <c r="AO30" s="2095"/>
      <c r="AP30" s="2095"/>
      <c r="AQ30" s="2095"/>
      <c r="AR30" s="2095"/>
      <c r="AS30" s="2095"/>
      <c r="AT30" s="2095"/>
      <c r="AU30" s="2095"/>
      <c r="AV30" s="2095"/>
      <c r="AW30" s="2095"/>
      <c r="AX30" s="2095"/>
      <c r="AY30" s="2095"/>
      <c r="AZ30" s="2095"/>
      <c r="BA30" s="2093"/>
      <c r="BB30" s="2096"/>
    </row>
    <row r="31" s="2128" customFormat="true" ht="30" hidden="false" customHeight="true" outlineLevel="0" collapsed="false">
      <c r="A31" s="2092"/>
      <c r="B31" s="2093"/>
      <c r="C31" s="2094"/>
      <c r="D31" s="2095"/>
      <c r="E31" s="2095"/>
      <c r="F31" s="2095"/>
      <c r="G31" s="2095"/>
      <c r="H31" s="2095"/>
      <c r="I31" s="2095"/>
      <c r="J31" s="2095"/>
      <c r="K31" s="2095"/>
      <c r="L31" s="2095"/>
      <c r="M31" s="2095"/>
      <c r="N31" s="2095"/>
      <c r="O31" s="2095"/>
      <c r="P31" s="2093"/>
      <c r="Q31" s="2095"/>
      <c r="R31" s="2095"/>
      <c r="S31" s="2095"/>
      <c r="T31" s="2095"/>
      <c r="U31" s="2095"/>
      <c r="V31" s="2095"/>
      <c r="W31" s="2095"/>
      <c r="X31" s="2095"/>
      <c r="Y31" s="2095"/>
      <c r="Z31" s="2095"/>
      <c r="AA31" s="2095"/>
      <c r="AB31" s="2095"/>
      <c r="AC31" s="2095"/>
      <c r="AD31" s="2095"/>
      <c r="AE31" s="2095"/>
      <c r="AF31" s="2095"/>
      <c r="AG31" s="2095"/>
      <c r="AH31" s="2095"/>
      <c r="AI31" s="2095"/>
      <c r="AJ31" s="2095"/>
      <c r="AK31" s="2095"/>
      <c r="AL31" s="2095"/>
      <c r="AM31" s="2095"/>
      <c r="AN31" s="2095"/>
      <c r="AO31" s="2095"/>
      <c r="AP31" s="2095"/>
      <c r="AQ31" s="2095"/>
      <c r="AR31" s="2095"/>
      <c r="AS31" s="2095"/>
      <c r="AT31" s="2095"/>
      <c r="AU31" s="2095"/>
      <c r="AV31" s="2095"/>
      <c r="AW31" s="2095"/>
      <c r="AX31" s="2095"/>
      <c r="AY31" s="2095"/>
      <c r="AZ31" s="2095"/>
      <c r="BA31" s="2093"/>
      <c r="BB31" s="2096"/>
    </row>
    <row r="32" s="2128" customFormat="true" ht="30" hidden="false" customHeight="true" outlineLevel="0" collapsed="false">
      <c r="A32" s="2092"/>
      <c r="B32" s="2093"/>
      <c r="C32" s="2094"/>
      <c r="D32" s="2095"/>
      <c r="E32" s="2095"/>
      <c r="F32" s="2095"/>
      <c r="G32" s="2095"/>
      <c r="H32" s="2095"/>
      <c r="I32" s="2095"/>
      <c r="J32" s="2095"/>
      <c r="K32" s="2095"/>
      <c r="L32" s="2095"/>
      <c r="M32" s="2095"/>
      <c r="N32" s="2095"/>
      <c r="O32" s="2095"/>
      <c r="P32" s="2093"/>
      <c r="Q32" s="2095"/>
      <c r="R32" s="2095"/>
      <c r="S32" s="2095"/>
      <c r="T32" s="2095"/>
      <c r="U32" s="2095"/>
      <c r="V32" s="2095"/>
      <c r="W32" s="2095"/>
      <c r="X32" s="2095"/>
      <c r="Y32" s="2095"/>
      <c r="Z32" s="2095"/>
      <c r="AA32" s="2095"/>
      <c r="AB32" s="2095"/>
      <c r="AC32" s="2095"/>
      <c r="AD32" s="2095"/>
      <c r="AE32" s="2095"/>
      <c r="AF32" s="2095"/>
      <c r="AG32" s="2095"/>
      <c r="AH32" s="2095"/>
      <c r="AI32" s="2095"/>
      <c r="AJ32" s="2095"/>
      <c r="AK32" s="2095"/>
      <c r="AL32" s="2095"/>
      <c r="AM32" s="2095"/>
      <c r="AN32" s="2095"/>
      <c r="AO32" s="2095"/>
      <c r="AP32" s="2095"/>
      <c r="AQ32" s="2095"/>
      <c r="AR32" s="2095"/>
      <c r="AS32" s="2095"/>
      <c r="AT32" s="2095"/>
      <c r="AU32" s="2095"/>
      <c r="AV32" s="2095"/>
      <c r="AW32" s="2095"/>
      <c r="AX32" s="2095"/>
      <c r="AY32" s="2095"/>
      <c r="AZ32" s="2095"/>
      <c r="BA32" s="2093"/>
      <c r="BB32" s="2096"/>
    </row>
    <row r="33" s="2128" customFormat="true" ht="30" hidden="false" customHeight="true" outlineLevel="0" collapsed="false">
      <c r="A33" s="2092"/>
      <c r="B33" s="2093"/>
      <c r="C33" s="2094"/>
      <c r="D33" s="2095"/>
      <c r="E33" s="2095"/>
      <c r="F33" s="2095"/>
      <c r="G33" s="2095"/>
      <c r="H33" s="2095"/>
      <c r="I33" s="2095"/>
      <c r="J33" s="2095"/>
      <c r="K33" s="2095"/>
      <c r="L33" s="2095"/>
      <c r="M33" s="2095"/>
      <c r="N33" s="2095"/>
      <c r="O33" s="2095"/>
      <c r="P33" s="2093"/>
      <c r="Q33" s="2095"/>
      <c r="R33" s="2095"/>
      <c r="S33" s="2095"/>
      <c r="T33" s="2095"/>
      <c r="U33" s="2095"/>
      <c r="V33" s="2095"/>
      <c r="W33" s="2095"/>
      <c r="X33" s="2095"/>
      <c r="Y33" s="2095"/>
      <c r="Z33" s="2095"/>
      <c r="AA33" s="2095"/>
      <c r="AB33" s="2095"/>
      <c r="AC33" s="2095"/>
      <c r="AD33" s="2095"/>
      <c r="AE33" s="2095"/>
      <c r="AF33" s="2095"/>
      <c r="AG33" s="2095"/>
      <c r="AH33" s="2095"/>
      <c r="AI33" s="2095"/>
      <c r="AJ33" s="2095"/>
      <c r="AK33" s="2095"/>
      <c r="AL33" s="2095"/>
      <c r="AM33" s="2095"/>
      <c r="AN33" s="2095"/>
      <c r="AO33" s="2095"/>
      <c r="AP33" s="2095"/>
      <c r="AQ33" s="2095"/>
      <c r="AR33" s="2095"/>
      <c r="AS33" s="2095"/>
      <c r="AT33" s="2095"/>
      <c r="AU33" s="2095"/>
      <c r="AV33" s="2095"/>
      <c r="AW33" s="2095"/>
      <c r="AX33" s="2095"/>
      <c r="AY33" s="2095"/>
      <c r="AZ33" s="2095"/>
      <c r="BA33" s="2093"/>
      <c r="BB33" s="2096"/>
    </row>
    <row r="34" s="2128" customFormat="true" ht="30" hidden="false" customHeight="true" outlineLevel="0" collapsed="false">
      <c r="A34" s="2092"/>
      <c r="B34" s="2093"/>
      <c r="C34" s="2094"/>
      <c r="D34" s="2095"/>
      <c r="E34" s="2095"/>
      <c r="F34" s="2095"/>
      <c r="G34" s="2095"/>
      <c r="H34" s="2095"/>
      <c r="I34" s="2095"/>
      <c r="J34" s="2095"/>
      <c r="K34" s="2095"/>
      <c r="L34" s="2095"/>
      <c r="M34" s="2095"/>
      <c r="N34" s="2095"/>
      <c r="O34" s="2095"/>
      <c r="P34" s="2093"/>
      <c r="Q34" s="2095"/>
      <c r="R34" s="2095"/>
      <c r="S34" s="2095"/>
      <c r="T34" s="2095"/>
      <c r="U34" s="2095"/>
      <c r="V34" s="2095"/>
      <c r="W34" s="2095"/>
      <c r="X34" s="2095"/>
      <c r="Y34" s="2095"/>
      <c r="Z34" s="2095"/>
      <c r="AA34" s="2095"/>
      <c r="AB34" s="2095"/>
      <c r="AC34" s="2095"/>
      <c r="AD34" s="2095"/>
      <c r="AE34" s="2095"/>
      <c r="AF34" s="2095"/>
      <c r="AG34" s="2095"/>
      <c r="AH34" s="2095"/>
      <c r="AI34" s="2095"/>
      <c r="AJ34" s="2095"/>
      <c r="AK34" s="2095"/>
      <c r="AL34" s="2095"/>
      <c r="AM34" s="2095"/>
      <c r="AN34" s="2095"/>
      <c r="AO34" s="2095"/>
      <c r="AP34" s="2095"/>
      <c r="AQ34" s="2095"/>
      <c r="AR34" s="2095"/>
      <c r="AS34" s="2095"/>
      <c r="AT34" s="2095"/>
      <c r="AU34" s="2095"/>
      <c r="AV34" s="2095"/>
      <c r="AW34" s="2095"/>
      <c r="AX34" s="2095"/>
      <c r="AY34" s="2095"/>
      <c r="AZ34" s="2095"/>
      <c r="BA34" s="2093"/>
      <c r="BB34" s="2096"/>
    </row>
    <row r="35" s="2128" customFormat="true" ht="30" hidden="false" customHeight="true" outlineLevel="0" collapsed="false">
      <c r="A35" s="2092"/>
      <c r="B35" s="2093"/>
      <c r="C35" s="2094"/>
      <c r="D35" s="2095"/>
      <c r="E35" s="2095"/>
      <c r="F35" s="2095"/>
      <c r="G35" s="2095"/>
      <c r="H35" s="2095"/>
      <c r="I35" s="2095"/>
      <c r="J35" s="2095"/>
      <c r="K35" s="2095"/>
      <c r="L35" s="2095"/>
      <c r="M35" s="2095"/>
      <c r="N35" s="2095"/>
      <c r="O35" s="2095"/>
      <c r="P35" s="2093"/>
      <c r="Q35" s="2095"/>
      <c r="R35" s="2095"/>
      <c r="S35" s="2095"/>
      <c r="T35" s="2095"/>
      <c r="U35" s="2095"/>
      <c r="V35" s="2095"/>
      <c r="W35" s="2095"/>
      <c r="X35" s="2095"/>
      <c r="Y35" s="2095"/>
      <c r="Z35" s="2095"/>
      <c r="AA35" s="2095"/>
      <c r="AB35" s="2095"/>
      <c r="AC35" s="2095"/>
      <c r="AD35" s="2095"/>
      <c r="AE35" s="2095"/>
      <c r="AF35" s="2095"/>
      <c r="AG35" s="2095"/>
      <c r="AH35" s="2095"/>
      <c r="AI35" s="2095"/>
      <c r="AJ35" s="2095"/>
      <c r="AK35" s="2095"/>
      <c r="AL35" s="2095"/>
      <c r="AM35" s="2095"/>
      <c r="AN35" s="2095"/>
      <c r="AO35" s="2095"/>
      <c r="AP35" s="2095"/>
      <c r="AQ35" s="2095"/>
      <c r="AR35" s="2095"/>
      <c r="AS35" s="2095"/>
      <c r="AT35" s="2095"/>
      <c r="AU35" s="2095"/>
      <c r="AV35" s="2095"/>
      <c r="AW35" s="2095"/>
      <c r="AX35" s="2095"/>
      <c r="AY35" s="2095"/>
      <c r="AZ35" s="2095"/>
      <c r="BA35" s="2093"/>
      <c r="BB35" s="2096"/>
    </row>
    <row r="36" s="2128" customFormat="true" ht="30" hidden="false" customHeight="true" outlineLevel="0" collapsed="false">
      <c r="A36" s="2092"/>
      <c r="B36" s="2093"/>
      <c r="C36" s="2094"/>
      <c r="D36" s="2095"/>
      <c r="E36" s="2095"/>
      <c r="F36" s="2095"/>
      <c r="G36" s="2095"/>
      <c r="H36" s="2095"/>
      <c r="I36" s="2095"/>
      <c r="J36" s="2095"/>
      <c r="K36" s="2095"/>
      <c r="L36" s="2095"/>
      <c r="M36" s="2095"/>
      <c r="N36" s="2095"/>
      <c r="O36" s="2095"/>
      <c r="P36" s="2093"/>
      <c r="Q36" s="2095"/>
      <c r="R36" s="2095"/>
      <c r="S36" s="2095"/>
      <c r="T36" s="2095"/>
      <c r="U36" s="2095"/>
      <c r="V36" s="2095"/>
      <c r="W36" s="2095"/>
      <c r="X36" s="2095"/>
      <c r="Y36" s="2095"/>
      <c r="Z36" s="2095"/>
      <c r="AA36" s="2095"/>
      <c r="AB36" s="2095"/>
      <c r="AC36" s="2095"/>
      <c r="AD36" s="2095"/>
      <c r="AE36" s="2095"/>
      <c r="AF36" s="2095"/>
      <c r="AG36" s="2095"/>
      <c r="AH36" s="2095"/>
      <c r="AI36" s="2095"/>
      <c r="AJ36" s="2095"/>
      <c r="AK36" s="2095"/>
      <c r="AL36" s="2095"/>
      <c r="AM36" s="2095"/>
      <c r="AN36" s="2095"/>
      <c r="AO36" s="2095"/>
      <c r="AP36" s="2095"/>
      <c r="AQ36" s="2095"/>
      <c r="AR36" s="2095"/>
      <c r="AS36" s="2095"/>
      <c r="AT36" s="2095"/>
      <c r="AU36" s="2095"/>
      <c r="AV36" s="2095"/>
      <c r="AW36" s="2095"/>
      <c r="AX36" s="2095"/>
      <c r="AY36" s="2095"/>
      <c r="AZ36" s="2095"/>
      <c r="BA36" s="2093"/>
      <c r="BB36" s="2096"/>
    </row>
    <row r="37" s="2128" customFormat="true" ht="30" hidden="false" customHeight="true" outlineLevel="0" collapsed="false">
      <c r="A37" s="2092"/>
      <c r="B37" s="2093"/>
      <c r="C37" s="2094"/>
      <c r="D37" s="2095"/>
      <c r="E37" s="2095"/>
      <c r="F37" s="2095"/>
      <c r="G37" s="2095"/>
      <c r="H37" s="2095"/>
      <c r="I37" s="2095"/>
      <c r="J37" s="2095"/>
      <c r="K37" s="2095"/>
      <c r="L37" s="2095"/>
      <c r="M37" s="2095"/>
      <c r="N37" s="2095"/>
      <c r="O37" s="2095"/>
      <c r="P37" s="2093"/>
      <c r="Q37" s="2095"/>
      <c r="R37" s="2095"/>
      <c r="S37" s="2095"/>
      <c r="T37" s="2095"/>
      <c r="U37" s="2095"/>
      <c r="V37" s="2095"/>
      <c r="W37" s="2095"/>
      <c r="X37" s="2095"/>
      <c r="Y37" s="2095"/>
      <c r="Z37" s="2095"/>
      <c r="AA37" s="2095"/>
      <c r="AB37" s="2095"/>
      <c r="AC37" s="2095"/>
      <c r="AD37" s="2095"/>
      <c r="AE37" s="2095"/>
      <c r="AF37" s="2095"/>
      <c r="AG37" s="2095"/>
      <c r="AH37" s="2095"/>
      <c r="AI37" s="2095"/>
      <c r="AJ37" s="2095"/>
      <c r="AK37" s="2095"/>
      <c r="AL37" s="2095"/>
      <c r="AM37" s="2095"/>
      <c r="AN37" s="2095"/>
      <c r="AO37" s="2095"/>
      <c r="AP37" s="2095"/>
      <c r="AQ37" s="2095"/>
      <c r="AR37" s="2095"/>
      <c r="AS37" s="2095"/>
      <c r="AT37" s="2095"/>
      <c r="AU37" s="2095"/>
      <c r="AV37" s="2095"/>
      <c r="AW37" s="2095"/>
      <c r="AX37" s="2095"/>
      <c r="AY37" s="2095"/>
      <c r="AZ37" s="2095"/>
      <c r="BA37" s="2093"/>
      <c r="BB37" s="2096"/>
    </row>
    <row r="38" s="2128" customFormat="true" ht="30" hidden="false" customHeight="true" outlineLevel="0" collapsed="false">
      <c r="A38" s="2092"/>
      <c r="B38" s="2093"/>
      <c r="C38" s="2094"/>
      <c r="D38" s="2095"/>
      <c r="E38" s="2095"/>
      <c r="F38" s="2095"/>
      <c r="G38" s="2095"/>
      <c r="H38" s="2095"/>
      <c r="I38" s="2095"/>
      <c r="J38" s="2095"/>
      <c r="K38" s="2095"/>
      <c r="L38" s="2095"/>
      <c r="M38" s="2095"/>
      <c r="N38" s="2095"/>
      <c r="O38" s="2095"/>
      <c r="P38" s="2093"/>
      <c r="Q38" s="2095"/>
      <c r="R38" s="2095"/>
      <c r="S38" s="2095"/>
      <c r="T38" s="2095"/>
      <c r="U38" s="2095"/>
      <c r="V38" s="2095"/>
      <c r="W38" s="2095"/>
      <c r="X38" s="2095"/>
      <c r="Y38" s="2095"/>
      <c r="Z38" s="2095"/>
      <c r="AA38" s="2095"/>
      <c r="AB38" s="2095"/>
      <c r="AC38" s="2095"/>
      <c r="AD38" s="2095"/>
      <c r="AE38" s="2095"/>
      <c r="AF38" s="2095"/>
      <c r="AG38" s="2095"/>
      <c r="AH38" s="2095"/>
      <c r="AI38" s="2095"/>
      <c r="AJ38" s="2095"/>
      <c r="AK38" s="2095"/>
      <c r="AL38" s="2095"/>
      <c r="AM38" s="2095"/>
      <c r="AN38" s="2095"/>
      <c r="AO38" s="2095"/>
      <c r="AP38" s="2095"/>
      <c r="AQ38" s="2095"/>
      <c r="AR38" s="2095"/>
      <c r="AS38" s="2095"/>
      <c r="AT38" s="2095"/>
      <c r="AU38" s="2095"/>
      <c r="AV38" s="2095"/>
      <c r="AW38" s="2095"/>
      <c r="AX38" s="2095"/>
      <c r="AY38" s="2095"/>
      <c r="AZ38" s="2095"/>
      <c r="BA38" s="2093"/>
      <c r="BB38" s="2096"/>
    </row>
    <row r="39" s="2128" customFormat="true" ht="30" hidden="false" customHeight="true" outlineLevel="0" collapsed="false">
      <c r="A39" s="2092"/>
      <c r="B39" s="2093"/>
      <c r="C39" s="2094"/>
      <c r="D39" s="2095"/>
      <c r="E39" s="2095"/>
      <c r="F39" s="2095"/>
      <c r="G39" s="2095"/>
      <c r="H39" s="2095"/>
      <c r="I39" s="2095"/>
      <c r="J39" s="2095"/>
      <c r="K39" s="2095"/>
      <c r="L39" s="2095"/>
      <c r="M39" s="2095"/>
      <c r="N39" s="2095"/>
      <c r="O39" s="2095"/>
      <c r="P39" s="2093"/>
      <c r="Q39" s="2095"/>
      <c r="R39" s="2095"/>
      <c r="S39" s="2095"/>
      <c r="T39" s="2095"/>
      <c r="U39" s="2095"/>
      <c r="V39" s="2095"/>
      <c r="W39" s="2095"/>
      <c r="X39" s="2095"/>
      <c r="Y39" s="2095"/>
      <c r="Z39" s="2095"/>
      <c r="AA39" s="2095"/>
      <c r="AB39" s="2095"/>
      <c r="AC39" s="2095"/>
      <c r="AD39" s="2095"/>
      <c r="AE39" s="2095"/>
      <c r="AF39" s="2095"/>
      <c r="AG39" s="2095"/>
      <c r="AH39" s="2095"/>
      <c r="AI39" s="2095"/>
      <c r="AJ39" s="2095"/>
      <c r="AK39" s="2095"/>
      <c r="AL39" s="2095"/>
      <c r="AM39" s="2095"/>
      <c r="AN39" s="2095"/>
      <c r="AO39" s="2095"/>
      <c r="AP39" s="2095"/>
      <c r="AQ39" s="2095"/>
      <c r="AR39" s="2095"/>
      <c r="AS39" s="2095"/>
      <c r="AT39" s="2095"/>
      <c r="AU39" s="2095"/>
      <c r="AV39" s="2095"/>
      <c r="AW39" s="2095"/>
      <c r="AX39" s="2095"/>
      <c r="AY39" s="2095"/>
      <c r="AZ39" s="2095"/>
      <c r="BA39" s="2093"/>
      <c r="BB39" s="2096"/>
    </row>
    <row r="40" s="2128" customFormat="true" ht="30" hidden="false" customHeight="true" outlineLevel="0" collapsed="false">
      <c r="A40" s="2092"/>
      <c r="B40" s="2093"/>
      <c r="C40" s="2094"/>
      <c r="D40" s="2095"/>
      <c r="E40" s="2095"/>
      <c r="F40" s="2095"/>
      <c r="G40" s="2095"/>
      <c r="H40" s="2095"/>
      <c r="I40" s="2095"/>
      <c r="J40" s="2095"/>
      <c r="K40" s="2095"/>
      <c r="L40" s="2095"/>
      <c r="M40" s="2095"/>
      <c r="N40" s="2095"/>
      <c r="O40" s="2095"/>
      <c r="P40" s="2093"/>
      <c r="Q40" s="2095"/>
      <c r="R40" s="2095"/>
      <c r="S40" s="2095"/>
      <c r="T40" s="2095"/>
      <c r="U40" s="2095"/>
      <c r="V40" s="2095"/>
      <c r="W40" s="2095"/>
      <c r="X40" s="2095"/>
      <c r="Y40" s="2095"/>
      <c r="Z40" s="2095"/>
      <c r="AA40" s="2095"/>
      <c r="AB40" s="2095"/>
      <c r="AC40" s="2095"/>
      <c r="AD40" s="2095"/>
      <c r="AE40" s="2095"/>
      <c r="AF40" s="2095"/>
      <c r="AG40" s="2095"/>
      <c r="AH40" s="2095"/>
      <c r="AI40" s="2095"/>
      <c r="AJ40" s="2095"/>
      <c r="AK40" s="2095"/>
      <c r="AL40" s="2095"/>
      <c r="AM40" s="2095"/>
      <c r="AN40" s="2095"/>
      <c r="AO40" s="2095"/>
      <c r="AP40" s="2095"/>
      <c r="AQ40" s="2095"/>
      <c r="AR40" s="2095"/>
      <c r="AS40" s="2095"/>
      <c r="AT40" s="2095"/>
      <c r="AU40" s="2095"/>
      <c r="AV40" s="2095"/>
      <c r="AW40" s="2095"/>
      <c r="AX40" s="2095"/>
      <c r="AY40" s="2095"/>
      <c r="AZ40" s="2095"/>
      <c r="BA40" s="2093"/>
      <c r="BB40" s="2096"/>
    </row>
    <row r="41" s="2128" customFormat="true" ht="30" hidden="false" customHeight="true" outlineLevel="0" collapsed="false">
      <c r="A41" s="2092"/>
      <c r="B41" s="2093"/>
      <c r="C41" s="2094"/>
      <c r="D41" s="2095"/>
      <c r="E41" s="2095"/>
      <c r="F41" s="2095"/>
      <c r="G41" s="2095"/>
      <c r="H41" s="2095"/>
      <c r="I41" s="2095"/>
      <c r="J41" s="2095"/>
      <c r="K41" s="2095"/>
      <c r="L41" s="2095"/>
      <c r="M41" s="2095"/>
      <c r="N41" s="2095"/>
      <c r="O41" s="2095"/>
      <c r="P41" s="2093"/>
      <c r="Q41" s="2095"/>
      <c r="R41" s="2095"/>
      <c r="S41" s="2095"/>
      <c r="T41" s="2095"/>
      <c r="U41" s="2095"/>
      <c r="V41" s="2095"/>
      <c r="W41" s="2095"/>
      <c r="X41" s="2095"/>
      <c r="Y41" s="2095"/>
      <c r="Z41" s="2095"/>
      <c r="AA41" s="2095"/>
      <c r="AB41" s="2095"/>
      <c r="AC41" s="2095"/>
      <c r="AD41" s="2095"/>
      <c r="AE41" s="2095"/>
      <c r="AF41" s="2095"/>
      <c r="AG41" s="2095"/>
      <c r="AH41" s="2095"/>
      <c r="AI41" s="2095"/>
      <c r="AJ41" s="2095"/>
      <c r="AK41" s="2095"/>
      <c r="AL41" s="2095"/>
      <c r="AM41" s="2095"/>
      <c r="AN41" s="2095"/>
      <c r="AO41" s="2095"/>
      <c r="AP41" s="2095"/>
      <c r="AQ41" s="2095"/>
      <c r="AR41" s="2095"/>
      <c r="AS41" s="2095"/>
      <c r="AT41" s="2095"/>
      <c r="AU41" s="2095"/>
      <c r="AV41" s="2095"/>
      <c r="AW41" s="2095"/>
      <c r="AX41" s="2095"/>
      <c r="AY41" s="2095"/>
      <c r="AZ41" s="2095"/>
      <c r="BA41" s="2093"/>
      <c r="BB41" s="2096"/>
    </row>
    <row r="42" s="2128" customFormat="true" ht="30" hidden="false" customHeight="true" outlineLevel="0" collapsed="false">
      <c r="A42" s="2092"/>
      <c r="B42" s="2093"/>
      <c r="C42" s="2094"/>
      <c r="D42" s="2095"/>
      <c r="E42" s="2095"/>
      <c r="F42" s="2095"/>
      <c r="G42" s="2095"/>
      <c r="H42" s="2095"/>
      <c r="I42" s="2095"/>
      <c r="J42" s="2095"/>
      <c r="K42" s="2095"/>
      <c r="L42" s="2095"/>
      <c r="M42" s="2095"/>
      <c r="N42" s="2095"/>
      <c r="O42" s="2095"/>
      <c r="P42" s="2093"/>
      <c r="Q42" s="2095"/>
      <c r="R42" s="2095"/>
      <c r="S42" s="2095"/>
      <c r="T42" s="2095"/>
      <c r="U42" s="2095"/>
      <c r="V42" s="2095"/>
      <c r="W42" s="2095"/>
      <c r="X42" s="2095"/>
      <c r="Y42" s="2095"/>
      <c r="Z42" s="2095"/>
      <c r="AA42" s="2095"/>
      <c r="AB42" s="2095"/>
      <c r="AC42" s="2095"/>
      <c r="AD42" s="2095"/>
      <c r="AE42" s="2095"/>
      <c r="AF42" s="2095"/>
      <c r="AG42" s="2095"/>
      <c r="AH42" s="2095"/>
      <c r="AI42" s="2095"/>
      <c r="AJ42" s="2095"/>
      <c r="AK42" s="2095"/>
      <c r="AL42" s="2095"/>
      <c r="AM42" s="2095"/>
      <c r="AN42" s="2095"/>
      <c r="AO42" s="2095"/>
      <c r="AP42" s="2095"/>
      <c r="AQ42" s="2095"/>
      <c r="AR42" s="2095"/>
      <c r="AS42" s="2095"/>
      <c r="AT42" s="2095"/>
      <c r="AU42" s="2095"/>
      <c r="AV42" s="2095"/>
      <c r="AW42" s="2095"/>
      <c r="AX42" s="2095"/>
      <c r="AY42" s="2095"/>
      <c r="AZ42" s="2095"/>
      <c r="BA42" s="2093"/>
      <c r="BB42" s="2096"/>
    </row>
    <row r="43" s="2128" customFormat="true" ht="30" hidden="false" customHeight="true" outlineLevel="0" collapsed="false">
      <c r="A43" s="2092"/>
      <c r="B43" s="2093"/>
      <c r="C43" s="2094"/>
      <c r="D43" s="2095"/>
      <c r="E43" s="2095"/>
      <c r="F43" s="2095"/>
      <c r="G43" s="2095"/>
      <c r="H43" s="2095"/>
      <c r="I43" s="2095"/>
      <c r="J43" s="2095"/>
      <c r="K43" s="2095"/>
      <c r="L43" s="2095"/>
      <c r="M43" s="2095"/>
      <c r="N43" s="2095"/>
      <c r="O43" s="2095"/>
      <c r="P43" s="2093"/>
      <c r="Q43" s="2095"/>
      <c r="R43" s="2095"/>
      <c r="S43" s="2095"/>
      <c r="T43" s="2095"/>
      <c r="U43" s="2095"/>
      <c r="V43" s="2095"/>
      <c r="W43" s="2095"/>
      <c r="X43" s="2095"/>
      <c r="Y43" s="2095"/>
      <c r="Z43" s="2095"/>
      <c r="AA43" s="2095"/>
      <c r="AB43" s="2095"/>
      <c r="AC43" s="2095"/>
      <c r="AD43" s="2095"/>
      <c r="AE43" s="2095"/>
      <c r="AF43" s="2095"/>
      <c r="AG43" s="2095"/>
      <c r="AH43" s="2095"/>
      <c r="AI43" s="2095"/>
      <c r="AJ43" s="2095"/>
      <c r="AK43" s="2095"/>
      <c r="AL43" s="2095"/>
      <c r="AM43" s="2095"/>
      <c r="AN43" s="2095"/>
      <c r="AO43" s="2095"/>
      <c r="AP43" s="2095"/>
      <c r="AQ43" s="2095"/>
      <c r="AR43" s="2095"/>
      <c r="AS43" s="2095"/>
      <c r="AT43" s="2095"/>
      <c r="AU43" s="2095"/>
      <c r="AV43" s="2095"/>
      <c r="AW43" s="2095"/>
      <c r="AX43" s="2095"/>
      <c r="AY43" s="2095"/>
      <c r="AZ43" s="2095"/>
      <c r="BA43" s="2093"/>
      <c r="BB43" s="2096"/>
    </row>
    <row r="44" s="2128" customFormat="true" ht="30" hidden="false" customHeight="true" outlineLevel="0" collapsed="false">
      <c r="A44" s="2092"/>
      <c r="B44" s="2093"/>
      <c r="C44" s="2094"/>
      <c r="D44" s="2095"/>
      <c r="E44" s="2095"/>
      <c r="F44" s="2095"/>
      <c r="G44" s="2095"/>
      <c r="H44" s="2095"/>
      <c r="I44" s="2095"/>
      <c r="J44" s="2095"/>
      <c r="K44" s="2095"/>
      <c r="L44" s="2095"/>
      <c r="M44" s="2095"/>
      <c r="N44" s="2095"/>
      <c r="O44" s="2095"/>
      <c r="P44" s="2093"/>
      <c r="Q44" s="2095"/>
      <c r="R44" s="2095"/>
      <c r="S44" s="2095"/>
      <c r="T44" s="2095"/>
      <c r="U44" s="2095"/>
      <c r="V44" s="2095"/>
      <c r="W44" s="2095"/>
      <c r="X44" s="2095"/>
      <c r="Y44" s="2095"/>
      <c r="Z44" s="2095"/>
      <c r="AA44" s="2095"/>
      <c r="AB44" s="2095"/>
      <c r="AC44" s="2095"/>
      <c r="AD44" s="2095"/>
      <c r="AE44" s="2095"/>
      <c r="AF44" s="2095"/>
      <c r="AG44" s="2095"/>
      <c r="AH44" s="2095"/>
      <c r="AI44" s="2095"/>
      <c r="AJ44" s="2095"/>
      <c r="AK44" s="2095"/>
      <c r="AL44" s="2095"/>
      <c r="AM44" s="2095"/>
      <c r="AN44" s="2095"/>
      <c r="AO44" s="2095"/>
      <c r="AP44" s="2095"/>
      <c r="AQ44" s="2095"/>
      <c r="AR44" s="2095"/>
      <c r="AS44" s="2095"/>
      <c r="AT44" s="2095"/>
      <c r="AU44" s="2095"/>
      <c r="AV44" s="2095"/>
      <c r="AW44" s="2095"/>
      <c r="AX44" s="2095"/>
      <c r="AY44" s="2095"/>
      <c r="AZ44" s="2095"/>
      <c r="BA44" s="2093"/>
      <c r="BB44" s="2096"/>
    </row>
    <row r="45" s="2128" customFormat="true" ht="30" hidden="false" customHeight="true" outlineLevel="0" collapsed="false">
      <c r="A45" s="2092"/>
      <c r="B45" s="2093"/>
      <c r="C45" s="2094"/>
      <c r="D45" s="2095"/>
      <c r="E45" s="2095"/>
      <c r="F45" s="2095"/>
      <c r="G45" s="2095"/>
      <c r="H45" s="2095"/>
      <c r="I45" s="2095"/>
      <c r="J45" s="2095"/>
      <c r="K45" s="2095"/>
      <c r="L45" s="2095"/>
      <c r="M45" s="2095"/>
      <c r="N45" s="2095"/>
      <c r="O45" s="2095"/>
      <c r="P45" s="2093"/>
      <c r="Q45" s="2095"/>
      <c r="R45" s="2095"/>
      <c r="S45" s="2095"/>
      <c r="T45" s="2095"/>
      <c r="U45" s="2095"/>
      <c r="V45" s="2095"/>
      <c r="W45" s="2095"/>
      <c r="X45" s="2095"/>
      <c r="Y45" s="2095"/>
      <c r="Z45" s="2095"/>
      <c r="AA45" s="2095"/>
      <c r="AB45" s="2095"/>
      <c r="AC45" s="2095"/>
      <c r="AD45" s="2095"/>
      <c r="AE45" s="2095"/>
      <c r="AF45" s="2095"/>
      <c r="AG45" s="2095"/>
      <c r="AH45" s="2095"/>
      <c r="AI45" s="2095"/>
      <c r="AJ45" s="2095"/>
      <c r="AK45" s="2095"/>
      <c r="AL45" s="2095"/>
      <c r="AM45" s="2095"/>
      <c r="AN45" s="2095"/>
      <c r="AO45" s="2095"/>
      <c r="AP45" s="2095"/>
      <c r="AQ45" s="2095"/>
      <c r="AR45" s="2095"/>
      <c r="AS45" s="2095"/>
      <c r="AT45" s="2095"/>
      <c r="AU45" s="2095"/>
      <c r="AV45" s="2095"/>
      <c r="AW45" s="2095"/>
      <c r="AX45" s="2095"/>
      <c r="AY45" s="2095"/>
      <c r="AZ45" s="2095"/>
      <c r="BA45" s="2093"/>
      <c r="BB45" s="2096"/>
    </row>
    <row r="46" s="2128" customFormat="true" ht="30" hidden="false" customHeight="true" outlineLevel="0" collapsed="false">
      <c r="A46" s="2092"/>
      <c r="B46" s="2093"/>
      <c r="C46" s="2094"/>
      <c r="D46" s="2095"/>
      <c r="E46" s="2095"/>
      <c r="F46" s="2095"/>
      <c r="G46" s="2095"/>
      <c r="H46" s="2095"/>
      <c r="I46" s="2095"/>
      <c r="J46" s="2095"/>
      <c r="K46" s="2095"/>
      <c r="L46" s="2095"/>
      <c r="M46" s="2095"/>
      <c r="N46" s="2095"/>
      <c r="O46" s="2095"/>
      <c r="P46" s="2093"/>
      <c r="Q46" s="2095"/>
      <c r="R46" s="2095"/>
      <c r="S46" s="2095"/>
      <c r="T46" s="2095"/>
      <c r="U46" s="2095"/>
      <c r="V46" s="2095"/>
      <c r="W46" s="2095"/>
      <c r="X46" s="2095"/>
      <c r="Y46" s="2095"/>
      <c r="Z46" s="2095"/>
      <c r="AA46" s="2095"/>
      <c r="AB46" s="2095"/>
      <c r="AC46" s="2095"/>
      <c r="AD46" s="2095"/>
      <c r="AE46" s="2095"/>
      <c r="AF46" s="2095"/>
      <c r="AG46" s="2095"/>
      <c r="AH46" s="2095"/>
      <c r="AI46" s="2095"/>
      <c r="AJ46" s="2095"/>
      <c r="AK46" s="2095"/>
      <c r="AL46" s="2095"/>
      <c r="AM46" s="2095"/>
      <c r="AN46" s="2095"/>
      <c r="AO46" s="2095"/>
      <c r="AP46" s="2095"/>
      <c r="AQ46" s="2095"/>
      <c r="AR46" s="2095"/>
      <c r="AS46" s="2095"/>
      <c r="AT46" s="2095"/>
      <c r="AU46" s="2095"/>
      <c r="AV46" s="2095"/>
      <c r="AW46" s="2095"/>
      <c r="AX46" s="2095"/>
      <c r="AY46" s="2095"/>
      <c r="AZ46" s="2095"/>
      <c r="BA46" s="2093"/>
      <c r="BB46" s="2096"/>
    </row>
    <row r="47" s="2128" customFormat="true" ht="30" hidden="false" customHeight="true" outlineLevel="0" collapsed="false">
      <c r="A47" s="2092"/>
      <c r="B47" s="2093"/>
      <c r="C47" s="2094"/>
      <c r="D47" s="2095"/>
      <c r="E47" s="2095"/>
      <c r="F47" s="2095"/>
      <c r="G47" s="2095"/>
      <c r="H47" s="2095"/>
      <c r="I47" s="2095"/>
      <c r="J47" s="2095"/>
      <c r="K47" s="2095"/>
      <c r="L47" s="2095"/>
      <c r="M47" s="2095"/>
      <c r="N47" s="2095"/>
      <c r="O47" s="2095"/>
      <c r="P47" s="2093"/>
      <c r="Q47" s="2095"/>
      <c r="R47" s="2095"/>
      <c r="S47" s="2095"/>
      <c r="T47" s="2095"/>
      <c r="U47" s="2095"/>
      <c r="V47" s="2095"/>
      <c r="W47" s="2095"/>
      <c r="X47" s="2095"/>
      <c r="Y47" s="2095"/>
      <c r="Z47" s="2095"/>
      <c r="AA47" s="2095"/>
      <c r="AB47" s="2095"/>
      <c r="AC47" s="2095"/>
      <c r="AD47" s="2095"/>
      <c r="AE47" s="2095"/>
      <c r="AF47" s="2095"/>
      <c r="AG47" s="2095"/>
      <c r="AH47" s="2095"/>
      <c r="AI47" s="2095"/>
      <c r="AJ47" s="2095"/>
      <c r="AK47" s="2095"/>
      <c r="AL47" s="2095"/>
      <c r="AM47" s="2095"/>
      <c r="AN47" s="2095"/>
      <c r="AO47" s="2095"/>
      <c r="AP47" s="2095"/>
      <c r="AQ47" s="2095"/>
      <c r="AR47" s="2095"/>
      <c r="AS47" s="2095"/>
      <c r="AT47" s="2095"/>
      <c r="AU47" s="2095"/>
      <c r="AV47" s="2095"/>
      <c r="AW47" s="2095"/>
      <c r="AX47" s="2095"/>
      <c r="AY47" s="2095"/>
      <c r="AZ47" s="2095"/>
      <c r="BA47" s="2093"/>
      <c r="BB47" s="2096"/>
    </row>
    <row r="48" s="2128" customFormat="true" ht="30" hidden="false" customHeight="true" outlineLevel="0" collapsed="false">
      <c r="A48" s="2092"/>
      <c r="B48" s="2093"/>
      <c r="C48" s="2094"/>
      <c r="D48" s="2095"/>
      <c r="E48" s="2095"/>
      <c r="F48" s="2095"/>
      <c r="G48" s="2095"/>
      <c r="H48" s="2095"/>
      <c r="I48" s="2095"/>
      <c r="J48" s="2095"/>
      <c r="K48" s="2095"/>
      <c r="L48" s="2095"/>
      <c r="M48" s="2095"/>
      <c r="N48" s="2095"/>
      <c r="O48" s="2095"/>
      <c r="P48" s="2093"/>
      <c r="Q48" s="2095"/>
      <c r="R48" s="2095"/>
      <c r="S48" s="2095"/>
      <c r="T48" s="2095"/>
      <c r="U48" s="2095"/>
      <c r="V48" s="2095"/>
      <c r="W48" s="2095"/>
      <c r="X48" s="2095"/>
      <c r="Y48" s="2095"/>
      <c r="Z48" s="2095"/>
      <c r="AA48" s="2095"/>
      <c r="AB48" s="2095"/>
      <c r="AC48" s="2095"/>
      <c r="AD48" s="2095"/>
      <c r="AE48" s="2095"/>
      <c r="AF48" s="2095"/>
      <c r="AG48" s="2095"/>
      <c r="AH48" s="2095"/>
      <c r="AI48" s="2095"/>
      <c r="AJ48" s="2095"/>
      <c r="AK48" s="2095"/>
      <c r="AL48" s="2095"/>
      <c r="AM48" s="2095"/>
      <c r="AN48" s="2095"/>
      <c r="AO48" s="2095"/>
      <c r="AP48" s="2095"/>
      <c r="AQ48" s="2095"/>
      <c r="AR48" s="2095"/>
      <c r="AS48" s="2095"/>
      <c r="AT48" s="2095"/>
      <c r="AU48" s="2095"/>
      <c r="AV48" s="2095"/>
      <c r="AW48" s="2095"/>
      <c r="AX48" s="2095"/>
      <c r="AY48" s="2095"/>
      <c r="AZ48" s="2095"/>
      <c r="BA48" s="2093"/>
      <c r="BB48" s="2096"/>
    </row>
    <row r="49" s="2128" customFormat="true" ht="30" hidden="false" customHeight="true" outlineLevel="0" collapsed="false">
      <c r="A49" s="2092"/>
      <c r="B49" s="2093"/>
      <c r="C49" s="2094"/>
      <c r="D49" s="2095"/>
      <c r="E49" s="2095"/>
      <c r="F49" s="2095"/>
      <c r="G49" s="2095"/>
      <c r="H49" s="2095"/>
      <c r="I49" s="2095"/>
      <c r="J49" s="2095"/>
      <c r="K49" s="2095"/>
      <c r="L49" s="2095"/>
      <c r="M49" s="2095"/>
      <c r="N49" s="2095"/>
      <c r="O49" s="2095"/>
      <c r="P49" s="2093"/>
      <c r="Q49" s="2095"/>
      <c r="R49" s="2095"/>
      <c r="S49" s="2095"/>
      <c r="T49" s="2095"/>
      <c r="U49" s="2095"/>
      <c r="V49" s="2095"/>
      <c r="W49" s="2095"/>
      <c r="X49" s="2095"/>
      <c r="Y49" s="2095"/>
      <c r="Z49" s="2095"/>
      <c r="AA49" s="2095"/>
      <c r="AB49" s="2095"/>
      <c r="AC49" s="2095"/>
      <c r="AD49" s="2095"/>
      <c r="AE49" s="2095"/>
      <c r="AF49" s="2095"/>
      <c r="AG49" s="2095"/>
      <c r="AH49" s="2095"/>
      <c r="AI49" s="2095"/>
      <c r="AJ49" s="2095"/>
      <c r="AK49" s="2095"/>
      <c r="AL49" s="2095"/>
      <c r="AM49" s="2095"/>
      <c r="AN49" s="2095"/>
      <c r="AO49" s="2095"/>
      <c r="AP49" s="2095"/>
      <c r="AQ49" s="2095"/>
      <c r="AR49" s="2095"/>
      <c r="AS49" s="2095"/>
      <c r="AT49" s="2095"/>
      <c r="AU49" s="2095"/>
      <c r="AV49" s="2095"/>
      <c r="AW49" s="2095"/>
      <c r="AX49" s="2095"/>
      <c r="AY49" s="2095"/>
      <c r="AZ49" s="2095"/>
      <c r="BA49" s="2093"/>
      <c r="BB49" s="2096"/>
    </row>
    <row r="50" s="2128" customFormat="true" ht="30" hidden="false" customHeight="true" outlineLevel="0" collapsed="false">
      <c r="A50" s="2092"/>
      <c r="B50" s="2093"/>
      <c r="C50" s="2094"/>
      <c r="D50" s="2095"/>
      <c r="E50" s="2095"/>
      <c r="F50" s="2095"/>
      <c r="G50" s="2095"/>
      <c r="H50" s="2095"/>
      <c r="I50" s="2095"/>
      <c r="J50" s="2095"/>
      <c r="K50" s="2095"/>
      <c r="L50" s="2095"/>
      <c r="M50" s="2095"/>
      <c r="N50" s="2095"/>
      <c r="O50" s="2095"/>
      <c r="P50" s="2093"/>
      <c r="Q50" s="2095"/>
      <c r="R50" s="2095"/>
      <c r="S50" s="2095"/>
      <c r="T50" s="2095"/>
      <c r="U50" s="2095"/>
      <c r="V50" s="2095"/>
      <c r="W50" s="2095"/>
      <c r="X50" s="2095"/>
      <c r="Y50" s="2095"/>
      <c r="Z50" s="2095"/>
      <c r="AA50" s="2095"/>
      <c r="AB50" s="2095"/>
      <c r="AC50" s="2095"/>
      <c r="AD50" s="2095"/>
      <c r="AE50" s="2095"/>
      <c r="AF50" s="2095"/>
      <c r="AG50" s="2095"/>
      <c r="AH50" s="2095"/>
      <c r="AI50" s="2095"/>
      <c r="AJ50" s="2095"/>
      <c r="AK50" s="2095"/>
      <c r="AL50" s="2095"/>
      <c r="AM50" s="2095"/>
      <c r="AN50" s="2095"/>
      <c r="AO50" s="2095"/>
      <c r="AP50" s="2095"/>
      <c r="AQ50" s="2095"/>
      <c r="AR50" s="2095"/>
      <c r="AS50" s="2095"/>
      <c r="AT50" s="2095"/>
      <c r="AU50" s="2095"/>
      <c r="AV50" s="2095"/>
      <c r="AW50" s="2095"/>
      <c r="AX50" s="2095"/>
      <c r="AY50" s="2095"/>
      <c r="AZ50" s="2095"/>
      <c r="BA50" s="2093"/>
      <c r="BB50" s="2096"/>
    </row>
    <row r="51" s="2128" customFormat="true" ht="30" hidden="false" customHeight="true" outlineLevel="0" collapsed="false">
      <c r="A51" s="2092"/>
      <c r="B51" s="2093"/>
      <c r="C51" s="2094"/>
      <c r="D51" s="2095"/>
      <c r="E51" s="2095"/>
      <c r="F51" s="2095"/>
      <c r="G51" s="2095"/>
      <c r="H51" s="2095"/>
      <c r="I51" s="2095"/>
      <c r="J51" s="2095"/>
      <c r="K51" s="2095"/>
      <c r="L51" s="2095"/>
      <c r="M51" s="2095"/>
      <c r="N51" s="2095"/>
      <c r="O51" s="2095"/>
      <c r="P51" s="2093"/>
      <c r="Q51" s="2095"/>
      <c r="R51" s="2095"/>
      <c r="S51" s="2095"/>
      <c r="T51" s="2095"/>
      <c r="U51" s="2095"/>
      <c r="V51" s="2095"/>
      <c r="W51" s="2095"/>
      <c r="X51" s="2095"/>
      <c r="Y51" s="2095"/>
      <c r="Z51" s="2095"/>
      <c r="AA51" s="2095"/>
      <c r="AB51" s="2095"/>
      <c r="AC51" s="2095"/>
      <c r="AD51" s="2095"/>
      <c r="AE51" s="2095"/>
      <c r="AF51" s="2095"/>
      <c r="AG51" s="2095"/>
      <c r="AH51" s="2095"/>
      <c r="AI51" s="2095"/>
      <c r="AJ51" s="2095"/>
      <c r="AK51" s="2095"/>
      <c r="AL51" s="2095"/>
      <c r="AM51" s="2095"/>
      <c r="AN51" s="2095"/>
      <c r="AO51" s="2095"/>
      <c r="AP51" s="2095"/>
      <c r="AQ51" s="2095"/>
      <c r="AR51" s="2095"/>
      <c r="AS51" s="2095"/>
      <c r="AT51" s="2095"/>
      <c r="AU51" s="2095"/>
      <c r="AV51" s="2095"/>
      <c r="AW51" s="2095"/>
      <c r="AX51" s="2095"/>
      <c r="AY51" s="2095"/>
      <c r="AZ51" s="2095"/>
      <c r="BA51" s="2093"/>
      <c r="BB51" s="2096"/>
    </row>
    <row r="52" s="2128" customFormat="true" ht="30" hidden="false" customHeight="true" outlineLevel="0" collapsed="false">
      <c r="A52" s="2092"/>
      <c r="B52" s="2093"/>
      <c r="C52" s="2094"/>
      <c r="D52" s="2095"/>
      <c r="E52" s="2095"/>
      <c r="F52" s="2095"/>
      <c r="G52" s="2095"/>
      <c r="H52" s="2095"/>
      <c r="I52" s="2095"/>
      <c r="J52" s="2095"/>
      <c r="K52" s="2095"/>
      <c r="L52" s="2095"/>
      <c r="M52" s="2095"/>
      <c r="N52" s="2095"/>
      <c r="O52" s="2095"/>
      <c r="P52" s="2093"/>
      <c r="Q52" s="2095"/>
      <c r="R52" s="2095"/>
      <c r="S52" s="2095"/>
      <c r="T52" s="2095"/>
      <c r="U52" s="2095"/>
      <c r="V52" s="2095"/>
      <c r="W52" s="2095"/>
      <c r="X52" s="2095"/>
      <c r="Y52" s="2095"/>
      <c r="Z52" s="2095"/>
      <c r="AA52" s="2095"/>
      <c r="AB52" s="2095"/>
      <c r="AC52" s="2095"/>
      <c r="AD52" s="2095"/>
      <c r="AE52" s="2095"/>
      <c r="AF52" s="2095"/>
      <c r="AG52" s="2095"/>
      <c r="AH52" s="2095"/>
      <c r="AI52" s="2095"/>
      <c r="AJ52" s="2095"/>
      <c r="AK52" s="2095"/>
      <c r="AL52" s="2095"/>
      <c r="AM52" s="2095"/>
      <c r="AN52" s="2095"/>
      <c r="AO52" s="2095"/>
      <c r="AP52" s="2095"/>
      <c r="AQ52" s="2095"/>
      <c r="AR52" s="2095"/>
      <c r="AS52" s="2095"/>
      <c r="AT52" s="2095"/>
      <c r="AU52" s="2095"/>
      <c r="AV52" s="2095"/>
      <c r="AW52" s="2095"/>
      <c r="AX52" s="2095"/>
      <c r="AY52" s="2095"/>
      <c r="AZ52" s="2095"/>
      <c r="BA52" s="2093"/>
      <c r="BB52" s="2096"/>
    </row>
    <row r="53" s="2128" customFormat="true" ht="30" hidden="false" customHeight="true" outlineLevel="0" collapsed="false">
      <c r="A53" s="2092"/>
      <c r="B53" s="2093"/>
      <c r="C53" s="2094"/>
      <c r="D53" s="2095"/>
      <c r="E53" s="2095"/>
      <c r="F53" s="2095"/>
      <c r="G53" s="2095"/>
      <c r="H53" s="2095"/>
      <c r="I53" s="2095"/>
      <c r="J53" s="2095"/>
      <c r="K53" s="2095"/>
      <c r="L53" s="2095"/>
      <c r="M53" s="2095"/>
      <c r="N53" s="2095"/>
      <c r="O53" s="2095"/>
      <c r="P53" s="2093"/>
      <c r="Q53" s="2095"/>
      <c r="R53" s="2095"/>
      <c r="S53" s="2095"/>
      <c r="T53" s="2095"/>
      <c r="U53" s="2095"/>
      <c r="V53" s="2095"/>
      <c r="W53" s="2095"/>
      <c r="X53" s="2095"/>
      <c r="Y53" s="2095"/>
      <c r="Z53" s="2095"/>
      <c r="AA53" s="2095"/>
      <c r="AB53" s="2095"/>
      <c r="AC53" s="2095"/>
      <c r="AD53" s="2095"/>
      <c r="AE53" s="2095"/>
      <c r="AF53" s="2095"/>
      <c r="AG53" s="2095"/>
      <c r="AH53" s="2095"/>
      <c r="AI53" s="2095"/>
      <c r="AJ53" s="2095"/>
      <c r="AK53" s="2095"/>
      <c r="AL53" s="2095"/>
      <c r="AM53" s="2095"/>
      <c r="AN53" s="2095"/>
      <c r="AO53" s="2095"/>
      <c r="AP53" s="2095"/>
      <c r="AQ53" s="2095"/>
      <c r="AR53" s="2095"/>
      <c r="AS53" s="2095"/>
      <c r="AT53" s="2095"/>
      <c r="AU53" s="2095"/>
      <c r="AV53" s="2095"/>
      <c r="AW53" s="2095"/>
      <c r="AX53" s="2095"/>
      <c r="AY53" s="2095"/>
      <c r="AZ53" s="2095"/>
      <c r="BA53" s="2093"/>
      <c r="BB53" s="2096"/>
    </row>
    <row r="54" s="2128" customFormat="true" ht="30" hidden="false" customHeight="true" outlineLevel="0" collapsed="false">
      <c r="A54" s="2092"/>
      <c r="B54" s="2093"/>
      <c r="C54" s="2094"/>
      <c r="D54" s="2095"/>
      <c r="E54" s="2095"/>
      <c r="F54" s="2095"/>
      <c r="G54" s="2095"/>
      <c r="H54" s="2095"/>
      <c r="I54" s="2095"/>
      <c r="J54" s="2095"/>
      <c r="K54" s="2095"/>
      <c r="L54" s="2095"/>
      <c r="M54" s="2095"/>
      <c r="N54" s="2095"/>
      <c r="O54" s="2095"/>
      <c r="P54" s="2093"/>
      <c r="Q54" s="2095"/>
      <c r="R54" s="2095"/>
      <c r="S54" s="2095"/>
      <c r="T54" s="2095"/>
      <c r="U54" s="2095"/>
      <c r="V54" s="2095"/>
      <c r="W54" s="2095"/>
      <c r="X54" s="2095"/>
      <c r="Y54" s="2095"/>
      <c r="Z54" s="2095"/>
      <c r="AA54" s="2095"/>
      <c r="AB54" s="2095"/>
      <c r="AC54" s="2095"/>
      <c r="AD54" s="2095"/>
      <c r="AE54" s="2095"/>
      <c r="AF54" s="2095"/>
      <c r="AG54" s="2095"/>
      <c r="AH54" s="2095"/>
      <c r="AI54" s="2095"/>
      <c r="AJ54" s="2095"/>
      <c r="AK54" s="2095"/>
      <c r="AL54" s="2095"/>
      <c r="AM54" s="2095"/>
      <c r="AN54" s="2095"/>
      <c r="AO54" s="2095"/>
      <c r="AP54" s="2095"/>
      <c r="AQ54" s="2095"/>
      <c r="AR54" s="2095"/>
      <c r="AS54" s="2095"/>
      <c r="AT54" s="2095"/>
      <c r="AU54" s="2095"/>
      <c r="AV54" s="2095"/>
      <c r="AW54" s="2095"/>
      <c r="AX54" s="2095"/>
      <c r="AY54" s="2095"/>
      <c r="AZ54" s="2095"/>
      <c r="BA54" s="2093"/>
      <c r="BB54" s="2096"/>
    </row>
    <row r="55" s="2128" customFormat="true" ht="30" hidden="false" customHeight="true" outlineLevel="0" collapsed="false">
      <c r="A55" s="2092"/>
      <c r="B55" s="2093"/>
      <c r="C55" s="2094"/>
      <c r="D55" s="2095"/>
      <c r="E55" s="2095"/>
      <c r="F55" s="2095"/>
      <c r="G55" s="2095"/>
      <c r="H55" s="2095"/>
      <c r="I55" s="2095"/>
      <c r="J55" s="2095"/>
      <c r="K55" s="2095"/>
      <c r="L55" s="2095"/>
      <c r="M55" s="2095"/>
      <c r="N55" s="2095"/>
      <c r="O55" s="2095"/>
      <c r="P55" s="2093"/>
      <c r="Q55" s="2095"/>
      <c r="R55" s="2095"/>
      <c r="S55" s="2095"/>
      <c r="T55" s="2095"/>
      <c r="U55" s="2095"/>
      <c r="V55" s="2095"/>
      <c r="W55" s="2095"/>
      <c r="X55" s="2095"/>
      <c r="Y55" s="2095"/>
      <c r="Z55" s="2095"/>
      <c r="AA55" s="2095"/>
      <c r="AB55" s="2095"/>
      <c r="AC55" s="2095"/>
      <c r="AD55" s="2095"/>
      <c r="AE55" s="2095"/>
      <c r="AF55" s="2095"/>
      <c r="AG55" s="2095"/>
      <c r="AH55" s="2095"/>
      <c r="AI55" s="2095"/>
      <c r="AJ55" s="2095"/>
      <c r="AK55" s="2095"/>
      <c r="AL55" s="2095"/>
      <c r="AM55" s="2095"/>
      <c r="AN55" s="2095"/>
      <c r="AO55" s="2095"/>
      <c r="AP55" s="2095"/>
      <c r="AQ55" s="2095"/>
      <c r="AR55" s="2095"/>
      <c r="AS55" s="2095"/>
      <c r="AT55" s="2095"/>
      <c r="AU55" s="2095"/>
      <c r="AV55" s="2095"/>
      <c r="AW55" s="2095"/>
      <c r="AX55" s="2095"/>
      <c r="AY55" s="2095"/>
      <c r="AZ55" s="2095"/>
      <c r="BA55" s="2093"/>
      <c r="BB55" s="2096"/>
    </row>
    <row r="56" s="2128" customFormat="true" ht="30" hidden="false" customHeight="true" outlineLevel="0" collapsed="false">
      <c r="A56" s="2092"/>
      <c r="B56" s="2093"/>
      <c r="C56" s="2094"/>
      <c r="D56" s="2095"/>
      <c r="E56" s="2095"/>
      <c r="F56" s="2095"/>
      <c r="G56" s="2095"/>
      <c r="H56" s="2095"/>
      <c r="I56" s="2095"/>
      <c r="J56" s="2095"/>
      <c r="K56" s="2095"/>
      <c r="L56" s="2095"/>
      <c r="M56" s="2095"/>
      <c r="N56" s="2095"/>
      <c r="O56" s="2095"/>
      <c r="P56" s="2093"/>
      <c r="Q56" s="2095"/>
      <c r="R56" s="2095"/>
      <c r="S56" s="2095"/>
      <c r="T56" s="2095"/>
      <c r="U56" s="2095"/>
      <c r="V56" s="2095"/>
      <c r="W56" s="2095"/>
      <c r="X56" s="2095"/>
      <c r="Y56" s="2095"/>
      <c r="Z56" s="2095"/>
      <c r="AA56" s="2095"/>
      <c r="AB56" s="2095"/>
      <c r="AC56" s="2095"/>
      <c r="AD56" s="2095"/>
      <c r="AE56" s="2095"/>
      <c r="AF56" s="2095"/>
      <c r="AG56" s="2095"/>
      <c r="AH56" s="2095"/>
      <c r="AI56" s="2095"/>
      <c r="AJ56" s="2095"/>
      <c r="AK56" s="2095"/>
      <c r="AL56" s="2095"/>
      <c r="AM56" s="2095"/>
      <c r="AN56" s="2095"/>
      <c r="AO56" s="2095"/>
      <c r="AP56" s="2095"/>
      <c r="AQ56" s="2095"/>
      <c r="AR56" s="2095"/>
      <c r="AS56" s="2095"/>
      <c r="AT56" s="2095"/>
      <c r="AU56" s="2095"/>
      <c r="AV56" s="2095"/>
      <c r="AW56" s="2095"/>
      <c r="AX56" s="2095"/>
      <c r="AY56" s="2095"/>
      <c r="AZ56" s="2095"/>
      <c r="BA56" s="2093"/>
      <c r="BB56" s="2096"/>
    </row>
    <row r="57" s="2128" customFormat="true" ht="30" hidden="false" customHeight="true" outlineLevel="0" collapsed="false">
      <c r="A57" s="2092"/>
      <c r="B57" s="2093"/>
      <c r="C57" s="2094"/>
      <c r="D57" s="2095"/>
      <c r="E57" s="2095"/>
      <c r="F57" s="2095"/>
      <c r="G57" s="2095"/>
      <c r="H57" s="2095"/>
      <c r="I57" s="2095"/>
      <c r="J57" s="2095"/>
      <c r="K57" s="2095"/>
      <c r="L57" s="2095"/>
      <c r="M57" s="2095"/>
      <c r="N57" s="2095"/>
      <c r="O57" s="2095"/>
      <c r="P57" s="2093"/>
      <c r="Q57" s="2095"/>
      <c r="R57" s="2095"/>
      <c r="S57" s="2095"/>
      <c r="T57" s="2095"/>
      <c r="U57" s="2095"/>
      <c r="V57" s="2095"/>
      <c r="W57" s="2095"/>
      <c r="X57" s="2095"/>
      <c r="Y57" s="2095"/>
      <c r="Z57" s="2095"/>
      <c r="AA57" s="2095"/>
      <c r="AB57" s="2095"/>
      <c r="AC57" s="2095"/>
      <c r="AD57" s="2095"/>
      <c r="AE57" s="2095"/>
      <c r="AF57" s="2095"/>
      <c r="AG57" s="2095"/>
      <c r="AH57" s="2095"/>
      <c r="AI57" s="2095"/>
      <c r="AJ57" s="2095"/>
      <c r="AK57" s="2095"/>
      <c r="AL57" s="2095"/>
      <c r="AM57" s="2095"/>
      <c r="AN57" s="2095"/>
      <c r="AO57" s="2095"/>
      <c r="AP57" s="2095"/>
      <c r="AQ57" s="2095"/>
      <c r="AR57" s="2095"/>
      <c r="AS57" s="2095"/>
      <c r="AT57" s="2095"/>
      <c r="AU57" s="2095"/>
      <c r="AV57" s="2095"/>
      <c r="AW57" s="2095"/>
      <c r="AX57" s="2095"/>
      <c r="AY57" s="2095"/>
      <c r="AZ57" s="2095"/>
      <c r="BA57" s="2093"/>
      <c r="BB57" s="2096"/>
    </row>
    <row r="58" s="2128" customFormat="true" ht="30" hidden="false" customHeight="true" outlineLevel="0" collapsed="false">
      <c r="A58" s="2092"/>
      <c r="B58" s="2093"/>
      <c r="C58" s="2094"/>
      <c r="D58" s="2095"/>
      <c r="E58" s="2095"/>
      <c r="F58" s="2095"/>
      <c r="G58" s="2095"/>
      <c r="H58" s="2095"/>
      <c r="I58" s="2095"/>
      <c r="J58" s="2095"/>
      <c r="K58" s="2095"/>
      <c r="L58" s="2095"/>
      <c r="M58" s="2095"/>
      <c r="N58" s="2095"/>
      <c r="O58" s="2095"/>
      <c r="P58" s="2093"/>
      <c r="Q58" s="2095"/>
      <c r="R58" s="2095"/>
      <c r="S58" s="2095"/>
      <c r="T58" s="2095"/>
      <c r="U58" s="2095"/>
      <c r="V58" s="2095"/>
      <c r="W58" s="2095"/>
      <c r="X58" s="2095"/>
      <c r="Y58" s="2095"/>
      <c r="Z58" s="2095"/>
      <c r="AA58" s="2095"/>
      <c r="AB58" s="2095"/>
      <c r="AC58" s="2095"/>
      <c r="AD58" s="2095"/>
      <c r="AE58" s="2095"/>
      <c r="AF58" s="2095"/>
      <c r="AG58" s="2095"/>
      <c r="AH58" s="2095"/>
      <c r="AI58" s="2095"/>
      <c r="AJ58" s="2095"/>
      <c r="AK58" s="2095"/>
      <c r="AL58" s="2095"/>
      <c r="AM58" s="2095"/>
      <c r="AN58" s="2095"/>
      <c r="AO58" s="2095"/>
      <c r="AP58" s="2095"/>
      <c r="AQ58" s="2095"/>
      <c r="AR58" s="2095"/>
      <c r="AS58" s="2095"/>
      <c r="AT58" s="2095"/>
      <c r="AU58" s="2095"/>
      <c r="AV58" s="2095"/>
      <c r="AW58" s="2095"/>
      <c r="AX58" s="2095"/>
      <c r="AY58" s="2095"/>
      <c r="AZ58" s="2095"/>
      <c r="BA58" s="2093"/>
      <c r="BB58" s="2096"/>
    </row>
    <row r="59" s="2128" customFormat="true" ht="30" hidden="false" customHeight="true" outlineLevel="0" collapsed="false">
      <c r="A59" s="2092"/>
      <c r="B59" s="2093"/>
      <c r="C59" s="2094"/>
      <c r="D59" s="2095"/>
      <c r="E59" s="2095"/>
      <c r="F59" s="2095"/>
      <c r="G59" s="2095"/>
      <c r="H59" s="2095"/>
      <c r="I59" s="2095"/>
      <c r="J59" s="2095"/>
      <c r="K59" s="2095"/>
      <c r="L59" s="2095"/>
      <c r="M59" s="2095"/>
      <c r="N59" s="2095"/>
      <c r="O59" s="2095"/>
      <c r="P59" s="2093"/>
      <c r="Q59" s="2095"/>
      <c r="R59" s="2095"/>
      <c r="S59" s="2095"/>
      <c r="T59" s="2095"/>
      <c r="U59" s="2095"/>
      <c r="V59" s="2095"/>
      <c r="W59" s="2095"/>
      <c r="X59" s="2095"/>
      <c r="Y59" s="2095"/>
      <c r="Z59" s="2095"/>
      <c r="AA59" s="2095"/>
      <c r="AB59" s="2095"/>
      <c r="AC59" s="2095"/>
      <c r="AD59" s="2095"/>
      <c r="AE59" s="2095"/>
      <c r="AF59" s="2095"/>
      <c r="AG59" s="2095"/>
      <c r="AH59" s="2095"/>
      <c r="AI59" s="2095"/>
      <c r="AJ59" s="2095"/>
      <c r="AK59" s="2095"/>
      <c r="AL59" s="2095"/>
      <c r="AM59" s="2095"/>
      <c r="AN59" s="2095"/>
      <c r="AO59" s="2095"/>
      <c r="AP59" s="2095"/>
      <c r="AQ59" s="2095"/>
      <c r="AR59" s="2095"/>
      <c r="AS59" s="2095"/>
      <c r="AT59" s="2095"/>
      <c r="AU59" s="2095"/>
      <c r="AV59" s="2095"/>
      <c r="AW59" s="2095"/>
      <c r="AX59" s="2095"/>
      <c r="AY59" s="2095"/>
      <c r="AZ59" s="2095"/>
      <c r="BA59" s="2093"/>
      <c r="BB59" s="2096"/>
    </row>
    <row r="60" s="2128" customFormat="true" ht="30" hidden="false" customHeight="true" outlineLevel="0" collapsed="false">
      <c r="A60" s="2092"/>
      <c r="B60" s="2093"/>
      <c r="C60" s="2094"/>
      <c r="D60" s="2095"/>
      <c r="E60" s="2095"/>
      <c r="F60" s="2095"/>
      <c r="G60" s="2095"/>
      <c r="H60" s="2095"/>
      <c r="I60" s="2095"/>
      <c r="J60" s="2095"/>
      <c r="K60" s="2095"/>
      <c r="L60" s="2095"/>
      <c r="M60" s="2095"/>
      <c r="N60" s="2095"/>
      <c r="O60" s="2095"/>
      <c r="P60" s="2093"/>
      <c r="Q60" s="2095"/>
      <c r="R60" s="2095"/>
      <c r="S60" s="2095"/>
      <c r="T60" s="2095"/>
      <c r="U60" s="2095"/>
      <c r="V60" s="2095"/>
      <c r="W60" s="2095"/>
      <c r="X60" s="2095"/>
      <c r="Y60" s="2095"/>
      <c r="Z60" s="2095"/>
      <c r="AA60" s="2095"/>
      <c r="AB60" s="2095"/>
      <c r="AC60" s="2095"/>
      <c r="AD60" s="2095"/>
      <c r="AE60" s="2095"/>
      <c r="AF60" s="2095"/>
      <c r="AG60" s="2095"/>
      <c r="AH60" s="2095"/>
      <c r="AI60" s="2095"/>
      <c r="AJ60" s="2095"/>
      <c r="AK60" s="2095"/>
      <c r="AL60" s="2095"/>
      <c r="AM60" s="2095"/>
      <c r="AN60" s="2095"/>
      <c r="AO60" s="2095"/>
      <c r="AP60" s="2095"/>
      <c r="AQ60" s="2095"/>
      <c r="AR60" s="2095"/>
      <c r="AS60" s="2095"/>
      <c r="AT60" s="2095"/>
      <c r="AU60" s="2095"/>
      <c r="AV60" s="2095"/>
      <c r="AW60" s="2095"/>
      <c r="AX60" s="2095"/>
      <c r="AY60" s="2095"/>
      <c r="AZ60" s="2095"/>
      <c r="BA60" s="2093"/>
      <c r="BB60" s="2096"/>
    </row>
    <row r="61" s="2128" customFormat="true" ht="30" hidden="false" customHeight="true" outlineLevel="0" collapsed="false">
      <c r="A61" s="2092"/>
      <c r="B61" s="2093"/>
      <c r="C61" s="2094"/>
      <c r="D61" s="2095"/>
      <c r="E61" s="2095"/>
      <c r="F61" s="2095"/>
      <c r="G61" s="2095"/>
      <c r="H61" s="2095"/>
      <c r="I61" s="2095"/>
      <c r="J61" s="2095"/>
      <c r="K61" s="2095"/>
      <c r="L61" s="2095"/>
      <c r="M61" s="2095"/>
      <c r="N61" s="2095"/>
      <c r="O61" s="2095"/>
      <c r="P61" s="2093"/>
      <c r="Q61" s="2095"/>
      <c r="R61" s="2095"/>
      <c r="S61" s="2095"/>
      <c r="T61" s="2095"/>
      <c r="U61" s="2095"/>
      <c r="V61" s="2095"/>
      <c r="W61" s="2095"/>
      <c r="X61" s="2095"/>
      <c r="Y61" s="2095"/>
      <c r="Z61" s="2095"/>
      <c r="AA61" s="2095"/>
      <c r="AB61" s="2095"/>
      <c r="AC61" s="2095"/>
      <c r="AD61" s="2095"/>
      <c r="AE61" s="2095"/>
      <c r="AF61" s="2095"/>
      <c r="AG61" s="2095"/>
      <c r="AH61" s="2095"/>
      <c r="AI61" s="2095"/>
      <c r="AJ61" s="2095"/>
      <c r="AK61" s="2095"/>
      <c r="AL61" s="2095"/>
      <c r="AM61" s="2095"/>
      <c r="AN61" s="2095"/>
      <c r="AO61" s="2095"/>
      <c r="AP61" s="2095"/>
      <c r="AQ61" s="2095"/>
      <c r="AR61" s="2095"/>
      <c r="AS61" s="2095"/>
      <c r="AT61" s="2095"/>
      <c r="AU61" s="2095"/>
      <c r="AV61" s="2095"/>
      <c r="AW61" s="2095"/>
      <c r="AX61" s="2095"/>
      <c r="AY61" s="2095"/>
      <c r="AZ61" s="2095"/>
      <c r="BA61" s="2093"/>
      <c r="BB61" s="2096"/>
    </row>
    <row r="62" s="2128" customFormat="true" ht="30" hidden="false" customHeight="true" outlineLevel="0" collapsed="false">
      <c r="A62" s="2092"/>
      <c r="B62" s="2093"/>
      <c r="C62" s="2094"/>
      <c r="D62" s="2095"/>
      <c r="E62" s="2095"/>
      <c r="F62" s="2095"/>
      <c r="G62" s="2095"/>
      <c r="H62" s="2095"/>
      <c r="I62" s="2095"/>
      <c r="J62" s="2095"/>
      <c r="K62" s="2095"/>
      <c r="L62" s="2095"/>
      <c r="M62" s="2095"/>
      <c r="N62" s="2095"/>
      <c r="O62" s="2095"/>
      <c r="P62" s="2093"/>
      <c r="Q62" s="2095"/>
      <c r="R62" s="2095"/>
      <c r="S62" s="2095"/>
      <c r="T62" s="2095"/>
      <c r="U62" s="2095"/>
      <c r="V62" s="2095"/>
      <c r="W62" s="2095"/>
      <c r="X62" s="2095"/>
      <c r="Y62" s="2095"/>
      <c r="Z62" s="2095"/>
      <c r="AA62" s="2095"/>
      <c r="AB62" s="2095"/>
      <c r="AC62" s="2095"/>
      <c r="AD62" s="2095"/>
      <c r="AE62" s="2095"/>
      <c r="AF62" s="2095"/>
      <c r="AG62" s="2095"/>
      <c r="AH62" s="2095"/>
      <c r="AI62" s="2095"/>
      <c r="AJ62" s="2095"/>
      <c r="AK62" s="2095"/>
      <c r="AL62" s="2095"/>
      <c r="AM62" s="2095"/>
      <c r="AN62" s="2095"/>
      <c r="AO62" s="2095"/>
      <c r="AP62" s="2095"/>
      <c r="AQ62" s="2095"/>
      <c r="AR62" s="2095"/>
      <c r="AS62" s="2095"/>
      <c r="AT62" s="2095"/>
      <c r="AU62" s="2095"/>
      <c r="AV62" s="2095"/>
      <c r="AW62" s="2095"/>
      <c r="AX62" s="2095"/>
      <c r="AY62" s="2095"/>
      <c r="AZ62" s="2095"/>
      <c r="BA62" s="2093"/>
      <c r="BB62" s="2096"/>
    </row>
    <row r="63" s="2128" customFormat="true" ht="30" hidden="false" customHeight="true" outlineLevel="0" collapsed="false">
      <c r="A63" s="2092"/>
      <c r="B63" s="2093"/>
      <c r="C63" s="2094"/>
      <c r="D63" s="2095"/>
      <c r="E63" s="2095"/>
      <c r="F63" s="2095"/>
      <c r="G63" s="2095"/>
      <c r="H63" s="2095"/>
      <c r="I63" s="2095"/>
      <c r="J63" s="2095"/>
      <c r="K63" s="2095"/>
      <c r="L63" s="2095"/>
      <c r="M63" s="2095"/>
      <c r="N63" s="2095"/>
      <c r="O63" s="2095"/>
      <c r="P63" s="2093"/>
      <c r="Q63" s="2095"/>
      <c r="R63" s="2095"/>
      <c r="S63" s="2095"/>
      <c r="T63" s="2095"/>
      <c r="U63" s="2095"/>
      <c r="V63" s="2095"/>
      <c r="W63" s="2095"/>
      <c r="X63" s="2095"/>
      <c r="Y63" s="2095"/>
      <c r="Z63" s="2095"/>
      <c r="AA63" s="2095"/>
      <c r="AB63" s="2095"/>
      <c r="AC63" s="2095"/>
      <c r="AD63" s="2095"/>
      <c r="AE63" s="2095"/>
      <c r="AF63" s="2095"/>
      <c r="AG63" s="2095"/>
      <c r="AH63" s="2095"/>
      <c r="AI63" s="2095"/>
      <c r="AJ63" s="2095"/>
      <c r="AK63" s="2095"/>
      <c r="AL63" s="2095"/>
      <c r="AM63" s="2095"/>
      <c r="AN63" s="2095"/>
      <c r="AO63" s="2095"/>
      <c r="AP63" s="2095"/>
      <c r="AQ63" s="2095"/>
      <c r="AR63" s="2095"/>
      <c r="AS63" s="2095"/>
      <c r="AT63" s="2095"/>
      <c r="AU63" s="2095"/>
      <c r="AV63" s="2095"/>
      <c r="AW63" s="2095"/>
      <c r="AX63" s="2095"/>
      <c r="AY63" s="2095"/>
      <c r="AZ63" s="2095"/>
      <c r="BA63" s="2093"/>
      <c r="BB63" s="2096"/>
    </row>
    <row r="64" s="2128" customFormat="true" ht="30" hidden="false" customHeight="true" outlineLevel="0" collapsed="false">
      <c r="A64" s="2092"/>
      <c r="B64" s="2093"/>
      <c r="C64" s="2094"/>
      <c r="D64" s="2095"/>
      <c r="E64" s="2095"/>
      <c r="F64" s="2095"/>
      <c r="G64" s="2095"/>
      <c r="H64" s="2095"/>
      <c r="I64" s="2095"/>
      <c r="J64" s="2095"/>
      <c r="K64" s="2095"/>
      <c r="L64" s="2095"/>
      <c r="M64" s="2095"/>
      <c r="N64" s="2095"/>
      <c r="O64" s="2095"/>
      <c r="P64" s="2093"/>
      <c r="Q64" s="2095"/>
      <c r="R64" s="2095"/>
      <c r="S64" s="2095"/>
      <c r="T64" s="2095"/>
      <c r="U64" s="2095"/>
      <c r="V64" s="2095"/>
      <c r="W64" s="2095"/>
      <c r="X64" s="2095"/>
      <c r="Y64" s="2095"/>
      <c r="Z64" s="2095"/>
      <c r="AA64" s="2095"/>
      <c r="AB64" s="2095"/>
      <c r="AC64" s="2095"/>
      <c r="AD64" s="2095"/>
      <c r="AE64" s="2095"/>
      <c r="AF64" s="2095"/>
      <c r="AG64" s="2095"/>
      <c r="AH64" s="2095"/>
      <c r="AI64" s="2095"/>
      <c r="AJ64" s="2095"/>
      <c r="AK64" s="2095"/>
      <c r="AL64" s="2095"/>
      <c r="AM64" s="2095"/>
      <c r="AN64" s="2095"/>
      <c r="AO64" s="2095"/>
      <c r="AP64" s="2095"/>
      <c r="AQ64" s="2095"/>
      <c r="AR64" s="2095"/>
      <c r="AS64" s="2095"/>
      <c r="AT64" s="2095"/>
      <c r="AU64" s="2095"/>
      <c r="AV64" s="2095"/>
      <c r="AW64" s="2095"/>
      <c r="AX64" s="2095"/>
      <c r="AY64" s="2095"/>
      <c r="AZ64" s="2095"/>
      <c r="BA64" s="2093"/>
      <c r="BB64" s="2096"/>
    </row>
    <row r="65" s="2128" customFormat="true" ht="30" hidden="false" customHeight="true" outlineLevel="0" collapsed="false">
      <c r="A65" s="2092"/>
      <c r="B65" s="2093"/>
      <c r="C65" s="2094"/>
      <c r="D65" s="2095"/>
      <c r="E65" s="2095"/>
      <c r="F65" s="2095"/>
      <c r="G65" s="2095"/>
      <c r="H65" s="2095"/>
      <c r="I65" s="2095"/>
      <c r="J65" s="2095"/>
      <c r="K65" s="2095"/>
      <c r="L65" s="2095"/>
      <c r="M65" s="2095"/>
      <c r="N65" s="2095"/>
      <c r="O65" s="2095"/>
      <c r="P65" s="2093"/>
      <c r="Q65" s="2095"/>
      <c r="R65" s="2095"/>
      <c r="S65" s="2095"/>
      <c r="T65" s="2095"/>
      <c r="U65" s="2095"/>
      <c r="V65" s="2095"/>
      <c r="W65" s="2095"/>
      <c r="X65" s="2095"/>
      <c r="Y65" s="2095"/>
      <c r="Z65" s="2095"/>
      <c r="AA65" s="2095"/>
      <c r="AB65" s="2095"/>
      <c r="AC65" s="2095"/>
      <c r="AD65" s="2095"/>
      <c r="AE65" s="2095"/>
      <c r="AF65" s="2095"/>
      <c r="AG65" s="2095"/>
      <c r="AH65" s="2095"/>
      <c r="AI65" s="2095"/>
      <c r="AJ65" s="2095"/>
      <c r="AK65" s="2095"/>
      <c r="AL65" s="2095"/>
      <c r="AM65" s="2095"/>
      <c r="AN65" s="2095"/>
      <c r="AO65" s="2095"/>
      <c r="AP65" s="2095"/>
      <c r="AQ65" s="2095"/>
      <c r="AR65" s="2095"/>
      <c r="AS65" s="2095"/>
      <c r="AT65" s="2095"/>
      <c r="AU65" s="2095"/>
      <c r="AV65" s="2095"/>
      <c r="AW65" s="2095"/>
      <c r="AX65" s="2095"/>
      <c r="AY65" s="2095"/>
      <c r="AZ65" s="2095"/>
      <c r="BA65" s="2093"/>
      <c r="BB65" s="2096"/>
    </row>
    <row r="66" s="2128" customFormat="true" ht="30" hidden="false" customHeight="true" outlineLevel="0" collapsed="false">
      <c r="A66" s="2092"/>
      <c r="B66" s="2093"/>
      <c r="C66" s="2094"/>
      <c r="D66" s="2095"/>
      <c r="E66" s="2095"/>
      <c r="F66" s="2095"/>
      <c r="G66" s="2095"/>
      <c r="H66" s="2095"/>
      <c r="I66" s="2095"/>
      <c r="J66" s="2095"/>
      <c r="K66" s="2095"/>
      <c r="L66" s="2095"/>
      <c r="M66" s="2095"/>
      <c r="N66" s="2095"/>
      <c r="O66" s="2095"/>
      <c r="P66" s="2093"/>
      <c r="Q66" s="2095"/>
      <c r="R66" s="2095"/>
      <c r="S66" s="2095"/>
      <c r="T66" s="2095"/>
      <c r="U66" s="2095"/>
      <c r="V66" s="2095"/>
      <c r="W66" s="2095"/>
      <c r="X66" s="2095"/>
      <c r="Y66" s="2095"/>
      <c r="Z66" s="2095"/>
      <c r="AA66" s="2095"/>
      <c r="AB66" s="2095"/>
      <c r="AC66" s="2095"/>
      <c r="AD66" s="2095"/>
      <c r="AE66" s="2095"/>
      <c r="AF66" s="2095"/>
      <c r="AG66" s="2095"/>
      <c r="AH66" s="2095"/>
      <c r="AI66" s="2095"/>
      <c r="AJ66" s="2095"/>
      <c r="AK66" s="2095"/>
      <c r="AL66" s="2095"/>
      <c r="AM66" s="2095"/>
      <c r="AN66" s="2095"/>
      <c r="AO66" s="2095"/>
      <c r="AP66" s="2095"/>
      <c r="AQ66" s="2095"/>
      <c r="AR66" s="2095"/>
      <c r="AS66" s="2095"/>
      <c r="AT66" s="2095"/>
      <c r="AU66" s="2095"/>
      <c r="AV66" s="2095"/>
      <c r="AW66" s="2095"/>
      <c r="AX66" s="2095"/>
      <c r="AY66" s="2095"/>
      <c r="AZ66" s="2095"/>
      <c r="BA66" s="2093"/>
      <c r="BB66" s="2096"/>
    </row>
    <row r="67" s="2128" customFormat="true" ht="30" hidden="false" customHeight="true" outlineLevel="0" collapsed="false">
      <c r="A67" s="2092"/>
      <c r="B67" s="2093"/>
      <c r="C67" s="2094"/>
      <c r="D67" s="2095"/>
      <c r="E67" s="2095"/>
      <c r="F67" s="2095"/>
      <c r="G67" s="2095"/>
      <c r="H67" s="2095"/>
      <c r="I67" s="2095"/>
      <c r="J67" s="2095"/>
      <c r="K67" s="2095"/>
      <c r="L67" s="2095"/>
      <c r="M67" s="2095"/>
      <c r="N67" s="2095"/>
      <c r="O67" s="2095"/>
      <c r="P67" s="2093"/>
      <c r="Q67" s="2095"/>
      <c r="R67" s="2095"/>
      <c r="S67" s="2095"/>
      <c r="T67" s="2095"/>
      <c r="U67" s="2095"/>
      <c r="V67" s="2095"/>
      <c r="W67" s="2095"/>
      <c r="X67" s="2095"/>
      <c r="Y67" s="2095"/>
      <c r="Z67" s="2095"/>
      <c r="AA67" s="2095"/>
      <c r="AB67" s="2095"/>
      <c r="AC67" s="2095"/>
      <c r="AD67" s="2095"/>
      <c r="AE67" s="2095"/>
      <c r="AF67" s="2095"/>
      <c r="AG67" s="2095"/>
      <c r="AH67" s="2095"/>
      <c r="AI67" s="2095"/>
      <c r="AJ67" s="2095"/>
      <c r="AK67" s="2095"/>
      <c r="AL67" s="2095"/>
      <c r="AM67" s="2095"/>
      <c r="AN67" s="2095"/>
      <c r="AO67" s="2095"/>
      <c r="AP67" s="2095"/>
      <c r="AQ67" s="2095"/>
      <c r="AR67" s="2095"/>
      <c r="AS67" s="2095"/>
      <c r="AT67" s="2095"/>
      <c r="AU67" s="2095"/>
      <c r="AV67" s="2095"/>
      <c r="AW67" s="2095"/>
      <c r="AX67" s="2095"/>
      <c r="AY67" s="2095"/>
      <c r="AZ67" s="2095"/>
      <c r="BA67" s="2093"/>
      <c r="BB67" s="2096"/>
    </row>
    <row r="68" s="2128" customFormat="true" ht="30" hidden="false" customHeight="true" outlineLevel="0" collapsed="false">
      <c r="A68" s="2092"/>
      <c r="B68" s="2093"/>
      <c r="C68" s="2094"/>
      <c r="D68" s="2095"/>
      <c r="E68" s="2095"/>
      <c r="F68" s="2095"/>
      <c r="G68" s="2095"/>
      <c r="H68" s="2095"/>
      <c r="I68" s="2095"/>
      <c r="J68" s="2095"/>
      <c r="K68" s="2095"/>
      <c r="L68" s="2095"/>
      <c r="M68" s="2095"/>
      <c r="N68" s="2095"/>
      <c r="O68" s="2095"/>
      <c r="P68" s="2093"/>
      <c r="Q68" s="2095"/>
      <c r="R68" s="2095"/>
      <c r="S68" s="2095"/>
      <c r="T68" s="2095"/>
      <c r="U68" s="2095"/>
      <c r="V68" s="2095"/>
      <c r="W68" s="2095"/>
      <c r="X68" s="2095"/>
      <c r="Y68" s="2095"/>
      <c r="Z68" s="2095"/>
      <c r="AA68" s="2095"/>
      <c r="AB68" s="2095"/>
      <c r="AC68" s="2095"/>
      <c r="AD68" s="2095"/>
      <c r="AE68" s="2095"/>
      <c r="AF68" s="2095"/>
      <c r="AG68" s="2095"/>
      <c r="AH68" s="2095"/>
      <c r="AI68" s="2095"/>
      <c r="AJ68" s="2095"/>
      <c r="AK68" s="2095"/>
      <c r="AL68" s="2095"/>
      <c r="AM68" s="2095"/>
      <c r="AN68" s="2095"/>
      <c r="AO68" s="2095"/>
      <c r="AP68" s="2095"/>
      <c r="AQ68" s="2095"/>
      <c r="AR68" s="2095"/>
      <c r="AS68" s="2095"/>
      <c r="AT68" s="2095"/>
      <c r="AU68" s="2095"/>
      <c r="AV68" s="2095"/>
      <c r="AW68" s="2095"/>
      <c r="AX68" s="2095"/>
      <c r="AY68" s="2095"/>
      <c r="AZ68" s="2095"/>
      <c r="BA68" s="2093"/>
      <c r="BB68" s="2096"/>
    </row>
    <row r="69" s="2128" customFormat="true" ht="30" hidden="false" customHeight="true" outlineLevel="0" collapsed="false">
      <c r="A69" s="2092"/>
      <c r="B69" s="2093"/>
      <c r="C69" s="2094"/>
      <c r="D69" s="2095"/>
      <c r="E69" s="2095"/>
      <c r="F69" s="2095"/>
      <c r="G69" s="2095"/>
      <c r="H69" s="2095"/>
      <c r="I69" s="2095"/>
      <c r="J69" s="2095"/>
      <c r="K69" s="2095"/>
      <c r="L69" s="2095"/>
      <c r="M69" s="2095"/>
      <c r="N69" s="2095"/>
      <c r="O69" s="2095"/>
      <c r="P69" s="2093"/>
      <c r="Q69" s="2095"/>
      <c r="R69" s="2095"/>
      <c r="S69" s="2095"/>
      <c r="T69" s="2095"/>
      <c r="U69" s="2095"/>
      <c r="V69" s="2095"/>
      <c r="W69" s="2095"/>
      <c r="X69" s="2095"/>
      <c r="Y69" s="2095"/>
      <c r="Z69" s="2095"/>
      <c r="AA69" s="2095"/>
      <c r="AB69" s="2095"/>
      <c r="AC69" s="2095"/>
      <c r="AD69" s="2095"/>
      <c r="AE69" s="2095"/>
      <c r="AF69" s="2095"/>
      <c r="AG69" s="2095"/>
      <c r="AH69" s="2095"/>
      <c r="AI69" s="2095"/>
      <c r="AJ69" s="2095"/>
      <c r="AK69" s="2095"/>
      <c r="AL69" s="2095"/>
      <c r="AM69" s="2095"/>
      <c r="AN69" s="2095"/>
      <c r="AO69" s="2095"/>
      <c r="AP69" s="2095"/>
      <c r="AQ69" s="2095"/>
      <c r="AR69" s="2095"/>
      <c r="AS69" s="2095"/>
      <c r="AT69" s="2095"/>
      <c r="AU69" s="2095"/>
      <c r="AV69" s="2095"/>
      <c r="AW69" s="2095"/>
      <c r="AX69" s="2095"/>
      <c r="AY69" s="2095"/>
      <c r="AZ69" s="2095"/>
      <c r="BA69" s="2093"/>
      <c r="BB69" s="2096"/>
    </row>
    <row r="70" s="2128" customFormat="true" ht="30" hidden="false" customHeight="true" outlineLevel="0" collapsed="false">
      <c r="A70" s="2092"/>
      <c r="B70" s="2093"/>
      <c r="C70" s="2094"/>
      <c r="D70" s="2095"/>
      <c r="E70" s="2095"/>
      <c r="F70" s="2095"/>
      <c r="G70" s="2095"/>
      <c r="H70" s="2095"/>
      <c r="I70" s="2095"/>
      <c r="J70" s="2095"/>
      <c r="K70" s="2095"/>
      <c r="L70" s="2095"/>
      <c r="M70" s="2095"/>
      <c r="N70" s="2095"/>
      <c r="O70" s="2095"/>
      <c r="P70" s="2093"/>
      <c r="Q70" s="2095"/>
      <c r="R70" s="2095"/>
      <c r="S70" s="2095"/>
      <c r="T70" s="2095"/>
      <c r="U70" s="2095"/>
      <c r="V70" s="2095"/>
      <c r="W70" s="2095"/>
      <c r="X70" s="2095"/>
      <c r="Y70" s="2095"/>
      <c r="Z70" s="2095"/>
      <c r="AA70" s="2095"/>
      <c r="AB70" s="2095"/>
      <c r="AC70" s="2095"/>
      <c r="AD70" s="2095"/>
      <c r="AE70" s="2095"/>
      <c r="AF70" s="2095"/>
      <c r="AG70" s="2095"/>
      <c r="AH70" s="2095"/>
      <c r="AI70" s="2095"/>
      <c r="AJ70" s="2095"/>
      <c r="AK70" s="2095"/>
      <c r="AL70" s="2095"/>
      <c r="AM70" s="2095"/>
      <c r="AN70" s="2095"/>
      <c r="AO70" s="2095"/>
      <c r="AP70" s="2095"/>
      <c r="AQ70" s="2095"/>
      <c r="AR70" s="2095"/>
      <c r="AS70" s="2095"/>
      <c r="AT70" s="2095"/>
      <c r="AU70" s="2095"/>
      <c r="AV70" s="2095"/>
      <c r="AW70" s="2095"/>
      <c r="AX70" s="2095"/>
      <c r="AY70" s="2095"/>
      <c r="AZ70" s="2095"/>
      <c r="BA70" s="2093"/>
      <c r="BB70" s="2096"/>
    </row>
    <row r="71" s="2128" customFormat="true" ht="30" hidden="false" customHeight="true" outlineLevel="0" collapsed="false">
      <c r="A71" s="2092"/>
      <c r="B71" s="2093"/>
      <c r="C71" s="2094"/>
      <c r="D71" s="2095"/>
      <c r="E71" s="2095"/>
      <c r="F71" s="2095"/>
      <c r="G71" s="2095"/>
      <c r="H71" s="2095"/>
      <c r="I71" s="2095"/>
      <c r="J71" s="2095"/>
      <c r="K71" s="2095"/>
      <c r="L71" s="2095"/>
      <c r="M71" s="2095"/>
      <c r="N71" s="2095"/>
      <c r="O71" s="2095"/>
      <c r="P71" s="2093"/>
      <c r="Q71" s="2095"/>
      <c r="R71" s="2095"/>
      <c r="S71" s="2095"/>
      <c r="T71" s="2095"/>
      <c r="U71" s="2095"/>
      <c r="V71" s="2095"/>
      <c r="W71" s="2095"/>
      <c r="X71" s="2095"/>
      <c r="Y71" s="2095"/>
      <c r="Z71" s="2095"/>
      <c r="AA71" s="2095"/>
      <c r="AB71" s="2095"/>
      <c r="AC71" s="2095"/>
      <c r="AD71" s="2095"/>
      <c r="AE71" s="2095"/>
      <c r="AF71" s="2095"/>
      <c r="AG71" s="2095"/>
      <c r="AH71" s="2095"/>
      <c r="AI71" s="2095"/>
      <c r="AJ71" s="2095"/>
      <c r="AK71" s="2095"/>
      <c r="AL71" s="2095"/>
      <c r="AM71" s="2095"/>
      <c r="AN71" s="2095"/>
      <c r="AO71" s="2095"/>
      <c r="AP71" s="2095"/>
      <c r="AQ71" s="2095"/>
      <c r="AR71" s="2095"/>
      <c r="AS71" s="2095"/>
      <c r="AT71" s="2095"/>
      <c r="AU71" s="2095"/>
      <c r="AV71" s="2095"/>
      <c r="AW71" s="2095"/>
      <c r="AX71" s="2095"/>
      <c r="AY71" s="2095"/>
      <c r="AZ71" s="2095"/>
      <c r="BA71" s="2093"/>
      <c r="BB71" s="2096"/>
    </row>
    <row r="72" s="2128" customFormat="true" ht="30" hidden="false" customHeight="true" outlineLevel="0" collapsed="false">
      <c r="A72" s="2092"/>
      <c r="B72" s="2093"/>
      <c r="C72" s="2094"/>
      <c r="D72" s="2095"/>
      <c r="E72" s="2095"/>
      <c r="F72" s="2095"/>
      <c r="G72" s="2095"/>
      <c r="H72" s="2095"/>
      <c r="I72" s="2095"/>
      <c r="J72" s="2095"/>
      <c r="K72" s="2095"/>
      <c r="L72" s="2095"/>
      <c r="M72" s="2095"/>
      <c r="N72" s="2095"/>
      <c r="O72" s="2095"/>
      <c r="P72" s="2093"/>
      <c r="Q72" s="2095"/>
      <c r="R72" s="2095"/>
      <c r="S72" s="2095"/>
      <c r="T72" s="2095"/>
      <c r="U72" s="2095"/>
      <c r="V72" s="2095"/>
      <c r="W72" s="2095"/>
      <c r="X72" s="2095"/>
      <c r="Y72" s="2095"/>
      <c r="Z72" s="2095"/>
      <c r="AA72" s="2095"/>
      <c r="AB72" s="2095"/>
      <c r="AC72" s="2095"/>
      <c r="AD72" s="2095"/>
      <c r="AE72" s="2095"/>
      <c r="AF72" s="2095"/>
      <c r="AG72" s="2095"/>
      <c r="AH72" s="2095"/>
      <c r="AI72" s="2095"/>
      <c r="AJ72" s="2095"/>
      <c r="AK72" s="2095"/>
      <c r="AL72" s="2095"/>
      <c r="AM72" s="2095"/>
      <c r="AN72" s="2095"/>
      <c r="AO72" s="2095"/>
      <c r="AP72" s="2095"/>
      <c r="AQ72" s="2095"/>
      <c r="AR72" s="2095"/>
      <c r="AS72" s="2095"/>
      <c r="AT72" s="2095"/>
      <c r="AU72" s="2095"/>
      <c r="AV72" s="2095"/>
      <c r="AW72" s="2095"/>
      <c r="AX72" s="2095"/>
      <c r="AY72" s="2095"/>
      <c r="AZ72" s="2095"/>
      <c r="BA72" s="2093"/>
      <c r="BB72" s="2096"/>
    </row>
    <row r="73" s="2128" customFormat="true" ht="30" hidden="false" customHeight="true" outlineLevel="0" collapsed="false">
      <c r="A73" s="2092"/>
      <c r="B73" s="2093"/>
      <c r="C73" s="2094"/>
      <c r="D73" s="2095"/>
      <c r="E73" s="2095"/>
      <c r="F73" s="2095"/>
      <c r="G73" s="2095"/>
      <c r="H73" s="2095"/>
      <c r="I73" s="2095"/>
      <c r="J73" s="2095"/>
      <c r="K73" s="2095"/>
      <c r="L73" s="2095"/>
      <c r="M73" s="2095"/>
      <c r="N73" s="2095"/>
      <c r="O73" s="2095"/>
      <c r="P73" s="2093"/>
      <c r="Q73" s="2095"/>
      <c r="R73" s="2095"/>
      <c r="S73" s="2095"/>
      <c r="T73" s="2095"/>
      <c r="U73" s="2095"/>
      <c r="V73" s="2095"/>
      <c r="W73" s="2095"/>
      <c r="X73" s="2095"/>
      <c r="Y73" s="2095"/>
      <c r="Z73" s="2095"/>
      <c r="AA73" s="2095"/>
      <c r="AB73" s="2095"/>
      <c r="AC73" s="2095"/>
      <c r="AD73" s="2095"/>
      <c r="AE73" s="2095"/>
      <c r="AF73" s="2095"/>
      <c r="AG73" s="2095"/>
      <c r="AH73" s="2095"/>
      <c r="AI73" s="2095"/>
      <c r="AJ73" s="2095"/>
      <c r="AK73" s="2095"/>
      <c r="AL73" s="2095"/>
      <c r="AM73" s="2095"/>
      <c r="AN73" s="2095"/>
      <c r="AO73" s="2095"/>
      <c r="AP73" s="2095"/>
      <c r="AQ73" s="2095"/>
      <c r="AR73" s="2095"/>
      <c r="AS73" s="2095"/>
      <c r="AT73" s="2095"/>
      <c r="AU73" s="2095"/>
      <c r="AV73" s="2095"/>
      <c r="AW73" s="2095"/>
      <c r="AX73" s="2095"/>
      <c r="AY73" s="2095"/>
      <c r="AZ73" s="2095"/>
      <c r="BA73" s="2093"/>
      <c r="BB73" s="2096"/>
    </row>
    <row r="74" s="2128" customFormat="true" ht="30" hidden="false" customHeight="true" outlineLevel="0" collapsed="false">
      <c r="A74" s="2092"/>
      <c r="B74" s="2093"/>
      <c r="C74" s="2094"/>
      <c r="D74" s="2095"/>
      <c r="E74" s="2095"/>
      <c r="F74" s="2095"/>
      <c r="G74" s="2095"/>
      <c r="H74" s="2095"/>
      <c r="I74" s="2095"/>
      <c r="J74" s="2095"/>
      <c r="K74" s="2095"/>
      <c r="L74" s="2095"/>
      <c r="M74" s="2095"/>
      <c r="N74" s="2095"/>
      <c r="O74" s="2095"/>
      <c r="P74" s="2093"/>
      <c r="Q74" s="2095"/>
      <c r="R74" s="2095"/>
      <c r="S74" s="2095"/>
      <c r="T74" s="2095"/>
      <c r="U74" s="2095"/>
      <c r="V74" s="2095"/>
      <c r="W74" s="2095"/>
      <c r="X74" s="2095"/>
      <c r="Y74" s="2095"/>
      <c r="Z74" s="2095"/>
      <c r="AA74" s="2095"/>
      <c r="AB74" s="2095"/>
      <c r="AC74" s="2095"/>
      <c r="AD74" s="2095"/>
      <c r="AE74" s="2095"/>
      <c r="AF74" s="2095"/>
      <c r="AG74" s="2095"/>
      <c r="AH74" s="2095"/>
      <c r="AI74" s="2095"/>
      <c r="AJ74" s="2095"/>
      <c r="AK74" s="2095"/>
      <c r="AL74" s="2095"/>
      <c r="AM74" s="2095"/>
      <c r="AN74" s="2095"/>
      <c r="AO74" s="2095"/>
      <c r="AP74" s="2095"/>
      <c r="AQ74" s="2095"/>
      <c r="AR74" s="2095"/>
      <c r="AS74" s="2095"/>
      <c r="AT74" s="2095"/>
      <c r="AU74" s="2095"/>
      <c r="AV74" s="2095"/>
      <c r="AW74" s="2095"/>
      <c r="AX74" s="2095"/>
      <c r="AY74" s="2095"/>
      <c r="AZ74" s="2095"/>
      <c r="BA74" s="2093"/>
      <c r="BB74" s="2096"/>
    </row>
    <row r="75" s="2128" customFormat="true" ht="30" hidden="false" customHeight="true" outlineLevel="0" collapsed="false">
      <c r="A75" s="2092"/>
      <c r="B75" s="2093"/>
      <c r="C75" s="2094"/>
      <c r="D75" s="2095"/>
      <c r="E75" s="2095"/>
      <c r="F75" s="2095"/>
      <c r="G75" s="2095"/>
      <c r="H75" s="2095"/>
      <c r="I75" s="2095"/>
      <c r="J75" s="2095"/>
      <c r="K75" s="2095"/>
      <c r="L75" s="2095"/>
      <c r="M75" s="2095"/>
      <c r="N75" s="2095"/>
      <c r="O75" s="2095"/>
      <c r="P75" s="2093"/>
      <c r="Q75" s="2095"/>
      <c r="R75" s="2095"/>
      <c r="S75" s="2095"/>
      <c r="T75" s="2095"/>
      <c r="U75" s="2095"/>
      <c r="V75" s="2095"/>
      <c r="W75" s="2095"/>
      <c r="X75" s="2095"/>
      <c r="Y75" s="2095"/>
      <c r="Z75" s="2095"/>
      <c r="AA75" s="2095"/>
      <c r="AB75" s="2095"/>
      <c r="AC75" s="2095"/>
      <c r="AD75" s="2095"/>
      <c r="AE75" s="2095"/>
      <c r="AF75" s="2095"/>
      <c r="AG75" s="2095"/>
      <c r="AH75" s="2095"/>
      <c r="AI75" s="2095"/>
      <c r="AJ75" s="2095"/>
      <c r="AK75" s="2095"/>
      <c r="AL75" s="2095"/>
      <c r="AM75" s="2095"/>
      <c r="AN75" s="2095"/>
      <c r="AO75" s="2095"/>
      <c r="AP75" s="2095"/>
      <c r="AQ75" s="2095"/>
      <c r="AR75" s="2095"/>
      <c r="AS75" s="2095"/>
      <c r="AT75" s="2095"/>
      <c r="AU75" s="2095"/>
      <c r="AV75" s="2095"/>
      <c r="AW75" s="2095"/>
      <c r="AX75" s="2095"/>
      <c r="AY75" s="2095"/>
      <c r="AZ75" s="2095"/>
      <c r="BA75" s="2093"/>
      <c r="BB75" s="2096"/>
    </row>
    <row r="76" s="2128" customFormat="true" ht="30" hidden="false" customHeight="true" outlineLevel="0" collapsed="false">
      <c r="A76" s="2092"/>
      <c r="B76" s="2093"/>
      <c r="C76" s="2094"/>
      <c r="D76" s="2095"/>
      <c r="E76" s="2095"/>
      <c r="F76" s="2095"/>
      <c r="G76" s="2095"/>
      <c r="H76" s="2095"/>
      <c r="I76" s="2095"/>
      <c r="J76" s="2095"/>
      <c r="K76" s="2095"/>
      <c r="L76" s="2095"/>
      <c r="M76" s="2095"/>
      <c r="N76" s="2095"/>
      <c r="O76" s="2095"/>
      <c r="P76" s="2093"/>
      <c r="Q76" s="2095"/>
      <c r="R76" s="2095"/>
      <c r="S76" s="2095"/>
      <c r="T76" s="2095"/>
      <c r="U76" s="2095"/>
      <c r="V76" s="2095"/>
      <c r="W76" s="2095"/>
      <c r="X76" s="2095"/>
      <c r="Y76" s="2095"/>
      <c r="Z76" s="2095"/>
      <c r="AA76" s="2095"/>
      <c r="AB76" s="2095"/>
      <c r="AC76" s="2095"/>
      <c r="AD76" s="2095"/>
      <c r="AE76" s="2095"/>
      <c r="AF76" s="2095"/>
      <c r="AG76" s="2095"/>
      <c r="AH76" s="2095"/>
      <c r="AI76" s="2095"/>
      <c r="AJ76" s="2095"/>
      <c r="AK76" s="2095"/>
      <c r="AL76" s="2095"/>
      <c r="AM76" s="2095"/>
      <c r="AN76" s="2095"/>
      <c r="AO76" s="2095"/>
      <c r="AP76" s="2095"/>
      <c r="AQ76" s="2095"/>
      <c r="AR76" s="2095"/>
      <c r="AS76" s="2095"/>
      <c r="AT76" s="2095"/>
      <c r="AU76" s="2095"/>
      <c r="AV76" s="2095"/>
      <c r="AW76" s="2095"/>
      <c r="AX76" s="2095"/>
      <c r="AY76" s="2095"/>
      <c r="AZ76" s="2095"/>
      <c r="BA76" s="2093"/>
      <c r="BB76" s="2096"/>
    </row>
    <row r="77" s="2128" customFormat="true" ht="30" hidden="false" customHeight="true" outlineLevel="0" collapsed="false">
      <c r="A77" s="2092"/>
      <c r="B77" s="2093"/>
      <c r="C77" s="2094"/>
      <c r="D77" s="2095"/>
      <c r="E77" s="2095"/>
      <c r="F77" s="2095"/>
      <c r="G77" s="2095"/>
      <c r="H77" s="2095"/>
      <c r="I77" s="2095"/>
      <c r="J77" s="2095"/>
      <c r="K77" s="2095"/>
      <c r="L77" s="2095"/>
      <c r="M77" s="2095"/>
      <c r="N77" s="2095"/>
      <c r="O77" s="2095"/>
      <c r="P77" s="2093"/>
      <c r="Q77" s="2095"/>
      <c r="R77" s="2095"/>
      <c r="S77" s="2095"/>
      <c r="T77" s="2095"/>
      <c r="U77" s="2095"/>
      <c r="V77" s="2095"/>
      <c r="W77" s="2095"/>
      <c r="X77" s="2095"/>
      <c r="Y77" s="2095"/>
      <c r="Z77" s="2095"/>
      <c r="AA77" s="2095"/>
      <c r="AB77" s="2095"/>
      <c r="AC77" s="2095"/>
      <c r="AD77" s="2095"/>
      <c r="AE77" s="2095"/>
      <c r="AF77" s="2095"/>
      <c r="AG77" s="2095"/>
      <c r="AH77" s="2095"/>
      <c r="AI77" s="2095"/>
      <c r="AJ77" s="2095"/>
      <c r="AK77" s="2095"/>
      <c r="AL77" s="2095"/>
      <c r="AM77" s="2095"/>
      <c r="AN77" s="2095"/>
      <c r="AO77" s="2095"/>
      <c r="AP77" s="2095"/>
      <c r="AQ77" s="2095"/>
      <c r="AR77" s="2095"/>
      <c r="AS77" s="2095"/>
      <c r="AT77" s="2095"/>
      <c r="AU77" s="2095"/>
      <c r="AV77" s="2095"/>
      <c r="AW77" s="2095"/>
      <c r="AX77" s="2095"/>
      <c r="AY77" s="2095"/>
      <c r="AZ77" s="2095"/>
      <c r="BA77" s="2093"/>
      <c r="BB77" s="2096"/>
    </row>
    <row r="78" s="2128" customFormat="true" ht="30" hidden="false" customHeight="true" outlineLevel="0" collapsed="false">
      <c r="A78" s="2092"/>
      <c r="B78" s="2093"/>
      <c r="C78" s="2094"/>
      <c r="D78" s="2095"/>
      <c r="E78" s="2095"/>
      <c r="F78" s="2095"/>
      <c r="G78" s="2095"/>
      <c r="H78" s="2095"/>
      <c r="I78" s="2095"/>
      <c r="J78" s="2095"/>
      <c r="K78" s="2095"/>
      <c r="L78" s="2095"/>
      <c r="M78" s="2095"/>
      <c r="N78" s="2095"/>
      <c r="O78" s="2095"/>
      <c r="P78" s="2093"/>
      <c r="Q78" s="2095"/>
      <c r="R78" s="2095"/>
      <c r="S78" s="2095"/>
      <c r="T78" s="2095"/>
      <c r="U78" s="2095"/>
      <c r="V78" s="2095"/>
      <c r="W78" s="2095"/>
      <c r="X78" s="2095"/>
      <c r="Y78" s="2095"/>
      <c r="Z78" s="2095"/>
      <c r="AA78" s="2095"/>
      <c r="AB78" s="2095"/>
      <c r="AC78" s="2095"/>
      <c r="AD78" s="2095"/>
      <c r="AE78" s="2095"/>
      <c r="AF78" s="2095"/>
      <c r="AG78" s="2095"/>
      <c r="AH78" s="2095"/>
      <c r="AI78" s="2095"/>
      <c r="AJ78" s="2095"/>
      <c r="AK78" s="2095"/>
      <c r="AL78" s="2095"/>
      <c r="AM78" s="2095"/>
      <c r="AN78" s="2095"/>
      <c r="AO78" s="2095"/>
      <c r="AP78" s="2095"/>
      <c r="AQ78" s="2095"/>
      <c r="AR78" s="2095"/>
      <c r="AS78" s="2095"/>
      <c r="AT78" s="2095"/>
      <c r="AU78" s="2095"/>
      <c r="AV78" s="2095"/>
      <c r="AW78" s="2095"/>
      <c r="AX78" s="2095"/>
      <c r="AY78" s="2095"/>
      <c r="AZ78" s="2095"/>
      <c r="BA78" s="2093"/>
      <c r="BB78" s="2096"/>
    </row>
    <row r="79" s="2128" customFormat="true" ht="30" hidden="false" customHeight="true" outlineLevel="0" collapsed="false">
      <c r="A79" s="2092"/>
      <c r="B79" s="2093"/>
      <c r="C79" s="2094"/>
      <c r="D79" s="2095"/>
      <c r="E79" s="2095"/>
      <c r="F79" s="2095"/>
      <c r="G79" s="2095"/>
      <c r="H79" s="2095"/>
      <c r="I79" s="2095"/>
      <c r="J79" s="2095"/>
      <c r="K79" s="2095"/>
      <c r="L79" s="2095"/>
      <c r="M79" s="2095"/>
      <c r="N79" s="2095"/>
      <c r="O79" s="2095"/>
      <c r="P79" s="2093"/>
      <c r="Q79" s="2095"/>
      <c r="R79" s="2095"/>
      <c r="S79" s="2095"/>
      <c r="T79" s="2095"/>
      <c r="U79" s="2095"/>
      <c r="V79" s="2095"/>
      <c r="W79" s="2095"/>
      <c r="X79" s="2095"/>
      <c r="Y79" s="2095"/>
      <c r="Z79" s="2095"/>
      <c r="AA79" s="2095"/>
      <c r="AB79" s="2095"/>
      <c r="AC79" s="2095"/>
      <c r="AD79" s="2095"/>
      <c r="AE79" s="2095"/>
      <c r="AF79" s="2095"/>
      <c r="AG79" s="2095"/>
      <c r="AH79" s="2095"/>
      <c r="AI79" s="2095"/>
      <c r="AJ79" s="2095"/>
      <c r="AK79" s="2095"/>
      <c r="AL79" s="2095"/>
      <c r="AM79" s="2095"/>
      <c r="AN79" s="2095"/>
      <c r="AO79" s="2095"/>
      <c r="AP79" s="2095"/>
      <c r="AQ79" s="2095"/>
      <c r="AR79" s="2095"/>
      <c r="AS79" s="2095"/>
      <c r="AT79" s="2095"/>
      <c r="AU79" s="2095"/>
      <c r="AV79" s="2095"/>
      <c r="AW79" s="2095"/>
      <c r="AX79" s="2095"/>
      <c r="AY79" s="2095"/>
      <c r="AZ79" s="2095"/>
      <c r="BA79" s="2093"/>
      <c r="BB79" s="2096"/>
    </row>
    <row r="80" s="2128" customFormat="true" ht="30" hidden="false" customHeight="true" outlineLevel="0" collapsed="false">
      <c r="A80" s="2092"/>
      <c r="B80" s="2093"/>
      <c r="C80" s="2094"/>
      <c r="D80" s="2095"/>
      <c r="E80" s="2095"/>
      <c r="F80" s="2095"/>
      <c r="G80" s="2095"/>
      <c r="H80" s="2095"/>
      <c r="I80" s="2095"/>
      <c r="J80" s="2095"/>
      <c r="K80" s="2095"/>
      <c r="L80" s="2095"/>
      <c r="M80" s="2095"/>
      <c r="N80" s="2095"/>
      <c r="O80" s="2095"/>
      <c r="P80" s="2093"/>
      <c r="Q80" s="2095"/>
      <c r="R80" s="2095"/>
      <c r="S80" s="2095"/>
      <c r="T80" s="2095"/>
      <c r="U80" s="2095"/>
      <c r="V80" s="2095"/>
      <c r="W80" s="2095"/>
      <c r="X80" s="2095"/>
      <c r="Y80" s="2095"/>
      <c r="Z80" s="2095"/>
      <c r="AA80" s="2095"/>
      <c r="AB80" s="2095"/>
      <c r="AC80" s="2095"/>
      <c r="AD80" s="2095"/>
      <c r="AE80" s="2095"/>
      <c r="AF80" s="2095"/>
      <c r="AG80" s="2095"/>
      <c r="AH80" s="2095"/>
      <c r="AI80" s="2095"/>
      <c r="AJ80" s="2095"/>
      <c r="AK80" s="2095"/>
      <c r="AL80" s="2095"/>
      <c r="AM80" s="2095"/>
      <c r="AN80" s="2095"/>
      <c r="AO80" s="2095"/>
      <c r="AP80" s="2095"/>
      <c r="AQ80" s="2095"/>
      <c r="AR80" s="2095"/>
      <c r="AS80" s="2095"/>
      <c r="AT80" s="2095"/>
      <c r="AU80" s="2095"/>
      <c r="AV80" s="2095"/>
      <c r="AW80" s="2095"/>
      <c r="AX80" s="2095"/>
      <c r="AY80" s="2095"/>
      <c r="AZ80" s="2095"/>
      <c r="BA80" s="2093"/>
      <c r="BB80" s="2096"/>
    </row>
    <row r="81" s="2128" customFormat="true" ht="30" hidden="false" customHeight="true" outlineLevel="0" collapsed="false">
      <c r="A81" s="2092"/>
      <c r="B81" s="2093"/>
      <c r="C81" s="2094"/>
      <c r="D81" s="2095"/>
      <c r="E81" s="2095"/>
      <c r="F81" s="2095"/>
      <c r="G81" s="2095"/>
      <c r="H81" s="2095"/>
      <c r="I81" s="2095"/>
      <c r="J81" s="2095"/>
      <c r="K81" s="2095"/>
      <c r="L81" s="2095"/>
      <c r="M81" s="2095"/>
      <c r="N81" s="2095"/>
      <c r="O81" s="2095"/>
      <c r="P81" s="2093"/>
      <c r="Q81" s="2095"/>
      <c r="R81" s="2095"/>
      <c r="S81" s="2095"/>
      <c r="T81" s="2095"/>
      <c r="U81" s="2095"/>
      <c r="V81" s="2095"/>
      <c r="W81" s="2095"/>
      <c r="X81" s="2095"/>
      <c r="Y81" s="2095"/>
      <c r="Z81" s="2095"/>
      <c r="AA81" s="2095"/>
      <c r="AB81" s="2095"/>
      <c r="AC81" s="2095"/>
      <c r="AD81" s="2095"/>
      <c r="AE81" s="2095"/>
      <c r="AF81" s="2095"/>
      <c r="AG81" s="2095"/>
      <c r="AH81" s="2095"/>
      <c r="AI81" s="2095"/>
      <c r="AJ81" s="2095"/>
      <c r="AK81" s="2095"/>
      <c r="AL81" s="2095"/>
      <c r="AM81" s="2095"/>
      <c r="AN81" s="2095"/>
      <c r="AO81" s="2095"/>
      <c r="AP81" s="2095"/>
      <c r="AQ81" s="2095"/>
      <c r="AR81" s="2095"/>
      <c r="AS81" s="2095"/>
      <c r="AT81" s="2095"/>
      <c r="AU81" s="2095"/>
      <c r="AV81" s="2095"/>
      <c r="AW81" s="2095"/>
      <c r="AX81" s="2095"/>
      <c r="AY81" s="2095"/>
      <c r="AZ81" s="2095"/>
      <c r="BA81" s="2093"/>
      <c r="BB81" s="2096"/>
    </row>
    <row r="82" s="2128" customFormat="true" ht="30" hidden="false" customHeight="true" outlineLevel="0" collapsed="false">
      <c r="A82" s="2092"/>
      <c r="B82" s="2093"/>
      <c r="C82" s="2094"/>
      <c r="D82" s="2095"/>
      <c r="E82" s="2095"/>
      <c r="F82" s="2095"/>
      <c r="G82" s="2095"/>
      <c r="H82" s="2095"/>
      <c r="I82" s="2095"/>
      <c r="J82" s="2095"/>
      <c r="K82" s="2095"/>
      <c r="L82" s="2095"/>
      <c r="M82" s="2095"/>
      <c r="N82" s="2095"/>
      <c r="O82" s="2095"/>
      <c r="P82" s="2093"/>
      <c r="Q82" s="2095"/>
      <c r="R82" s="2095"/>
      <c r="S82" s="2095"/>
      <c r="T82" s="2095"/>
      <c r="U82" s="2095"/>
      <c r="V82" s="2095"/>
      <c r="W82" s="2095"/>
      <c r="X82" s="2095"/>
      <c r="Y82" s="2095"/>
      <c r="Z82" s="2095"/>
      <c r="AA82" s="2095"/>
      <c r="AB82" s="2095"/>
      <c r="AC82" s="2095"/>
      <c r="AD82" s="2095"/>
      <c r="AE82" s="2095"/>
      <c r="AF82" s="2095"/>
      <c r="AG82" s="2095"/>
      <c r="AH82" s="2095"/>
      <c r="AI82" s="2095"/>
      <c r="AJ82" s="2095"/>
      <c r="AK82" s="2095"/>
      <c r="AL82" s="2095"/>
      <c r="AM82" s="2095"/>
      <c r="AN82" s="2095"/>
      <c r="AO82" s="2095"/>
      <c r="AP82" s="2095"/>
      <c r="AQ82" s="2095"/>
      <c r="AR82" s="2095"/>
      <c r="AS82" s="2095"/>
      <c r="AT82" s="2095"/>
      <c r="AU82" s="2095"/>
      <c r="AV82" s="2095"/>
      <c r="AW82" s="2095"/>
      <c r="AX82" s="2095"/>
      <c r="AY82" s="2095"/>
      <c r="AZ82" s="2095"/>
      <c r="BA82" s="2093"/>
      <c r="BB82" s="2096"/>
    </row>
    <row r="83" s="2128" customFormat="true" ht="30" hidden="false" customHeight="true" outlineLevel="0" collapsed="false">
      <c r="A83" s="2092"/>
      <c r="B83" s="2093"/>
      <c r="C83" s="2094"/>
      <c r="D83" s="2095"/>
      <c r="E83" s="2095"/>
      <c r="F83" s="2095"/>
      <c r="G83" s="2095"/>
      <c r="H83" s="2095"/>
      <c r="I83" s="2095"/>
      <c r="J83" s="2095"/>
      <c r="K83" s="2095"/>
      <c r="L83" s="2095"/>
      <c r="M83" s="2095"/>
      <c r="N83" s="2095"/>
      <c r="O83" s="2095"/>
      <c r="P83" s="2093"/>
      <c r="Q83" s="2095"/>
      <c r="R83" s="2095"/>
      <c r="S83" s="2095"/>
      <c r="T83" s="2095"/>
      <c r="U83" s="2095"/>
      <c r="V83" s="2095"/>
      <c r="W83" s="2095"/>
      <c r="X83" s="2095"/>
      <c r="Y83" s="2095"/>
      <c r="Z83" s="2095"/>
      <c r="AA83" s="2095"/>
      <c r="AB83" s="2095"/>
      <c r="AC83" s="2095"/>
      <c r="AD83" s="2095"/>
      <c r="AE83" s="2095"/>
      <c r="AF83" s="2095"/>
      <c r="AG83" s="2095"/>
      <c r="AH83" s="2095"/>
      <c r="AI83" s="2095"/>
      <c r="AJ83" s="2095"/>
      <c r="AK83" s="2095"/>
      <c r="AL83" s="2095"/>
      <c r="AM83" s="2095"/>
      <c r="AN83" s="2095"/>
      <c r="AO83" s="2095"/>
      <c r="AP83" s="2095"/>
      <c r="AQ83" s="2095"/>
      <c r="AR83" s="2095"/>
      <c r="AS83" s="2095"/>
      <c r="AT83" s="2095"/>
      <c r="AU83" s="2095"/>
      <c r="AV83" s="2095"/>
      <c r="AW83" s="2095"/>
      <c r="AX83" s="2095"/>
      <c r="AY83" s="2095"/>
      <c r="AZ83" s="2095"/>
      <c r="BA83" s="2093"/>
      <c r="BB83" s="2096"/>
    </row>
    <row r="84" s="2128" customFormat="true" ht="30" hidden="false" customHeight="true" outlineLevel="0" collapsed="false">
      <c r="A84" s="2092"/>
      <c r="B84" s="2093"/>
      <c r="C84" s="2094"/>
      <c r="D84" s="2095"/>
      <c r="E84" s="2095"/>
      <c r="F84" s="2095"/>
      <c r="G84" s="2095"/>
      <c r="H84" s="2095"/>
      <c r="I84" s="2095"/>
      <c r="J84" s="2095"/>
      <c r="K84" s="2095"/>
      <c r="L84" s="2095"/>
      <c r="M84" s="2095"/>
      <c r="N84" s="2095"/>
      <c r="O84" s="2095"/>
      <c r="P84" s="2093"/>
      <c r="Q84" s="2095"/>
      <c r="R84" s="2095"/>
      <c r="S84" s="2095"/>
      <c r="T84" s="2095"/>
      <c r="U84" s="2095"/>
      <c r="V84" s="2095"/>
      <c r="W84" s="2095"/>
      <c r="X84" s="2095"/>
      <c r="Y84" s="2095"/>
      <c r="Z84" s="2095"/>
      <c r="AA84" s="2095"/>
      <c r="AB84" s="2095"/>
      <c r="AC84" s="2095"/>
      <c r="AD84" s="2095"/>
      <c r="AE84" s="2095"/>
      <c r="AF84" s="2095"/>
      <c r="AG84" s="2095"/>
      <c r="AH84" s="2095"/>
      <c r="AI84" s="2095"/>
      <c r="AJ84" s="2095"/>
      <c r="AK84" s="2095"/>
      <c r="AL84" s="2095"/>
      <c r="AM84" s="2095"/>
      <c r="AN84" s="2095"/>
      <c r="AO84" s="2095"/>
      <c r="AP84" s="2095"/>
      <c r="AQ84" s="2095"/>
      <c r="AR84" s="2095"/>
      <c r="AS84" s="2095"/>
      <c r="AT84" s="2095"/>
      <c r="AU84" s="2095"/>
      <c r="AV84" s="2095"/>
      <c r="AW84" s="2095"/>
      <c r="AX84" s="2095"/>
      <c r="AY84" s="2095"/>
      <c r="AZ84" s="2095"/>
      <c r="BA84" s="2093"/>
      <c r="BB84" s="2096"/>
    </row>
    <row r="85" s="2128" customFormat="true" ht="30" hidden="false" customHeight="true" outlineLevel="0" collapsed="false">
      <c r="A85" s="2092"/>
      <c r="B85" s="2093"/>
      <c r="C85" s="2094"/>
      <c r="D85" s="2095"/>
      <c r="E85" s="2095"/>
      <c r="F85" s="2095"/>
      <c r="G85" s="2095"/>
      <c r="H85" s="2095"/>
      <c r="I85" s="2095"/>
      <c r="J85" s="2095"/>
      <c r="K85" s="2095"/>
      <c r="L85" s="2095"/>
      <c r="M85" s="2095"/>
      <c r="N85" s="2095"/>
      <c r="O85" s="2095"/>
      <c r="P85" s="2093"/>
      <c r="Q85" s="2095"/>
      <c r="R85" s="2095"/>
      <c r="S85" s="2095"/>
      <c r="T85" s="2095"/>
      <c r="U85" s="2095"/>
      <c r="V85" s="2095"/>
      <c r="W85" s="2095"/>
      <c r="X85" s="2095"/>
      <c r="Y85" s="2095"/>
      <c r="Z85" s="2095"/>
      <c r="AA85" s="2095"/>
      <c r="AB85" s="2095"/>
      <c r="AC85" s="2095"/>
      <c r="AD85" s="2095"/>
      <c r="AE85" s="2095"/>
      <c r="AF85" s="2095"/>
      <c r="AG85" s="2095"/>
      <c r="AH85" s="2095"/>
      <c r="AI85" s="2095"/>
      <c r="AJ85" s="2095"/>
      <c r="AK85" s="2095"/>
      <c r="AL85" s="2095"/>
      <c r="AM85" s="2095"/>
      <c r="AN85" s="2095"/>
      <c r="AO85" s="2095"/>
      <c r="AP85" s="2095"/>
      <c r="AQ85" s="2095"/>
      <c r="AR85" s="2095"/>
      <c r="AS85" s="2095"/>
      <c r="AT85" s="2095"/>
      <c r="AU85" s="2095"/>
      <c r="AV85" s="2095"/>
      <c r="AW85" s="2095"/>
      <c r="AX85" s="2095"/>
      <c r="AY85" s="2095"/>
      <c r="AZ85" s="2095"/>
      <c r="BA85" s="2093"/>
      <c r="BB85" s="2096"/>
    </row>
    <row r="86" s="2128" customFormat="true" ht="30" hidden="false" customHeight="true" outlineLevel="0" collapsed="false">
      <c r="A86" s="2092"/>
      <c r="B86" s="2093"/>
      <c r="C86" s="2094"/>
      <c r="D86" s="2095"/>
      <c r="E86" s="2095"/>
      <c r="F86" s="2095"/>
      <c r="G86" s="2095"/>
      <c r="H86" s="2095"/>
      <c r="I86" s="2095"/>
      <c r="J86" s="2095"/>
      <c r="K86" s="2095"/>
      <c r="L86" s="2095"/>
      <c r="M86" s="2095"/>
      <c r="N86" s="2095"/>
      <c r="O86" s="2095"/>
      <c r="P86" s="2093"/>
      <c r="Q86" s="2095"/>
      <c r="R86" s="2095"/>
      <c r="S86" s="2095"/>
      <c r="T86" s="2095"/>
      <c r="U86" s="2095"/>
      <c r="V86" s="2095"/>
      <c r="W86" s="2095"/>
      <c r="X86" s="2095"/>
      <c r="Y86" s="2095"/>
      <c r="Z86" s="2095"/>
      <c r="AA86" s="2095"/>
      <c r="AB86" s="2095"/>
      <c r="AC86" s="2095"/>
      <c r="AD86" s="2095"/>
      <c r="AE86" s="2095"/>
      <c r="AF86" s="2095"/>
      <c r="AG86" s="2095"/>
      <c r="AH86" s="2095"/>
      <c r="AI86" s="2095"/>
      <c r="AJ86" s="2095"/>
      <c r="AK86" s="2095"/>
      <c r="AL86" s="2095"/>
      <c r="AM86" s="2095"/>
      <c r="AN86" s="2095"/>
      <c r="AO86" s="2095"/>
      <c r="AP86" s="2095"/>
      <c r="AQ86" s="2095"/>
      <c r="AR86" s="2095"/>
      <c r="AS86" s="2095"/>
      <c r="AT86" s="2095"/>
      <c r="AU86" s="2095"/>
      <c r="AV86" s="2095"/>
      <c r="AW86" s="2095"/>
      <c r="AX86" s="2095"/>
      <c r="AY86" s="2095"/>
      <c r="AZ86" s="2095"/>
      <c r="BA86" s="2093"/>
      <c r="BB86" s="2096"/>
    </row>
    <row r="87" s="2128" customFormat="true" ht="30" hidden="false" customHeight="true" outlineLevel="0" collapsed="false">
      <c r="A87" s="2092"/>
      <c r="B87" s="2093"/>
      <c r="C87" s="2094"/>
      <c r="D87" s="2095"/>
      <c r="E87" s="2095"/>
      <c r="F87" s="2095"/>
      <c r="G87" s="2095"/>
      <c r="H87" s="2095"/>
      <c r="I87" s="2095"/>
      <c r="J87" s="2095"/>
      <c r="K87" s="2095"/>
      <c r="L87" s="2095"/>
      <c r="M87" s="2095"/>
      <c r="N87" s="2095"/>
      <c r="O87" s="2095"/>
      <c r="P87" s="2093"/>
      <c r="Q87" s="2095"/>
      <c r="R87" s="2095"/>
      <c r="S87" s="2095"/>
      <c r="T87" s="2095"/>
      <c r="U87" s="2095"/>
      <c r="V87" s="2095"/>
      <c r="W87" s="2095"/>
      <c r="X87" s="2095"/>
      <c r="Y87" s="2095"/>
      <c r="Z87" s="2095"/>
      <c r="AA87" s="2095"/>
      <c r="AB87" s="2095"/>
      <c r="AC87" s="2095"/>
      <c r="AD87" s="2095"/>
      <c r="AE87" s="2095"/>
      <c r="AF87" s="2095"/>
      <c r="AG87" s="2095"/>
      <c r="AH87" s="2095"/>
      <c r="AI87" s="2095"/>
      <c r="AJ87" s="2095"/>
      <c r="AK87" s="2095"/>
      <c r="AL87" s="2095"/>
      <c r="AM87" s="2095"/>
      <c r="AN87" s="2095"/>
      <c r="AO87" s="2095"/>
      <c r="AP87" s="2095"/>
      <c r="AQ87" s="2095"/>
      <c r="AR87" s="2095"/>
      <c r="AS87" s="2095"/>
      <c r="AT87" s="2095"/>
      <c r="AU87" s="2095"/>
      <c r="AV87" s="2095"/>
      <c r="AW87" s="2095"/>
      <c r="AX87" s="2095"/>
      <c r="AY87" s="2095"/>
      <c r="AZ87" s="2095"/>
      <c r="BA87" s="2093"/>
      <c r="BB87" s="2096"/>
    </row>
    <row r="88" s="2128" customFormat="true" ht="30" hidden="false" customHeight="true" outlineLevel="0" collapsed="false">
      <c r="A88" s="2092"/>
      <c r="B88" s="2093"/>
      <c r="C88" s="2094"/>
      <c r="D88" s="2095"/>
      <c r="E88" s="2095"/>
      <c r="F88" s="2095"/>
      <c r="G88" s="2095"/>
      <c r="H88" s="2095"/>
      <c r="I88" s="2095"/>
      <c r="J88" s="2095"/>
      <c r="K88" s="2095"/>
      <c r="L88" s="2095"/>
      <c r="M88" s="2095"/>
      <c r="N88" s="2095"/>
      <c r="O88" s="2095"/>
      <c r="P88" s="2093"/>
      <c r="Q88" s="2095"/>
      <c r="R88" s="2095"/>
      <c r="S88" s="2095"/>
      <c r="T88" s="2095"/>
      <c r="U88" s="2095"/>
      <c r="V88" s="2095"/>
      <c r="W88" s="2095"/>
      <c r="X88" s="2095"/>
      <c r="Y88" s="2095"/>
      <c r="Z88" s="2095"/>
      <c r="AA88" s="2095"/>
      <c r="AB88" s="2095"/>
      <c r="AC88" s="2095"/>
      <c r="AD88" s="2095"/>
      <c r="AE88" s="2095"/>
      <c r="AF88" s="2095"/>
      <c r="AG88" s="2095"/>
      <c r="AH88" s="2095"/>
      <c r="AI88" s="2095"/>
      <c r="AJ88" s="2095"/>
      <c r="AK88" s="2095"/>
      <c r="AL88" s="2095"/>
      <c r="AM88" s="2095"/>
      <c r="AN88" s="2095"/>
      <c r="AO88" s="2095"/>
      <c r="AP88" s="2095"/>
      <c r="AQ88" s="2095"/>
      <c r="AR88" s="2095"/>
      <c r="AS88" s="2095"/>
      <c r="AT88" s="2095"/>
      <c r="AU88" s="2095"/>
      <c r="AV88" s="2095"/>
      <c r="AW88" s="2095"/>
      <c r="AX88" s="2095"/>
      <c r="AY88" s="2095"/>
      <c r="AZ88" s="2095"/>
      <c r="BA88" s="2093"/>
      <c r="BB88" s="2096"/>
    </row>
    <row r="89" s="2128" customFormat="true" ht="30" hidden="false" customHeight="true" outlineLevel="0" collapsed="false">
      <c r="A89" s="2092"/>
      <c r="B89" s="2093"/>
      <c r="C89" s="2094"/>
      <c r="D89" s="2095"/>
      <c r="E89" s="2095"/>
      <c r="F89" s="2095"/>
      <c r="G89" s="2095"/>
      <c r="H89" s="2095"/>
      <c r="I89" s="2095"/>
      <c r="J89" s="2095"/>
      <c r="K89" s="2095"/>
      <c r="L89" s="2095"/>
      <c r="M89" s="2095"/>
      <c r="N89" s="2095"/>
      <c r="O89" s="2095"/>
      <c r="P89" s="2093"/>
      <c r="Q89" s="2095"/>
      <c r="R89" s="2095"/>
      <c r="S89" s="2095"/>
      <c r="T89" s="2095"/>
      <c r="U89" s="2095"/>
      <c r="V89" s="2095"/>
      <c r="W89" s="2095"/>
      <c r="X89" s="2095"/>
      <c r="Y89" s="2095"/>
      <c r="Z89" s="2095"/>
      <c r="AA89" s="2095"/>
      <c r="AB89" s="2095"/>
      <c r="AC89" s="2095"/>
      <c r="AD89" s="2095"/>
      <c r="AE89" s="2095"/>
      <c r="AF89" s="2095"/>
      <c r="AG89" s="2095"/>
      <c r="AH89" s="2095"/>
      <c r="AI89" s="2095"/>
      <c r="AJ89" s="2095"/>
      <c r="AK89" s="2095"/>
      <c r="AL89" s="2095"/>
      <c r="AM89" s="2095"/>
      <c r="AN89" s="2095"/>
      <c r="AO89" s="2095"/>
      <c r="AP89" s="2095"/>
      <c r="AQ89" s="2095"/>
      <c r="AR89" s="2095"/>
      <c r="AS89" s="2095"/>
      <c r="AT89" s="2095"/>
      <c r="AU89" s="2095"/>
      <c r="AV89" s="2095"/>
      <c r="AW89" s="2095"/>
      <c r="AX89" s="2095"/>
      <c r="AY89" s="2095"/>
      <c r="AZ89" s="2095"/>
      <c r="BA89" s="2093"/>
      <c r="BB89" s="2096"/>
    </row>
    <row r="90" s="2128" customFormat="true" ht="30" hidden="false" customHeight="true" outlineLevel="0" collapsed="false">
      <c r="A90" s="2092"/>
      <c r="B90" s="2093"/>
      <c r="C90" s="2094"/>
      <c r="D90" s="2095"/>
      <c r="E90" s="2095"/>
      <c r="F90" s="2095"/>
      <c r="G90" s="2095"/>
      <c r="H90" s="2095"/>
      <c r="I90" s="2095"/>
      <c r="J90" s="2095"/>
      <c r="K90" s="2095"/>
      <c r="L90" s="2095"/>
      <c r="M90" s="2095"/>
      <c r="N90" s="2095"/>
      <c r="O90" s="2095"/>
      <c r="P90" s="2093"/>
      <c r="Q90" s="2095"/>
      <c r="R90" s="2095"/>
      <c r="S90" s="2095"/>
      <c r="T90" s="2095"/>
      <c r="U90" s="2095"/>
      <c r="V90" s="2095"/>
      <c r="W90" s="2095"/>
      <c r="X90" s="2095"/>
      <c r="Y90" s="2095"/>
      <c r="Z90" s="2095"/>
      <c r="AA90" s="2095"/>
      <c r="AB90" s="2095"/>
      <c r="AC90" s="2095"/>
      <c r="AD90" s="2095"/>
      <c r="AE90" s="2095"/>
      <c r="AF90" s="2095"/>
      <c r="AG90" s="2095"/>
      <c r="AH90" s="2095"/>
      <c r="AI90" s="2095"/>
      <c r="AJ90" s="2095"/>
      <c r="AK90" s="2095"/>
      <c r="AL90" s="2095"/>
      <c r="AM90" s="2095"/>
      <c r="AN90" s="2095"/>
      <c r="AO90" s="2095"/>
      <c r="AP90" s="2095"/>
      <c r="AQ90" s="2095"/>
      <c r="AR90" s="2095"/>
      <c r="AS90" s="2095"/>
      <c r="AT90" s="2095"/>
      <c r="AU90" s="2095"/>
      <c r="AV90" s="2095"/>
      <c r="AW90" s="2095"/>
      <c r="AX90" s="2095"/>
      <c r="AY90" s="2095"/>
      <c r="AZ90" s="2095"/>
      <c r="BA90" s="2093"/>
      <c r="BB90" s="2096"/>
    </row>
    <row r="91" s="2128" customFormat="true" ht="30" hidden="false" customHeight="true" outlineLevel="0" collapsed="false">
      <c r="A91" s="2092"/>
      <c r="B91" s="2093"/>
      <c r="C91" s="2094"/>
      <c r="D91" s="2095"/>
      <c r="E91" s="2095"/>
      <c r="F91" s="2095"/>
      <c r="G91" s="2095"/>
      <c r="H91" s="2095"/>
      <c r="I91" s="2095"/>
      <c r="J91" s="2095"/>
      <c r="K91" s="2095"/>
      <c r="L91" s="2095"/>
      <c r="M91" s="2095"/>
      <c r="N91" s="2095"/>
      <c r="O91" s="2095"/>
      <c r="P91" s="2093"/>
      <c r="Q91" s="2095"/>
      <c r="R91" s="2095"/>
      <c r="S91" s="2095"/>
      <c r="T91" s="2095"/>
      <c r="U91" s="2095"/>
      <c r="V91" s="2095"/>
      <c r="W91" s="2095"/>
      <c r="X91" s="2095"/>
      <c r="Y91" s="2095"/>
      <c r="Z91" s="2095"/>
      <c r="AA91" s="2095"/>
      <c r="AB91" s="2095"/>
      <c r="AC91" s="2095"/>
      <c r="AD91" s="2095"/>
      <c r="AE91" s="2095"/>
      <c r="AF91" s="2095"/>
      <c r="AG91" s="2095"/>
      <c r="AH91" s="2095"/>
      <c r="AI91" s="2095"/>
      <c r="AJ91" s="2095"/>
      <c r="AK91" s="2095"/>
      <c r="AL91" s="2095"/>
      <c r="AM91" s="2095"/>
      <c r="AN91" s="2095"/>
      <c r="AO91" s="2095"/>
      <c r="AP91" s="2095"/>
      <c r="AQ91" s="2095"/>
      <c r="AR91" s="2095"/>
      <c r="AS91" s="2095"/>
      <c r="AT91" s="2095"/>
      <c r="AU91" s="2095"/>
      <c r="AV91" s="2095"/>
      <c r="AW91" s="2095"/>
      <c r="AX91" s="2095"/>
      <c r="AY91" s="2095"/>
      <c r="AZ91" s="2095"/>
      <c r="BA91" s="2093"/>
      <c r="BB91" s="2096"/>
    </row>
    <row r="92" s="2128" customFormat="true" ht="30" hidden="false" customHeight="true" outlineLevel="0" collapsed="false">
      <c r="A92" s="2092"/>
      <c r="B92" s="2093"/>
      <c r="C92" s="2094"/>
      <c r="D92" s="2095"/>
      <c r="E92" s="2095"/>
      <c r="F92" s="2095"/>
      <c r="G92" s="2095"/>
      <c r="H92" s="2095"/>
      <c r="I92" s="2095"/>
      <c r="J92" s="2095"/>
      <c r="K92" s="2095"/>
      <c r="L92" s="2095"/>
      <c r="M92" s="2095"/>
      <c r="N92" s="2095"/>
      <c r="O92" s="2095"/>
      <c r="P92" s="2093"/>
      <c r="Q92" s="2095"/>
      <c r="R92" s="2095"/>
      <c r="S92" s="2095"/>
      <c r="T92" s="2095"/>
      <c r="U92" s="2095"/>
      <c r="V92" s="2095"/>
      <c r="W92" s="2095"/>
      <c r="X92" s="2095"/>
      <c r="Y92" s="2095"/>
      <c r="Z92" s="2095"/>
      <c r="AA92" s="2095"/>
      <c r="AB92" s="2095"/>
      <c r="AC92" s="2095"/>
      <c r="AD92" s="2095"/>
      <c r="AE92" s="2095"/>
      <c r="AF92" s="2095"/>
      <c r="AG92" s="2095"/>
      <c r="AH92" s="2095"/>
      <c r="AI92" s="2095"/>
      <c r="AJ92" s="2095"/>
      <c r="AK92" s="2095"/>
      <c r="AL92" s="2095"/>
      <c r="AM92" s="2095"/>
      <c r="AN92" s="2095"/>
      <c r="AO92" s="2095"/>
      <c r="AP92" s="2095"/>
      <c r="AQ92" s="2095"/>
      <c r="AR92" s="2095"/>
      <c r="AS92" s="2095"/>
      <c r="AT92" s="2095"/>
      <c r="AU92" s="2095"/>
      <c r="AV92" s="2095"/>
      <c r="AW92" s="2095"/>
      <c r="AX92" s="2095"/>
      <c r="AY92" s="2095"/>
      <c r="AZ92" s="2095"/>
      <c r="BA92" s="2093"/>
      <c r="BB92" s="2096"/>
    </row>
    <row r="93" s="2128" customFormat="true" ht="30" hidden="false" customHeight="true" outlineLevel="0" collapsed="false">
      <c r="A93" s="2092"/>
      <c r="B93" s="2093"/>
      <c r="C93" s="2094"/>
      <c r="D93" s="2095"/>
      <c r="E93" s="2095"/>
      <c r="F93" s="2095"/>
      <c r="G93" s="2095"/>
      <c r="H93" s="2095"/>
      <c r="I93" s="2095"/>
      <c r="J93" s="2095"/>
      <c r="K93" s="2095"/>
      <c r="L93" s="2095"/>
      <c r="M93" s="2095"/>
      <c r="N93" s="2095"/>
      <c r="O93" s="2095"/>
      <c r="P93" s="2093"/>
      <c r="Q93" s="2095"/>
      <c r="R93" s="2095"/>
      <c r="S93" s="2095"/>
      <c r="T93" s="2095"/>
      <c r="U93" s="2095"/>
      <c r="V93" s="2095"/>
      <c r="W93" s="2095"/>
      <c r="X93" s="2095"/>
      <c r="Y93" s="2095"/>
      <c r="Z93" s="2095"/>
      <c r="AA93" s="2095"/>
      <c r="AB93" s="2095"/>
      <c r="AC93" s="2095"/>
      <c r="AD93" s="2095"/>
      <c r="AE93" s="2095"/>
      <c r="AF93" s="2095"/>
      <c r="AG93" s="2095"/>
      <c r="AH93" s="2095"/>
      <c r="AI93" s="2095"/>
      <c r="AJ93" s="2095"/>
      <c r="AK93" s="2095"/>
      <c r="AL93" s="2095"/>
      <c r="AM93" s="2095"/>
      <c r="AN93" s="2095"/>
      <c r="AO93" s="2095"/>
      <c r="AP93" s="2095"/>
      <c r="AQ93" s="2095"/>
      <c r="AR93" s="2095"/>
      <c r="AS93" s="2095"/>
      <c r="AT93" s="2095"/>
      <c r="AU93" s="2095"/>
      <c r="AV93" s="2095"/>
      <c r="AW93" s="2095"/>
      <c r="AX93" s="2095"/>
      <c r="AY93" s="2095"/>
      <c r="AZ93" s="2095"/>
      <c r="BA93" s="2093"/>
      <c r="BB93" s="2096"/>
    </row>
    <row r="94" s="2128" customFormat="true" ht="30" hidden="false" customHeight="true" outlineLevel="0" collapsed="false">
      <c r="A94" s="2092"/>
      <c r="B94" s="2093"/>
      <c r="C94" s="2094"/>
      <c r="D94" s="2095"/>
      <c r="E94" s="2095"/>
      <c r="F94" s="2095"/>
      <c r="G94" s="2095"/>
      <c r="H94" s="2095"/>
      <c r="I94" s="2095"/>
      <c r="J94" s="2095"/>
      <c r="K94" s="2095"/>
      <c r="L94" s="2095"/>
      <c r="M94" s="2095"/>
      <c r="N94" s="2095"/>
      <c r="O94" s="2095"/>
      <c r="P94" s="2093"/>
      <c r="Q94" s="2095"/>
      <c r="R94" s="2095"/>
      <c r="S94" s="2095"/>
      <c r="T94" s="2095"/>
      <c r="U94" s="2095"/>
      <c r="V94" s="2095"/>
      <c r="W94" s="2095"/>
      <c r="X94" s="2095"/>
      <c r="Y94" s="2095"/>
      <c r="Z94" s="2095"/>
      <c r="AA94" s="2095"/>
      <c r="AB94" s="2095"/>
      <c r="AC94" s="2095"/>
      <c r="AD94" s="2095"/>
      <c r="AE94" s="2095"/>
      <c r="AF94" s="2095"/>
      <c r="AG94" s="2095"/>
      <c r="AH94" s="2095"/>
      <c r="AI94" s="2095"/>
      <c r="AJ94" s="2095"/>
      <c r="AK94" s="2095"/>
      <c r="AL94" s="2095"/>
      <c r="AM94" s="2095"/>
      <c r="AN94" s="2095"/>
      <c r="AO94" s="2095"/>
      <c r="AP94" s="2095"/>
      <c r="AQ94" s="2095"/>
      <c r="AR94" s="2095"/>
      <c r="AS94" s="2095"/>
      <c r="AT94" s="2095"/>
      <c r="AU94" s="2095"/>
      <c r="AV94" s="2095"/>
      <c r="AW94" s="2095"/>
      <c r="AX94" s="2095"/>
      <c r="AY94" s="2095"/>
      <c r="AZ94" s="2095"/>
      <c r="BA94" s="2093"/>
      <c r="BB94" s="2096"/>
    </row>
    <row r="95" s="2128" customFormat="true" ht="30" hidden="false" customHeight="true" outlineLevel="0" collapsed="false">
      <c r="A95" s="2092"/>
      <c r="B95" s="2093"/>
      <c r="C95" s="2094"/>
      <c r="D95" s="2095"/>
      <c r="E95" s="2095"/>
      <c r="F95" s="2095"/>
      <c r="G95" s="2095"/>
      <c r="H95" s="2095"/>
      <c r="I95" s="2095"/>
      <c r="J95" s="2095"/>
      <c r="K95" s="2095"/>
      <c r="L95" s="2095"/>
      <c r="M95" s="2095"/>
      <c r="N95" s="2095"/>
      <c r="O95" s="2095"/>
      <c r="P95" s="2093"/>
      <c r="Q95" s="2095"/>
      <c r="R95" s="2095"/>
      <c r="S95" s="2095"/>
      <c r="T95" s="2095"/>
      <c r="U95" s="2095"/>
      <c r="V95" s="2095"/>
      <c r="W95" s="2095"/>
      <c r="X95" s="2095"/>
      <c r="Y95" s="2095"/>
      <c r="Z95" s="2095"/>
      <c r="AA95" s="2095"/>
      <c r="AB95" s="2095"/>
      <c r="AC95" s="2095"/>
      <c r="AD95" s="2095"/>
      <c r="AE95" s="2095"/>
      <c r="AF95" s="2095"/>
      <c r="AG95" s="2095"/>
      <c r="AH95" s="2095"/>
      <c r="AI95" s="2095"/>
      <c r="AJ95" s="2095"/>
      <c r="AK95" s="2095"/>
      <c r="AL95" s="2095"/>
      <c r="AM95" s="2095"/>
      <c r="AN95" s="2095"/>
      <c r="AO95" s="2095"/>
      <c r="AP95" s="2095"/>
      <c r="AQ95" s="2095"/>
      <c r="AR95" s="2095"/>
      <c r="AS95" s="2095"/>
      <c r="AT95" s="2095"/>
      <c r="AU95" s="2095"/>
      <c r="AV95" s="2095"/>
      <c r="AW95" s="2095"/>
      <c r="AX95" s="2095"/>
      <c r="AY95" s="2095"/>
      <c r="AZ95" s="2095"/>
      <c r="BA95" s="2093"/>
      <c r="BB95" s="2096"/>
    </row>
    <row r="96" s="2128" customFormat="true" ht="30" hidden="false" customHeight="true" outlineLevel="0" collapsed="false">
      <c r="A96" s="2092"/>
      <c r="B96" s="2093"/>
      <c r="C96" s="2094"/>
      <c r="D96" s="2095"/>
      <c r="E96" s="2095"/>
      <c r="F96" s="2095"/>
      <c r="G96" s="2095"/>
      <c r="H96" s="2095"/>
      <c r="I96" s="2095"/>
      <c r="J96" s="2095"/>
      <c r="K96" s="2095"/>
      <c r="L96" s="2095"/>
      <c r="M96" s="2095"/>
      <c r="N96" s="2095"/>
      <c r="O96" s="2095"/>
      <c r="P96" s="2093"/>
      <c r="Q96" s="2095"/>
      <c r="R96" s="2095"/>
      <c r="S96" s="2095"/>
      <c r="T96" s="2095"/>
      <c r="U96" s="2095"/>
      <c r="V96" s="2095"/>
      <c r="W96" s="2095"/>
      <c r="X96" s="2095"/>
      <c r="Y96" s="2095"/>
      <c r="Z96" s="2095"/>
      <c r="AA96" s="2095"/>
      <c r="AB96" s="2095"/>
      <c r="AC96" s="2095"/>
      <c r="AD96" s="2095"/>
      <c r="AE96" s="2095"/>
      <c r="AF96" s="2095"/>
      <c r="AG96" s="2095"/>
      <c r="AH96" s="2095"/>
      <c r="AI96" s="2095"/>
      <c r="AJ96" s="2095"/>
      <c r="AK96" s="2095"/>
      <c r="AL96" s="2095"/>
      <c r="AM96" s="2095"/>
      <c r="AN96" s="2095"/>
      <c r="AO96" s="2095"/>
      <c r="AP96" s="2095"/>
      <c r="AQ96" s="2095"/>
      <c r="AR96" s="2095"/>
      <c r="AS96" s="2095"/>
      <c r="AT96" s="2095"/>
      <c r="AU96" s="2095"/>
      <c r="AV96" s="2095"/>
      <c r="AW96" s="2095"/>
      <c r="AX96" s="2095"/>
      <c r="AY96" s="2095"/>
      <c r="AZ96" s="2095"/>
      <c r="BA96" s="2093"/>
      <c r="BB96" s="2096"/>
    </row>
    <row r="97" s="2128" customFormat="true" ht="30" hidden="false" customHeight="true" outlineLevel="0" collapsed="false">
      <c r="A97" s="2092"/>
      <c r="B97" s="2093"/>
      <c r="C97" s="2094"/>
      <c r="D97" s="2095"/>
      <c r="E97" s="2095"/>
      <c r="F97" s="2095"/>
      <c r="G97" s="2095"/>
      <c r="H97" s="2095"/>
      <c r="I97" s="2095"/>
      <c r="J97" s="2095"/>
      <c r="K97" s="2095"/>
      <c r="L97" s="2095"/>
      <c r="M97" s="2095"/>
      <c r="N97" s="2095"/>
      <c r="O97" s="2095"/>
      <c r="P97" s="2093"/>
      <c r="Q97" s="2095"/>
      <c r="R97" s="2095"/>
      <c r="S97" s="2095"/>
      <c r="T97" s="2095"/>
      <c r="U97" s="2095"/>
      <c r="V97" s="2095"/>
      <c r="W97" s="2095"/>
      <c r="X97" s="2095"/>
      <c r="Y97" s="2095"/>
      <c r="Z97" s="2095"/>
      <c r="AA97" s="2095"/>
      <c r="AB97" s="2095"/>
      <c r="AC97" s="2095"/>
      <c r="AD97" s="2095"/>
      <c r="AE97" s="2095"/>
      <c r="AF97" s="2095"/>
      <c r="AG97" s="2095"/>
      <c r="AH97" s="2095"/>
      <c r="AI97" s="2095"/>
      <c r="AJ97" s="2095"/>
      <c r="AK97" s="2095"/>
      <c r="AL97" s="2095"/>
      <c r="AM97" s="2095"/>
      <c r="AN97" s="2095"/>
      <c r="AO97" s="2095"/>
      <c r="AP97" s="2095"/>
      <c r="AQ97" s="2095"/>
      <c r="AR97" s="2095"/>
      <c r="AS97" s="2095"/>
      <c r="AT97" s="2095"/>
      <c r="AU97" s="2095"/>
      <c r="AV97" s="2095"/>
      <c r="AW97" s="2095"/>
      <c r="AX97" s="2095"/>
      <c r="AY97" s="2095"/>
      <c r="AZ97" s="2095"/>
      <c r="BA97" s="2093"/>
      <c r="BB97" s="2096"/>
    </row>
    <row r="98" s="2128" customFormat="true" ht="30" hidden="false" customHeight="true" outlineLevel="0" collapsed="false">
      <c r="A98" s="2092"/>
      <c r="B98" s="2093"/>
      <c r="C98" s="2094"/>
      <c r="D98" s="2095"/>
      <c r="E98" s="2095"/>
      <c r="F98" s="2095"/>
      <c r="G98" s="2095"/>
      <c r="H98" s="2095"/>
      <c r="I98" s="2095"/>
      <c r="J98" s="2095"/>
      <c r="K98" s="2095"/>
      <c r="L98" s="2095"/>
      <c r="M98" s="2095"/>
      <c r="N98" s="2095"/>
      <c r="O98" s="2095"/>
      <c r="P98" s="2093"/>
      <c r="Q98" s="2095"/>
      <c r="R98" s="2095"/>
      <c r="S98" s="2095"/>
      <c r="T98" s="2095"/>
      <c r="U98" s="2095"/>
      <c r="V98" s="2095"/>
      <c r="W98" s="2095"/>
      <c r="X98" s="2095"/>
      <c r="Y98" s="2095"/>
      <c r="Z98" s="2095"/>
      <c r="AA98" s="2095"/>
      <c r="AB98" s="2095"/>
      <c r="AC98" s="2095"/>
      <c r="AD98" s="2095"/>
      <c r="AE98" s="2095"/>
      <c r="AF98" s="2095"/>
      <c r="AG98" s="2095"/>
      <c r="AH98" s="2095"/>
      <c r="AI98" s="2095"/>
      <c r="AJ98" s="2095"/>
      <c r="AK98" s="2095"/>
      <c r="AL98" s="2095"/>
      <c r="AM98" s="2095"/>
      <c r="AN98" s="2095"/>
      <c r="AO98" s="2095"/>
      <c r="AP98" s="2095"/>
      <c r="AQ98" s="2095"/>
      <c r="AR98" s="2095"/>
      <c r="AS98" s="2095"/>
      <c r="AT98" s="2095"/>
      <c r="AU98" s="2095"/>
      <c r="AV98" s="2095"/>
      <c r="AW98" s="2095"/>
      <c r="AX98" s="2095"/>
      <c r="AY98" s="2095"/>
      <c r="AZ98" s="2095"/>
      <c r="BA98" s="2093"/>
      <c r="BB98" s="2096"/>
    </row>
    <row r="99" s="2128" customFormat="true" ht="30" hidden="false" customHeight="true" outlineLevel="0" collapsed="false">
      <c r="A99" s="2092"/>
      <c r="B99" s="2093"/>
      <c r="C99" s="2094"/>
      <c r="D99" s="2095"/>
      <c r="E99" s="2095"/>
      <c r="F99" s="2095"/>
      <c r="G99" s="2095"/>
      <c r="H99" s="2095"/>
      <c r="I99" s="2095"/>
      <c r="J99" s="2095"/>
      <c r="K99" s="2095"/>
      <c r="L99" s="2095"/>
      <c r="M99" s="2095"/>
      <c r="N99" s="2095"/>
      <c r="O99" s="2095"/>
      <c r="P99" s="2093"/>
      <c r="Q99" s="2095"/>
      <c r="R99" s="2095"/>
      <c r="S99" s="2095"/>
      <c r="T99" s="2095"/>
      <c r="U99" s="2095"/>
      <c r="V99" s="2095"/>
      <c r="W99" s="2095"/>
      <c r="X99" s="2095"/>
      <c r="Y99" s="2095"/>
      <c r="Z99" s="2095"/>
      <c r="AA99" s="2095"/>
      <c r="AB99" s="2095"/>
      <c r="AC99" s="2095"/>
      <c r="AD99" s="2095"/>
      <c r="AE99" s="2095"/>
      <c r="AF99" s="2095"/>
      <c r="AG99" s="2095"/>
      <c r="AH99" s="2095"/>
      <c r="AI99" s="2095"/>
      <c r="AJ99" s="2095"/>
      <c r="AK99" s="2095"/>
      <c r="AL99" s="2095"/>
      <c r="AM99" s="2095"/>
      <c r="AN99" s="2095"/>
      <c r="AO99" s="2095"/>
      <c r="AP99" s="2095"/>
      <c r="AQ99" s="2095"/>
      <c r="AR99" s="2095"/>
      <c r="AS99" s="2095"/>
      <c r="AT99" s="2095"/>
      <c r="AU99" s="2095"/>
      <c r="AV99" s="2095"/>
      <c r="AW99" s="2095"/>
      <c r="AX99" s="2095"/>
      <c r="AY99" s="2095"/>
      <c r="AZ99" s="2095"/>
      <c r="BA99" s="2093"/>
      <c r="BB99" s="2096"/>
    </row>
    <row r="100" s="2128" customFormat="true" ht="30" hidden="false" customHeight="true" outlineLevel="0" collapsed="false">
      <c r="A100" s="2092"/>
      <c r="B100" s="2093"/>
      <c r="C100" s="2094"/>
      <c r="D100" s="2095"/>
      <c r="E100" s="2095"/>
      <c r="F100" s="2095"/>
      <c r="G100" s="2095"/>
      <c r="H100" s="2095"/>
      <c r="I100" s="2095"/>
      <c r="J100" s="2095"/>
      <c r="K100" s="2095"/>
      <c r="L100" s="2095"/>
      <c r="M100" s="2095"/>
      <c r="N100" s="2095"/>
      <c r="O100" s="2095"/>
      <c r="P100" s="2093"/>
      <c r="Q100" s="2095"/>
      <c r="R100" s="2095"/>
      <c r="S100" s="2095"/>
      <c r="T100" s="2095"/>
      <c r="U100" s="2095"/>
      <c r="V100" s="2095"/>
      <c r="W100" s="2095"/>
      <c r="X100" s="2095"/>
      <c r="Y100" s="2095"/>
      <c r="Z100" s="2095"/>
      <c r="AA100" s="2095"/>
      <c r="AB100" s="2095"/>
      <c r="AC100" s="2095"/>
      <c r="AD100" s="2095"/>
      <c r="AE100" s="2095"/>
      <c r="AF100" s="2095"/>
      <c r="AG100" s="2095"/>
      <c r="AH100" s="2095"/>
      <c r="AI100" s="2095"/>
      <c r="AJ100" s="2095"/>
      <c r="AK100" s="2095"/>
      <c r="AL100" s="2095"/>
      <c r="AM100" s="2095"/>
      <c r="AN100" s="2095"/>
      <c r="AO100" s="2095"/>
      <c r="AP100" s="2095"/>
      <c r="AQ100" s="2095"/>
      <c r="AR100" s="2095"/>
      <c r="AS100" s="2095"/>
      <c r="AT100" s="2095"/>
      <c r="AU100" s="2095"/>
      <c r="AV100" s="2095"/>
      <c r="AW100" s="2095"/>
      <c r="AX100" s="2095"/>
      <c r="AY100" s="2095"/>
      <c r="AZ100" s="2095"/>
      <c r="BA100" s="2093"/>
      <c r="BB100" s="2096"/>
    </row>
    <row r="101" s="2128" customFormat="true" ht="30" hidden="false" customHeight="true" outlineLevel="0" collapsed="false">
      <c r="A101" s="2092"/>
      <c r="B101" s="2093"/>
      <c r="C101" s="2094"/>
      <c r="D101" s="2095"/>
      <c r="E101" s="2095"/>
      <c r="F101" s="2095"/>
      <c r="G101" s="2095"/>
      <c r="H101" s="2095"/>
      <c r="I101" s="2095"/>
      <c r="J101" s="2095"/>
      <c r="K101" s="2095"/>
      <c r="L101" s="2095"/>
      <c r="M101" s="2095"/>
      <c r="N101" s="2095"/>
      <c r="O101" s="2095"/>
      <c r="P101" s="2093"/>
      <c r="Q101" s="2095"/>
      <c r="R101" s="2095"/>
      <c r="S101" s="2095"/>
      <c r="T101" s="2095"/>
      <c r="U101" s="2095"/>
      <c r="V101" s="2095"/>
      <c r="W101" s="2095"/>
      <c r="X101" s="2095"/>
      <c r="Y101" s="2095"/>
      <c r="Z101" s="2095"/>
      <c r="AA101" s="2095"/>
      <c r="AB101" s="2095"/>
      <c r="AC101" s="2095"/>
      <c r="AD101" s="2095"/>
      <c r="AE101" s="2095"/>
      <c r="AF101" s="2095"/>
      <c r="AG101" s="2095"/>
      <c r="AH101" s="2095"/>
      <c r="AI101" s="2095"/>
      <c r="AJ101" s="2095"/>
      <c r="AK101" s="2095"/>
      <c r="AL101" s="2095"/>
      <c r="AM101" s="2095"/>
      <c r="AN101" s="2095"/>
      <c r="AO101" s="2095"/>
      <c r="AP101" s="2095"/>
      <c r="AQ101" s="2095"/>
      <c r="AR101" s="2095"/>
      <c r="AS101" s="2095"/>
      <c r="AT101" s="2095"/>
      <c r="AU101" s="2095"/>
      <c r="AV101" s="2095"/>
      <c r="AW101" s="2095"/>
      <c r="AX101" s="2095"/>
      <c r="AY101" s="2095"/>
      <c r="AZ101" s="2095"/>
      <c r="BA101" s="2093"/>
      <c r="BB101" s="2096"/>
    </row>
    <row r="102" s="2128" customFormat="true" ht="30" hidden="false" customHeight="true" outlineLevel="0" collapsed="false">
      <c r="A102" s="2092"/>
      <c r="B102" s="2093"/>
      <c r="C102" s="2094"/>
      <c r="D102" s="2095"/>
      <c r="E102" s="2095"/>
      <c r="F102" s="2095"/>
      <c r="G102" s="2095"/>
      <c r="H102" s="2095"/>
      <c r="I102" s="2095"/>
      <c r="J102" s="2095"/>
      <c r="K102" s="2095"/>
      <c r="L102" s="2095"/>
      <c r="M102" s="2095"/>
      <c r="N102" s="2095"/>
      <c r="O102" s="2095"/>
      <c r="P102" s="2093"/>
      <c r="Q102" s="2095"/>
      <c r="R102" s="2095"/>
      <c r="S102" s="2095"/>
      <c r="T102" s="2095"/>
      <c r="U102" s="2095"/>
      <c r="V102" s="2095"/>
      <c r="W102" s="2095"/>
      <c r="X102" s="2095"/>
      <c r="Y102" s="2095"/>
      <c r="Z102" s="2095"/>
      <c r="AA102" s="2095"/>
      <c r="AB102" s="2095"/>
      <c r="AC102" s="2095"/>
      <c r="AD102" s="2095"/>
      <c r="AE102" s="2095"/>
      <c r="AF102" s="2095"/>
      <c r="AG102" s="2095"/>
      <c r="AH102" s="2095"/>
      <c r="AI102" s="2095"/>
      <c r="AJ102" s="2095"/>
      <c r="AK102" s="2095"/>
      <c r="AL102" s="2095"/>
      <c r="AM102" s="2095"/>
      <c r="AN102" s="2095"/>
      <c r="AO102" s="2095"/>
      <c r="AP102" s="2095"/>
      <c r="AQ102" s="2095"/>
      <c r="AR102" s="2095"/>
      <c r="AS102" s="2095"/>
      <c r="AT102" s="2095"/>
      <c r="AU102" s="2095"/>
      <c r="AV102" s="2095"/>
      <c r="AW102" s="2095"/>
      <c r="AX102" s="2095"/>
      <c r="AY102" s="2095"/>
      <c r="AZ102" s="2095"/>
      <c r="BA102" s="2093"/>
      <c r="BB102" s="2096"/>
    </row>
    <row r="103" s="2128" customFormat="true" ht="30" hidden="false" customHeight="true" outlineLevel="0" collapsed="false">
      <c r="A103" s="2092"/>
      <c r="B103" s="2093"/>
      <c r="C103" s="2094"/>
      <c r="D103" s="2095"/>
      <c r="E103" s="2095"/>
      <c r="F103" s="2095"/>
      <c r="G103" s="2095"/>
      <c r="H103" s="2095"/>
      <c r="I103" s="2095"/>
      <c r="J103" s="2095"/>
      <c r="K103" s="2095"/>
      <c r="L103" s="2095"/>
      <c r="M103" s="2095"/>
      <c r="N103" s="2095"/>
      <c r="O103" s="2095"/>
      <c r="P103" s="2093"/>
      <c r="Q103" s="2095"/>
      <c r="R103" s="2095"/>
      <c r="S103" s="2095"/>
      <c r="T103" s="2095"/>
      <c r="U103" s="2095"/>
      <c r="V103" s="2095"/>
      <c r="W103" s="2095"/>
      <c r="X103" s="2095"/>
      <c r="Y103" s="2095"/>
      <c r="Z103" s="2095"/>
      <c r="AA103" s="2095"/>
      <c r="AB103" s="2095"/>
      <c r="AC103" s="2095"/>
      <c r="AD103" s="2095"/>
      <c r="AE103" s="2095"/>
      <c r="AF103" s="2095"/>
      <c r="AG103" s="2095"/>
      <c r="AH103" s="2095"/>
      <c r="AI103" s="2095"/>
      <c r="AJ103" s="2095"/>
      <c r="AK103" s="2095"/>
      <c r="AL103" s="2095"/>
      <c r="AM103" s="2095"/>
      <c r="AN103" s="2095"/>
      <c r="AO103" s="2095"/>
      <c r="AP103" s="2095"/>
      <c r="AQ103" s="2095"/>
      <c r="AR103" s="2095"/>
      <c r="AS103" s="2095"/>
      <c r="AT103" s="2095"/>
      <c r="AU103" s="2095"/>
      <c r="AV103" s="2095"/>
      <c r="AW103" s="2095"/>
      <c r="AX103" s="2095"/>
      <c r="AY103" s="2095"/>
      <c r="AZ103" s="2095"/>
      <c r="BA103" s="2093"/>
      <c r="BB103" s="2096"/>
    </row>
    <row r="104" s="2128" customFormat="true" ht="30" hidden="false" customHeight="true" outlineLevel="0" collapsed="false">
      <c r="A104" s="2092"/>
      <c r="B104" s="2093"/>
      <c r="C104" s="2094"/>
      <c r="D104" s="2095"/>
      <c r="E104" s="2095"/>
      <c r="F104" s="2095"/>
      <c r="G104" s="2095"/>
      <c r="H104" s="2095"/>
      <c r="I104" s="2095"/>
      <c r="J104" s="2095"/>
      <c r="K104" s="2095"/>
      <c r="L104" s="2095"/>
      <c r="M104" s="2095"/>
      <c r="N104" s="2095"/>
      <c r="O104" s="2095"/>
      <c r="P104" s="2093"/>
      <c r="Q104" s="2095"/>
      <c r="R104" s="2095"/>
      <c r="S104" s="2095"/>
      <c r="T104" s="2095"/>
      <c r="U104" s="2095"/>
      <c r="V104" s="2095"/>
      <c r="W104" s="2095"/>
      <c r="X104" s="2095"/>
      <c r="Y104" s="2095"/>
      <c r="Z104" s="2095"/>
      <c r="AA104" s="2095"/>
      <c r="AB104" s="2095"/>
      <c r="AC104" s="2095"/>
      <c r="AD104" s="2095"/>
      <c r="AE104" s="2095"/>
      <c r="AF104" s="2095"/>
      <c r="AG104" s="2095"/>
      <c r="AH104" s="2095"/>
      <c r="AI104" s="2095"/>
      <c r="AJ104" s="2095"/>
      <c r="AK104" s="2095"/>
      <c r="AL104" s="2095"/>
      <c r="AM104" s="2095"/>
      <c r="AN104" s="2095"/>
      <c r="AO104" s="2095"/>
      <c r="AP104" s="2095"/>
      <c r="AQ104" s="2095"/>
      <c r="AR104" s="2095"/>
      <c r="AS104" s="2095"/>
      <c r="AT104" s="2095"/>
      <c r="AU104" s="2095"/>
      <c r="AV104" s="2095"/>
      <c r="AW104" s="2095"/>
      <c r="AX104" s="2095"/>
      <c r="AY104" s="2095"/>
      <c r="AZ104" s="2095"/>
      <c r="BA104" s="2093"/>
      <c r="BB104" s="2096"/>
    </row>
    <row r="105" s="2128" customFormat="true" ht="30" hidden="false" customHeight="true" outlineLevel="0" collapsed="false">
      <c r="A105" s="2092"/>
      <c r="B105" s="2093"/>
      <c r="C105" s="2094"/>
      <c r="D105" s="2095"/>
      <c r="E105" s="2095"/>
      <c r="F105" s="2095"/>
      <c r="G105" s="2095"/>
      <c r="H105" s="2095"/>
      <c r="I105" s="2095"/>
      <c r="J105" s="2095"/>
      <c r="K105" s="2095"/>
      <c r="L105" s="2095"/>
      <c r="M105" s="2095"/>
      <c r="N105" s="2095"/>
      <c r="O105" s="2095"/>
      <c r="P105" s="2093"/>
      <c r="Q105" s="2095"/>
      <c r="R105" s="2095"/>
      <c r="S105" s="2095"/>
      <c r="T105" s="2095"/>
      <c r="U105" s="2095"/>
      <c r="V105" s="2095"/>
      <c r="W105" s="2095"/>
      <c r="X105" s="2095"/>
      <c r="Y105" s="2095"/>
      <c r="Z105" s="2095"/>
      <c r="AA105" s="2095"/>
      <c r="AB105" s="2095"/>
      <c r="AC105" s="2095"/>
      <c r="AD105" s="2095"/>
      <c r="AE105" s="2095"/>
      <c r="AF105" s="2095"/>
      <c r="AG105" s="2095"/>
      <c r="AH105" s="2095"/>
      <c r="AI105" s="2095"/>
      <c r="AJ105" s="2095"/>
      <c r="AK105" s="2095"/>
      <c r="AL105" s="2095"/>
      <c r="AM105" s="2095"/>
      <c r="AN105" s="2095"/>
      <c r="AO105" s="2095"/>
      <c r="AP105" s="2095"/>
      <c r="AQ105" s="2095"/>
      <c r="AR105" s="2095"/>
      <c r="AS105" s="2095"/>
      <c r="AT105" s="2095"/>
      <c r="AU105" s="2095"/>
      <c r="AV105" s="2095"/>
      <c r="AW105" s="2095"/>
      <c r="AX105" s="2095"/>
      <c r="AY105" s="2095"/>
      <c r="AZ105" s="2095"/>
      <c r="BA105" s="2093"/>
      <c r="BB105" s="2096"/>
    </row>
    <row r="106" s="2128" customFormat="true" ht="30" hidden="false" customHeight="true" outlineLevel="0" collapsed="false">
      <c r="A106" s="2092"/>
      <c r="B106" s="2093"/>
      <c r="C106" s="2094"/>
      <c r="D106" s="2095"/>
      <c r="E106" s="2095"/>
      <c r="F106" s="2095"/>
      <c r="G106" s="2095"/>
      <c r="H106" s="2095"/>
      <c r="I106" s="2095"/>
      <c r="J106" s="2095"/>
      <c r="K106" s="2095"/>
      <c r="L106" s="2095"/>
      <c r="M106" s="2095"/>
      <c r="N106" s="2095"/>
      <c r="O106" s="2095"/>
      <c r="P106" s="2093"/>
      <c r="Q106" s="2095"/>
      <c r="R106" s="2095"/>
      <c r="S106" s="2095"/>
      <c r="T106" s="2095"/>
      <c r="U106" s="2095"/>
      <c r="V106" s="2095"/>
      <c r="W106" s="2095"/>
      <c r="X106" s="2095"/>
      <c r="Y106" s="2095"/>
      <c r="Z106" s="2095"/>
      <c r="AA106" s="2095"/>
      <c r="AB106" s="2095"/>
      <c r="AC106" s="2095"/>
      <c r="AD106" s="2095"/>
      <c r="AE106" s="2095"/>
      <c r="AF106" s="2095"/>
      <c r="AG106" s="2095"/>
      <c r="AH106" s="2095"/>
      <c r="AI106" s="2095"/>
      <c r="AJ106" s="2095"/>
      <c r="AK106" s="2095"/>
      <c r="AL106" s="2095"/>
      <c r="AM106" s="2095"/>
      <c r="AN106" s="2095"/>
      <c r="AO106" s="2095"/>
      <c r="AP106" s="2095"/>
      <c r="AQ106" s="2095"/>
      <c r="AR106" s="2095"/>
      <c r="AS106" s="2095"/>
      <c r="AT106" s="2095"/>
      <c r="AU106" s="2095"/>
      <c r="AV106" s="2095"/>
      <c r="AW106" s="2095"/>
      <c r="AX106" s="2095"/>
      <c r="AY106" s="2095"/>
      <c r="AZ106" s="2095"/>
      <c r="BA106" s="2093"/>
      <c r="BB106" s="2096"/>
    </row>
    <row r="107" s="2128" customFormat="true" ht="30" hidden="false" customHeight="true" outlineLevel="0" collapsed="false">
      <c r="A107" s="2092"/>
      <c r="B107" s="2093"/>
      <c r="C107" s="2094"/>
      <c r="D107" s="2095"/>
      <c r="E107" s="2095"/>
      <c r="F107" s="2095"/>
      <c r="G107" s="2095"/>
      <c r="H107" s="2095"/>
      <c r="I107" s="2095"/>
      <c r="J107" s="2095"/>
      <c r="K107" s="2095"/>
      <c r="L107" s="2095"/>
      <c r="M107" s="2095"/>
      <c r="N107" s="2095"/>
      <c r="O107" s="2095"/>
      <c r="P107" s="2093"/>
      <c r="Q107" s="2095"/>
      <c r="R107" s="2095"/>
      <c r="S107" s="2095"/>
      <c r="T107" s="2095"/>
      <c r="U107" s="2095"/>
      <c r="V107" s="2095"/>
      <c r="W107" s="2095"/>
      <c r="X107" s="2095"/>
      <c r="Y107" s="2095"/>
      <c r="Z107" s="2095"/>
      <c r="AA107" s="2095"/>
      <c r="AB107" s="2095"/>
      <c r="AC107" s="2095"/>
      <c r="AD107" s="2095"/>
      <c r="AE107" s="2095"/>
      <c r="AF107" s="2095"/>
      <c r="AG107" s="2095"/>
      <c r="AH107" s="2095"/>
      <c r="AI107" s="2095"/>
      <c r="AJ107" s="2095"/>
      <c r="AK107" s="2095"/>
      <c r="AL107" s="2095"/>
      <c r="AM107" s="2095"/>
      <c r="AN107" s="2095"/>
      <c r="AO107" s="2095"/>
      <c r="AP107" s="2095"/>
      <c r="AQ107" s="2095"/>
      <c r="AR107" s="2095"/>
      <c r="AS107" s="2095"/>
      <c r="AT107" s="2095"/>
      <c r="AU107" s="2095"/>
      <c r="AV107" s="2095"/>
      <c r="AW107" s="2095"/>
      <c r="AX107" s="2095"/>
      <c r="AY107" s="2095"/>
      <c r="AZ107" s="2095"/>
      <c r="BA107" s="2093"/>
      <c r="BB107" s="2096"/>
    </row>
    <row r="108" s="2128" customFormat="true" ht="30" hidden="false" customHeight="true" outlineLevel="0" collapsed="false">
      <c r="A108" s="2092"/>
      <c r="B108" s="2093"/>
      <c r="C108" s="2094"/>
      <c r="D108" s="2095"/>
      <c r="E108" s="2095"/>
      <c r="F108" s="2095"/>
      <c r="G108" s="2095"/>
      <c r="H108" s="2095"/>
      <c r="I108" s="2095"/>
      <c r="J108" s="2095"/>
      <c r="K108" s="2095"/>
      <c r="L108" s="2095"/>
      <c r="M108" s="2095"/>
      <c r="N108" s="2095"/>
      <c r="O108" s="2095"/>
      <c r="P108" s="2093"/>
      <c r="Q108" s="2095"/>
      <c r="R108" s="2095"/>
      <c r="S108" s="2095"/>
      <c r="T108" s="2095"/>
      <c r="U108" s="2095"/>
      <c r="V108" s="2095"/>
      <c r="W108" s="2095"/>
      <c r="X108" s="2095"/>
      <c r="Y108" s="2095"/>
      <c r="Z108" s="2095"/>
      <c r="AA108" s="2095"/>
      <c r="AB108" s="2095"/>
      <c r="AC108" s="2095"/>
      <c r="AD108" s="2095"/>
      <c r="AE108" s="2095"/>
      <c r="AF108" s="2095"/>
      <c r="AG108" s="2095"/>
      <c r="AH108" s="2095"/>
      <c r="AI108" s="2095"/>
      <c r="AJ108" s="2095"/>
      <c r="AK108" s="2095"/>
      <c r="AL108" s="2095"/>
      <c r="AM108" s="2095"/>
      <c r="AN108" s="2095"/>
      <c r="AO108" s="2095"/>
      <c r="AP108" s="2095"/>
      <c r="AQ108" s="2095"/>
      <c r="AR108" s="2095"/>
      <c r="AS108" s="2095"/>
      <c r="AT108" s="2095"/>
      <c r="AU108" s="2095"/>
      <c r="AV108" s="2095"/>
      <c r="AW108" s="2095"/>
      <c r="AX108" s="2095"/>
      <c r="AY108" s="2095"/>
      <c r="AZ108" s="2095"/>
      <c r="BA108" s="2093"/>
      <c r="BB108" s="2096"/>
    </row>
    <row r="109" s="2128" customFormat="true" ht="30" hidden="false" customHeight="true" outlineLevel="0" collapsed="false">
      <c r="A109" s="2092"/>
      <c r="B109" s="2093"/>
      <c r="C109" s="2094"/>
      <c r="D109" s="2095"/>
      <c r="E109" s="2095"/>
      <c r="F109" s="2095"/>
      <c r="G109" s="2095"/>
      <c r="H109" s="2095"/>
      <c r="I109" s="2095"/>
      <c r="J109" s="2095"/>
      <c r="K109" s="2095"/>
      <c r="L109" s="2095"/>
      <c r="M109" s="2095"/>
      <c r="N109" s="2095"/>
      <c r="O109" s="2095"/>
      <c r="P109" s="2093"/>
      <c r="Q109" s="2095"/>
      <c r="R109" s="2095"/>
      <c r="S109" s="2095"/>
      <c r="T109" s="2095"/>
      <c r="U109" s="2095"/>
      <c r="V109" s="2095"/>
      <c r="W109" s="2095"/>
      <c r="X109" s="2095"/>
      <c r="Y109" s="2095"/>
      <c r="Z109" s="2095"/>
      <c r="AA109" s="2095"/>
      <c r="AB109" s="2095"/>
      <c r="AC109" s="2095"/>
      <c r="AD109" s="2095"/>
      <c r="AE109" s="2095"/>
      <c r="AF109" s="2095"/>
      <c r="AG109" s="2095"/>
      <c r="AH109" s="2095"/>
      <c r="AI109" s="2095"/>
      <c r="AJ109" s="2095"/>
      <c r="AK109" s="2095"/>
      <c r="AL109" s="2095"/>
      <c r="AM109" s="2095"/>
      <c r="AN109" s="2095"/>
      <c r="AO109" s="2095"/>
      <c r="AP109" s="2095"/>
      <c r="AQ109" s="2095"/>
      <c r="AR109" s="2095"/>
      <c r="AS109" s="2095"/>
      <c r="AT109" s="2095"/>
      <c r="AU109" s="2095"/>
      <c r="AV109" s="2095"/>
      <c r="AW109" s="2095"/>
      <c r="AX109" s="2095"/>
      <c r="AY109" s="2095"/>
      <c r="AZ109" s="2095"/>
      <c r="BA109" s="2093"/>
      <c r="BB109" s="2096"/>
    </row>
    <row r="110" s="2128" customFormat="true" ht="30" hidden="false" customHeight="true" outlineLevel="0" collapsed="false">
      <c r="A110" s="2092"/>
      <c r="B110" s="2093"/>
      <c r="C110" s="2094"/>
      <c r="D110" s="2095"/>
      <c r="E110" s="2095"/>
      <c r="F110" s="2095"/>
      <c r="G110" s="2095"/>
      <c r="H110" s="2095"/>
      <c r="I110" s="2095"/>
      <c r="J110" s="2095"/>
      <c r="K110" s="2095"/>
      <c r="L110" s="2095"/>
      <c r="M110" s="2095"/>
      <c r="N110" s="2095"/>
      <c r="O110" s="2095"/>
      <c r="P110" s="2093"/>
      <c r="Q110" s="2095"/>
      <c r="R110" s="2095"/>
      <c r="S110" s="2095"/>
      <c r="T110" s="2095"/>
      <c r="U110" s="2095"/>
      <c r="V110" s="2095"/>
      <c r="W110" s="2095"/>
      <c r="X110" s="2095"/>
      <c r="Y110" s="2095"/>
      <c r="Z110" s="2095"/>
      <c r="AA110" s="2095"/>
      <c r="AB110" s="2095"/>
      <c r="AC110" s="2095"/>
      <c r="AD110" s="2095"/>
      <c r="AE110" s="2095"/>
      <c r="AF110" s="2095"/>
      <c r="AG110" s="2095"/>
      <c r="AH110" s="2095"/>
      <c r="AI110" s="2095"/>
      <c r="AJ110" s="2095"/>
      <c r="AK110" s="2095"/>
      <c r="AL110" s="2095"/>
      <c r="AM110" s="2095"/>
      <c r="AN110" s="2095"/>
      <c r="AO110" s="2095"/>
      <c r="AP110" s="2095"/>
      <c r="AQ110" s="2095"/>
      <c r="AR110" s="2095"/>
      <c r="AS110" s="2095"/>
      <c r="AT110" s="2095"/>
      <c r="AU110" s="2095"/>
      <c r="AV110" s="2095"/>
      <c r="AW110" s="2095"/>
      <c r="AX110" s="2095"/>
      <c r="AY110" s="2095"/>
      <c r="AZ110" s="2095"/>
      <c r="BA110" s="2093"/>
      <c r="BB110" s="2096"/>
    </row>
    <row r="111" s="2128" customFormat="true" ht="30" hidden="false" customHeight="true" outlineLevel="0" collapsed="false">
      <c r="A111" s="2092"/>
      <c r="B111" s="2093"/>
      <c r="C111" s="2094"/>
      <c r="D111" s="2095"/>
      <c r="E111" s="2095"/>
      <c r="F111" s="2095"/>
      <c r="G111" s="2095"/>
      <c r="H111" s="2095"/>
      <c r="I111" s="2095"/>
      <c r="J111" s="2095"/>
      <c r="K111" s="2095"/>
      <c r="L111" s="2095"/>
      <c r="M111" s="2095"/>
      <c r="N111" s="2095"/>
      <c r="O111" s="2095"/>
      <c r="P111" s="2093"/>
      <c r="Q111" s="2095"/>
      <c r="R111" s="2095"/>
      <c r="S111" s="2095"/>
      <c r="T111" s="2095"/>
      <c r="U111" s="2095"/>
      <c r="V111" s="2095"/>
      <c r="W111" s="2095"/>
      <c r="X111" s="2095"/>
      <c r="Y111" s="2095"/>
      <c r="Z111" s="2095"/>
      <c r="AA111" s="2095"/>
      <c r="AB111" s="2095"/>
      <c r="AC111" s="2095"/>
      <c r="AD111" s="2095"/>
      <c r="AE111" s="2095"/>
      <c r="AF111" s="2095"/>
      <c r="AG111" s="2095"/>
      <c r="AH111" s="2095"/>
      <c r="AI111" s="2095"/>
      <c r="AJ111" s="2095"/>
      <c r="AK111" s="2095"/>
      <c r="AL111" s="2095"/>
      <c r="AM111" s="2095"/>
      <c r="AN111" s="2095"/>
      <c r="AO111" s="2095"/>
      <c r="AP111" s="2095"/>
      <c r="AQ111" s="2095"/>
      <c r="AR111" s="2095"/>
      <c r="AS111" s="2095"/>
      <c r="AT111" s="2095"/>
      <c r="AU111" s="2095"/>
      <c r="AV111" s="2095"/>
      <c r="AW111" s="2095"/>
      <c r="AX111" s="2095"/>
      <c r="AY111" s="2095"/>
      <c r="AZ111" s="2095"/>
      <c r="BA111" s="2093"/>
      <c r="BB111" s="2096"/>
    </row>
    <row r="112" s="2128" customFormat="true" ht="30" hidden="false" customHeight="true" outlineLevel="0" collapsed="false">
      <c r="A112" s="2092"/>
      <c r="B112" s="2093"/>
      <c r="C112" s="2094"/>
      <c r="D112" s="2095"/>
      <c r="E112" s="2095"/>
      <c r="F112" s="2095"/>
      <c r="G112" s="2095"/>
      <c r="H112" s="2095"/>
      <c r="I112" s="2095"/>
      <c r="J112" s="2095"/>
      <c r="K112" s="2095"/>
      <c r="L112" s="2095"/>
      <c r="M112" s="2095"/>
      <c r="N112" s="2095"/>
      <c r="O112" s="2095"/>
      <c r="P112" s="2093"/>
      <c r="Q112" s="2095"/>
      <c r="R112" s="2095"/>
      <c r="S112" s="2095"/>
      <c r="T112" s="2095"/>
      <c r="U112" s="2095"/>
      <c r="V112" s="2095"/>
      <c r="W112" s="2095"/>
      <c r="X112" s="2095"/>
      <c r="Y112" s="2095"/>
      <c r="Z112" s="2095"/>
      <c r="AA112" s="2095"/>
      <c r="AB112" s="2095"/>
      <c r="AC112" s="2095"/>
      <c r="AD112" s="2095"/>
      <c r="AE112" s="2095"/>
      <c r="AF112" s="2095"/>
      <c r="AG112" s="2095"/>
      <c r="AH112" s="2095"/>
      <c r="AI112" s="2095"/>
      <c r="AJ112" s="2095"/>
      <c r="AK112" s="2095"/>
      <c r="AL112" s="2095"/>
      <c r="AM112" s="2095"/>
      <c r="AN112" s="2095"/>
      <c r="AO112" s="2095"/>
      <c r="AP112" s="2095"/>
      <c r="AQ112" s="2095"/>
      <c r="AR112" s="2095"/>
      <c r="AS112" s="2095"/>
      <c r="AT112" s="2095"/>
      <c r="AU112" s="2095"/>
      <c r="AV112" s="2095"/>
      <c r="AW112" s="2095"/>
      <c r="AX112" s="2095"/>
      <c r="AY112" s="2095"/>
      <c r="AZ112" s="2095"/>
      <c r="BA112" s="2093"/>
      <c r="BB112" s="2096"/>
    </row>
    <row r="113" s="2128" customFormat="true" ht="30" hidden="false" customHeight="true" outlineLevel="0" collapsed="false">
      <c r="A113" s="2092"/>
      <c r="B113" s="2093"/>
      <c r="C113" s="2094"/>
      <c r="D113" s="2095"/>
      <c r="E113" s="2095"/>
      <c r="F113" s="2095"/>
      <c r="G113" s="2095"/>
      <c r="H113" s="2095"/>
      <c r="I113" s="2095"/>
      <c r="J113" s="2095"/>
      <c r="K113" s="2095"/>
      <c r="L113" s="2095"/>
      <c r="M113" s="2095"/>
      <c r="N113" s="2095"/>
      <c r="O113" s="2095"/>
      <c r="P113" s="2093"/>
      <c r="Q113" s="2095"/>
      <c r="R113" s="2095"/>
      <c r="S113" s="2095"/>
      <c r="T113" s="2095"/>
      <c r="U113" s="2095"/>
      <c r="V113" s="2095"/>
      <c r="W113" s="2095"/>
      <c r="X113" s="2095"/>
      <c r="Y113" s="2095"/>
      <c r="Z113" s="2095"/>
      <c r="AA113" s="2095"/>
      <c r="AB113" s="2095"/>
      <c r="AC113" s="2095"/>
      <c r="AD113" s="2095"/>
      <c r="AE113" s="2095"/>
      <c r="AF113" s="2095"/>
      <c r="AG113" s="2095"/>
      <c r="AH113" s="2095"/>
      <c r="AI113" s="2095"/>
      <c r="AJ113" s="2095"/>
      <c r="AK113" s="2095"/>
      <c r="AL113" s="2095"/>
      <c r="AM113" s="2095"/>
      <c r="AN113" s="2095"/>
      <c r="AO113" s="2095"/>
      <c r="AP113" s="2095"/>
      <c r="AQ113" s="2095"/>
      <c r="AR113" s="2095"/>
      <c r="AS113" s="2095"/>
      <c r="AT113" s="2095"/>
      <c r="AU113" s="2095"/>
      <c r="AV113" s="2095"/>
      <c r="AW113" s="2095"/>
      <c r="AX113" s="2095"/>
      <c r="AY113" s="2095"/>
      <c r="AZ113" s="2095"/>
      <c r="BA113" s="2093"/>
      <c r="BB113" s="2096"/>
    </row>
    <row r="114" s="2128" customFormat="true" ht="30" hidden="false" customHeight="true" outlineLevel="0" collapsed="false">
      <c r="A114" s="2092"/>
      <c r="B114" s="2093"/>
      <c r="C114" s="2094"/>
      <c r="D114" s="2095"/>
      <c r="E114" s="2095"/>
      <c r="F114" s="2095"/>
      <c r="G114" s="2095"/>
      <c r="H114" s="2095"/>
      <c r="I114" s="2095"/>
      <c r="J114" s="2095"/>
      <c r="K114" s="2095"/>
      <c r="L114" s="2095"/>
      <c r="M114" s="2095"/>
      <c r="N114" s="2095"/>
      <c r="O114" s="2095"/>
      <c r="P114" s="2093"/>
      <c r="Q114" s="2095"/>
      <c r="R114" s="2095"/>
      <c r="S114" s="2095"/>
      <c r="T114" s="2095"/>
      <c r="U114" s="2095"/>
      <c r="V114" s="2095"/>
      <c r="W114" s="2095"/>
      <c r="X114" s="2095"/>
      <c r="Y114" s="2095"/>
      <c r="Z114" s="2095"/>
      <c r="AA114" s="2095"/>
      <c r="AB114" s="2095"/>
      <c r="AC114" s="2095"/>
      <c r="AD114" s="2095"/>
      <c r="AE114" s="2095"/>
      <c r="AF114" s="2095"/>
      <c r="AG114" s="2095"/>
      <c r="AH114" s="2095"/>
      <c r="AI114" s="2095"/>
      <c r="AJ114" s="2095"/>
      <c r="AK114" s="2095"/>
      <c r="AL114" s="2095"/>
      <c r="AM114" s="2095"/>
      <c r="AN114" s="2095"/>
      <c r="AO114" s="2095"/>
      <c r="AP114" s="2095"/>
      <c r="AQ114" s="2095"/>
      <c r="AR114" s="2095"/>
      <c r="AS114" s="2095"/>
      <c r="AT114" s="2095"/>
      <c r="AU114" s="2095"/>
      <c r="AV114" s="2095"/>
      <c r="AW114" s="2095"/>
      <c r="AX114" s="2095"/>
      <c r="AY114" s="2095"/>
      <c r="AZ114" s="2095"/>
      <c r="BA114" s="2093"/>
      <c r="BB114" s="2096"/>
    </row>
    <row r="115" s="2128" customFormat="true" ht="30" hidden="false" customHeight="true" outlineLevel="0" collapsed="false">
      <c r="A115" s="2092"/>
      <c r="B115" s="2093"/>
      <c r="C115" s="2094"/>
      <c r="D115" s="2095"/>
      <c r="E115" s="2095"/>
      <c r="F115" s="2095"/>
      <c r="G115" s="2095"/>
      <c r="H115" s="2095"/>
      <c r="I115" s="2095"/>
      <c r="J115" s="2095"/>
      <c r="K115" s="2095"/>
      <c r="L115" s="2095"/>
      <c r="M115" s="2095"/>
      <c r="N115" s="2095"/>
      <c r="O115" s="2095"/>
      <c r="P115" s="2093"/>
      <c r="Q115" s="2095"/>
      <c r="R115" s="2095"/>
      <c r="S115" s="2095"/>
      <c r="T115" s="2095"/>
      <c r="U115" s="2095"/>
      <c r="V115" s="2095"/>
      <c r="W115" s="2095"/>
      <c r="X115" s="2095"/>
      <c r="Y115" s="2095"/>
      <c r="Z115" s="2095"/>
      <c r="AA115" s="2095"/>
      <c r="AB115" s="2095"/>
      <c r="AC115" s="2095"/>
      <c r="AD115" s="2095"/>
      <c r="AE115" s="2095"/>
      <c r="AF115" s="2095"/>
      <c r="AG115" s="2095"/>
      <c r="AH115" s="2095"/>
      <c r="AI115" s="2095"/>
      <c r="AJ115" s="2095"/>
      <c r="AK115" s="2095"/>
      <c r="AL115" s="2095"/>
      <c r="AM115" s="2095"/>
      <c r="AN115" s="2095"/>
      <c r="AO115" s="2095"/>
      <c r="AP115" s="2095"/>
      <c r="AQ115" s="2095"/>
      <c r="AR115" s="2095"/>
      <c r="AS115" s="2095"/>
      <c r="AT115" s="2095"/>
      <c r="AU115" s="2095"/>
      <c r="AV115" s="2095"/>
      <c r="AW115" s="2095"/>
      <c r="AX115" s="2095"/>
      <c r="AY115" s="2095"/>
      <c r="AZ115" s="2095"/>
      <c r="BA115" s="2093"/>
      <c r="BB115" s="2096"/>
    </row>
    <row r="116" s="2128" customFormat="true" ht="30" hidden="false" customHeight="true" outlineLevel="0" collapsed="false">
      <c r="A116" s="2092"/>
      <c r="B116" s="2093"/>
      <c r="C116" s="2094"/>
      <c r="D116" s="2095"/>
      <c r="E116" s="2095"/>
      <c r="F116" s="2095"/>
      <c r="G116" s="2095"/>
      <c r="H116" s="2095"/>
      <c r="I116" s="2095"/>
      <c r="J116" s="2095"/>
      <c r="K116" s="2095"/>
      <c r="L116" s="2095"/>
      <c r="M116" s="2095"/>
      <c r="N116" s="2095"/>
      <c r="O116" s="2095"/>
      <c r="P116" s="2093"/>
      <c r="Q116" s="2095"/>
      <c r="R116" s="2095"/>
      <c r="S116" s="2095"/>
      <c r="T116" s="2095"/>
      <c r="U116" s="2095"/>
      <c r="V116" s="2095"/>
      <c r="W116" s="2095"/>
      <c r="X116" s="2095"/>
      <c r="Y116" s="2095"/>
      <c r="Z116" s="2095"/>
      <c r="AA116" s="2095"/>
      <c r="AB116" s="2095"/>
      <c r="AC116" s="2095"/>
      <c r="AD116" s="2095"/>
      <c r="AE116" s="2095"/>
      <c r="AF116" s="2095"/>
      <c r="AG116" s="2095"/>
      <c r="AH116" s="2095"/>
      <c r="AI116" s="2095"/>
      <c r="AJ116" s="2095"/>
      <c r="AK116" s="2095"/>
      <c r="AL116" s="2095"/>
      <c r="AM116" s="2095"/>
      <c r="AN116" s="2095"/>
      <c r="AO116" s="2095"/>
      <c r="AP116" s="2095"/>
      <c r="AQ116" s="2095"/>
      <c r="AR116" s="2095"/>
      <c r="AS116" s="2095"/>
      <c r="AT116" s="2095"/>
      <c r="AU116" s="2095"/>
      <c r="AV116" s="2095"/>
      <c r="AW116" s="2095"/>
      <c r="AX116" s="2095"/>
      <c r="AY116" s="2095"/>
      <c r="AZ116" s="2095"/>
      <c r="BA116" s="2093"/>
      <c r="BB116" s="2096"/>
    </row>
    <row r="117" s="2128" customFormat="true" ht="30" hidden="false" customHeight="true" outlineLevel="0" collapsed="false">
      <c r="A117" s="2092"/>
      <c r="B117" s="2093"/>
      <c r="C117" s="2094"/>
      <c r="D117" s="2095"/>
      <c r="E117" s="2095"/>
      <c r="F117" s="2095"/>
      <c r="G117" s="2095"/>
      <c r="H117" s="2095"/>
      <c r="I117" s="2095"/>
      <c r="J117" s="2095"/>
      <c r="K117" s="2095"/>
      <c r="L117" s="2095"/>
      <c r="M117" s="2095"/>
      <c r="N117" s="2095"/>
      <c r="O117" s="2095"/>
      <c r="P117" s="2093"/>
      <c r="Q117" s="2095"/>
      <c r="R117" s="2095"/>
      <c r="S117" s="2095"/>
      <c r="T117" s="2095"/>
      <c r="U117" s="2095"/>
      <c r="V117" s="2095"/>
      <c r="W117" s="2095"/>
      <c r="X117" s="2095"/>
      <c r="Y117" s="2095"/>
      <c r="Z117" s="2095"/>
      <c r="AA117" s="2095"/>
      <c r="AB117" s="2095"/>
      <c r="AC117" s="2095"/>
      <c r="AD117" s="2095"/>
      <c r="AE117" s="2095"/>
      <c r="AF117" s="2095"/>
      <c r="AG117" s="2095"/>
      <c r="AH117" s="2095"/>
      <c r="AI117" s="2095"/>
      <c r="AJ117" s="2095"/>
      <c r="AK117" s="2095"/>
      <c r="AL117" s="2095"/>
      <c r="AM117" s="2095"/>
      <c r="AN117" s="2095"/>
      <c r="AO117" s="2095"/>
      <c r="AP117" s="2095"/>
      <c r="AQ117" s="2095"/>
      <c r="AR117" s="2095"/>
      <c r="AS117" s="2095"/>
      <c r="AT117" s="2095"/>
      <c r="AU117" s="2095"/>
      <c r="AV117" s="2095"/>
      <c r="AW117" s="2095"/>
      <c r="AX117" s="2095"/>
      <c r="AY117" s="2095"/>
      <c r="AZ117" s="2095"/>
      <c r="BA117" s="2093"/>
      <c r="BB117" s="2096"/>
    </row>
    <row r="118" s="2128" customFormat="true" ht="30" hidden="false" customHeight="true" outlineLevel="0" collapsed="false">
      <c r="A118" s="2092"/>
      <c r="B118" s="2093"/>
      <c r="C118" s="2094"/>
      <c r="D118" s="2095"/>
      <c r="E118" s="2095"/>
      <c r="F118" s="2095"/>
      <c r="G118" s="2095"/>
      <c r="H118" s="2095"/>
      <c r="I118" s="2095"/>
      <c r="J118" s="2095"/>
      <c r="K118" s="2095"/>
      <c r="L118" s="2095"/>
      <c r="M118" s="2095"/>
      <c r="N118" s="2095"/>
      <c r="O118" s="2095"/>
      <c r="P118" s="2093"/>
      <c r="Q118" s="2095"/>
      <c r="R118" s="2095"/>
      <c r="S118" s="2095"/>
      <c r="T118" s="2095"/>
      <c r="U118" s="2095"/>
      <c r="V118" s="2095"/>
      <c r="W118" s="2095"/>
      <c r="X118" s="2095"/>
      <c r="Y118" s="2095"/>
      <c r="Z118" s="2095"/>
      <c r="AA118" s="2095"/>
      <c r="AB118" s="2095"/>
      <c r="AC118" s="2095"/>
      <c r="AD118" s="2095"/>
      <c r="AE118" s="2095"/>
      <c r="AF118" s="2095"/>
      <c r="AG118" s="2095"/>
      <c r="AH118" s="2095"/>
      <c r="AI118" s="2095"/>
      <c r="AJ118" s="2095"/>
      <c r="AK118" s="2095"/>
      <c r="AL118" s="2095"/>
      <c r="AM118" s="2095"/>
      <c r="AN118" s="2095"/>
      <c r="AO118" s="2095"/>
      <c r="AP118" s="2095"/>
      <c r="AQ118" s="2095"/>
      <c r="AR118" s="2095"/>
      <c r="AS118" s="2095"/>
      <c r="AT118" s="2095"/>
      <c r="AU118" s="2095"/>
      <c r="AV118" s="2095"/>
      <c r="AW118" s="2095"/>
      <c r="AX118" s="2095"/>
      <c r="AY118" s="2095"/>
      <c r="AZ118" s="2095"/>
      <c r="BA118" s="2093"/>
      <c r="BB118" s="2096"/>
    </row>
    <row r="119" s="2128" customFormat="true" ht="30" hidden="false" customHeight="true" outlineLevel="0" collapsed="false">
      <c r="A119" s="2092"/>
      <c r="B119" s="2093"/>
      <c r="C119" s="2094"/>
      <c r="D119" s="2095"/>
      <c r="E119" s="2095"/>
      <c r="F119" s="2095"/>
      <c r="G119" s="2095"/>
      <c r="H119" s="2095"/>
      <c r="I119" s="2095"/>
      <c r="J119" s="2095"/>
      <c r="K119" s="2095"/>
      <c r="L119" s="2095"/>
      <c r="M119" s="2095"/>
      <c r="N119" s="2095"/>
      <c r="O119" s="2095"/>
      <c r="P119" s="2093"/>
      <c r="Q119" s="2095"/>
      <c r="R119" s="2095"/>
      <c r="S119" s="2095"/>
      <c r="T119" s="2095"/>
      <c r="U119" s="2095"/>
      <c r="V119" s="2095"/>
      <c r="W119" s="2095"/>
      <c r="X119" s="2095"/>
      <c r="Y119" s="2095"/>
      <c r="Z119" s="2095"/>
      <c r="AA119" s="2095"/>
      <c r="AB119" s="2095"/>
      <c r="AC119" s="2095"/>
      <c r="AD119" s="2095"/>
      <c r="AE119" s="2095"/>
      <c r="AF119" s="2095"/>
      <c r="AG119" s="2095"/>
      <c r="AH119" s="2095"/>
      <c r="AI119" s="2095"/>
      <c r="AJ119" s="2095"/>
      <c r="AK119" s="2095"/>
      <c r="AL119" s="2095"/>
      <c r="AM119" s="2095"/>
      <c r="AN119" s="2095"/>
      <c r="AO119" s="2095"/>
      <c r="AP119" s="2095"/>
      <c r="AQ119" s="2095"/>
      <c r="AR119" s="2095"/>
      <c r="AS119" s="2095"/>
      <c r="AT119" s="2095"/>
      <c r="AU119" s="2095"/>
      <c r="AV119" s="2095"/>
      <c r="AW119" s="2095"/>
      <c r="AX119" s="2095"/>
      <c r="AY119" s="2095"/>
      <c r="AZ119" s="2095"/>
      <c r="BA119" s="2093"/>
      <c r="BB119" s="2096"/>
    </row>
    <row r="120" s="2128" customFormat="true" ht="30" hidden="false" customHeight="true" outlineLevel="0" collapsed="false">
      <c r="A120" s="2092"/>
      <c r="B120" s="2093"/>
      <c r="C120" s="2094"/>
      <c r="D120" s="2095"/>
      <c r="E120" s="2095"/>
      <c r="F120" s="2095"/>
      <c r="G120" s="2095"/>
      <c r="H120" s="2095"/>
      <c r="I120" s="2095"/>
      <c r="J120" s="2095"/>
      <c r="K120" s="2095"/>
      <c r="L120" s="2095"/>
      <c r="M120" s="2095"/>
      <c r="N120" s="2095"/>
      <c r="O120" s="2095"/>
      <c r="P120" s="2093"/>
      <c r="Q120" s="2095"/>
      <c r="R120" s="2095"/>
      <c r="S120" s="2095"/>
      <c r="T120" s="2095"/>
      <c r="U120" s="2095"/>
      <c r="V120" s="2095"/>
      <c r="W120" s="2095"/>
      <c r="X120" s="2095"/>
      <c r="Y120" s="2095"/>
      <c r="Z120" s="2095"/>
      <c r="AA120" s="2095"/>
      <c r="AB120" s="2095"/>
      <c r="AC120" s="2095"/>
      <c r="AD120" s="2095"/>
      <c r="AE120" s="2095"/>
      <c r="AF120" s="2095"/>
      <c r="AG120" s="2095"/>
      <c r="AH120" s="2095"/>
      <c r="AI120" s="2095"/>
      <c r="AJ120" s="2095"/>
      <c r="AK120" s="2095"/>
      <c r="AL120" s="2095"/>
      <c r="AM120" s="2095"/>
      <c r="AN120" s="2095"/>
      <c r="AO120" s="2095"/>
      <c r="AP120" s="2095"/>
      <c r="AQ120" s="2095"/>
      <c r="AR120" s="2095"/>
      <c r="AS120" s="2095"/>
      <c r="AT120" s="2095"/>
      <c r="AU120" s="2095"/>
      <c r="AV120" s="2095"/>
      <c r="AW120" s="2095"/>
      <c r="AX120" s="2095"/>
      <c r="AY120" s="2095"/>
      <c r="AZ120" s="2095"/>
      <c r="BA120" s="2093"/>
      <c r="BB120" s="2096"/>
    </row>
    <row r="121" s="2128" customFormat="true" ht="30" hidden="false" customHeight="true" outlineLevel="0" collapsed="false">
      <c r="A121" s="2092"/>
      <c r="B121" s="2093"/>
      <c r="C121" s="2094"/>
      <c r="D121" s="2095"/>
      <c r="E121" s="2095"/>
      <c r="F121" s="2095"/>
      <c r="G121" s="2095"/>
      <c r="H121" s="2095"/>
      <c r="I121" s="2095"/>
      <c r="J121" s="2095"/>
      <c r="K121" s="2095"/>
      <c r="L121" s="2095"/>
      <c r="M121" s="2095"/>
      <c r="N121" s="2095"/>
      <c r="O121" s="2095"/>
      <c r="P121" s="2093"/>
      <c r="Q121" s="2095"/>
      <c r="R121" s="2095"/>
      <c r="S121" s="2095"/>
      <c r="T121" s="2095"/>
      <c r="U121" s="2095"/>
      <c r="V121" s="2095"/>
      <c r="W121" s="2095"/>
      <c r="X121" s="2095"/>
      <c r="Y121" s="2095"/>
      <c r="Z121" s="2095"/>
      <c r="AA121" s="2095"/>
      <c r="AB121" s="2095"/>
      <c r="AC121" s="2095"/>
      <c r="AD121" s="2095"/>
      <c r="AE121" s="2095"/>
      <c r="AF121" s="2095"/>
      <c r="AG121" s="2095"/>
      <c r="AH121" s="2095"/>
      <c r="AI121" s="2095"/>
      <c r="AJ121" s="2095"/>
      <c r="AK121" s="2095"/>
      <c r="AL121" s="2095"/>
      <c r="AM121" s="2095"/>
      <c r="AN121" s="2095"/>
      <c r="AO121" s="2095"/>
      <c r="AP121" s="2095"/>
      <c r="AQ121" s="2095"/>
      <c r="AR121" s="2095"/>
      <c r="AS121" s="2095"/>
      <c r="AT121" s="2095"/>
      <c r="AU121" s="2095"/>
      <c r="AV121" s="2095"/>
      <c r="AW121" s="2095"/>
      <c r="AX121" s="2095"/>
      <c r="AY121" s="2095"/>
      <c r="AZ121" s="2095"/>
      <c r="BA121" s="2093"/>
      <c r="BB121" s="2096"/>
    </row>
    <row r="122" s="2128" customFormat="true" ht="30" hidden="false" customHeight="true" outlineLevel="0" collapsed="false">
      <c r="A122" s="2092"/>
      <c r="B122" s="2093"/>
      <c r="C122" s="2094"/>
      <c r="D122" s="2095"/>
      <c r="E122" s="2095"/>
      <c r="F122" s="2095"/>
      <c r="G122" s="2095"/>
      <c r="H122" s="2095"/>
      <c r="I122" s="2095"/>
      <c r="J122" s="2095"/>
      <c r="K122" s="2095"/>
      <c r="L122" s="2095"/>
      <c r="M122" s="2095"/>
      <c r="N122" s="2095"/>
      <c r="O122" s="2095"/>
      <c r="P122" s="2093"/>
      <c r="Q122" s="2095"/>
      <c r="R122" s="2095"/>
      <c r="S122" s="2095"/>
      <c r="T122" s="2095"/>
      <c r="U122" s="2095"/>
      <c r="V122" s="2095"/>
      <c r="W122" s="2095"/>
      <c r="X122" s="2095"/>
      <c r="Y122" s="2095"/>
      <c r="Z122" s="2095"/>
      <c r="AA122" s="2095"/>
      <c r="AB122" s="2095"/>
      <c r="AC122" s="2095"/>
      <c r="AD122" s="2095"/>
      <c r="AE122" s="2095"/>
      <c r="AF122" s="2095"/>
      <c r="AG122" s="2095"/>
      <c r="AH122" s="2095"/>
      <c r="AI122" s="2095"/>
      <c r="AJ122" s="2095"/>
      <c r="AK122" s="2095"/>
      <c r="AL122" s="2095"/>
      <c r="AM122" s="2095"/>
      <c r="AN122" s="2095"/>
      <c r="AO122" s="2095"/>
      <c r="AP122" s="2095"/>
      <c r="AQ122" s="2095"/>
      <c r="AR122" s="2095"/>
      <c r="AS122" s="2095"/>
      <c r="AT122" s="2095"/>
      <c r="AU122" s="2095"/>
      <c r="AV122" s="2095"/>
      <c r="AW122" s="2095"/>
      <c r="AX122" s="2095"/>
      <c r="AY122" s="2095"/>
      <c r="AZ122" s="2095"/>
      <c r="BA122" s="2093"/>
      <c r="BB122" s="2096"/>
    </row>
    <row r="123" s="2128" customFormat="true" ht="30" hidden="false" customHeight="true" outlineLevel="0" collapsed="false">
      <c r="A123" s="2092"/>
      <c r="B123" s="2093"/>
      <c r="C123" s="2094"/>
      <c r="D123" s="2095"/>
      <c r="E123" s="2095"/>
      <c r="F123" s="2095"/>
      <c r="G123" s="2095"/>
      <c r="H123" s="2095"/>
      <c r="I123" s="2095"/>
      <c r="J123" s="2095"/>
      <c r="K123" s="2095"/>
      <c r="L123" s="2095"/>
      <c r="M123" s="2095"/>
      <c r="N123" s="2095"/>
      <c r="O123" s="2095"/>
      <c r="P123" s="2093"/>
      <c r="Q123" s="2095"/>
      <c r="R123" s="2095"/>
      <c r="S123" s="2095"/>
      <c r="T123" s="2095"/>
      <c r="U123" s="2095"/>
      <c r="V123" s="2095"/>
      <c r="W123" s="2095"/>
      <c r="X123" s="2095"/>
      <c r="Y123" s="2095"/>
      <c r="Z123" s="2095"/>
      <c r="AA123" s="2095"/>
      <c r="AB123" s="2095"/>
      <c r="AC123" s="2095"/>
      <c r="AD123" s="2095"/>
      <c r="AE123" s="2095"/>
      <c r="AF123" s="2095"/>
      <c r="AG123" s="2095"/>
      <c r="AH123" s="2095"/>
      <c r="AI123" s="2095"/>
      <c r="AJ123" s="2095"/>
      <c r="AK123" s="2095"/>
      <c r="AL123" s="2095"/>
      <c r="AM123" s="2095"/>
      <c r="AN123" s="2095"/>
      <c r="AO123" s="2095"/>
      <c r="AP123" s="2095"/>
      <c r="AQ123" s="2095"/>
      <c r="AR123" s="2095"/>
      <c r="AS123" s="2095"/>
      <c r="AT123" s="2095"/>
      <c r="AU123" s="2095"/>
      <c r="AV123" s="2095"/>
      <c r="AW123" s="2095"/>
      <c r="AX123" s="2095"/>
      <c r="AY123" s="2095"/>
      <c r="AZ123" s="2095"/>
      <c r="BA123" s="2093"/>
      <c r="BB123" s="2096"/>
    </row>
    <row r="124" s="2128" customFormat="true" ht="30" hidden="false" customHeight="true" outlineLevel="0" collapsed="false">
      <c r="A124" s="2092"/>
      <c r="B124" s="2093"/>
      <c r="C124" s="2094"/>
      <c r="D124" s="2095"/>
      <c r="E124" s="2095"/>
      <c r="F124" s="2095"/>
      <c r="G124" s="2095"/>
      <c r="H124" s="2095"/>
      <c r="I124" s="2095"/>
      <c r="J124" s="2095"/>
      <c r="K124" s="2095"/>
      <c r="L124" s="2095"/>
      <c r="M124" s="2095"/>
      <c r="N124" s="2095"/>
      <c r="O124" s="2095"/>
      <c r="P124" s="2093"/>
      <c r="Q124" s="2095"/>
      <c r="R124" s="2095"/>
      <c r="S124" s="2095"/>
      <c r="T124" s="2095"/>
      <c r="U124" s="2095"/>
      <c r="V124" s="2095"/>
      <c r="W124" s="2095"/>
      <c r="X124" s="2095"/>
      <c r="Y124" s="2095"/>
      <c r="Z124" s="2095"/>
      <c r="AA124" s="2095"/>
      <c r="AB124" s="2095"/>
      <c r="AC124" s="2095"/>
      <c r="AD124" s="2095"/>
      <c r="AE124" s="2095"/>
      <c r="AF124" s="2095"/>
      <c r="AG124" s="2095"/>
      <c r="AH124" s="2095"/>
      <c r="AI124" s="2095"/>
      <c r="AJ124" s="2095"/>
      <c r="AK124" s="2095"/>
      <c r="AL124" s="2095"/>
      <c r="AM124" s="2095"/>
      <c r="AN124" s="2095"/>
      <c r="AO124" s="2095"/>
      <c r="AP124" s="2095"/>
      <c r="AQ124" s="2095"/>
      <c r="AR124" s="2095"/>
      <c r="AS124" s="2095"/>
      <c r="AT124" s="2095"/>
      <c r="AU124" s="2095"/>
      <c r="AV124" s="2095"/>
      <c r="AW124" s="2095"/>
      <c r="AX124" s="2095"/>
      <c r="AY124" s="2095"/>
      <c r="AZ124" s="2095"/>
      <c r="BA124" s="2093"/>
      <c r="BB124" s="2096"/>
    </row>
    <row r="125" s="2128" customFormat="true" ht="30" hidden="false" customHeight="true" outlineLevel="0" collapsed="false">
      <c r="A125" s="2092"/>
      <c r="B125" s="2093"/>
      <c r="C125" s="2094"/>
      <c r="D125" s="2095"/>
      <c r="E125" s="2095"/>
      <c r="F125" s="2095"/>
      <c r="G125" s="2095"/>
      <c r="H125" s="2095"/>
      <c r="I125" s="2095"/>
      <c r="J125" s="2095"/>
      <c r="K125" s="2095"/>
      <c r="L125" s="2095"/>
      <c r="M125" s="2095"/>
      <c r="N125" s="2095"/>
      <c r="O125" s="2095"/>
      <c r="P125" s="2093"/>
      <c r="Q125" s="2095"/>
      <c r="R125" s="2095"/>
      <c r="S125" s="2095"/>
      <c r="T125" s="2095"/>
      <c r="U125" s="2095"/>
      <c r="V125" s="2095"/>
      <c r="W125" s="2095"/>
      <c r="X125" s="2095"/>
      <c r="Y125" s="2095"/>
      <c r="Z125" s="2095"/>
      <c r="AA125" s="2095"/>
      <c r="AB125" s="2095"/>
      <c r="AC125" s="2095"/>
      <c r="AD125" s="2095"/>
      <c r="AE125" s="2095"/>
      <c r="AF125" s="2095"/>
      <c r="AG125" s="2095"/>
      <c r="AH125" s="2095"/>
      <c r="AI125" s="2095"/>
      <c r="AJ125" s="2095"/>
      <c r="AK125" s="2095"/>
      <c r="AL125" s="2095"/>
      <c r="AM125" s="2095"/>
      <c r="AN125" s="2095"/>
      <c r="AO125" s="2095"/>
      <c r="AP125" s="2095"/>
      <c r="AQ125" s="2095"/>
      <c r="AR125" s="2095"/>
      <c r="AS125" s="2095"/>
      <c r="AT125" s="2095"/>
      <c r="AU125" s="2095"/>
      <c r="AV125" s="2095"/>
      <c r="AW125" s="2095"/>
      <c r="AX125" s="2095"/>
      <c r="AY125" s="2095"/>
      <c r="AZ125" s="2095"/>
      <c r="BA125" s="2093"/>
      <c r="BB125" s="2096"/>
    </row>
    <row r="126" s="2128" customFormat="true" ht="30" hidden="false" customHeight="true" outlineLevel="0" collapsed="false">
      <c r="A126" s="2092"/>
      <c r="B126" s="2093"/>
      <c r="C126" s="2094"/>
      <c r="D126" s="2095"/>
      <c r="E126" s="2095"/>
      <c r="F126" s="2095"/>
      <c r="G126" s="2095"/>
      <c r="H126" s="2095"/>
      <c r="I126" s="2095"/>
      <c r="J126" s="2095"/>
      <c r="K126" s="2095"/>
      <c r="L126" s="2095"/>
      <c r="M126" s="2095"/>
      <c r="N126" s="2095"/>
      <c r="O126" s="2095"/>
      <c r="P126" s="2093"/>
      <c r="Q126" s="2095"/>
      <c r="R126" s="2095"/>
      <c r="S126" s="2095"/>
      <c r="T126" s="2095"/>
      <c r="U126" s="2095"/>
      <c r="V126" s="2095"/>
      <c r="W126" s="2095"/>
      <c r="X126" s="2095"/>
      <c r="Y126" s="2095"/>
      <c r="Z126" s="2095"/>
      <c r="AA126" s="2095"/>
      <c r="AB126" s="2095"/>
      <c r="AC126" s="2095"/>
      <c r="AD126" s="2095"/>
      <c r="AE126" s="2095"/>
      <c r="AF126" s="2095"/>
      <c r="AG126" s="2095"/>
      <c r="AH126" s="2095"/>
      <c r="AI126" s="2095"/>
      <c r="AJ126" s="2095"/>
      <c r="AK126" s="2095"/>
      <c r="AL126" s="2095"/>
      <c r="AM126" s="2095"/>
      <c r="AN126" s="2095"/>
      <c r="AO126" s="2095"/>
      <c r="AP126" s="2095"/>
      <c r="AQ126" s="2095"/>
      <c r="AR126" s="2095"/>
      <c r="AS126" s="2095"/>
      <c r="AT126" s="2095"/>
      <c r="AU126" s="2095"/>
      <c r="AV126" s="2095"/>
      <c r="AW126" s="2095"/>
      <c r="AX126" s="2095"/>
      <c r="AY126" s="2095"/>
      <c r="AZ126" s="2095"/>
      <c r="BA126" s="2093"/>
      <c r="BB126" s="2096"/>
    </row>
    <row r="127" s="2128" customFormat="true" ht="30" hidden="false" customHeight="true" outlineLevel="0" collapsed="false">
      <c r="A127" s="2092"/>
      <c r="B127" s="2093"/>
      <c r="C127" s="2094"/>
      <c r="D127" s="2095"/>
      <c r="E127" s="2095"/>
      <c r="F127" s="2095"/>
      <c r="G127" s="2095"/>
      <c r="H127" s="2095"/>
      <c r="I127" s="2095"/>
      <c r="J127" s="2095"/>
      <c r="K127" s="2095"/>
      <c r="L127" s="2095"/>
      <c r="M127" s="2095"/>
      <c r="N127" s="2095"/>
      <c r="O127" s="2095"/>
      <c r="P127" s="2093"/>
      <c r="Q127" s="2095"/>
      <c r="R127" s="2095"/>
      <c r="S127" s="2095"/>
      <c r="T127" s="2095"/>
      <c r="U127" s="2095"/>
      <c r="V127" s="2095"/>
      <c r="W127" s="2095"/>
      <c r="X127" s="2095"/>
      <c r="Y127" s="2095"/>
      <c r="Z127" s="2095"/>
      <c r="AA127" s="2095"/>
      <c r="AB127" s="2095"/>
      <c r="AC127" s="2095"/>
      <c r="AD127" s="2095"/>
      <c r="AE127" s="2095"/>
      <c r="AF127" s="2095"/>
      <c r="AG127" s="2095"/>
      <c r="AH127" s="2095"/>
      <c r="AI127" s="2095"/>
      <c r="AJ127" s="2095"/>
      <c r="AK127" s="2095"/>
      <c r="AL127" s="2095"/>
      <c r="AM127" s="2095"/>
      <c r="AN127" s="2095"/>
      <c r="AO127" s="2095"/>
      <c r="AP127" s="2095"/>
      <c r="AQ127" s="2095"/>
      <c r="AR127" s="2095"/>
      <c r="AS127" s="2095"/>
      <c r="AT127" s="2095"/>
      <c r="AU127" s="2095"/>
      <c r="AV127" s="2095"/>
      <c r="AW127" s="2095"/>
      <c r="AX127" s="2095"/>
      <c r="AY127" s="2095"/>
      <c r="AZ127" s="2095"/>
      <c r="BA127" s="2093"/>
      <c r="BB127" s="2096"/>
    </row>
    <row r="128" s="2128" customFormat="true" ht="30" hidden="false" customHeight="true" outlineLevel="0" collapsed="false">
      <c r="A128" s="2092"/>
      <c r="B128" s="2093"/>
      <c r="C128" s="2094"/>
      <c r="D128" s="2095"/>
      <c r="E128" s="2095"/>
      <c r="F128" s="2095"/>
      <c r="G128" s="2095"/>
      <c r="H128" s="2095"/>
      <c r="I128" s="2095"/>
      <c r="J128" s="2095"/>
      <c r="K128" s="2095"/>
      <c r="L128" s="2095"/>
      <c r="M128" s="2095"/>
      <c r="N128" s="2095"/>
      <c r="O128" s="2095"/>
      <c r="P128" s="2093"/>
      <c r="Q128" s="2095"/>
      <c r="R128" s="2095"/>
      <c r="S128" s="2095"/>
      <c r="T128" s="2095"/>
      <c r="U128" s="2095"/>
      <c r="V128" s="2095"/>
      <c r="W128" s="2095"/>
      <c r="X128" s="2095"/>
      <c r="Y128" s="2095"/>
      <c r="Z128" s="2095"/>
      <c r="AA128" s="2095"/>
      <c r="AB128" s="2095"/>
      <c r="AC128" s="2095"/>
      <c r="AD128" s="2095"/>
      <c r="AE128" s="2095"/>
      <c r="AF128" s="2095"/>
      <c r="AG128" s="2095"/>
      <c r="AH128" s="2095"/>
      <c r="AI128" s="2095"/>
      <c r="AJ128" s="2095"/>
      <c r="AK128" s="2095"/>
      <c r="AL128" s="2095"/>
      <c r="AM128" s="2095"/>
      <c r="AN128" s="2095"/>
      <c r="AO128" s="2095"/>
      <c r="AP128" s="2095"/>
      <c r="AQ128" s="2095"/>
      <c r="AR128" s="2095"/>
      <c r="AS128" s="2095"/>
      <c r="AT128" s="2095"/>
      <c r="AU128" s="2095"/>
      <c r="AV128" s="2095"/>
      <c r="AW128" s="2095"/>
      <c r="AX128" s="2095"/>
      <c r="AY128" s="2095"/>
      <c r="AZ128" s="2095"/>
      <c r="BA128" s="2093"/>
      <c r="BB128" s="2096"/>
    </row>
    <row r="129" s="2128" customFormat="true" ht="30" hidden="false" customHeight="true" outlineLevel="0" collapsed="false">
      <c r="A129" s="2092"/>
      <c r="B129" s="2093"/>
      <c r="C129" s="2094"/>
      <c r="D129" s="2095"/>
      <c r="E129" s="2095"/>
      <c r="F129" s="2095"/>
      <c r="G129" s="2095"/>
      <c r="H129" s="2095"/>
      <c r="I129" s="2095"/>
      <c r="J129" s="2095"/>
      <c r="K129" s="2095"/>
      <c r="L129" s="2095"/>
      <c r="M129" s="2095"/>
      <c r="N129" s="2095"/>
      <c r="O129" s="2095"/>
      <c r="P129" s="2093"/>
      <c r="Q129" s="2095"/>
      <c r="R129" s="2095"/>
      <c r="S129" s="2095"/>
      <c r="T129" s="2095"/>
      <c r="U129" s="2095"/>
      <c r="V129" s="2095"/>
      <c r="W129" s="2095"/>
      <c r="X129" s="2095"/>
      <c r="Y129" s="2095"/>
      <c r="Z129" s="2095"/>
      <c r="AA129" s="2095"/>
      <c r="AB129" s="2095"/>
      <c r="AC129" s="2095"/>
      <c r="AD129" s="2095"/>
      <c r="AE129" s="2095"/>
      <c r="AF129" s="2095"/>
      <c r="AG129" s="2095"/>
      <c r="AH129" s="2095"/>
      <c r="AI129" s="2095"/>
      <c r="AJ129" s="2095"/>
      <c r="AK129" s="2095"/>
      <c r="AL129" s="2095"/>
      <c r="AM129" s="2095"/>
      <c r="AN129" s="2095"/>
      <c r="AO129" s="2095"/>
      <c r="AP129" s="2095"/>
      <c r="AQ129" s="2095"/>
      <c r="AR129" s="2095"/>
      <c r="AS129" s="2095"/>
      <c r="AT129" s="2095"/>
      <c r="AU129" s="2095"/>
      <c r="AV129" s="2095"/>
      <c r="AW129" s="2095"/>
      <c r="AX129" s="2095"/>
      <c r="AY129" s="2095"/>
      <c r="AZ129" s="2095"/>
      <c r="BA129" s="2093"/>
      <c r="BB129" s="2096"/>
    </row>
    <row r="130" s="2128" customFormat="true" ht="30" hidden="false" customHeight="true" outlineLevel="0" collapsed="false">
      <c r="A130" s="2092"/>
      <c r="B130" s="2093"/>
      <c r="C130" s="2094"/>
      <c r="D130" s="2095"/>
      <c r="E130" s="2095"/>
      <c r="F130" s="2095"/>
      <c r="G130" s="2095"/>
      <c r="H130" s="2095"/>
      <c r="I130" s="2095"/>
      <c r="J130" s="2095"/>
      <c r="K130" s="2095"/>
      <c r="L130" s="2095"/>
      <c r="M130" s="2095"/>
      <c r="N130" s="2095"/>
      <c r="O130" s="2095"/>
      <c r="P130" s="2093"/>
      <c r="Q130" s="2095"/>
      <c r="R130" s="2095"/>
      <c r="S130" s="2095"/>
      <c r="T130" s="2095"/>
      <c r="U130" s="2095"/>
      <c r="V130" s="2095"/>
      <c r="W130" s="2095"/>
      <c r="X130" s="2095"/>
      <c r="Y130" s="2095"/>
      <c r="Z130" s="2095"/>
      <c r="AA130" s="2095"/>
      <c r="AB130" s="2095"/>
      <c r="AC130" s="2095"/>
      <c r="AD130" s="2095"/>
      <c r="AE130" s="2095"/>
      <c r="AF130" s="2095"/>
      <c r="AG130" s="2095"/>
      <c r="AH130" s="2095"/>
      <c r="AI130" s="2095"/>
      <c r="AJ130" s="2095"/>
      <c r="AK130" s="2095"/>
      <c r="AL130" s="2095"/>
      <c r="AM130" s="2095"/>
      <c r="AN130" s="2095"/>
      <c r="AO130" s="2095"/>
      <c r="AP130" s="2095"/>
      <c r="AQ130" s="2095"/>
      <c r="AR130" s="2095"/>
      <c r="AS130" s="2095"/>
      <c r="AT130" s="2095"/>
      <c r="AU130" s="2095"/>
      <c r="AV130" s="2095"/>
      <c r="AW130" s="2095"/>
      <c r="AX130" s="2095"/>
      <c r="AY130" s="2095"/>
      <c r="AZ130" s="2095"/>
      <c r="BA130" s="2093"/>
      <c r="BB130" s="2096"/>
    </row>
    <row r="131" s="2128" customFormat="true" ht="30" hidden="false" customHeight="true" outlineLevel="0" collapsed="false">
      <c r="A131" s="2092"/>
      <c r="B131" s="2093"/>
      <c r="C131" s="2094"/>
      <c r="D131" s="2095"/>
      <c r="E131" s="2095"/>
      <c r="F131" s="2095"/>
      <c r="G131" s="2095"/>
      <c r="H131" s="2095"/>
      <c r="I131" s="2095"/>
      <c r="J131" s="2095"/>
      <c r="K131" s="2095"/>
      <c r="L131" s="2095"/>
      <c r="M131" s="2095"/>
      <c r="N131" s="2095"/>
      <c r="O131" s="2095"/>
      <c r="P131" s="2093"/>
      <c r="Q131" s="2095"/>
      <c r="R131" s="2095"/>
      <c r="S131" s="2095"/>
      <c r="T131" s="2095"/>
      <c r="U131" s="2095"/>
      <c r="V131" s="2095"/>
      <c r="W131" s="2095"/>
      <c r="X131" s="2095"/>
      <c r="Y131" s="2095"/>
      <c r="Z131" s="2095"/>
      <c r="AA131" s="2095"/>
      <c r="AB131" s="2095"/>
      <c r="AC131" s="2095"/>
      <c r="AD131" s="2095"/>
      <c r="AE131" s="2095"/>
      <c r="AF131" s="2095"/>
      <c r="AG131" s="2095"/>
      <c r="AH131" s="2095"/>
      <c r="AI131" s="2095"/>
      <c r="AJ131" s="2095"/>
      <c r="AK131" s="2095"/>
      <c r="AL131" s="2095"/>
      <c r="AM131" s="2095"/>
      <c r="AN131" s="2095"/>
      <c r="AO131" s="2095"/>
      <c r="AP131" s="2095"/>
      <c r="AQ131" s="2095"/>
      <c r="AR131" s="2095"/>
      <c r="AS131" s="2095"/>
      <c r="AT131" s="2095"/>
      <c r="AU131" s="2095"/>
      <c r="AV131" s="2095"/>
      <c r="AW131" s="2095"/>
      <c r="AX131" s="2095"/>
      <c r="AY131" s="2095"/>
      <c r="AZ131" s="2095"/>
      <c r="BA131" s="2093"/>
      <c r="BB131" s="2096"/>
    </row>
    <row r="132" s="2128" customFormat="true" ht="30" hidden="false" customHeight="true" outlineLevel="0" collapsed="false">
      <c r="A132" s="2092"/>
      <c r="B132" s="2093"/>
      <c r="C132" s="2094"/>
      <c r="D132" s="2095"/>
      <c r="E132" s="2095"/>
      <c r="F132" s="2095"/>
      <c r="G132" s="2095"/>
      <c r="H132" s="2095"/>
      <c r="I132" s="2095"/>
      <c r="J132" s="2095"/>
      <c r="K132" s="2095"/>
      <c r="L132" s="2095"/>
      <c r="M132" s="2095"/>
      <c r="N132" s="2095"/>
      <c r="O132" s="2095"/>
      <c r="P132" s="2093"/>
      <c r="Q132" s="2095"/>
      <c r="R132" s="2095"/>
      <c r="S132" s="2095"/>
      <c r="T132" s="2095"/>
      <c r="U132" s="2095"/>
      <c r="V132" s="2095"/>
      <c r="W132" s="2095"/>
      <c r="X132" s="2095"/>
      <c r="Y132" s="2095"/>
      <c r="Z132" s="2095"/>
      <c r="AA132" s="2095"/>
      <c r="AB132" s="2095"/>
      <c r="AC132" s="2095"/>
      <c r="AD132" s="2095"/>
      <c r="AE132" s="2095"/>
      <c r="AF132" s="2095"/>
      <c r="AG132" s="2095"/>
      <c r="AH132" s="2095"/>
      <c r="AI132" s="2095"/>
      <c r="AJ132" s="2095"/>
      <c r="AK132" s="2095"/>
      <c r="AL132" s="2095"/>
      <c r="AM132" s="2095"/>
      <c r="AN132" s="2095"/>
      <c r="AO132" s="2095"/>
      <c r="AP132" s="2095"/>
      <c r="AQ132" s="2095"/>
      <c r="AR132" s="2095"/>
      <c r="AS132" s="2095"/>
      <c r="AT132" s="2095"/>
      <c r="AU132" s="2095"/>
      <c r="AV132" s="2095"/>
      <c r="AW132" s="2095"/>
      <c r="AX132" s="2095"/>
      <c r="AY132" s="2095"/>
      <c r="AZ132" s="2095"/>
      <c r="BA132" s="2093"/>
      <c r="BB132" s="2096"/>
    </row>
    <row r="133" s="2128" customFormat="true" ht="30" hidden="false" customHeight="true" outlineLevel="0" collapsed="false">
      <c r="A133" s="2092"/>
      <c r="B133" s="2093"/>
      <c r="C133" s="2094"/>
      <c r="D133" s="2095"/>
      <c r="E133" s="2095"/>
      <c r="F133" s="2095"/>
      <c r="G133" s="2095"/>
      <c r="H133" s="2095"/>
      <c r="I133" s="2095"/>
      <c r="J133" s="2095"/>
      <c r="K133" s="2095"/>
      <c r="L133" s="2095"/>
      <c r="M133" s="2095"/>
      <c r="N133" s="2095"/>
      <c r="O133" s="2095"/>
      <c r="P133" s="2093"/>
      <c r="Q133" s="2095"/>
      <c r="R133" s="2095"/>
      <c r="S133" s="2095"/>
      <c r="T133" s="2095"/>
      <c r="U133" s="2095"/>
      <c r="V133" s="2095"/>
      <c r="W133" s="2095"/>
      <c r="X133" s="2095"/>
      <c r="Y133" s="2095"/>
      <c r="Z133" s="2095"/>
      <c r="AA133" s="2095"/>
      <c r="AB133" s="2095"/>
      <c r="AC133" s="2095"/>
      <c r="AD133" s="2095"/>
      <c r="AE133" s="2095"/>
      <c r="AF133" s="2095"/>
      <c r="AG133" s="2095"/>
      <c r="AH133" s="2095"/>
      <c r="AI133" s="2095"/>
      <c r="AJ133" s="2095"/>
      <c r="AK133" s="2095"/>
      <c r="AL133" s="2095"/>
      <c r="AM133" s="2095"/>
      <c r="AN133" s="2095"/>
      <c r="AO133" s="2095"/>
      <c r="AP133" s="2095"/>
      <c r="AQ133" s="2095"/>
      <c r="AR133" s="2095"/>
      <c r="AS133" s="2095"/>
      <c r="AT133" s="2095"/>
      <c r="AU133" s="2095"/>
      <c r="AV133" s="2095"/>
      <c r="AW133" s="2095"/>
      <c r="AX133" s="2095"/>
      <c r="AY133" s="2095"/>
      <c r="AZ133" s="2095"/>
      <c r="BA133" s="2093"/>
      <c r="BB133" s="2096"/>
    </row>
    <row r="134" s="2128" customFormat="true" ht="30" hidden="false" customHeight="true" outlineLevel="0" collapsed="false">
      <c r="A134" s="2092"/>
      <c r="B134" s="2093"/>
      <c r="C134" s="2094"/>
      <c r="D134" s="2095"/>
      <c r="E134" s="2095"/>
      <c r="F134" s="2095"/>
      <c r="G134" s="2095"/>
      <c r="H134" s="2095"/>
      <c r="I134" s="2095"/>
      <c r="J134" s="2095"/>
      <c r="K134" s="2095"/>
      <c r="L134" s="2095"/>
      <c r="M134" s="2095"/>
      <c r="N134" s="2095"/>
      <c r="O134" s="2095"/>
      <c r="P134" s="2093"/>
      <c r="Q134" s="2095"/>
      <c r="R134" s="2095"/>
      <c r="S134" s="2095"/>
      <c r="T134" s="2095"/>
      <c r="U134" s="2095"/>
      <c r="V134" s="2095"/>
      <c r="W134" s="2095"/>
      <c r="X134" s="2095"/>
      <c r="Y134" s="2095"/>
      <c r="Z134" s="2095"/>
      <c r="AA134" s="2095"/>
      <c r="AB134" s="2095"/>
      <c r="AC134" s="2095"/>
      <c r="AD134" s="2095"/>
      <c r="AE134" s="2095"/>
      <c r="AF134" s="2095"/>
      <c r="AG134" s="2095"/>
      <c r="AH134" s="2095"/>
      <c r="AI134" s="2095"/>
      <c r="AJ134" s="2095"/>
      <c r="AK134" s="2095"/>
      <c r="AL134" s="2095"/>
      <c r="AM134" s="2095"/>
      <c r="AN134" s="2095"/>
      <c r="AO134" s="2095"/>
      <c r="AP134" s="2095"/>
      <c r="AQ134" s="2095"/>
      <c r="AR134" s="2095"/>
      <c r="AS134" s="2095"/>
      <c r="AT134" s="2095"/>
      <c r="AU134" s="2095"/>
      <c r="AV134" s="2095"/>
      <c r="AW134" s="2095"/>
      <c r="AX134" s="2095"/>
      <c r="AY134" s="2095"/>
      <c r="AZ134" s="2095"/>
      <c r="BA134" s="2093"/>
      <c r="BB134" s="2096"/>
    </row>
    <row r="135" s="2144" customFormat="true" ht="30" hidden="false" customHeight="true" outlineLevel="0" collapsed="false">
      <c r="A135" s="2092"/>
      <c r="B135" s="2093"/>
      <c r="C135" s="2094"/>
      <c r="D135" s="2095"/>
      <c r="E135" s="2095"/>
      <c r="F135" s="2095"/>
      <c r="G135" s="2095"/>
      <c r="H135" s="2095"/>
      <c r="I135" s="2095"/>
      <c r="J135" s="2095"/>
      <c r="K135" s="2095"/>
      <c r="L135" s="2095"/>
      <c r="M135" s="2095"/>
      <c r="N135" s="2095"/>
      <c r="O135" s="2095"/>
      <c r="P135" s="2093"/>
      <c r="Q135" s="2095"/>
      <c r="R135" s="2095"/>
      <c r="S135" s="2095"/>
      <c r="T135" s="2095"/>
      <c r="U135" s="2095"/>
      <c r="V135" s="2095"/>
      <c r="W135" s="2095"/>
      <c r="X135" s="2095"/>
      <c r="Y135" s="2095"/>
      <c r="Z135" s="2095"/>
      <c r="AA135" s="2095"/>
      <c r="AB135" s="2095"/>
      <c r="AC135" s="2095"/>
      <c r="AD135" s="2095"/>
      <c r="AE135" s="2095"/>
      <c r="AF135" s="2095"/>
      <c r="AG135" s="2095"/>
      <c r="AH135" s="2095"/>
      <c r="AI135" s="2095"/>
      <c r="AJ135" s="2095"/>
      <c r="AK135" s="2095"/>
      <c r="AL135" s="2095"/>
      <c r="AM135" s="2095"/>
      <c r="AN135" s="2095"/>
      <c r="AO135" s="2095"/>
      <c r="AP135" s="2095"/>
      <c r="AQ135" s="2095"/>
      <c r="AR135" s="2095"/>
      <c r="AS135" s="2095"/>
      <c r="AT135" s="2095"/>
      <c r="AU135" s="2095"/>
      <c r="AV135" s="2095"/>
      <c r="AW135" s="2095"/>
      <c r="AX135" s="2095"/>
      <c r="AY135" s="2095"/>
      <c r="AZ135" s="2095"/>
      <c r="BA135" s="2093"/>
      <c r="BB135" s="2096"/>
    </row>
    <row r="136" s="2128" customFormat="true" ht="30" hidden="false" customHeight="true" outlineLevel="0" collapsed="false">
      <c r="A136" s="2092"/>
      <c r="B136" s="2093"/>
      <c r="C136" s="2094"/>
      <c r="D136" s="2095"/>
      <c r="E136" s="2095"/>
      <c r="F136" s="2095"/>
      <c r="G136" s="2095"/>
      <c r="H136" s="2095"/>
      <c r="I136" s="2095"/>
      <c r="J136" s="2095"/>
      <c r="K136" s="2095"/>
      <c r="L136" s="2095"/>
      <c r="M136" s="2095"/>
      <c r="N136" s="2095"/>
      <c r="O136" s="2095"/>
      <c r="P136" s="2093"/>
      <c r="Q136" s="2095"/>
      <c r="R136" s="2095"/>
      <c r="S136" s="2095"/>
      <c r="T136" s="2095"/>
      <c r="U136" s="2095"/>
      <c r="V136" s="2095"/>
      <c r="W136" s="2095"/>
      <c r="X136" s="2095"/>
      <c r="Y136" s="2095"/>
      <c r="Z136" s="2095"/>
      <c r="AA136" s="2095"/>
      <c r="AB136" s="2095"/>
      <c r="AC136" s="2095"/>
      <c r="AD136" s="2095"/>
      <c r="AE136" s="2095"/>
      <c r="AF136" s="2095"/>
      <c r="AG136" s="2095"/>
      <c r="AH136" s="2095"/>
      <c r="AI136" s="2095"/>
      <c r="AJ136" s="2095"/>
      <c r="AK136" s="2095"/>
      <c r="AL136" s="2095"/>
      <c r="AM136" s="2095"/>
      <c r="AN136" s="2095"/>
      <c r="AO136" s="2095"/>
      <c r="AP136" s="2095"/>
      <c r="AQ136" s="2095"/>
      <c r="AR136" s="2095"/>
      <c r="AS136" s="2095"/>
      <c r="AT136" s="2095"/>
      <c r="AU136" s="2095"/>
      <c r="AV136" s="2095"/>
      <c r="AW136" s="2095"/>
      <c r="AX136" s="2095"/>
      <c r="AY136" s="2095"/>
      <c r="AZ136" s="2095"/>
      <c r="BA136" s="2093"/>
      <c r="BB136" s="2096"/>
    </row>
    <row r="137" s="2144" customFormat="true" ht="30" hidden="false" customHeight="true" outlineLevel="0" collapsed="false">
      <c r="A137" s="2092"/>
      <c r="B137" s="2093"/>
      <c r="C137" s="2094"/>
      <c r="D137" s="2095"/>
      <c r="E137" s="2095"/>
      <c r="F137" s="2095"/>
      <c r="G137" s="2095"/>
      <c r="H137" s="2095"/>
      <c r="I137" s="2095"/>
      <c r="J137" s="2095"/>
      <c r="K137" s="2095"/>
      <c r="L137" s="2095"/>
      <c r="M137" s="2095"/>
      <c r="N137" s="2095"/>
      <c r="O137" s="2095"/>
      <c r="P137" s="2093"/>
      <c r="Q137" s="2095"/>
      <c r="R137" s="2095"/>
      <c r="S137" s="2095"/>
      <c r="T137" s="2095"/>
      <c r="U137" s="2095"/>
      <c r="V137" s="2095"/>
      <c r="W137" s="2095"/>
      <c r="X137" s="2095"/>
      <c r="Y137" s="2095"/>
      <c r="Z137" s="2095"/>
      <c r="AA137" s="2095"/>
      <c r="AB137" s="2095"/>
      <c r="AC137" s="2095"/>
      <c r="AD137" s="2095"/>
      <c r="AE137" s="2095"/>
      <c r="AF137" s="2095"/>
      <c r="AG137" s="2095"/>
      <c r="AH137" s="2095"/>
      <c r="AI137" s="2095"/>
      <c r="AJ137" s="2095"/>
      <c r="AK137" s="2095"/>
      <c r="AL137" s="2095"/>
      <c r="AM137" s="2095"/>
      <c r="AN137" s="2095"/>
      <c r="AO137" s="2095"/>
      <c r="AP137" s="2095"/>
      <c r="AQ137" s="2095"/>
      <c r="AR137" s="2095"/>
      <c r="AS137" s="2095"/>
      <c r="AT137" s="2095"/>
      <c r="AU137" s="2095"/>
      <c r="AV137" s="2095"/>
      <c r="AW137" s="2095"/>
      <c r="AX137" s="2095"/>
      <c r="AY137" s="2095"/>
      <c r="AZ137" s="2095"/>
      <c r="BA137" s="2093"/>
      <c r="BB137" s="2096"/>
    </row>
    <row r="138" s="2128" customFormat="true" ht="30" hidden="false" customHeight="true" outlineLevel="0" collapsed="false">
      <c r="A138" s="2092"/>
      <c r="B138" s="2093"/>
      <c r="C138" s="2094"/>
      <c r="D138" s="2095"/>
      <c r="E138" s="2095"/>
      <c r="F138" s="2095"/>
      <c r="G138" s="2095"/>
      <c r="H138" s="2095"/>
      <c r="I138" s="2095"/>
      <c r="J138" s="2095"/>
      <c r="K138" s="2095"/>
      <c r="L138" s="2095"/>
      <c r="M138" s="2095"/>
      <c r="N138" s="2095"/>
      <c r="O138" s="2095"/>
      <c r="P138" s="2093"/>
      <c r="Q138" s="2095"/>
      <c r="R138" s="2095"/>
      <c r="S138" s="2095"/>
      <c r="T138" s="2095"/>
      <c r="U138" s="2095"/>
      <c r="V138" s="2095"/>
      <c r="W138" s="2095"/>
      <c r="X138" s="2095"/>
      <c r="Y138" s="2095"/>
      <c r="Z138" s="2095"/>
      <c r="AA138" s="2095"/>
      <c r="AB138" s="2095"/>
      <c r="AC138" s="2095"/>
      <c r="AD138" s="2095"/>
      <c r="AE138" s="2095"/>
      <c r="AF138" s="2095"/>
      <c r="AG138" s="2095"/>
      <c r="AH138" s="2095"/>
      <c r="AI138" s="2095"/>
      <c r="AJ138" s="2095"/>
      <c r="AK138" s="2095"/>
      <c r="AL138" s="2095"/>
      <c r="AM138" s="2095"/>
      <c r="AN138" s="2095"/>
      <c r="AO138" s="2095"/>
      <c r="AP138" s="2095"/>
      <c r="AQ138" s="2095"/>
      <c r="AR138" s="2095"/>
      <c r="AS138" s="2095"/>
      <c r="AT138" s="2095"/>
      <c r="AU138" s="2095"/>
      <c r="AV138" s="2095"/>
      <c r="AW138" s="2095"/>
      <c r="AX138" s="2095"/>
      <c r="AY138" s="2095"/>
      <c r="AZ138" s="2095"/>
      <c r="BA138" s="2093"/>
      <c r="BB138" s="2096"/>
    </row>
    <row r="139" s="2128" customFormat="true" ht="30" hidden="false" customHeight="true" outlineLevel="0" collapsed="false">
      <c r="A139" s="2092"/>
      <c r="B139" s="2093"/>
      <c r="C139" s="2094"/>
      <c r="D139" s="2095"/>
      <c r="E139" s="2095"/>
      <c r="F139" s="2095"/>
      <c r="G139" s="2095"/>
      <c r="H139" s="2095"/>
      <c r="I139" s="2095"/>
      <c r="J139" s="2095"/>
      <c r="K139" s="2095"/>
      <c r="L139" s="2095"/>
      <c r="M139" s="2095"/>
      <c r="N139" s="2095"/>
      <c r="O139" s="2095"/>
      <c r="P139" s="2093"/>
      <c r="Q139" s="2095"/>
      <c r="R139" s="2095"/>
      <c r="S139" s="2095"/>
      <c r="T139" s="2095"/>
      <c r="U139" s="2095"/>
      <c r="V139" s="2095"/>
      <c r="W139" s="2095"/>
      <c r="X139" s="2095"/>
      <c r="Y139" s="2095"/>
      <c r="Z139" s="2095"/>
      <c r="AA139" s="2095"/>
      <c r="AB139" s="2095"/>
      <c r="AC139" s="2095"/>
      <c r="AD139" s="2095"/>
      <c r="AE139" s="2095"/>
      <c r="AF139" s="2095"/>
      <c r="AG139" s="2095"/>
      <c r="AH139" s="2095"/>
      <c r="AI139" s="2095"/>
      <c r="AJ139" s="2095"/>
      <c r="AK139" s="2095"/>
      <c r="AL139" s="2095"/>
      <c r="AM139" s="2095"/>
      <c r="AN139" s="2095"/>
      <c r="AO139" s="2095"/>
      <c r="AP139" s="2095"/>
      <c r="AQ139" s="2095"/>
      <c r="AR139" s="2095"/>
      <c r="AS139" s="2095"/>
      <c r="AT139" s="2095"/>
      <c r="AU139" s="2095"/>
      <c r="AV139" s="2095"/>
      <c r="AW139" s="2095"/>
      <c r="AX139" s="2095"/>
      <c r="AY139" s="2095"/>
      <c r="AZ139" s="2095"/>
      <c r="BA139" s="2093"/>
      <c r="BB139" s="2096"/>
    </row>
    <row r="140" s="2128" customFormat="true" ht="30" hidden="false" customHeight="true" outlineLevel="0" collapsed="false">
      <c r="A140" s="2092"/>
      <c r="B140" s="2093"/>
      <c r="C140" s="2094"/>
      <c r="D140" s="2095"/>
      <c r="E140" s="2095"/>
      <c r="F140" s="2095"/>
      <c r="G140" s="2095"/>
      <c r="H140" s="2095"/>
      <c r="I140" s="2095"/>
      <c r="J140" s="2095"/>
      <c r="K140" s="2095"/>
      <c r="L140" s="2095"/>
      <c r="M140" s="2095"/>
      <c r="N140" s="2095"/>
      <c r="O140" s="2095"/>
      <c r="P140" s="2093"/>
      <c r="Q140" s="2095"/>
      <c r="R140" s="2095"/>
      <c r="S140" s="2095"/>
      <c r="T140" s="2095"/>
      <c r="U140" s="2095"/>
      <c r="V140" s="2095"/>
      <c r="W140" s="2095"/>
      <c r="X140" s="2095"/>
      <c r="Y140" s="2095"/>
      <c r="Z140" s="2095"/>
      <c r="AA140" s="2095"/>
      <c r="AB140" s="2095"/>
      <c r="AC140" s="2095"/>
      <c r="AD140" s="2095"/>
      <c r="AE140" s="2095"/>
      <c r="AF140" s="2095"/>
      <c r="AG140" s="2095"/>
      <c r="AH140" s="2095"/>
      <c r="AI140" s="2095"/>
      <c r="AJ140" s="2095"/>
      <c r="AK140" s="2095"/>
      <c r="AL140" s="2095"/>
      <c r="AM140" s="2095"/>
      <c r="AN140" s="2095"/>
      <c r="AO140" s="2095"/>
      <c r="AP140" s="2095"/>
      <c r="AQ140" s="2095"/>
      <c r="AR140" s="2095"/>
      <c r="AS140" s="2095"/>
      <c r="AT140" s="2095"/>
      <c r="AU140" s="2095"/>
      <c r="AV140" s="2095"/>
      <c r="AW140" s="2095"/>
      <c r="AX140" s="2095"/>
      <c r="AY140" s="2095"/>
      <c r="AZ140" s="2095"/>
      <c r="BA140" s="2093"/>
      <c r="BB140" s="2096"/>
    </row>
    <row r="141" s="2128" customFormat="true" ht="30" hidden="false" customHeight="true" outlineLevel="0" collapsed="false">
      <c r="A141" s="2092"/>
      <c r="B141" s="2093"/>
      <c r="C141" s="2094"/>
      <c r="D141" s="2095"/>
      <c r="E141" s="2095"/>
      <c r="F141" s="2095"/>
      <c r="G141" s="2095"/>
      <c r="H141" s="2095"/>
      <c r="I141" s="2095"/>
      <c r="J141" s="2095"/>
      <c r="K141" s="2095"/>
      <c r="L141" s="2095"/>
      <c r="M141" s="2095"/>
      <c r="N141" s="2095"/>
      <c r="O141" s="2095"/>
      <c r="P141" s="2093"/>
      <c r="Q141" s="2095"/>
      <c r="R141" s="2095"/>
      <c r="S141" s="2095"/>
      <c r="T141" s="2095"/>
      <c r="U141" s="2095"/>
      <c r="V141" s="2095"/>
      <c r="W141" s="2095"/>
      <c r="X141" s="2095"/>
      <c r="Y141" s="2095"/>
      <c r="Z141" s="2095"/>
      <c r="AA141" s="2095"/>
      <c r="AB141" s="2095"/>
      <c r="AC141" s="2095"/>
      <c r="AD141" s="2095"/>
      <c r="AE141" s="2095"/>
      <c r="AF141" s="2095"/>
      <c r="AG141" s="2095"/>
      <c r="AH141" s="2095"/>
      <c r="AI141" s="2095"/>
      <c r="AJ141" s="2095"/>
      <c r="AK141" s="2095"/>
      <c r="AL141" s="2095"/>
      <c r="AM141" s="2095"/>
      <c r="AN141" s="2095"/>
      <c r="AO141" s="2095"/>
      <c r="AP141" s="2095"/>
      <c r="AQ141" s="2095"/>
      <c r="AR141" s="2095"/>
      <c r="AS141" s="2095"/>
      <c r="AT141" s="2095"/>
      <c r="AU141" s="2095"/>
      <c r="AV141" s="2095"/>
      <c r="AW141" s="2095"/>
      <c r="AX141" s="2095"/>
      <c r="AY141" s="2095"/>
      <c r="AZ141" s="2095"/>
      <c r="BA141" s="2093"/>
      <c r="BB141" s="2096"/>
    </row>
    <row r="142" s="2128" customFormat="true" ht="30" hidden="false" customHeight="true" outlineLevel="0" collapsed="false">
      <c r="A142" s="2092"/>
      <c r="B142" s="2093"/>
      <c r="C142" s="2094"/>
      <c r="D142" s="2095"/>
      <c r="E142" s="2095"/>
      <c r="F142" s="2095"/>
      <c r="G142" s="2095"/>
      <c r="H142" s="2095"/>
      <c r="I142" s="2095"/>
      <c r="J142" s="2095"/>
      <c r="K142" s="2095"/>
      <c r="L142" s="2095"/>
      <c r="M142" s="2095"/>
      <c r="N142" s="2095"/>
      <c r="O142" s="2095"/>
      <c r="P142" s="2093"/>
      <c r="Q142" s="2095"/>
      <c r="R142" s="2095"/>
      <c r="S142" s="2095"/>
      <c r="T142" s="2095"/>
      <c r="U142" s="2095"/>
      <c r="V142" s="2095"/>
      <c r="W142" s="2095"/>
      <c r="X142" s="2095"/>
      <c r="Y142" s="2095"/>
      <c r="Z142" s="2095"/>
      <c r="AA142" s="2095"/>
      <c r="AB142" s="2095"/>
      <c r="AC142" s="2095"/>
      <c r="AD142" s="2095"/>
      <c r="AE142" s="2095"/>
      <c r="AF142" s="2095"/>
      <c r="AG142" s="2095"/>
      <c r="AH142" s="2095"/>
      <c r="AI142" s="2095"/>
      <c r="AJ142" s="2095"/>
      <c r="AK142" s="2095"/>
      <c r="AL142" s="2095"/>
      <c r="AM142" s="2095"/>
      <c r="AN142" s="2095"/>
      <c r="AO142" s="2095"/>
      <c r="AP142" s="2095"/>
      <c r="AQ142" s="2095"/>
      <c r="AR142" s="2095"/>
      <c r="AS142" s="2095"/>
      <c r="AT142" s="2095"/>
      <c r="AU142" s="2095"/>
      <c r="AV142" s="2095"/>
      <c r="AW142" s="2095"/>
      <c r="AX142" s="2095"/>
      <c r="AY142" s="2095"/>
      <c r="AZ142" s="2095"/>
      <c r="BA142" s="2093"/>
      <c r="BB142" s="2096"/>
    </row>
    <row r="143" s="2128" customFormat="true" ht="30" hidden="false" customHeight="true" outlineLevel="0" collapsed="false">
      <c r="A143" s="2092"/>
      <c r="B143" s="2093"/>
      <c r="C143" s="2094"/>
      <c r="D143" s="2095"/>
      <c r="E143" s="2095"/>
      <c r="F143" s="2095"/>
      <c r="G143" s="2095"/>
      <c r="H143" s="2095"/>
      <c r="I143" s="2095"/>
      <c r="J143" s="2095"/>
      <c r="K143" s="2095"/>
      <c r="L143" s="2095"/>
      <c r="M143" s="2095"/>
      <c r="N143" s="2095"/>
      <c r="O143" s="2095"/>
      <c r="P143" s="2093"/>
      <c r="Q143" s="2095"/>
      <c r="R143" s="2095"/>
      <c r="S143" s="2095"/>
      <c r="T143" s="2095"/>
      <c r="U143" s="2095"/>
      <c r="V143" s="2095"/>
      <c r="W143" s="2095"/>
      <c r="X143" s="2095"/>
      <c r="Y143" s="2095"/>
      <c r="Z143" s="2095"/>
      <c r="AA143" s="2095"/>
      <c r="AB143" s="2095"/>
      <c r="AC143" s="2095"/>
      <c r="AD143" s="2095"/>
      <c r="AE143" s="2095"/>
      <c r="AF143" s="2095"/>
      <c r="AG143" s="2095"/>
      <c r="AH143" s="2095"/>
      <c r="AI143" s="2095"/>
      <c r="AJ143" s="2095"/>
      <c r="AK143" s="2095"/>
      <c r="AL143" s="2095"/>
      <c r="AM143" s="2095"/>
      <c r="AN143" s="2095"/>
      <c r="AO143" s="2095"/>
      <c r="AP143" s="2095"/>
      <c r="AQ143" s="2095"/>
      <c r="AR143" s="2095"/>
      <c r="AS143" s="2095"/>
      <c r="AT143" s="2095"/>
      <c r="AU143" s="2095"/>
      <c r="AV143" s="2095"/>
      <c r="AW143" s="2095"/>
      <c r="AX143" s="2095"/>
      <c r="AY143" s="2095"/>
      <c r="AZ143" s="2095"/>
      <c r="BA143" s="2093"/>
      <c r="BB143" s="2096"/>
    </row>
    <row r="144" s="2128" customFormat="true" ht="30" hidden="false" customHeight="true" outlineLevel="0" collapsed="false">
      <c r="A144" s="2092"/>
      <c r="B144" s="2093"/>
      <c r="C144" s="2094"/>
      <c r="D144" s="2095"/>
      <c r="E144" s="2095"/>
      <c r="F144" s="2095"/>
      <c r="G144" s="2095"/>
      <c r="H144" s="2095"/>
      <c r="I144" s="2095"/>
      <c r="J144" s="2095"/>
      <c r="K144" s="2095"/>
      <c r="L144" s="2095"/>
      <c r="M144" s="2095"/>
      <c r="N144" s="2095"/>
      <c r="O144" s="2095"/>
      <c r="P144" s="2093"/>
      <c r="Q144" s="2095"/>
      <c r="R144" s="2095"/>
      <c r="S144" s="2095"/>
      <c r="T144" s="2095"/>
      <c r="U144" s="2095"/>
      <c r="V144" s="2095"/>
      <c r="W144" s="2095"/>
      <c r="X144" s="2095"/>
      <c r="Y144" s="2095"/>
      <c r="Z144" s="2095"/>
      <c r="AA144" s="2095"/>
      <c r="AB144" s="2095"/>
      <c r="AC144" s="2095"/>
      <c r="AD144" s="2095"/>
      <c r="AE144" s="2095"/>
      <c r="AF144" s="2095"/>
      <c r="AG144" s="2095"/>
      <c r="AH144" s="2095"/>
      <c r="AI144" s="2095"/>
      <c r="AJ144" s="2095"/>
      <c r="AK144" s="2095"/>
      <c r="AL144" s="2095"/>
      <c r="AM144" s="2095"/>
      <c r="AN144" s="2095"/>
      <c r="AO144" s="2095"/>
      <c r="AP144" s="2095"/>
      <c r="AQ144" s="2095"/>
      <c r="AR144" s="2095"/>
      <c r="AS144" s="2095"/>
      <c r="AT144" s="2095"/>
      <c r="AU144" s="2095"/>
      <c r="AV144" s="2095"/>
      <c r="AW144" s="2095"/>
      <c r="AX144" s="2095"/>
      <c r="AY144" s="2095"/>
      <c r="AZ144" s="2095"/>
      <c r="BA144" s="2093"/>
      <c r="BB144" s="2096"/>
    </row>
    <row r="145" s="2128" customFormat="true" ht="30" hidden="false" customHeight="true" outlineLevel="0" collapsed="false">
      <c r="A145" s="2092"/>
      <c r="B145" s="2093"/>
      <c r="C145" s="2094"/>
      <c r="D145" s="2095"/>
      <c r="E145" s="2095"/>
      <c r="F145" s="2095"/>
      <c r="G145" s="2095"/>
      <c r="H145" s="2095"/>
      <c r="I145" s="2095"/>
      <c r="J145" s="2095"/>
      <c r="K145" s="2095"/>
      <c r="L145" s="2095"/>
      <c r="M145" s="2095"/>
      <c r="N145" s="2095"/>
      <c r="O145" s="2095"/>
      <c r="P145" s="2093"/>
      <c r="Q145" s="2095"/>
      <c r="R145" s="2095"/>
      <c r="S145" s="2095"/>
      <c r="T145" s="2095"/>
      <c r="U145" s="2095"/>
      <c r="V145" s="2095"/>
      <c r="W145" s="2095"/>
      <c r="X145" s="2095"/>
      <c r="Y145" s="2095"/>
      <c r="Z145" s="2095"/>
      <c r="AA145" s="2095"/>
      <c r="AB145" s="2095"/>
      <c r="AC145" s="2095"/>
      <c r="AD145" s="2095"/>
      <c r="AE145" s="2095"/>
      <c r="AF145" s="2095"/>
      <c r="AG145" s="2095"/>
      <c r="AH145" s="2095"/>
      <c r="AI145" s="2095"/>
      <c r="AJ145" s="2095"/>
      <c r="AK145" s="2095"/>
      <c r="AL145" s="2095"/>
      <c r="AM145" s="2095"/>
      <c r="AN145" s="2095"/>
      <c r="AO145" s="2095"/>
      <c r="AP145" s="2095"/>
      <c r="AQ145" s="2095"/>
      <c r="AR145" s="2095"/>
      <c r="AS145" s="2095"/>
      <c r="AT145" s="2095"/>
      <c r="AU145" s="2095"/>
      <c r="AV145" s="2095"/>
      <c r="AW145" s="2095"/>
      <c r="AX145" s="2095"/>
      <c r="AY145" s="2095"/>
      <c r="AZ145" s="2095"/>
      <c r="BA145" s="2093"/>
      <c r="BB145" s="2096"/>
    </row>
    <row r="146" s="2128" customFormat="true" ht="30" hidden="false" customHeight="true" outlineLevel="0" collapsed="false">
      <c r="A146" s="2092"/>
      <c r="B146" s="2093"/>
      <c r="C146" s="2094"/>
      <c r="D146" s="2095"/>
      <c r="E146" s="2095"/>
      <c r="F146" s="2095"/>
      <c r="G146" s="2095"/>
      <c r="H146" s="2095"/>
      <c r="I146" s="2095"/>
      <c r="J146" s="2095"/>
      <c r="K146" s="2095"/>
      <c r="L146" s="2095"/>
      <c r="M146" s="2095"/>
      <c r="N146" s="2095"/>
      <c r="O146" s="2095"/>
      <c r="P146" s="2093"/>
      <c r="Q146" s="2095"/>
      <c r="R146" s="2095"/>
      <c r="S146" s="2095"/>
      <c r="T146" s="2095"/>
      <c r="U146" s="2095"/>
      <c r="V146" s="2095"/>
      <c r="W146" s="2095"/>
      <c r="X146" s="2095"/>
      <c r="Y146" s="2095"/>
      <c r="Z146" s="2095"/>
      <c r="AA146" s="2095"/>
      <c r="AB146" s="2095"/>
      <c r="AC146" s="2095"/>
      <c r="AD146" s="2095"/>
      <c r="AE146" s="2095"/>
      <c r="AF146" s="2095"/>
      <c r="AG146" s="2095"/>
      <c r="AH146" s="2095"/>
      <c r="AI146" s="2095"/>
      <c r="AJ146" s="2095"/>
      <c r="AK146" s="2095"/>
      <c r="AL146" s="2095"/>
      <c r="AM146" s="2095"/>
      <c r="AN146" s="2095"/>
      <c r="AO146" s="2095"/>
      <c r="AP146" s="2095"/>
      <c r="AQ146" s="2095"/>
      <c r="AR146" s="2095"/>
      <c r="AS146" s="2095"/>
      <c r="AT146" s="2095"/>
      <c r="AU146" s="2095"/>
      <c r="AV146" s="2095"/>
      <c r="AW146" s="2095"/>
      <c r="AX146" s="2095"/>
      <c r="AY146" s="2095"/>
      <c r="AZ146" s="2095"/>
      <c r="BA146" s="2093"/>
      <c r="BB146" s="2096"/>
    </row>
    <row r="147" s="2128" customFormat="true" ht="30" hidden="false" customHeight="true" outlineLevel="0" collapsed="false">
      <c r="A147" s="2092"/>
      <c r="B147" s="2093"/>
      <c r="C147" s="2094"/>
      <c r="D147" s="2095"/>
      <c r="E147" s="2095"/>
      <c r="F147" s="2095"/>
      <c r="G147" s="2095"/>
      <c r="H147" s="2095"/>
      <c r="I147" s="2095"/>
      <c r="J147" s="2095"/>
      <c r="K147" s="2095"/>
      <c r="L147" s="2095"/>
      <c r="M147" s="2095"/>
      <c r="N147" s="2095"/>
      <c r="O147" s="2095"/>
      <c r="P147" s="2093"/>
      <c r="Q147" s="2095"/>
      <c r="R147" s="2095"/>
      <c r="S147" s="2095"/>
      <c r="T147" s="2095"/>
      <c r="U147" s="2095"/>
      <c r="V147" s="2095"/>
      <c r="W147" s="2095"/>
      <c r="X147" s="2095"/>
      <c r="Y147" s="2095"/>
      <c r="Z147" s="2095"/>
      <c r="AA147" s="2095"/>
      <c r="AB147" s="2095"/>
      <c r="AC147" s="2095"/>
      <c r="AD147" s="2095"/>
      <c r="AE147" s="2095"/>
      <c r="AF147" s="2095"/>
      <c r="AG147" s="2095"/>
      <c r="AH147" s="2095"/>
      <c r="AI147" s="2095"/>
      <c r="AJ147" s="2095"/>
      <c r="AK147" s="2095"/>
      <c r="AL147" s="2095"/>
      <c r="AM147" s="2095"/>
      <c r="AN147" s="2095"/>
      <c r="AO147" s="2095"/>
      <c r="AP147" s="2095"/>
      <c r="AQ147" s="2095"/>
      <c r="AR147" s="2095"/>
      <c r="AS147" s="2095"/>
      <c r="AT147" s="2095"/>
      <c r="AU147" s="2095"/>
      <c r="AV147" s="2095"/>
      <c r="AW147" s="2095"/>
      <c r="AX147" s="2095"/>
      <c r="AY147" s="2095"/>
      <c r="AZ147" s="2095"/>
      <c r="BA147" s="2093"/>
      <c r="BB147" s="2096"/>
    </row>
    <row r="148" s="2128" customFormat="true" ht="30" hidden="false" customHeight="true" outlineLevel="0" collapsed="false">
      <c r="A148" s="2092"/>
      <c r="B148" s="2093"/>
      <c r="C148" s="2094"/>
      <c r="D148" s="2095"/>
      <c r="E148" s="2095"/>
      <c r="F148" s="2095"/>
      <c r="G148" s="2095"/>
      <c r="H148" s="2095"/>
      <c r="I148" s="2095"/>
      <c r="J148" s="2095"/>
      <c r="K148" s="2095"/>
      <c r="L148" s="2095"/>
      <c r="M148" s="2095"/>
      <c r="N148" s="2095"/>
      <c r="O148" s="2095"/>
      <c r="P148" s="2093"/>
      <c r="Q148" s="2095"/>
      <c r="R148" s="2095"/>
      <c r="S148" s="2095"/>
      <c r="T148" s="2095"/>
      <c r="U148" s="2095"/>
      <c r="V148" s="2095"/>
      <c r="W148" s="2095"/>
      <c r="X148" s="2095"/>
      <c r="Y148" s="2095"/>
      <c r="Z148" s="2095"/>
      <c r="AA148" s="2095"/>
      <c r="AB148" s="2095"/>
      <c r="AC148" s="2095"/>
      <c r="AD148" s="2095"/>
      <c r="AE148" s="2095"/>
      <c r="AF148" s="2095"/>
      <c r="AG148" s="2095"/>
      <c r="AH148" s="2095"/>
      <c r="AI148" s="2095"/>
      <c r="AJ148" s="2095"/>
      <c r="AK148" s="2095"/>
      <c r="AL148" s="2095"/>
      <c r="AM148" s="2095"/>
      <c r="AN148" s="2095"/>
      <c r="AO148" s="2095"/>
      <c r="AP148" s="2095"/>
      <c r="AQ148" s="2095"/>
      <c r="AR148" s="2095"/>
      <c r="AS148" s="2095"/>
      <c r="AT148" s="2095"/>
      <c r="AU148" s="2095"/>
      <c r="AV148" s="2095"/>
      <c r="AW148" s="2095"/>
      <c r="AX148" s="2095"/>
      <c r="AY148" s="2095"/>
      <c r="AZ148" s="2095"/>
      <c r="BA148" s="2093"/>
      <c r="BB148" s="2096"/>
    </row>
    <row r="149" s="2128" customFormat="true" ht="30" hidden="false" customHeight="true" outlineLevel="0" collapsed="false">
      <c r="A149" s="2092"/>
      <c r="B149" s="2093"/>
      <c r="C149" s="2094"/>
      <c r="D149" s="2095"/>
      <c r="E149" s="2095"/>
      <c r="F149" s="2095"/>
      <c r="G149" s="2095"/>
      <c r="H149" s="2095"/>
      <c r="I149" s="2095"/>
      <c r="J149" s="2095"/>
      <c r="K149" s="2095"/>
      <c r="L149" s="2095"/>
      <c r="M149" s="2095"/>
      <c r="N149" s="2095"/>
      <c r="O149" s="2095"/>
      <c r="P149" s="2093"/>
      <c r="Q149" s="2095"/>
      <c r="R149" s="2095"/>
      <c r="S149" s="2095"/>
      <c r="T149" s="2095"/>
      <c r="U149" s="2095"/>
      <c r="V149" s="2095"/>
      <c r="W149" s="2095"/>
      <c r="X149" s="2095"/>
      <c r="Y149" s="2095"/>
      <c r="Z149" s="2095"/>
      <c r="AA149" s="2095"/>
      <c r="AB149" s="2095"/>
      <c r="AC149" s="2095"/>
      <c r="AD149" s="2095"/>
      <c r="AE149" s="2095"/>
      <c r="AF149" s="2095"/>
      <c r="AG149" s="2095"/>
      <c r="AH149" s="2095"/>
      <c r="AI149" s="2095"/>
      <c r="AJ149" s="2095"/>
      <c r="AK149" s="2095"/>
      <c r="AL149" s="2095"/>
      <c r="AM149" s="2095"/>
      <c r="AN149" s="2095"/>
      <c r="AO149" s="2095"/>
      <c r="AP149" s="2095"/>
      <c r="AQ149" s="2095"/>
      <c r="AR149" s="2095"/>
      <c r="AS149" s="2095"/>
      <c r="AT149" s="2095"/>
      <c r="AU149" s="2095"/>
      <c r="AV149" s="2095"/>
      <c r="AW149" s="2095"/>
      <c r="AX149" s="2095"/>
      <c r="AY149" s="2095"/>
      <c r="AZ149" s="2095"/>
      <c r="BA149" s="2093"/>
      <c r="BB149" s="2096"/>
    </row>
    <row r="150" s="2128" customFormat="true" ht="30" hidden="false" customHeight="true" outlineLevel="0" collapsed="false">
      <c r="A150" s="2092"/>
      <c r="B150" s="2093"/>
      <c r="C150" s="2094"/>
      <c r="D150" s="2095"/>
      <c r="E150" s="2095"/>
      <c r="F150" s="2095"/>
      <c r="G150" s="2095"/>
      <c r="H150" s="2095"/>
      <c r="I150" s="2095"/>
      <c r="J150" s="2095"/>
      <c r="K150" s="2095"/>
      <c r="L150" s="2095"/>
      <c r="M150" s="2095"/>
      <c r="N150" s="2095"/>
      <c r="O150" s="2095"/>
      <c r="P150" s="2093"/>
      <c r="Q150" s="2095"/>
      <c r="R150" s="2095"/>
      <c r="S150" s="2095"/>
      <c r="T150" s="2095"/>
      <c r="U150" s="2095"/>
      <c r="V150" s="2095"/>
      <c r="W150" s="2095"/>
      <c r="X150" s="2095"/>
      <c r="Y150" s="2095"/>
      <c r="Z150" s="2095"/>
      <c r="AA150" s="2095"/>
      <c r="AB150" s="2095"/>
      <c r="AC150" s="2095"/>
      <c r="AD150" s="2095"/>
      <c r="AE150" s="2095"/>
      <c r="AF150" s="2095"/>
      <c r="AG150" s="2095"/>
      <c r="AH150" s="2095"/>
      <c r="AI150" s="2095"/>
      <c r="AJ150" s="2095"/>
      <c r="AK150" s="2095"/>
      <c r="AL150" s="2095"/>
      <c r="AM150" s="2095"/>
      <c r="AN150" s="2095"/>
      <c r="AO150" s="2095"/>
      <c r="AP150" s="2095"/>
      <c r="AQ150" s="2095"/>
      <c r="AR150" s="2095"/>
      <c r="AS150" s="2095"/>
      <c r="AT150" s="2095"/>
      <c r="AU150" s="2095"/>
      <c r="AV150" s="2095"/>
      <c r="AW150" s="2095"/>
      <c r="AX150" s="2095"/>
      <c r="AY150" s="2095"/>
      <c r="AZ150" s="2095"/>
      <c r="BA150" s="2093"/>
      <c r="BB150" s="2096"/>
    </row>
    <row r="151" s="2128" customFormat="true" ht="30" hidden="false" customHeight="true" outlineLevel="0" collapsed="false">
      <c r="A151" s="2092"/>
      <c r="B151" s="2093"/>
      <c r="C151" s="2094"/>
      <c r="D151" s="2095"/>
      <c r="E151" s="2095"/>
      <c r="F151" s="2095"/>
      <c r="G151" s="2095"/>
      <c r="H151" s="2095"/>
      <c r="I151" s="2095"/>
      <c r="J151" s="2095"/>
      <c r="K151" s="2095"/>
      <c r="L151" s="2095"/>
      <c r="M151" s="2095"/>
      <c r="N151" s="2095"/>
      <c r="O151" s="2095"/>
      <c r="P151" s="2093"/>
      <c r="Q151" s="2095"/>
      <c r="R151" s="2095"/>
      <c r="S151" s="2095"/>
      <c r="T151" s="2095"/>
      <c r="U151" s="2095"/>
      <c r="V151" s="2095"/>
      <c r="W151" s="2095"/>
      <c r="X151" s="2095"/>
      <c r="Y151" s="2095"/>
      <c r="Z151" s="2095"/>
      <c r="AA151" s="2095"/>
      <c r="AB151" s="2095"/>
      <c r="AC151" s="2095"/>
      <c r="AD151" s="2095"/>
      <c r="AE151" s="2095"/>
      <c r="AF151" s="2095"/>
      <c r="AG151" s="2095"/>
      <c r="AH151" s="2095"/>
      <c r="AI151" s="2095"/>
      <c r="AJ151" s="2095"/>
      <c r="AK151" s="2095"/>
      <c r="AL151" s="2095"/>
      <c r="AM151" s="2095"/>
      <c r="AN151" s="2095"/>
      <c r="AO151" s="2095"/>
      <c r="AP151" s="2095"/>
      <c r="AQ151" s="2095"/>
      <c r="AR151" s="2095"/>
      <c r="AS151" s="2095"/>
      <c r="AT151" s="2095"/>
      <c r="AU151" s="2095"/>
      <c r="AV151" s="2095"/>
      <c r="AW151" s="2095"/>
      <c r="AX151" s="2095"/>
      <c r="AY151" s="2095"/>
      <c r="AZ151" s="2095"/>
      <c r="BA151" s="2093"/>
      <c r="BB151" s="2096"/>
    </row>
    <row r="152" s="2128" customFormat="true" ht="30" hidden="false" customHeight="true" outlineLevel="0" collapsed="false">
      <c r="A152" s="2092"/>
      <c r="B152" s="2093"/>
      <c r="C152" s="2094"/>
      <c r="D152" s="2095"/>
      <c r="E152" s="2095"/>
      <c r="F152" s="2095"/>
      <c r="G152" s="2095"/>
      <c r="H152" s="2095"/>
      <c r="I152" s="2095"/>
      <c r="J152" s="2095"/>
      <c r="K152" s="2095"/>
      <c r="L152" s="2095"/>
      <c r="M152" s="2095"/>
      <c r="N152" s="2095"/>
      <c r="O152" s="2095"/>
      <c r="P152" s="2093"/>
      <c r="Q152" s="2095"/>
      <c r="R152" s="2095"/>
      <c r="S152" s="2095"/>
      <c r="T152" s="2095"/>
      <c r="U152" s="2095"/>
      <c r="V152" s="2095"/>
      <c r="W152" s="2095"/>
      <c r="X152" s="2095"/>
      <c r="Y152" s="2095"/>
      <c r="Z152" s="2095"/>
      <c r="AA152" s="2095"/>
      <c r="AB152" s="2095"/>
      <c r="AC152" s="2095"/>
      <c r="AD152" s="2095"/>
      <c r="AE152" s="2095"/>
      <c r="AF152" s="2095"/>
      <c r="AG152" s="2095"/>
      <c r="AH152" s="2095"/>
      <c r="AI152" s="2095"/>
      <c r="AJ152" s="2095"/>
      <c r="AK152" s="2095"/>
      <c r="AL152" s="2095"/>
      <c r="AM152" s="2095"/>
      <c r="AN152" s="2095"/>
      <c r="AO152" s="2095"/>
      <c r="AP152" s="2095"/>
      <c r="AQ152" s="2095"/>
      <c r="AR152" s="2095"/>
      <c r="AS152" s="2095"/>
      <c r="AT152" s="2095"/>
      <c r="AU152" s="2095"/>
      <c r="AV152" s="2095"/>
      <c r="AW152" s="2095"/>
      <c r="AX152" s="2095"/>
      <c r="AY152" s="2095"/>
      <c r="AZ152" s="2095"/>
      <c r="BA152" s="2093"/>
      <c r="BB152" s="2096"/>
    </row>
    <row r="153" s="2128" customFormat="true" ht="30" hidden="false" customHeight="true" outlineLevel="0" collapsed="false">
      <c r="A153" s="2092"/>
      <c r="B153" s="2093"/>
      <c r="C153" s="2094"/>
      <c r="D153" s="2095"/>
      <c r="E153" s="2095"/>
      <c r="F153" s="2095"/>
      <c r="G153" s="2095"/>
      <c r="H153" s="2095"/>
      <c r="I153" s="2095"/>
      <c r="J153" s="2095"/>
      <c r="K153" s="2095"/>
      <c r="L153" s="2095"/>
      <c r="M153" s="2095"/>
      <c r="N153" s="2095"/>
      <c r="O153" s="2095"/>
      <c r="P153" s="2093"/>
      <c r="Q153" s="2095"/>
      <c r="R153" s="2095"/>
      <c r="S153" s="2095"/>
      <c r="T153" s="2095"/>
      <c r="U153" s="2095"/>
      <c r="V153" s="2095"/>
      <c r="W153" s="2095"/>
      <c r="X153" s="2095"/>
      <c r="Y153" s="2095"/>
      <c r="Z153" s="2095"/>
      <c r="AA153" s="2095"/>
      <c r="AB153" s="2095"/>
      <c r="AC153" s="2095"/>
      <c r="AD153" s="2095"/>
      <c r="AE153" s="2095"/>
      <c r="AF153" s="2095"/>
      <c r="AG153" s="2095"/>
      <c r="AH153" s="2095"/>
      <c r="AI153" s="2095"/>
      <c r="AJ153" s="2095"/>
      <c r="AK153" s="2095"/>
      <c r="AL153" s="2095"/>
      <c r="AM153" s="2095"/>
      <c r="AN153" s="2095"/>
      <c r="AO153" s="2095"/>
      <c r="AP153" s="2095"/>
      <c r="AQ153" s="2095"/>
      <c r="AR153" s="2095"/>
      <c r="AS153" s="2095"/>
      <c r="AT153" s="2095"/>
      <c r="AU153" s="2095"/>
      <c r="AV153" s="2095"/>
      <c r="AW153" s="2095"/>
      <c r="AX153" s="2095"/>
      <c r="AY153" s="2095"/>
      <c r="AZ153" s="2095"/>
      <c r="BA153" s="2093"/>
      <c r="BB153" s="2096"/>
    </row>
    <row r="154" s="2128" customFormat="true" ht="30" hidden="false" customHeight="true" outlineLevel="0" collapsed="false">
      <c r="A154" s="2092"/>
      <c r="B154" s="2093"/>
      <c r="C154" s="2094"/>
      <c r="D154" s="2095"/>
      <c r="E154" s="2095"/>
      <c r="F154" s="2095"/>
      <c r="G154" s="2095"/>
      <c r="H154" s="2095"/>
      <c r="I154" s="2095"/>
      <c r="J154" s="2095"/>
      <c r="K154" s="2095"/>
      <c r="L154" s="2095"/>
      <c r="M154" s="2095"/>
      <c r="N154" s="2095"/>
      <c r="O154" s="2095"/>
      <c r="P154" s="2093"/>
      <c r="Q154" s="2095"/>
      <c r="R154" s="2095"/>
      <c r="S154" s="2095"/>
      <c r="T154" s="2095"/>
      <c r="U154" s="2095"/>
      <c r="V154" s="2095"/>
      <c r="W154" s="2095"/>
      <c r="X154" s="2095"/>
      <c r="Y154" s="2095"/>
      <c r="Z154" s="2095"/>
      <c r="AA154" s="2095"/>
      <c r="AB154" s="2095"/>
      <c r="AC154" s="2095"/>
      <c r="AD154" s="2095"/>
      <c r="AE154" s="2095"/>
      <c r="AF154" s="2095"/>
      <c r="AG154" s="2095"/>
      <c r="AH154" s="2095"/>
      <c r="AI154" s="2095"/>
      <c r="AJ154" s="2095"/>
      <c r="AK154" s="2095"/>
      <c r="AL154" s="2095"/>
      <c r="AM154" s="2095"/>
      <c r="AN154" s="2095"/>
      <c r="AO154" s="2095"/>
      <c r="AP154" s="2095"/>
      <c r="AQ154" s="2095"/>
      <c r="AR154" s="2095"/>
      <c r="AS154" s="2095"/>
      <c r="AT154" s="2095"/>
      <c r="AU154" s="2095"/>
      <c r="AV154" s="2095"/>
      <c r="AW154" s="2095"/>
      <c r="AX154" s="2095"/>
      <c r="AY154" s="2095"/>
      <c r="AZ154" s="2095"/>
      <c r="BA154" s="2093"/>
      <c r="BB154" s="2096"/>
    </row>
    <row r="155" s="2128" customFormat="true" ht="30" hidden="false" customHeight="true" outlineLevel="0" collapsed="false">
      <c r="A155" s="2092"/>
      <c r="B155" s="2093"/>
      <c r="C155" s="2094"/>
      <c r="D155" s="2095"/>
      <c r="E155" s="2095"/>
      <c r="F155" s="2095"/>
      <c r="G155" s="2095"/>
      <c r="H155" s="2095"/>
      <c r="I155" s="2095"/>
      <c r="J155" s="2095"/>
      <c r="K155" s="2095"/>
      <c r="L155" s="2095"/>
      <c r="M155" s="2095"/>
      <c r="N155" s="2095"/>
      <c r="O155" s="2095"/>
      <c r="P155" s="2093"/>
      <c r="Q155" s="2095"/>
      <c r="R155" s="2095"/>
      <c r="S155" s="2095"/>
      <c r="T155" s="2095"/>
      <c r="U155" s="2095"/>
      <c r="V155" s="2095"/>
      <c r="W155" s="2095"/>
      <c r="X155" s="2095"/>
      <c r="Y155" s="2095"/>
      <c r="Z155" s="2095"/>
      <c r="AA155" s="2095"/>
      <c r="AB155" s="2095"/>
      <c r="AC155" s="2095"/>
      <c r="AD155" s="2095"/>
      <c r="AE155" s="2095"/>
      <c r="AF155" s="2095"/>
      <c r="AG155" s="2095"/>
      <c r="AH155" s="2095"/>
      <c r="AI155" s="2095"/>
      <c r="AJ155" s="2095"/>
      <c r="AK155" s="2095"/>
      <c r="AL155" s="2095"/>
      <c r="AM155" s="2095"/>
      <c r="AN155" s="2095"/>
      <c r="AO155" s="2095"/>
      <c r="AP155" s="2095"/>
      <c r="AQ155" s="2095"/>
      <c r="AR155" s="2095"/>
      <c r="AS155" s="2095"/>
      <c r="AT155" s="2095"/>
      <c r="AU155" s="2095"/>
      <c r="AV155" s="2095"/>
      <c r="AW155" s="2095"/>
      <c r="AX155" s="2095"/>
      <c r="AY155" s="2095"/>
      <c r="AZ155" s="2095"/>
      <c r="BA155" s="2093"/>
      <c r="BB155" s="2096"/>
    </row>
    <row r="156" s="2128" customFormat="true" ht="30" hidden="false" customHeight="true" outlineLevel="0" collapsed="false">
      <c r="A156" s="2092"/>
      <c r="B156" s="2093"/>
      <c r="C156" s="2094"/>
      <c r="D156" s="2095"/>
      <c r="E156" s="2095"/>
      <c r="F156" s="2095"/>
      <c r="G156" s="2095"/>
      <c r="H156" s="2095"/>
      <c r="I156" s="2095"/>
      <c r="J156" s="2095"/>
      <c r="K156" s="2095"/>
      <c r="L156" s="2095"/>
      <c r="M156" s="2095"/>
      <c r="N156" s="2095"/>
      <c r="O156" s="2095"/>
      <c r="P156" s="2093"/>
      <c r="Q156" s="2095"/>
      <c r="R156" s="2095"/>
      <c r="S156" s="2095"/>
      <c r="T156" s="2095"/>
      <c r="U156" s="2095"/>
      <c r="V156" s="2095"/>
      <c r="W156" s="2095"/>
      <c r="X156" s="2095"/>
      <c r="Y156" s="2095"/>
      <c r="Z156" s="2095"/>
      <c r="AA156" s="2095"/>
      <c r="AB156" s="2095"/>
      <c r="AC156" s="2095"/>
      <c r="AD156" s="2095"/>
      <c r="AE156" s="2095"/>
      <c r="AF156" s="2095"/>
      <c r="AG156" s="2095"/>
      <c r="AH156" s="2095"/>
      <c r="AI156" s="2095"/>
      <c r="AJ156" s="2095"/>
      <c r="AK156" s="2095"/>
      <c r="AL156" s="2095"/>
      <c r="AM156" s="2095"/>
      <c r="AN156" s="2095"/>
      <c r="AO156" s="2095"/>
      <c r="AP156" s="2095"/>
      <c r="AQ156" s="2095"/>
      <c r="AR156" s="2095"/>
      <c r="AS156" s="2095"/>
      <c r="AT156" s="2095"/>
      <c r="AU156" s="2095"/>
      <c r="AV156" s="2095"/>
      <c r="AW156" s="2095"/>
      <c r="AX156" s="2095"/>
      <c r="AY156" s="2095"/>
      <c r="AZ156" s="2095"/>
      <c r="BA156" s="2093"/>
      <c r="BB156" s="2096"/>
    </row>
    <row r="157" s="2128" customFormat="true" ht="30" hidden="false" customHeight="true" outlineLevel="0" collapsed="false">
      <c r="A157" s="2092"/>
      <c r="B157" s="2093"/>
      <c r="C157" s="2094"/>
      <c r="D157" s="2095"/>
      <c r="E157" s="2095"/>
      <c r="F157" s="2095"/>
      <c r="G157" s="2095"/>
      <c r="H157" s="2095"/>
      <c r="I157" s="2095"/>
      <c r="J157" s="2095"/>
      <c r="K157" s="2095"/>
      <c r="L157" s="2095"/>
      <c r="M157" s="2095"/>
      <c r="N157" s="2095"/>
      <c r="O157" s="2095"/>
      <c r="P157" s="2093"/>
      <c r="Q157" s="2095"/>
      <c r="R157" s="2095"/>
      <c r="S157" s="2095"/>
      <c r="T157" s="2095"/>
      <c r="U157" s="2095"/>
      <c r="V157" s="2095"/>
      <c r="W157" s="2095"/>
      <c r="X157" s="2095"/>
      <c r="Y157" s="2095"/>
      <c r="Z157" s="2095"/>
      <c r="AA157" s="2095"/>
      <c r="AB157" s="2095"/>
      <c r="AC157" s="2095"/>
      <c r="AD157" s="2095"/>
      <c r="AE157" s="2095"/>
      <c r="AF157" s="2095"/>
      <c r="AG157" s="2095"/>
      <c r="AH157" s="2095"/>
      <c r="AI157" s="2095"/>
      <c r="AJ157" s="2095"/>
      <c r="AK157" s="2095"/>
      <c r="AL157" s="2095"/>
      <c r="AM157" s="2095"/>
      <c r="AN157" s="2095"/>
      <c r="AO157" s="2095"/>
      <c r="AP157" s="2095"/>
      <c r="AQ157" s="2095"/>
      <c r="AR157" s="2095"/>
      <c r="AS157" s="2095"/>
      <c r="AT157" s="2095"/>
      <c r="AU157" s="2095"/>
      <c r="AV157" s="2095"/>
      <c r="AW157" s="2095"/>
      <c r="AX157" s="2095"/>
      <c r="AY157" s="2095"/>
      <c r="AZ157" s="2095"/>
      <c r="BA157" s="2093"/>
      <c r="BB157" s="2096"/>
    </row>
    <row r="158" s="2128" customFormat="true" ht="30" hidden="false" customHeight="true" outlineLevel="0" collapsed="false">
      <c r="A158" s="2092"/>
      <c r="B158" s="2093"/>
      <c r="C158" s="2094"/>
      <c r="D158" s="2095"/>
      <c r="E158" s="2095"/>
      <c r="F158" s="2095"/>
      <c r="G158" s="2095"/>
      <c r="H158" s="2095"/>
      <c r="I158" s="2095"/>
      <c r="J158" s="2095"/>
      <c r="K158" s="2095"/>
      <c r="L158" s="2095"/>
      <c r="M158" s="2095"/>
      <c r="N158" s="2095"/>
      <c r="O158" s="2095"/>
      <c r="P158" s="2093"/>
      <c r="Q158" s="2095"/>
      <c r="R158" s="2095"/>
      <c r="S158" s="2095"/>
      <c r="T158" s="2095"/>
      <c r="U158" s="2095"/>
      <c r="V158" s="2095"/>
      <c r="W158" s="2095"/>
      <c r="X158" s="2095"/>
      <c r="Y158" s="2095"/>
      <c r="Z158" s="2095"/>
      <c r="AA158" s="2095"/>
      <c r="AB158" s="2095"/>
      <c r="AC158" s="2095"/>
      <c r="AD158" s="2095"/>
      <c r="AE158" s="2095"/>
      <c r="AF158" s="2095"/>
      <c r="AG158" s="2095"/>
      <c r="AH158" s="2095"/>
      <c r="AI158" s="2095"/>
      <c r="AJ158" s="2095"/>
      <c r="AK158" s="2095"/>
      <c r="AL158" s="2095"/>
      <c r="AM158" s="2095"/>
      <c r="AN158" s="2095"/>
      <c r="AO158" s="2095"/>
      <c r="AP158" s="2095"/>
      <c r="AQ158" s="2095"/>
      <c r="AR158" s="2095"/>
      <c r="AS158" s="2095"/>
      <c r="AT158" s="2095"/>
      <c r="AU158" s="2095"/>
      <c r="AV158" s="2095"/>
      <c r="AW158" s="2095"/>
      <c r="AX158" s="2095"/>
      <c r="AY158" s="2095"/>
      <c r="AZ158" s="2095"/>
      <c r="BA158" s="2093"/>
      <c r="BB158" s="2096"/>
    </row>
    <row r="159" s="2128" customFormat="true" ht="30" hidden="false" customHeight="true" outlineLevel="0" collapsed="false">
      <c r="A159" s="2092"/>
      <c r="B159" s="2093"/>
      <c r="C159" s="2094"/>
      <c r="D159" s="2095"/>
      <c r="E159" s="2095"/>
      <c r="F159" s="2095"/>
      <c r="G159" s="2095"/>
      <c r="H159" s="2095"/>
      <c r="I159" s="2095"/>
      <c r="J159" s="2095"/>
      <c r="K159" s="2095"/>
      <c r="L159" s="2095"/>
      <c r="M159" s="2095"/>
      <c r="N159" s="2095"/>
      <c r="O159" s="2095"/>
      <c r="P159" s="2093"/>
      <c r="Q159" s="2095"/>
      <c r="R159" s="2095"/>
      <c r="S159" s="2095"/>
      <c r="T159" s="2095"/>
      <c r="U159" s="2095"/>
      <c r="V159" s="2095"/>
      <c r="W159" s="2095"/>
      <c r="X159" s="2095"/>
      <c r="Y159" s="2095"/>
      <c r="Z159" s="2095"/>
      <c r="AA159" s="2095"/>
      <c r="AB159" s="2095"/>
      <c r="AC159" s="2095"/>
      <c r="AD159" s="2095"/>
      <c r="AE159" s="2095"/>
      <c r="AF159" s="2095"/>
      <c r="AG159" s="2095"/>
      <c r="AH159" s="2095"/>
      <c r="AI159" s="2095"/>
      <c r="AJ159" s="2095"/>
      <c r="AK159" s="2095"/>
      <c r="AL159" s="2095"/>
      <c r="AM159" s="2095"/>
      <c r="AN159" s="2095"/>
      <c r="AO159" s="2095"/>
      <c r="AP159" s="2095"/>
      <c r="AQ159" s="2095"/>
      <c r="AR159" s="2095"/>
      <c r="AS159" s="2095"/>
      <c r="AT159" s="2095"/>
      <c r="AU159" s="2095"/>
      <c r="AV159" s="2095"/>
      <c r="AW159" s="2095"/>
      <c r="AX159" s="2095"/>
      <c r="AY159" s="2095"/>
      <c r="AZ159" s="2095"/>
      <c r="BA159" s="2093"/>
      <c r="BB159" s="2096"/>
    </row>
    <row r="160" s="2128" customFormat="true" ht="30" hidden="false" customHeight="true" outlineLevel="0" collapsed="false">
      <c r="A160" s="2092"/>
      <c r="B160" s="2093"/>
      <c r="C160" s="2094"/>
      <c r="D160" s="2095"/>
      <c r="E160" s="2095"/>
      <c r="F160" s="2095"/>
      <c r="G160" s="2095"/>
      <c r="H160" s="2095"/>
      <c r="I160" s="2095"/>
      <c r="J160" s="2095"/>
      <c r="K160" s="2095"/>
      <c r="L160" s="2095"/>
      <c r="M160" s="2095"/>
      <c r="N160" s="2095"/>
      <c r="O160" s="2095"/>
      <c r="P160" s="2093"/>
      <c r="Q160" s="2095"/>
      <c r="R160" s="2095"/>
      <c r="S160" s="2095"/>
      <c r="T160" s="2095"/>
      <c r="U160" s="2095"/>
      <c r="V160" s="2095"/>
      <c r="W160" s="2095"/>
      <c r="X160" s="2095"/>
      <c r="Y160" s="2095"/>
      <c r="Z160" s="2095"/>
      <c r="AA160" s="2095"/>
      <c r="AB160" s="2095"/>
      <c r="AC160" s="2095"/>
      <c r="AD160" s="2095"/>
      <c r="AE160" s="2095"/>
      <c r="AF160" s="2095"/>
      <c r="AG160" s="2095"/>
      <c r="AH160" s="2095"/>
      <c r="AI160" s="2095"/>
      <c r="AJ160" s="2095"/>
      <c r="AK160" s="2095"/>
      <c r="AL160" s="2095"/>
      <c r="AM160" s="2095"/>
      <c r="AN160" s="2095"/>
      <c r="AO160" s="2095"/>
      <c r="AP160" s="2095"/>
      <c r="AQ160" s="2095"/>
      <c r="AR160" s="2095"/>
      <c r="AS160" s="2095"/>
      <c r="AT160" s="2095"/>
      <c r="AU160" s="2095"/>
      <c r="AV160" s="2095"/>
      <c r="AW160" s="2095"/>
      <c r="AX160" s="2095"/>
      <c r="AY160" s="2095"/>
      <c r="AZ160" s="2095"/>
      <c r="BA160" s="2093"/>
      <c r="BB160" s="2096"/>
    </row>
    <row r="161" s="2128" customFormat="true" ht="30" hidden="false" customHeight="true" outlineLevel="0" collapsed="false">
      <c r="A161" s="2092"/>
      <c r="B161" s="2093"/>
      <c r="C161" s="2094"/>
      <c r="D161" s="2095"/>
      <c r="E161" s="2095"/>
      <c r="F161" s="2095"/>
      <c r="G161" s="2095"/>
      <c r="H161" s="2095"/>
      <c r="I161" s="2095"/>
      <c r="J161" s="2095"/>
      <c r="K161" s="2095"/>
      <c r="L161" s="2095"/>
      <c r="M161" s="2095"/>
      <c r="N161" s="2095"/>
      <c r="O161" s="2095"/>
      <c r="P161" s="2093"/>
      <c r="Q161" s="2095"/>
      <c r="R161" s="2095"/>
      <c r="S161" s="2095"/>
      <c r="T161" s="2095"/>
      <c r="U161" s="2095"/>
      <c r="V161" s="2095"/>
      <c r="W161" s="2095"/>
      <c r="X161" s="2095"/>
      <c r="Y161" s="2095"/>
      <c r="Z161" s="2095"/>
      <c r="AA161" s="2095"/>
      <c r="AB161" s="2095"/>
      <c r="AC161" s="2095"/>
      <c r="AD161" s="2095"/>
      <c r="AE161" s="2095"/>
      <c r="AF161" s="2095"/>
      <c r="AG161" s="2095"/>
      <c r="AH161" s="2095"/>
      <c r="AI161" s="2095"/>
      <c r="AJ161" s="2095"/>
      <c r="AK161" s="2095"/>
      <c r="AL161" s="2095"/>
      <c r="AM161" s="2095"/>
      <c r="AN161" s="2095"/>
      <c r="AO161" s="2095"/>
      <c r="AP161" s="2095"/>
      <c r="AQ161" s="2095"/>
      <c r="AR161" s="2095"/>
      <c r="AS161" s="2095"/>
      <c r="AT161" s="2095"/>
      <c r="AU161" s="2095"/>
      <c r="AV161" s="2095"/>
      <c r="AW161" s="2095"/>
      <c r="AX161" s="2095"/>
      <c r="AY161" s="2095"/>
      <c r="AZ161" s="2095"/>
      <c r="BA161" s="2093"/>
      <c r="BB161" s="2096"/>
    </row>
    <row r="162" s="2128" customFormat="true" ht="30" hidden="false" customHeight="true" outlineLevel="0" collapsed="false">
      <c r="A162" s="2092"/>
      <c r="B162" s="2093"/>
      <c r="C162" s="2094"/>
      <c r="D162" s="2095"/>
      <c r="E162" s="2095"/>
      <c r="F162" s="2095"/>
      <c r="G162" s="2095"/>
      <c r="H162" s="2095"/>
      <c r="I162" s="2095"/>
      <c r="J162" s="2095"/>
      <c r="K162" s="2095"/>
      <c r="L162" s="2095"/>
      <c r="M162" s="2095"/>
      <c r="N162" s="2095"/>
      <c r="O162" s="2095"/>
      <c r="P162" s="2093"/>
      <c r="Q162" s="2095"/>
      <c r="R162" s="2095"/>
      <c r="S162" s="2095"/>
      <c r="T162" s="2095"/>
      <c r="U162" s="2095"/>
      <c r="V162" s="2095"/>
      <c r="W162" s="2095"/>
      <c r="X162" s="2095"/>
      <c r="Y162" s="2095"/>
      <c r="Z162" s="2095"/>
      <c r="AA162" s="2095"/>
      <c r="AB162" s="2095"/>
      <c r="AC162" s="2095"/>
      <c r="AD162" s="2095"/>
      <c r="AE162" s="2095"/>
      <c r="AF162" s="2095"/>
      <c r="AG162" s="2095"/>
      <c r="AH162" s="2095"/>
      <c r="AI162" s="2095"/>
      <c r="AJ162" s="2095"/>
      <c r="AK162" s="2095"/>
      <c r="AL162" s="2095"/>
      <c r="AM162" s="2095"/>
      <c r="AN162" s="2095"/>
      <c r="AO162" s="2095"/>
      <c r="AP162" s="2095"/>
      <c r="AQ162" s="2095"/>
      <c r="AR162" s="2095"/>
      <c r="AS162" s="2095"/>
      <c r="AT162" s="2095"/>
      <c r="AU162" s="2095"/>
      <c r="AV162" s="2095"/>
      <c r="AW162" s="2095"/>
      <c r="AX162" s="2095"/>
      <c r="AY162" s="2095"/>
      <c r="AZ162" s="2095"/>
      <c r="BA162" s="2093"/>
      <c r="BB162" s="2096"/>
    </row>
    <row r="163" s="2128" customFormat="true" ht="30" hidden="false" customHeight="true" outlineLevel="0" collapsed="false">
      <c r="A163" s="2092"/>
      <c r="B163" s="2093"/>
      <c r="C163" s="2094"/>
      <c r="D163" s="2095"/>
      <c r="E163" s="2095"/>
      <c r="F163" s="2095"/>
      <c r="G163" s="2095"/>
      <c r="H163" s="2095"/>
      <c r="I163" s="2095"/>
      <c r="J163" s="2095"/>
      <c r="K163" s="2095"/>
      <c r="L163" s="2095"/>
      <c r="M163" s="2095"/>
      <c r="N163" s="2095"/>
      <c r="O163" s="2095"/>
      <c r="P163" s="2093"/>
      <c r="Q163" s="2095"/>
      <c r="R163" s="2095"/>
      <c r="S163" s="2095"/>
      <c r="T163" s="2095"/>
      <c r="U163" s="2095"/>
      <c r="V163" s="2095"/>
      <c r="W163" s="2095"/>
      <c r="X163" s="2095"/>
      <c r="Y163" s="2095"/>
      <c r="Z163" s="2095"/>
      <c r="AA163" s="2095"/>
      <c r="AB163" s="2095"/>
      <c r="AC163" s="2095"/>
      <c r="AD163" s="2095"/>
      <c r="AE163" s="2095"/>
      <c r="AF163" s="2095"/>
      <c r="AG163" s="2095"/>
      <c r="AH163" s="2095"/>
      <c r="AI163" s="2095"/>
      <c r="AJ163" s="2095"/>
      <c r="AK163" s="2095"/>
      <c r="AL163" s="2095"/>
      <c r="AM163" s="2095"/>
      <c r="AN163" s="2095"/>
      <c r="AO163" s="2095"/>
      <c r="AP163" s="2095"/>
      <c r="AQ163" s="2095"/>
      <c r="AR163" s="2095"/>
      <c r="AS163" s="2095"/>
      <c r="AT163" s="2095"/>
      <c r="AU163" s="2095"/>
      <c r="AV163" s="2095"/>
      <c r="AW163" s="2095"/>
      <c r="AX163" s="2095"/>
      <c r="AY163" s="2095"/>
      <c r="AZ163" s="2095"/>
      <c r="BA163" s="2093"/>
      <c r="BB163" s="2096"/>
    </row>
    <row r="164" s="2128" customFormat="true" ht="30" hidden="false" customHeight="true" outlineLevel="0" collapsed="false">
      <c r="A164" s="2092"/>
      <c r="B164" s="2093"/>
      <c r="C164" s="2094"/>
      <c r="D164" s="2095"/>
      <c r="E164" s="2095"/>
      <c r="F164" s="2095"/>
      <c r="G164" s="2095"/>
      <c r="H164" s="2095"/>
      <c r="I164" s="2095"/>
      <c r="J164" s="2095"/>
      <c r="K164" s="2095"/>
      <c r="L164" s="2095"/>
      <c r="M164" s="2095"/>
      <c r="N164" s="2095"/>
      <c r="O164" s="2095"/>
      <c r="P164" s="2093"/>
      <c r="Q164" s="2095"/>
      <c r="R164" s="2095"/>
      <c r="S164" s="2095"/>
      <c r="T164" s="2095"/>
      <c r="U164" s="2095"/>
      <c r="V164" s="2095"/>
      <c r="W164" s="2095"/>
      <c r="X164" s="2095"/>
      <c r="Y164" s="2095"/>
      <c r="Z164" s="2095"/>
      <c r="AA164" s="2095"/>
      <c r="AB164" s="2095"/>
      <c r="AC164" s="2095"/>
      <c r="AD164" s="2095"/>
      <c r="AE164" s="2095"/>
      <c r="AF164" s="2095"/>
      <c r="AG164" s="2095"/>
      <c r="AH164" s="2095"/>
      <c r="AI164" s="2095"/>
      <c r="AJ164" s="2095"/>
      <c r="AK164" s="2095"/>
      <c r="AL164" s="2095"/>
      <c r="AM164" s="2095"/>
      <c r="AN164" s="2095"/>
      <c r="AO164" s="2095"/>
      <c r="AP164" s="2095"/>
      <c r="AQ164" s="2095"/>
      <c r="AR164" s="2095"/>
      <c r="AS164" s="2095"/>
      <c r="AT164" s="2095"/>
      <c r="AU164" s="2095"/>
      <c r="AV164" s="2095"/>
      <c r="AW164" s="2095"/>
      <c r="AX164" s="2095"/>
      <c r="AY164" s="2095"/>
      <c r="AZ164" s="2095"/>
      <c r="BA164" s="2093"/>
      <c r="BB164" s="2096"/>
    </row>
    <row r="165" s="2128" customFormat="true" ht="30" hidden="false" customHeight="true" outlineLevel="0" collapsed="false">
      <c r="A165" s="2092"/>
      <c r="B165" s="2093"/>
      <c r="C165" s="2094"/>
      <c r="D165" s="2095"/>
      <c r="E165" s="2095"/>
      <c r="F165" s="2095"/>
      <c r="G165" s="2095"/>
      <c r="H165" s="2095"/>
      <c r="I165" s="2095"/>
      <c r="J165" s="2095"/>
      <c r="K165" s="2095"/>
      <c r="L165" s="2095"/>
      <c r="M165" s="2095"/>
      <c r="N165" s="2095"/>
      <c r="O165" s="2095"/>
      <c r="P165" s="2093"/>
      <c r="Q165" s="2095"/>
      <c r="R165" s="2095"/>
      <c r="S165" s="2095"/>
      <c r="T165" s="2095"/>
      <c r="U165" s="2095"/>
      <c r="V165" s="2095"/>
      <c r="W165" s="2095"/>
      <c r="X165" s="2095"/>
      <c r="Y165" s="2095"/>
      <c r="Z165" s="2095"/>
      <c r="AA165" s="2095"/>
      <c r="AB165" s="2095"/>
      <c r="AC165" s="2095"/>
      <c r="AD165" s="2095"/>
      <c r="AE165" s="2095"/>
      <c r="AF165" s="2095"/>
      <c r="AG165" s="2095"/>
      <c r="AH165" s="2095"/>
      <c r="AI165" s="2095"/>
      <c r="AJ165" s="2095"/>
      <c r="AK165" s="2095"/>
      <c r="AL165" s="2095"/>
      <c r="AM165" s="2095"/>
      <c r="AN165" s="2095"/>
      <c r="AO165" s="2095"/>
      <c r="AP165" s="2095"/>
      <c r="AQ165" s="2095"/>
      <c r="AR165" s="2095"/>
      <c r="AS165" s="2095"/>
      <c r="AT165" s="2095"/>
      <c r="AU165" s="2095"/>
      <c r="AV165" s="2095"/>
      <c r="AW165" s="2095"/>
      <c r="AX165" s="2095"/>
      <c r="AY165" s="2095"/>
      <c r="AZ165" s="2095"/>
      <c r="BA165" s="2093"/>
      <c r="BB165" s="2096"/>
    </row>
    <row r="166" s="2144" customFormat="true" ht="30" hidden="false" customHeight="true" outlineLevel="0" collapsed="false">
      <c r="A166" s="2092"/>
      <c r="B166" s="2093"/>
      <c r="C166" s="2094"/>
      <c r="D166" s="2095"/>
      <c r="E166" s="2095"/>
      <c r="F166" s="2095"/>
      <c r="G166" s="2095"/>
      <c r="H166" s="2095"/>
      <c r="I166" s="2095"/>
      <c r="J166" s="2095"/>
      <c r="K166" s="2095"/>
      <c r="L166" s="2095"/>
      <c r="M166" s="2095"/>
      <c r="N166" s="2095"/>
      <c r="O166" s="2095"/>
      <c r="P166" s="2093"/>
      <c r="Q166" s="2095"/>
      <c r="R166" s="2095"/>
      <c r="S166" s="2095"/>
      <c r="T166" s="2095"/>
      <c r="U166" s="2095"/>
      <c r="V166" s="2095"/>
      <c r="W166" s="2095"/>
      <c r="X166" s="2095"/>
      <c r="Y166" s="2095"/>
      <c r="Z166" s="2095"/>
      <c r="AA166" s="2095"/>
      <c r="AB166" s="2095"/>
      <c r="AC166" s="2095"/>
      <c r="AD166" s="2095"/>
      <c r="AE166" s="2095"/>
      <c r="AF166" s="2095"/>
      <c r="AG166" s="2095"/>
      <c r="AH166" s="2095"/>
      <c r="AI166" s="2095"/>
      <c r="AJ166" s="2095"/>
      <c r="AK166" s="2095"/>
      <c r="AL166" s="2095"/>
      <c r="AM166" s="2095"/>
      <c r="AN166" s="2095"/>
      <c r="AO166" s="2095"/>
      <c r="AP166" s="2095"/>
      <c r="AQ166" s="2095"/>
      <c r="AR166" s="2095"/>
      <c r="AS166" s="2095"/>
      <c r="AT166" s="2095"/>
      <c r="AU166" s="2095"/>
      <c r="AV166" s="2095"/>
      <c r="AW166" s="2095"/>
      <c r="AX166" s="2095"/>
      <c r="AY166" s="2095"/>
      <c r="AZ166" s="2095"/>
      <c r="BA166" s="2093"/>
      <c r="BB166" s="2096"/>
    </row>
    <row r="167" s="2128" customFormat="true" ht="30" hidden="false" customHeight="true" outlineLevel="0" collapsed="false">
      <c r="A167" s="2092"/>
      <c r="B167" s="2093"/>
      <c r="C167" s="2094"/>
      <c r="D167" s="2095"/>
      <c r="E167" s="2095"/>
      <c r="F167" s="2095"/>
      <c r="G167" s="2095"/>
      <c r="H167" s="2095"/>
      <c r="I167" s="2095"/>
      <c r="J167" s="2095"/>
      <c r="K167" s="2095"/>
      <c r="L167" s="2095"/>
      <c r="M167" s="2095"/>
      <c r="N167" s="2095"/>
      <c r="O167" s="2095"/>
      <c r="P167" s="2093"/>
      <c r="Q167" s="2095"/>
      <c r="R167" s="2095"/>
      <c r="S167" s="2095"/>
      <c r="T167" s="2095"/>
      <c r="U167" s="2095"/>
      <c r="V167" s="2095"/>
      <c r="W167" s="2095"/>
      <c r="X167" s="2095"/>
      <c r="Y167" s="2095"/>
      <c r="Z167" s="2095"/>
      <c r="AA167" s="2095"/>
      <c r="AB167" s="2095"/>
      <c r="AC167" s="2095"/>
      <c r="AD167" s="2095"/>
      <c r="AE167" s="2095"/>
      <c r="AF167" s="2095"/>
      <c r="AG167" s="2095"/>
      <c r="AH167" s="2095"/>
      <c r="AI167" s="2095"/>
      <c r="AJ167" s="2095"/>
      <c r="AK167" s="2095"/>
      <c r="AL167" s="2095"/>
      <c r="AM167" s="2095"/>
      <c r="AN167" s="2095"/>
      <c r="AO167" s="2095"/>
      <c r="AP167" s="2095"/>
      <c r="AQ167" s="2095"/>
      <c r="AR167" s="2095"/>
      <c r="AS167" s="2095"/>
      <c r="AT167" s="2095"/>
      <c r="AU167" s="2095"/>
      <c r="AV167" s="2095"/>
      <c r="AW167" s="2095"/>
      <c r="AX167" s="2095"/>
      <c r="AY167" s="2095"/>
      <c r="AZ167" s="2095"/>
      <c r="BA167" s="2093"/>
      <c r="BB167" s="2096"/>
    </row>
    <row r="168" s="2128" customFormat="true" ht="30" hidden="false" customHeight="true" outlineLevel="0" collapsed="false">
      <c r="A168" s="2092"/>
      <c r="B168" s="2093"/>
      <c r="C168" s="2094"/>
      <c r="D168" s="2095"/>
      <c r="E168" s="2095"/>
      <c r="F168" s="2095"/>
      <c r="G168" s="2095"/>
      <c r="H168" s="2095"/>
      <c r="I168" s="2095"/>
      <c r="J168" s="2095"/>
      <c r="K168" s="2095"/>
      <c r="L168" s="2095"/>
      <c r="M168" s="2095"/>
      <c r="N168" s="2095"/>
      <c r="O168" s="2095"/>
      <c r="P168" s="2093"/>
      <c r="Q168" s="2095"/>
      <c r="R168" s="2095"/>
      <c r="S168" s="2095"/>
      <c r="T168" s="2095"/>
      <c r="U168" s="2095"/>
      <c r="V168" s="2095"/>
      <c r="W168" s="2095"/>
      <c r="X168" s="2095"/>
      <c r="Y168" s="2095"/>
      <c r="Z168" s="2095"/>
      <c r="AA168" s="2095"/>
      <c r="AB168" s="2095"/>
      <c r="AC168" s="2095"/>
      <c r="AD168" s="2095"/>
      <c r="AE168" s="2095"/>
      <c r="AF168" s="2095"/>
      <c r="AG168" s="2095"/>
      <c r="AH168" s="2095"/>
      <c r="AI168" s="2095"/>
      <c r="AJ168" s="2095"/>
      <c r="AK168" s="2095"/>
      <c r="AL168" s="2095"/>
      <c r="AM168" s="2095"/>
      <c r="AN168" s="2095"/>
      <c r="AO168" s="2095"/>
      <c r="AP168" s="2095"/>
      <c r="AQ168" s="2095"/>
      <c r="AR168" s="2095"/>
      <c r="AS168" s="2095"/>
      <c r="AT168" s="2095"/>
      <c r="AU168" s="2095"/>
      <c r="AV168" s="2095"/>
      <c r="AW168" s="2095"/>
      <c r="AX168" s="2095"/>
      <c r="AY168" s="2095"/>
      <c r="AZ168" s="2095"/>
      <c r="BA168" s="2093"/>
      <c r="BB168" s="2096"/>
    </row>
    <row r="169" s="2128" customFormat="true" ht="30" hidden="false" customHeight="true" outlineLevel="0" collapsed="false">
      <c r="A169" s="2092"/>
      <c r="B169" s="2093"/>
      <c r="C169" s="2094"/>
      <c r="D169" s="2095"/>
      <c r="E169" s="2095"/>
      <c r="F169" s="2095"/>
      <c r="G169" s="2095"/>
      <c r="H169" s="2095"/>
      <c r="I169" s="2095"/>
      <c r="J169" s="2095"/>
      <c r="K169" s="2095"/>
      <c r="L169" s="2095"/>
      <c r="M169" s="2095"/>
      <c r="N169" s="2095"/>
      <c r="O169" s="2095"/>
      <c r="P169" s="2093"/>
      <c r="Q169" s="2095"/>
      <c r="R169" s="2095"/>
      <c r="S169" s="2095"/>
      <c r="T169" s="2095"/>
      <c r="U169" s="2095"/>
      <c r="V169" s="2095"/>
      <c r="W169" s="2095"/>
      <c r="X169" s="2095"/>
      <c r="Y169" s="2095"/>
      <c r="Z169" s="2095"/>
      <c r="AA169" s="2095"/>
      <c r="AB169" s="2095"/>
      <c r="AC169" s="2095"/>
      <c r="AD169" s="2095"/>
      <c r="AE169" s="2095"/>
      <c r="AF169" s="2095"/>
      <c r="AG169" s="2095"/>
      <c r="AH169" s="2095"/>
      <c r="AI169" s="2095"/>
      <c r="AJ169" s="2095"/>
      <c r="AK169" s="2095"/>
      <c r="AL169" s="2095"/>
      <c r="AM169" s="2095"/>
      <c r="AN169" s="2095"/>
      <c r="AO169" s="2095"/>
      <c r="AP169" s="2095"/>
      <c r="AQ169" s="2095"/>
      <c r="AR169" s="2095"/>
      <c r="AS169" s="2095"/>
      <c r="AT169" s="2095"/>
      <c r="AU169" s="2095"/>
      <c r="AV169" s="2095"/>
      <c r="AW169" s="2095"/>
      <c r="AX169" s="2095"/>
      <c r="AY169" s="2095"/>
      <c r="AZ169" s="2095"/>
      <c r="BA169" s="2093"/>
      <c r="BB169" s="2096"/>
    </row>
    <row r="170" s="2128" customFormat="true" ht="30" hidden="false" customHeight="true" outlineLevel="0" collapsed="false">
      <c r="A170" s="2092"/>
      <c r="B170" s="2093"/>
      <c r="C170" s="2094"/>
      <c r="D170" s="2095"/>
      <c r="E170" s="2095"/>
      <c r="F170" s="2095"/>
      <c r="G170" s="2095"/>
      <c r="H170" s="2095"/>
      <c r="I170" s="2095"/>
      <c r="J170" s="2095"/>
      <c r="K170" s="2095"/>
      <c r="L170" s="2095"/>
      <c r="M170" s="2095"/>
      <c r="N170" s="2095"/>
      <c r="O170" s="2095"/>
      <c r="P170" s="2093"/>
      <c r="Q170" s="2095"/>
      <c r="R170" s="2095"/>
      <c r="S170" s="2095"/>
      <c r="T170" s="2095"/>
      <c r="U170" s="2095"/>
      <c r="V170" s="2095"/>
      <c r="W170" s="2095"/>
      <c r="X170" s="2095"/>
      <c r="Y170" s="2095"/>
      <c r="Z170" s="2095"/>
      <c r="AA170" s="2095"/>
      <c r="AB170" s="2095"/>
      <c r="AC170" s="2095"/>
      <c r="AD170" s="2095"/>
      <c r="AE170" s="2095"/>
      <c r="AF170" s="2095"/>
      <c r="AG170" s="2095"/>
      <c r="AH170" s="2095"/>
      <c r="AI170" s="2095"/>
      <c r="AJ170" s="2095"/>
      <c r="AK170" s="2095"/>
      <c r="AL170" s="2095"/>
      <c r="AM170" s="2095"/>
      <c r="AN170" s="2095"/>
      <c r="AO170" s="2095"/>
      <c r="AP170" s="2095"/>
      <c r="AQ170" s="2095"/>
      <c r="AR170" s="2095"/>
      <c r="AS170" s="2095"/>
      <c r="AT170" s="2095"/>
      <c r="AU170" s="2095"/>
      <c r="AV170" s="2095"/>
      <c r="AW170" s="2095"/>
      <c r="AX170" s="2095"/>
      <c r="AY170" s="2095"/>
      <c r="AZ170" s="2095"/>
      <c r="BA170" s="2093"/>
      <c r="BB170" s="2096"/>
    </row>
    <row r="171" s="2128" customFormat="true" ht="30" hidden="false" customHeight="true" outlineLevel="0" collapsed="false">
      <c r="A171" s="2092"/>
      <c r="B171" s="2093"/>
      <c r="C171" s="2094"/>
      <c r="D171" s="2095"/>
      <c r="E171" s="2095"/>
      <c r="F171" s="2095"/>
      <c r="G171" s="2095"/>
      <c r="H171" s="2095"/>
      <c r="I171" s="2095"/>
      <c r="J171" s="2095"/>
      <c r="K171" s="2095"/>
      <c r="L171" s="2095"/>
      <c r="M171" s="2095"/>
      <c r="N171" s="2095"/>
      <c r="O171" s="2095"/>
      <c r="P171" s="2093"/>
      <c r="Q171" s="2095"/>
      <c r="R171" s="2095"/>
      <c r="S171" s="2095"/>
      <c r="T171" s="2095"/>
      <c r="U171" s="2095"/>
      <c r="V171" s="2095"/>
      <c r="W171" s="2095"/>
      <c r="X171" s="2095"/>
      <c r="Y171" s="2095"/>
      <c r="Z171" s="2095"/>
      <c r="AA171" s="2095"/>
      <c r="AB171" s="2095"/>
      <c r="AC171" s="2095"/>
      <c r="AD171" s="2095"/>
      <c r="AE171" s="2095"/>
      <c r="AF171" s="2095"/>
      <c r="AG171" s="2095"/>
      <c r="AH171" s="2095"/>
      <c r="AI171" s="2095"/>
      <c r="AJ171" s="2095"/>
      <c r="AK171" s="2095"/>
      <c r="AL171" s="2095"/>
      <c r="AM171" s="2095"/>
      <c r="AN171" s="2095"/>
      <c r="AO171" s="2095"/>
      <c r="AP171" s="2095"/>
      <c r="AQ171" s="2095"/>
      <c r="AR171" s="2095"/>
      <c r="AS171" s="2095"/>
      <c r="AT171" s="2095"/>
      <c r="AU171" s="2095"/>
      <c r="AV171" s="2095"/>
      <c r="AW171" s="2095"/>
      <c r="AX171" s="2095"/>
      <c r="AY171" s="2095"/>
      <c r="AZ171" s="2095"/>
      <c r="BA171" s="2093"/>
      <c r="BB171" s="2096"/>
    </row>
    <row r="172" s="2128" customFormat="true" ht="30" hidden="false" customHeight="true" outlineLevel="0" collapsed="false">
      <c r="A172" s="2092"/>
      <c r="B172" s="2093"/>
      <c r="C172" s="2094"/>
      <c r="D172" s="2095"/>
      <c r="E172" s="2095"/>
      <c r="F172" s="2095"/>
      <c r="G172" s="2095"/>
      <c r="H172" s="2095"/>
      <c r="I172" s="2095"/>
      <c r="J172" s="2095"/>
      <c r="K172" s="2095"/>
      <c r="L172" s="2095"/>
      <c r="M172" s="2095"/>
      <c r="N172" s="2095"/>
      <c r="O172" s="2095"/>
      <c r="P172" s="2093"/>
      <c r="Q172" s="2095"/>
      <c r="R172" s="2095"/>
      <c r="S172" s="2095"/>
      <c r="T172" s="2095"/>
      <c r="U172" s="2095"/>
      <c r="V172" s="2095"/>
      <c r="W172" s="2095"/>
      <c r="X172" s="2095"/>
      <c r="Y172" s="2095"/>
      <c r="Z172" s="2095"/>
      <c r="AA172" s="2095"/>
      <c r="AB172" s="2095"/>
      <c r="AC172" s="2095"/>
      <c r="AD172" s="2095"/>
      <c r="AE172" s="2095"/>
      <c r="AF172" s="2095"/>
      <c r="AG172" s="2095"/>
      <c r="AH172" s="2095"/>
      <c r="AI172" s="2095"/>
      <c r="AJ172" s="2095"/>
      <c r="AK172" s="2095"/>
      <c r="AL172" s="2095"/>
      <c r="AM172" s="2095"/>
      <c r="AN172" s="2095"/>
      <c r="AO172" s="2095"/>
      <c r="AP172" s="2095"/>
      <c r="AQ172" s="2095"/>
      <c r="AR172" s="2095"/>
      <c r="AS172" s="2095"/>
      <c r="AT172" s="2095"/>
      <c r="AU172" s="2095"/>
      <c r="AV172" s="2095"/>
      <c r="AW172" s="2095"/>
      <c r="AX172" s="2095"/>
      <c r="AY172" s="2095"/>
      <c r="AZ172" s="2095"/>
      <c r="BA172" s="2093"/>
      <c r="BB172" s="2096"/>
    </row>
    <row r="173" s="2144" customFormat="true" ht="30" hidden="false" customHeight="true" outlineLevel="0" collapsed="false">
      <c r="A173" s="2092"/>
      <c r="B173" s="2093"/>
      <c r="C173" s="2094"/>
      <c r="D173" s="2095"/>
      <c r="E173" s="2095"/>
      <c r="F173" s="2095"/>
      <c r="G173" s="2095"/>
      <c r="H173" s="2095"/>
      <c r="I173" s="2095"/>
      <c r="J173" s="2095"/>
      <c r="K173" s="2095"/>
      <c r="L173" s="2095"/>
      <c r="M173" s="2095"/>
      <c r="N173" s="2095"/>
      <c r="O173" s="2095"/>
      <c r="P173" s="2093"/>
      <c r="Q173" s="2095"/>
      <c r="R173" s="2095"/>
      <c r="S173" s="2095"/>
      <c r="T173" s="2095"/>
      <c r="U173" s="2095"/>
      <c r="V173" s="2095"/>
      <c r="W173" s="2095"/>
      <c r="X173" s="2095"/>
      <c r="Y173" s="2095"/>
      <c r="Z173" s="2095"/>
      <c r="AA173" s="2095"/>
      <c r="AB173" s="2095"/>
      <c r="AC173" s="2095"/>
      <c r="AD173" s="2095"/>
      <c r="AE173" s="2095"/>
      <c r="AF173" s="2095"/>
      <c r="AG173" s="2095"/>
      <c r="AH173" s="2095"/>
      <c r="AI173" s="2095"/>
      <c r="AJ173" s="2095"/>
      <c r="AK173" s="2095"/>
      <c r="AL173" s="2095"/>
      <c r="AM173" s="2095"/>
      <c r="AN173" s="2095"/>
      <c r="AO173" s="2095"/>
      <c r="AP173" s="2095"/>
      <c r="AQ173" s="2095"/>
      <c r="AR173" s="2095"/>
      <c r="AS173" s="2095"/>
      <c r="AT173" s="2095"/>
      <c r="AU173" s="2095"/>
      <c r="AV173" s="2095"/>
      <c r="AW173" s="2095"/>
      <c r="AX173" s="2095"/>
      <c r="AY173" s="2095"/>
      <c r="AZ173" s="2095"/>
      <c r="BA173" s="2093"/>
      <c r="BB173" s="2096"/>
    </row>
    <row r="174" s="2128" customFormat="true" ht="30" hidden="false" customHeight="true" outlineLevel="0" collapsed="false">
      <c r="A174" s="2092"/>
      <c r="B174" s="2093"/>
      <c r="C174" s="2094"/>
      <c r="D174" s="2095"/>
      <c r="E174" s="2095"/>
      <c r="F174" s="2095"/>
      <c r="G174" s="2095"/>
      <c r="H174" s="2095"/>
      <c r="I174" s="2095"/>
      <c r="J174" s="2095"/>
      <c r="K174" s="2095"/>
      <c r="L174" s="2095"/>
      <c r="M174" s="2095"/>
      <c r="N174" s="2095"/>
      <c r="O174" s="2095"/>
      <c r="P174" s="2093"/>
      <c r="Q174" s="2095"/>
      <c r="R174" s="2095"/>
      <c r="S174" s="2095"/>
      <c r="T174" s="2095"/>
      <c r="U174" s="2095"/>
      <c r="V174" s="2095"/>
      <c r="W174" s="2095"/>
      <c r="X174" s="2095"/>
      <c r="Y174" s="2095"/>
      <c r="Z174" s="2095"/>
      <c r="AA174" s="2095"/>
      <c r="AB174" s="2095"/>
      <c r="AC174" s="2095"/>
      <c r="AD174" s="2095"/>
      <c r="AE174" s="2095"/>
      <c r="AF174" s="2095"/>
      <c r="AG174" s="2095"/>
      <c r="AH174" s="2095"/>
      <c r="AI174" s="2095"/>
      <c r="AJ174" s="2095"/>
      <c r="AK174" s="2095"/>
      <c r="AL174" s="2095"/>
      <c r="AM174" s="2095"/>
      <c r="AN174" s="2095"/>
      <c r="AO174" s="2095"/>
      <c r="AP174" s="2095"/>
      <c r="AQ174" s="2095"/>
      <c r="AR174" s="2095"/>
      <c r="AS174" s="2095"/>
      <c r="AT174" s="2095"/>
      <c r="AU174" s="2095"/>
      <c r="AV174" s="2095"/>
      <c r="AW174" s="2095"/>
      <c r="AX174" s="2095"/>
      <c r="AY174" s="2095"/>
      <c r="AZ174" s="2095"/>
      <c r="BA174" s="2093"/>
      <c r="BB174" s="2096"/>
    </row>
    <row r="175" s="2128" customFormat="true" ht="30" hidden="false" customHeight="true" outlineLevel="0" collapsed="false">
      <c r="A175" s="2092"/>
      <c r="B175" s="2093"/>
      <c r="C175" s="2094"/>
      <c r="D175" s="2095"/>
      <c r="E175" s="2095"/>
      <c r="F175" s="2095"/>
      <c r="G175" s="2095"/>
      <c r="H175" s="2095"/>
      <c r="I175" s="2095"/>
      <c r="J175" s="2095"/>
      <c r="K175" s="2095"/>
      <c r="L175" s="2095"/>
      <c r="M175" s="2095"/>
      <c r="N175" s="2095"/>
      <c r="O175" s="2095"/>
      <c r="P175" s="2093"/>
      <c r="Q175" s="2095"/>
      <c r="R175" s="2095"/>
      <c r="S175" s="2095"/>
      <c r="T175" s="2095"/>
      <c r="U175" s="2095"/>
      <c r="V175" s="2095"/>
      <c r="W175" s="2095"/>
      <c r="X175" s="2095"/>
      <c r="Y175" s="2095"/>
      <c r="Z175" s="2095"/>
      <c r="AA175" s="2095"/>
      <c r="AB175" s="2095"/>
      <c r="AC175" s="2095"/>
      <c r="AD175" s="2095"/>
      <c r="AE175" s="2095"/>
      <c r="AF175" s="2095"/>
      <c r="AG175" s="2095"/>
      <c r="AH175" s="2095"/>
      <c r="AI175" s="2095"/>
      <c r="AJ175" s="2095"/>
      <c r="AK175" s="2095"/>
      <c r="AL175" s="2095"/>
      <c r="AM175" s="2095"/>
      <c r="AN175" s="2095"/>
      <c r="AO175" s="2095"/>
      <c r="AP175" s="2095"/>
      <c r="AQ175" s="2095"/>
      <c r="AR175" s="2095"/>
      <c r="AS175" s="2095"/>
      <c r="AT175" s="2095"/>
      <c r="AU175" s="2095"/>
      <c r="AV175" s="2095"/>
      <c r="AW175" s="2095"/>
      <c r="AX175" s="2095"/>
      <c r="AY175" s="2095"/>
      <c r="AZ175" s="2095"/>
      <c r="BA175" s="2093"/>
      <c r="BB175" s="2096"/>
    </row>
    <row r="176" s="2128" customFormat="true" ht="30" hidden="false" customHeight="true" outlineLevel="0" collapsed="false">
      <c r="A176" s="2092"/>
      <c r="B176" s="2093"/>
      <c r="C176" s="2094"/>
      <c r="D176" s="2095"/>
      <c r="E176" s="2095"/>
      <c r="F176" s="2095"/>
      <c r="G176" s="2095"/>
      <c r="H176" s="2095"/>
      <c r="I176" s="2095"/>
      <c r="J176" s="2095"/>
      <c r="K176" s="2095"/>
      <c r="L176" s="2095"/>
      <c r="M176" s="2095"/>
      <c r="N176" s="2095"/>
      <c r="O176" s="2095"/>
      <c r="P176" s="2093"/>
      <c r="Q176" s="2095"/>
      <c r="R176" s="2095"/>
      <c r="S176" s="2095"/>
      <c r="T176" s="2095"/>
      <c r="U176" s="2095"/>
      <c r="V176" s="2095"/>
      <c r="W176" s="2095"/>
      <c r="X176" s="2095"/>
      <c r="Y176" s="2095"/>
      <c r="Z176" s="2095"/>
      <c r="AA176" s="2095"/>
      <c r="AB176" s="2095"/>
      <c r="AC176" s="2095"/>
      <c r="AD176" s="2095"/>
      <c r="AE176" s="2095"/>
      <c r="AF176" s="2095"/>
      <c r="AG176" s="2095"/>
      <c r="AH176" s="2095"/>
      <c r="AI176" s="2095"/>
      <c r="AJ176" s="2095"/>
      <c r="AK176" s="2095"/>
      <c r="AL176" s="2095"/>
      <c r="AM176" s="2095"/>
      <c r="AN176" s="2095"/>
      <c r="AO176" s="2095"/>
      <c r="AP176" s="2095"/>
      <c r="AQ176" s="2095"/>
      <c r="AR176" s="2095"/>
      <c r="AS176" s="2095"/>
      <c r="AT176" s="2095"/>
      <c r="AU176" s="2095"/>
      <c r="AV176" s="2095"/>
      <c r="AW176" s="2095"/>
      <c r="AX176" s="2095"/>
      <c r="AY176" s="2095"/>
      <c r="AZ176" s="2095"/>
      <c r="BA176" s="2093"/>
      <c r="BB176" s="2096"/>
    </row>
    <row r="177" s="2128" customFormat="true" ht="30" hidden="false" customHeight="true" outlineLevel="0" collapsed="false">
      <c r="A177" s="2092"/>
      <c r="B177" s="2093"/>
      <c r="C177" s="2094"/>
      <c r="D177" s="2095"/>
      <c r="E177" s="2095"/>
      <c r="F177" s="2095"/>
      <c r="G177" s="2095"/>
      <c r="H177" s="2095"/>
      <c r="I177" s="2095"/>
      <c r="J177" s="2095"/>
      <c r="K177" s="2095"/>
      <c r="L177" s="2095"/>
      <c r="M177" s="2095"/>
      <c r="N177" s="2095"/>
      <c r="O177" s="2095"/>
      <c r="P177" s="2093"/>
      <c r="Q177" s="2095"/>
      <c r="R177" s="2095"/>
      <c r="S177" s="2095"/>
      <c r="T177" s="2095"/>
      <c r="U177" s="2095"/>
      <c r="V177" s="2095"/>
      <c r="W177" s="2095"/>
      <c r="X177" s="2095"/>
      <c r="Y177" s="2095"/>
      <c r="Z177" s="2095"/>
      <c r="AA177" s="2095"/>
      <c r="AB177" s="2095"/>
      <c r="AC177" s="2095"/>
      <c r="AD177" s="2095"/>
      <c r="AE177" s="2095"/>
      <c r="AF177" s="2095"/>
      <c r="AG177" s="2095"/>
      <c r="AH177" s="2095"/>
      <c r="AI177" s="2095"/>
      <c r="AJ177" s="2095"/>
      <c r="AK177" s="2095"/>
      <c r="AL177" s="2095"/>
      <c r="AM177" s="2095"/>
      <c r="AN177" s="2095"/>
      <c r="AO177" s="2095"/>
      <c r="AP177" s="2095"/>
      <c r="AQ177" s="2095"/>
      <c r="AR177" s="2095"/>
      <c r="AS177" s="2095"/>
      <c r="AT177" s="2095"/>
      <c r="AU177" s="2095"/>
      <c r="AV177" s="2095"/>
      <c r="AW177" s="2095"/>
      <c r="AX177" s="2095"/>
      <c r="AY177" s="2095"/>
      <c r="AZ177" s="2095"/>
      <c r="BA177" s="2093"/>
      <c r="BB177" s="2096"/>
    </row>
    <row r="178" s="2128" customFormat="true" ht="30" hidden="false" customHeight="true" outlineLevel="0" collapsed="false">
      <c r="A178" s="2092"/>
      <c r="B178" s="2093"/>
      <c r="C178" s="2094"/>
      <c r="D178" s="2095"/>
      <c r="E178" s="2095"/>
      <c r="F178" s="2095"/>
      <c r="G178" s="2095"/>
      <c r="H178" s="2095"/>
      <c r="I178" s="2095"/>
      <c r="J178" s="2095"/>
      <c r="K178" s="2095"/>
      <c r="L178" s="2095"/>
      <c r="M178" s="2095"/>
      <c r="N178" s="2095"/>
      <c r="O178" s="2095"/>
      <c r="P178" s="2093"/>
      <c r="Q178" s="2095"/>
      <c r="R178" s="2095"/>
      <c r="S178" s="2095"/>
      <c r="T178" s="2095"/>
      <c r="U178" s="2095"/>
      <c r="V178" s="2095"/>
      <c r="W178" s="2095"/>
      <c r="X178" s="2095"/>
      <c r="Y178" s="2095"/>
      <c r="Z178" s="2095"/>
      <c r="AA178" s="2095"/>
      <c r="AB178" s="2095"/>
      <c r="AC178" s="2095"/>
      <c r="AD178" s="2095"/>
      <c r="AE178" s="2095"/>
      <c r="AF178" s="2095"/>
      <c r="AG178" s="2095"/>
      <c r="AH178" s="2095"/>
      <c r="AI178" s="2095"/>
      <c r="AJ178" s="2095"/>
      <c r="AK178" s="2095"/>
      <c r="AL178" s="2095"/>
      <c r="AM178" s="2095"/>
      <c r="AN178" s="2095"/>
      <c r="AO178" s="2095"/>
      <c r="AP178" s="2095"/>
      <c r="AQ178" s="2095"/>
      <c r="AR178" s="2095"/>
      <c r="AS178" s="2095"/>
      <c r="AT178" s="2095"/>
      <c r="AU178" s="2095"/>
      <c r="AV178" s="2095"/>
      <c r="AW178" s="2095"/>
      <c r="AX178" s="2095"/>
      <c r="AY178" s="2095"/>
      <c r="AZ178" s="2095"/>
      <c r="BA178" s="2093"/>
      <c r="BB178" s="2096"/>
    </row>
    <row r="179" s="2128" customFormat="true" ht="30" hidden="false" customHeight="true" outlineLevel="0" collapsed="false">
      <c r="A179" s="2092"/>
      <c r="B179" s="2093"/>
      <c r="C179" s="2094"/>
      <c r="D179" s="2095"/>
      <c r="E179" s="2095"/>
      <c r="F179" s="2095"/>
      <c r="G179" s="2095"/>
      <c r="H179" s="2095"/>
      <c r="I179" s="2095"/>
      <c r="J179" s="2095"/>
      <c r="K179" s="2095"/>
      <c r="L179" s="2095"/>
      <c r="M179" s="2095"/>
      <c r="N179" s="2095"/>
      <c r="O179" s="2095"/>
      <c r="P179" s="2093"/>
      <c r="Q179" s="2095"/>
      <c r="R179" s="2095"/>
      <c r="S179" s="2095"/>
      <c r="T179" s="2095"/>
      <c r="U179" s="2095"/>
      <c r="V179" s="2095"/>
      <c r="W179" s="2095"/>
      <c r="X179" s="2095"/>
      <c r="Y179" s="2095"/>
      <c r="Z179" s="2095"/>
      <c r="AA179" s="2095"/>
      <c r="AB179" s="2095"/>
      <c r="AC179" s="2095"/>
      <c r="AD179" s="2095"/>
      <c r="AE179" s="2095"/>
      <c r="AF179" s="2095"/>
      <c r="AG179" s="2095"/>
      <c r="AH179" s="2095"/>
      <c r="AI179" s="2095"/>
      <c r="AJ179" s="2095"/>
      <c r="AK179" s="2095"/>
      <c r="AL179" s="2095"/>
      <c r="AM179" s="2095"/>
      <c r="AN179" s="2095"/>
      <c r="AO179" s="2095"/>
      <c r="AP179" s="2095"/>
      <c r="AQ179" s="2095"/>
      <c r="AR179" s="2095"/>
      <c r="AS179" s="2095"/>
      <c r="AT179" s="2095"/>
      <c r="AU179" s="2095"/>
      <c r="AV179" s="2095"/>
      <c r="AW179" s="2095"/>
      <c r="AX179" s="2095"/>
      <c r="AY179" s="2095"/>
      <c r="AZ179" s="2095"/>
      <c r="BA179" s="2093"/>
      <c r="BB179" s="2096"/>
    </row>
    <row r="180" s="2128" customFormat="true" ht="30" hidden="false" customHeight="true" outlineLevel="0" collapsed="false">
      <c r="A180" s="2092"/>
      <c r="B180" s="2093"/>
      <c r="C180" s="2094"/>
      <c r="D180" s="2095"/>
      <c r="E180" s="2095"/>
      <c r="F180" s="2095"/>
      <c r="G180" s="2095"/>
      <c r="H180" s="2095"/>
      <c r="I180" s="2095"/>
      <c r="J180" s="2095"/>
      <c r="K180" s="2095"/>
      <c r="L180" s="2095"/>
      <c r="M180" s="2095"/>
      <c r="N180" s="2095"/>
      <c r="O180" s="2095"/>
      <c r="P180" s="2093"/>
      <c r="Q180" s="2095"/>
      <c r="R180" s="2095"/>
      <c r="S180" s="2095"/>
      <c r="T180" s="2095"/>
      <c r="U180" s="2095"/>
      <c r="V180" s="2095"/>
      <c r="W180" s="2095"/>
      <c r="X180" s="2095"/>
      <c r="Y180" s="2095"/>
      <c r="Z180" s="2095"/>
      <c r="AA180" s="2095"/>
      <c r="AB180" s="2095"/>
      <c r="AC180" s="2095"/>
      <c r="AD180" s="2095"/>
      <c r="AE180" s="2095"/>
      <c r="AF180" s="2095"/>
      <c r="AG180" s="2095"/>
      <c r="AH180" s="2095"/>
      <c r="AI180" s="2095"/>
      <c r="AJ180" s="2095"/>
      <c r="AK180" s="2095"/>
      <c r="AL180" s="2095"/>
      <c r="AM180" s="2095"/>
      <c r="AN180" s="2095"/>
      <c r="AO180" s="2095"/>
      <c r="AP180" s="2095"/>
      <c r="AQ180" s="2095"/>
      <c r="AR180" s="2095"/>
      <c r="AS180" s="2095"/>
      <c r="AT180" s="2095"/>
      <c r="AU180" s="2095"/>
      <c r="AV180" s="2095"/>
      <c r="AW180" s="2095"/>
      <c r="AX180" s="2095"/>
      <c r="AY180" s="2095"/>
      <c r="AZ180" s="2095"/>
      <c r="BA180" s="2093"/>
      <c r="BB180" s="2096"/>
    </row>
    <row r="181" s="2128" customFormat="true" ht="30" hidden="false" customHeight="true" outlineLevel="0" collapsed="false">
      <c r="A181" s="2092"/>
      <c r="B181" s="2093"/>
      <c r="C181" s="2094"/>
      <c r="D181" s="2095"/>
      <c r="E181" s="2095"/>
      <c r="F181" s="2095"/>
      <c r="G181" s="2095"/>
      <c r="H181" s="2095"/>
      <c r="I181" s="2095"/>
      <c r="J181" s="2095"/>
      <c r="K181" s="2095"/>
      <c r="L181" s="2095"/>
      <c r="M181" s="2095"/>
      <c r="N181" s="2095"/>
      <c r="O181" s="2095"/>
      <c r="P181" s="2093"/>
      <c r="Q181" s="2095"/>
      <c r="R181" s="2095"/>
      <c r="S181" s="2095"/>
      <c r="T181" s="2095"/>
      <c r="U181" s="2095"/>
      <c r="V181" s="2095"/>
      <c r="W181" s="2095"/>
      <c r="X181" s="2095"/>
      <c r="Y181" s="2095"/>
      <c r="Z181" s="2095"/>
      <c r="AA181" s="2095"/>
      <c r="AB181" s="2095"/>
      <c r="AC181" s="2095"/>
      <c r="AD181" s="2095"/>
      <c r="AE181" s="2095"/>
      <c r="AF181" s="2095"/>
      <c r="AG181" s="2095"/>
      <c r="AH181" s="2095"/>
      <c r="AI181" s="2095"/>
      <c r="AJ181" s="2095"/>
      <c r="AK181" s="2095"/>
      <c r="AL181" s="2095"/>
      <c r="AM181" s="2095"/>
      <c r="AN181" s="2095"/>
      <c r="AO181" s="2095"/>
      <c r="AP181" s="2095"/>
      <c r="AQ181" s="2095"/>
      <c r="AR181" s="2095"/>
      <c r="AS181" s="2095"/>
      <c r="AT181" s="2095"/>
      <c r="AU181" s="2095"/>
      <c r="AV181" s="2095"/>
      <c r="AW181" s="2095"/>
      <c r="AX181" s="2095"/>
      <c r="AY181" s="2095"/>
      <c r="AZ181" s="2095"/>
      <c r="BA181" s="2093"/>
      <c r="BB181" s="2096"/>
    </row>
    <row r="182" s="2128" customFormat="true" ht="30" hidden="false" customHeight="true" outlineLevel="0" collapsed="false">
      <c r="A182" s="2092"/>
      <c r="B182" s="2093"/>
      <c r="C182" s="2094"/>
      <c r="D182" s="2095"/>
      <c r="E182" s="2095"/>
      <c r="F182" s="2095"/>
      <c r="G182" s="2095"/>
      <c r="H182" s="2095"/>
      <c r="I182" s="2095"/>
      <c r="J182" s="2095"/>
      <c r="K182" s="2095"/>
      <c r="L182" s="2095"/>
      <c r="M182" s="2095"/>
      <c r="N182" s="2095"/>
      <c r="O182" s="2095"/>
      <c r="P182" s="2093"/>
      <c r="Q182" s="2095"/>
      <c r="R182" s="2095"/>
      <c r="S182" s="2095"/>
      <c r="T182" s="2095"/>
      <c r="U182" s="2095"/>
      <c r="V182" s="2095"/>
      <c r="W182" s="2095"/>
      <c r="X182" s="2095"/>
      <c r="Y182" s="2095"/>
      <c r="Z182" s="2095"/>
      <c r="AA182" s="2095"/>
      <c r="AB182" s="2095"/>
      <c r="AC182" s="2095"/>
      <c r="AD182" s="2095"/>
      <c r="AE182" s="2095"/>
      <c r="AF182" s="2095"/>
      <c r="AG182" s="2095"/>
      <c r="AH182" s="2095"/>
      <c r="AI182" s="2095"/>
      <c r="AJ182" s="2095"/>
      <c r="AK182" s="2095"/>
      <c r="AL182" s="2095"/>
      <c r="AM182" s="2095"/>
      <c r="AN182" s="2095"/>
      <c r="AO182" s="2095"/>
      <c r="AP182" s="2095"/>
      <c r="AQ182" s="2095"/>
      <c r="AR182" s="2095"/>
      <c r="AS182" s="2095"/>
      <c r="AT182" s="2095"/>
      <c r="AU182" s="2095"/>
      <c r="AV182" s="2095"/>
      <c r="AW182" s="2095"/>
      <c r="AX182" s="2095"/>
      <c r="AY182" s="2095"/>
      <c r="AZ182" s="2095"/>
      <c r="BA182" s="2093"/>
      <c r="BB182" s="2096"/>
    </row>
    <row r="183" s="2128" customFormat="true" ht="30" hidden="false" customHeight="true" outlineLevel="0" collapsed="false">
      <c r="A183" s="2092"/>
      <c r="B183" s="2093"/>
      <c r="C183" s="2094"/>
      <c r="D183" s="2095"/>
      <c r="E183" s="2095"/>
      <c r="F183" s="2095"/>
      <c r="G183" s="2095"/>
      <c r="H183" s="2095"/>
      <c r="I183" s="2095"/>
      <c r="J183" s="2095"/>
      <c r="K183" s="2095"/>
      <c r="L183" s="2095"/>
      <c r="M183" s="2095"/>
      <c r="N183" s="2095"/>
      <c r="O183" s="2095"/>
      <c r="P183" s="2093"/>
      <c r="Q183" s="2095"/>
      <c r="R183" s="2095"/>
      <c r="S183" s="2095"/>
      <c r="T183" s="2095"/>
      <c r="U183" s="2095"/>
      <c r="V183" s="2095"/>
      <c r="W183" s="2095"/>
      <c r="X183" s="2095"/>
      <c r="Y183" s="2095"/>
      <c r="Z183" s="2095"/>
      <c r="AA183" s="2095"/>
      <c r="AB183" s="2095"/>
      <c r="AC183" s="2095"/>
      <c r="AD183" s="2095"/>
      <c r="AE183" s="2095"/>
      <c r="AF183" s="2095"/>
      <c r="AG183" s="2095"/>
      <c r="AH183" s="2095"/>
      <c r="AI183" s="2095"/>
      <c r="AJ183" s="2095"/>
      <c r="AK183" s="2095"/>
      <c r="AL183" s="2095"/>
      <c r="AM183" s="2095"/>
      <c r="AN183" s="2095"/>
      <c r="AO183" s="2095"/>
      <c r="AP183" s="2095"/>
      <c r="AQ183" s="2095"/>
      <c r="AR183" s="2095"/>
      <c r="AS183" s="2095"/>
      <c r="AT183" s="2095"/>
      <c r="AU183" s="2095"/>
      <c r="AV183" s="2095"/>
      <c r="AW183" s="2095"/>
      <c r="AX183" s="2095"/>
      <c r="AY183" s="2095"/>
      <c r="AZ183" s="2095"/>
      <c r="BA183" s="2093"/>
      <c r="BB183" s="2096"/>
    </row>
    <row r="184" s="2128" customFormat="true" ht="30" hidden="false" customHeight="true" outlineLevel="0" collapsed="false">
      <c r="A184" s="2092"/>
      <c r="B184" s="2093"/>
      <c r="C184" s="2094"/>
      <c r="D184" s="2095"/>
      <c r="E184" s="2095"/>
      <c r="F184" s="2095"/>
      <c r="G184" s="2095"/>
      <c r="H184" s="2095"/>
      <c r="I184" s="2095"/>
      <c r="J184" s="2095"/>
      <c r="K184" s="2095"/>
      <c r="L184" s="2095"/>
      <c r="M184" s="2095"/>
      <c r="N184" s="2095"/>
      <c r="O184" s="2095"/>
      <c r="P184" s="2093"/>
      <c r="Q184" s="2095"/>
      <c r="R184" s="2095"/>
      <c r="S184" s="2095"/>
      <c r="T184" s="2095"/>
      <c r="U184" s="2095"/>
      <c r="V184" s="2095"/>
      <c r="W184" s="2095"/>
      <c r="X184" s="2095"/>
      <c r="Y184" s="2095"/>
      <c r="Z184" s="2095"/>
      <c r="AA184" s="2095"/>
      <c r="AB184" s="2095"/>
      <c r="AC184" s="2095"/>
      <c r="AD184" s="2095"/>
      <c r="AE184" s="2095"/>
      <c r="AF184" s="2095"/>
      <c r="AG184" s="2095"/>
      <c r="AH184" s="2095"/>
      <c r="AI184" s="2095"/>
      <c r="AJ184" s="2095"/>
      <c r="AK184" s="2095"/>
      <c r="AL184" s="2095"/>
      <c r="AM184" s="2095"/>
      <c r="AN184" s="2095"/>
      <c r="AO184" s="2095"/>
      <c r="AP184" s="2095"/>
      <c r="AQ184" s="2095"/>
      <c r="AR184" s="2095"/>
      <c r="AS184" s="2095"/>
      <c r="AT184" s="2095"/>
      <c r="AU184" s="2095"/>
      <c r="AV184" s="2095"/>
      <c r="AW184" s="2095"/>
      <c r="AX184" s="2095"/>
      <c r="AY184" s="2095"/>
      <c r="AZ184" s="2095"/>
      <c r="BA184" s="2093"/>
      <c r="BB184" s="2096"/>
    </row>
    <row r="185" s="2128" customFormat="true" ht="30" hidden="false" customHeight="true" outlineLevel="0" collapsed="false">
      <c r="A185" s="2092"/>
      <c r="B185" s="2093"/>
      <c r="C185" s="2094"/>
      <c r="D185" s="2095"/>
      <c r="E185" s="2095"/>
      <c r="F185" s="2095"/>
      <c r="G185" s="2095"/>
      <c r="H185" s="2095"/>
      <c r="I185" s="2095"/>
      <c r="J185" s="2095"/>
      <c r="K185" s="2095"/>
      <c r="L185" s="2095"/>
      <c r="M185" s="2095"/>
      <c r="N185" s="2095"/>
      <c r="O185" s="2095"/>
      <c r="P185" s="2093"/>
      <c r="Q185" s="2095"/>
      <c r="R185" s="2095"/>
      <c r="S185" s="2095"/>
      <c r="T185" s="2095"/>
      <c r="U185" s="2095"/>
      <c r="V185" s="2095"/>
      <c r="W185" s="2095"/>
      <c r="X185" s="2095"/>
      <c r="Y185" s="2095"/>
      <c r="Z185" s="2095"/>
      <c r="AA185" s="2095"/>
      <c r="AB185" s="2095"/>
      <c r="AC185" s="2095"/>
      <c r="AD185" s="2095"/>
      <c r="AE185" s="2095"/>
      <c r="AF185" s="2095"/>
      <c r="AG185" s="2095"/>
      <c r="AH185" s="2095"/>
      <c r="AI185" s="2095"/>
      <c r="AJ185" s="2095"/>
      <c r="AK185" s="2095"/>
      <c r="AL185" s="2095"/>
      <c r="AM185" s="2095"/>
      <c r="AN185" s="2095"/>
      <c r="AO185" s="2095"/>
      <c r="AP185" s="2095"/>
      <c r="AQ185" s="2095"/>
      <c r="AR185" s="2095"/>
      <c r="AS185" s="2095"/>
      <c r="AT185" s="2095"/>
      <c r="AU185" s="2095"/>
      <c r="AV185" s="2095"/>
      <c r="AW185" s="2095"/>
      <c r="AX185" s="2095"/>
      <c r="AY185" s="2095"/>
      <c r="AZ185" s="2095"/>
      <c r="BA185" s="2093"/>
      <c r="BB185" s="2096"/>
    </row>
    <row r="186" s="2128" customFormat="true" ht="30" hidden="false" customHeight="true" outlineLevel="0" collapsed="false">
      <c r="A186" s="2092"/>
      <c r="B186" s="2093"/>
      <c r="C186" s="2094"/>
      <c r="D186" s="2095"/>
      <c r="E186" s="2095"/>
      <c r="F186" s="2095"/>
      <c r="G186" s="2095"/>
      <c r="H186" s="2095"/>
      <c r="I186" s="2095"/>
      <c r="J186" s="2095"/>
      <c r="K186" s="2095"/>
      <c r="L186" s="2095"/>
      <c r="M186" s="2095"/>
      <c r="N186" s="2095"/>
      <c r="O186" s="2095"/>
      <c r="P186" s="2093"/>
      <c r="Q186" s="2095"/>
      <c r="R186" s="2095"/>
      <c r="S186" s="2095"/>
      <c r="T186" s="2095"/>
      <c r="U186" s="2095"/>
      <c r="V186" s="2095"/>
      <c r="W186" s="2095"/>
      <c r="X186" s="2095"/>
      <c r="Y186" s="2095"/>
      <c r="Z186" s="2095"/>
      <c r="AA186" s="2095"/>
      <c r="AB186" s="2095"/>
      <c r="AC186" s="2095"/>
      <c r="AD186" s="2095"/>
      <c r="AE186" s="2095"/>
      <c r="AF186" s="2095"/>
      <c r="AG186" s="2095"/>
      <c r="AH186" s="2095"/>
      <c r="AI186" s="2095"/>
      <c r="AJ186" s="2095"/>
      <c r="AK186" s="2095"/>
      <c r="AL186" s="2095"/>
      <c r="AM186" s="2095"/>
      <c r="AN186" s="2095"/>
      <c r="AO186" s="2095"/>
      <c r="AP186" s="2095"/>
      <c r="AQ186" s="2095"/>
      <c r="AR186" s="2095"/>
      <c r="AS186" s="2095"/>
      <c r="AT186" s="2095"/>
      <c r="AU186" s="2095"/>
      <c r="AV186" s="2095"/>
      <c r="AW186" s="2095"/>
      <c r="AX186" s="2095"/>
      <c r="AY186" s="2095"/>
      <c r="AZ186" s="2095"/>
      <c r="BA186" s="2093"/>
      <c r="BB186" s="2096"/>
    </row>
    <row r="187" s="2128" customFormat="true" ht="30" hidden="false" customHeight="true" outlineLevel="0" collapsed="false">
      <c r="A187" s="2092"/>
      <c r="B187" s="2093"/>
      <c r="C187" s="2094"/>
      <c r="D187" s="2095"/>
      <c r="E187" s="2095"/>
      <c r="F187" s="2095"/>
      <c r="G187" s="2095"/>
      <c r="H187" s="2095"/>
      <c r="I187" s="2095"/>
      <c r="J187" s="2095"/>
      <c r="K187" s="2095"/>
      <c r="L187" s="2095"/>
      <c r="M187" s="2095"/>
      <c r="N187" s="2095"/>
      <c r="O187" s="2095"/>
      <c r="P187" s="2093"/>
      <c r="Q187" s="2095"/>
      <c r="R187" s="2095"/>
      <c r="S187" s="2095"/>
      <c r="T187" s="2095"/>
      <c r="U187" s="2095"/>
      <c r="V187" s="2095"/>
      <c r="W187" s="2095"/>
      <c r="X187" s="2095"/>
      <c r="Y187" s="2095"/>
      <c r="Z187" s="2095"/>
      <c r="AA187" s="2095"/>
      <c r="AB187" s="2095"/>
      <c r="AC187" s="2095"/>
      <c r="AD187" s="2095"/>
      <c r="AE187" s="2095"/>
      <c r="AF187" s="2095"/>
      <c r="AG187" s="2095"/>
      <c r="AH187" s="2095"/>
      <c r="AI187" s="2095"/>
      <c r="AJ187" s="2095"/>
      <c r="AK187" s="2095"/>
      <c r="AL187" s="2095"/>
      <c r="AM187" s="2095"/>
      <c r="AN187" s="2095"/>
      <c r="AO187" s="2095"/>
      <c r="AP187" s="2095"/>
      <c r="AQ187" s="2095"/>
      <c r="AR187" s="2095"/>
      <c r="AS187" s="2095"/>
      <c r="AT187" s="2095"/>
      <c r="AU187" s="2095"/>
      <c r="AV187" s="2095"/>
      <c r="AW187" s="2095"/>
      <c r="AX187" s="2095"/>
      <c r="AY187" s="2095"/>
      <c r="AZ187" s="2095"/>
      <c r="BA187" s="2093"/>
      <c r="BB187" s="2096"/>
    </row>
    <row r="188" s="2128" customFormat="true" ht="30" hidden="false" customHeight="true" outlineLevel="0" collapsed="false">
      <c r="A188" s="2092"/>
      <c r="B188" s="2093"/>
      <c r="C188" s="2094"/>
      <c r="D188" s="2095"/>
      <c r="E188" s="2095"/>
      <c r="F188" s="2095"/>
      <c r="G188" s="2095"/>
      <c r="H188" s="2095"/>
      <c r="I188" s="2095"/>
      <c r="J188" s="2095"/>
      <c r="K188" s="2095"/>
      <c r="L188" s="2095"/>
      <c r="M188" s="2095"/>
      <c r="N188" s="2095"/>
      <c r="O188" s="2095"/>
      <c r="P188" s="2093"/>
      <c r="Q188" s="2095"/>
      <c r="R188" s="2095"/>
      <c r="S188" s="2095"/>
      <c r="T188" s="2095"/>
      <c r="U188" s="2095"/>
      <c r="V188" s="2095"/>
      <c r="W188" s="2095"/>
      <c r="X188" s="2095"/>
      <c r="Y188" s="2095"/>
      <c r="Z188" s="2095"/>
      <c r="AA188" s="2095"/>
      <c r="AB188" s="2095"/>
      <c r="AC188" s="2095"/>
      <c r="AD188" s="2095"/>
      <c r="AE188" s="2095"/>
      <c r="AF188" s="2095"/>
      <c r="AG188" s="2095"/>
      <c r="AH188" s="2095"/>
      <c r="AI188" s="2095"/>
      <c r="AJ188" s="2095"/>
      <c r="AK188" s="2095"/>
      <c r="AL188" s="2095"/>
      <c r="AM188" s="2095"/>
      <c r="AN188" s="2095"/>
      <c r="AO188" s="2095"/>
      <c r="AP188" s="2095"/>
      <c r="AQ188" s="2095"/>
      <c r="AR188" s="2095"/>
      <c r="AS188" s="2095"/>
      <c r="AT188" s="2095"/>
      <c r="AU188" s="2095"/>
      <c r="AV188" s="2095"/>
      <c r="AW188" s="2095"/>
      <c r="AX188" s="2095"/>
      <c r="AY188" s="2095"/>
      <c r="AZ188" s="2095"/>
      <c r="BA188" s="2093"/>
      <c r="BB188" s="2096"/>
    </row>
    <row r="189" s="2128" customFormat="true" ht="30" hidden="false" customHeight="true" outlineLevel="0" collapsed="false">
      <c r="A189" s="2092"/>
      <c r="B189" s="2093"/>
      <c r="C189" s="2094"/>
      <c r="D189" s="2095"/>
      <c r="E189" s="2095"/>
      <c r="F189" s="2095"/>
      <c r="G189" s="2095"/>
      <c r="H189" s="2095"/>
      <c r="I189" s="2095"/>
      <c r="J189" s="2095"/>
      <c r="K189" s="2095"/>
      <c r="L189" s="2095"/>
      <c r="M189" s="2095"/>
      <c r="N189" s="2095"/>
      <c r="O189" s="2095"/>
      <c r="P189" s="2093"/>
      <c r="Q189" s="2095"/>
      <c r="R189" s="2095"/>
      <c r="S189" s="2095"/>
      <c r="T189" s="2095"/>
      <c r="U189" s="2095"/>
      <c r="V189" s="2095"/>
      <c r="W189" s="2095"/>
      <c r="X189" s="2095"/>
      <c r="Y189" s="2095"/>
      <c r="Z189" s="2095"/>
      <c r="AA189" s="2095"/>
      <c r="AB189" s="2095"/>
      <c r="AC189" s="2095"/>
      <c r="AD189" s="2095"/>
      <c r="AE189" s="2095"/>
      <c r="AF189" s="2095"/>
      <c r="AG189" s="2095"/>
      <c r="AH189" s="2095"/>
      <c r="AI189" s="2095"/>
      <c r="AJ189" s="2095"/>
      <c r="AK189" s="2095"/>
      <c r="AL189" s="2095"/>
      <c r="AM189" s="2095"/>
      <c r="AN189" s="2095"/>
      <c r="AO189" s="2095"/>
      <c r="AP189" s="2095"/>
      <c r="AQ189" s="2095"/>
      <c r="AR189" s="2095"/>
      <c r="AS189" s="2095"/>
      <c r="AT189" s="2095"/>
      <c r="AU189" s="2095"/>
      <c r="AV189" s="2095"/>
      <c r="AW189" s="2095"/>
      <c r="AX189" s="2095"/>
      <c r="AY189" s="2095"/>
      <c r="AZ189" s="2095"/>
      <c r="BA189" s="2093"/>
      <c r="BB189" s="2096"/>
    </row>
    <row r="190" s="2128" customFormat="true" ht="30" hidden="false" customHeight="true" outlineLevel="0" collapsed="false">
      <c r="A190" s="2092"/>
      <c r="B190" s="2093"/>
      <c r="C190" s="2094"/>
      <c r="D190" s="2095"/>
      <c r="E190" s="2095"/>
      <c r="F190" s="2095"/>
      <c r="G190" s="2095"/>
      <c r="H190" s="2095"/>
      <c r="I190" s="2095"/>
      <c r="J190" s="2095"/>
      <c r="K190" s="2095"/>
      <c r="L190" s="2095"/>
      <c r="M190" s="2095"/>
      <c r="N190" s="2095"/>
      <c r="O190" s="2095"/>
      <c r="P190" s="2093"/>
      <c r="Q190" s="2095"/>
      <c r="R190" s="2095"/>
      <c r="S190" s="2095"/>
      <c r="T190" s="2095"/>
      <c r="U190" s="2095"/>
      <c r="V190" s="2095"/>
      <c r="W190" s="2095"/>
      <c r="X190" s="2095"/>
      <c r="Y190" s="2095"/>
      <c r="Z190" s="2095"/>
      <c r="AA190" s="2095"/>
      <c r="AB190" s="2095"/>
      <c r="AC190" s="2095"/>
      <c r="AD190" s="2095"/>
      <c r="AE190" s="2095"/>
      <c r="AF190" s="2095"/>
      <c r="AG190" s="2095"/>
      <c r="AH190" s="2095"/>
      <c r="AI190" s="2095"/>
      <c r="AJ190" s="2095"/>
      <c r="AK190" s="2095"/>
      <c r="AL190" s="2095"/>
      <c r="AM190" s="2095"/>
      <c r="AN190" s="2095"/>
      <c r="AO190" s="2095"/>
      <c r="AP190" s="2095"/>
      <c r="AQ190" s="2095"/>
      <c r="AR190" s="2095"/>
      <c r="AS190" s="2095"/>
      <c r="AT190" s="2095"/>
      <c r="AU190" s="2095"/>
      <c r="AV190" s="2095"/>
      <c r="AW190" s="2095"/>
      <c r="AX190" s="2095"/>
      <c r="AY190" s="2095"/>
      <c r="AZ190" s="2095"/>
      <c r="BA190" s="2093"/>
      <c r="BB190" s="2096"/>
    </row>
    <row r="191" s="2128" customFormat="true" ht="30" hidden="false" customHeight="true" outlineLevel="0" collapsed="false">
      <c r="A191" s="2092"/>
      <c r="B191" s="2093"/>
      <c r="C191" s="2094"/>
      <c r="D191" s="2095"/>
      <c r="E191" s="2095"/>
      <c r="F191" s="2095"/>
      <c r="G191" s="2095"/>
      <c r="H191" s="2095"/>
      <c r="I191" s="2095"/>
      <c r="J191" s="2095"/>
      <c r="K191" s="2095"/>
      <c r="L191" s="2095"/>
      <c r="M191" s="2095"/>
      <c r="N191" s="2095"/>
      <c r="O191" s="2095"/>
      <c r="P191" s="2093"/>
      <c r="Q191" s="2095"/>
      <c r="R191" s="2095"/>
      <c r="S191" s="2095"/>
      <c r="T191" s="2095"/>
      <c r="U191" s="2095"/>
      <c r="V191" s="2095"/>
      <c r="W191" s="2095"/>
      <c r="X191" s="2095"/>
      <c r="Y191" s="2095"/>
      <c r="Z191" s="2095"/>
      <c r="AA191" s="2095"/>
      <c r="AB191" s="2095"/>
      <c r="AC191" s="2095"/>
      <c r="AD191" s="2095"/>
      <c r="AE191" s="2095"/>
      <c r="AF191" s="2095"/>
      <c r="AG191" s="2095"/>
      <c r="AH191" s="2095"/>
      <c r="AI191" s="2095"/>
      <c r="AJ191" s="2095"/>
      <c r="AK191" s="2095"/>
      <c r="AL191" s="2095"/>
      <c r="AM191" s="2095"/>
      <c r="AN191" s="2095"/>
      <c r="AO191" s="2095"/>
      <c r="AP191" s="2095"/>
      <c r="AQ191" s="2095"/>
      <c r="AR191" s="2095"/>
      <c r="AS191" s="2095"/>
      <c r="AT191" s="2095"/>
      <c r="AU191" s="2095"/>
      <c r="AV191" s="2095"/>
      <c r="AW191" s="2095"/>
      <c r="AX191" s="2095"/>
      <c r="AY191" s="2095"/>
      <c r="AZ191" s="2095"/>
      <c r="BA191" s="2093"/>
      <c r="BB191" s="2096"/>
    </row>
    <row r="192" s="2128" customFormat="true" ht="30" hidden="false" customHeight="true" outlineLevel="0" collapsed="false">
      <c r="A192" s="2092"/>
      <c r="B192" s="2093"/>
      <c r="C192" s="2094"/>
      <c r="D192" s="2095"/>
      <c r="E192" s="2095"/>
      <c r="F192" s="2095"/>
      <c r="G192" s="2095"/>
      <c r="H192" s="2095"/>
      <c r="I192" s="2095"/>
      <c r="J192" s="2095"/>
      <c r="K192" s="2095"/>
      <c r="L192" s="2095"/>
      <c r="M192" s="2095"/>
      <c r="N192" s="2095"/>
      <c r="O192" s="2095"/>
      <c r="P192" s="2093"/>
      <c r="Q192" s="2095"/>
      <c r="R192" s="2095"/>
      <c r="S192" s="2095"/>
      <c r="T192" s="2095"/>
      <c r="U192" s="2095"/>
      <c r="V192" s="2095"/>
      <c r="W192" s="2095"/>
      <c r="X192" s="2095"/>
      <c r="Y192" s="2095"/>
      <c r="Z192" s="2095"/>
      <c r="AA192" s="2095"/>
      <c r="AB192" s="2095"/>
      <c r="AC192" s="2095"/>
      <c r="AD192" s="2095"/>
      <c r="AE192" s="2095"/>
      <c r="AF192" s="2095"/>
      <c r="AG192" s="2095"/>
      <c r="AH192" s="2095"/>
      <c r="AI192" s="2095"/>
      <c r="AJ192" s="2095"/>
      <c r="AK192" s="2095"/>
      <c r="AL192" s="2095"/>
      <c r="AM192" s="2095"/>
      <c r="AN192" s="2095"/>
      <c r="AO192" s="2095"/>
      <c r="AP192" s="2095"/>
      <c r="AQ192" s="2095"/>
      <c r="AR192" s="2095"/>
      <c r="AS192" s="2095"/>
      <c r="AT192" s="2095"/>
      <c r="AU192" s="2095"/>
      <c r="AV192" s="2095"/>
      <c r="AW192" s="2095"/>
      <c r="AX192" s="2095"/>
      <c r="AY192" s="2095"/>
      <c r="AZ192" s="2095"/>
      <c r="BA192" s="2093"/>
      <c r="BB192" s="2096"/>
    </row>
    <row r="193" s="2128" customFormat="true" ht="30" hidden="false" customHeight="true" outlineLevel="0" collapsed="false">
      <c r="A193" s="2092"/>
      <c r="B193" s="2093"/>
      <c r="C193" s="2094"/>
      <c r="D193" s="2095"/>
      <c r="E193" s="2095"/>
      <c r="F193" s="2095"/>
      <c r="G193" s="2095"/>
      <c r="H193" s="2095"/>
      <c r="I193" s="2095"/>
      <c r="J193" s="2095"/>
      <c r="K193" s="2095"/>
      <c r="L193" s="2095"/>
      <c r="M193" s="2095"/>
      <c r="N193" s="2095"/>
      <c r="O193" s="2095"/>
      <c r="P193" s="2093"/>
      <c r="Q193" s="2095"/>
      <c r="R193" s="2095"/>
      <c r="S193" s="2095"/>
      <c r="T193" s="2095"/>
      <c r="U193" s="2095"/>
      <c r="V193" s="2095"/>
      <c r="W193" s="2095"/>
      <c r="X193" s="2095"/>
      <c r="Y193" s="2095"/>
      <c r="Z193" s="2095"/>
      <c r="AA193" s="2095"/>
      <c r="AB193" s="2095"/>
      <c r="AC193" s="2095"/>
      <c r="AD193" s="2095"/>
      <c r="AE193" s="2095"/>
      <c r="AF193" s="2095"/>
      <c r="AG193" s="2095"/>
      <c r="AH193" s="2095"/>
      <c r="AI193" s="2095"/>
      <c r="AJ193" s="2095"/>
      <c r="AK193" s="2095"/>
      <c r="AL193" s="2095"/>
      <c r="AM193" s="2095"/>
      <c r="AN193" s="2095"/>
      <c r="AO193" s="2095"/>
      <c r="AP193" s="2095"/>
      <c r="AQ193" s="2095"/>
      <c r="AR193" s="2095"/>
      <c r="AS193" s="2095"/>
      <c r="AT193" s="2095"/>
      <c r="AU193" s="2095"/>
      <c r="AV193" s="2095"/>
      <c r="AW193" s="2095"/>
      <c r="AX193" s="2095"/>
      <c r="AY193" s="2095"/>
      <c r="AZ193" s="2095"/>
      <c r="BA193" s="2093"/>
      <c r="BB193" s="2096"/>
    </row>
    <row r="194" s="2128" customFormat="true" ht="30" hidden="false" customHeight="true" outlineLevel="0" collapsed="false">
      <c r="A194" s="2092"/>
      <c r="B194" s="2093"/>
      <c r="C194" s="2094"/>
      <c r="D194" s="2095"/>
      <c r="E194" s="2095"/>
      <c r="F194" s="2095"/>
      <c r="G194" s="2095"/>
      <c r="H194" s="2095"/>
      <c r="I194" s="2095"/>
      <c r="J194" s="2095"/>
      <c r="K194" s="2095"/>
      <c r="L194" s="2095"/>
      <c r="M194" s="2095"/>
      <c r="N194" s="2095"/>
      <c r="O194" s="2095"/>
      <c r="P194" s="2093"/>
      <c r="Q194" s="2095"/>
      <c r="R194" s="2095"/>
      <c r="S194" s="2095"/>
      <c r="T194" s="2095"/>
      <c r="U194" s="2095"/>
      <c r="V194" s="2095"/>
      <c r="W194" s="2095"/>
      <c r="X194" s="2095"/>
      <c r="Y194" s="2095"/>
      <c r="Z194" s="2095"/>
      <c r="AA194" s="2095"/>
      <c r="AB194" s="2095"/>
      <c r="AC194" s="2095"/>
      <c r="AD194" s="2095"/>
      <c r="AE194" s="2095"/>
      <c r="AF194" s="2095"/>
      <c r="AG194" s="2095"/>
      <c r="AH194" s="2095"/>
      <c r="AI194" s="2095"/>
      <c r="AJ194" s="2095"/>
      <c r="AK194" s="2095"/>
      <c r="AL194" s="2095"/>
      <c r="AM194" s="2095"/>
      <c r="AN194" s="2095"/>
      <c r="AO194" s="2095"/>
      <c r="AP194" s="2095"/>
      <c r="AQ194" s="2095"/>
      <c r="AR194" s="2095"/>
      <c r="AS194" s="2095"/>
      <c r="AT194" s="2095"/>
      <c r="AU194" s="2095"/>
      <c r="AV194" s="2095"/>
      <c r="AW194" s="2095"/>
      <c r="AX194" s="2095"/>
      <c r="AY194" s="2095"/>
      <c r="AZ194" s="2095"/>
      <c r="BA194" s="2093"/>
      <c r="BB194" s="2096"/>
    </row>
    <row r="195" s="2128" customFormat="true" ht="30" hidden="false" customHeight="true" outlineLevel="0" collapsed="false">
      <c r="A195" s="2092"/>
      <c r="B195" s="2093"/>
      <c r="C195" s="2094"/>
      <c r="D195" s="2095"/>
      <c r="E195" s="2095"/>
      <c r="F195" s="2095"/>
      <c r="G195" s="2095"/>
      <c r="H195" s="2095"/>
      <c r="I195" s="2095"/>
      <c r="J195" s="2095"/>
      <c r="K195" s="2095"/>
      <c r="L195" s="2095"/>
      <c r="M195" s="2095"/>
      <c r="N195" s="2095"/>
      <c r="O195" s="2095"/>
      <c r="P195" s="2093"/>
      <c r="Q195" s="2095"/>
      <c r="R195" s="2095"/>
      <c r="S195" s="2095"/>
      <c r="T195" s="2095"/>
      <c r="U195" s="2095"/>
      <c r="V195" s="2095"/>
      <c r="W195" s="2095"/>
      <c r="X195" s="2095"/>
      <c r="Y195" s="2095"/>
      <c r="Z195" s="2095"/>
      <c r="AA195" s="2095"/>
      <c r="AB195" s="2095"/>
      <c r="AC195" s="2095"/>
      <c r="AD195" s="2095"/>
      <c r="AE195" s="2095"/>
      <c r="AF195" s="2095"/>
      <c r="AG195" s="2095"/>
      <c r="AH195" s="2095"/>
      <c r="AI195" s="2095"/>
      <c r="AJ195" s="2095"/>
      <c r="AK195" s="2095"/>
      <c r="AL195" s="2095"/>
      <c r="AM195" s="2095"/>
      <c r="AN195" s="2095"/>
      <c r="AO195" s="2095"/>
      <c r="AP195" s="2095"/>
      <c r="AQ195" s="2095"/>
      <c r="AR195" s="2095"/>
      <c r="AS195" s="2095"/>
      <c r="AT195" s="2095"/>
      <c r="AU195" s="2095"/>
      <c r="AV195" s="2095"/>
      <c r="AW195" s="2095"/>
      <c r="AX195" s="2095"/>
      <c r="AY195" s="2095"/>
      <c r="AZ195" s="2095"/>
      <c r="BA195" s="2093"/>
      <c r="BB195" s="2096"/>
    </row>
    <row r="196" s="2128" customFormat="true" ht="30" hidden="false" customHeight="true" outlineLevel="0" collapsed="false">
      <c r="A196" s="2092"/>
      <c r="B196" s="2093"/>
      <c r="C196" s="2094"/>
      <c r="D196" s="2095"/>
      <c r="E196" s="2095"/>
      <c r="F196" s="2095"/>
      <c r="G196" s="2095"/>
      <c r="H196" s="2095"/>
      <c r="I196" s="2095"/>
      <c r="J196" s="2095"/>
      <c r="K196" s="2095"/>
      <c r="L196" s="2095"/>
      <c r="M196" s="2095"/>
      <c r="N196" s="2095"/>
      <c r="O196" s="2095"/>
      <c r="P196" s="2093"/>
      <c r="Q196" s="2095"/>
      <c r="R196" s="2095"/>
      <c r="S196" s="2095"/>
      <c r="T196" s="2095"/>
      <c r="U196" s="2095"/>
      <c r="V196" s="2095"/>
      <c r="W196" s="2095"/>
      <c r="X196" s="2095"/>
      <c r="Y196" s="2095"/>
      <c r="Z196" s="2095"/>
      <c r="AA196" s="2095"/>
      <c r="AB196" s="2095"/>
      <c r="AC196" s="2095"/>
      <c r="AD196" s="2095"/>
      <c r="AE196" s="2095"/>
      <c r="AF196" s="2095"/>
      <c r="AG196" s="2095"/>
      <c r="AH196" s="2095"/>
      <c r="AI196" s="2095"/>
      <c r="AJ196" s="2095"/>
      <c r="AK196" s="2095"/>
      <c r="AL196" s="2095"/>
      <c r="AM196" s="2095"/>
      <c r="AN196" s="2095"/>
      <c r="AO196" s="2095"/>
      <c r="AP196" s="2095"/>
      <c r="AQ196" s="2095"/>
      <c r="AR196" s="2095"/>
      <c r="AS196" s="2095"/>
      <c r="AT196" s="2095"/>
      <c r="AU196" s="2095"/>
      <c r="AV196" s="2095"/>
      <c r="AW196" s="2095"/>
      <c r="AX196" s="2095"/>
      <c r="AY196" s="2095"/>
      <c r="AZ196" s="2095"/>
      <c r="BA196" s="2093"/>
      <c r="BB196" s="2096"/>
    </row>
    <row r="197" s="2128" customFormat="true" ht="30" hidden="false" customHeight="true" outlineLevel="0" collapsed="false">
      <c r="A197" s="2092"/>
      <c r="B197" s="2093"/>
      <c r="C197" s="2094"/>
      <c r="D197" s="2095"/>
      <c r="E197" s="2095"/>
      <c r="F197" s="2095"/>
      <c r="G197" s="2095"/>
      <c r="H197" s="2095"/>
      <c r="I197" s="2095"/>
      <c r="J197" s="2095"/>
      <c r="K197" s="2095"/>
      <c r="L197" s="2095"/>
      <c r="M197" s="2095"/>
      <c r="N197" s="2095"/>
      <c r="O197" s="2095"/>
      <c r="P197" s="2093"/>
      <c r="Q197" s="2095"/>
      <c r="R197" s="2095"/>
      <c r="S197" s="2095"/>
      <c r="T197" s="2095"/>
      <c r="U197" s="2095"/>
      <c r="V197" s="2095"/>
      <c r="W197" s="2095"/>
      <c r="X197" s="2095"/>
      <c r="Y197" s="2095"/>
      <c r="Z197" s="2095"/>
      <c r="AA197" s="2095"/>
      <c r="AB197" s="2095"/>
      <c r="AC197" s="2095"/>
      <c r="AD197" s="2095"/>
      <c r="AE197" s="2095"/>
      <c r="AF197" s="2095"/>
      <c r="AG197" s="2095"/>
      <c r="AH197" s="2095"/>
      <c r="AI197" s="2095"/>
      <c r="AJ197" s="2095"/>
      <c r="AK197" s="2095"/>
      <c r="AL197" s="2095"/>
      <c r="AM197" s="2095"/>
      <c r="AN197" s="2095"/>
      <c r="AO197" s="2095"/>
      <c r="AP197" s="2095"/>
      <c r="AQ197" s="2095"/>
      <c r="AR197" s="2095"/>
      <c r="AS197" s="2095"/>
      <c r="AT197" s="2095"/>
      <c r="AU197" s="2095"/>
      <c r="AV197" s="2095"/>
      <c r="AW197" s="2095"/>
      <c r="AX197" s="2095"/>
      <c r="AY197" s="2095"/>
      <c r="AZ197" s="2095"/>
      <c r="BA197" s="2093"/>
      <c r="BB197" s="2096"/>
    </row>
    <row r="198" s="2128" customFormat="true" ht="30" hidden="false" customHeight="true" outlineLevel="0" collapsed="false">
      <c r="A198" s="2092"/>
      <c r="B198" s="2093"/>
      <c r="C198" s="2094"/>
      <c r="D198" s="2095"/>
      <c r="E198" s="2095"/>
      <c r="F198" s="2095"/>
      <c r="G198" s="2095"/>
      <c r="H198" s="2095"/>
      <c r="I198" s="2095"/>
      <c r="J198" s="2095"/>
      <c r="K198" s="2095"/>
      <c r="L198" s="2095"/>
      <c r="M198" s="2095"/>
      <c r="N198" s="2095"/>
      <c r="O198" s="2095"/>
      <c r="P198" s="2093"/>
      <c r="Q198" s="2095"/>
      <c r="R198" s="2095"/>
      <c r="S198" s="2095"/>
      <c r="T198" s="2095"/>
      <c r="U198" s="2095"/>
      <c r="V198" s="2095"/>
      <c r="W198" s="2095"/>
      <c r="X198" s="2095"/>
      <c r="Y198" s="2095"/>
      <c r="Z198" s="2095"/>
      <c r="AA198" s="2095"/>
      <c r="AB198" s="2095"/>
      <c r="AC198" s="2095"/>
      <c r="AD198" s="2095"/>
      <c r="AE198" s="2095"/>
      <c r="AF198" s="2095"/>
      <c r="AG198" s="2095"/>
      <c r="AH198" s="2095"/>
      <c r="AI198" s="2095"/>
      <c r="AJ198" s="2095"/>
      <c r="AK198" s="2095"/>
      <c r="AL198" s="2095"/>
      <c r="AM198" s="2095"/>
      <c r="AN198" s="2095"/>
      <c r="AO198" s="2095"/>
      <c r="AP198" s="2095"/>
      <c r="AQ198" s="2095"/>
      <c r="AR198" s="2095"/>
      <c r="AS198" s="2095"/>
      <c r="AT198" s="2095"/>
      <c r="AU198" s="2095"/>
      <c r="AV198" s="2095"/>
      <c r="AW198" s="2095"/>
      <c r="AX198" s="2095"/>
      <c r="AY198" s="2095"/>
      <c r="AZ198" s="2095"/>
      <c r="BA198" s="2093"/>
      <c r="BB198" s="2096"/>
    </row>
    <row r="199" s="2128" customFormat="true" ht="30" hidden="false" customHeight="true" outlineLevel="0" collapsed="false">
      <c r="A199" s="2092"/>
      <c r="B199" s="2093"/>
      <c r="C199" s="2094"/>
      <c r="D199" s="2095"/>
      <c r="E199" s="2095"/>
      <c r="F199" s="2095"/>
      <c r="G199" s="2095"/>
      <c r="H199" s="2095"/>
      <c r="I199" s="2095"/>
      <c r="J199" s="2095"/>
      <c r="K199" s="2095"/>
      <c r="L199" s="2095"/>
      <c r="M199" s="2095"/>
      <c r="N199" s="2095"/>
      <c r="O199" s="2095"/>
      <c r="P199" s="2093"/>
      <c r="Q199" s="2095"/>
      <c r="R199" s="2095"/>
      <c r="S199" s="2095"/>
      <c r="T199" s="2095"/>
      <c r="U199" s="2095"/>
      <c r="V199" s="2095"/>
      <c r="W199" s="2095"/>
      <c r="X199" s="2095"/>
      <c r="Y199" s="2095"/>
      <c r="Z199" s="2095"/>
      <c r="AA199" s="2095"/>
      <c r="AB199" s="2095"/>
      <c r="AC199" s="2095"/>
      <c r="AD199" s="2095"/>
      <c r="AE199" s="2095"/>
      <c r="AF199" s="2095"/>
      <c r="AG199" s="2095"/>
      <c r="AH199" s="2095"/>
      <c r="AI199" s="2095"/>
      <c r="AJ199" s="2095"/>
      <c r="AK199" s="2095"/>
      <c r="AL199" s="2095"/>
      <c r="AM199" s="2095"/>
      <c r="AN199" s="2095"/>
      <c r="AO199" s="2095"/>
      <c r="AP199" s="2095"/>
      <c r="AQ199" s="2095"/>
      <c r="AR199" s="2095"/>
      <c r="AS199" s="2095"/>
      <c r="AT199" s="2095"/>
      <c r="AU199" s="2095"/>
      <c r="AV199" s="2095"/>
      <c r="AW199" s="2095"/>
      <c r="AX199" s="2095"/>
      <c r="AY199" s="2095"/>
      <c r="AZ199" s="2095"/>
      <c r="BA199" s="2093"/>
      <c r="BB199" s="2096"/>
    </row>
    <row r="200" s="2128" customFormat="true" ht="30" hidden="false" customHeight="true" outlineLevel="0" collapsed="false">
      <c r="A200" s="2092"/>
      <c r="B200" s="2093"/>
      <c r="C200" s="2094"/>
      <c r="D200" s="2095"/>
      <c r="E200" s="2095"/>
      <c r="F200" s="2095"/>
      <c r="G200" s="2095"/>
      <c r="H200" s="2095"/>
      <c r="I200" s="2095"/>
      <c r="J200" s="2095"/>
      <c r="K200" s="2095"/>
      <c r="L200" s="2095"/>
      <c r="M200" s="2095"/>
      <c r="N200" s="2095"/>
      <c r="O200" s="2095"/>
      <c r="P200" s="2093"/>
      <c r="Q200" s="2095"/>
      <c r="R200" s="2095"/>
      <c r="S200" s="2095"/>
      <c r="T200" s="2095"/>
      <c r="U200" s="2095"/>
      <c r="V200" s="2095"/>
      <c r="W200" s="2095"/>
      <c r="X200" s="2095"/>
      <c r="Y200" s="2095"/>
      <c r="Z200" s="2095"/>
      <c r="AA200" s="2095"/>
      <c r="AB200" s="2095"/>
      <c r="AC200" s="2095"/>
      <c r="AD200" s="2095"/>
      <c r="AE200" s="2095"/>
      <c r="AF200" s="2095"/>
      <c r="AG200" s="2095"/>
      <c r="AH200" s="2095"/>
      <c r="AI200" s="2095"/>
      <c r="AJ200" s="2095"/>
      <c r="AK200" s="2095"/>
      <c r="AL200" s="2095"/>
      <c r="AM200" s="2095"/>
      <c r="AN200" s="2095"/>
      <c r="AO200" s="2095"/>
      <c r="AP200" s="2095"/>
      <c r="AQ200" s="2095"/>
      <c r="AR200" s="2095"/>
      <c r="AS200" s="2095"/>
      <c r="AT200" s="2095"/>
      <c r="AU200" s="2095"/>
      <c r="AV200" s="2095"/>
      <c r="AW200" s="2095"/>
      <c r="AX200" s="2095"/>
      <c r="AY200" s="2095"/>
      <c r="AZ200" s="2095"/>
      <c r="BA200" s="2093"/>
      <c r="BB200" s="2096"/>
    </row>
    <row r="201" s="2128" customFormat="true" ht="30" hidden="false" customHeight="true" outlineLevel="0" collapsed="false">
      <c r="A201" s="2092"/>
      <c r="B201" s="2093"/>
      <c r="C201" s="2094"/>
      <c r="D201" s="2095"/>
      <c r="E201" s="2095"/>
      <c r="F201" s="2095"/>
      <c r="G201" s="2095"/>
      <c r="H201" s="2095"/>
      <c r="I201" s="2095"/>
      <c r="J201" s="2095"/>
      <c r="K201" s="2095"/>
      <c r="L201" s="2095"/>
      <c r="M201" s="2095"/>
      <c r="N201" s="2095"/>
      <c r="O201" s="2095"/>
      <c r="P201" s="2093"/>
      <c r="Q201" s="2095"/>
      <c r="R201" s="2095"/>
      <c r="S201" s="2095"/>
      <c r="T201" s="2095"/>
      <c r="U201" s="2095"/>
      <c r="V201" s="2095"/>
      <c r="W201" s="2095"/>
      <c r="X201" s="2095"/>
      <c r="Y201" s="2095"/>
      <c r="Z201" s="2095"/>
      <c r="AA201" s="2095"/>
      <c r="AB201" s="2095"/>
      <c r="AC201" s="2095"/>
      <c r="AD201" s="2095"/>
      <c r="AE201" s="2095"/>
      <c r="AF201" s="2095"/>
      <c r="AG201" s="2095"/>
      <c r="AH201" s="2095"/>
      <c r="AI201" s="2095"/>
      <c r="AJ201" s="2095"/>
      <c r="AK201" s="2095"/>
      <c r="AL201" s="2095"/>
      <c r="AM201" s="2095"/>
      <c r="AN201" s="2095"/>
      <c r="AO201" s="2095"/>
      <c r="AP201" s="2095"/>
      <c r="AQ201" s="2095"/>
      <c r="AR201" s="2095"/>
      <c r="AS201" s="2095"/>
      <c r="AT201" s="2095"/>
      <c r="AU201" s="2095"/>
      <c r="AV201" s="2095"/>
      <c r="AW201" s="2095"/>
      <c r="AX201" s="2095"/>
      <c r="AY201" s="2095"/>
      <c r="AZ201" s="2095"/>
      <c r="BA201" s="2093"/>
      <c r="BB201" s="2096"/>
    </row>
    <row r="202" s="2128" customFormat="true" ht="30" hidden="false" customHeight="true" outlineLevel="0" collapsed="false">
      <c r="A202" s="2092"/>
      <c r="B202" s="2093"/>
      <c r="C202" s="2094"/>
      <c r="D202" s="2095"/>
      <c r="E202" s="2095"/>
      <c r="F202" s="2095"/>
      <c r="G202" s="2095"/>
      <c r="H202" s="2095"/>
      <c r="I202" s="2095"/>
      <c r="J202" s="2095"/>
      <c r="K202" s="2095"/>
      <c r="L202" s="2095"/>
      <c r="M202" s="2095"/>
      <c r="N202" s="2095"/>
      <c r="O202" s="2095"/>
      <c r="P202" s="2093"/>
      <c r="Q202" s="2095"/>
      <c r="R202" s="2095"/>
      <c r="S202" s="2095"/>
      <c r="T202" s="2095"/>
      <c r="U202" s="2095"/>
      <c r="V202" s="2095"/>
      <c r="W202" s="2095"/>
      <c r="X202" s="2095"/>
      <c r="Y202" s="2095"/>
      <c r="Z202" s="2095"/>
      <c r="AA202" s="2095"/>
      <c r="AB202" s="2095"/>
      <c r="AC202" s="2095"/>
      <c r="AD202" s="2095"/>
      <c r="AE202" s="2095"/>
      <c r="AF202" s="2095"/>
      <c r="AG202" s="2095"/>
      <c r="AH202" s="2095"/>
      <c r="AI202" s="2095"/>
      <c r="AJ202" s="2095"/>
      <c r="AK202" s="2095"/>
      <c r="AL202" s="2095"/>
      <c r="AM202" s="2095"/>
      <c r="AN202" s="2095"/>
      <c r="AO202" s="2095"/>
      <c r="AP202" s="2095"/>
      <c r="AQ202" s="2095"/>
      <c r="AR202" s="2095"/>
      <c r="AS202" s="2095"/>
      <c r="AT202" s="2095"/>
      <c r="AU202" s="2095"/>
      <c r="AV202" s="2095"/>
      <c r="AW202" s="2095"/>
      <c r="AX202" s="2095"/>
      <c r="AY202" s="2095"/>
      <c r="AZ202" s="2095"/>
      <c r="BA202" s="2093"/>
      <c r="BB202" s="2096"/>
    </row>
    <row r="203" s="2128" customFormat="true" ht="30" hidden="false" customHeight="true" outlineLevel="0" collapsed="false">
      <c r="A203" s="2092"/>
      <c r="B203" s="2093"/>
      <c r="C203" s="2094"/>
      <c r="D203" s="2095"/>
      <c r="E203" s="2095"/>
      <c r="F203" s="2095"/>
      <c r="G203" s="2095"/>
      <c r="H203" s="2095"/>
      <c r="I203" s="2095"/>
      <c r="J203" s="2095"/>
      <c r="K203" s="2095"/>
      <c r="L203" s="2095"/>
      <c r="M203" s="2095"/>
      <c r="N203" s="2095"/>
      <c r="O203" s="2095"/>
      <c r="P203" s="2093"/>
      <c r="Q203" s="2095"/>
      <c r="R203" s="2095"/>
      <c r="S203" s="2095"/>
      <c r="T203" s="2095"/>
      <c r="U203" s="2095"/>
      <c r="V203" s="2095"/>
      <c r="W203" s="2095"/>
      <c r="X203" s="2095"/>
      <c r="Y203" s="2095"/>
      <c r="Z203" s="2095"/>
      <c r="AA203" s="2095"/>
      <c r="AB203" s="2095"/>
      <c r="AC203" s="2095"/>
      <c r="AD203" s="2095"/>
      <c r="AE203" s="2095"/>
      <c r="AF203" s="2095"/>
      <c r="AG203" s="2095"/>
      <c r="AH203" s="2095"/>
      <c r="AI203" s="2095"/>
      <c r="AJ203" s="2095"/>
      <c r="AK203" s="2095"/>
      <c r="AL203" s="2095"/>
      <c r="AM203" s="2095"/>
      <c r="AN203" s="2095"/>
      <c r="AO203" s="2095"/>
      <c r="AP203" s="2095"/>
      <c r="AQ203" s="2095"/>
      <c r="AR203" s="2095"/>
      <c r="AS203" s="2095"/>
      <c r="AT203" s="2095"/>
      <c r="AU203" s="2095"/>
      <c r="AV203" s="2095"/>
      <c r="AW203" s="2095"/>
      <c r="AX203" s="2095"/>
      <c r="AY203" s="2095"/>
      <c r="AZ203" s="2095"/>
      <c r="BA203" s="2093"/>
      <c r="BB203" s="2096"/>
    </row>
    <row r="204" s="2128" customFormat="true" ht="30" hidden="false" customHeight="true" outlineLevel="0" collapsed="false">
      <c r="A204" s="2092"/>
      <c r="B204" s="2093"/>
      <c r="C204" s="2094"/>
      <c r="D204" s="2095"/>
      <c r="E204" s="2095"/>
      <c r="F204" s="2095"/>
      <c r="G204" s="2095"/>
      <c r="H204" s="2095"/>
      <c r="I204" s="2095"/>
      <c r="J204" s="2095"/>
      <c r="K204" s="2095"/>
      <c r="L204" s="2095"/>
      <c r="M204" s="2095"/>
      <c r="N204" s="2095"/>
      <c r="O204" s="2095"/>
      <c r="P204" s="2093"/>
      <c r="Q204" s="2095"/>
      <c r="R204" s="2095"/>
      <c r="S204" s="2095"/>
      <c r="T204" s="2095"/>
      <c r="U204" s="2095"/>
      <c r="V204" s="2095"/>
      <c r="W204" s="2095"/>
      <c r="X204" s="2095"/>
      <c r="Y204" s="2095"/>
      <c r="Z204" s="2095"/>
      <c r="AA204" s="2095"/>
      <c r="AB204" s="2095"/>
      <c r="AC204" s="2095"/>
      <c r="AD204" s="2095"/>
      <c r="AE204" s="2095"/>
      <c r="AF204" s="2095"/>
      <c r="AG204" s="2095"/>
      <c r="AH204" s="2095"/>
      <c r="AI204" s="2095"/>
      <c r="AJ204" s="2095"/>
      <c r="AK204" s="2095"/>
      <c r="AL204" s="2095"/>
      <c r="AM204" s="2095"/>
      <c r="AN204" s="2095"/>
      <c r="AO204" s="2095"/>
      <c r="AP204" s="2095"/>
      <c r="AQ204" s="2095"/>
      <c r="AR204" s="2095"/>
      <c r="AS204" s="2095"/>
      <c r="AT204" s="2095"/>
      <c r="AU204" s="2095"/>
      <c r="AV204" s="2095"/>
      <c r="AW204" s="2095"/>
      <c r="AX204" s="2095"/>
      <c r="AY204" s="2095"/>
      <c r="AZ204" s="2095"/>
      <c r="BA204" s="2093"/>
      <c r="BB204" s="2096"/>
    </row>
    <row r="205" s="2128" customFormat="true" ht="30" hidden="false" customHeight="true" outlineLevel="0" collapsed="false">
      <c r="A205" s="2092"/>
      <c r="B205" s="2093"/>
      <c r="C205" s="2094"/>
      <c r="D205" s="2095"/>
      <c r="E205" s="2095"/>
      <c r="F205" s="2095"/>
      <c r="G205" s="2095"/>
      <c r="H205" s="2095"/>
      <c r="I205" s="2095"/>
      <c r="J205" s="2095"/>
      <c r="K205" s="2095"/>
      <c r="L205" s="2095"/>
      <c r="M205" s="2095"/>
      <c r="N205" s="2095"/>
      <c r="O205" s="2095"/>
      <c r="P205" s="2093"/>
      <c r="Q205" s="2095"/>
      <c r="R205" s="2095"/>
      <c r="S205" s="2095"/>
      <c r="T205" s="2095"/>
      <c r="U205" s="2095"/>
      <c r="V205" s="2095"/>
      <c r="W205" s="2095"/>
      <c r="X205" s="2095"/>
      <c r="Y205" s="2095"/>
      <c r="Z205" s="2095"/>
      <c r="AA205" s="2095"/>
      <c r="AB205" s="2095"/>
      <c r="AC205" s="2095"/>
      <c r="AD205" s="2095"/>
      <c r="AE205" s="2095"/>
      <c r="AF205" s="2095"/>
      <c r="AG205" s="2095"/>
      <c r="AH205" s="2095"/>
      <c r="AI205" s="2095"/>
      <c r="AJ205" s="2095"/>
      <c r="AK205" s="2095"/>
      <c r="AL205" s="2095"/>
      <c r="AM205" s="2095"/>
      <c r="AN205" s="2095"/>
      <c r="AO205" s="2095"/>
      <c r="AP205" s="2095"/>
      <c r="AQ205" s="2095"/>
      <c r="AR205" s="2095"/>
      <c r="AS205" s="2095"/>
      <c r="AT205" s="2095"/>
      <c r="AU205" s="2095"/>
      <c r="AV205" s="2095"/>
      <c r="AW205" s="2095"/>
      <c r="AX205" s="2095"/>
      <c r="AY205" s="2095"/>
      <c r="AZ205" s="2095"/>
      <c r="BA205" s="2093"/>
      <c r="BB205" s="2096"/>
    </row>
    <row r="206" s="2128" customFormat="true" ht="30" hidden="false" customHeight="true" outlineLevel="0" collapsed="false">
      <c r="A206" s="2092"/>
      <c r="B206" s="2093"/>
      <c r="C206" s="2094"/>
      <c r="D206" s="2095"/>
      <c r="E206" s="2095"/>
      <c r="F206" s="2095"/>
      <c r="G206" s="2095"/>
      <c r="H206" s="2095"/>
      <c r="I206" s="2095"/>
      <c r="J206" s="2095"/>
      <c r="K206" s="2095"/>
      <c r="L206" s="2095"/>
      <c r="M206" s="2095"/>
      <c r="N206" s="2095"/>
      <c r="O206" s="2095"/>
      <c r="P206" s="2093"/>
      <c r="Q206" s="2095"/>
      <c r="R206" s="2095"/>
      <c r="S206" s="2095"/>
      <c r="T206" s="2095"/>
      <c r="U206" s="2095"/>
      <c r="V206" s="2095"/>
      <c r="W206" s="2095"/>
      <c r="X206" s="2095"/>
      <c r="Y206" s="2095"/>
      <c r="Z206" s="2095"/>
      <c r="AA206" s="2095"/>
      <c r="AB206" s="2095"/>
      <c r="AC206" s="2095"/>
      <c r="AD206" s="2095"/>
      <c r="AE206" s="2095"/>
      <c r="AF206" s="2095"/>
      <c r="AG206" s="2095"/>
      <c r="AH206" s="2095"/>
      <c r="AI206" s="2095"/>
      <c r="AJ206" s="2095"/>
      <c r="AK206" s="2095"/>
      <c r="AL206" s="2095"/>
      <c r="AM206" s="2095"/>
      <c r="AN206" s="2095"/>
      <c r="AO206" s="2095"/>
      <c r="AP206" s="2095"/>
      <c r="AQ206" s="2095"/>
      <c r="AR206" s="2095"/>
      <c r="AS206" s="2095"/>
      <c r="AT206" s="2095"/>
      <c r="AU206" s="2095"/>
      <c r="AV206" s="2095"/>
      <c r="AW206" s="2095"/>
      <c r="AX206" s="2095"/>
      <c r="AY206" s="2095"/>
      <c r="AZ206" s="2095"/>
      <c r="BA206" s="2093"/>
      <c r="BB206" s="2096"/>
    </row>
    <row r="207" s="2128" customFormat="true" ht="30" hidden="false" customHeight="true" outlineLevel="0" collapsed="false">
      <c r="A207" s="2092"/>
      <c r="B207" s="2093"/>
      <c r="C207" s="2094"/>
      <c r="D207" s="2095"/>
      <c r="E207" s="2095"/>
      <c r="F207" s="2095"/>
      <c r="G207" s="2095"/>
      <c r="H207" s="2095"/>
      <c r="I207" s="2095"/>
      <c r="J207" s="2095"/>
      <c r="K207" s="2095"/>
      <c r="L207" s="2095"/>
      <c r="M207" s="2095"/>
      <c r="N207" s="2095"/>
      <c r="O207" s="2095"/>
      <c r="P207" s="2093"/>
      <c r="Q207" s="2095"/>
      <c r="R207" s="2095"/>
      <c r="S207" s="2095"/>
      <c r="T207" s="2095"/>
      <c r="U207" s="2095"/>
      <c r="V207" s="2095"/>
      <c r="W207" s="2095"/>
      <c r="X207" s="2095"/>
      <c r="Y207" s="2095"/>
      <c r="Z207" s="2095"/>
      <c r="AA207" s="2095"/>
      <c r="AB207" s="2095"/>
      <c r="AC207" s="2095"/>
      <c r="AD207" s="2095"/>
      <c r="AE207" s="2095"/>
      <c r="AF207" s="2095"/>
      <c r="AG207" s="2095"/>
      <c r="AH207" s="2095"/>
      <c r="AI207" s="2095"/>
      <c r="AJ207" s="2095"/>
      <c r="AK207" s="2095"/>
      <c r="AL207" s="2095"/>
      <c r="AM207" s="2095"/>
      <c r="AN207" s="2095"/>
      <c r="AO207" s="2095"/>
      <c r="AP207" s="2095"/>
      <c r="AQ207" s="2095"/>
      <c r="AR207" s="2095"/>
      <c r="AS207" s="2095"/>
      <c r="AT207" s="2095"/>
      <c r="AU207" s="2095"/>
      <c r="AV207" s="2095"/>
      <c r="AW207" s="2095"/>
      <c r="AX207" s="2095"/>
      <c r="AY207" s="2095"/>
      <c r="AZ207" s="2095"/>
      <c r="BA207" s="2093"/>
      <c r="BB207" s="2096"/>
    </row>
    <row r="208" s="2128" customFormat="true" ht="30" hidden="false" customHeight="true" outlineLevel="0" collapsed="false">
      <c r="A208" s="2092"/>
      <c r="B208" s="2093"/>
      <c r="C208" s="2094"/>
      <c r="D208" s="2095"/>
      <c r="E208" s="2095"/>
      <c r="F208" s="2095"/>
      <c r="G208" s="2095"/>
      <c r="H208" s="2095"/>
      <c r="I208" s="2095"/>
      <c r="J208" s="2095"/>
      <c r="K208" s="2095"/>
      <c r="L208" s="2095"/>
      <c r="M208" s="2095"/>
      <c r="N208" s="2095"/>
      <c r="O208" s="2095"/>
      <c r="P208" s="2093"/>
      <c r="Q208" s="2095"/>
      <c r="R208" s="2095"/>
      <c r="S208" s="2095"/>
      <c r="T208" s="2095"/>
      <c r="U208" s="2095"/>
      <c r="V208" s="2095"/>
      <c r="W208" s="2095"/>
      <c r="X208" s="2095"/>
      <c r="Y208" s="2095"/>
      <c r="Z208" s="2095"/>
      <c r="AA208" s="2095"/>
      <c r="AB208" s="2095"/>
      <c r="AC208" s="2095"/>
      <c r="AD208" s="2095"/>
      <c r="AE208" s="2095"/>
      <c r="AF208" s="2095"/>
      <c r="AG208" s="2095"/>
      <c r="AH208" s="2095"/>
      <c r="AI208" s="2095"/>
      <c r="AJ208" s="2095"/>
      <c r="AK208" s="2095"/>
      <c r="AL208" s="2095"/>
      <c r="AM208" s="2095"/>
      <c r="AN208" s="2095"/>
      <c r="AO208" s="2095"/>
      <c r="AP208" s="2095"/>
      <c r="AQ208" s="2095"/>
      <c r="AR208" s="2095"/>
      <c r="AS208" s="2095"/>
      <c r="AT208" s="2095"/>
      <c r="AU208" s="2095"/>
      <c r="AV208" s="2095"/>
      <c r="AW208" s="2095"/>
      <c r="AX208" s="2095"/>
      <c r="AY208" s="2095"/>
      <c r="AZ208" s="2095"/>
      <c r="BA208" s="2093"/>
      <c r="BB208" s="2096"/>
    </row>
    <row r="209" s="2128" customFormat="true" ht="30" hidden="false" customHeight="true" outlineLevel="0" collapsed="false">
      <c r="A209" s="2092"/>
      <c r="B209" s="2093"/>
      <c r="C209" s="2094"/>
      <c r="D209" s="2095"/>
      <c r="E209" s="2095"/>
      <c r="F209" s="2095"/>
      <c r="G209" s="2095"/>
      <c r="H209" s="2095"/>
      <c r="I209" s="2095"/>
      <c r="J209" s="2095"/>
      <c r="K209" s="2095"/>
      <c r="L209" s="2095"/>
      <c r="M209" s="2095"/>
      <c r="N209" s="2095"/>
      <c r="O209" s="2095"/>
      <c r="P209" s="2093"/>
      <c r="Q209" s="2095"/>
      <c r="R209" s="2095"/>
      <c r="S209" s="2095"/>
      <c r="T209" s="2095"/>
      <c r="U209" s="2095"/>
      <c r="V209" s="2095"/>
      <c r="W209" s="2095"/>
      <c r="X209" s="2095"/>
      <c r="Y209" s="2095"/>
      <c r="Z209" s="2095"/>
      <c r="AA209" s="2095"/>
      <c r="AB209" s="2095"/>
      <c r="AC209" s="2095"/>
      <c r="AD209" s="2095"/>
      <c r="AE209" s="2095"/>
      <c r="AF209" s="2095"/>
      <c r="AG209" s="2095"/>
      <c r="AH209" s="2095"/>
      <c r="AI209" s="2095"/>
      <c r="AJ209" s="2095"/>
      <c r="AK209" s="2095"/>
      <c r="AL209" s="2095"/>
      <c r="AM209" s="2095"/>
      <c r="AN209" s="2095"/>
      <c r="AO209" s="2095"/>
      <c r="AP209" s="2095"/>
      <c r="AQ209" s="2095"/>
      <c r="AR209" s="2095"/>
      <c r="AS209" s="2095"/>
      <c r="AT209" s="2095"/>
      <c r="AU209" s="2095"/>
      <c r="AV209" s="2095"/>
      <c r="AW209" s="2095"/>
      <c r="AX209" s="2095"/>
      <c r="AY209" s="2095"/>
      <c r="AZ209" s="2095"/>
      <c r="BA209" s="2093"/>
      <c r="BB209" s="2096"/>
    </row>
    <row r="210" s="2128" customFormat="true" ht="30" hidden="false" customHeight="true" outlineLevel="0" collapsed="false">
      <c r="A210" s="2092"/>
      <c r="B210" s="2093"/>
      <c r="C210" s="2094"/>
      <c r="D210" s="2095"/>
      <c r="E210" s="2095"/>
      <c r="F210" s="2095"/>
      <c r="G210" s="2095"/>
      <c r="H210" s="2095"/>
      <c r="I210" s="2095"/>
      <c r="J210" s="2095"/>
      <c r="K210" s="2095"/>
      <c r="L210" s="2095"/>
      <c r="M210" s="2095"/>
      <c r="N210" s="2095"/>
      <c r="O210" s="2095"/>
      <c r="P210" s="2093"/>
      <c r="Q210" s="2095"/>
      <c r="R210" s="2095"/>
      <c r="S210" s="2095"/>
      <c r="T210" s="2095"/>
      <c r="U210" s="2095"/>
      <c r="V210" s="2095"/>
      <c r="W210" s="2095"/>
      <c r="X210" s="2095"/>
      <c r="Y210" s="2095"/>
      <c r="Z210" s="2095"/>
      <c r="AA210" s="2095"/>
      <c r="AB210" s="2095"/>
      <c r="AC210" s="2095"/>
      <c r="AD210" s="2095"/>
      <c r="AE210" s="2095"/>
      <c r="AF210" s="2095"/>
      <c r="AG210" s="2095"/>
      <c r="AH210" s="2095"/>
      <c r="AI210" s="2095"/>
      <c r="AJ210" s="2095"/>
      <c r="AK210" s="2095"/>
      <c r="AL210" s="2095"/>
      <c r="AM210" s="2095"/>
      <c r="AN210" s="2095"/>
      <c r="AO210" s="2095"/>
      <c r="AP210" s="2095"/>
      <c r="AQ210" s="2095"/>
      <c r="AR210" s="2095"/>
      <c r="AS210" s="2095"/>
      <c r="AT210" s="2095"/>
      <c r="AU210" s="2095"/>
      <c r="AV210" s="2095"/>
      <c r="AW210" s="2095"/>
      <c r="AX210" s="2095"/>
      <c r="AY210" s="2095"/>
      <c r="AZ210" s="2095"/>
      <c r="BA210" s="2093"/>
      <c r="BB210" s="2096"/>
    </row>
    <row r="211" s="2128" customFormat="true" ht="30" hidden="false" customHeight="true" outlineLevel="0" collapsed="false">
      <c r="A211" s="2092"/>
      <c r="B211" s="2093"/>
      <c r="C211" s="2094"/>
      <c r="D211" s="2095"/>
      <c r="E211" s="2095"/>
      <c r="F211" s="2095"/>
      <c r="G211" s="2095"/>
      <c r="H211" s="2095"/>
      <c r="I211" s="2095"/>
      <c r="J211" s="2095"/>
      <c r="K211" s="2095"/>
      <c r="L211" s="2095"/>
      <c r="M211" s="2095"/>
      <c r="N211" s="2095"/>
      <c r="O211" s="2095"/>
      <c r="P211" s="2093"/>
      <c r="Q211" s="2095"/>
      <c r="R211" s="2095"/>
      <c r="S211" s="2095"/>
      <c r="T211" s="2095"/>
      <c r="U211" s="2095"/>
      <c r="V211" s="2095"/>
      <c r="W211" s="2095"/>
      <c r="X211" s="2095"/>
      <c r="Y211" s="2095"/>
      <c r="Z211" s="2095"/>
      <c r="AA211" s="2095"/>
      <c r="AB211" s="2095"/>
      <c r="AC211" s="2095"/>
      <c r="AD211" s="2095"/>
      <c r="AE211" s="2095"/>
      <c r="AF211" s="2095"/>
      <c r="AG211" s="2095"/>
      <c r="AH211" s="2095"/>
      <c r="AI211" s="2095"/>
      <c r="AJ211" s="2095"/>
      <c r="AK211" s="2095"/>
      <c r="AL211" s="2095"/>
      <c r="AM211" s="2095"/>
      <c r="AN211" s="2095"/>
      <c r="AO211" s="2095"/>
      <c r="AP211" s="2095"/>
      <c r="AQ211" s="2095"/>
      <c r="AR211" s="2095"/>
      <c r="AS211" s="2095"/>
      <c r="AT211" s="2095"/>
      <c r="AU211" s="2095"/>
      <c r="AV211" s="2095"/>
      <c r="AW211" s="2095"/>
      <c r="AX211" s="2095"/>
      <c r="AY211" s="2095"/>
      <c r="AZ211" s="2095"/>
      <c r="BA211" s="2093"/>
      <c r="BB211" s="2096"/>
    </row>
    <row r="212" s="2128" customFormat="true" ht="30" hidden="false" customHeight="true" outlineLevel="0" collapsed="false">
      <c r="A212" s="2092"/>
      <c r="B212" s="2093"/>
      <c r="C212" s="2094"/>
      <c r="D212" s="2095"/>
      <c r="E212" s="2095"/>
      <c r="F212" s="2095"/>
      <c r="G212" s="2095"/>
      <c r="H212" s="2095"/>
      <c r="I212" s="2095"/>
      <c r="J212" s="2095"/>
      <c r="K212" s="2095"/>
      <c r="L212" s="2095"/>
      <c r="M212" s="2095"/>
      <c r="N212" s="2095"/>
      <c r="O212" s="2095"/>
      <c r="P212" s="2093"/>
      <c r="Q212" s="2095"/>
      <c r="R212" s="2095"/>
      <c r="S212" s="2095"/>
      <c r="T212" s="2095"/>
      <c r="U212" s="2095"/>
      <c r="V212" s="2095"/>
      <c r="W212" s="2095"/>
      <c r="X212" s="2095"/>
      <c r="Y212" s="2095"/>
      <c r="Z212" s="2095"/>
      <c r="AA212" s="2095"/>
      <c r="AB212" s="2095"/>
      <c r="AC212" s="2095"/>
      <c r="AD212" s="2095"/>
      <c r="AE212" s="2095"/>
      <c r="AF212" s="2095"/>
      <c r="AG212" s="2095"/>
      <c r="AH212" s="2095"/>
      <c r="AI212" s="2095"/>
      <c r="AJ212" s="2095"/>
      <c r="AK212" s="2095"/>
      <c r="AL212" s="2095"/>
      <c r="AM212" s="2095"/>
      <c r="AN212" s="2095"/>
      <c r="AO212" s="2095"/>
      <c r="AP212" s="2095"/>
      <c r="AQ212" s="2095"/>
      <c r="AR212" s="2095"/>
      <c r="AS212" s="2095"/>
      <c r="AT212" s="2095"/>
      <c r="AU212" s="2095"/>
      <c r="AV212" s="2095"/>
      <c r="AW212" s="2095"/>
      <c r="AX212" s="2095"/>
      <c r="AY212" s="2095"/>
      <c r="AZ212" s="2095"/>
      <c r="BA212" s="2093"/>
      <c r="BB212" s="2096"/>
    </row>
    <row r="213" s="2128" customFormat="true" ht="30" hidden="false" customHeight="true" outlineLevel="0" collapsed="false">
      <c r="A213" s="2092"/>
      <c r="B213" s="2093"/>
      <c r="C213" s="2094"/>
      <c r="D213" s="2095"/>
      <c r="E213" s="2095"/>
      <c r="F213" s="2095"/>
      <c r="G213" s="2095"/>
      <c r="H213" s="2095"/>
      <c r="I213" s="2095"/>
      <c r="J213" s="2095"/>
      <c r="K213" s="2095"/>
      <c r="L213" s="2095"/>
      <c r="M213" s="2095"/>
      <c r="N213" s="2095"/>
      <c r="O213" s="2095"/>
      <c r="P213" s="2093"/>
      <c r="Q213" s="2095"/>
      <c r="R213" s="2095"/>
      <c r="S213" s="2095"/>
      <c r="T213" s="2095"/>
      <c r="U213" s="2095"/>
      <c r="V213" s="2095"/>
      <c r="W213" s="2095"/>
      <c r="X213" s="2095"/>
      <c r="Y213" s="2095"/>
      <c r="Z213" s="2095"/>
      <c r="AA213" s="2095"/>
      <c r="AB213" s="2095"/>
      <c r="AC213" s="2095"/>
      <c r="AD213" s="2095"/>
      <c r="AE213" s="2095"/>
      <c r="AF213" s="2095"/>
      <c r="AG213" s="2095"/>
      <c r="AH213" s="2095"/>
      <c r="AI213" s="2095"/>
      <c r="AJ213" s="2095"/>
      <c r="AK213" s="2095"/>
      <c r="AL213" s="2095"/>
      <c r="AM213" s="2095"/>
      <c r="AN213" s="2095"/>
      <c r="AO213" s="2095"/>
      <c r="AP213" s="2095"/>
      <c r="AQ213" s="2095"/>
      <c r="AR213" s="2095"/>
      <c r="AS213" s="2095"/>
      <c r="AT213" s="2095"/>
      <c r="AU213" s="2095"/>
      <c r="AV213" s="2095"/>
      <c r="AW213" s="2095"/>
      <c r="AX213" s="2095"/>
      <c r="AY213" s="2095"/>
      <c r="AZ213" s="2095"/>
      <c r="BA213" s="2093"/>
      <c r="BB213" s="2096"/>
    </row>
    <row r="214" s="2128" customFormat="true" ht="30" hidden="false" customHeight="true" outlineLevel="0" collapsed="false">
      <c r="A214" s="2092"/>
      <c r="B214" s="2093"/>
      <c r="C214" s="2094"/>
      <c r="D214" s="2095"/>
      <c r="E214" s="2095"/>
      <c r="F214" s="2095"/>
      <c r="G214" s="2095"/>
      <c r="H214" s="2095"/>
      <c r="I214" s="2095"/>
      <c r="J214" s="2095"/>
      <c r="K214" s="2095"/>
      <c r="L214" s="2095"/>
      <c r="M214" s="2095"/>
      <c r="N214" s="2095"/>
      <c r="O214" s="2095"/>
      <c r="P214" s="2093"/>
      <c r="Q214" s="2095"/>
      <c r="R214" s="2095"/>
      <c r="S214" s="2095"/>
      <c r="T214" s="2095"/>
      <c r="U214" s="2095"/>
      <c r="V214" s="2095"/>
      <c r="W214" s="2095"/>
      <c r="X214" s="2095"/>
      <c r="Y214" s="2095"/>
      <c r="Z214" s="2095"/>
      <c r="AA214" s="2095"/>
      <c r="AB214" s="2095"/>
      <c r="AC214" s="2095"/>
      <c r="AD214" s="2095"/>
      <c r="AE214" s="2095"/>
      <c r="AF214" s="2095"/>
      <c r="AG214" s="2095"/>
      <c r="AH214" s="2095"/>
      <c r="AI214" s="2095"/>
      <c r="AJ214" s="2095"/>
      <c r="AK214" s="2095"/>
      <c r="AL214" s="2095"/>
      <c r="AM214" s="2095"/>
      <c r="AN214" s="2095"/>
      <c r="AO214" s="2095"/>
      <c r="AP214" s="2095"/>
      <c r="AQ214" s="2095"/>
      <c r="AR214" s="2095"/>
      <c r="AS214" s="2095"/>
      <c r="AT214" s="2095"/>
      <c r="AU214" s="2095"/>
      <c r="AV214" s="2095"/>
      <c r="AW214" s="2095"/>
      <c r="AX214" s="2095"/>
      <c r="AY214" s="2095"/>
      <c r="AZ214" s="2095"/>
      <c r="BA214" s="2093"/>
      <c r="BB214" s="2096"/>
    </row>
    <row r="215" s="2128" customFormat="true" ht="30" hidden="false" customHeight="true" outlineLevel="0" collapsed="false">
      <c r="A215" s="2092"/>
      <c r="B215" s="2093"/>
      <c r="C215" s="2094"/>
      <c r="D215" s="2095"/>
      <c r="E215" s="2095"/>
      <c r="F215" s="2095"/>
      <c r="G215" s="2095"/>
      <c r="H215" s="2095"/>
      <c r="I215" s="2095"/>
      <c r="J215" s="2095"/>
      <c r="K215" s="2095"/>
      <c r="L215" s="2095"/>
      <c r="M215" s="2095"/>
      <c r="N215" s="2095"/>
      <c r="O215" s="2095"/>
      <c r="P215" s="2093"/>
      <c r="Q215" s="2095"/>
      <c r="R215" s="2095"/>
      <c r="S215" s="2095"/>
      <c r="T215" s="2095"/>
      <c r="U215" s="2095"/>
      <c r="V215" s="2095"/>
      <c r="W215" s="2095"/>
      <c r="X215" s="2095"/>
      <c r="Y215" s="2095"/>
      <c r="Z215" s="2095"/>
      <c r="AA215" s="2095"/>
      <c r="AB215" s="2095"/>
      <c r="AC215" s="2095"/>
      <c r="AD215" s="2095"/>
      <c r="AE215" s="2095"/>
      <c r="AF215" s="2095"/>
      <c r="AG215" s="2095"/>
      <c r="AH215" s="2095"/>
      <c r="AI215" s="2095"/>
      <c r="AJ215" s="2095"/>
      <c r="AK215" s="2095"/>
      <c r="AL215" s="2095"/>
      <c r="AM215" s="2095"/>
      <c r="AN215" s="2095"/>
      <c r="AO215" s="2095"/>
      <c r="AP215" s="2095"/>
      <c r="AQ215" s="2095"/>
      <c r="AR215" s="2095"/>
      <c r="AS215" s="2095"/>
      <c r="AT215" s="2095"/>
      <c r="AU215" s="2095"/>
      <c r="AV215" s="2095"/>
      <c r="AW215" s="2095"/>
      <c r="AX215" s="2095"/>
      <c r="AY215" s="2095"/>
      <c r="AZ215" s="2095"/>
      <c r="BA215" s="2093"/>
      <c r="BB215" s="2096"/>
    </row>
    <row r="216" s="2128" customFormat="true" ht="30" hidden="false" customHeight="true" outlineLevel="0" collapsed="false">
      <c r="A216" s="2092"/>
      <c r="B216" s="2093"/>
      <c r="C216" s="2094"/>
      <c r="D216" s="2095"/>
      <c r="E216" s="2095"/>
      <c r="F216" s="2095"/>
      <c r="G216" s="2095"/>
      <c r="H216" s="2095"/>
      <c r="I216" s="2095"/>
      <c r="J216" s="2095"/>
      <c r="K216" s="2095"/>
      <c r="L216" s="2095"/>
      <c r="M216" s="2095"/>
      <c r="N216" s="2095"/>
      <c r="O216" s="2095"/>
      <c r="P216" s="2093"/>
      <c r="Q216" s="2095"/>
      <c r="R216" s="2095"/>
      <c r="S216" s="2095"/>
      <c r="T216" s="2095"/>
      <c r="U216" s="2095"/>
      <c r="V216" s="2095"/>
      <c r="W216" s="2095"/>
      <c r="X216" s="2095"/>
      <c r="Y216" s="2095"/>
      <c r="Z216" s="2095"/>
      <c r="AA216" s="2095"/>
      <c r="AB216" s="2095"/>
      <c r="AC216" s="2095"/>
      <c r="AD216" s="2095"/>
      <c r="AE216" s="2095"/>
      <c r="AF216" s="2095"/>
      <c r="AG216" s="2095"/>
      <c r="AH216" s="2095"/>
      <c r="AI216" s="2095"/>
      <c r="AJ216" s="2095"/>
      <c r="AK216" s="2095"/>
      <c r="AL216" s="2095"/>
      <c r="AM216" s="2095"/>
      <c r="AN216" s="2095"/>
      <c r="AO216" s="2095"/>
      <c r="AP216" s="2095"/>
      <c r="AQ216" s="2095"/>
      <c r="AR216" s="2095"/>
      <c r="AS216" s="2095"/>
      <c r="AT216" s="2095"/>
      <c r="AU216" s="2095"/>
      <c r="AV216" s="2095"/>
      <c r="AW216" s="2095"/>
      <c r="AX216" s="2095"/>
      <c r="AY216" s="2095"/>
      <c r="AZ216" s="2095"/>
      <c r="BA216" s="2093"/>
      <c r="BB216" s="2096"/>
    </row>
    <row r="217" s="2128" customFormat="true" ht="39.75" hidden="false" customHeight="true" outlineLevel="0" collapsed="false">
      <c r="A217" s="2092"/>
      <c r="B217" s="2093"/>
      <c r="C217" s="2094"/>
      <c r="D217" s="2095"/>
      <c r="E217" s="2095"/>
      <c r="F217" s="2095"/>
      <c r="G217" s="2095"/>
      <c r="H217" s="2095"/>
      <c r="I217" s="2095"/>
      <c r="J217" s="2095"/>
      <c r="K217" s="2095"/>
      <c r="L217" s="2095"/>
      <c r="M217" s="2095"/>
      <c r="N217" s="2095"/>
      <c r="O217" s="2095"/>
      <c r="P217" s="2093"/>
      <c r="Q217" s="2095"/>
      <c r="R217" s="2095"/>
      <c r="S217" s="2095"/>
      <c r="T217" s="2095"/>
      <c r="U217" s="2095"/>
      <c r="V217" s="2095"/>
      <c r="W217" s="2095"/>
      <c r="X217" s="2095"/>
      <c r="Y217" s="2095"/>
      <c r="Z217" s="2095"/>
      <c r="AA217" s="2095"/>
      <c r="AB217" s="2095"/>
      <c r="AC217" s="2095"/>
      <c r="AD217" s="2095"/>
      <c r="AE217" s="2095"/>
      <c r="AF217" s="2095"/>
      <c r="AG217" s="2095"/>
      <c r="AH217" s="2095"/>
      <c r="AI217" s="2095"/>
      <c r="AJ217" s="2095"/>
      <c r="AK217" s="2095"/>
      <c r="AL217" s="2095"/>
      <c r="AM217" s="2095"/>
      <c r="AN217" s="2095"/>
      <c r="AO217" s="2095"/>
      <c r="AP217" s="2095"/>
      <c r="AQ217" s="2095"/>
      <c r="AR217" s="2095"/>
      <c r="AS217" s="2095"/>
      <c r="AT217" s="2095"/>
      <c r="AU217" s="2095"/>
      <c r="AV217" s="2095"/>
      <c r="AW217" s="2095"/>
      <c r="AX217" s="2095"/>
      <c r="AY217" s="2095"/>
      <c r="AZ217" s="2095"/>
      <c r="BA217" s="2093"/>
      <c r="BB217" s="2096"/>
    </row>
    <row r="218" s="2128" customFormat="true" ht="30" hidden="false" customHeight="true" outlineLevel="0" collapsed="false">
      <c r="A218" s="2092"/>
      <c r="B218" s="2093"/>
      <c r="C218" s="2094"/>
      <c r="D218" s="2095"/>
      <c r="E218" s="2095"/>
      <c r="F218" s="2095"/>
      <c r="G218" s="2095"/>
      <c r="H218" s="2095"/>
      <c r="I218" s="2095"/>
      <c r="J218" s="2095"/>
      <c r="K218" s="2095"/>
      <c r="L218" s="2095"/>
      <c r="M218" s="2095"/>
      <c r="N218" s="2095"/>
      <c r="O218" s="2095"/>
      <c r="P218" s="2093"/>
      <c r="Q218" s="2095"/>
      <c r="R218" s="2095"/>
      <c r="S218" s="2095"/>
      <c r="T218" s="2095"/>
      <c r="U218" s="2095"/>
      <c r="V218" s="2095"/>
      <c r="W218" s="2095"/>
      <c r="X218" s="2095"/>
      <c r="Y218" s="2095"/>
      <c r="Z218" s="2095"/>
      <c r="AA218" s="2095"/>
      <c r="AB218" s="2095"/>
      <c r="AC218" s="2095"/>
      <c r="AD218" s="2095"/>
      <c r="AE218" s="2095"/>
      <c r="AF218" s="2095"/>
      <c r="AG218" s="2095"/>
      <c r="AH218" s="2095"/>
      <c r="AI218" s="2095"/>
      <c r="AJ218" s="2095"/>
      <c r="AK218" s="2095"/>
      <c r="AL218" s="2095"/>
      <c r="AM218" s="2095"/>
      <c r="AN218" s="2095"/>
      <c r="AO218" s="2095"/>
      <c r="AP218" s="2095"/>
      <c r="AQ218" s="2095"/>
      <c r="AR218" s="2095"/>
      <c r="AS218" s="2095"/>
      <c r="AT218" s="2095"/>
      <c r="AU218" s="2095"/>
      <c r="AV218" s="2095"/>
      <c r="AW218" s="2095"/>
      <c r="AX218" s="2095"/>
      <c r="AY218" s="2095"/>
      <c r="AZ218" s="2095"/>
      <c r="BA218" s="2093"/>
      <c r="BB218" s="2096"/>
    </row>
    <row r="219" s="2128" customFormat="true" ht="30" hidden="false" customHeight="true" outlineLevel="0" collapsed="false">
      <c r="A219" s="2092"/>
      <c r="B219" s="2093"/>
      <c r="C219" s="2094"/>
      <c r="D219" s="2095"/>
      <c r="E219" s="2095"/>
      <c r="F219" s="2095"/>
      <c r="G219" s="2095"/>
      <c r="H219" s="2095"/>
      <c r="I219" s="2095"/>
      <c r="J219" s="2095"/>
      <c r="K219" s="2095"/>
      <c r="L219" s="2095"/>
      <c r="M219" s="2095"/>
      <c r="N219" s="2095"/>
      <c r="O219" s="2095"/>
      <c r="P219" s="2093"/>
      <c r="Q219" s="2095"/>
      <c r="R219" s="2095"/>
      <c r="S219" s="2095"/>
      <c r="T219" s="2095"/>
      <c r="U219" s="2095"/>
      <c r="V219" s="2095"/>
      <c r="W219" s="2095"/>
      <c r="X219" s="2095"/>
      <c r="Y219" s="2095"/>
      <c r="Z219" s="2095"/>
      <c r="AA219" s="2095"/>
      <c r="AB219" s="2095"/>
      <c r="AC219" s="2095"/>
      <c r="AD219" s="2095"/>
      <c r="AE219" s="2095"/>
      <c r="AF219" s="2095"/>
      <c r="AG219" s="2095"/>
      <c r="AH219" s="2095"/>
      <c r="AI219" s="2095"/>
      <c r="AJ219" s="2095"/>
      <c r="AK219" s="2095"/>
      <c r="AL219" s="2095"/>
      <c r="AM219" s="2095"/>
      <c r="AN219" s="2095"/>
      <c r="AO219" s="2095"/>
      <c r="AP219" s="2095"/>
      <c r="AQ219" s="2095"/>
      <c r="AR219" s="2095"/>
      <c r="AS219" s="2095"/>
      <c r="AT219" s="2095"/>
      <c r="AU219" s="2095"/>
      <c r="AV219" s="2095"/>
      <c r="AW219" s="2095"/>
      <c r="AX219" s="2095"/>
      <c r="AY219" s="2095"/>
      <c r="AZ219" s="2095"/>
      <c r="BA219" s="2093"/>
      <c r="BB219" s="2096"/>
    </row>
    <row r="220" s="2128" customFormat="true" ht="35.25" hidden="false" customHeight="true" outlineLevel="0" collapsed="false">
      <c r="A220" s="2092"/>
      <c r="B220" s="2093"/>
      <c r="C220" s="2094"/>
      <c r="D220" s="2095"/>
      <c r="E220" s="2095"/>
      <c r="F220" s="2095"/>
      <c r="G220" s="2095"/>
      <c r="H220" s="2095"/>
      <c r="I220" s="2095"/>
      <c r="J220" s="2095"/>
      <c r="K220" s="2095"/>
      <c r="L220" s="2095"/>
      <c r="M220" s="2095"/>
      <c r="N220" s="2095"/>
      <c r="O220" s="2095"/>
      <c r="P220" s="2093"/>
      <c r="Q220" s="2095"/>
      <c r="R220" s="2095"/>
      <c r="S220" s="2095"/>
      <c r="T220" s="2095"/>
      <c r="U220" s="2095"/>
      <c r="V220" s="2095"/>
      <c r="W220" s="2095"/>
      <c r="X220" s="2095"/>
      <c r="Y220" s="2095"/>
      <c r="Z220" s="2095"/>
      <c r="AA220" s="2095"/>
      <c r="AB220" s="2095"/>
      <c r="AC220" s="2095"/>
      <c r="AD220" s="2095"/>
      <c r="AE220" s="2095"/>
      <c r="AF220" s="2095"/>
      <c r="AG220" s="2095"/>
      <c r="AH220" s="2095"/>
      <c r="AI220" s="2095"/>
      <c r="AJ220" s="2095"/>
      <c r="AK220" s="2095"/>
      <c r="AL220" s="2095"/>
      <c r="AM220" s="2095"/>
      <c r="AN220" s="2095"/>
      <c r="AO220" s="2095"/>
      <c r="AP220" s="2095"/>
      <c r="AQ220" s="2095"/>
      <c r="AR220" s="2095"/>
      <c r="AS220" s="2095"/>
      <c r="AT220" s="2095"/>
      <c r="AU220" s="2095"/>
      <c r="AV220" s="2095"/>
      <c r="AW220" s="2095"/>
      <c r="AX220" s="2095"/>
      <c r="AY220" s="2095"/>
      <c r="AZ220" s="2095"/>
      <c r="BA220" s="2093"/>
      <c r="BB220" s="2096"/>
    </row>
    <row r="221" s="2128" customFormat="true" ht="35.25" hidden="false" customHeight="true" outlineLevel="0" collapsed="false">
      <c r="A221" s="2092"/>
      <c r="B221" s="2093"/>
      <c r="C221" s="2094"/>
      <c r="D221" s="2095"/>
      <c r="E221" s="2095"/>
      <c r="F221" s="2095"/>
      <c r="G221" s="2095"/>
      <c r="H221" s="2095"/>
      <c r="I221" s="2095"/>
      <c r="J221" s="2095"/>
      <c r="K221" s="2095"/>
      <c r="L221" s="2095"/>
      <c r="M221" s="2095"/>
      <c r="N221" s="2095"/>
      <c r="O221" s="2095"/>
      <c r="P221" s="2093"/>
      <c r="Q221" s="2095"/>
      <c r="R221" s="2095"/>
      <c r="S221" s="2095"/>
      <c r="T221" s="2095"/>
      <c r="U221" s="2095"/>
      <c r="V221" s="2095"/>
      <c r="W221" s="2095"/>
      <c r="X221" s="2095"/>
      <c r="Y221" s="2095"/>
      <c r="Z221" s="2095"/>
      <c r="AA221" s="2095"/>
      <c r="AB221" s="2095"/>
      <c r="AC221" s="2095"/>
      <c r="AD221" s="2095"/>
      <c r="AE221" s="2095"/>
      <c r="AF221" s="2095"/>
      <c r="AG221" s="2095"/>
      <c r="AH221" s="2095"/>
      <c r="AI221" s="2095"/>
      <c r="AJ221" s="2095"/>
      <c r="AK221" s="2095"/>
      <c r="AL221" s="2095"/>
      <c r="AM221" s="2095"/>
      <c r="AN221" s="2095"/>
      <c r="AO221" s="2095"/>
      <c r="AP221" s="2095"/>
      <c r="AQ221" s="2095"/>
      <c r="AR221" s="2095"/>
      <c r="AS221" s="2095"/>
      <c r="AT221" s="2095"/>
      <c r="AU221" s="2095"/>
      <c r="AV221" s="2095"/>
      <c r="AW221" s="2095"/>
      <c r="AX221" s="2095"/>
      <c r="AY221" s="2095"/>
      <c r="AZ221" s="2095"/>
      <c r="BA221" s="2093"/>
      <c r="BB221" s="2096"/>
    </row>
    <row r="222" s="2128" customFormat="true" ht="18.75" hidden="false" customHeight="false" outlineLevel="0" collapsed="false">
      <c r="A222" s="2092"/>
      <c r="B222" s="2093"/>
      <c r="C222" s="2094"/>
      <c r="D222" s="2095"/>
      <c r="E222" s="2095"/>
      <c r="F222" s="2095"/>
      <c r="G222" s="2095"/>
      <c r="H222" s="2095"/>
      <c r="I222" s="2095"/>
      <c r="J222" s="2095"/>
      <c r="K222" s="2095"/>
      <c r="L222" s="2095"/>
      <c r="M222" s="2095"/>
      <c r="N222" s="2095"/>
      <c r="O222" s="2095"/>
      <c r="P222" s="2093"/>
      <c r="Q222" s="2095"/>
      <c r="R222" s="2095"/>
      <c r="S222" s="2095"/>
      <c r="T222" s="2095"/>
      <c r="U222" s="2095"/>
      <c r="V222" s="2095"/>
      <c r="W222" s="2095"/>
      <c r="X222" s="2095"/>
      <c r="Y222" s="2095"/>
      <c r="Z222" s="2095"/>
      <c r="AA222" s="2095"/>
      <c r="AB222" s="2095"/>
      <c r="AC222" s="2095"/>
      <c r="AD222" s="2095"/>
      <c r="AE222" s="2095"/>
      <c r="AF222" s="2095"/>
      <c r="AG222" s="2095"/>
      <c r="AH222" s="2095"/>
      <c r="AI222" s="2095"/>
      <c r="AJ222" s="2095"/>
      <c r="AK222" s="2095"/>
      <c r="AL222" s="2095"/>
      <c r="AM222" s="2095"/>
      <c r="AN222" s="2095"/>
      <c r="AO222" s="2095"/>
      <c r="AP222" s="2095"/>
      <c r="AQ222" s="2095"/>
      <c r="AR222" s="2095"/>
      <c r="AS222" s="2095"/>
      <c r="AT222" s="2095"/>
      <c r="AU222" s="2095"/>
      <c r="AV222" s="2095"/>
      <c r="AW222" s="2095"/>
      <c r="AX222" s="2095"/>
      <c r="AY222" s="2095"/>
      <c r="AZ222" s="2095"/>
      <c r="BA222" s="2093"/>
      <c r="BB222" s="2096"/>
    </row>
    <row r="223" s="2128" customFormat="true" ht="27.75" hidden="false" customHeight="true" outlineLevel="0" collapsed="false">
      <c r="A223" s="2092"/>
      <c r="B223" s="2093"/>
      <c r="C223" s="2094"/>
      <c r="D223" s="2095"/>
      <c r="E223" s="2095"/>
      <c r="F223" s="2095"/>
      <c r="G223" s="2095"/>
      <c r="H223" s="2095"/>
      <c r="I223" s="2095"/>
      <c r="J223" s="2095"/>
      <c r="K223" s="2095"/>
      <c r="L223" s="2095"/>
      <c r="M223" s="2095"/>
      <c r="N223" s="2095"/>
      <c r="O223" s="2095"/>
      <c r="P223" s="2093"/>
      <c r="Q223" s="2095"/>
      <c r="R223" s="2095"/>
      <c r="S223" s="2095"/>
      <c r="T223" s="2095"/>
      <c r="U223" s="2095"/>
      <c r="V223" s="2095"/>
      <c r="W223" s="2095"/>
      <c r="X223" s="2095"/>
      <c r="Y223" s="2095"/>
      <c r="Z223" s="2095"/>
      <c r="AA223" s="2095"/>
      <c r="AB223" s="2095"/>
      <c r="AC223" s="2095"/>
      <c r="AD223" s="2095"/>
      <c r="AE223" s="2095"/>
      <c r="AF223" s="2095"/>
      <c r="AG223" s="2095"/>
      <c r="AH223" s="2095"/>
      <c r="AI223" s="2095"/>
      <c r="AJ223" s="2095"/>
      <c r="AK223" s="2095"/>
      <c r="AL223" s="2095"/>
      <c r="AM223" s="2095"/>
      <c r="AN223" s="2095"/>
      <c r="AO223" s="2095"/>
      <c r="AP223" s="2095"/>
      <c r="AQ223" s="2095"/>
      <c r="AR223" s="2095"/>
      <c r="AS223" s="2095"/>
      <c r="AT223" s="2095"/>
      <c r="AU223" s="2095"/>
      <c r="AV223" s="2095"/>
      <c r="AW223" s="2095"/>
      <c r="AX223" s="2095"/>
      <c r="AY223" s="2095"/>
      <c r="AZ223" s="2095"/>
      <c r="BA223" s="2093"/>
      <c r="BB223" s="2096"/>
    </row>
    <row r="224" s="2128" customFormat="true" ht="27.75" hidden="false" customHeight="true" outlineLevel="0" collapsed="false">
      <c r="A224" s="2092"/>
      <c r="B224" s="2093"/>
      <c r="C224" s="2094"/>
      <c r="D224" s="2095"/>
      <c r="E224" s="2095"/>
      <c r="F224" s="2095"/>
      <c r="G224" s="2095"/>
      <c r="H224" s="2095"/>
      <c r="I224" s="2095"/>
      <c r="J224" s="2095"/>
      <c r="K224" s="2095"/>
      <c r="L224" s="2095"/>
      <c r="M224" s="2095"/>
      <c r="N224" s="2095"/>
      <c r="O224" s="2095"/>
      <c r="P224" s="2093"/>
      <c r="Q224" s="2095"/>
      <c r="R224" s="2095"/>
      <c r="S224" s="2095"/>
      <c r="T224" s="2095"/>
      <c r="U224" s="2095"/>
      <c r="V224" s="2095"/>
      <c r="W224" s="2095"/>
      <c r="X224" s="2095"/>
      <c r="Y224" s="2095"/>
      <c r="Z224" s="2095"/>
      <c r="AA224" s="2095"/>
      <c r="AB224" s="2095"/>
      <c r="AC224" s="2095"/>
      <c r="AD224" s="2095"/>
      <c r="AE224" s="2095"/>
      <c r="AF224" s="2095"/>
      <c r="AG224" s="2095"/>
      <c r="AH224" s="2095"/>
      <c r="AI224" s="2095"/>
      <c r="AJ224" s="2095"/>
      <c r="AK224" s="2095"/>
      <c r="AL224" s="2095"/>
      <c r="AM224" s="2095"/>
      <c r="AN224" s="2095"/>
      <c r="AO224" s="2095"/>
      <c r="AP224" s="2095"/>
      <c r="AQ224" s="2095"/>
      <c r="AR224" s="2095"/>
      <c r="AS224" s="2095"/>
      <c r="AT224" s="2095"/>
      <c r="AU224" s="2095"/>
      <c r="AV224" s="2095"/>
      <c r="AW224" s="2095"/>
      <c r="AX224" s="2095"/>
      <c r="AY224" s="2095"/>
      <c r="AZ224" s="2095"/>
      <c r="BA224" s="2093"/>
      <c r="BB224" s="2096"/>
    </row>
    <row r="225" s="2128" customFormat="true" ht="27.75" hidden="false" customHeight="true" outlineLevel="0" collapsed="false">
      <c r="A225" s="2092"/>
      <c r="B225" s="2093"/>
      <c r="C225" s="2094"/>
      <c r="D225" s="2095"/>
      <c r="E225" s="2095"/>
      <c r="F225" s="2095"/>
      <c r="G225" s="2095"/>
      <c r="H225" s="2095"/>
      <c r="I225" s="2095"/>
      <c r="J225" s="2095"/>
      <c r="K225" s="2095"/>
      <c r="L225" s="2095"/>
      <c r="M225" s="2095"/>
      <c r="N225" s="2095"/>
      <c r="O225" s="2095"/>
      <c r="P225" s="2093"/>
      <c r="Q225" s="2095"/>
      <c r="R225" s="2095"/>
      <c r="S225" s="2095"/>
      <c r="T225" s="2095"/>
      <c r="U225" s="2095"/>
      <c r="V225" s="2095"/>
      <c r="W225" s="2095"/>
      <c r="X225" s="2095"/>
      <c r="Y225" s="2095"/>
      <c r="Z225" s="2095"/>
      <c r="AA225" s="2095"/>
      <c r="AB225" s="2095"/>
      <c r="AC225" s="2095"/>
      <c r="AD225" s="2095"/>
      <c r="AE225" s="2095"/>
      <c r="AF225" s="2095"/>
      <c r="AG225" s="2095"/>
      <c r="AH225" s="2095"/>
      <c r="AI225" s="2095"/>
      <c r="AJ225" s="2095"/>
      <c r="AK225" s="2095"/>
      <c r="AL225" s="2095"/>
      <c r="AM225" s="2095"/>
      <c r="AN225" s="2095"/>
      <c r="AO225" s="2095"/>
      <c r="AP225" s="2095"/>
      <c r="AQ225" s="2095"/>
      <c r="AR225" s="2095"/>
      <c r="AS225" s="2095"/>
      <c r="AT225" s="2095"/>
      <c r="AU225" s="2095"/>
      <c r="AV225" s="2095"/>
      <c r="AW225" s="2095"/>
      <c r="AX225" s="2095"/>
      <c r="AY225" s="2095"/>
      <c r="AZ225" s="2095"/>
      <c r="BA225" s="2093"/>
      <c r="BB225" s="2096"/>
    </row>
    <row r="226" s="2128" customFormat="true" ht="33" hidden="false" customHeight="true" outlineLevel="0" collapsed="false">
      <c r="A226" s="2092"/>
      <c r="B226" s="2093"/>
      <c r="C226" s="2094"/>
      <c r="D226" s="2095"/>
      <c r="E226" s="2095"/>
      <c r="F226" s="2095"/>
      <c r="G226" s="2095"/>
      <c r="H226" s="2095"/>
      <c r="I226" s="2095"/>
      <c r="J226" s="2095"/>
      <c r="K226" s="2095"/>
      <c r="L226" s="2095"/>
      <c r="M226" s="2095"/>
      <c r="N226" s="2095"/>
      <c r="O226" s="2095"/>
      <c r="P226" s="2093"/>
      <c r="Q226" s="2095"/>
      <c r="R226" s="2095"/>
      <c r="S226" s="2095"/>
      <c r="T226" s="2095"/>
      <c r="U226" s="2095"/>
      <c r="V226" s="2095"/>
      <c r="W226" s="2095"/>
      <c r="X226" s="2095"/>
      <c r="Y226" s="2095"/>
      <c r="Z226" s="2095"/>
      <c r="AA226" s="2095"/>
      <c r="AB226" s="2095"/>
      <c r="AC226" s="2095"/>
      <c r="AD226" s="2095"/>
      <c r="AE226" s="2095"/>
      <c r="AF226" s="2095"/>
      <c r="AG226" s="2095"/>
      <c r="AH226" s="2095"/>
      <c r="AI226" s="2095"/>
      <c r="AJ226" s="2095"/>
      <c r="AK226" s="2095"/>
      <c r="AL226" s="2095"/>
      <c r="AM226" s="2095"/>
      <c r="AN226" s="2095"/>
      <c r="AO226" s="2095"/>
      <c r="AP226" s="2095"/>
      <c r="AQ226" s="2095"/>
      <c r="AR226" s="2095"/>
      <c r="AS226" s="2095"/>
      <c r="AT226" s="2095"/>
      <c r="AU226" s="2095"/>
      <c r="AV226" s="2095"/>
      <c r="AW226" s="2095"/>
      <c r="AX226" s="2095"/>
      <c r="AY226" s="2095"/>
      <c r="AZ226" s="2095"/>
      <c r="BA226" s="2093"/>
      <c r="BB226" s="2096"/>
    </row>
    <row r="227" s="2128" customFormat="true" ht="27.75" hidden="false" customHeight="true" outlineLevel="0" collapsed="false">
      <c r="A227" s="2092"/>
      <c r="B227" s="2093"/>
      <c r="C227" s="2094"/>
      <c r="D227" s="2095"/>
      <c r="E227" s="2095"/>
      <c r="F227" s="2095"/>
      <c r="G227" s="2095"/>
      <c r="H227" s="2095"/>
      <c r="I227" s="2095"/>
      <c r="J227" s="2095"/>
      <c r="K227" s="2095"/>
      <c r="L227" s="2095"/>
      <c r="M227" s="2095"/>
      <c r="N227" s="2095"/>
      <c r="O227" s="2095"/>
      <c r="P227" s="2093"/>
      <c r="Q227" s="2095"/>
      <c r="R227" s="2095"/>
      <c r="S227" s="2095"/>
      <c r="T227" s="2095"/>
      <c r="U227" s="2095"/>
      <c r="V227" s="2095"/>
      <c r="W227" s="2095"/>
      <c r="X227" s="2095"/>
      <c r="Y227" s="2095"/>
      <c r="Z227" s="2095"/>
      <c r="AA227" s="2095"/>
      <c r="AB227" s="2095"/>
      <c r="AC227" s="2095"/>
      <c r="AD227" s="2095"/>
      <c r="AE227" s="2095"/>
      <c r="AF227" s="2095"/>
      <c r="AG227" s="2095"/>
      <c r="AH227" s="2095"/>
      <c r="AI227" s="2095"/>
      <c r="AJ227" s="2095"/>
      <c r="AK227" s="2095"/>
      <c r="AL227" s="2095"/>
      <c r="AM227" s="2095"/>
      <c r="AN227" s="2095"/>
      <c r="AO227" s="2095"/>
      <c r="AP227" s="2095"/>
      <c r="AQ227" s="2095"/>
      <c r="AR227" s="2095"/>
      <c r="AS227" s="2095"/>
      <c r="AT227" s="2095"/>
      <c r="AU227" s="2095"/>
      <c r="AV227" s="2095"/>
      <c r="AW227" s="2095"/>
      <c r="AX227" s="2095"/>
      <c r="AY227" s="2095"/>
      <c r="AZ227" s="2095"/>
      <c r="BA227" s="2093"/>
      <c r="BB227" s="2096"/>
    </row>
    <row r="228" s="2128" customFormat="true" ht="27.75" hidden="false" customHeight="true" outlineLevel="0" collapsed="false">
      <c r="A228" s="2092"/>
      <c r="B228" s="2093"/>
      <c r="C228" s="2094"/>
      <c r="D228" s="2095"/>
      <c r="E228" s="2095"/>
      <c r="F228" s="2095"/>
      <c r="G228" s="2095"/>
      <c r="H228" s="2095"/>
      <c r="I228" s="2095"/>
      <c r="J228" s="2095"/>
      <c r="K228" s="2095"/>
      <c r="L228" s="2095"/>
      <c r="M228" s="2095"/>
      <c r="N228" s="2095"/>
      <c r="O228" s="2095"/>
      <c r="P228" s="2093"/>
      <c r="Q228" s="2095"/>
      <c r="R228" s="2095"/>
      <c r="S228" s="2095"/>
      <c r="T228" s="2095"/>
      <c r="U228" s="2095"/>
      <c r="V228" s="2095"/>
      <c r="W228" s="2095"/>
      <c r="X228" s="2095"/>
      <c r="Y228" s="2095"/>
      <c r="Z228" s="2095"/>
      <c r="AA228" s="2095"/>
      <c r="AB228" s="2095"/>
      <c r="AC228" s="2095"/>
      <c r="AD228" s="2095"/>
      <c r="AE228" s="2095"/>
      <c r="AF228" s="2095"/>
      <c r="AG228" s="2095"/>
      <c r="AH228" s="2095"/>
      <c r="AI228" s="2095"/>
      <c r="AJ228" s="2095"/>
      <c r="AK228" s="2095"/>
      <c r="AL228" s="2095"/>
      <c r="AM228" s="2095"/>
      <c r="AN228" s="2095"/>
      <c r="AO228" s="2095"/>
      <c r="AP228" s="2095"/>
      <c r="AQ228" s="2095"/>
      <c r="AR228" s="2095"/>
      <c r="AS228" s="2095"/>
      <c r="AT228" s="2095"/>
      <c r="AU228" s="2095"/>
      <c r="AV228" s="2095"/>
      <c r="AW228" s="2095"/>
      <c r="AX228" s="2095"/>
      <c r="AY228" s="2095"/>
      <c r="AZ228" s="2095"/>
      <c r="BA228" s="2093"/>
      <c r="BB228" s="2096"/>
    </row>
    <row r="229" s="2128" customFormat="true" ht="27.75" hidden="false" customHeight="true" outlineLevel="0" collapsed="false">
      <c r="A229" s="2092"/>
      <c r="B229" s="2093"/>
      <c r="C229" s="2094"/>
      <c r="D229" s="2095"/>
      <c r="E229" s="2095"/>
      <c r="F229" s="2095"/>
      <c r="G229" s="2095"/>
      <c r="H229" s="2095"/>
      <c r="I229" s="2095"/>
      <c r="J229" s="2095"/>
      <c r="K229" s="2095"/>
      <c r="L229" s="2095"/>
      <c r="M229" s="2095"/>
      <c r="N229" s="2095"/>
      <c r="O229" s="2095"/>
      <c r="P229" s="2093"/>
      <c r="Q229" s="2095"/>
      <c r="R229" s="2095"/>
      <c r="S229" s="2095"/>
      <c r="T229" s="2095"/>
      <c r="U229" s="2095"/>
      <c r="V229" s="2095"/>
      <c r="W229" s="2095"/>
      <c r="X229" s="2095"/>
      <c r="Y229" s="2095"/>
      <c r="Z229" s="2095"/>
      <c r="AA229" s="2095"/>
      <c r="AB229" s="2095"/>
      <c r="AC229" s="2095"/>
      <c r="AD229" s="2095"/>
      <c r="AE229" s="2095"/>
      <c r="AF229" s="2095"/>
      <c r="AG229" s="2095"/>
      <c r="AH229" s="2095"/>
      <c r="AI229" s="2095"/>
      <c r="AJ229" s="2095"/>
      <c r="AK229" s="2095"/>
      <c r="AL229" s="2095"/>
      <c r="AM229" s="2095"/>
      <c r="AN229" s="2095"/>
      <c r="AO229" s="2095"/>
      <c r="AP229" s="2095"/>
      <c r="AQ229" s="2095"/>
      <c r="AR229" s="2095"/>
      <c r="AS229" s="2095"/>
      <c r="AT229" s="2095"/>
      <c r="AU229" s="2095"/>
      <c r="AV229" s="2095"/>
      <c r="AW229" s="2095"/>
      <c r="AX229" s="2095"/>
      <c r="AY229" s="2095"/>
      <c r="AZ229" s="2095"/>
      <c r="BA229" s="2093"/>
      <c r="BB229" s="2096"/>
    </row>
    <row r="230" s="2128" customFormat="true" ht="27.75" hidden="false" customHeight="true" outlineLevel="0" collapsed="false">
      <c r="A230" s="2092"/>
      <c r="B230" s="2093"/>
      <c r="C230" s="2094"/>
      <c r="D230" s="2095"/>
      <c r="E230" s="2095"/>
      <c r="F230" s="2095"/>
      <c r="G230" s="2095"/>
      <c r="H230" s="2095"/>
      <c r="I230" s="2095"/>
      <c r="J230" s="2095"/>
      <c r="K230" s="2095"/>
      <c r="L230" s="2095"/>
      <c r="M230" s="2095"/>
      <c r="N230" s="2095"/>
      <c r="O230" s="2095"/>
      <c r="P230" s="2093"/>
      <c r="Q230" s="2095"/>
      <c r="R230" s="2095"/>
      <c r="S230" s="2095"/>
      <c r="T230" s="2095"/>
      <c r="U230" s="2095"/>
      <c r="V230" s="2095"/>
      <c r="W230" s="2095"/>
      <c r="X230" s="2095"/>
      <c r="Y230" s="2095"/>
      <c r="Z230" s="2095"/>
      <c r="AA230" s="2095"/>
      <c r="AB230" s="2095"/>
      <c r="AC230" s="2095"/>
      <c r="AD230" s="2095"/>
      <c r="AE230" s="2095"/>
      <c r="AF230" s="2095"/>
      <c r="AG230" s="2095"/>
      <c r="AH230" s="2095"/>
      <c r="AI230" s="2095"/>
      <c r="AJ230" s="2095"/>
      <c r="AK230" s="2095"/>
      <c r="AL230" s="2095"/>
      <c r="AM230" s="2095"/>
      <c r="AN230" s="2095"/>
      <c r="AO230" s="2095"/>
      <c r="AP230" s="2095"/>
      <c r="AQ230" s="2095"/>
      <c r="AR230" s="2095"/>
      <c r="AS230" s="2095"/>
      <c r="AT230" s="2095"/>
      <c r="AU230" s="2095"/>
      <c r="AV230" s="2095"/>
      <c r="AW230" s="2095"/>
      <c r="AX230" s="2095"/>
      <c r="AY230" s="2095"/>
      <c r="AZ230" s="2095"/>
      <c r="BA230" s="2093"/>
      <c r="BB230" s="2096"/>
    </row>
    <row r="231" s="2128" customFormat="true" ht="27.75" hidden="false" customHeight="true" outlineLevel="0" collapsed="false">
      <c r="A231" s="2092"/>
      <c r="B231" s="2093"/>
      <c r="C231" s="2094"/>
      <c r="D231" s="2095"/>
      <c r="E231" s="2095"/>
      <c r="F231" s="2095"/>
      <c r="G231" s="2095"/>
      <c r="H231" s="2095"/>
      <c r="I231" s="2095"/>
      <c r="J231" s="2095"/>
      <c r="K231" s="2095"/>
      <c r="L231" s="2095"/>
      <c r="M231" s="2095"/>
      <c r="N231" s="2095"/>
      <c r="O231" s="2095"/>
      <c r="P231" s="2093"/>
      <c r="Q231" s="2095"/>
      <c r="R231" s="2095"/>
      <c r="S231" s="2095"/>
      <c r="T231" s="2095"/>
      <c r="U231" s="2095"/>
      <c r="V231" s="2095"/>
      <c r="W231" s="2095"/>
      <c r="X231" s="2095"/>
      <c r="Y231" s="2095"/>
      <c r="Z231" s="2095"/>
      <c r="AA231" s="2095"/>
      <c r="AB231" s="2095"/>
      <c r="AC231" s="2095"/>
      <c r="AD231" s="2095"/>
      <c r="AE231" s="2095"/>
      <c r="AF231" s="2095"/>
      <c r="AG231" s="2095"/>
      <c r="AH231" s="2095"/>
      <c r="AI231" s="2095"/>
      <c r="AJ231" s="2095"/>
      <c r="AK231" s="2095"/>
      <c r="AL231" s="2095"/>
      <c r="AM231" s="2095"/>
      <c r="AN231" s="2095"/>
      <c r="AO231" s="2095"/>
      <c r="AP231" s="2095"/>
      <c r="AQ231" s="2095"/>
      <c r="AR231" s="2095"/>
      <c r="AS231" s="2095"/>
      <c r="AT231" s="2095"/>
      <c r="AU231" s="2095"/>
      <c r="AV231" s="2095"/>
      <c r="AW231" s="2095"/>
      <c r="AX231" s="2095"/>
      <c r="AY231" s="2095"/>
      <c r="AZ231" s="2095"/>
      <c r="BA231" s="2093"/>
      <c r="BB231" s="2096"/>
    </row>
    <row r="232" s="2128" customFormat="true" ht="27.75" hidden="false" customHeight="true" outlineLevel="0" collapsed="false">
      <c r="A232" s="2092"/>
      <c r="B232" s="2093"/>
      <c r="C232" s="2094"/>
      <c r="D232" s="2095"/>
      <c r="E232" s="2095"/>
      <c r="F232" s="2095"/>
      <c r="G232" s="2095"/>
      <c r="H232" s="2095"/>
      <c r="I232" s="2095"/>
      <c r="J232" s="2095"/>
      <c r="K232" s="2095"/>
      <c r="L232" s="2095"/>
      <c r="M232" s="2095"/>
      <c r="N232" s="2095"/>
      <c r="O232" s="2095"/>
      <c r="P232" s="2093"/>
      <c r="Q232" s="2095"/>
      <c r="R232" s="2095"/>
      <c r="S232" s="2095"/>
      <c r="T232" s="2095"/>
      <c r="U232" s="2095"/>
      <c r="V232" s="2095"/>
      <c r="W232" s="2095"/>
      <c r="X232" s="2095"/>
      <c r="Y232" s="2095"/>
      <c r="Z232" s="2095"/>
      <c r="AA232" s="2095"/>
      <c r="AB232" s="2095"/>
      <c r="AC232" s="2095"/>
      <c r="AD232" s="2095"/>
      <c r="AE232" s="2095"/>
      <c r="AF232" s="2095"/>
      <c r="AG232" s="2095"/>
      <c r="AH232" s="2095"/>
      <c r="AI232" s="2095"/>
      <c r="AJ232" s="2095"/>
      <c r="AK232" s="2095"/>
      <c r="AL232" s="2095"/>
      <c r="AM232" s="2095"/>
      <c r="AN232" s="2095"/>
      <c r="AO232" s="2095"/>
      <c r="AP232" s="2095"/>
      <c r="AQ232" s="2095"/>
      <c r="AR232" s="2095"/>
      <c r="AS232" s="2095"/>
      <c r="AT232" s="2095"/>
      <c r="AU232" s="2095"/>
      <c r="AV232" s="2095"/>
      <c r="AW232" s="2095"/>
      <c r="AX232" s="2095"/>
      <c r="AY232" s="2095"/>
      <c r="AZ232" s="2095"/>
      <c r="BA232" s="2093"/>
      <c r="BB232" s="2096"/>
    </row>
    <row r="233" s="2128" customFormat="true" ht="27.75" hidden="false" customHeight="true" outlineLevel="0" collapsed="false">
      <c r="A233" s="2092"/>
      <c r="B233" s="2093"/>
      <c r="C233" s="2094"/>
      <c r="D233" s="2095"/>
      <c r="E233" s="2095"/>
      <c r="F233" s="2095"/>
      <c r="G233" s="2095"/>
      <c r="H233" s="2095"/>
      <c r="I233" s="2095"/>
      <c r="J233" s="2095"/>
      <c r="K233" s="2095"/>
      <c r="L233" s="2095"/>
      <c r="M233" s="2095"/>
      <c r="N233" s="2095"/>
      <c r="O233" s="2095"/>
      <c r="P233" s="2093"/>
      <c r="Q233" s="2095"/>
      <c r="R233" s="2095"/>
      <c r="S233" s="2095"/>
      <c r="T233" s="2095"/>
      <c r="U233" s="2095"/>
      <c r="V233" s="2095"/>
      <c r="W233" s="2095"/>
      <c r="X233" s="2095"/>
      <c r="Y233" s="2095"/>
      <c r="Z233" s="2095"/>
      <c r="AA233" s="2095"/>
      <c r="AB233" s="2095"/>
      <c r="AC233" s="2095"/>
      <c r="AD233" s="2095"/>
      <c r="AE233" s="2095"/>
      <c r="AF233" s="2095"/>
      <c r="AG233" s="2095"/>
      <c r="AH233" s="2095"/>
      <c r="AI233" s="2095"/>
      <c r="AJ233" s="2095"/>
      <c r="AK233" s="2095"/>
      <c r="AL233" s="2095"/>
      <c r="AM233" s="2095"/>
      <c r="AN233" s="2095"/>
      <c r="AO233" s="2095"/>
      <c r="AP233" s="2095"/>
      <c r="AQ233" s="2095"/>
      <c r="AR233" s="2095"/>
      <c r="AS233" s="2095"/>
      <c r="AT233" s="2095"/>
      <c r="AU233" s="2095"/>
      <c r="AV233" s="2095"/>
      <c r="AW233" s="2095"/>
      <c r="AX233" s="2095"/>
      <c r="AY233" s="2095"/>
      <c r="AZ233" s="2095"/>
      <c r="BA233" s="2093"/>
      <c r="BB233" s="2096"/>
    </row>
    <row r="234" s="2128" customFormat="true" ht="27.75" hidden="false" customHeight="true" outlineLevel="0" collapsed="false">
      <c r="A234" s="2092"/>
      <c r="B234" s="2093"/>
      <c r="C234" s="2094"/>
      <c r="D234" s="2095"/>
      <c r="E234" s="2095"/>
      <c r="F234" s="2095"/>
      <c r="G234" s="2095"/>
      <c r="H234" s="2095"/>
      <c r="I234" s="2095"/>
      <c r="J234" s="2095"/>
      <c r="K234" s="2095"/>
      <c r="L234" s="2095"/>
      <c r="M234" s="2095"/>
      <c r="N234" s="2095"/>
      <c r="O234" s="2095"/>
      <c r="P234" s="2093"/>
      <c r="Q234" s="2095"/>
      <c r="R234" s="2095"/>
      <c r="S234" s="2095"/>
      <c r="T234" s="2095"/>
      <c r="U234" s="2095"/>
      <c r="V234" s="2095"/>
      <c r="W234" s="2095"/>
      <c r="X234" s="2095"/>
      <c r="Y234" s="2095"/>
      <c r="Z234" s="2095"/>
      <c r="AA234" s="2095"/>
      <c r="AB234" s="2095"/>
      <c r="AC234" s="2095"/>
      <c r="AD234" s="2095"/>
      <c r="AE234" s="2095"/>
      <c r="AF234" s="2095"/>
      <c r="AG234" s="2095"/>
      <c r="AH234" s="2095"/>
      <c r="AI234" s="2095"/>
      <c r="AJ234" s="2095"/>
      <c r="AK234" s="2095"/>
      <c r="AL234" s="2095"/>
      <c r="AM234" s="2095"/>
      <c r="AN234" s="2095"/>
      <c r="AO234" s="2095"/>
      <c r="AP234" s="2095"/>
      <c r="AQ234" s="2095"/>
      <c r="AR234" s="2095"/>
      <c r="AS234" s="2095"/>
      <c r="AT234" s="2095"/>
      <c r="AU234" s="2095"/>
      <c r="AV234" s="2095"/>
      <c r="AW234" s="2095"/>
      <c r="AX234" s="2095"/>
      <c r="AY234" s="2095"/>
      <c r="AZ234" s="2095"/>
      <c r="BA234" s="2093"/>
      <c r="BB234" s="2096"/>
    </row>
    <row r="235" s="2128" customFormat="true" ht="27.75" hidden="false" customHeight="true" outlineLevel="0" collapsed="false">
      <c r="A235" s="2092"/>
      <c r="B235" s="2093"/>
      <c r="C235" s="2094"/>
      <c r="D235" s="2095"/>
      <c r="E235" s="2095"/>
      <c r="F235" s="2095"/>
      <c r="G235" s="2095"/>
      <c r="H235" s="2095"/>
      <c r="I235" s="2095"/>
      <c r="J235" s="2095"/>
      <c r="K235" s="2095"/>
      <c r="L235" s="2095"/>
      <c r="M235" s="2095"/>
      <c r="N235" s="2095"/>
      <c r="O235" s="2095"/>
      <c r="P235" s="2093"/>
      <c r="Q235" s="2095"/>
      <c r="R235" s="2095"/>
      <c r="S235" s="2095"/>
      <c r="T235" s="2095"/>
      <c r="U235" s="2095"/>
      <c r="V235" s="2095"/>
      <c r="W235" s="2095"/>
      <c r="X235" s="2095"/>
      <c r="Y235" s="2095"/>
      <c r="Z235" s="2095"/>
      <c r="AA235" s="2095"/>
      <c r="AB235" s="2095"/>
      <c r="AC235" s="2095"/>
      <c r="AD235" s="2095"/>
      <c r="AE235" s="2095"/>
      <c r="AF235" s="2095"/>
      <c r="AG235" s="2095"/>
      <c r="AH235" s="2095"/>
      <c r="AI235" s="2095"/>
      <c r="AJ235" s="2095"/>
      <c r="AK235" s="2095"/>
      <c r="AL235" s="2095"/>
      <c r="AM235" s="2095"/>
      <c r="AN235" s="2095"/>
      <c r="AO235" s="2095"/>
      <c r="AP235" s="2095"/>
      <c r="AQ235" s="2095"/>
      <c r="AR235" s="2095"/>
      <c r="AS235" s="2095"/>
      <c r="AT235" s="2095"/>
      <c r="AU235" s="2095"/>
      <c r="AV235" s="2095"/>
      <c r="AW235" s="2095"/>
      <c r="AX235" s="2095"/>
      <c r="AY235" s="2095"/>
      <c r="AZ235" s="2095"/>
      <c r="BA235" s="2093"/>
      <c r="BB235" s="2096"/>
    </row>
    <row r="236" s="2144" customFormat="true" ht="27.75" hidden="false" customHeight="true" outlineLevel="0" collapsed="false">
      <c r="A236" s="2092"/>
      <c r="B236" s="2093"/>
      <c r="C236" s="2094"/>
      <c r="D236" s="2095"/>
      <c r="E236" s="2095"/>
      <c r="F236" s="2095"/>
      <c r="G236" s="2095"/>
      <c r="H236" s="2095"/>
      <c r="I236" s="2095"/>
      <c r="J236" s="2095"/>
      <c r="K236" s="2095"/>
      <c r="L236" s="2095"/>
      <c r="M236" s="2095"/>
      <c r="N236" s="2095"/>
      <c r="O236" s="2095"/>
      <c r="P236" s="2093"/>
      <c r="Q236" s="2095"/>
      <c r="R236" s="2095"/>
      <c r="S236" s="2095"/>
      <c r="T236" s="2095"/>
      <c r="U236" s="2095"/>
      <c r="V236" s="2095"/>
      <c r="W236" s="2095"/>
      <c r="X236" s="2095"/>
      <c r="Y236" s="2095"/>
      <c r="Z236" s="2095"/>
      <c r="AA236" s="2095"/>
      <c r="AB236" s="2095"/>
      <c r="AC236" s="2095"/>
      <c r="AD236" s="2095"/>
      <c r="AE236" s="2095"/>
      <c r="AF236" s="2095"/>
      <c r="AG236" s="2095"/>
      <c r="AH236" s="2095"/>
      <c r="AI236" s="2095"/>
      <c r="AJ236" s="2095"/>
      <c r="AK236" s="2095"/>
      <c r="AL236" s="2095"/>
      <c r="AM236" s="2095"/>
      <c r="AN236" s="2095"/>
      <c r="AO236" s="2095"/>
      <c r="AP236" s="2095"/>
      <c r="AQ236" s="2095"/>
      <c r="AR236" s="2095"/>
      <c r="AS236" s="2095"/>
      <c r="AT236" s="2095"/>
      <c r="AU236" s="2095"/>
      <c r="AV236" s="2095"/>
      <c r="AW236" s="2095"/>
      <c r="AX236" s="2095"/>
      <c r="AY236" s="2095"/>
      <c r="AZ236" s="2095"/>
      <c r="BA236" s="2093"/>
      <c r="BB236" s="2096"/>
    </row>
    <row r="237" s="2128" customFormat="true" ht="18.75" hidden="false" customHeight="false" outlineLevel="0" collapsed="false">
      <c r="A237" s="2092"/>
      <c r="B237" s="2093"/>
      <c r="C237" s="2094"/>
      <c r="D237" s="2095"/>
      <c r="E237" s="2095"/>
      <c r="F237" s="2095"/>
      <c r="G237" s="2095"/>
      <c r="H237" s="2095"/>
      <c r="I237" s="2095"/>
      <c r="J237" s="2095"/>
      <c r="K237" s="2095"/>
      <c r="L237" s="2095"/>
      <c r="M237" s="2095"/>
      <c r="N237" s="2095"/>
      <c r="O237" s="2095"/>
      <c r="P237" s="2093"/>
      <c r="Q237" s="2095"/>
      <c r="R237" s="2095"/>
      <c r="S237" s="2095"/>
      <c r="T237" s="2095"/>
      <c r="U237" s="2095"/>
      <c r="V237" s="2095"/>
      <c r="W237" s="2095"/>
      <c r="X237" s="2095"/>
      <c r="Y237" s="2095"/>
      <c r="Z237" s="2095"/>
      <c r="AA237" s="2095"/>
      <c r="AB237" s="2095"/>
      <c r="AC237" s="2095"/>
      <c r="AD237" s="2095"/>
      <c r="AE237" s="2095"/>
      <c r="AF237" s="2095"/>
      <c r="AG237" s="2095"/>
      <c r="AH237" s="2095"/>
      <c r="AI237" s="2095"/>
      <c r="AJ237" s="2095"/>
      <c r="AK237" s="2095"/>
      <c r="AL237" s="2095"/>
      <c r="AM237" s="2095"/>
      <c r="AN237" s="2095"/>
      <c r="AO237" s="2095"/>
      <c r="AP237" s="2095"/>
      <c r="AQ237" s="2095"/>
      <c r="AR237" s="2095"/>
      <c r="AS237" s="2095"/>
      <c r="AT237" s="2095"/>
      <c r="AU237" s="2095"/>
      <c r="AV237" s="2095"/>
      <c r="AW237" s="2095"/>
      <c r="AX237" s="2095"/>
      <c r="AY237" s="2095"/>
      <c r="AZ237" s="2095"/>
      <c r="BA237" s="2093"/>
      <c r="BB237" s="2096"/>
    </row>
    <row r="238" s="2144" customFormat="true" ht="26.25" hidden="false" customHeight="true" outlineLevel="0" collapsed="false">
      <c r="A238" s="2092"/>
      <c r="B238" s="2093"/>
      <c r="C238" s="2094"/>
      <c r="D238" s="2095"/>
      <c r="E238" s="2095"/>
      <c r="F238" s="2095"/>
      <c r="G238" s="2095"/>
      <c r="H238" s="2095"/>
      <c r="I238" s="2095"/>
      <c r="J238" s="2095"/>
      <c r="K238" s="2095"/>
      <c r="L238" s="2095"/>
      <c r="M238" s="2095"/>
      <c r="N238" s="2095"/>
      <c r="O238" s="2095"/>
      <c r="P238" s="2093"/>
      <c r="Q238" s="2095"/>
      <c r="R238" s="2095"/>
      <c r="S238" s="2095"/>
      <c r="T238" s="2095"/>
      <c r="U238" s="2095"/>
      <c r="V238" s="2095"/>
      <c r="W238" s="2095"/>
      <c r="X238" s="2095"/>
      <c r="Y238" s="2095"/>
      <c r="Z238" s="2095"/>
      <c r="AA238" s="2095"/>
      <c r="AB238" s="2095"/>
      <c r="AC238" s="2095"/>
      <c r="AD238" s="2095"/>
      <c r="AE238" s="2095"/>
      <c r="AF238" s="2095"/>
      <c r="AG238" s="2095"/>
      <c r="AH238" s="2095"/>
      <c r="AI238" s="2095"/>
      <c r="AJ238" s="2095"/>
      <c r="AK238" s="2095"/>
      <c r="AL238" s="2095"/>
      <c r="AM238" s="2095"/>
      <c r="AN238" s="2095"/>
      <c r="AO238" s="2095"/>
      <c r="AP238" s="2095"/>
      <c r="AQ238" s="2095"/>
      <c r="AR238" s="2095"/>
      <c r="AS238" s="2095"/>
      <c r="AT238" s="2095"/>
      <c r="AU238" s="2095"/>
      <c r="AV238" s="2095"/>
      <c r="AW238" s="2095"/>
      <c r="AX238" s="2095"/>
      <c r="AY238" s="2095"/>
      <c r="AZ238" s="2095"/>
      <c r="BA238" s="2093"/>
      <c r="BB238" s="2096"/>
    </row>
    <row r="239" s="2128" customFormat="true" ht="18.75" hidden="false" customHeight="false" outlineLevel="0" collapsed="false">
      <c r="A239" s="2092"/>
      <c r="B239" s="2093"/>
      <c r="C239" s="2094"/>
      <c r="D239" s="2095"/>
      <c r="E239" s="2095"/>
      <c r="F239" s="2095"/>
      <c r="G239" s="2095"/>
      <c r="H239" s="2095"/>
      <c r="I239" s="2095"/>
      <c r="J239" s="2095"/>
      <c r="K239" s="2095"/>
      <c r="L239" s="2095"/>
      <c r="M239" s="2095"/>
      <c r="N239" s="2095"/>
      <c r="O239" s="2095"/>
      <c r="P239" s="2093"/>
      <c r="Q239" s="2095"/>
      <c r="R239" s="2095"/>
      <c r="S239" s="2095"/>
      <c r="T239" s="2095"/>
      <c r="U239" s="2095"/>
      <c r="V239" s="2095"/>
      <c r="W239" s="2095"/>
      <c r="X239" s="2095"/>
      <c r="Y239" s="2095"/>
      <c r="Z239" s="2095"/>
      <c r="AA239" s="2095"/>
      <c r="AB239" s="2095"/>
      <c r="AC239" s="2095"/>
      <c r="AD239" s="2095"/>
      <c r="AE239" s="2095"/>
      <c r="AF239" s="2095"/>
      <c r="AG239" s="2095"/>
      <c r="AH239" s="2095"/>
      <c r="AI239" s="2095"/>
      <c r="AJ239" s="2095"/>
      <c r="AK239" s="2095"/>
      <c r="AL239" s="2095"/>
      <c r="AM239" s="2095"/>
      <c r="AN239" s="2095"/>
      <c r="AO239" s="2095"/>
      <c r="AP239" s="2095"/>
      <c r="AQ239" s="2095"/>
      <c r="AR239" s="2095"/>
      <c r="AS239" s="2095"/>
      <c r="AT239" s="2095"/>
      <c r="AU239" s="2095"/>
      <c r="AV239" s="2095"/>
      <c r="AW239" s="2095"/>
      <c r="AX239" s="2095"/>
      <c r="AY239" s="2095"/>
      <c r="AZ239" s="2095"/>
      <c r="BA239" s="2093"/>
      <c r="BB239" s="2096"/>
    </row>
    <row r="240" s="2128" customFormat="true" ht="27.75" hidden="false" customHeight="true" outlineLevel="0" collapsed="false">
      <c r="A240" s="2092"/>
      <c r="B240" s="2093"/>
      <c r="C240" s="2094"/>
      <c r="D240" s="2095"/>
      <c r="E240" s="2095"/>
      <c r="F240" s="2095"/>
      <c r="G240" s="2095"/>
      <c r="H240" s="2095"/>
      <c r="I240" s="2095"/>
      <c r="J240" s="2095"/>
      <c r="K240" s="2095"/>
      <c r="L240" s="2095"/>
      <c r="M240" s="2095"/>
      <c r="N240" s="2095"/>
      <c r="O240" s="2095"/>
      <c r="P240" s="2093"/>
      <c r="Q240" s="2095"/>
      <c r="R240" s="2095"/>
      <c r="S240" s="2095"/>
      <c r="T240" s="2095"/>
      <c r="U240" s="2095"/>
      <c r="V240" s="2095"/>
      <c r="W240" s="2095"/>
      <c r="X240" s="2095"/>
      <c r="Y240" s="2095"/>
      <c r="Z240" s="2095"/>
      <c r="AA240" s="2095"/>
      <c r="AB240" s="2095"/>
      <c r="AC240" s="2095"/>
      <c r="AD240" s="2095"/>
      <c r="AE240" s="2095"/>
      <c r="AF240" s="2095"/>
      <c r="AG240" s="2095"/>
      <c r="AH240" s="2095"/>
      <c r="AI240" s="2095"/>
      <c r="AJ240" s="2095"/>
      <c r="AK240" s="2095"/>
      <c r="AL240" s="2095"/>
      <c r="AM240" s="2095"/>
      <c r="AN240" s="2095"/>
      <c r="AO240" s="2095"/>
      <c r="AP240" s="2095"/>
      <c r="AQ240" s="2095"/>
      <c r="AR240" s="2095"/>
      <c r="AS240" s="2095"/>
      <c r="AT240" s="2095"/>
      <c r="AU240" s="2095"/>
      <c r="AV240" s="2095"/>
      <c r="AW240" s="2095"/>
      <c r="AX240" s="2095"/>
      <c r="AY240" s="2095"/>
      <c r="AZ240" s="2095"/>
      <c r="BA240" s="2093"/>
      <c r="BB240" s="2096"/>
    </row>
    <row r="241" s="2128" customFormat="true" ht="30" hidden="false" customHeight="true" outlineLevel="0" collapsed="false">
      <c r="A241" s="2092"/>
      <c r="B241" s="2093"/>
      <c r="C241" s="2094"/>
      <c r="D241" s="2095"/>
      <c r="E241" s="2095"/>
      <c r="F241" s="2095"/>
      <c r="G241" s="2095"/>
      <c r="H241" s="2095"/>
      <c r="I241" s="2095"/>
      <c r="J241" s="2095"/>
      <c r="K241" s="2095"/>
      <c r="L241" s="2095"/>
      <c r="M241" s="2095"/>
      <c r="N241" s="2095"/>
      <c r="O241" s="2095"/>
      <c r="P241" s="2093"/>
      <c r="Q241" s="2095"/>
      <c r="R241" s="2095"/>
      <c r="S241" s="2095"/>
      <c r="T241" s="2095"/>
      <c r="U241" s="2095"/>
      <c r="V241" s="2095"/>
      <c r="W241" s="2095"/>
      <c r="X241" s="2095"/>
      <c r="Y241" s="2095"/>
      <c r="Z241" s="2095"/>
      <c r="AA241" s="2095"/>
      <c r="AB241" s="2095"/>
      <c r="AC241" s="2095"/>
      <c r="AD241" s="2095"/>
      <c r="AE241" s="2095"/>
      <c r="AF241" s="2095"/>
      <c r="AG241" s="2095"/>
      <c r="AH241" s="2095"/>
      <c r="AI241" s="2095"/>
      <c r="AJ241" s="2095"/>
      <c r="AK241" s="2095"/>
      <c r="AL241" s="2095"/>
      <c r="AM241" s="2095"/>
      <c r="AN241" s="2095"/>
      <c r="AO241" s="2095"/>
      <c r="AP241" s="2095"/>
      <c r="AQ241" s="2095"/>
      <c r="AR241" s="2095"/>
      <c r="AS241" s="2095"/>
      <c r="AT241" s="2095"/>
      <c r="AU241" s="2095"/>
      <c r="AV241" s="2095"/>
      <c r="AW241" s="2095"/>
      <c r="AX241" s="2095"/>
      <c r="AY241" s="2095"/>
      <c r="AZ241" s="2095"/>
      <c r="BA241" s="2093"/>
      <c r="BB241" s="2096"/>
    </row>
    <row r="242" s="2128" customFormat="true" ht="30" hidden="false" customHeight="true" outlineLevel="0" collapsed="false">
      <c r="A242" s="2092"/>
      <c r="B242" s="2093"/>
      <c r="C242" s="2094"/>
      <c r="D242" s="2095"/>
      <c r="E242" s="2095"/>
      <c r="F242" s="2095"/>
      <c r="G242" s="2095"/>
      <c r="H242" s="2095"/>
      <c r="I242" s="2095"/>
      <c r="J242" s="2095"/>
      <c r="K242" s="2095"/>
      <c r="L242" s="2095"/>
      <c r="M242" s="2095"/>
      <c r="N242" s="2095"/>
      <c r="O242" s="2095"/>
      <c r="P242" s="2093"/>
      <c r="Q242" s="2095"/>
      <c r="R242" s="2095"/>
      <c r="S242" s="2095"/>
      <c r="T242" s="2095"/>
      <c r="U242" s="2095"/>
      <c r="V242" s="2095"/>
      <c r="W242" s="2095"/>
      <c r="X242" s="2095"/>
      <c r="Y242" s="2095"/>
      <c r="Z242" s="2095"/>
      <c r="AA242" s="2095"/>
      <c r="AB242" s="2095"/>
      <c r="AC242" s="2095"/>
      <c r="AD242" s="2095"/>
      <c r="AE242" s="2095"/>
      <c r="AF242" s="2095"/>
      <c r="AG242" s="2095"/>
      <c r="AH242" s="2095"/>
      <c r="AI242" s="2095"/>
      <c r="AJ242" s="2095"/>
      <c r="AK242" s="2095"/>
      <c r="AL242" s="2095"/>
      <c r="AM242" s="2095"/>
      <c r="AN242" s="2095"/>
      <c r="AO242" s="2095"/>
      <c r="AP242" s="2095"/>
      <c r="AQ242" s="2095"/>
      <c r="AR242" s="2095"/>
      <c r="AS242" s="2095"/>
      <c r="AT242" s="2095"/>
      <c r="AU242" s="2095"/>
      <c r="AV242" s="2095"/>
      <c r="AW242" s="2095"/>
      <c r="AX242" s="2095"/>
      <c r="AY242" s="2095"/>
      <c r="AZ242" s="2095"/>
      <c r="BA242" s="2093"/>
      <c r="BB242" s="2096"/>
    </row>
    <row r="243" s="2128" customFormat="true" ht="30" hidden="false" customHeight="true" outlineLevel="0" collapsed="false">
      <c r="A243" s="2092"/>
      <c r="B243" s="2093"/>
      <c r="C243" s="2094"/>
      <c r="D243" s="2095"/>
      <c r="E243" s="2095"/>
      <c r="F243" s="2095"/>
      <c r="G243" s="2095"/>
      <c r="H243" s="2095"/>
      <c r="I243" s="2095"/>
      <c r="J243" s="2095"/>
      <c r="K243" s="2095"/>
      <c r="L243" s="2095"/>
      <c r="M243" s="2095"/>
      <c r="N243" s="2095"/>
      <c r="O243" s="2095"/>
      <c r="P243" s="2093"/>
      <c r="Q243" s="2095"/>
      <c r="R243" s="2095"/>
      <c r="S243" s="2095"/>
      <c r="T243" s="2095"/>
      <c r="U243" s="2095"/>
      <c r="V243" s="2095"/>
      <c r="W243" s="2095"/>
      <c r="X243" s="2095"/>
      <c r="Y243" s="2095"/>
      <c r="Z243" s="2095"/>
      <c r="AA243" s="2095"/>
      <c r="AB243" s="2095"/>
      <c r="AC243" s="2095"/>
      <c r="AD243" s="2095"/>
      <c r="AE243" s="2095"/>
      <c r="AF243" s="2095"/>
      <c r="AG243" s="2095"/>
      <c r="AH243" s="2095"/>
      <c r="AI243" s="2095"/>
      <c r="AJ243" s="2095"/>
      <c r="AK243" s="2095"/>
      <c r="AL243" s="2095"/>
      <c r="AM243" s="2095"/>
      <c r="AN243" s="2095"/>
      <c r="AO243" s="2095"/>
      <c r="AP243" s="2095"/>
      <c r="AQ243" s="2095"/>
      <c r="AR243" s="2095"/>
      <c r="AS243" s="2095"/>
      <c r="AT243" s="2095"/>
      <c r="AU243" s="2095"/>
      <c r="AV243" s="2095"/>
      <c r="AW243" s="2095"/>
      <c r="AX243" s="2095"/>
      <c r="AY243" s="2095"/>
      <c r="AZ243" s="2095"/>
      <c r="BA243" s="2093"/>
      <c r="BB243" s="2096"/>
    </row>
    <row r="244" s="2128" customFormat="true" ht="30" hidden="false" customHeight="true" outlineLevel="0" collapsed="false">
      <c r="A244" s="2092"/>
      <c r="B244" s="2093"/>
      <c r="C244" s="2094"/>
      <c r="D244" s="2095"/>
      <c r="E244" s="2095"/>
      <c r="F244" s="2095"/>
      <c r="G244" s="2095"/>
      <c r="H244" s="2095"/>
      <c r="I244" s="2095"/>
      <c r="J244" s="2095"/>
      <c r="K244" s="2095"/>
      <c r="L244" s="2095"/>
      <c r="M244" s="2095"/>
      <c r="N244" s="2095"/>
      <c r="O244" s="2095"/>
      <c r="P244" s="2093"/>
      <c r="Q244" s="2095"/>
      <c r="R244" s="2095"/>
      <c r="S244" s="2095"/>
      <c r="T244" s="2095"/>
      <c r="U244" s="2095"/>
      <c r="V244" s="2095"/>
      <c r="W244" s="2095"/>
      <c r="X244" s="2095"/>
      <c r="Y244" s="2095"/>
      <c r="Z244" s="2095"/>
      <c r="AA244" s="2095"/>
      <c r="AB244" s="2095"/>
      <c r="AC244" s="2095"/>
      <c r="AD244" s="2095"/>
      <c r="AE244" s="2095"/>
      <c r="AF244" s="2095"/>
      <c r="AG244" s="2095"/>
      <c r="AH244" s="2095"/>
      <c r="AI244" s="2095"/>
      <c r="AJ244" s="2095"/>
      <c r="AK244" s="2095"/>
      <c r="AL244" s="2095"/>
      <c r="AM244" s="2095"/>
      <c r="AN244" s="2095"/>
      <c r="AO244" s="2095"/>
      <c r="AP244" s="2095"/>
      <c r="AQ244" s="2095"/>
      <c r="AR244" s="2095"/>
      <c r="AS244" s="2095"/>
      <c r="AT244" s="2095"/>
      <c r="AU244" s="2095"/>
      <c r="AV244" s="2095"/>
      <c r="AW244" s="2095"/>
      <c r="AX244" s="2095"/>
      <c r="AY244" s="2095"/>
      <c r="AZ244" s="2095"/>
      <c r="BA244" s="2093"/>
      <c r="BB244" s="2096"/>
    </row>
    <row r="245" s="2128" customFormat="true" ht="30" hidden="false" customHeight="true" outlineLevel="0" collapsed="false">
      <c r="A245" s="2092"/>
      <c r="B245" s="2093"/>
      <c r="C245" s="2094"/>
      <c r="D245" s="2095"/>
      <c r="E245" s="2095"/>
      <c r="F245" s="2095"/>
      <c r="G245" s="2095"/>
      <c r="H245" s="2095"/>
      <c r="I245" s="2095"/>
      <c r="J245" s="2095"/>
      <c r="K245" s="2095"/>
      <c r="L245" s="2095"/>
      <c r="M245" s="2095"/>
      <c r="N245" s="2095"/>
      <c r="O245" s="2095"/>
      <c r="P245" s="2093"/>
      <c r="Q245" s="2095"/>
      <c r="R245" s="2095"/>
      <c r="S245" s="2095"/>
      <c r="T245" s="2095"/>
      <c r="U245" s="2095"/>
      <c r="V245" s="2095"/>
      <c r="W245" s="2095"/>
      <c r="X245" s="2095"/>
      <c r="Y245" s="2095"/>
      <c r="Z245" s="2095"/>
      <c r="AA245" s="2095"/>
      <c r="AB245" s="2095"/>
      <c r="AC245" s="2095"/>
      <c r="AD245" s="2095"/>
      <c r="AE245" s="2095"/>
      <c r="AF245" s="2095"/>
      <c r="AG245" s="2095"/>
      <c r="AH245" s="2095"/>
      <c r="AI245" s="2095"/>
      <c r="AJ245" s="2095"/>
      <c r="AK245" s="2095"/>
      <c r="AL245" s="2095"/>
      <c r="AM245" s="2095"/>
      <c r="AN245" s="2095"/>
      <c r="AO245" s="2095"/>
      <c r="AP245" s="2095"/>
      <c r="AQ245" s="2095"/>
      <c r="AR245" s="2095"/>
      <c r="AS245" s="2095"/>
      <c r="AT245" s="2095"/>
      <c r="AU245" s="2095"/>
      <c r="AV245" s="2095"/>
      <c r="AW245" s="2095"/>
      <c r="AX245" s="2095"/>
      <c r="AY245" s="2095"/>
      <c r="AZ245" s="2095"/>
      <c r="BA245" s="2093"/>
      <c r="BB245" s="2096"/>
    </row>
    <row r="246" s="2128" customFormat="true" ht="30" hidden="false" customHeight="true" outlineLevel="0" collapsed="false">
      <c r="A246" s="2092"/>
      <c r="B246" s="2093"/>
      <c r="C246" s="2094"/>
      <c r="D246" s="2095"/>
      <c r="E246" s="2095"/>
      <c r="F246" s="2095"/>
      <c r="G246" s="2095"/>
      <c r="H246" s="2095"/>
      <c r="I246" s="2095"/>
      <c r="J246" s="2095"/>
      <c r="K246" s="2095"/>
      <c r="L246" s="2095"/>
      <c r="M246" s="2095"/>
      <c r="N246" s="2095"/>
      <c r="O246" s="2095"/>
      <c r="P246" s="2093"/>
      <c r="Q246" s="2095"/>
      <c r="R246" s="2095"/>
      <c r="S246" s="2095"/>
      <c r="T246" s="2095"/>
      <c r="U246" s="2095"/>
      <c r="V246" s="2095"/>
      <c r="W246" s="2095"/>
      <c r="X246" s="2095"/>
      <c r="Y246" s="2095"/>
      <c r="Z246" s="2095"/>
      <c r="AA246" s="2095"/>
      <c r="AB246" s="2095"/>
      <c r="AC246" s="2095"/>
      <c r="AD246" s="2095"/>
      <c r="AE246" s="2095"/>
      <c r="AF246" s="2095"/>
      <c r="AG246" s="2095"/>
      <c r="AH246" s="2095"/>
      <c r="AI246" s="2095"/>
      <c r="AJ246" s="2095"/>
      <c r="AK246" s="2095"/>
      <c r="AL246" s="2095"/>
      <c r="AM246" s="2095"/>
      <c r="AN246" s="2095"/>
      <c r="AO246" s="2095"/>
      <c r="AP246" s="2095"/>
      <c r="AQ246" s="2095"/>
      <c r="AR246" s="2095"/>
      <c r="AS246" s="2095"/>
      <c r="AT246" s="2095"/>
      <c r="AU246" s="2095"/>
      <c r="AV246" s="2095"/>
      <c r="AW246" s="2095"/>
      <c r="AX246" s="2095"/>
      <c r="AY246" s="2095"/>
      <c r="AZ246" s="2095"/>
      <c r="BA246" s="2093"/>
      <c r="BB246" s="2096"/>
    </row>
    <row r="247" s="2128" customFormat="true" ht="30" hidden="false" customHeight="true" outlineLevel="0" collapsed="false">
      <c r="A247" s="2092"/>
      <c r="B247" s="2093"/>
      <c r="C247" s="2094"/>
      <c r="D247" s="2095"/>
      <c r="E247" s="2095"/>
      <c r="F247" s="2095"/>
      <c r="G247" s="2095"/>
      <c r="H247" s="2095"/>
      <c r="I247" s="2095"/>
      <c r="J247" s="2095"/>
      <c r="K247" s="2095"/>
      <c r="L247" s="2095"/>
      <c r="M247" s="2095"/>
      <c r="N247" s="2095"/>
      <c r="O247" s="2095"/>
      <c r="P247" s="2093"/>
      <c r="Q247" s="2095"/>
      <c r="R247" s="2095"/>
      <c r="S247" s="2095"/>
      <c r="T247" s="2095"/>
      <c r="U247" s="2095"/>
      <c r="V247" s="2095"/>
      <c r="W247" s="2095"/>
      <c r="X247" s="2095"/>
      <c r="Y247" s="2095"/>
      <c r="Z247" s="2095"/>
      <c r="AA247" s="2095"/>
      <c r="AB247" s="2095"/>
      <c r="AC247" s="2095"/>
      <c r="AD247" s="2095"/>
      <c r="AE247" s="2095"/>
      <c r="AF247" s="2095"/>
      <c r="AG247" s="2095"/>
      <c r="AH247" s="2095"/>
      <c r="AI247" s="2095"/>
      <c r="AJ247" s="2095"/>
      <c r="AK247" s="2095"/>
      <c r="AL247" s="2095"/>
      <c r="AM247" s="2095"/>
      <c r="AN247" s="2095"/>
      <c r="AO247" s="2095"/>
      <c r="AP247" s="2095"/>
      <c r="AQ247" s="2095"/>
      <c r="AR247" s="2095"/>
      <c r="AS247" s="2095"/>
      <c r="AT247" s="2095"/>
      <c r="AU247" s="2095"/>
      <c r="AV247" s="2095"/>
      <c r="AW247" s="2095"/>
      <c r="AX247" s="2095"/>
      <c r="AY247" s="2095"/>
      <c r="AZ247" s="2095"/>
      <c r="BA247" s="2093"/>
      <c r="BB247" s="2096"/>
    </row>
    <row r="248" s="2128" customFormat="true" ht="30" hidden="false" customHeight="true" outlineLevel="0" collapsed="false">
      <c r="A248" s="2092"/>
      <c r="B248" s="2093"/>
      <c r="C248" s="2094"/>
      <c r="D248" s="2095"/>
      <c r="E248" s="2095"/>
      <c r="F248" s="2095"/>
      <c r="G248" s="2095"/>
      <c r="H248" s="2095"/>
      <c r="I248" s="2095"/>
      <c r="J248" s="2095"/>
      <c r="K248" s="2095"/>
      <c r="L248" s="2095"/>
      <c r="M248" s="2095"/>
      <c r="N248" s="2095"/>
      <c r="O248" s="2095"/>
      <c r="P248" s="2093"/>
      <c r="Q248" s="2095"/>
      <c r="R248" s="2095"/>
      <c r="S248" s="2095"/>
      <c r="T248" s="2095"/>
      <c r="U248" s="2095"/>
      <c r="V248" s="2095"/>
      <c r="W248" s="2095"/>
      <c r="X248" s="2095"/>
      <c r="Y248" s="2095"/>
      <c r="Z248" s="2095"/>
      <c r="AA248" s="2095"/>
      <c r="AB248" s="2095"/>
      <c r="AC248" s="2095"/>
      <c r="AD248" s="2095"/>
      <c r="AE248" s="2095"/>
      <c r="AF248" s="2095"/>
      <c r="AG248" s="2095"/>
      <c r="AH248" s="2095"/>
      <c r="AI248" s="2095"/>
      <c r="AJ248" s="2095"/>
      <c r="AK248" s="2095"/>
      <c r="AL248" s="2095"/>
      <c r="AM248" s="2095"/>
      <c r="AN248" s="2095"/>
      <c r="AO248" s="2095"/>
      <c r="AP248" s="2095"/>
      <c r="AQ248" s="2095"/>
      <c r="AR248" s="2095"/>
      <c r="AS248" s="2095"/>
      <c r="AT248" s="2095"/>
      <c r="AU248" s="2095"/>
      <c r="AV248" s="2095"/>
      <c r="AW248" s="2095"/>
      <c r="AX248" s="2095"/>
      <c r="AY248" s="2095"/>
      <c r="AZ248" s="2095"/>
      <c r="BA248" s="2093"/>
      <c r="BB248" s="2096"/>
    </row>
    <row r="249" s="2128" customFormat="true" ht="30" hidden="false" customHeight="true" outlineLevel="0" collapsed="false">
      <c r="A249" s="2092"/>
      <c r="B249" s="2093"/>
      <c r="C249" s="2094"/>
      <c r="D249" s="2095"/>
      <c r="E249" s="2095"/>
      <c r="F249" s="2095"/>
      <c r="G249" s="2095"/>
      <c r="H249" s="2095"/>
      <c r="I249" s="2095"/>
      <c r="J249" s="2095"/>
      <c r="K249" s="2095"/>
      <c r="L249" s="2095"/>
      <c r="M249" s="2095"/>
      <c r="N249" s="2095"/>
      <c r="O249" s="2095"/>
      <c r="P249" s="2093"/>
      <c r="Q249" s="2095"/>
      <c r="R249" s="2095"/>
      <c r="S249" s="2095"/>
      <c r="T249" s="2095"/>
      <c r="U249" s="2095"/>
      <c r="V249" s="2095"/>
      <c r="W249" s="2095"/>
      <c r="X249" s="2095"/>
      <c r="Y249" s="2095"/>
      <c r="Z249" s="2095"/>
      <c r="AA249" s="2095"/>
      <c r="AB249" s="2095"/>
      <c r="AC249" s="2095"/>
      <c r="AD249" s="2095"/>
      <c r="AE249" s="2095"/>
      <c r="AF249" s="2095"/>
      <c r="AG249" s="2095"/>
      <c r="AH249" s="2095"/>
      <c r="AI249" s="2095"/>
      <c r="AJ249" s="2095"/>
      <c r="AK249" s="2095"/>
      <c r="AL249" s="2095"/>
      <c r="AM249" s="2095"/>
      <c r="AN249" s="2095"/>
      <c r="AO249" s="2095"/>
      <c r="AP249" s="2095"/>
      <c r="AQ249" s="2095"/>
      <c r="AR249" s="2095"/>
      <c r="AS249" s="2095"/>
      <c r="AT249" s="2095"/>
      <c r="AU249" s="2095"/>
      <c r="AV249" s="2095"/>
      <c r="AW249" s="2095"/>
      <c r="AX249" s="2095"/>
      <c r="AY249" s="2095"/>
      <c r="AZ249" s="2095"/>
      <c r="BA249" s="2093"/>
      <c r="BB249" s="2096"/>
    </row>
    <row r="250" s="2128" customFormat="true" ht="30" hidden="false" customHeight="true" outlineLevel="0" collapsed="false">
      <c r="A250" s="2092"/>
      <c r="B250" s="2093"/>
      <c r="C250" s="2094"/>
      <c r="D250" s="2095"/>
      <c r="E250" s="2095"/>
      <c r="F250" s="2095"/>
      <c r="G250" s="2095"/>
      <c r="H250" s="2095"/>
      <c r="I250" s="2095"/>
      <c r="J250" s="2095"/>
      <c r="K250" s="2095"/>
      <c r="L250" s="2095"/>
      <c r="M250" s="2095"/>
      <c r="N250" s="2095"/>
      <c r="O250" s="2095"/>
      <c r="P250" s="2093"/>
      <c r="Q250" s="2095"/>
      <c r="R250" s="2095"/>
      <c r="S250" s="2095"/>
      <c r="T250" s="2095"/>
      <c r="U250" s="2095"/>
      <c r="V250" s="2095"/>
      <c r="W250" s="2095"/>
      <c r="X250" s="2095"/>
      <c r="Y250" s="2095"/>
      <c r="Z250" s="2095"/>
      <c r="AA250" s="2095"/>
      <c r="AB250" s="2095"/>
      <c r="AC250" s="2095"/>
      <c r="AD250" s="2095"/>
      <c r="AE250" s="2095"/>
      <c r="AF250" s="2095"/>
      <c r="AG250" s="2095"/>
      <c r="AH250" s="2095"/>
      <c r="AI250" s="2095"/>
      <c r="AJ250" s="2095"/>
      <c r="AK250" s="2095"/>
      <c r="AL250" s="2095"/>
      <c r="AM250" s="2095"/>
      <c r="AN250" s="2095"/>
      <c r="AO250" s="2095"/>
      <c r="AP250" s="2095"/>
      <c r="AQ250" s="2095"/>
      <c r="AR250" s="2095"/>
      <c r="AS250" s="2095"/>
      <c r="AT250" s="2095"/>
      <c r="AU250" s="2095"/>
      <c r="AV250" s="2095"/>
      <c r="AW250" s="2095"/>
      <c r="AX250" s="2095"/>
      <c r="AY250" s="2095"/>
      <c r="AZ250" s="2095"/>
      <c r="BA250" s="2093"/>
      <c r="BB250" s="2096"/>
    </row>
    <row r="251" s="2128" customFormat="true" ht="30" hidden="false" customHeight="true" outlineLevel="0" collapsed="false">
      <c r="A251" s="2092"/>
      <c r="B251" s="2093"/>
      <c r="C251" s="2094"/>
      <c r="D251" s="2095"/>
      <c r="E251" s="2095"/>
      <c r="F251" s="2095"/>
      <c r="G251" s="2095"/>
      <c r="H251" s="2095"/>
      <c r="I251" s="2095"/>
      <c r="J251" s="2095"/>
      <c r="K251" s="2095"/>
      <c r="L251" s="2095"/>
      <c r="M251" s="2095"/>
      <c r="N251" s="2095"/>
      <c r="O251" s="2095"/>
      <c r="P251" s="2093"/>
      <c r="Q251" s="2095"/>
      <c r="R251" s="2095"/>
      <c r="S251" s="2095"/>
      <c r="T251" s="2095"/>
      <c r="U251" s="2095"/>
      <c r="V251" s="2095"/>
      <c r="W251" s="2095"/>
      <c r="X251" s="2095"/>
      <c r="Y251" s="2095"/>
      <c r="Z251" s="2095"/>
      <c r="AA251" s="2095"/>
      <c r="AB251" s="2095"/>
      <c r="AC251" s="2095"/>
      <c r="AD251" s="2095"/>
      <c r="AE251" s="2095"/>
      <c r="AF251" s="2095"/>
      <c r="AG251" s="2095"/>
      <c r="AH251" s="2095"/>
      <c r="AI251" s="2095"/>
      <c r="AJ251" s="2095"/>
      <c r="AK251" s="2095"/>
      <c r="AL251" s="2095"/>
      <c r="AM251" s="2095"/>
      <c r="AN251" s="2095"/>
      <c r="AO251" s="2095"/>
      <c r="AP251" s="2095"/>
      <c r="AQ251" s="2095"/>
      <c r="AR251" s="2095"/>
      <c r="AS251" s="2095"/>
      <c r="AT251" s="2095"/>
      <c r="AU251" s="2095"/>
      <c r="AV251" s="2095"/>
      <c r="AW251" s="2095"/>
      <c r="AX251" s="2095"/>
      <c r="AY251" s="2095"/>
      <c r="AZ251" s="2095"/>
      <c r="BA251" s="2093"/>
      <c r="BB251" s="2096"/>
    </row>
    <row r="252" s="2144" customFormat="true" ht="30" hidden="false" customHeight="true" outlineLevel="0" collapsed="false">
      <c r="A252" s="2092"/>
      <c r="B252" s="2093"/>
      <c r="C252" s="2094"/>
      <c r="D252" s="2095"/>
      <c r="E252" s="2095"/>
      <c r="F252" s="2095"/>
      <c r="G252" s="2095"/>
      <c r="H252" s="2095"/>
      <c r="I252" s="2095"/>
      <c r="J252" s="2095"/>
      <c r="K252" s="2095"/>
      <c r="L252" s="2095"/>
      <c r="M252" s="2095"/>
      <c r="N252" s="2095"/>
      <c r="O252" s="2095"/>
      <c r="P252" s="2093"/>
      <c r="Q252" s="2095"/>
      <c r="R252" s="2095"/>
      <c r="S252" s="2095"/>
      <c r="T252" s="2095"/>
      <c r="U252" s="2095"/>
      <c r="V252" s="2095"/>
      <c r="W252" s="2095"/>
      <c r="X252" s="2095"/>
      <c r="Y252" s="2095"/>
      <c r="Z252" s="2095"/>
      <c r="AA252" s="2095"/>
      <c r="AB252" s="2095"/>
      <c r="AC252" s="2095"/>
      <c r="AD252" s="2095"/>
      <c r="AE252" s="2095"/>
      <c r="AF252" s="2095"/>
      <c r="AG252" s="2095"/>
      <c r="AH252" s="2095"/>
      <c r="AI252" s="2095"/>
      <c r="AJ252" s="2095"/>
      <c r="AK252" s="2095"/>
      <c r="AL252" s="2095"/>
      <c r="AM252" s="2095"/>
      <c r="AN252" s="2095"/>
      <c r="AO252" s="2095"/>
      <c r="AP252" s="2095"/>
      <c r="AQ252" s="2095"/>
      <c r="AR252" s="2095"/>
      <c r="AS252" s="2095"/>
      <c r="AT252" s="2095"/>
      <c r="AU252" s="2095"/>
      <c r="AV252" s="2095"/>
      <c r="AW252" s="2095"/>
      <c r="AX252" s="2095"/>
      <c r="AY252" s="2095"/>
      <c r="AZ252" s="2095"/>
      <c r="BA252" s="2093"/>
      <c r="BB252" s="2096"/>
    </row>
    <row r="253" s="2128" customFormat="true" ht="30" hidden="false" customHeight="true" outlineLevel="0" collapsed="false">
      <c r="A253" s="2092"/>
      <c r="B253" s="2093"/>
      <c r="C253" s="2094"/>
      <c r="D253" s="2095"/>
      <c r="E253" s="2095"/>
      <c r="F253" s="2095"/>
      <c r="G253" s="2095"/>
      <c r="H253" s="2095"/>
      <c r="I253" s="2095"/>
      <c r="J253" s="2095"/>
      <c r="K253" s="2095"/>
      <c r="L253" s="2095"/>
      <c r="M253" s="2095"/>
      <c r="N253" s="2095"/>
      <c r="O253" s="2095"/>
      <c r="P253" s="2093"/>
      <c r="Q253" s="2095"/>
      <c r="R253" s="2095"/>
      <c r="S253" s="2095"/>
      <c r="T253" s="2095"/>
      <c r="U253" s="2095"/>
      <c r="V253" s="2095"/>
      <c r="W253" s="2095"/>
      <c r="X253" s="2095"/>
      <c r="Y253" s="2095"/>
      <c r="Z253" s="2095"/>
      <c r="AA253" s="2095"/>
      <c r="AB253" s="2095"/>
      <c r="AC253" s="2095"/>
      <c r="AD253" s="2095"/>
      <c r="AE253" s="2095"/>
      <c r="AF253" s="2095"/>
      <c r="AG253" s="2095"/>
      <c r="AH253" s="2095"/>
      <c r="AI253" s="2095"/>
      <c r="AJ253" s="2095"/>
      <c r="AK253" s="2095"/>
      <c r="AL253" s="2095"/>
      <c r="AM253" s="2095"/>
      <c r="AN253" s="2095"/>
      <c r="AO253" s="2095"/>
      <c r="AP253" s="2095"/>
      <c r="AQ253" s="2095"/>
      <c r="AR253" s="2095"/>
      <c r="AS253" s="2095"/>
      <c r="AT253" s="2095"/>
      <c r="AU253" s="2095"/>
      <c r="AV253" s="2095"/>
      <c r="AW253" s="2095"/>
      <c r="AX253" s="2095"/>
      <c r="AY253" s="2095"/>
      <c r="AZ253" s="2095"/>
      <c r="BA253" s="2093"/>
      <c r="BB253" s="2096"/>
    </row>
    <row r="254" s="2128" customFormat="true" ht="30" hidden="false" customHeight="true" outlineLevel="0" collapsed="false">
      <c r="A254" s="2092"/>
      <c r="B254" s="2093"/>
      <c r="C254" s="2094"/>
      <c r="D254" s="2095"/>
      <c r="E254" s="2095"/>
      <c r="F254" s="2095"/>
      <c r="G254" s="2095"/>
      <c r="H254" s="2095"/>
      <c r="I254" s="2095"/>
      <c r="J254" s="2095"/>
      <c r="K254" s="2095"/>
      <c r="L254" s="2095"/>
      <c r="M254" s="2095"/>
      <c r="N254" s="2095"/>
      <c r="O254" s="2095"/>
      <c r="P254" s="2093"/>
      <c r="Q254" s="2095"/>
      <c r="R254" s="2095"/>
      <c r="S254" s="2095"/>
      <c r="T254" s="2095"/>
      <c r="U254" s="2095"/>
      <c r="V254" s="2095"/>
      <c r="W254" s="2095"/>
      <c r="X254" s="2095"/>
      <c r="Y254" s="2095"/>
      <c r="Z254" s="2095"/>
      <c r="AA254" s="2095"/>
      <c r="AB254" s="2095"/>
      <c r="AC254" s="2095"/>
      <c r="AD254" s="2095"/>
      <c r="AE254" s="2095"/>
      <c r="AF254" s="2095"/>
      <c r="AG254" s="2095"/>
      <c r="AH254" s="2095"/>
      <c r="AI254" s="2095"/>
      <c r="AJ254" s="2095"/>
      <c r="AK254" s="2095"/>
      <c r="AL254" s="2095"/>
      <c r="AM254" s="2095"/>
      <c r="AN254" s="2095"/>
      <c r="AO254" s="2095"/>
      <c r="AP254" s="2095"/>
      <c r="AQ254" s="2095"/>
      <c r="AR254" s="2095"/>
      <c r="AS254" s="2095"/>
      <c r="AT254" s="2095"/>
      <c r="AU254" s="2095"/>
      <c r="AV254" s="2095"/>
      <c r="AW254" s="2095"/>
      <c r="AX254" s="2095"/>
      <c r="AY254" s="2095"/>
      <c r="AZ254" s="2095"/>
      <c r="BA254" s="2093"/>
      <c r="BB254" s="2096"/>
    </row>
    <row r="255" s="2128" customFormat="true" ht="30" hidden="false" customHeight="true" outlineLevel="0" collapsed="false">
      <c r="A255" s="2092"/>
      <c r="B255" s="2093"/>
      <c r="C255" s="2094"/>
      <c r="D255" s="2095"/>
      <c r="E255" s="2095"/>
      <c r="F255" s="2095"/>
      <c r="G255" s="2095"/>
      <c r="H255" s="2095"/>
      <c r="I255" s="2095"/>
      <c r="J255" s="2095"/>
      <c r="K255" s="2095"/>
      <c r="L255" s="2095"/>
      <c r="M255" s="2095"/>
      <c r="N255" s="2095"/>
      <c r="O255" s="2095"/>
      <c r="P255" s="2093"/>
      <c r="Q255" s="2095"/>
      <c r="R255" s="2095"/>
      <c r="S255" s="2095"/>
      <c r="T255" s="2095"/>
      <c r="U255" s="2095"/>
      <c r="V255" s="2095"/>
      <c r="W255" s="2095"/>
      <c r="X255" s="2095"/>
      <c r="Y255" s="2095"/>
      <c r="Z255" s="2095"/>
      <c r="AA255" s="2095"/>
      <c r="AB255" s="2095"/>
      <c r="AC255" s="2095"/>
      <c r="AD255" s="2095"/>
      <c r="AE255" s="2095"/>
      <c r="AF255" s="2095"/>
      <c r="AG255" s="2095"/>
      <c r="AH255" s="2095"/>
      <c r="AI255" s="2095"/>
      <c r="AJ255" s="2095"/>
      <c r="AK255" s="2095"/>
      <c r="AL255" s="2095"/>
      <c r="AM255" s="2095"/>
      <c r="AN255" s="2095"/>
      <c r="AO255" s="2095"/>
      <c r="AP255" s="2095"/>
      <c r="AQ255" s="2095"/>
      <c r="AR255" s="2095"/>
      <c r="AS255" s="2095"/>
      <c r="AT255" s="2095"/>
      <c r="AU255" s="2095"/>
      <c r="AV255" s="2095"/>
      <c r="AW255" s="2095"/>
      <c r="AX255" s="2095"/>
      <c r="AY255" s="2095"/>
      <c r="AZ255" s="2095"/>
      <c r="BA255" s="2093"/>
      <c r="BB255" s="2096"/>
    </row>
    <row r="256" s="2128" customFormat="true" ht="30" hidden="false" customHeight="true" outlineLevel="0" collapsed="false">
      <c r="A256" s="2092"/>
      <c r="B256" s="2093"/>
      <c r="C256" s="2094"/>
      <c r="D256" s="2095"/>
      <c r="E256" s="2095"/>
      <c r="F256" s="2095"/>
      <c r="G256" s="2095"/>
      <c r="H256" s="2095"/>
      <c r="I256" s="2095"/>
      <c r="J256" s="2095"/>
      <c r="K256" s="2095"/>
      <c r="L256" s="2095"/>
      <c r="M256" s="2095"/>
      <c r="N256" s="2095"/>
      <c r="O256" s="2095"/>
      <c r="P256" s="2093"/>
      <c r="Q256" s="2095"/>
      <c r="R256" s="2095"/>
      <c r="S256" s="2095"/>
      <c r="T256" s="2095"/>
      <c r="U256" s="2095"/>
      <c r="V256" s="2095"/>
      <c r="W256" s="2095"/>
      <c r="X256" s="2095"/>
      <c r="Y256" s="2095"/>
      <c r="Z256" s="2095"/>
      <c r="AA256" s="2095"/>
      <c r="AB256" s="2095"/>
      <c r="AC256" s="2095"/>
      <c r="AD256" s="2095"/>
      <c r="AE256" s="2095"/>
      <c r="AF256" s="2095"/>
      <c r="AG256" s="2095"/>
      <c r="AH256" s="2095"/>
      <c r="AI256" s="2095"/>
      <c r="AJ256" s="2095"/>
      <c r="AK256" s="2095"/>
      <c r="AL256" s="2095"/>
      <c r="AM256" s="2095"/>
      <c r="AN256" s="2095"/>
      <c r="AO256" s="2095"/>
      <c r="AP256" s="2095"/>
      <c r="AQ256" s="2095"/>
      <c r="AR256" s="2095"/>
      <c r="AS256" s="2095"/>
      <c r="AT256" s="2095"/>
      <c r="AU256" s="2095"/>
      <c r="AV256" s="2095"/>
      <c r="AW256" s="2095"/>
      <c r="AX256" s="2095"/>
      <c r="AY256" s="2095"/>
      <c r="AZ256" s="2095"/>
      <c r="BA256" s="2093"/>
      <c r="BB256" s="2096"/>
    </row>
    <row r="257" s="2128" customFormat="true" ht="30" hidden="false" customHeight="true" outlineLevel="0" collapsed="false">
      <c r="A257" s="2092"/>
      <c r="B257" s="2093"/>
      <c r="C257" s="2094"/>
      <c r="D257" s="2095"/>
      <c r="E257" s="2095"/>
      <c r="F257" s="2095"/>
      <c r="G257" s="2095"/>
      <c r="H257" s="2095"/>
      <c r="I257" s="2095"/>
      <c r="J257" s="2095"/>
      <c r="K257" s="2095"/>
      <c r="L257" s="2095"/>
      <c r="M257" s="2095"/>
      <c r="N257" s="2095"/>
      <c r="O257" s="2095"/>
      <c r="P257" s="2093"/>
      <c r="Q257" s="2095"/>
      <c r="R257" s="2095"/>
      <c r="S257" s="2095"/>
      <c r="T257" s="2095"/>
      <c r="U257" s="2095"/>
      <c r="V257" s="2095"/>
      <c r="W257" s="2095"/>
      <c r="X257" s="2095"/>
      <c r="Y257" s="2095"/>
      <c r="Z257" s="2095"/>
      <c r="AA257" s="2095"/>
      <c r="AB257" s="2095"/>
      <c r="AC257" s="2095"/>
      <c r="AD257" s="2095"/>
      <c r="AE257" s="2095"/>
      <c r="AF257" s="2095"/>
      <c r="AG257" s="2095"/>
      <c r="AH257" s="2095"/>
      <c r="AI257" s="2095"/>
      <c r="AJ257" s="2095"/>
      <c r="AK257" s="2095"/>
      <c r="AL257" s="2095"/>
      <c r="AM257" s="2095"/>
      <c r="AN257" s="2095"/>
      <c r="AO257" s="2095"/>
      <c r="AP257" s="2095"/>
      <c r="AQ257" s="2095"/>
      <c r="AR257" s="2095"/>
      <c r="AS257" s="2095"/>
      <c r="AT257" s="2095"/>
      <c r="AU257" s="2095"/>
      <c r="AV257" s="2095"/>
      <c r="AW257" s="2095"/>
      <c r="AX257" s="2095"/>
      <c r="AY257" s="2095"/>
      <c r="AZ257" s="2095"/>
      <c r="BA257" s="2093"/>
      <c r="BB257" s="2096"/>
    </row>
    <row r="258" s="2128" customFormat="true" ht="30" hidden="false" customHeight="true" outlineLevel="0" collapsed="false">
      <c r="A258" s="2092"/>
      <c r="B258" s="2093"/>
      <c r="C258" s="2094"/>
      <c r="D258" s="2095"/>
      <c r="E258" s="2095"/>
      <c r="F258" s="2095"/>
      <c r="G258" s="2095"/>
      <c r="H258" s="2095"/>
      <c r="I258" s="2095"/>
      <c r="J258" s="2095"/>
      <c r="K258" s="2095"/>
      <c r="L258" s="2095"/>
      <c r="M258" s="2095"/>
      <c r="N258" s="2095"/>
      <c r="O258" s="2095"/>
      <c r="P258" s="2093"/>
      <c r="Q258" s="2095"/>
      <c r="R258" s="2095"/>
      <c r="S258" s="2095"/>
      <c r="T258" s="2095"/>
      <c r="U258" s="2095"/>
      <c r="V258" s="2095"/>
      <c r="W258" s="2095"/>
      <c r="X258" s="2095"/>
      <c r="Y258" s="2095"/>
      <c r="Z258" s="2095"/>
      <c r="AA258" s="2095"/>
      <c r="AB258" s="2095"/>
      <c r="AC258" s="2095"/>
      <c r="AD258" s="2095"/>
      <c r="AE258" s="2095"/>
      <c r="AF258" s="2095"/>
      <c r="AG258" s="2095"/>
      <c r="AH258" s="2095"/>
      <c r="AI258" s="2095"/>
      <c r="AJ258" s="2095"/>
      <c r="AK258" s="2095"/>
      <c r="AL258" s="2095"/>
      <c r="AM258" s="2095"/>
      <c r="AN258" s="2095"/>
      <c r="AO258" s="2095"/>
      <c r="AP258" s="2095"/>
      <c r="AQ258" s="2095"/>
      <c r="AR258" s="2095"/>
      <c r="AS258" s="2095"/>
      <c r="AT258" s="2095"/>
      <c r="AU258" s="2095"/>
      <c r="AV258" s="2095"/>
      <c r="AW258" s="2095"/>
      <c r="AX258" s="2095"/>
      <c r="AY258" s="2095"/>
      <c r="AZ258" s="2095"/>
      <c r="BA258" s="2093"/>
      <c r="BB258" s="2096"/>
    </row>
    <row r="259" s="2128" customFormat="true" ht="30" hidden="false" customHeight="true" outlineLevel="0" collapsed="false">
      <c r="A259" s="2092"/>
      <c r="B259" s="2093"/>
      <c r="C259" s="2094"/>
      <c r="D259" s="2095"/>
      <c r="E259" s="2095"/>
      <c r="F259" s="2095"/>
      <c r="G259" s="2095"/>
      <c r="H259" s="2095"/>
      <c r="I259" s="2095"/>
      <c r="J259" s="2095"/>
      <c r="K259" s="2095"/>
      <c r="L259" s="2095"/>
      <c r="M259" s="2095"/>
      <c r="N259" s="2095"/>
      <c r="O259" s="2095"/>
      <c r="P259" s="2093"/>
      <c r="Q259" s="2095"/>
      <c r="R259" s="2095"/>
      <c r="S259" s="2095"/>
      <c r="T259" s="2095"/>
      <c r="U259" s="2095"/>
      <c r="V259" s="2095"/>
      <c r="W259" s="2095"/>
      <c r="X259" s="2095"/>
      <c r="Y259" s="2095"/>
      <c r="Z259" s="2095"/>
      <c r="AA259" s="2095"/>
      <c r="AB259" s="2095"/>
      <c r="AC259" s="2095"/>
      <c r="AD259" s="2095"/>
      <c r="AE259" s="2095"/>
      <c r="AF259" s="2095"/>
      <c r="AG259" s="2095"/>
      <c r="AH259" s="2095"/>
      <c r="AI259" s="2095"/>
      <c r="AJ259" s="2095"/>
      <c r="AK259" s="2095"/>
      <c r="AL259" s="2095"/>
      <c r="AM259" s="2095"/>
      <c r="AN259" s="2095"/>
      <c r="AO259" s="2095"/>
      <c r="AP259" s="2095"/>
      <c r="AQ259" s="2095"/>
      <c r="AR259" s="2095"/>
      <c r="AS259" s="2095"/>
      <c r="AT259" s="2095"/>
      <c r="AU259" s="2095"/>
      <c r="AV259" s="2095"/>
      <c r="AW259" s="2095"/>
      <c r="AX259" s="2095"/>
      <c r="AY259" s="2095"/>
      <c r="AZ259" s="2095"/>
      <c r="BA259" s="2093"/>
      <c r="BB259" s="2096"/>
    </row>
    <row r="260" s="2128" customFormat="true" ht="30" hidden="false" customHeight="true" outlineLevel="0" collapsed="false">
      <c r="A260" s="2092"/>
      <c r="B260" s="2093"/>
      <c r="C260" s="2094"/>
      <c r="D260" s="2095"/>
      <c r="E260" s="2095"/>
      <c r="F260" s="2095"/>
      <c r="G260" s="2095"/>
      <c r="H260" s="2095"/>
      <c r="I260" s="2095"/>
      <c r="J260" s="2095"/>
      <c r="K260" s="2095"/>
      <c r="L260" s="2095"/>
      <c r="M260" s="2095"/>
      <c r="N260" s="2095"/>
      <c r="O260" s="2095"/>
      <c r="P260" s="2093"/>
      <c r="Q260" s="2095"/>
      <c r="R260" s="2095"/>
      <c r="S260" s="2095"/>
      <c r="T260" s="2095"/>
      <c r="U260" s="2095"/>
      <c r="V260" s="2095"/>
      <c r="W260" s="2095"/>
      <c r="X260" s="2095"/>
      <c r="Y260" s="2095"/>
      <c r="Z260" s="2095"/>
      <c r="AA260" s="2095"/>
      <c r="AB260" s="2095"/>
      <c r="AC260" s="2095"/>
      <c r="AD260" s="2095"/>
      <c r="AE260" s="2095"/>
      <c r="AF260" s="2095"/>
      <c r="AG260" s="2095"/>
      <c r="AH260" s="2095"/>
      <c r="AI260" s="2095"/>
      <c r="AJ260" s="2095"/>
      <c r="AK260" s="2095"/>
      <c r="AL260" s="2095"/>
      <c r="AM260" s="2095"/>
      <c r="AN260" s="2095"/>
      <c r="AO260" s="2095"/>
      <c r="AP260" s="2095"/>
      <c r="AQ260" s="2095"/>
      <c r="AR260" s="2095"/>
      <c r="AS260" s="2095"/>
      <c r="AT260" s="2095"/>
      <c r="AU260" s="2095"/>
      <c r="AV260" s="2095"/>
      <c r="AW260" s="2095"/>
      <c r="AX260" s="2095"/>
      <c r="AY260" s="2095"/>
      <c r="AZ260" s="2095"/>
      <c r="BA260" s="2093"/>
      <c r="BB260" s="2096"/>
    </row>
    <row r="261" s="2128" customFormat="true" ht="30" hidden="false" customHeight="true" outlineLevel="0" collapsed="false">
      <c r="A261" s="2092"/>
      <c r="B261" s="2093"/>
      <c r="C261" s="2094"/>
      <c r="D261" s="2095"/>
      <c r="E261" s="2095"/>
      <c r="F261" s="2095"/>
      <c r="G261" s="2095"/>
      <c r="H261" s="2095"/>
      <c r="I261" s="2095"/>
      <c r="J261" s="2095"/>
      <c r="K261" s="2095"/>
      <c r="L261" s="2095"/>
      <c r="M261" s="2095"/>
      <c r="N261" s="2095"/>
      <c r="O261" s="2095"/>
      <c r="P261" s="2093"/>
      <c r="Q261" s="2095"/>
      <c r="R261" s="2095"/>
      <c r="S261" s="2095"/>
      <c r="T261" s="2095"/>
      <c r="U261" s="2095"/>
      <c r="V261" s="2095"/>
      <c r="W261" s="2095"/>
      <c r="X261" s="2095"/>
      <c r="Y261" s="2095"/>
      <c r="Z261" s="2095"/>
      <c r="AA261" s="2095"/>
      <c r="AB261" s="2095"/>
      <c r="AC261" s="2095"/>
      <c r="AD261" s="2095"/>
      <c r="AE261" s="2095"/>
      <c r="AF261" s="2095"/>
      <c r="AG261" s="2095"/>
      <c r="AH261" s="2095"/>
      <c r="AI261" s="2095"/>
      <c r="AJ261" s="2095"/>
      <c r="AK261" s="2095"/>
      <c r="AL261" s="2095"/>
      <c r="AM261" s="2095"/>
      <c r="AN261" s="2095"/>
      <c r="AO261" s="2095"/>
      <c r="AP261" s="2095"/>
      <c r="AQ261" s="2095"/>
      <c r="AR261" s="2095"/>
      <c r="AS261" s="2095"/>
      <c r="AT261" s="2095"/>
      <c r="AU261" s="2095"/>
      <c r="AV261" s="2095"/>
      <c r="AW261" s="2095"/>
      <c r="AX261" s="2095"/>
      <c r="AY261" s="2095"/>
      <c r="AZ261" s="2095"/>
      <c r="BA261" s="2093"/>
      <c r="BB261" s="2096"/>
    </row>
    <row r="262" s="2128" customFormat="true" ht="48.75" hidden="false" customHeight="true" outlineLevel="0" collapsed="false">
      <c r="A262" s="2092"/>
      <c r="B262" s="2093"/>
      <c r="C262" s="2094"/>
      <c r="D262" s="2095"/>
      <c r="E262" s="2095"/>
      <c r="F262" s="2095"/>
      <c r="G262" s="2095"/>
      <c r="H262" s="2095"/>
      <c r="I262" s="2095"/>
      <c r="J262" s="2095"/>
      <c r="K262" s="2095"/>
      <c r="L262" s="2095"/>
      <c r="M262" s="2095"/>
      <c r="N262" s="2095"/>
      <c r="O262" s="2095"/>
      <c r="P262" s="2093"/>
      <c r="Q262" s="2095"/>
      <c r="R262" s="2095"/>
      <c r="S262" s="2095"/>
      <c r="T262" s="2095"/>
      <c r="U262" s="2095"/>
      <c r="V262" s="2095"/>
      <c r="W262" s="2095"/>
      <c r="X262" s="2095"/>
      <c r="Y262" s="2095"/>
      <c r="Z262" s="2095"/>
      <c r="AA262" s="2095"/>
      <c r="AB262" s="2095"/>
      <c r="AC262" s="2095"/>
      <c r="AD262" s="2095"/>
      <c r="AE262" s="2095"/>
      <c r="AF262" s="2095"/>
      <c r="AG262" s="2095"/>
      <c r="AH262" s="2095"/>
      <c r="AI262" s="2095"/>
      <c r="AJ262" s="2095"/>
      <c r="AK262" s="2095"/>
      <c r="AL262" s="2095"/>
      <c r="AM262" s="2095"/>
      <c r="AN262" s="2095"/>
      <c r="AO262" s="2095"/>
      <c r="AP262" s="2095"/>
      <c r="AQ262" s="2095"/>
      <c r="AR262" s="2095"/>
      <c r="AS262" s="2095"/>
      <c r="AT262" s="2095"/>
      <c r="AU262" s="2095"/>
      <c r="AV262" s="2095"/>
      <c r="AW262" s="2095"/>
      <c r="AX262" s="2095"/>
      <c r="AY262" s="2095"/>
      <c r="AZ262" s="2095"/>
      <c r="BA262" s="2093"/>
      <c r="BB262" s="2096"/>
    </row>
    <row r="263" s="2128" customFormat="true" ht="30" hidden="false" customHeight="true" outlineLevel="0" collapsed="false">
      <c r="A263" s="2092"/>
      <c r="B263" s="2093"/>
      <c r="C263" s="2094"/>
      <c r="D263" s="2095"/>
      <c r="E263" s="2095"/>
      <c r="F263" s="2095"/>
      <c r="G263" s="2095"/>
      <c r="H263" s="2095"/>
      <c r="I263" s="2095"/>
      <c r="J263" s="2095"/>
      <c r="K263" s="2095"/>
      <c r="L263" s="2095"/>
      <c r="M263" s="2095"/>
      <c r="N263" s="2095"/>
      <c r="O263" s="2095"/>
      <c r="P263" s="2093"/>
      <c r="Q263" s="2095"/>
      <c r="R263" s="2095"/>
      <c r="S263" s="2095"/>
      <c r="T263" s="2095"/>
      <c r="U263" s="2095"/>
      <c r="V263" s="2095"/>
      <c r="W263" s="2095"/>
      <c r="X263" s="2095"/>
      <c r="Y263" s="2095"/>
      <c r="Z263" s="2095"/>
      <c r="AA263" s="2095"/>
      <c r="AB263" s="2095"/>
      <c r="AC263" s="2095"/>
      <c r="AD263" s="2095"/>
      <c r="AE263" s="2095"/>
      <c r="AF263" s="2095"/>
      <c r="AG263" s="2095"/>
      <c r="AH263" s="2095"/>
      <c r="AI263" s="2095"/>
      <c r="AJ263" s="2095"/>
      <c r="AK263" s="2095"/>
      <c r="AL263" s="2095"/>
      <c r="AM263" s="2095"/>
      <c r="AN263" s="2095"/>
      <c r="AO263" s="2095"/>
      <c r="AP263" s="2095"/>
      <c r="AQ263" s="2095"/>
      <c r="AR263" s="2095"/>
      <c r="AS263" s="2095"/>
      <c r="AT263" s="2095"/>
      <c r="AU263" s="2095"/>
      <c r="AV263" s="2095"/>
      <c r="AW263" s="2095"/>
      <c r="AX263" s="2095"/>
      <c r="AY263" s="2095"/>
      <c r="AZ263" s="2095"/>
      <c r="BA263" s="2093"/>
      <c r="BB263" s="2096"/>
    </row>
    <row r="264" s="2128" customFormat="true" ht="30" hidden="false" customHeight="true" outlineLevel="0" collapsed="false">
      <c r="A264" s="2092"/>
      <c r="B264" s="2093"/>
      <c r="C264" s="2094"/>
      <c r="D264" s="2095"/>
      <c r="E264" s="2095"/>
      <c r="F264" s="2095"/>
      <c r="G264" s="2095"/>
      <c r="H264" s="2095"/>
      <c r="I264" s="2095"/>
      <c r="J264" s="2095"/>
      <c r="K264" s="2095"/>
      <c r="L264" s="2095"/>
      <c r="M264" s="2095"/>
      <c r="N264" s="2095"/>
      <c r="O264" s="2095"/>
      <c r="P264" s="2093"/>
      <c r="Q264" s="2095"/>
      <c r="R264" s="2095"/>
      <c r="S264" s="2095"/>
      <c r="T264" s="2095"/>
      <c r="U264" s="2095"/>
      <c r="V264" s="2095"/>
      <c r="W264" s="2095"/>
      <c r="X264" s="2095"/>
      <c r="Y264" s="2095"/>
      <c r="Z264" s="2095"/>
      <c r="AA264" s="2095"/>
      <c r="AB264" s="2095"/>
      <c r="AC264" s="2095"/>
      <c r="AD264" s="2095"/>
      <c r="AE264" s="2095"/>
      <c r="AF264" s="2095"/>
      <c r="AG264" s="2095"/>
      <c r="AH264" s="2095"/>
      <c r="AI264" s="2095"/>
      <c r="AJ264" s="2095"/>
      <c r="AK264" s="2095"/>
      <c r="AL264" s="2095"/>
      <c r="AM264" s="2095"/>
      <c r="AN264" s="2095"/>
      <c r="AO264" s="2095"/>
      <c r="AP264" s="2095"/>
      <c r="AQ264" s="2095"/>
      <c r="AR264" s="2095"/>
      <c r="AS264" s="2095"/>
      <c r="AT264" s="2095"/>
      <c r="AU264" s="2095"/>
      <c r="AV264" s="2095"/>
      <c r="AW264" s="2095"/>
      <c r="AX264" s="2095"/>
      <c r="AY264" s="2095"/>
      <c r="AZ264" s="2095"/>
      <c r="BA264" s="2093"/>
      <c r="BB264" s="2096"/>
    </row>
    <row r="265" s="2128" customFormat="true" ht="30" hidden="false" customHeight="true" outlineLevel="0" collapsed="false">
      <c r="A265" s="2092"/>
      <c r="B265" s="2093"/>
      <c r="C265" s="2094"/>
      <c r="D265" s="2095"/>
      <c r="E265" s="2095"/>
      <c r="F265" s="2095"/>
      <c r="G265" s="2095"/>
      <c r="H265" s="2095"/>
      <c r="I265" s="2095"/>
      <c r="J265" s="2095"/>
      <c r="K265" s="2095"/>
      <c r="L265" s="2095"/>
      <c r="M265" s="2095"/>
      <c r="N265" s="2095"/>
      <c r="O265" s="2095"/>
      <c r="P265" s="2093"/>
      <c r="Q265" s="2095"/>
      <c r="R265" s="2095"/>
      <c r="S265" s="2095"/>
      <c r="T265" s="2095"/>
      <c r="U265" s="2095"/>
      <c r="V265" s="2095"/>
      <c r="W265" s="2095"/>
      <c r="X265" s="2095"/>
      <c r="Y265" s="2095"/>
      <c r="Z265" s="2095"/>
      <c r="AA265" s="2095"/>
      <c r="AB265" s="2095"/>
      <c r="AC265" s="2095"/>
      <c r="AD265" s="2095"/>
      <c r="AE265" s="2095"/>
      <c r="AF265" s="2095"/>
      <c r="AG265" s="2095"/>
      <c r="AH265" s="2095"/>
      <c r="AI265" s="2095"/>
      <c r="AJ265" s="2095"/>
      <c r="AK265" s="2095"/>
      <c r="AL265" s="2095"/>
      <c r="AM265" s="2095"/>
      <c r="AN265" s="2095"/>
      <c r="AO265" s="2095"/>
      <c r="AP265" s="2095"/>
      <c r="AQ265" s="2095"/>
      <c r="AR265" s="2095"/>
      <c r="AS265" s="2095"/>
      <c r="AT265" s="2095"/>
      <c r="AU265" s="2095"/>
      <c r="AV265" s="2095"/>
      <c r="AW265" s="2095"/>
      <c r="AX265" s="2095"/>
      <c r="AY265" s="2095"/>
      <c r="AZ265" s="2095"/>
      <c r="BA265" s="2093"/>
      <c r="BB265" s="2096"/>
    </row>
    <row r="266" s="2128" customFormat="true" ht="30" hidden="false" customHeight="true" outlineLevel="0" collapsed="false">
      <c r="A266" s="2092"/>
      <c r="B266" s="2093"/>
      <c r="C266" s="2094"/>
      <c r="D266" s="2095"/>
      <c r="E266" s="2095"/>
      <c r="F266" s="2095"/>
      <c r="G266" s="2095"/>
      <c r="H266" s="2095"/>
      <c r="I266" s="2095"/>
      <c r="J266" s="2095"/>
      <c r="K266" s="2095"/>
      <c r="L266" s="2095"/>
      <c r="M266" s="2095"/>
      <c r="N266" s="2095"/>
      <c r="O266" s="2095"/>
      <c r="P266" s="2093"/>
      <c r="Q266" s="2095"/>
      <c r="R266" s="2095"/>
      <c r="S266" s="2095"/>
      <c r="T266" s="2095"/>
      <c r="U266" s="2095"/>
      <c r="V266" s="2095"/>
      <c r="W266" s="2095"/>
      <c r="X266" s="2095"/>
      <c r="Y266" s="2095"/>
      <c r="Z266" s="2095"/>
      <c r="AA266" s="2095"/>
      <c r="AB266" s="2095"/>
      <c r="AC266" s="2095"/>
      <c r="AD266" s="2095"/>
      <c r="AE266" s="2095"/>
      <c r="AF266" s="2095"/>
      <c r="AG266" s="2095"/>
      <c r="AH266" s="2095"/>
      <c r="AI266" s="2095"/>
      <c r="AJ266" s="2095"/>
      <c r="AK266" s="2095"/>
      <c r="AL266" s="2095"/>
      <c r="AM266" s="2095"/>
      <c r="AN266" s="2095"/>
      <c r="AO266" s="2095"/>
      <c r="AP266" s="2095"/>
      <c r="AQ266" s="2095"/>
      <c r="AR266" s="2095"/>
      <c r="AS266" s="2095"/>
      <c r="AT266" s="2095"/>
      <c r="AU266" s="2095"/>
      <c r="AV266" s="2095"/>
      <c r="AW266" s="2095"/>
      <c r="AX266" s="2095"/>
      <c r="AY266" s="2095"/>
      <c r="AZ266" s="2095"/>
      <c r="BA266" s="2093"/>
      <c r="BB266" s="2096"/>
    </row>
    <row r="267" s="2128" customFormat="true" ht="30" hidden="false" customHeight="true" outlineLevel="0" collapsed="false">
      <c r="A267" s="2092"/>
      <c r="B267" s="2093"/>
      <c r="C267" s="2094"/>
      <c r="D267" s="2095"/>
      <c r="E267" s="2095"/>
      <c r="F267" s="2095"/>
      <c r="G267" s="2095"/>
      <c r="H267" s="2095"/>
      <c r="I267" s="2095"/>
      <c r="J267" s="2095"/>
      <c r="K267" s="2095"/>
      <c r="L267" s="2095"/>
      <c r="M267" s="2095"/>
      <c r="N267" s="2095"/>
      <c r="O267" s="2095"/>
      <c r="P267" s="2093"/>
      <c r="Q267" s="2095"/>
      <c r="R267" s="2095"/>
      <c r="S267" s="2095"/>
      <c r="T267" s="2095"/>
      <c r="U267" s="2095"/>
      <c r="V267" s="2095"/>
      <c r="W267" s="2095"/>
      <c r="X267" s="2095"/>
      <c r="Y267" s="2095"/>
      <c r="Z267" s="2095"/>
      <c r="AA267" s="2095"/>
      <c r="AB267" s="2095"/>
      <c r="AC267" s="2095"/>
      <c r="AD267" s="2095"/>
      <c r="AE267" s="2095"/>
      <c r="AF267" s="2095"/>
      <c r="AG267" s="2095"/>
      <c r="AH267" s="2095"/>
      <c r="AI267" s="2095"/>
      <c r="AJ267" s="2095"/>
      <c r="AK267" s="2095"/>
      <c r="AL267" s="2095"/>
      <c r="AM267" s="2095"/>
      <c r="AN267" s="2095"/>
      <c r="AO267" s="2095"/>
      <c r="AP267" s="2095"/>
      <c r="AQ267" s="2095"/>
      <c r="AR267" s="2095"/>
      <c r="AS267" s="2095"/>
      <c r="AT267" s="2095"/>
      <c r="AU267" s="2095"/>
      <c r="AV267" s="2095"/>
      <c r="AW267" s="2095"/>
      <c r="AX267" s="2095"/>
      <c r="AY267" s="2095"/>
      <c r="AZ267" s="2095"/>
      <c r="BA267" s="2093"/>
      <c r="BB267" s="2096"/>
    </row>
    <row r="268" s="2128" customFormat="true" ht="30" hidden="false" customHeight="true" outlineLevel="0" collapsed="false">
      <c r="A268" s="2092"/>
      <c r="B268" s="2093"/>
      <c r="C268" s="2094"/>
      <c r="D268" s="2095"/>
      <c r="E268" s="2095"/>
      <c r="F268" s="2095"/>
      <c r="G268" s="2095"/>
      <c r="H268" s="2095"/>
      <c r="I268" s="2095"/>
      <c r="J268" s="2095"/>
      <c r="K268" s="2095"/>
      <c r="L268" s="2095"/>
      <c r="M268" s="2095"/>
      <c r="N268" s="2095"/>
      <c r="O268" s="2095"/>
      <c r="P268" s="2093"/>
      <c r="Q268" s="2095"/>
      <c r="R268" s="2095"/>
      <c r="S268" s="2095"/>
      <c r="T268" s="2095"/>
      <c r="U268" s="2095"/>
      <c r="V268" s="2095"/>
      <c r="W268" s="2095"/>
      <c r="X268" s="2095"/>
      <c r="Y268" s="2095"/>
      <c r="Z268" s="2095"/>
      <c r="AA268" s="2095"/>
      <c r="AB268" s="2095"/>
      <c r="AC268" s="2095"/>
      <c r="AD268" s="2095"/>
      <c r="AE268" s="2095"/>
      <c r="AF268" s="2095"/>
      <c r="AG268" s="2095"/>
      <c r="AH268" s="2095"/>
      <c r="AI268" s="2095"/>
      <c r="AJ268" s="2095"/>
      <c r="AK268" s="2095"/>
      <c r="AL268" s="2095"/>
      <c r="AM268" s="2095"/>
      <c r="AN268" s="2095"/>
      <c r="AO268" s="2095"/>
      <c r="AP268" s="2095"/>
      <c r="AQ268" s="2095"/>
      <c r="AR268" s="2095"/>
      <c r="AS268" s="2095"/>
      <c r="AT268" s="2095"/>
      <c r="AU268" s="2095"/>
      <c r="AV268" s="2095"/>
      <c r="AW268" s="2095"/>
      <c r="AX268" s="2095"/>
      <c r="AY268" s="2095"/>
      <c r="AZ268" s="2095"/>
      <c r="BA268" s="2093"/>
      <c r="BB268" s="2096"/>
    </row>
    <row r="269" s="2128" customFormat="true" ht="30" hidden="false" customHeight="true" outlineLevel="0" collapsed="false">
      <c r="A269" s="2092"/>
      <c r="B269" s="2093"/>
      <c r="C269" s="2094"/>
      <c r="D269" s="2095"/>
      <c r="E269" s="2095"/>
      <c r="F269" s="2095"/>
      <c r="G269" s="2095"/>
      <c r="H269" s="2095"/>
      <c r="I269" s="2095"/>
      <c r="J269" s="2095"/>
      <c r="K269" s="2095"/>
      <c r="L269" s="2095"/>
      <c r="M269" s="2095"/>
      <c r="N269" s="2095"/>
      <c r="O269" s="2095"/>
      <c r="P269" s="2093"/>
      <c r="Q269" s="2095"/>
      <c r="R269" s="2095"/>
      <c r="S269" s="2095"/>
      <c r="T269" s="2095"/>
      <c r="U269" s="2095"/>
      <c r="V269" s="2095"/>
      <c r="W269" s="2095"/>
      <c r="X269" s="2095"/>
      <c r="Y269" s="2095"/>
      <c r="Z269" s="2095"/>
      <c r="AA269" s="2095"/>
      <c r="AB269" s="2095"/>
      <c r="AC269" s="2095"/>
      <c r="AD269" s="2095"/>
      <c r="AE269" s="2095"/>
      <c r="AF269" s="2095"/>
      <c r="AG269" s="2095"/>
      <c r="AH269" s="2095"/>
      <c r="AI269" s="2095"/>
      <c r="AJ269" s="2095"/>
      <c r="AK269" s="2095"/>
      <c r="AL269" s="2095"/>
      <c r="AM269" s="2095"/>
      <c r="AN269" s="2095"/>
      <c r="AO269" s="2095"/>
      <c r="AP269" s="2095"/>
      <c r="AQ269" s="2095"/>
      <c r="AR269" s="2095"/>
      <c r="AS269" s="2095"/>
      <c r="AT269" s="2095"/>
      <c r="AU269" s="2095"/>
      <c r="AV269" s="2095"/>
      <c r="AW269" s="2095"/>
      <c r="AX269" s="2095"/>
      <c r="AY269" s="2095"/>
      <c r="AZ269" s="2095"/>
      <c r="BA269" s="2093"/>
      <c r="BB269" s="2096"/>
    </row>
    <row r="270" s="2128" customFormat="true" ht="30" hidden="false" customHeight="true" outlineLevel="0" collapsed="false">
      <c r="A270" s="2092"/>
      <c r="B270" s="2093"/>
      <c r="C270" s="2094"/>
      <c r="D270" s="2095"/>
      <c r="E270" s="2095"/>
      <c r="F270" s="2095"/>
      <c r="G270" s="2095"/>
      <c r="H270" s="2095"/>
      <c r="I270" s="2095"/>
      <c r="J270" s="2095"/>
      <c r="K270" s="2095"/>
      <c r="L270" s="2095"/>
      <c r="M270" s="2095"/>
      <c r="N270" s="2095"/>
      <c r="O270" s="2095"/>
      <c r="P270" s="2093"/>
      <c r="Q270" s="2095"/>
      <c r="R270" s="2095"/>
      <c r="S270" s="2095"/>
      <c r="T270" s="2095"/>
      <c r="U270" s="2095"/>
      <c r="V270" s="2095"/>
      <c r="W270" s="2095"/>
      <c r="X270" s="2095"/>
      <c r="Y270" s="2095"/>
      <c r="Z270" s="2095"/>
      <c r="AA270" s="2095"/>
      <c r="AB270" s="2095"/>
      <c r="AC270" s="2095"/>
      <c r="AD270" s="2095"/>
      <c r="AE270" s="2095"/>
      <c r="AF270" s="2095"/>
      <c r="AG270" s="2095"/>
      <c r="AH270" s="2095"/>
      <c r="AI270" s="2095"/>
      <c r="AJ270" s="2095"/>
      <c r="AK270" s="2095"/>
      <c r="AL270" s="2095"/>
      <c r="AM270" s="2095"/>
      <c r="AN270" s="2095"/>
      <c r="AO270" s="2095"/>
      <c r="AP270" s="2095"/>
      <c r="AQ270" s="2095"/>
      <c r="AR270" s="2095"/>
      <c r="AS270" s="2095"/>
      <c r="AT270" s="2095"/>
      <c r="AU270" s="2095"/>
      <c r="AV270" s="2095"/>
      <c r="AW270" s="2095"/>
      <c r="AX270" s="2095"/>
      <c r="AY270" s="2095"/>
      <c r="AZ270" s="2095"/>
      <c r="BA270" s="2093"/>
      <c r="BB270" s="2096"/>
    </row>
    <row r="271" s="2128" customFormat="true" ht="30" hidden="false" customHeight="true" outlineLevel="0" collapsed="false">
      <c r="A271" s="2092"/>
      <c r="B271" s="2093"/>
      <c r="C271" s="2094"/>
      <c r="D271" s="2095"/>
      <c r="E271" s="2095"/>
      <c r="F271" s="2095"/>
      <c r="G271" s="2095"/>
      <c r="H271" s="2095"/>
      <c r="I271" s="2095"/>
      <c r="J271" s="2095"/>
      <c r="K271" s="2095"/>
      <c r="L271" s="2095"/>
      <c r="M271" s="2095"/>
      <c r="N271" s="2095"/>
      <c r="O271" s="2095"/>
      <c r="P271" s="2093"/>
      <c r="Q271" s="2095"/>
      <c r="R271" s="2095"/>
      <c r="S271" s="2095"/>
      <c r="T271" s="2095"/>
      <c r="U271" s="2095"/>
      <c r="V271" s="2095"/>
      <c r="W271" s="2095"/>
      <c r="X271" s="2095"/>
      <c r="Y271" s="2095"/>
      <c r="Z271" s="2095"/>
      <c r="AA271" s="2095"/>
      <c r="AB271" s="2095"/>
      <c r="AC271" s="2095"/>
      <c r="AD271" s="2095"/>
      <c r="AE271" s="2095"/>
      <c r="AF271" s="2095"/>
      <c r="AG271" s="2095"/>
      <c r="AH271" s="2095"/>
      <c r="AI271" s="2095"/>
      <c r="AJ271" s="2095"/>
      <c r="AK271" s="2095"/>
      <c r="AL271" s="2095"/>
      <c r="AM271" s="2095"/>
      <c r="AN271" s="2095"/>
      <c r="AO271" s="2095"/>
      <c r="AP271" s="2095"/>
      <c r="AQ271" s="2095"/>
      <c r="AR271" s="2095"/>
      <c r="AS271" s="2095"/>
      <c r="AT271" s="2095"/>
      <c r="AU271" s="2095"/>
      <c r="AV271" s="2095"/>
      <c r="AW271" s="2095"/>
      <c r="AX271" s="2095"/>
      <c r="AY271" s="2095"/>
      <c r="AZ271" s="2095"/>
      <c r="BA271" s="2093"/>
      <c r="BB271" s="2096"/>
    </row>
    <row r="272" s="2128" customFormat="true" ht="30" hidden="false" customHeight="true" outlineLevel="0" collapsed="false">
      <c r="A272" s="2092"/>
      <c r="B272" s="2093"/>
      <c r="C272" s="2094"/>
      <c r="D272" s="2095"/>
      <c r="E272" s="2095"/>
      <c r="F272" s="2095"/>
      <c r="G272" s="2095"/>
      <c r="H272" s="2095"/>
      <c r="I272" s="2095"/>
      <c r="J272" s="2095"/>
      <c r="K272" s="2095"/>
      <c r="L272" s="2095"/>
      <c r="M272" s="2095"/>
      <c r="N272" s="2095"/>
      <c r="O272" s="2095"/>
      <c r="P272" s="2093"/>
      <c r="Q272" s="2095"/>
      <c r="R272" s="2095"/>
      <c r="S272" s="2095"/>
      <c r="T272" s="2095"/>
      <c r="U272" s="2095"/>
      <c r="V272" s="2095"/>
      <c r="W272" s="2095"/>
      <c r="X272" s="2095"/>
      <c r="Y272" s="2095"/>
      <c r="Z272" s="2095"/>
      <c r="AA272" s="2095"/>
      <c r="AB272" s="2095"/>
      <c r="AC272" s="2095"/>
      <c r="AD272" s="2095"/>
      <c r="AE272" s="2095"/>
      <c r="AF272" s="2095"/>
      <c r="AG272" s="2095"/>
      <c r="AH272" s="2095"/>
      <c r="AI272" s="2095"/>
      <c r="AJ272" s="2095"/>
      <c r="AK272" s="2095"/>
      <c r="AL272" s="2095"/>
      <c r="AM272" s="2095"/>
      <c r="AN272" s="2095"/>
      <c r="AO272" s="2095"/>
      <c r="AP272" s="2095"/>
      <c r="AQ272" s="2095"/>
      <c r="AR272" s="2095"/>
      <c r="AS272" s="2095"/>
      <c r="AT272" s="2095"/>
      <c r="AU272" s="2095"/>
      <c r="AV272" s="2095"/>
      <c r="AW272" s="2095"/>
      <c r="AX272" s="2095"/>
      <c r="AY272" s="2095"/>
      <c r="AZ272" s="2095"/>
      <c r="BA272" s="2093"/>
      <c r="BB272" s="2096"/>
    </row>
    <row r="273" s="2128" customFormat="true" ht="30" hidden="false" customHeight="true" outlineLevel="0" collapsed="false">
      <c r="A273" s="2092"/>
      <c r="B273" s="2093"/>
      <c r="C273" s="2094"/>
      <c r="D273" s="2095"/>
      <c r="E273" s="2095"/>
      <c r="F273" s="2095"/>
      <c r="G273" s="2095"/>
      <c r="H273" s="2095"/>
      <c r="I273" s="2095"/>
      <c r="J273" s="2095"/>
      <c r="K273" s="2095"/>
      <c r="L273" s="2095"/>
      <c r="M273" s="2095"/>
      <c r="N273" s="2095"/>
      <c r="O273" s="2095"/>
      <c r="P273" s="2093"/>
      <c r="Q273" s="2095"/>
      <c r="R273" s="2095"/>
      <c r="S273" s="2095"/>
      <c r="T273" s="2095"/>
      <c r="U273" s="2095"/>
      <c r="V273" s="2095"/>
      <c r="W273" s="2095"/>
      <c r="X273" s="2095"/>
      <c r="Y273" s="2095"/>
      <c r="Z273" s="2095"/>
      <c r="AA273" s="2095"/>
      <c r="AB273" s="2095"/>
      <c r="AC273" s="2095"/>
      <c r="AD273" s="2095"/>
      <c r="AE273" s="2095"/>
      <c r="AF273" s="2095"/>
      <c r="AG273" s="2095"/>
      <c r="AH273" s="2095"/>
      <c r="AI273" s="2095"/>
      <c r="AJ273" s="2095"/>
      <c r="AK273" s="2095"/>
      <c r="AL273" s="2095"/>
      <c r="AM273" s="2095"/>
      <c r="AN273" s="2095"/>
      <c r="AO273" s="2095"/>
      <c r="AP273" s="2095"/>
      <c r="AQ273" s="2095"/>
      <c r="AR273" s="2095"/>
      <c r="AS273" s="2095"/>
      <c r="AT273" s="2095"/>
      <c r="AU273" s="2095"/>
      <c r="AV273" s="2095"/>
      <c r="AW273" s="2095"/>
      <c r="AX273" s="2095"/>
      <c r="AY273" s="2095"/>
      <c r="AZ273" s="2095"/>
      <c r="BA273" s="2093"/>
      <c r="BB273" s="2096"/>
    </row>
    <row r="274" s="2128" customFormat="true" ht="30" hidden="false" customHeight="true" outlineLevel="0" collapsed="false">
      <c r="A274" s="2092"/>
      <c r="B274" s="2093"/>
      <c r="C274" s="2094"/>
      <c r="D274" s="2095"/>
      <c r="E274" s="2095"/>
      <c r="F274" s="2095"/>
      <c r="G274" s="2095"/>
      <c r="H274" s="2095"/>
      <c r="I274" s="2095"/>
      <c r="J274" s="2095"/>
      <c r="K274" s="2095"/>
      <c r="L274" s="2095"/>
      <c r="M274" s="2095"/>
      <c r="N274" s="2095"/>
      <c r="O274" s="2095"/>
      <c r="P274" s="2093"/>
      <c r="Q274" s="2095"/>
      <c r="R274" s="2095"/>
      <c r="S274" s="2095"/>
      <c r="T274" s="2095"/>
      <c r="U274" s="2095"/>
      <c r="V274" s="2095"/>
      <c r="W274" s="2095"/>
      <c r="X274" s="2095"/>
      <c r="Y274" s="2095"/>
      <c r="Z274" s="2095"/>
      <c r="AA274" s="2095"/>
      <c r="AB274" s="2095"/>
      <c r="AC274" s="2095"/>
      <c r="AD274" s="2095"/>
      <c r="AE274" s="2095"/>
      <c r="AF274" s="2095"/>
      <c r="AG274" s="2095"/>
      <c r="AH274" s="2095"/>
      <c r="AI274" s="2095"/>
      <c r="AJ274" s="2095"/>
      <c r="AK274" s="2095"/>
      <c r="AL274" s="2095"/>
      <c r="AM274" s="2095"/>
      <c r="AN274" s="2095"/>
      <c r="AO274" s="2095"/>
      <c r="AP274" s="2095"/>
      <c r="AQ274" s="2095"/>
      <c r="AR274" s="2095"/>
      <c r="AS274" s="2095"/>
      <c r="AT274" s="2095"/>
      <c r="AU274" s="2095"/>
      <c r="AV274" s="2095"/>
      <c r="AW274" s="2095"/>
      <c r="AX274" s="2095"/>
      <c r="AY274" s="2095"/>
      <c r="AZ274" s="2095"/>
      <c r="BA274" s="2093"/>
      <c r="BB274" s="2096"/>
    </row>
    <row r="275" s="2128" customFormat="true" ht="30" hidden="false" customHeight="true" outlineLevel="0" collapsed="false">
      <c r="A275" s="2092"/>
      <c r="B275" s="2093"/>
      <c r="C275" s="2094"/>
      <c r="D275" s="2095"/>
      <c r="E275" s="2095"/>
      <c r="F275" s="2095"/>
      <c r="G275" s="2095"/>
      <c r="H275" s="2095"/>
      <c r="I275" s="2095"/>
      <c r="J275" s="2095"/>
      <c r="K275" s="2095"/>
      <c r="L275" s="2095"/>
      <c r="M275" s="2095"/>
      <c r="N275" s="2095"/>
      <c r="O275" s="2095"/>
      <c r="P275" s="2093"/>
      <c r="Q275" s="2095"/>
      <c r="R275" s="2095"/>
      <c r="S275" s="2095"/>
      <c r="T275" s="2095"/>
      <c r="U275" s="2095"/>
      <c r="V275" s="2095"/>
      <c r="W275" s="2095"/>
      <c r="X275" s="2095"/>
      <c r="Y275" s="2095"/>
      <c r="Z275" s="2095"/>
      <c r="AA275" s="2095"/>
      <c r="AB275" s="2095"/>
      <c r="AC275" s="2095"/>
      <c r="AD275" s="2095"/>
      <c r="AE275" s="2095"/>
      <c r="AF275" s="2095"/>
      <c r="AG275" s="2095"/>
      <c r="AH275" s="2095"/>
      <c r="AI275" s="2095"/>
      <c r="AJ275" s="2095"/>
      <c r="AK275" s="2095"/>
      <c r="AL275" s="2095"/>
      <c r="AM275" s="2095"/>
      <c r="AN275" s="2095"/>
      <c r="AO275" s="2095"/>
      <c r="AP275" s="2095"/>
      <c r="AQ275" s="2095"/>
      <c r="AR275" s="2095"/>
      <c r="AS275" s="2095"/>
      <c r="AT275" s="2095"/>
      <c r="AU275" s="2095"/>
      <c r="AV275" s="2095"/>
      <c r="AW275" s="2095"/>
      <c r="AX275" s="2095"/>
      <c r="AY275" s="2095"/>
      <c r="AZ275" s="2095"/>
      <c r="BA275" s="2093"/>
      <c r="BB275" s="2096"/>
    </row>
    <row r="276" s="2128" customFormat="true" ht="30" hidden="false" customHeight="true" outlineLevel="0" collapsed="false">
      <c r="A276" s="2092"/>
      <c r="B276" s="2093"/>
      <c r="C276" s="2094"/>
      <c r="D276" s="2095"/>
      <c r="E276" s="2095"/>
      <c r="F276" s="2095"/>
      <c r="G276" s="2095"/>
      <c r="H276" s="2095"/>
      <c r="I276" s="2095"/>
      <c r="J276" s="2095"/>
      <c r="K276" s="2095"/>
      <c r="L276" s="2095"/>
      <c r="M276" s="2095"/>
      <c r="N276" s="2095"/>
      <c r="O276" s="2095"/>
      <c r="P276" s="2093"/>
      <c r="Q276" s="2095"/>
      <c r="R276" s="2095"/>
      <c r="S276" s="2095"/>
      <c r="T276" s="2095"/>
      <c r="U276" s="2095"/>
      <c r="V276" s="2095"/>
      <c r="W276" s="2095"/>
      <c r="X276" s="2095"/>
      <c r="Y276" s="2095"/>
      <c r="Z276" s="2095"/>
      <c r="AA276" s="2095"/>
      <c r="AB276" s="2095"/>
      <c r="AC276" s="2095"/>
      <c r="AD276" s="2095"/>
      <c r="AE276" s="2095"/>
      <c r="AF276" s="2095"/>
      <c r="AG276" s="2095"/>
      <c r="AH276" s="2095"/>
      <c r="AI276" s="2095"/>
      <c r="AJ276" s="2095"/>
      <c r="AK276" s="2095"/>
      <c r="AL276" s="2095"/>
      <c r="AM276" s="2095"/>
      <c r="AN276" s="2095"/>
      <c r="AO276" s="2095"/>
      <c r="AP276" s="2095"/>
      <c r="AQ276" s="2095"/>
      <c r="AR276" s="2095"/>
      <c r="AS276" s="2095"/>
      <c r="AT276" s="2095"/>
      <c r="AU276" s="2095"/>
      <c r="AV276" s="2095"/>
      <c r="AW276" s="2095"/>
      <c r="AX276" s="2095"/>
      <c r="AY276" s="2095"/>
      <c r="AZ276" s="2095"/>
      <c r="BA276" s="2093"/>
      <c r="BB276" s="2096"/>
    </row>
    <row r="277" s="2128" customFormat="true" ht="30" hidden="false" customHeight="true" outlineLevel="0" collapsed="false">
      <c r="A277" s="2092"/>
      <c r="B277" s="2093"/>
      <c r="C277" s="2094"/>
      <c r="D277" s="2095"/>
      <c r="E277" s="2095"/>
      <c r="F277" s="2095"/>
      <c r="G277" s="2095"/>
      <c r="H277" s="2095"/>
      <c r="I277" s="2095"/>
      <c r="J277" s="2095"/>
      <c r="K277" s="2095"/>
      <c r="L277" s="2095"/>
      <c r="M277" s="2095"/>
      <c r="N277" s="2095"/>
      <c r="O277" s="2095"/>
      <c r="P277" s="2093"/>
      <c r="Q277" s="2095"/>
      <c r="R277" s="2095"/>
      <c r="S277" s="2095"/>
      <c r="T277" s="2095"/>
      <c r="U277" s="2095"/>
      <c r="V277" s="2095"/>
      <c r="W277" s="2095"/>
      <c r="X277" s="2095"/>
      <c r="Y277" s="2095"/>
      <c r="Z277" s="2095"/>
      <c r="AA277" s="2095"/>
      <c r="AB277" s="2095"/>
      <c r="AC277" s="2095"/>
      <c r="AD277" s="2095"/>
      <c r="AE277" s="2095"/>
      <c r="AF277" s="2095"/>
      <c r="AG277" s="2095"/>
      <c r="AH277" s="2095"/>
      <c r="AI277" s="2095"/>
      <c r="AJ277" s="2095"/>
      <c r="AK277" s="2095"/>
      <c r="AL277" s="2095"/>
      <c r="AM277" s="2095"/>
      <c r="AN277" s="2095"/>
      <c r="AO277" s="2095"/>
      <c r="AP277" s="2095"/>
      <c r="AQ277" s="2095"/>
      <c r="AR277" s="2095"/>
      <c r="AS277" s="2095"/>
      <c r="AT277" s="2095"/>
      <c r="AU277" s="2095"/>
      <c r="AV277" s="2095"/>
      <c r="AW277" s="2095"/>
      <c r="AX277" s="2095"/>
      <c r="AY277" s="2095"/>
      <c r="AZ277" s="2095"/>
      <c r="BA277" s="2093"/>
      <c r="BB277" s="2096"/>
    </row>
    <row r="278" s="2128" customFormat="true" ht="30" hidden="false" customHeight="true" outlineLevel="0" collapsed="false">
      <c r="A278" s="2092"/>
      <c r="B278" s="2093"/>
      <c r="C278" s="2094"/>
      <c r="D278" s="2095"/>
      <c r="E278" s="2095"/>
      <c r="F278" s="2095"/>
      <c r="G278" s="2095"/>
      <c r="H278" s="2095"/>
      <c r="I278" s="2095"/>
      <c r="J278" s="2095"/>
      <c r="K278" s="2095"/>
      <c r="L278" s="2095"/>
      <c r="M278" s="2095"/>
      <c r="N278" s="2095"/>
      <c r="O278" s="2095"/>
      <c r="P278" s="2093"/>
      <c r="Q278" s="2095"/>
      <c r="R278" s="2095"/>
      <c r="S278" s="2095"/>
      <c r="T278" s="2095"/>
      <c r="U278" s="2095"/>
      <c r="V278" s="2095"/>
      <c r="W278" s="2095"/>
      <c r="X278" s="2095"/>
      <c r="Y278" s="2095"/>
      <c r="Z278" s="2095"/>
      <c r="AA278" s="2095"/>
      <c r="AB278" s="2095"/>
      <c r="AC278" s="2095"/>
      <c r="AD278" s="2095"/>
      <c r="AE278" s="2095"/>
      <c r="AF278" s="2095"/>
      <c r="AG278" s="2095"/>
      <c r="AH278" s="2095"/>
      <c r="AI278" s="2095"/>
      <c r="AJ278" s="2095"/>
      <c r="AK278" s="2095"/>
      <c r="AL278" s="2095"/>
      <c r="AM278" s="2095"/>
      <c r="AN278" s="2095"/>
      <c r="AO278" s="2095"/>
      <c r="AP278" s="2095"/>
      <c r="AQ278" s="2095"/>
      <c r="AR278" s="2095"/>
      <c r="AS278" s="2095"/>
      <c r="AT278" s="2095"/>
      <c r="AU278" s="2095"/>
      <c r="AV278" s="2095"/>
      <c r="AW278" s="2095"/>
      <c r="AX278" s="2095"/>
      <c r="AY278" s="2095"/>
      <c r="AZ278" s="2095"/>
      <c r="BA278" s="2093"/>
      <c r="BB278" s="2096"/>
    </row>
    <row r="279" s="2128" customFormat="true" ht="30" hidden="false" customHeight="true" outlineLevel="0" collapsed="false">
      <c r="A279" s="2092"/>
      <c r="B279" s="2093"/>
      <c r="C279" s="2094"/>
      <c r="D279" s="2095"/>
      <c r="E279" s="2095"/>
      <c r="F279" s="2095"/>
      <c r="G279" s="2095"/>
      <c r="H279" s="2095"/>
      <c r="I279" s="2095"/>
      <c r="J279" s="2095"/>
      <c r="K279" s="2095"/>
      <c r="L279" s="2095"/>
      <c r="M279" s="2095"/>
      <c r="N279" s="2095"/>
      <c r="O279" s="2095"/>
      <c r="P279" s="2093"/>
      <c r="Q279" s="2095"/>
      <c r="R279" s="2095"/>
      <c r="S279" s="2095"/>
      <c r="T279" s="2095"/>
      <c r="U279" s="2095"/>
      <c r="V279" s="2095"/>
      <c r="W279" s="2095"/>
      <c r="X279" s="2095"/>
      <c r="Y279" s="2095"/>
      <c r="Z279" s="2095"/>
      <c r="AA279" s="2095"/>
      <c r="AB279" s="2095"/>
      <c r="AC279" s="2095"/>
      <c r="AD279" s="2095"/>
      <c r="AE279" s="2095"/>
      <c r="AF279" s="2095"/>
      <c r="AG279" s="2095"/>
      <c r="AH279" s="2095"/>
      <c r="AI279" s="2095"/>
      <c r="AJ279" s="2095"/>
      <c r="AK279" s="2095"/>
      <c r="AL279" s="2095"/>
      <c r="AM279" s="2095"/>
      <c r="AN279" s="2095"/>
      <c r="AO279" s="2095"/>
      <c r="AP279" s="2095"/>
      <c r="AQ279" s="2095"/>
      <c r="AR279" s="2095"/>
      <c r="AS279" s="2095"/>
      <c r="AT279" s="2095"/>
      <c r="AU279" s="2095"/>
      <c r="AV279" s="2095"/>
      <c r="AW279" s="2095"/>
      <c r="AX279" s="2095"/>
      <c r="AY279" s="2095"/>
      <c r="AZ279" s="2095"/>
      <c r="BA279" s="2093"/>
      <c r="BB279" s="2096"/>
    </row>
    <row r="280" s="2128" customFormat="true" ht="30" hidden="false" customHeight="true" outlineLevel="0" collapsed="false">
      <c r="A280" s="2092"/>
      <c r="B280" s="2093"/>
      <c r="C280" s="2094"/>
      <c r="D280" s="2095"/>
      <c r="E280" s="2095"/>
      <c r="F280" s="2095"/>
      <c r="G280" s="2095"/>
      <c r="H280" s="2095"/>
      <c r="I280" s="2095"/>
      <c r="J280" s="2095"/>
      <c r="K280" s="2095"/>
      <c r="L280" s="2095"/>
      <c r="M280" s="2095"/>
      <c r="N280" s="2095"/>
      <c r="O280" s="2095"/>
      <c r="P280" s="2093"/>
      <c r="Q280" s="2095"/>
      <c r="R280" s="2095"/>
      <c r="S280" s="2095"/>
      <c r="T280" s="2095"/>
      <c r="U280" s="2095"/>
      <c r="V280" s="2095"/>
      <c r="W280" s="2095"/>
      <c r="X280" s="2095"/>
      <c r="Y280" s="2095"/>
      <c r="Z280" s="2095"/>
      <c r="AA280" s="2095"/>
      <c r="AB280" s="2095"/>
      <c r="AC280" s="2095"/>
      <c r="AD280" s="2095"/>
      <c r="AE280" s="2095"/>
      <c r="AF280" s="2095"/>
      <c r="AG280" s="2095"/>
      <c r="AH280" s="2095"/>
      <c r="AI280" s="2095"/>
      <c r="AJ280" s="2095"/>
      <c r="AK280" s="2095"/>
      <c r="AL280" s="2095"/>
      <c r="AM280" s="2095"/>
      <c r="AN280" s="2095"/>
      <c r="AO280" s="2095"/>
      <c r="AP280" s="2095"/>
      <c r="AQ280" s="2095"/>
      <c r="AR280" s="2095"/>
      <c r="AS280" s="2095"/>
      <c r="AT280" s="2095"/>
      <c r="AU280" s="2095"/>
      <c r="AV280" s="2095"/>
      <c r="AW280" s="2095"/>
      <c r="AX280" s="2095"/>
      <c r="AY280" s="2095"/>
      <c r="AZ280" s="2095"/>
      <c r="BA280" s="2093"/>
      <c r="BB280" s="2096"/>
    </row>
    <row r="281" s="2128" customFormat="true" ht="30" hidden="false" customHeight="true" outlineLevel="0" collapsed="false">
      <c r="A281" s="2092"/>
      <c r="B281" s="2093"/>
      <c r="C281" s="2094"/>
      <c r="D281" s="2095"/>
      <c r="E281" s="2095"/>
      <c r="F281" s="2095"/>
      <c r="G281" s="2095"/>
      <c r="H281" s="2095"/>
      <c r="I281" s="2095"/>
      <c r="J281" s="2095"/>
      <c r="K281" s="2095"/>
      <c r="L281" s="2095"/>
      <c r="M281" s="2095"/>
      <c r="N281" s="2095"/>
      <c r="O281" s="2095"/>
      <c r="P281" s="2093"/>
      <c r="Q281" s="2095"/>
      <c r="R281" s="2095"/>
      <c r="S281" s="2095"/>
      <c r="T281" s="2095"/>
      <c r="U281" s="2095"/>
      <c r="V281" s="2095"/>
      <c r="W281" s="2095"/>
      <c r="X281" s="2095"/>
      <c r="Y281" s="2095"/>
      <c r="Z281" s="2095"/>
      <c r="AA281" s="2095"/>
      <c r="AB281" s="2095"/>
      <c r="AC281" s="2095"/>
      <c r="AD281" s="2095"/>
      <c r="AE281" s="2095"/>
      <c r="AF281" s="2095"/>
      <c r="AG281" s="2095"/>
      <c r="AH281" s="2095"/>
      <c r="AI281" s="2095"/>
      <c r="AJ281" s="2095"/>
      <c r="AK281" s="2095"/>
      <c r="AL281" s="2095"/>
      <c r="AM281" s="2095"/>
      <c r="AN281" s="2095"/>
      <c r="AO281" s="2095"/>
      <c r="AP281" s="2095"/>
      <c r="AQ281" s="2095"/>
      <c r="AR281" s="2095"/>
      <c r="AS281" s="2095"/>
      <c r="AT281" s="2095"/>
      <c r="AU281" s="2095"/>
      <c r="AV281" s="2095"/>
      <c r="AW281" s="2095"/>
      <c r="AX281" s="2095"/>
      <c r="AY281" s="2095"/>
      <c r="AZ281" s="2095"/>
      <c r="BA281" s="2093"/>
      <c r="BB281" s="2096"/>
    </row>
    <row r="282" s="2128" customFormat="true" ht="30" hidden="false" customHeight="true" outlineLevel="0" collapsed="false">
      <c r="A282" s="2092"/>
      <c r="B282" s="2093"/>
      <c r="C282" s="2094"/>
      <c r="D282" s="2095"/>
      <c r="E282" s="2095"/>
      <c r="F282" s="2095"/>
      <c r="G282" s="2095"/>
      <c r="H282" s="2095"/>
      <c r="I282" s="2095"/>
      <c r="J282" s="2095"/>
      <c r="K282" s="2095"/>
      <c r="L282" s="2095"/>
      <c r="M282" s="2095"/>
      <c r="N282" s="2095"/>
      <c r="O282" s="2095"/>
      <c r="P282" s="2093"/>
      <c r="Q282" s="2095"/>
      <c r="R282" s="2095"/>
      <c r="S282" s="2095"/>
      <c r="T282" s="2095"/>
      <c r="U282" s="2095"/>
      <c r="V282" s="2095"/>
      <c r="W282" s="2095"/>
      <c r="X282" s="2095"/>
      <c r="Y282" s="2095"/>
      <c r="Z282" s="2095"/>
      <c r="AA282" s="2095"/>
      <c r="AB282" s="2095"/>
      <c r="AC282" s="2095"/>
      <c r="AD282" s="2095"/>
      <c r="AE282" s="2095"/>
      <c r="AF282" s="2095"/>
      <c r="AG282" s="2095"/>
      <c r="AH282" s="2095"/>
      <c r="AI282" s="2095"/>
      <c r="AJ282" s="2095"/>
      <c r="AK282" s="2095"/>
      <c r="AL282" s="2095"/>
      <c r="AM282" s="2095"/>
      <c r="AN282" s="2095"/>
      <c r="AO282" s="2095"/>
      <c r="AP282" s="2095"/>
      <c r="AQ282" s="2095"/>
      <c r="AR282" s="2095"/>
      <c r="AS282" s="2095"/>
      <c r="AT282" s="2095"/>
      <c r="AU282" s="2095"/>
      <c r="AV282" s="2095"/>
      <c r="AW282" s="2095"/>
      <c r="AX282" s="2095"/>
      <c r="AY282" s="2095"/>
      <c r="AZ282" s="2095"/>
      <c r="BA282" s="2093"/>
      <c r="BB282" s="2096"/>
    </row>
    <row r="283" s="2128" customFormat="true" ht="30" hidden="false" customHeight="true" outlineLevel="0" collapsed="false">
      <c r="A283" s="2092"/>
      <c r="B283" s="2093"/>
      <c r="C283" s="2094"/>
      <c r="D283" s="2095"/>
      <c r="E283" s="2095"/>
      <c r="F283" s="2095"/>
      <c r="G283" s="2095"/>
      <c r="H283" s="2095"/>
      <c r="I283" s="2095"/>
      <c r="J283" s="2095"/>
      <c r="K283" s="2095"/>
      <c r="L283" s="2095"/>
      <c r="M283" s="2095"/>
      <c r="N283" s="2095"/>
      <c r="O283" s="2095"/>
      <c r="P283" s="2093"/>
      <c r="Q283" s="2095"/>
      <c r="R283" s="2095"/>
      <c r="S283" s="2095"/>
      <c r="T283" s="2095"/>
      <c r="U283" s="2095"/>
      <c r="V283" s="2095"/>
      <c r="W283" s="2095"/>
      <c r="X283" s="2095"/>
      <c r="Y283" s="2095"/>
      <c r="Z283" s="2095"/>
      <c r="AA283" s="2095"/>
      <c r="AB283" s="2095"/>
      <c r="AC283" s="2095"/>
      <c r="AD283" s="2095"/>
      <c r="AE283" s="2095"/>
      <c r="AF283" s="2095"/>
      <c r="AG283" s="2095"/>
      <c r="AH283" s="2095"/>
      <c r="AI283" s="2095"/>
      <c r="AJ283" s="2095"/>
      <c r="AK283" s="2095"/>
      <c r="AL283" s="2095"/>
      <c r="AM283" s="2095"/>
      <c r="AN283" s="2095"/>
      <c r="AO283" s="2095"/>
      <c r="AP283" s="2095"/>
      <c r="AQ283" s="2095"/>
      <c r="AR283" s="2095"/>
      <c r="AS283" s="2095"/>
      <c r="AT283" s="2095"/>
      <c r="AU283" s="2095"/>
      <c r="AV283" s="2095"/>
      <c r="AW283" s="2095"/>
      <c r="AX283" s="2095"/>
      <c r="AY283" s="2095"/>
      <c r="AZ283" s="2095"/>
      <c r="BA283" s="2093"/>
      <c r="BB283" s="2096"/>
    </row>
    <row r="284" s="2128" customFormat="true" ht="30" hidden="false" customHeight="true" outlineLevel="0" collapsed="false">
      <c r="A284" s="2092"/>
      <c r="B284" s="2093"/>
      <c r="C284" s="2094"/>
      <c r="D284" s="2095"/>
      <c r="E284" s="2095"/>
      <c r="F284" s="2095"/>
      <c r="G284" s="2095"/>
      <c r="H284" s="2095"/>
      <c r="I284" s="2095"/>
      <c r="J284" s="2095"/>
      <c r="K284" s="2095"/>
      <c r="L284" s="2095"/>
      <c r="M284" s="2095"/>
      <c r="N284" s="2095"/>
      <c r="O284" s="2095"/>
      <c r="P284" s="2093"/>
      <c r="Q284" s="2095"/>
      <c r="R284" s="2095"/>
      <c r="S284" s="2095"/>
      <c r="T284" s="2095"/>
      <c r="U284" s="2095"/>
      <c r="V284" s="2095"/>
      <c r="W284" s="2095"/>
      <c r="X284" s="2095"/>
      <c r="Y284" s="2095"/>
      <c r="Z284" s="2095"/>
      <c r="AA284" s="2095"/>
      <c r="AB284" s="2095"/>
      <c r="AC284" s="2095"/>
      <c r="AD284" s="2095"/>
      <c r="AE284" s="2095"/>
      <c r="AF284" s="2095"/>
      <c r="AG284" s="2095"/>
      <c r="AH284" s="2095"/>
      <c r="AI284" s="2095"/>
      <c r="AJ284" s="2095"/>
      <c r="AK284" s="2095"/>
      <c r="AL284" s="2095"/>
      <c r="AM284" s="2095"/>
      <c r="AN284" s="2095"/>
      <c r="AO284" s="2095"/>
      <c r="AP284" s="2095"/>
      <c r="AQ284" s="2095"/>
      <c r="AR284" s="2095"/>
      <c r="AS284" s="2095"/>
      <c r="AT284" s="2095"/>
      <c r="AU284" s="2095"/>
      <c r="AV284" s="2095"/>
      <c r="AW284" s="2095"/>
      <c r="AX284" s="2095"/>
      <c r="AY284" s="2095"/>
      <c r="AZ284" s="2095"/>
      <c r="BA284" s="2093"/>
      <c r="BB284" s="2096"/>
    </row>
    <row r="285" s="2128" customFormat="true" ht="30" hidden="false" customHeight="true" outlineLevel="0" collapsed="false">
      <c r="A285" s="2092"/>
      <c r="B285" s="2093"/>
      <c r="C285" s="2094"/>
      <c r="D285" s="2095"/>
      <c r="E285" s="2095"/>
      <c r="F285" s="2095"/>
      <c r="G285" s="2095"/>
      <c r="H285" s="2095"/>
      <c r="I285" s="2095"/>
      <c r="J285" s="2095"/>
      <c r="K285" s="2095"/>
      <c r="L285" s="2095"/>
      <c r="M285" s="2095"/>
      <c r="N285" s="2095"/>
      <c r="O285" s="2095"/>
      <c r="P285" s="2093"/>
      <c r="Q285" s="2095"/>
      <c r="R285" s="2095"/>
      <c r="S285" s="2095"/>
      <c r="T285" s="2095"/>
      <c r="U285" s="2095"/>
      <c r="V285" s="2095"/>
      <c r="W285" s="2095"/>
      <c r="X285" s="2095"/>
      <c r="Y285" s="2095"/>
      <c r="Z285" s="2095"/>
      <c r="AA285" s="2095"/>
      <c r="AB285" s="2095"/>
      <c r="AC285" s="2095"/>
      <c r="AD285" s="2095"/>
      <c r="AE285" s="2095"/>
      <c r="AF285" s="2095"/>
      <c r="AG285" s="2095"/>
      <c r="AH285" s="2095"/>
      <c r="AI285" s="2095"/>
      <c r="AJ285" s="2095"/>
      <c r="AK285" s="2095"/>
      <c r="AL285" s="2095"/>
      <c r="AM285" s="2095"/>
      <c r="AN285" s="2095"/>
      <c r="AO285" s="2095"/>
      <c r="AP285" s="2095"/>
      <c r="AQ285" s="2095"/>
      <c r="AR285" s="2095"/>
      <c r="AS285" s="2095"/>
      <c r="AT285" s="2095"/>
      <c r="AU285" s="2095"/>
      <c r="AV285" s="2095"/>
      <c r="AW285" s="2095"/>
      <c r="AX285" s="2095"/>
      <c r="AY285" s="2095"/>
      <c r="AZ285" s="2095"/>
      <c r="BA285" s="2093"/>
      <c r="BB285" s="2096"/>
    </row>
    <row r="286" s="2128" customFormat="true" ht="30" hidden="false" customHeight="true" outlineLevel="0" collapsed="false">
      <c r="A286" s="2092"/>
      <c r="B286" s="2093"/>
      <c r="C286" s="2094"/>
      <c r="D286" s="2095"/>
      <c r="E286" s="2095"/>
      <c r="F286" s="2095"/>
      <c r="G286" s="2095"/>
      <c r="H286" s="2095"/>
      <c r="I286" s="2095"/>
      <c r="J286" s="2095"/>
      <c r="K286" s="2095"/>
      <c r="L286" s="2095"/>
      <c r="M286" s="2095"/>
      <c r="N286" s="2095"/>
      <c r="O286" s="2095"/>
      <c r="P286" s="2093"/>
      <c r="Q286" s="2095"/>
      <c r="R286" s="2095"/>
      <c r="S286" s="2095"/>
      <c r="T286" s="2095"/>
      <c r="U286" s="2095"/>
      <c r="V286" s="2095"/>
      <c r="W286" s="2095"/>
      <c r="X286" s="2095"/>
      <c r="Y286" s="2095"/>
      <c r="Z286" s="2095"/>
      <c r="AA286" s="2095"/>
      <c r="AB286" s="2095"/>
      <c r="AC286" s="2095"/>
      <c r="AD286" s="2095"/>
      <c r="AE286" s="2095"/>
      <c r="AF286" s="2095"/>
      <c r="AG286" s="2095"/>
      <c r="AH286" s="2095"/>
      <c r="AI286" s="2095"/>
      <c r="AJ286" s="2095"/>
      <c r="AK286" s="2095"/>
      <c r="AL286" s="2095"/>
      <c r="AM286" s="2095"/>
      <c r="AN286" s="2095"/>
      <c r="AO286" s="2095"/>
      <c r="AP286" s="2095"/>
      <c r="AQ286" s="2095"/>
      <c r="AR286" s="2095"/>
      <c r="AS286" s="2095"/>
      <c r="AT286" s="2095"/>
      <c r="AU286" s="2095"/>
      <c r="AV286" s="2095"/>
      <c r="AW286" s="2095"/>
      <c r="AX286" s="2095"/>
      <c r="AY286" s="2095"/>
      <c r="AZ286" s="2095"/>
      <c r="BA286" s="2093"/>
      <c r="BB286" s="2096"/>
    </row>
    <row r="287" s="2128" customFormat="true" ht="30" hidden="false" customHeight="true" outlineLevel="0" collapsed="false">
      <c r="A287" s="2092"/>
      <c r="B287" s="2093"/>
      <c r="C287" s="2094"/>
      <c r="D287" s="2095"/>
      <c r="E287" s="2095"/>
      <c r="F287" s="2095"/>
      <c r="G287" s="2095"/>
      <c r="H287" s="2095"/>
      <c r="I287" s="2095"/>
      <c r="J287" s="2095"/>
      <c r="K287" s="2095"/>
      <c r="L287" s="2095"/>
      <c r="M287" s="2095"/>
      <c r="N287" s="2095"/>
      <c r="O287" s="2095"/>
      <c r="P287" s="2093"/>
      <c r="Q287" s="2095"/>
      <c r="R287" s="2095"/>
      <c r="S287" s="2095"/>
      <c r="T287" s="2095"/>
      <c r="U287" s="2095"/>
      <c r="V287" s="2095"/>
      <c r="W287" s="2095"/>
      <c r="X287" s="2095"/>
      <c r="Y287" s="2095"/>
      <c r="Z287" s="2095"/>
      <c r="AA287" s="2095"/>
      <c r="AB287" s="2095"/>
      <c r="AC287" s="2095"/>
      <c r="AD287" s="2095"/>
      <c r="AE287" s="2095"/>
      <c r="AF287" s="2095"/>
      <c r="AG287" s="2095"/>
      <c r="AH287" s="2095"/>
      <c r="AI287" s="2095"/>
      <c r="AJ287" s="2095"/>
      <c r="AK287" s="2095"/>
      <c r="AL287" s="2095"/>
      <c r="AM287" s="2095"/>
      <c r="AN287" s="2095"/>
      <c r="AO287" s="2095"/>
      <c r="AP287" s="2095"/>
      <c r="AQ287" s="2095"/>
      <c r="AR287" s="2095"/>
      <c r="AS287" s="2095"/>
      <c r="AT287" s="2095"/>
      <c r="AU287" s="2095"/>
      <c r="AV287" s="2095"/>
      <c r="AW287" s="2095"/>
      <c r="AX287" s="2095"/>
      <c r="AY287" s="2095"/>
      <c r="AZ287" s="2095"/>
      <c r="BA287" s="2093"/>
      <c r="BB287" s="2096"/>
    </row>
    <row r="288" s="2128" customFormat="true" ht="30" hidden="false" customHeight="true" outlineLevel="0" collapsed="false">
      <c r="A288" s="2092"/>
      <c r="B288" s="2093"/>
      <c r="C288" s="2094"/>
      <c r="D288" s="2095"/>
      <c r="E288" s="2095"/>
      <c r="F288" s="2095"/>
      <c r="G288" s="2095"/>
      <c r="H288" s="2095"/>
      <c r="I288" s="2095"/>
      <c r="J288" s="2095"/>
      <c r="K288" s="2095"/>
      <c r="L288" s="2095"/>
      <c r="M288" s="2095"/>
      <c r="N288" s="2095"/>
      <c r="O288" s="2095"/>
      <c r="P288" s="2093"/>
      <c r="Q288" s="2095"/>
      <c r="R288" s="2095"/>
      <c r="S288" s="2095"/>
      <c r="T288" s="2095"/>
      <c r="U288" s="2095"/>
      <c r="V288" s="2095"/>
      <c r="W288" s="2095"/>
      <c r="X288" s="2095"/>
      <c r="Y288" s="2095"/>
      <c r="Z288" s="2095"/>
      <c r="AA288" s="2095"/>
      <c r="AB288" s="2095"/>
      <c r="AC288" s="2095"/>
      <c r="AD288" s="2095"/>
      <c r="AE288" s="2095"/>
      <c r="AF288" s="2095"/>
      <c r="AG288" s="2095"/>
      <c r="AH288" s="2095"/>
      <c r="AI288" s="2095"/>
      <c r="AJ288" s="2095"/>
      <c r="AK288" s="2095"/>
      <c r="AL288" s="2095"/>
      <c r="AM288" s="2095"/>
      <c r="AN288" s="2095"/>
      <c r="AO288" s="2095"/>
      <c r="AP288" s="2095"/>
      <c r="AQ288" s="2095"/>
      <c r="AR288" s="2095"/>
      <c r="AS288" s="2095"/>
      <c r="AT288" s="2095"/>
      <c r="AU288" s="2095"/>
      <c r="AV288" s="2095"/>
      <c r="AW288" s="2095"/>
      <c r="AX288" s="2095"/>
      <c r="AY288" s="2095"/>
      <c r="AZ288" s="2095"/>
      <c r="BA288" s="2093"/>
      <c r="BB288" s="2096"/>
    </row>
    <row r="289" s="2144" customFormat="true" ht="42.75" hidden="false" customHeight="true" outlineLevel="0" collapsed="false">
      <c r="A289" s="2092"/>
      <c r="B289" s="2093"/>
      <c r="C289" s="2094"/>
      <c r="D289" s="2095"/>
      <c r="E289" s="2095"/>
      <c r="F289" s="2095"/>
      <c r="G289" s="2095"/>
      <c r="H289" s="2095"/>
      <c r="I289" s="2095"/>
      <c r="J289" s="2095"/>
      <c r="K289" s="2095"/>
      <c r="L289" s="2095"/>
      <c r="M289" s="2095"/>
      <c r="N289" s="2095"/>
      <c r="O289" s="2095"/>
      <c r="P289" s="2093"/>
      <c r="Q289" s="2095"/>
      <c r="R289" s="2095"/>
      <c r="S289" s="2095"/>
      <c r="T289" s="2095"/>
      <c r="U289" s="2095"/>
      <c r="V289" s="2095"/>
      <c r="W289" s="2095"/>
      <c r="X289" s="2095"/>
      <c r="Y289" s="2095"/>
      <c r="Z289" s="2095"/>
      <c r="AA289" s="2095"/>
      <c r="AB289" s="2095"/>
      <c r="AC289" s="2095"/>
      <c r="AD289" s="2095"/>
      <c r="AE289" s="2095"/>
      <c r="AF289" s="2095"/>
      <c r="AG289" s="2095"/>
      <c r="AH289" s="2095"/>
      <c r="AI289" s="2095"/>
      <c r="AJ289" s="2095"/>
      <c r="AK289" s="2095"/>
      <c r="AL289" s="2095"/>
      <c r="AM289" s="2095"/>
      <c r="AN289" s="2095"/>
      <c r="AO289" s="2095"/>
      <c r="AP289" s="2095"/>
      <c r="AQ289" s="2095"/>
      <c r="AR289" s="2095"/>
      <c r="AS289" s="2095"/>
      <c r="AT289" s="2095"/>
      <c r="AU289" s="2095"/>
      <c r="AV289" s="2095"/>
      <c r="AW289" s="2095"/>
      <c r="AX289" s="2095"/>
      <c r="AY289" s="2095"/>
      <c r="AZ289" s="2095"/>
      <c r="BA289" s="2093"/>
      <c r="BB289" s="2096"/>
    </row>
    <row r="290" s="2144" customFormat="true" ht="42.75" hidden="false" customHeight="true" outlineLevel="0" collapsed="false">
      <c r="A290" s="2092"/>
      <c r="B290" s="2093"/>
      <c r="C290" s="2094"/>
      <c r="D290" s="2095"/>
      <c r="E290" s="2095"/>
      <c r="F290" s="2095"/>
      <c r="G290" s="2095"/>
      <c r="H290" s="2095"/>
      <c r="I290" s="2095"/>
      <c r="J290" s="2095"/>
      <c r="K290" s="2095"/>
      <c r="L290" s="2095"/>
      <c r="M290" s="2095"/>
      <c r="N290" s="2095"/>
      <c r="O290" s="2095"/>
      <c r="P290" s="2093"/>
      <c r="Q290" s="2095"/>
      <c r="R290" s="2095"/>
      <c r="S290" s="2095"/>
      <c r="T290" s="2095"/>
      <c r="U290" s="2095"/>
      <c r="V290" s="2095"/>
      <c r="W290" s="2095"/>
      <c r="X290" s="2095"/>
      <c r="Y290" s="2095"/>
      <c r="Z290" s="2095"/>
      <c r="AA290" s="2095"/>
      <c r="AB290" s="2095"/>
      <c r="AC290" s="2095"/>
      <c r="AD290" s="2095"/>
      <c r="AE290" s="2095"/>
      <c r="AF290" s="2095"/>
      <c r="AG290" s="2095"/>
      <c r="AH290" s="2095"/>
      <c r="AI290" s="2095"/>
      <c r="AJ290" s="2095"/>
      <c r="AK290" s="2095"/>
      <c r="AL290" s="2095"/>
      <c r="AM290" s="2095"/>
      <c r="AN290" s="2095"/>
      <c r="AO290" s="2095"/>
      <c r="AP290" s="2095"/>
      <c r="AQ290" s="2095"/>
      <c r="AR290" s="2095"/>
      <c r="AS290" s="2095"/>
      <c r="AT290" s="2095"/>
      <c r="AU290" s="2095"/>
      <c r="AV290" s="2095"/>
      <c r="AW290" s="2095"/>
      <c r="AX290" s="2095"/>
      <c r="AY290" s="2095"/>
      <c r="AZ290" s="2095"/>
      <c r="BA290" s="2093"/>
      <c r="BB290" s="2096"/>
    </row>
    <row r="291" s="2128" customFormat="true" ht="30" hidden="false" customHeight="true" outlineLevel="0" collapsed="false">
      <c r="A291" s="2092"/>
      <c r="B291" s="2093"/>
      <c r="C291" s="2094"/>
      <c r="D291" s="2095"/>
      <c r="E291" s="2095"/>
      <c r="F291" s="2095"/>
      <c r="G291" s="2095"/>
      <c r="H291" s="2095"/>
      <c r="I291" s="2095"/>
      <c r="J291" s="2095"/>
      <c r="K291" s="2095"/>
      <c r="L291" s="2095"/>
      <c r="M291" s="2095"/>
      <c r="N291" s="2095"/>
      <c r="O291" s="2095"/>
      <c r="P291" s="2093"/>
      <c r="Q291" s="2095"/>
      <c r="R291" s="2095"/>
      <c r="S291" s="2095"/>
      <c r="T291" s="2095"/>
      <c r="U291" s="2095"/>
      <c r="V291" s="2095"/>
      <c r="W291" s="2095"/>
      <c r="X291" s="2095"/>
      <c r="Y291" s="2095"/>
      <c r="Z291" s="2095"/>
      <c r="AA291" s="2095"/>
      <c r="AB291" s="2095"/>
      <c r="AC291" s="2095"/>
      <c r="AD291" s="2095"/>
      <c r="AE291" s="2095"/>
      <c r="AF291" s="2095"/>
      <c r="AG291" s="2095"/>
      <c r="AH291" s="2095"/>
      <c r="AI291" s="2095"/>
      <c r="AJ291" s="2095"/>
      <c r="AK291" s="2095"/>
      <c r="AL291" s="2095"/>
      <c r="AM291" s="2095"/>
      <c r="AN291" s="2095"/>
      <c r="AO291" s="2095"/>
      <c r="AP291" s="2095"/>
      <c r="AQ291" s="2095"/>
      <c r="AR291" s="2095"/>
      <c r="AS291" s="2095"/>
      <c r="AT291" s="2095"/>
      <c r="AU291" s="2095"/>
      <c r="AV291" s="2095"/>
      <c r="AW291" s="2095"/>
      <c r="AX291" s="2095"/>
      <c r="AY291" s="2095"/>
      <c r="AZ291" s="2095"/>
      <c r="BA291" s="2093"/>
      <c r="BB291" s="2096"/>
    </row>
    <row r="292" s="2128" customFormat="true" ht="30" hidden="false" customHeight="true" outlineLevel="0" collapsed="false">
      <c r="A292" s="2092"/>
      <c r="B292" s="2093"/>
      <c r="C292" s="2094"/>
      <c r="D292" s="2095"/>
      <c r="E292" s="2095"/>
      <c r="F292" s="2095"/>
      <c r="G292" s="2095"/>
      <c r="H292" s="2095"/>
      <c r="I292" s="2095"/>
      <c r="J292" s="2095"/>
      <c r="K292" s="2095"/>
      <c r="L292" s="2095"/>
      <c r="M292" s="2095"/>
      <c r="N292" s="2095"/>
      <c r="O292" s="2095"/>
      <c r="P292" s="2093"/>
      <c r="Q292" s="2095"/>
      <c r="R292" s="2095"/>
      <c r="S292" s="2095"/>
      <c r="T292" s="2095"/>
      <c r="U292" s="2095"/>
      <c r="V292" s="2095"/>
      <c r="W292" s="2095"/>
      <c r="X292" s="2095"/>
      <c r="Y292" s="2095"/>
      <c r="Z292" s="2095"/>
      <c r="AA292" s="2095"/>
      <c r="AB292" s="2095"/>
      <c r="AC292" s="2095"/>
      <c r="AD292" s="2095"/>
      <c r="AE292" s="2095"/>
      <c r="AF292" s="2095"/>
      <c r="AG292" s="2095"/>
      <c r="AH292" s="2095"/>
      <c r="AI292" s="2095"/>
      <c r="AJ292" s="2095"/>
      <c r="AK292" s="2095"/>
      <c r="AL292" s="2095"/>
      <c r="AM292" s="2095"/>
      <c r="AN292" s="2095"/>
      <c r="AO292" s="2095"/>
      <c r="AP292" s="2095"/>
      <c r="AQ292" s="2095"/>
      <c r="AR292" s="2095"/>
      <c r="AS292" s="2095"/>
      <c r="AT292" s="2095"/>
      <c r="AU292" s="2095"/>
      <c r="AV292" s="2095"/>
      <c r="AW292" s="2095"/>
      <c r="AX292" s="2095"/>
      <c r="AY292" s="2095"/>
      <c r="AZ292" s="2095"/>
      <c r="BA292" s="2093"/>
      <c r="BB292" s="2096"/>
    </row>
    <row r="293" s="2128" customFormat="true" ht="30" hidden="false" customHeight="true" outlineLevel="0" collapsed="false">
      <c r="A293" s="2092"/>
      <c r="B293" s="2093"/>
      <c r="C293" s="2094"/>
      <c r="D293" s="2095"/>
      <c r="E293" s="2095"/>
      <c r="F293" s="2095"/>
      <c r="G293" s="2095"/>
      <c r="H293" s="2095"/>
      <c r="I293" s="2095"/>
      <c r="J293" s="2095"/>
      <c r="K293" s="2095"/>
      <c r="L293" s="2095"/>
      <c r="M293" s="2095"/>
      <c r="N293" s="2095"/>
      <c r="O293" s="2095"/>
      <c r="P293" s="2093"/>
      <c r="Q293" s="2095"/>
      <c r="R293" s="2095"/>
      <c r="S293" s="2095"/>
      <c r="T293" s="2095"/>
      <c r="U293" s="2095"/>
      <c r="V293" s="2095"/>
      <c r="W293" s="2095"/>
      <c r="X293" s="2095"/>
      <c r="Y293" s="2095"/>
      <c r="Z293" s="2095"/>
      <c r="AA293" s="2095"/>
      <c r="AB293" s="2095"/>
      <c r="AC293" s="2095"/>
      <c r="AD293" s="2095"/>
      <c r="AE293" s="2095"/>
      <c r="AF293" s="2095"/>
      <c r="AG293" s="2095"/>
      <c r="AH293" s="2095"/>
      <c r="AI293" s="2095"/>
      <c r="AJ293" s="2095"/>
      <c r="AK293" s="2095"/>
      <c r="AL293" s="2095"/>
      <c r="AM293" s="2095"/>
      <c r="AN293" s="2095"/>
      <c r="AO293" s="2095"/>
      <c r="AP293" s="2095"/>
      <c r="AQ293" s="2095"/>
      <c r="AR293" s="2095"/>
      <c r="AS293" s="2095"/>
      <c r="AT293" s="2095"/>
      <c r="AU293" s="2095"/>
      <c r="AV293" s="2095"/>
      <c r="AW293" s="2095"/>
      <c r="AX293" s="2095"/>
      <c r="AY293" s="2095"/>
      <c r="AZ293" s="2095"/>
      <c r="BA293" s="2093"/>
      <c r="BB293" s="2096"/>
    </row>
    <row r="294" s="2128" customFormat="true" ht="30" hidden="false" customHeight="true" outlineLevel="0" collapsed="false">
      <c r="A294" s="2092"/>
      <c r="B294" s="2093"/>
      <c r="C294" s="2094"/>
      <c r="D294" s="2095"/>
      <c r="E294" s="2095"/>
      <c r="F294" s="2095"/>
      <c r="G294" s="2095"/>
      <c r="H294" s="2095"/>
      <c r="I294" s="2095"/>
      <c r="J294" s="2095"/>
      <c r="K294" s="2095"/>
      <c r="L294" s="2095"/>
      <c r="M294" s="2095"/>
      <c r="N294" s="2095"/>
      <c r="O294" s="2095"/>
      <c r="P294" s="2093"/>
      <c r="Q294" s="2095"/>
      <c r="R294" s="2095"/>
      <c r="S294" s="2095"/>
      <c r="T294" s="2095"/>
      <c r="U294" s="2095"/>
      <c r="V294" s="2095"/>
      <c r="W294" s="2095"/>
      <c r="X294" s="2095"/>
      <c r="Y294" s="2095"/>
      <c r="Z294" s="2095"/>
      <c r="AA294" s="2095"/>
      <c r="AB294" s="2095"/>
      <c r="AC294" s="2095"/>
      <c r="AD294" s="2095"/>
      <c r="AE294" s="2095"/>
      <c r="AF294" s="2095"/>
      <c r="AG294" s="2095"/>
      <c r="AH294" s="2095"/>
      <c r="AI294" s="2095"/>
      <c r="AJ294" s="2095"/>
      <c r="AK294" s="2095"/>
      <c r="AL294" s="2095"/>
      <c r="AM294" s="2095"/>
      <c r="AN294" s="2095"/>
      <c r="AO294" s="2095"/>
      <c r="AP294" s="2095"/>
      <c r="AQ294" s="2095"/>
      <c r="AR294" s="2095"/>
      <c r="AS294" s="2095"/>
      <c r="AT294" s="2095"/>
      <c r="AU294" s="2095"/>
      <c r="AV294" s="2095"/>
      <c r="AW294" s="2095"/>
      <c r="AX294" s="2095"/>
      <c r="AY294" s="2095"/>
      <c r="AZ294" s="2095"/>
      <c r="BA294" s="2093"/>
      <c r="BB294" s="2096"/>
    </row>
    <row r="295" s="2128" customFormat="true" ht="30" hidden="false" customHeight="true" outlineLevel="0" collapsed="false">
      <c r="A295" s="2092"/>
      <c r="B295" s="2093"/>
      <c r="C295" s="2094"/>
      <c r="D295" s="2095"/>
      <c r="E295" s="2095"/>
      <c r="F295" s="2095"/>
      <c r="G295" s="2095"/>
      <c r="H295" s="2095"/>
      <c r="I295" s="2095"/>
      <c r="J295" s="2095"/>
      <c r="K295" s="2095"/>
      <c r="L295" s="2095"/>
      <c r="M295" s="2095"/>
      <c r="N295" s="2095"/>
      <c r="O295" s="2095"/>
      <c r="P295" s="2093"/>
      <c r="Q295" s="2095"/>
      <c r="R295" s="2095"/>
      <c r="S295" s="2095"/>
      <c r="T295" s="2095"/>
      <c r="U295" s="2095"/>
      <c r="V295" s="2095"/>
      <c r="W295" s="2095"/>
      <c r="X295" s="2095"/>
      <c r="Y295" s="2095"/>
      <c r="Z295" s="2095"/>
      <c r="AA295" s="2095"/>
      <c r="AB295" s="2095"/>
      <c r="AC295" s="2095"/>
      <c r="AD295" s="2095"/>
      <c r="AE295" s="2095"/>
      <c r="AF295" s="2095"/>
      <c r="AG295" s="2095"/>
      <c r="AH295" s="2095"/>
      <c r="AI295" s="2095"/>
      <c r="AJ295" s="2095"/>
      <c r="AK295" s="2095"/>
      <c r="AL295" s="2095"/>
      <c r="AM295" s="2095"/>
      <c r="AN295" s="2095"/>
      <c r="AO295" s="2095"/>
      <c r="AP295" s="2095"/>
      <c r="AQ295" s="2095"/>
      <c r="AR295" s="2095"/>
      <c r="AS295" s="2095"/>
      <c r="AT295" s="2095"/>
      <c r="AU295" s="2095"/>
      <c r="AV295" s="2095"/>
      <c r="AW295" s="2095"/>
      <c r="AX295" s="2095"/>
      <c r="AY295" s="2095"/>
      <c r="AZ295" s="2095"/>
      <c r="BA295" s="2093"/>
      <c r="BB295" s="2096"/>
    </row>
    <row r="296" s="2128" customFormat="true" ht="30" hidden="false" customHeight="true" outlineLevel="0" collapsed="false">
      <c r="A296" s="2092"/>
      <c r="B296" s="2093"/>
      <c r="C296" s="2094"/>
      <c r="D296" s="2095"/>
      <c r="E296" s="2095"/>
      <c r="F296" s="2095"/>
      <c r="G296" s="2095"/>
      <c r="H296" s="2095"/>
      <c r="I296" s="2095"/>
      <c r="J296" s="2095"/>
      <c r="K296" s="2095"/>
      <c r="L296" s="2095"/>
      <c r="M296" s="2095"/>
      <c r="N296" s="2095"/>
      <c r="O296" s="2095"/>
      <c r="P296" s="2093"/>
      <c r="Q296" s="2095"/>
      <c r="R296" s="2095"/>
      <c r="S296" s="2095"/>
      <c r="T296" s="2095"/>
      <c r="U296" s="2095"/>
      <c r="V296" s="2095"/>
      <c r="W296" s="2095"/>
      <c r="X296" s="2095"/>
      <c r="Y296" s="2095"/>
      <c r="Z296" s="2095"/>
      <c r="AA296" s="2095"/>
      <c r="AB296" s="2095"/>
      <c r="AC296" s="2095"/>
      <c r="AD296" s="2095"/>
      <c r="AE296" s="2095"/>
      <c r="AF296" s="2095"/>
      <c r="AG296" s="2095"/>
      <c r="AH296" s="2095"/>
      <c r="AI296" s="2095"/>
      <c r="AJ296" s="2095"/>
      <c r="AK296" s="2095"/>
      <c r="AL296" s="2095"/>
      <c r="AM296" s="2095"/>
      <c r="AN296" s="2095"/>
      <c r="AO296" s="2095"/>
      <c r="AP296" s="2095"/>
      <c r="AQ296" s="2095"/>
      <c r="AR296" s="2095"/>
      <c r="AS296" s="2095"/>
      <c r="AT296" s="2095"/>
      <c r="AU296" s="2095"/>
      <c r="AV296" s="2095"/>
      <c r="AW296" s="2095"/>
      <c r="AX296" s="2095"/>
      <c r="AY296" s="2095"/>
      <c r="AZ296" s="2095"/>
      <c r="BA296" s="2093"/>
      <c r="BB296" s="2096"/>
    </row>
    <row r="297" s="2144" customFormat="true" ht="30" hidden="false" customHeight="true" outlineLevel="0" collapsed="false">
      <c r="A297" s="2092"/>
      <c r="B297" s="2093"/>
      <c r="C297" s="2094"/>
      <c r="D297" s="2095"/>
      <c r="E297" s="2095"/>
      <c r="F297" s="2095"/>
      <c r="G297" s="2095"/>
      <c r="H297" s="2095"/>
      <c r="I297" s="2095"/>
      <c r="J297" s="2095"/>
      <c r="K297" s="2095"/>
      <c r="L297" s="2095"/>
      <c r="M297" s="2095"/>
      <c r="N297" s="2095"/>
      <c r="O297" s="2095"/>
      <c r="P297" s="2093"/>
      <c r="Q297" s="2095"/>
      <c r="R297" s="2095"/>
      <c r="S297" s="2095"/>
      <c r="T297" s="2095"/>
      <c r="U297" s="2095"/>
      <c r="V297" s="2095"/>
      <c r="W297" s="2095"/>
      <c r="X297" s="2095"/>
      <c r="Y297" s="2095"/>
      <c r="Z297" s="2095"/>
      <c r="AA297" s="2095"/>
      <c r="AB297" s="2095"/>
      <c r="AC297" s="2095"/>
      <c r="AD297" s="2095"/>
      <c r="AE297" s="2095"/>
      <c r="AF297" s="2095"/>
      <c r="AG297" s="2095"/>
      <c r="AH297" s="2095"/>
      <c r="AI297" s="2095"/>
      <c r="AJ297" s="2095"/>
      <c r="AK297" s="2095"/>
      <c r="AL297" s="2095"/>
      <c r="AM297" s="2095"/>
      <c r="AN297" s="2095"/>
      <c r="AO297" s="2095"/>
      <c r="AP297" s="2095"/>
      <c r="AQ297" s="2095"/>
      <c r="AR297" s="2095"/>
      <c r="AS297" s="2095"/>
      <c r="AT297" s="2095"/>
      <c r="AU297" s="2095"/>
      <c r="AV297" s="2095"/>
      <c r="AW297" s="2095"/>
      <c r="AX297" s="2095"/>
      <c r="AY297" s="2095"/>
      <c r="AZ297" s="2095"/>
      <c r="BA297" s="2093"/>
      <c r="BB297" s="2096"/>
    </row>
    <row r="298" s="2128" customFormat="true" ht="30" hidden="false" customHeight="true" outlineLevel="0" collapsed="false">
      <c r="A298" s="2092"/>
      <c r="B298" s="2093"/>
      <c r="C298" s="2094"/>
      <c r="D298" s="2095"/>
      <c r="E298" s="2095"/>
      <c r="F298" s="2095"/>
      <c r="G298" s="2095"/>
      <c r="H298" s="2095"/>
      <c r="I298" s="2095"/>
      <c r="J298" s="2095"/>
      <c r="K298" s="2095"/>
      <c r="L298" s="2095"/>
      <c r="M298" s="2095"/>
      <c r="N298" s="2095"/>
      <c r="O298" s="2095"/>
      <c r="P298" s="2093"/>
      <c r="Q298" s="2095"/>
      <c r="R298" s="2095"/>
      <c r="S298" s="2095"/>
      <c r="T298" s="2095"/>
      <c r="U298" s="2095"/>
      <c r="V298" s="2095"/>
      <c r="W298" s="2095"/>
      <c r="X298" s="2095"/>
      <c r="Y298" s="2095"/>
      <c r="Z298" s="2095"/>
      <c r="AA298" s="2095"/>
      <c r="AB298" s="2095"/>
      <c r="AC298" s="2095"/>
      <c r="AD298" s="2095"/>
      <c r="AE298" s="2095"/>
      <c r="AF298" s="2095"/>
      <c r="AG298" s="2095"/>
      <c r="AH298" s="2095"/>
      <c r="AI298" s="2095"/>
      <c r="AJ298" s="2095"/>
      <c r="AK298" s="2095"/>
      <c r="AL298" s="2095"/>
      <c r="AM298" s="2095"/>
      <c r="AN298" s="2095"/>
      <c r="AO298" s="2095"/>
      <c r="AP298" s="2095"/>
      <c r="AQ298" s="2095"/>
      <c r="AR298" s="2095"/>
      <c r="AS298" s="2095"/>
      <c r="AT298" s="2095"/>
      <c r="AU298" s="2095"/>
      <c r="AV298" s="2095"/>
      <c r="AW298" s="2095"/>
      <c r="AX298" s="2095"/>
      <c r="AY298" s="2095"/>
      <c r="AZ298" s="2095"/>
      <c r="BA298" s="2093"/>
      <c r="BB298" s="2096"/>
    </row>
    <row r="299" s="2128" customFormat="true" ht="30" hidden="false" customHeight="true" outlineLevel="0" collapsed="false">
      <c r="A299" s="2092"/>
      <c r="B299" s="2093"/>
      <c r="C299" s="2094"/>
      <c r="D299" s="2095"/>
      <c r="E299" s="2095"/>
      <c r="F299" s="2095"/>
      <c r="G299" s="2095"/>
      <c r="H299" s="2095"/>
      <c r="I299" s="2095"/>
      <c r="J299" s="2095"/>
      <c r="K299" s="2095"/>
      <c r="L299" s="2095"/>
      <c r="M299" s="2095"/>
      <c r="N299" s="2095"/>
      <c r="O299" s="2095"/>
      <c r="P299" s="2093"/>
      <c r="Q299" s="2095"/>
      <c r="R299" s="2095"/>
      <c r="S299" s="2095"/>
      <c r="T299" s="2095"/>
      <c r="U299" s="2095"/>
      <c r="V299" s="2095"/>
      <c r="W299" s="2095"/>
      <c r="X299" s="2095"/>
      <c r="Y299" s="2095"/>
      <c r="Z299" s="2095"/>
      <c r="AA299" s="2095"/>
      <c r="AB299" s="2095"/>
      <c r="AC299" s="2095"/>
      <c r="AD299" s="2095"/>
      <c r="AE299" s="2095"/>
      <c r="AF299" s="2095"/>
      <c r="AG299" s="2095"/>
      <c r="AH299" s="2095"/>
      <c r="AI299" s="2095"/>
      <c r="AJ299" s="2095"/>
      <c r="AK299" s="2095"/>
      <c r="AL299" s="2095"/>
      <c r="AM299" s="2095"/>
      <c r="AN299" s="2095"/>
      <c r="AO299" s="2095"/>
      <c r="AP299" s="2095"/>
      <c r="AQ299" s="2095"/>
      <c r="AR299" s="2095"/>
      <c r="AS299" s="2095"/>
      <c r="AT299" s="2095"/>
      <c r="AU299" s="2095"/>
      <c r="AV299" s="2095"/>
      <c r="AW299" s="2095"/>
      <c r="AX299" s="2095"/>
      <c r="AY299" s="2095"/>
      <c r="AZ299" s="2095"/>
      <c r="BA299" s="2093"/>
      <c r="BB299" s="2096"/>
    </row>
    <row r="300" s="2128" customFormat="true" ht="30" hidden="false" customHeight="true" outlineLevel="0" collapsed="false">
      <c r="A300" s="2092"/>
      <c r="B300" s="2093"/>
      <c r="C300" s="2094"/>
      <c r="D300" s="2095"/>
      <c r="E300" s="2095"/>
      <c r="F300" s="2095"/>
      <c r="G300" s="2095"/>
      <c r="H300" s="2095"/>
      <c r="I300" s="2095"/>
      <c r="J300" s="2095"/>
      <c r="K300" s="2095"/>
      <c r="L300" s="2095"/>
      <c r="M300" s="2095"/>
      <c r="N300" s="2095"/>
      <c r="O300" s="2095"/>
      <c r="P300" s="2093"/>
      <c r="Q300" s="2095"/>
      <c r="R300" s="2095"/>
      <c r="S300" s="2095"/>
      <c r="T300" s="2095"/>
      <c r="U300" s="2095"/>
      <c r="V300" s="2095"/>
      <c r="W300" s="2095"/>
      <c r="X300" s="2095"/>
      <c r="Y300" s="2095"/>
      <c r="Z300" s="2095"/>
      <c r="AA300" s="2095"/>
      <c r="AB300" s="2095"/>
      <c r="AC300" s="2095"/>
      <c r="AD300" s="2095"/>
      <c r="AE300" s="2095"/>
      <c r="AF300" s="2095"/>
      <c r="AG300" s="2095"/>
      <c r="AH300" s="2095"/>
      <c r="AI300" s="2095"/>
      <c r="AJ300" s="2095"/>
      <c r="AK300" s="2095"/>
      <c r="AL300" s="2095"/>
      <c r="AM300" s="2095"/>
      <c r="AN300" s="2095"/>
      <c r="AO300" s="2095"/>
      <c r="AP300" s="2095"/>
      <c r="AQ300" s="2095"/>
      <c r="AR300" s="2095"/>
      <c r="AS300" s="2095"/>
      <c r="AT300" s="2095"/>
      <c r="AU300" s="2095"/>
      <c r="AV300" s="2095"/>
      <c r="AW300" s="2095"/>
      <c r="AX300" s="2095"/>
      <c r="AY300" s="2095"/>
      <c r="AZ300" s="2095"/>
      <c r="BA300" s="2093"/>
      <c r="BB300" s="2096"/>
    </row>
    <row r="301" s="2128" customFormat="true" ht="30" hidden="false" customHeight="true" outlineLevel="0" collapsed="false">
      <c r="A301" s="2092"/>
      <c r="B301" s="2093"/>
      <c r="C301" s="2094"/>
      <c r="D301" s="2095"/>
      <c r="E301" s="2095"/>
      <c r="F301" s="2095"/>
      <c r="G301" s="2095"/>
      <c r="H301" s="2095"/>
      <c r="I301" s="2095"/>
      <c r="J301" s="2095"/>
      <c r="K301" s="2095"/>
      <c r="L301" s="2095"/>
      <c r="M301" s="2095"/>
      <c r="N301" s="2095"/>
      <c r="O301" s="2095"/>
      <c r="P301" s="2093"/>
      <c r="Q301" s="2095"/>
      <c r="R301" s="2095"/>
      <c r="S301" s="2095"/>
      <c r="T301" s="2095"/>
      <c r="U301" s="2095"/>
      <c r="V301" s="2095"/>
      <c r="W301" s="2095"/>
      <c r="X301" s="2095"/>
      <c r="Y301" s="2095"/>
      <c r="Z301" s="2095"/>
      <c r="AA301" s="2095"/>
      <c r="AB301" s="2095"/>
      <c r="AC301" s="2095"/>
      <c r="AD301" s="2095"/>
      <c r="AE301" s="2095"/>
      <c r="AF301" s="2095"/>
      <c r="AG301" s="2095"/>
      <c r="AH301" s="2095"/>
      <c r="AI301" s="2095"/>
      <c r="AJ301" s="2095"/>
      <c r="AK301" s="2095"/>
      <c r="AL301" s="2095"/>
      <c r="AM301" s="2095"/>
      <c r="AN301" s="2095"/>
      <c r="AO301" s="2095"/>
      <c r="AP301" s="2095"/>
      <c r="AQ301" s="2095"/>
      <c r="AR301" s="2095"/>
      <c r="AS301" s="2095"/>
      <c r="AT301" s="2095"/>
      <c r="AU301" s="2095"/>
      <c r="AV301" s="2095"/>
      <c r="AW301" s="2095"/>
      <c r="AX301" s="2095"/>
      <c r="AY301" s="2095"/>
      <c r="AZ301" s="2095"/>
      <c r="BA301" s="2093"/>
      <c r="BB301" s="2096"/>
    </row>
    <row r="302" s="2128" customFormat="true" ht="30" hidden="false" customHeight="true" outlineLevel="0" collapsed="false">
      <c r="A302" s="2092"/>
      <c r="B302" s="2093"/>
      <c r="C302" s="2094"/>
      <c r="D302" s="2095"/>
      <c r="E302" s="2095"/>
      <c r="F302" s="2095"/>
      <c r="G302" s="2095"/>
      <c r="H302" s="2095"/>
      <c r="I302" s="2095"/>
      <c r="J302" s="2095"/>
      <c r="K302" s="2095"/>
      <c r="L302" s="2095"/>
      <c r="M302" s="2095"/>
      <c r="N302" s="2095"/>
      <c r="O302" s="2095"/>
      <c r="P302" s="2093"/>
      <c r="Q302" s="2095"/>
      <c r="R302" s="2095"/>
      <c r="S302" s="2095"/>
      <c r="T302" s="2095"/>
      <c r="U302" s="2095"/>
      <c r="V302" s="2095"/>
      <c r="W302" s="2095"/>
      <c r="X302" s="2095"/>
      <c r="Y302" s="2095"/>
      <c r="Z302" s="2095"/>
      <c r="AA302" s="2095"/>
      <c r="AB302" s="2095"/>
      <c r="AC302" s="2095"/>
      <c r="AD302" s="2095"/>
      <c r="AE302" s="2095"/>
      <c r="AF302" s="2095"/>
      <c r="AG302" s="2095"/>
      <c r="AH302" s="2095"/>
      <c r="AI302" s="2095"/>
      <c r="AJ302" s="2095"/>
      <c r="AK302" s="2095"/>
      <c r="AL302" s="2095"/>
      <c r="AM302" s="2095"/>
      <c r="AN302" s="2095"/>
      <c r="AO302" s="2095"/>
      <c r="AP302" s="2095"/>
      <c r="AQ302" s="2095"/>
      <c r="AR302" s="2095"/>
      <c r="AS302" s="2095"/>
      <c r="AT302" s="2095"/>
      <c r="AU302" s="2095"/>
      <c r="AV302" s="2095"/>
      <c r="AW302" s="2095"/>
      <c r="AX302" s="2095"/>
      <c r="AY302" s="2095"/>
      <c r="AZ302" s="2095"/>
      <c r="BA302" s="2093"/>
      <c r="BB302" s="2096"/>
    </row>
    <row r="303" s="2128" customFormat="true" ht="30" hidden="false" customHeight="true" outlineLevel="0" collapsed="false">
      <c r="A303" s="2092"/>
      <c r="B303" s="2093"/>
      <c r="C303" s="2094"/>
      <c r="D303" s="2095"/>
      <c r="E303" s="2095"/>
      <c r="F303" s="2095"/>
      <c r="G303" s="2095"/>
      <c r="H303" s="2095"/>
      <c r="I303" s="2095"/>
      <c r="J303" s="2095"/>
      <c r="K303" s="2095"/>
      <c r="L303" s="2095"/>
      <c r="M303" s="2095"/>
      <c r="N303" s="2095"/>
      <c r="O303" s="2095"/>
      <c r="P303" s="2093"/>
      <c r="Q303" s="2095"/>
      <c r="R303" s="2095"/>
      <c r="S303" s="2095"/>
      <c r="T303" s="2095"/>
      <c r="U303" s="2095"/>
      <c r="V303" s="2095"/>
      <c r="W303" s="2095"/>
      <c r="X303" s="2095"/>
      <c r="Y303" s="2095"/>
      <c r="Z303" s="2095"/>
      <c r="AA303" s="2095"/>
      <c r="AB303" s="2095"/>
      <c r="AC303" s="2095"/>
      <c r="AD303" s="2095"/>
      <c r="AE303" s="2095"/>
      <c r="AF303" s="2095"/>
      <c r="AG303" s="2095"/>
      <c r="AH303" s="2095"/>
      <c r="AI303" s="2095"/>
      <c r="AJ303" s="2095"/>
      <c r="AK303" s="2095"/>
      <c r="AL303" s="2095"/>
      <c r="AM303" s="2095"/>
      <c r="AN303" s="2095"/>
      <c r="AO303" s="2095"/>
      <c r="AP303" s="2095"/>
      <c r="AQ303" s="2095"/>
      <c r="AR303" s="2095"/>
      <c r="AS303" s="2095"/>
      <c r="AT303" s="2095"/>
      <c r="AU303" s="2095"/>
      <c r="AV303" s="2095"/>
      <c r="AW303" s="2095"/>
      <c r="AX303" s="2095"/>
      <c r="AY303" s="2095"/>
      <c r="AZ303" s="2095"/>
      <c r="BA303" s="2093"/>
      <c r="BB303" s="2096"/>
    </row>
    <row r="304" s="2128" customFormat="true" ht="30" hidden="false" customHeight="true" outlineLevel="0" collapsed="false">
      <c r="A304" s="2092"/>
      <c r="B304" s="2093"/>
      <c r="C304" s="2094"/>
      <c r="D304" s="2095"/>
      <c r="E304" s="2095"/>
      <c r="F304" s="2095"/>
      <c r="G304" s="2095"/>
      <c r="H304" s="2095"/>
      <c r="I304" s="2095"/>
      <c r="J304" s="2095"/>
      <c r="K304" s="2095"/>
      <c r="L304" s="2095"/>
      <c r="M304" s="2095"/>
      <c r="N304" s="2095"/>
      <c r="O304" s="2095"/>
      <c r="P304" s="2093"/>
      <c r="Q304" s="2095"/>
      <c r="R304" s="2095"/>
      <c r="S304" s="2095"/>
      <c r="T304" s="2095"/>
      <c r="U304" s="2095"/>
      <c r="V304" s="2095"/>
      <c r="W304" s="2095"/>
      <c r="X304" s="2095"/>
      <c r="Y304" s="2095"/>
      <c r="Z304" s="2095"/>
      <c r="AA304" s="2095"/>
      <c r="AB304" s="2095"/>
      <c r="AC304" s="2095"/>
      <c r="AD304" s="2095"/>
      <c r="AE304" s="2095"/>
      <c r="AF304" s="2095"/>
      <c r="AG304" s="2095"/>
      <c r="AH304" s="2095"/>
      <c r="AI304" s="2095"/>
      <c r="AJ304" s="2095"/>
      <c r="AK304" s="2095"/>
      <c r="AL304" s="2095"/>
      <c r="AM304" s="2095"/>
      <c r="AN304" s="2095"/>
      <c r="AO304" s="2095"/>
      <c r="AP304" s="2095"/>
      <c r="AQ304" s="2095"/>
      <c r="AR304" s="2095"/>
      <c r="AS304" s="2095"/>
      <c r="AT304" s="2095"/>
      <c r="AU304" s="2095"/>
      <c r="AV304" s="2095"/>
      <c r="AW304" s="2095"/>
      <c r="AX304" s="2095"/>
      <c r="AY304" s="2095"/>
      <c r="AZ304" s="2095"/>
      <c r="BA304" s="2093"/>
      <c r="BB304" s="2096"/>
    </row>
    <row r="305" s="2144" customFormat="true" ht="30" hidden="false" customHeight="true" outlineLevel="0" collapsed="false">
      <c r="A305" s="2092"/>
      <c r="B305" s="2093"/>
      <c r="C305" s="2094"/>
      <c r="D305" s="2095"/>
      <c r="E305" s="2095"/>
      <c r="F305" s="2095"/>
      <c r="G305" s="2095"/>
      <c r="H305" s="2095"/>
      <c r="I305" s="2095"/>
      <c r="J305" s="2095"/>
      <c r="K305" s="2095"/>
      <c r="L305" s="2095"/>
      <c r="M305" s="2095"/>
      <c r="N305" s="2095"/>
      <c r="O305" s="2095"/>
      <c r="P305" s="2093"/>
      <c r="Q305" s="2095"/>
      <c r="R305" s="2095"/>
      <c r="S305" s="2095"/>
      <c r="T305" s="2095"/>
      <c r="U305" s="2095"/>
      <c r="V305" s="2095"/>
      <c r="W305" s="2095"/>
      <c r="X305" s="2095"/>
      <c r="Y305" s="2095"/>
      <c r="Z305" s="2095"/>
      <c r="AA305" s="2095"/>
      <c r="AB305" s="2095"/>
      <c r="AC305" s="2095"/>
      <c r="AD305" s="2095"/>
      <c r="AE305" s="2095"/>
      <c r="AF305" s="2095"/>
      <c r="AG305" s="2095"/>
      <c r="AH305" s="2095"/>
      <c r="AI305" s="2095"/>
      <c r="AJ305" s="2095"/>
      <c r="AK305" s="2095"/>
      <c r="AL305" s="2095"/>
      <c r="AM305" s="2095"/>
      <c r="AN305" s="2095"/>
      <c r="AO305" s="2095"/>
      <c r="AP305" s="2095"/>
      <c r="AQ305" s="2095"/>
      <c r="AR305" s="2095"/>
      <c r="AS305" s="2095"/>
      <c r="AT305" s="2095"/>
      <c r="AU305" s="2095"/>
      <c r="AV305" s="2095"/>
      <c r="AW305" s="2095"/>
      <c r="AX305" s="2095"/>
      <c r="AY305" s="2095"/>
      <c r="AZ305" s="2095"/>
      <c r="BA305" s="2093"/>
      <c r="BB305" s="2096"/>
    </row>
    <row r="306" s="2128" customFormat="true" ht="30" hidden="false" customHeight="true" outlineLevel="0" collapsed="false">
      <c r="A306" s="2092"/>
      <c r="B306" s="2093"/>
      <c r="C306" s="2094"/>
      <c r="D306" s="2095"/>
      <c r="E306" s="2095"/>
      <c r="F306" s="2095"/>
      <c r="G306" s="2095"/>
      <c r="H306" s="2095"/>
      <c r="I306" s="2095"/>
      <c r="J306" s="2095"/>
      <c r="K306" s="2095"/>
      <c r="L306" s="2095"/>
      <c r="M306" s="2095"/>
      <c r="N306" s="2095"/>
      <c r="O306" s="2095"/>
      <c r="P306" s="2093"/>
      <c r="Q306" s="2095"/>
      <c r="R306" s="2095"/>
      <c r="S306" s="2095"/>
      <c r="T306" s="2095"/>
      <c r="U306" s="2095"/>
      <c r="V306" s="2095"/>
      <c r="W306" s="2095"/>
      <c r="X306" s="2095"/>
      <c r="Y306" s="2095"/>
      <c r="Z306" s="2095"/>
      <c r="AA306" s="2095"/>
      <c r="AB306" s="2095"/>
      <c r="AC306" s="2095"/>
      <c r="AD306" s="2095"/>
      <c r="AE306" s="2095"/>
      <c r="AF306" s="2095"/>
      <c r="AG306" s="2095"/>
      <c r="AH306" s="2095"/>
      <c r="AI306" s="2095"/>
      <c r="AJ306" s="2095"/>
      <c r="AK306" s="2095"/>
      <c r="AL306" s="2095"/>
      <c r="AM306" s="2095"/>
      <c r="AN306" s="2095"/>
      <c r="AO306" s="2095"/>
      <c r="AP306" s="2095"/>
      <c r="AQ306" s="2095"/>
      <c r="AR306" s="2095"/>
      <c r="AS306" s="2095"/>
      <c r="AT306" s="2095"/>
      <c r="AU306" s="2095"/>
      <c r="AV306" s="2095"/>
      <c r="AW306" s="2095"/>
      <c r="AX306" s="2095"/>
      <c r="AY306" s="2095"/>
      <c r="AZ306" s="2095"/>
      <c r="BA306" s="2093"/>
      <c r="BB306" s="2096"/>
    </row>
    <row r="307" s="2128" customFormat="true" ht="30" hidden="false" customHeight="true" outlineLevel="0" collapsed="false">
      <c r="A307" s="2092"/>
      <c r="B307" s="2093"/>
      <c r="C307" s="2094"/>
      <c r="D307" s="2095"/>
      <c r="E307" s="2095"/>
      <c r="F307" s="2095"/>
      <c r="G307" s="2095"/>
      <c r="H307" s="2095"/>
      <c r="I307" s="2095"/>
      <c r="J307" s="2095"/>
      <c r="K307" s="2095"/>
      <c r="L307" s="2095"/>
      <c r="M307" s="2095"/>
      <c r="N307" s="2095"/>
      <c r="O307" s="2095"/>
      <c r="P307" s="2093"/>
      <c r="Q307" s="2095"/>
      <c r="R307" s="2095"/>
      <c r="S307" s="2095"/>
      <c r="T307" s="2095"/>
      <c r="U307" s="2095"/>
      <c r="V307" s="2095"/>
      <c r="W307" s="2095"/>
      <c r="X307" s="2095"/>
      <c r="Y307" s="2095"/>
      <c r="Z307" s="2095"/>
      <c r="AA307" s="2095"/>
      <c r="AB307" s="2095"/>
      <c r="AC307" s="2095"/>
      <c r="AD307" s="2095"/>
      <c r="AE307" s="2095"/>
      <c r="AF307" s="2095"/>
      <c r="AG307" s="2095"/>
      <c r="AH307" s="2095"/>
      <c r="AI307" s="2095"/>
      <c r="AJ307" s="2095"/>
      <c r="AK307" s="2095"/>
      <c r="AL307" s="2095"/>
      <c r="AM307" s="2095"/>
      <c r="AN307" s="2095"/>
      <c r="AO307" s="2095"/>
      <c r="AP307" s="2095"/>
      <c r="AQ307" s="2095"/>
      <c r="AR307" s="2095"/>
      <c r="AS307" s="2095"/>
      <c r="AT307" s="2095"/>
      <c r="AU307" s="2095"/>
      <c r="AV307" s="2095"/>
      <c r="AW307" s="2095"/>
      <c r="AX307" s="2095"/>
      <c r="AY307" s="2095"/>
      <c r="AZ307" s="2095"/>
      <c r="BA307" s="2093"/>
      <c r="BB307" s="2096"/>
    </row>
    <row r="308" s="2128" customFormat="true" ht="30" hidden="false" customHeight="true" outlineLevel="0" collapsed="false">
      <c r="A308" s="2092"/>
      <c r="B308" s="2093"/>
      <c r="C308" s="2094"/>
      <c r="D308" s="2095"/>
      <c r="E308" s="2095"/>
      <c r="F308" s="2095"/>
      <c r="G308" s="2095"/>
      <c r="H308" s="2095"/>
      <c r="I308" s="2095"/>
      <c r="J308" s="2095"/>
      <c r="K308" s="2095"/>
      <c r="L308" s="2095"/>
      <c r="M308" s="2095"/>
      <c r="N308" s="2095"/>
      <c r="O308" s="2095"/>
      <c r="P308" s="2093"/>
      <c r="Q308" s="2095"/>
      <c r="R308" s="2095"/>
      <c r="S308" s="2095"/>
      <c r="T308" s="2095"/>
      <c r="U308" s="2095"/>
      <c r="V308" s="2095"/>
      <c r="W308" s="2095"/>
      <c r="X308" s="2095"/>
      <c r="Y308" s="2095"/>
      <c r="Z308" s="2095"/>
      <c r="AA308" s="2095"/>
      <c r="AB308" s="2095"/>
      <c r="AC308" s="2095"/>
      <c r="AD308" s="2095"/>
      <c r="AE308" s="2095"/>
      <c r="AF308" s="2095"/>
      <c r="AG308" s="2095"/>
      <c r="AH308" s="2095"/>
      <c r="AI308" s="2095"/>
      <c r="AJ308" s="2095"/>
      <c r="AK308" s="2095"/>
      <c r="AL308" s="2095"/>
      <c r="AM308" s="2095"/>
      <c r="AN308" s="2095"/>
      <c r="AO308" s="2095"/>
      <c r="AP308" s="2095"/>
      <c r="AQ308" s="2095"/>
      <c r="AR308" s="2095"/>
      <c r="AS308" s="2095"/>
      <c r="AT308" s="2095"/>
      <c r="AU308" s="2095"/>
      <c r="AV308" s="2095"/>
      <c r="AW308" s="2095"/>
      <c r="AX308" s="2095"/>
      <c r="AY308" s="2095"/>
      <c r="AZ308" s="2095"/>
      <c r="BA308" s="2093"/>
      <c r="BB308" s="2096"/>
    </row>
    <row r="309" s="2128" customFormat="true" ht="30" hidden="false" customHeight="true" outlineLevel="0" collapsed="false">
      <c r="A309" s="2092"/>
      <c r="B309" s="2093"/>
      <c r="C309" s="2094"/>
      <c r="D309" s="2095"/>
      <c r="E309" s="2095"/>
      <c r="F309" s="2095"/>
      <c r="G309" s="2095"/>
      <c r="H309" s="2095"/>
      <c r="I309" s="2095"/>
      <c r="J309" s="2095"/>
      <c r="K309" s="2095"/>
      <c r="L309" s="2095"/>
      <c r="M309" s="2095"/>
      <c r="N309" s="2095"/>
      <c r="O309" s="2095"/>
      <c r="P309" s="2093"/>
      <c r="Q309" s="2095"/>
      <c r="R309" s="2095"/>
      <c r="S309" s="2095"/>
      <c r="T309" s="2095"/>
      <c r="U309" s="2095"/>
      <c r="V309" s="2095"/>
      <c r="W309" s="2095"/>
      <c r="X309" s="2095"/>
      <c r="Y309" s="2095"/>
      <c r="Z309" s="2095"/>
      <c r="AA309" s="2095"/>
      <c r="AB309" s="2095"/>
      <c r="AC309" s="2095"/>
      <c r="AD309" s="2095"/>
      <c r="AE309" s="2095"/>
      <c r="AF309" s="2095"/>
      <c r="AG309" s="2095"/>
      <c r="AH309" s="2095"/>
      <c r="AI309" s="2095"/>
      <c r="AJ309" s="2095"/>
      <c r="AK309" s="2095"/>
      <c r="AL309" s="2095"/>
      <c r="AM309" s="2095"/>
      <c r="AN309" s="2095"/>
      <c r="AO309" s="2095"/>
      <c r="AP309" s="2095"/>
      <c r="AQ309" s="2095"/>
      <c r="AR309" s="2095"/>
      <c r="AS309" s="2095"/>
      <c r="AT309" s="2095"/>
      <c r="AU309" s="2095"/>
      <c r="AV309" s="2095"/>
      <c r="AW309" s="2095"/>
      <c r="AX309" s="2095"/>
      <c r="AY309" s="2095"/>
      <c r="AZ309" s="2095"/>
      <c r="BA309" s="2093"/>
      <c r="BB309" s="2096"/>
    </row>
    <row r="310" s="2128" customFormat="true" ht="30" hidden="false" customHeight="true" outlineLevel="0" collapsed="false">
      <c r="A310" s="2092"/>
      <c r="B310" s="2093"/>
      <c r="C310" s="2094"/>
      <c r="D310" s="2095"/>
      <c r="E310" s="2095"/>
      <c r="F310" s="2095"/>
      <c r="G310" s="2095"/>
      <c r="H310" s="2095"/>
      <c r="I310" s="2095"/>
      <c r="J310" s="2095"/>
      <c r="K310" s="2095"/>
      <c r="L310" s="2095"/>
      <c r="M310" s="2095"/>
      <c r="N310" s="2095"/>
      <c r="O310" s="2095"/>
      <c r="P310" s="2093"/>
      <c r="Q310" s="2095"/>
      <c r="R310" s="2095"/>
      <c r="S310" s="2095"/>
      <c r="T310" s="2095"/>
      <c r="U310" s="2095"/>
      <c r="V310" s="2095"/>
      <c r="W310" s="2095"/>
      <c r="X310" s="2095"/>
      <c r="Y310" s="2095"/>
      <c r="Z310" s="2095"/>
      <c r="AA310" s="2095"/>
      <c r="AB310" s="2095"/>
      <c r="AC310" s="2095"/>
      <c r="AD310" s="2095"/>
      <c r="AE310" s="2095"/>
      <c r="AF310" s="2095"/>
      <c r="AG310" s="2095"/>
      <c r="AH310" s="2095"/>
      <c r="AI310" s="2095"/>
      <c r="AJ310" s="2095"/>
      <c r="AK310" s="2095"/>
      <c r="AL310" s="2095"/>
      <c r="AM310" s="2095"/>
      <c r="AN310" s="2095"/>
      <c r="AO310" s="2095"/>
      <c r="AP310" s="2095"/>
      <c r="AQ310" s="2095"/>
      <c r="AR310" s="2095"/>
      <c r="AS310" s="2095"/>
      <c r="AT310" s="2095"/>
      <c r="AU310" s="2095"/>
      <c r="AV310" s="2095"/>
      <c r="AW310" s="2095"/>
      <c r="AX310" s="2095"/>
      <c r="AY310" s="2095"/>
      <c r="AZ310" s="2095"/>
      <c r="BA310" s="2093"/>
      <c r="BB310" s="2096"/>
    </row>
    <row r="311" s="2128" customFormat="true" ht="30" hidden="false" customHeight="true" outlineLevel="0" collapsed="false">
      <c r="A311" s="2092"/>
      <c r="B311" s="2093"/>
      <c r="C311" s="2094"/>
      <c r="D311" s="2095"/>
      <c r="E311" s="2095"/>
      <c r="F311" s="2095"/>
      <c r="G311" s="2095"/>
      <c r="H311" s="2095"/>
      <c r="I311" s="2095"/>
      <c r="J311" s="2095"/>
      <c r="K311" s="2095"/>
      <c r="L311" s="2095"/>
      <c r="M311" s="2095"/>
      <c r="N311" s="2095"/>
      <c r="O311" s="2095"/>
      <c r="P311" s="2093"/>
      <c r="Q311" s="2095"/>
      <c r="R311" s="2095"/>
      <c r="S311" s="2095"/>
      <c r="T311" s="2095"/>
      <c r="U311" s="2095"/>
      <c r="V311" s="2095"/>
      <c r="W311" s="2095"/>
      <c r="X311" s="2095"/>
      <c r="Y311" s="2095"/>
      <c r="Z311" s="2095"/>
      <c r="AA311" s="2095"/>
      <c r="AB311" s="2095"/>
      <c r="AC311" s="2095"/>
      <c r="AD311" s="2095"/>
      <c r="AE311" s="2095"/>
      <c r="AF311" s="2095"/>
      <c r="AG311" s="2095"/>
      <c r="AH311" s="2095"/>
      <c r="AI311" s="2095"/>
      <c r="AJ311" s="2095"/>
      <c r="AK311" s="2095"/>
      <c r="AL311" s="2095"/>
      <c r="AM311" s="2095"/>
      <c r="AN311" s="2095"/>
      <c r="AO311" s="2095"/>
      <c r="AP311" s="2095"/>
      <c r="AQ311" s="2095"/>
      <c r="AR311" s="2095"/>
      <c r="AS311" s="2095"/>
      <c r="AT311" s="2095"/>
      <c r="AU311" s="2095"/>
      <c r="AV311" s="2095"/>
      <c r="AW311" s="2095"/>
      <c r="AX311" s="2095"/>
      <c r="AY311" s="2095"/>
      <c r="AZ311" s="2095"/>
      <c r="BA311" s="2093"/>
      <c r="BB311" s="2096"/>
    </row>
    <row r="312" s="2128" customFormat="true" ht="30" hidden="false" customHeight="true" outlineLevel="0" collapsed="false">
      <c r="A312" s="2092"/>
      <c r="B312" s="2093"/>
      <c r="C312" s="2094"/>
      <c r="D312" s="2095"/>
      <c r="E312" s="2095"/>
      <c r="F312" s="2095"/>
      <c r="G312" s="2095"/>
      <c r="H312" s="2095"/>
      <c r="I312" s="2095"/>
      <c r="J312" s="2095"/>
      <c r="K312" s="2095"/>
      <c r="L312" s="2095"/>
      <c r="M312" s="2095"/>
      <c r="N312" s="2095"/>
      <c r="O312" s="2095"/>
      <c r="P312" s="2093"/>
      <c r="Q312" s="2095"/>
      <c r="R312" s="2095"/>
      <c r="S312" s="2095"/>
      <c r="T312" s="2095"/>
      <c r="U312" s="2095"/>
      <c r="V312" s="2095"/>
      <c r="W312" s="2095"/>
      <c r="X312" s="2095"/>
      <c r="Y312" s="2095"/>
      <c r="Z312" s="2095"/>
      <c r="AA312" s="2095"/>
      <c r="AB312" s="2095"/>
      <c r="AC312" s="2095"/>
      <c r="AD312" s="2095"/>
      <c r="AE312" s="2095"/>
      <c r="AF312" s="2095"/>
      <c r="AG312" s="2095"/>
      <c r="AH312" s="2095"/>
      <c r="AI312" s="2095"/>
      <c r="AJ312" s="2095"/>
      <c r="AK312" s="2095"/>
      <c r="AL312" s="2095"/>
      <c r="AM312" s="2095"/>
      <c r="AN312" s="2095"/>
      <c r="AO312" s="2095"/>
      <c r="AP312" s="2095"/>
      <c r="AQ312" s="2095"/>
      <c r="AR312" s="2095"/>
      <c r="AS312" s="2095"/>
      <c r="AT312" s="2095"/>
      <c r="AU312" s="2095"/>
      <c r="AV312" s="2095"/>
      <c r="AW312" s="2095"/>
      <c r="AX312" s="2095"/>
      <c r="AY312" s="2095"/>
      <c r="AZ312" s="2095"/>
      <c r="BA312" s="2093"/>
      <c r="BB312" s="2096"/>
    </row>
    <row r="313" s="2128" customFormat="true" ht="30" hidden="false" customHeight="true" outlineLevel="0" collapsed="false">
      <c r="A313" s="2092"/>
      <c r="B313" s="2093"/>
      <c r="C313" s="2094"/>
      <c r="D313" s="2095"/>
      <c r="E313" s="2095"/>
      <c r="F313" s="2095"/>
      <c r="G313" s="2095"/>
      <c r="H313" s="2095"/>
      <c r="I313" s="2095"/>
      <c r="J313" s="2095"/>
      <c r="K313" s="2095"/>
      <c r="L313" s="2095"/>
      <c r="M313" s="2095"/>
      <c r="N313" s="2095"/>
      <c r="O313" s="2095"/>
      <c r="P313" s="2093"/>
      <c r="Q313" s="2095"/>
      <c r="R313" s="2095"/>
      <c r="S313" s="2095"/>
      <c r="T313" s="2095"/>
      <c r="U313" s="2095"/>
      <c r="V313" s="2095"/>
      <c r="W313" s="2095"/>
      <c r="X313" s="2095"/>
      <c r="Y313" s="2095"/>
      <c r="Z313" s="2095"/>
      <c r="AA313" s="2095"/>
      <c r="AB313" s="2095"/>
      <c r="AC313" s="2095"/>
      <c r="AD313" s="2095"/>
      <c r="AE313" s="2095"/>
      <c r="AF313" s="2095"/>
      <c r="AG313" s="2095"/>
      <c r="AH313" s="2095"/>
      <c r="AI313" s="2095"/>
      <c r="AJ313" s="2095"/>
      <c r="AK313" s="2095"/>
      <c r="AL313" s="2095"/>
      <c r="AM313" s="2095"/>
      <c r="AN313" s="2095"/>
      <c r="AO313" s="2095"/>
      <c r="AP313" s="2095"/>
      <c r="AQ313" s="2095"/>
      <c r="AR313" s="2095"/>
      <c r="AS313" s="2095"/>
      <c r="AT313" s="2095"/>
      <c r="AU313" s="2095"/>
      <c r="AV313" s="2095"/>
      <c r="AW313" s="2095"/>
      <c r="AX313" s="2095"/>
      <c r="AY313" s="2095"/>
      <c r="AZ313" s="2095"/>
      <c r="BA313" s="2093"/>
      <c r="BB313" s="2096"/>
    </row>
    <row r="314" s="2128" customFormat="true" ht="30" hidden="false" customHeight="true" outlineLevel="0" collapsed="false">
      <c r="A314" s="2092"/>
      <c r="B314" s="2093"/>
      <c r="C314" s="2094"/>
      <c r="D314" s="2095"/>
      <c r="E314" s="2095"/>
      <c r="F314" s="2095"/>
      <c r="G314" s="2095"/>
      <c r="H314" s="2095"/>
      <c r="I314" s="2095"/>
      <c r="J314" s="2095"/>
      <c r="K314" s="2095"/>
      <c r="L314" s="2095"/>
      <c r="M314" s="2095"/>
      <c r="N314" s="2095"/>
      <c r="O314" s="2095"/>
      <c r="P314" s="2093"/>
      <c r="Q314" s="2095"/>
      <c r="R314" s="2095"/>
      <c r="S314" s="2095"/>
      <c r="T314" s="2095"/>
      <c r="U314" s="2095"/>
      <c r="V314" s="2095"/>
      <c r="W314" s="2095"/>
      <c r="X314" s="2095"/>
      <c r="Y314" s="2095"/>
      <c r="Z314" s="2095"/>
      <c r="AA314" s="2095"/>
      <c r="AB314" s="2095"/>
      <c r="AC314" s="2095"/>
      <c r="AD314" s="2095"/>
      <c r="AE314" s="2095"/>
      <c r="AF314" s="2095"/>
      <c r="AG314" s="2095"/>
      <c r="AH314" s="2095"/>
      <c r="AI314" s="2095"/>
      <c r="AJ314" s="2095"/>
      <c r="AK314" s="2095"/>
      <c r="AL314" s="2095"/>
      <c r="AM314" s="2095"/>
      <c r="AN314" s="2095"/>
      <c r="AO314" s="2095"/>
      <c r="AP314" s="2095"/>
      <c r="AQ314" s="2095"/>
      <c r="AR314" s="2095"/>
      <c r="AS314" s="2095"/>
      <c r="AT314" s="2095"/>
      <c r="AU314" s="2095"/>
      <c r="AV314" s="2095"/>
      <c r="AW314" s="2095"/>
      <c r="AX314" s="2095"/>
      <c r="AY314" s="2095"/>
      <c r="AZ314" s="2095"/>
      <c r="BA314" s="2093"/>
      <c r="BB314" s="2096"/>
    </row>
    <row r="315" s="2144" customFormat="true" ht="30" hidden="false" customHeight="true" outlineLevel="0" collapsed="false">
      <c r="A315" s="2092"/>
      <c r="B315" s="2093"/>
      <c r="C315" s="2094"/>
      <c r="D315" s="2095"/>
      <c r="E315" s="2095"/>
      <c r="F315" s="2095"/>
      <c r="G315" s="2095"/>
      <c r="H315" s="2095"/>
      <c r="I315" s="2095"/>
      <c r="J315" s="2095"/>
      <c r="K315" s="2095"/>
      <c r="L315" s="2095"/>
      <c r="M315" s="2095"/>
      <c r="N315" s="2095"/>
      <c r="O315" s="2095"/>
      <c r="P315" s="2093"/>
      <c r="Q315" s="2095"/>
      <c r="R315" s="2095"/>
      <c r="S315" s="2095"/>
      <c r="T315" s="2095"/>
      <c r="U315" s="2095"/>
      <c r="V315" s="2095"/>
      <c r="W315" s="2095"/>
      <c r="X315" s="2095"/>
      <c r="Y315" s="2095"/>
      <c r="Z315" s="2095"/>
      <c r="AA315" s="2095"/>
      <c r="AB315" s="2095"/>
      <c r="AC315" s="2095"/>
      <c r="AD315" s="2095"/>
      <c r="AE315" s="2095"/>
      <c r="AF315" s="2095"/>
      <c r="AG315" s="2095"/>
      <c r="AH315" s="2095"/>
      <c r="AI315" s="2095"/>
      <c r="AJ315" s="2095"/>
      <c r="AK315" s="2095"/>
      <c r="AL315" s="2095"/>
      <c r="AM315" s="2095"/>
      <c r="AN315" s="2095"/>
      <c r="AO315" s="2095"/>
      <c r="AP315" s="2095"/>
      <c r="AQ315" s="2095"/>
      <c r="AR315" s="2095"/>
      <c r="AS315" s="2095"/>
      <c r="AT315" s="2095"/>
      <c r="AU315" s="2095"/>
      <c r="AV315" s="2095"/>
      <c r="AW315" s="2095"/>
      <c r="AX315" s="2095"/>
      <c r="AY315" s="2095"/>
      <c r="AZ315" s="2095"/>
      <c r="BA315" s="2093"/>
      <c r="BB315" s="2096"/>
    </row>
    <row r="316" s="2128" customFormat="true" ht="30" hidden="false" customHeight="true" outlineLevel="0" collapsed="false">
      <c r="A316" s="2092"/>
      <c r="B316" s="2093"/>
      <c r="C316" s="2094"/>
      <c r="D316" s="2095"/>
      <c r="E316" s="2095"/>
      <c r="F316" s="2095"/>
      <c r="G316" s="2095"/>
      <c r="H316" s="2095"/>
      <c r="I316" s="2095"/>
      <c r="J316" s="2095"/>
      <c r="K316" s="2095"/>
      <c r="L316" s="2095"/>
      <c r="M316" s="2095"/>
      <c r="N316" s="2095"/>
      <c r="O316" s="2095"/>
      <c r="P316" s="2093"/>
      <c r="Q316" s="2095"/>
      <c r="R316" s="2095"/>
      <c r="S316" s="2095"/>
      <c r="T316" s="2095"/>
      <c r="U316" s="2095"/>
      <c r="V316" s="2095"/>
      <c r="W316" s="2095"/>
      <c r="X316" s="2095"/>
      <c r="Y316" s="2095"/>
      <c r="Z316" s="2095"/>
      <c r="AA316" s="2095"/>
      <c r="AB316" s="2095"/>
      <c r="AC316" s="2095"/>
      <c r="AD316" s="2095"/>
      <c r="AE316" s="2095"/>
      <c r="AF316" s="2095"/>
      <c r="AG316" s="2095"/>
      <c r="AH316" s="2095"/>
      <c r="AI316" s="2095"/>
      <c r="AJ316" s="2095"/>
      <c r="AK316" s="2095"/>
      <c r="AL316" s="2095"/>
      <c r="AM316" s="2095"/>
      <c r="AN316" s="2095"/>
      <c r="AO316" s="2095"/>
      <c r="AP316" s="2095"/>
      <c r="AQ316" s="2095"/>
      <c r="AR316" s="2095"/>
      <c r="AS316" s="2095"/>
      <c r="AT316" s="2095"/>
      <c r="AU316" s="2095"/>
      <c r="AV316" s="2095"/>
      <c r="AW316" s="2095"/>
      <c r="AX316" s="2095"/>
      <c r="AY316" s="2095"/>
      <c r="AZ316" s="2095"/>
      <c r="BA316" s="2093"/>
      <c r="BB316" s="2096"/>
    </row>
    <row r="317" s="2128" customFormat="true" ht="30" hidden="false" customHeight="true" outlineLevel="0" collapsed="false">
      <c r="A317" s="2092"/>
      <c r="B317" s="2093"/>
      <c r="C317" s="2094"/>
      <c r="D317" s="2095"/>
      <c r="E317" s="2095"/>
      <c r="F317" s="2095"/>
      <c r="G317" s="2095"/>
      <c r="H317" s="2095"/>
      <c r="I317" s="2095"/>
      <c r="J317" s="2095"/>
      <c r="K317" s="2095"/>
      <c r="L317" s="2095"/>
      <c r="M317" s="2095"/>
      <c r="N317" s="2095"/>
      <c r="O317" s="2095"/>
      <c r="P317" s="2093"/>
      <c r="Q317" s="2095"/>
      <c r="R317" s="2095"/>
      <c r="S317" s="2095"/>
      <c r="T317" s="2095"/>
      <c r="U317" s="2095"/>
      <c r="V317" s="2095"/>
      <c r="W317" s="2095"/>
      <c r="X317" s="2095"/>
      <c r="Y317" s="2095"/>
      <c r="Z317" s="2095"/>
      <c r="AA317" s="2095"/>
      <c r="AB317" s="2095"/>
      <c r="AC317" s="2095"/>
      <c r="AD317" s="2095"/>
      <c r="AE317" s="2095"/>
      <c r="AF317" s="2095"/>
      <c r="AG317" s="2095"/>
      <c r="AH317" s="2095"/>
      <c r="AI317" s="2095"/>
      <c r="AJ317" s="2095"/>
      <c r="AK317" s="2095"/>
      <c r="AL317" s="2095"/>
      <c r="AM317" s="2095"/>
      <c r="AN317" s="2095"/>
      <c r="AO317" s="2095"/>
      <c r="AP317" s="2095"/>
      <c r="AQ317" s="2095"/>
      <c r="AR317" s="2095"/>
      <c r="AS317" s="2095"/>
      <c r="AT317" s="2095"/>
      <c r="AU317" s="2095"/>
      <c r="AV317" s="2095"/>
      <c r="AW317" s="2095"/>
      <c r="AX317" s="2095"/>
      <c r="AY317" s="2095"/>
      <c r="AZ317" s="2095"/>
      <c r="BA317" s="2093"/>
      <c r="BB317" s="2096"/>
    </row>
    <row r="318" s="2128" customFormat="true" ht="30" hidden="false" customHeight="true" outlineLevel="0" collapsed="false">
      <c r="A318" s="2092"/>
      <c r="B318" s="2093"/>
      <c r="C318" s="2094"/>
      <c r="D318" s="2095"/>
      <c r="E318" s="2095"/>
      <c r="F318" s="2095"/>
      <c r="G318" s="2095"/>
      <c r="H318" s="2095"/>
      <c r="I318" s="2095"/>
      <c r="J318" s="2095"/>
      <c r="K318" s="2095"/>
      <c r="L318" s="2095"/>
      <c r="M318" s="2095"/>
      <c r="N318" s="2095"/>
      <c r="O318" s="2095"/>
      <c r="P318" s="2093"/>
      <c r="Q318" s="2095"/>
      <c r="R318" s="2095"/>
      <c r="S318" s="2095"/>
      <c r="T318" s="2095"/>
      <c r="U318" s="2095"/>
      <c r="V318" s="2095"/>
      <c r="W318" s="2095"/>
      <c r="X318" s="2095"/>
      <c r="Y318" s="2095"/>
      <c r="Z318" s="2095"/>
      <c r="AA318" s="2095"/>
      <c r="AB318" s="2095"/>
      <c r="AC318" s="2095"/>
      <c r="AD318" s="2095"/>
      <c r="AE318" s="2095"/>
      <c r="AF318" s="2095"/>
      <c r="AG318" s="2095"/>
      <c r="AH318" s="2095"/>
      <c r="AI318" s="2095"/>
      <c r="AJ318" s="2095"/>
      <c r="AK318" s="2095"/>
      <c r="AL318" s="2095"/>
      <c r="AM318" s="2095"/>
      <c r="AN318" s="2095"/>
      <c r="AO318" s="2095"/>
      <c r="AP318" s="2095"/>
      <c r="AQ318" s="2095"/>
      <c r="AR318" s="2095"/>
      <c r="AS318" s="2095"/>
      <c r="AT318" s="2095"/>
      <c r="AU318" s="2095"/>
      <c r="AV318" s="2095"/>
      <c r="AW318" s="2095"/>
      <c r="AX318" s="2095"/>
      <c r="AY318" s="2095"/>
      <c r="AZ318" s="2095"/>
      <c r="BA318" s="2093"/>
      <c r="BB318" s="2096"/>
    </row>
    <row r="319" s="2128" customFormat="true" ht="30" hidden="false" customHeight="true" outlineLevel="0" collapsed="false">
      <c r="A319" s="2092"/>
      <c r="B319" s="2093"/>
      <c r="C319" s="2094"/>
      <c r="D319" s="2095"/>
      <c r="E319" s="2095"/>
      <c r="F319" s="2095"/>
      <c r="G319" s="2095"/>
      <c r="H319" s="2095"/>
      <c r="I319" s="2095"/>
      <c r="J319" s="2095"/>
      <c r="K319" s="2095"/>
      <c r="L319" s="2095"/>
      <c r="M319" s="2095"/>
      <c r="N319" s="2095"/>
      <c r="O319" s="2095"/>
      <c r="P319" s="2093"/>
      <c r="Q319" s="2095"/>
      <c r="R319" s="2095"/>
      <c r="S319" s="2095"/>
      <c r="T319" s="2095"/>
      <c r="U319" s="2095"/>
      <c r="V319" s="2095"/>
      <c r="W319" s="2095"/>
      <c r="X319" s="2095"/>
      <c r="Y319" s="2095"/>
      <c r="Z319" s="2095"/>
      <c r="AA319" s="2095"/>
      <c r="AB319" s="2095"/>
      <c r="AC319" s="2095"/>
      <c r="AD319" s="2095"/>
      <c r="AE319" s="2095"/>
      <c r="AF319" s="2095"/>
      <c r="AG319" s="2095"/>
      <c r="AH319" s="2095"/>
      <c r="AI319" s="2095"/>
      <c r="AJ319" s="2095"/>
      <c r="AK319" s="2095"/>
      <c r="AL319" s="2095"/>
      <c r="AM319" s="2095"/>
      <c r="AN319" s="2095"/>
      <c r="AO319" s="2095"/>
      <c r="AP319" s="2095"/>
      <c r="AQ319" s="2095"/>
      <c r="AR319" s="2095"/>
      <c r="AS319" s="2095"/>
      <c r="AT319" s="2095"/>
      <c r="AU319" s="2095"/>
      <c r="AV319" s="2095"/>
      <c r="AW319" s="2095"/>
      <c r="AX319" s="2095"/>
      <c r="AY319" s="2095"/>
      <c r="AZ319" s="2095"/>
      <c r="BA319" s="2093"/>
      <c r="BB319" s="2096"/>
    </row>
    <row r="320" s="2144" customFormat="true" ht="30" hidden="false" customHeight="true" outlineLevel="0" collapsed="false">
      <c r="A320" s="2092"/>
      <c r="B320" s="2093"/>
      <c r="C320" s="2094"/>
      <c r="D320" s="2095"/>
      <c r="E320" s="2095"/>
      <c r="F320" s="2095"/>
      <c r="G320" s="2095"/>
      <c r="H320" s="2095"/>
      <c r="I320" s="2095"/>
      <c r="J320" s="2095"/>
      <c r="K320" s="2095"/>
      <c r="L320" s="2095"/>
      <c r="M320" s="2095"/>
      <c r="N320" s="2095"/>
      <c r="O320" s="2095"/>
      <c r="P320" s="2093"/>
      <c r="Q320" s="2095"/>
      <c r="R320" s="2095"/>
      <c r="S320" s="2095"/>
      <c r="T320" s="2095"/>
      <c r="U320" s="2095"/>
      <c r="V320" s="2095"/>
      <c r="W320" s="2095"/>
      <c r="X320" s="2095"/>
      <c r="Y320" s="2095"/>
      <c r="Z320" s="2095"/>
      <c r="AA320" s="2095"/>
      <c r="AB320" s="2095"/>
      <c r="AC320" s="2095"/>
      <c r="AD320" s="2095"/>
      <c r="AE320" s="2095"/>
      <c r="AF320" s="2095"/>
      <c r="AG320" s="2095"/>
      <c r="AH320" s="2095"/>
      <c r="AI320" s="2095"/>
      <c r="AJ320" s="2095"/>
      <c r="AK320" s="2095"/>
      <c r="AL320" s="2095"/>
      <c r="AM320" s="2095"/>
      <c r="AN320" s="2095"/>
      <c r="AO320" s="2095"/>
      <c r="AP320" s="2095"/>
      <c r="AQ320" s="2095"/>
      <c r="AR320" s="2095"/>
      <c r="AS320" s="2095"/>
      <c r="AT320" s="2095"/>
      <c r="AU320" s="2095"/>
      <c r="AV320" s="2095"/>
      <c r="AW320" s="2095"/>
      <c r="AX320" s="2095"/>
      <c r="AY320" s="2095"/>
      <c r="AZ320" s="2095"/>
      <c r="BA320" s="2093"/>
      <c r="BB320" s="2096"/>
    </row>
    <row r="321" s="2128" customFormat="true" ht="30" hidden="false" customHeight="true" outlineLevel="0" collapsed="false">
      <c r="A321" s="2092"/>
      <c r="B321" s="2093"/>
      <c r="C321" s="2094"/>
      <c r="D321" s="2095"/>
      <c r="E321" s="2095"/>
      <c r="F321" s="2095"/>
      <c r="G321" s="2095"/>
      <c r="H321" s="2095"/>
      <c r="I321" s="2095"/>
      <c r="J321" s="2095"/>
      <c r="K321" s="2095"/>
      <c r="L321" s="2095"/>
      <c r="M321" s="2095"/>
      <c r="N321" s="2095"/>
      <c r="O321" s="2095"/>
      <c r="P321" s="2093"/>
      <c r="Q321" s="2095"/>
      <c r="R321" s="2095"/>
      <c r="S321" s="2095"/>
      <c r="T321" s="2095"/>
      <c r="U321" s="2095"/>
      <c r="V321" s="2095"/>
      <c r="W321" s="2095"/>
      <c r="X321" s="2095"/>
      <c r="Y321" s="2095"/>
      <c r="Z321" s="2095"/>
      <c r="AA321" s="2095"/>
      <c r="AB321" s="2095"/>
      <c r="AC321" s="2095"/>
      <c r="AD321" s="2095"/>
      <c r="AE321" s="2095"/>
      <c r="AF321" s="2095"/>
      <c r="AG321" s="2095"/>
      <c r="AH321" s="2095"/>
      <c r="AI321" s="2095"/>
      <c r="AJ321" s="2095"/>
      <c r="AK321" s="2095"/>
      <c r="AL321" s="2095"/>
      <c r="AM321" s="2095"/>
      <c r="AN321" s="2095"/>
      <c r="AO321" s="2095"/>
      <c r="AP321" s="2095"/>
      <c r="AQ321" s="2095"/>
      <c r="AR321" s="2095"/>
      <c r="AS321" s="2095"/>
      <c r="AT321" s="2095"/>
      <c r="AU321" s="2095"/>
      <c r="AV321" s="2095"/>
      <c r="AW321" s="2095"/>
      <c r="AX321" s="2095"/>
      <c r="AY321" s="2095"/>
      <c r="AZ321" s="2095"/>
      <c r="BA321" s="2093"/>
      <c r="BB321" s="2096"/>
    </row>
    <row r="322" s="2128" customFormat="true" ht="30" hidden="false" customHeight="true" outlineLevel="0" collapsed="false">
      <c r="A322" s="2092"/>
      <c r="B322" s="2093"/>
      <c r="C322" s="2094"/>
      <c r="D322" s="2095"/>
      <c r="E322" s="2095"/>
      <c r="F322" s="2095"/>
      <c r="G322" s="2095"/>
      <c r="H322" s="2095"/>
      <c r="I322" s="2095"/>
      <c r="J322" s="2095"/>
      <c r="K322" s="2095"/>
      <c r="L322" s="2095"/>
      <c r="M322" s="2095"/>
      <c r="N322" s="2095"/>
      <c r="O322" s="2095"/>
      <c r="P322" s="2093"/>
      <c r="Q322" s="2095"/>
      <c r="R322" s="2095"/>
      <c r="S322" s="2095"/>
      <c r="T322" s="2095"/>
      <c r="U322" s="2095"/>
      <c r="V322" s="2095"/>
      <c r="W322" s="2095"/>
      <c r="X322" s="2095"/>
      <c r="Y322" s="2095"/>
      <c r="Z322" s="2095"/>
      <c r="AA322" s="2095"/>
      <c r="AB322" s="2095"/>
      <c r="AC322" s="2095"/>
      <c r="AD322" s="2095"/>
      <c r="AE322" s="2095"/>
      <c r="AF322" s="2095"/>
      <c r="AG322" s="2095"/>
      <c r="AH322" s="2095"/>
      <c r="AI322" s="2095"/>
      <c r="AJ322" s="2095"/>
      <c r="AK322" s="2095"/>
      <c r="AL322" s="2095"/>
      <c r="AM322" s="2095"/>
      <c r="AN322" s="2095"/>
      <c r="AO322" s="2095"/>
      <c r="AP322" s="2095"/>
      <c r="AQ322" s="2095"/>
      <c r="AR322" s="2095"/>
      <c r="AS322" s="2095"/>
      <c r="AT322" s="2095"/>
      <c r="AU322" s="2095"/>
      <c r="AV322" s="2095"/>
      <c r="AW322" s="2095"/>
      <c r="AX322" s="2095"/>
      <c r="AY322" s="2095"/>
      <c r="AZ322" s="2095"/>
      <c r="BA322" s="2093"/>
      <c r="BB322" s="2096"/>
    </row>
    <row r="323" s="2144" customFormat="true" ht="30" hidden="false" customHeight="true" outlineLevel="0" collapsed="false">
      <c r="A323" s="2092"/>
      <c r="B323" s="2093"/>
      <c r="C323" s="2094"/>
      <c r="D323" s="2095"/>
      <c r="E323" s="2095"/>
      <c r="F323" s="2095"/>
      <c r="G323" s="2095"/>
      <c r="H323" s="2095"/>
      <c r="I323" s="2095"/>
      <c r="J323" s="2095"/>
      <c r="K323" s="2095"/>
      <c r="L323" s="2095"/>
      <c r="M323" s="2095"/>
      <c r="N323" s="2095"/>
      <c r="O323" s="2095"/>
      <c r="P323" s="2093"/>
      <c r="Q323" s="2095"/>
      <c r="R323" s="2095"/>
      <c r="S323" s="2095"/>
      <c r="T323" s="2095"/>
      <c r="U323" s="2095"/>
      <c r="V323" s="2095"/>
      <c r="W323" s="2095"/>
      <c r="X323" s="2095"/>
      <c r="Y323" s="2095"/>
      <c r="Z323" s="2095"/>
      <c r="AA323" s="2095"/>
      <c r="AB323" s="2095"/>
      <c r="AC323" s="2095"/>
      <c r="AD323" s="2095"/>
      <c r="AE323" s="2095"/>
      <c r="AF323" s="2095"/>
      <c r="AG323" s="2095"/>
      <c r="AH323" s="2095"/>
      <c r="AI323" s="2095"/>
      <c r="AJ323" s="2095"/>
      <c r="AK323" s="2095"/>
      <c r="AL323" s="2095"/>
      <c r="AM323" s="2095"/>
      <c r="AN323" s="2095"/>
      <c r="AO323" s="2095"/>
      <c r="AP323" s="2095"/>
      <c r="AQ323" s="2095"/>
      <c r="AR323" s="2095"/>
      <c r="AS323" s="2095"/>
      <c r="AT323" s="2095"/>
      <c r="AU323" s="2095"/>
      <c r="AV323" s="2095"/>
      <c r="AW323" s="2095"/>
      <c r="AX323" s="2095"/>
      <c r="AY323" s="2095"/>
      <c r="AZ323" s="2095"/>
      <c r="BA323" s="2093"/>
      <c r="BB323" s="2096"/>
    </row>
    <row r="324" s="2128" customFormat="true" ht="30" hidden="false" customHeight="true" outlineLevel="0" collapsed="false">
      <c r="A324" s="2092"/>
      <c r="B324" s="2093"/>
      <c r="C324" s="2094"/>
      <c r="D324" s="2095"/>
      <c r="E324" s="2095"/>
      <c r="F324" s="2095"/>
      <c r="G324" s="2095"/>
      <c r="H324" s="2095"/>
      <c r="I324" s="2095"/>
      <c r="J324" s="2095"/>
      <c r="K324" s="2095"/>
      <c r="L324" s="2095"/>
      <c r="M324" s="2095"/>
      <c r="N324" s="2095"/>
      <c r="O324" s="2095"/>
      <c r="P324" s="2093"/>
      <c r="Q324" s="2095"/>
      <c r="R324" s="2095"/>
      <c r="S324" s="2095"/>
      <c r="T324" s="2095"/>
      <c r="U324" s="2095"/>
      <c r="V324" s="2095"/>
      <c r="W324" s="2095"/>
      <c r="X324" s="2095"/>
      <c r="Y324" s="2095"/>
      <c r="Z324" s="2095"/>
      <c r="AA324" s="2095"/>
      <c r="AB324" s="2095"/>
      <c r="AC324" s="2095"/>
      <c r="AD324" s="2095"/>
      <c r="AE324" s="2095"/>
      <c r="AF324" s="2095"/>
      <c r="AG324" s="2095"/>
      <c r="AH324" s="2095"/>
      <c r="AI324" s="2095"/>
      <c r="AJ324" s="2095"/>
      <c r="AK324" s="2095"/>
      <c r="AL324" s="2095"/>
      <c r="AM324" s="2095"/>
      <c r="AN324" s="2095"/>
      <c r="AO324" s="2095"/>
      <c r="AP324" s="2095"/>
      <c r="AQ324" s="2095"/>
      <c r="AR324" s="2095"/>
      <c r="AS324" s="2095"/>
      <c r="AT324" s="2095"/>
      <c r="AU324" s="2095"/>
      <c r="AV324" s="2095"/>
      <c r="AW324" s="2095"/>
      <c r="AX324" s="2095"/>
      <c r="AY324" s="2095"/>
      <c r="AZ324" s="2095"/>
      <c r="BA324" s="2093"/>
      <c r="BB324" s="2096"/>
    </row>
    <row r="325" s="2128" customFormat="true" ht="30" hidden="false" customHeight="true" outlineLevel="0" collapsed="false">
      <c r="A325" s="2092"/>
      <c r="B325" s="2093"/>
      <c r="C325" s="2094"/>
      <c r="D325" s="2095"/>
      <c r="E325" s="2095"/>
      <c r="F325" s="2095"/>
      <c r="G325" s="2095"/>
      <c r="H325" s="2095"/>
      <c r="I325" s="2095"/>
      <c r="J325" s="2095"/>
      <c r="K325" s="2095"/>
      <c r="L325" s="2095"/>
      <c r="M325" s="2095"/>
      <c r="N325" s="2095"/>
      <c r="O325" s="2095"/>
      <c r="P325" s="2093"/>
      <c r="Q325" s="2095"/>
      <c r="R325" s="2095"/>
      <c r="S325" s="2095"/>
      <c r="T325" s="2095"/>
      <c r="U325" s="2095"/>
      <c r="V325" s="2095"/>
      <c r="W325" s="2095"/>
      <c r="X325" s="2095"/>
      <c r="Y325" s="2095"/>
      <c r="Z325" s="2095"/>
      <c r="AA325" s="2095"/>
      <c r="AB325" s="2095"/>
      <c r="AC325" s="2095"/>
      <c r="AD325" s="2095"/>
      <c r="AE325" s="2095"/>
      <c r="AF325" s="2095"/>
      <c r="AG325" s="2095"/>
      <c r="AH325" s="2095"/>
      <c r="AI325" s="2095"/>
      <c r="AJ325" s="2095"/>
      <c r="AK325" s="2095"/>
      <c r="AL325" s="2095"/>
      <c r="AM325" s="2095"/>
      <c r="AN325" s="2095"/>
      <c r="AO325" s="2095"/>
      <c r="AP325" s="2095"/>
      <c r="AQ325" s="2095"/>
      <c r="AR325" s="2095"/>
      <c r="AS325" s="2095"/>
      <c r="AT325" s="2095"/>
      <c r="AU325" s="2095"/>
      <c r="AV325" s="2095"/>
      <c r="AW325" s="2095"/>
      <c r="AX325" s="2095"/>
      <c r="AY325" s="2095"/>
      <c r="AZ325" s="2095"/>
      <c r="BA325" s="2093"/>
      <c r="BB325" s="2096"/>
    </row>
    <row r="326" s="2144" customFormat="true" ht="30" hidden="false" customHeight="true" outlineLevel="0" collapsed="false">
      <c r="A326" s="2092"/>
      <c r="B326" s="2093"/>
      <c r="C326" s="2094"/>
      <c r="D326" s="2095"/>
      <c r="E326" s="2095"/>
      <c r="F326" s="2095"/>
      <c r="G326" s="2095"/>
      <c r="H326" s="2095"/>
      <c r="I326" s="2095"/>
      <c r="J326" s="2095"/>
      <c r="K326" s="2095"/>
      <c r="L326" s="2095"/>
      <c r="M326" s="2095"/>
      <c r="N326" s="2095"/>
      <c r="O326" s="2095"/>
      <c r="P326" s="2093"/>
      <c r="Q326" s="2095"/>
      <c r="R326" s="2095"/>
      <c r="S326" s="2095"/>
      <c r="T326" s="2095"/>
      <c r="U326" s="2095"/>
      <c r="V326" s="2095"/>
      <c r="W326" s="2095"/>
      <c r="X326" s="2095"/>
      <c r="Y326" s="2095"/>
      <c r="Z326" s="2095"/>
      <c r="AA326" s="2095"/>
      <c r="AB326" s="2095"/>
      <c r="AC326" s="2095"/>
      <c r="AD326" s="2095"/>
      <c r="AE326" s="2095"/>
      <c r="AF326" s="2095"/>
      <c r="AG326" s="2095"/>
      <c r="AH326" s="2095"/>
      <c r="AI326" s="2095"/>
      <c r="AJ326" s="2095"/>
      <c r="AK326" s="2095"/>
      <c r="AL326" s="2095"/>
      <c r="AM326" s="2095"/>
      <c r="AN326" s="2095"/>
      <c r="AO326" s="2095"/>
      <c r="AP326" s="2095"/>
      <c r="AQ326" s="2095"/>
      <c r="AR326" s="2095"/>
      <c r="AS326" s="2095"/>
      <c r="AT326" s="2095"/>
      <c r="AU326" s="2095"/>
      <c r="AV326" s="2095"/>
      <c r="AW326" s="2095"/>
      <c r="AX326" s="2095"/>
      <c r="AY326" s="2095"/>
      <c r="AZ326" s="2095"/>
      <c r="BA326" s="2093"/>
      <c r="BB326" s="2096"/>
    </row>
    <row r="327" s="2128" customFormat="true" ht="30" hidden="false" customHeight="true" outlineLevel="0" collapsed="false">
      <c r="A327" s="2092"/>
      <c r="B327" s="2093"/>
      <c r="C327" s="2094"/>
      <c r="D327" s="2095"/>
      <c r="E327" s="2095"/>
      <c r="F327" s="2095"/>
      <c r="G327" s="2095"/>
      <c r="H327" s="2095"/>
      <c r="I327" s="2095"/>
      <c r="J327" s="2095"/>
      <c r="K327" s="2095"/>
      <c r="L327" s="2095"/>
      <c r="M327" s="2095"/>
      <c r="N327" s="2095"/>
      <c r="O327" s="2095"/>
      <c r="P327" s="2093"/>
      <c r="Q327" s="2095"/>
      <c r="R327" s="2095"/>
      <c r="S327" s="2095"/>
      <c r="T327" s="2095"/>
      <c r="U327" s="2095"/>
      <c r="V327" s="2095"/>
      <c r="W327" s="2095"/>
      <c r="X327" s="2095"/>
      <c r="Y327" s="2095"/>
      <c r="Z327" s="2095"/>
      <c r="AA327" s="2095"/>
      <c r="AB327" s="2095"/>
      <c r="AC327" s="2095"/>
      <c r="AD327" s="2095"/>
      <c r="AE327" s="2095"/>
      <c r="AF327" s="2095"/>
      <c r="AG327" s="2095"/>
      <c r="AH327" s="2095"/>
      <c r="AI327" s="2095"/>
      <c r="AJ327" s="2095"/>
      <c r="AK327" s="2095"/>
      <c r="AL327" s="2095"/>
      <c r="AM327" s="2095"/>
      <c r="AN327" s="2095"/>
      <c r="AO327" s="2095"/>
      <c r="AP327" s="2095"/>
      <c r="AQ327" s="2095"/>
      <c r="AR327" s="2095"/>
      <c r="AS327" s="2095"/>
      <c r="AT327" s="2095"/>
      <c r="AU327" s="2095"/>
      <c r="AV327" s="2095"/>
      <c r="AW327" s="2095"/>
      <c r="AX327" s="2095"/>
      <c r="AY327" s="2095"/>
      <c r="AZ327" s="2095"/>
      <c r="BA327" s="2093"/>
      <c r="BB327" s="2096"/>
    </row>
    <row r="328" s="2128" customFormat="true" ht="30" hidden="false" customHeight="true" outlineLevel="0" collapsed="false">
      <c r="A328" s="2092"/>
      <c r="B328" s="2093"/>
      <c r="C328" s="2094"/>
      <c r="D328" s="2095"/>
      <c r="E328" s="2095"/>
      <c r="F328" s="2095"/>
      <c r="G328" s="2095"/>
      <c r="H328" s="2095"/>
      <c r="I328" s="2095"/>
      <c r="J328" s="2095"/>
      <c r="K328" s="2095"/>
      <c r="L328" s="2095"/>
      <c r="M328" s="2095"/>
      <c r="N328" s="2095"/>
      <c r="O328" s="2095"/>
      <c r="P328" s="2093"/>
      <c r="Q328" s="2095"/>
      <c r="R328" s="2095"/>
      <c r="S328" s="2095"/>
      <c r="T328" s="2095"/>
      <c r="U328" s="2095"/>
      <c r="V328" s="2095"/>
      <c r="W328" s="2095"/>
      <c r="X328" s="2095"/>
      <c r="Y328" s="2095"/>
      <c r="Z328" s="2095"/>
      <c r="AA328" s="2095"/>
      <c r="AB328" s="2095"/>
      <c r="AC328" s="2095"/>
      <c r="AD328" s="2095"/>
      <c r="AE328" s="2095"/>
      <c r="AF328" s="2095"/>
      <c r="AG328" s="2095"/>
      <c r="AH328" s="2095"/>
      <c r="AI328" s="2095"/>
      <c r="AJ328" s="2095"/>
      <c r="AK328" s="2095"/>
      <c r="AL328" s="2095"/>
      <c r="AM328" s="2095"/>
      <c r="AN328" s="2095"/>
      <c r="AO328" s="2095"/>
      <c r="AP328" s="2095"/>
      <c r="AQ328" s="2095"/>
      <c r="AR328" s="2095"/>
      <c r="AS328" s="2095"/>
      <c r="AT328" s="2095"/>
      <c r="AU328" s="2095"/>
      <c r="AV328" s="2095"/>
      <c r="AW328" s="2095"/>
      <c r="AX328" s="2095"/>
      <c r="AY328" s="2095"/>
      <c r="AZ328" s="2095"/>
      <c r="BA328" s="2093"/>
      <c r="BB328" s="2096"/>
    </row>
    <row r="329" s="2144" customFormat="true" ht="18.75" hidden="false" customHeight="false" outlineLevel="0" collapsed="false">
      <c r="A329" s="2092"/>
      <c r="B329" s="2093"/>
      <c r="C329" s="2094"/>
      <c r="D329" s="2095"/>
      <c r="E329" s="2095"/>
      <c r="F329" s="2095"/>
      <c r="G329" s="2095"/>
      <c r="H329" s="2095"/>
      <c r="I329" s="2095"/>
      <c r="J329" s="2095"/>
      <c r="K329" s="2095"/>
      <c r="L329" s="2095"/>
      <c r="M329" s="2095"/>
      <c r="N329" s="2095"/>
      <c r="O329" s="2095"/>
      <c r="P329" s="2093"/>
      <c r="Q329" s="2095"/>
      <c r="R329" s="2095"/>
      <c r="S329" s="2095"/>
      <c r="T329" s="2095"/>
      <c r="U329" s="2095"/>
      <c r="V329" s="2095"/>
      <c r="W329" s="2095"/>
      <c r="X329" s="2095"/>
      <c r="Y329" s="2095"/>
      <c r="Z329" s="2095"/>
      <c r="AA329" s="2095"/>
      <c r="AB329" s="2095"/>
      <c r="AC329" s="2095"/>
      <c r="AD329" s="2095"/>
      <c r="AE329" s="2095"/>
      <c r="AF329" s="2095"/>
      <c r="AG329" s="2095"/>
      <c r="AH329" s="2095"/>
      <c r="AI329" s="2095"/>
      <c r="AJ329" s="2095"/>
      <c r="AK329" s="2095"/>
      <c r="AL329" s="2095"/>
      <c r="AM329" s="2095"/>
      <c r="AN329" s="2095"/>
      <c r="AO329" s="2095"/>
      <c r="AP329" s="2095"/>
      <c r="AQ329" s="2095"/>
      <c r="AR329" s="2095"/>
      <c r="AS329" s="2095"/>
      <c r="AT329" s="2095"/>
      <c r="AU329" s="2095"/>
      <c r="AV329" s="2095"/>
      <c r="AW329" s="2095"/>
      <c r="AX329" s="2095"/>
      <c r="AY329" s="2095"/>
      <c r="AZ329" s="2095"/>
      <c r="BA329" s="2093"/>
      <c r="BB329" s="2096"/>
    </row>
    <row r="330" s="2144" customFormat="true" ht="30" hidden="false" customHeight="true" outlineLevel="0" collapsed="false">
      <c r="A330" s="2092"/>
      <c r="B330" s="2093"/>
      <c r="C330" s="2094"/>
      <c r="D330" s="2095"/>
      <c r="E330" s="2095"/>
      <c r="F330" s="2095"/>
      <c r="G330" s="2095"/>
      <c r="H330" s="2095"/>
      <c r="I330" s="2095"/>
      <c r="J330" s="2095"/>
      <c r="K330" s="2095"/>
      <c r="L330" s="2095"/>
      <c r="M330" s="2095"/>
      <c r="N330" s="2095"/>
      <c r="O330" s="2095"/>
      <c r="P330" s="2093"/>
      <c r="Q330" s="2095"/>
      <c r="R330" s="2095"/>
      <c r="S330" s="2095"/>
      <c r="T330" s="2095"/>
      <c r="U330" s="2095"/>
      <c r="V330" s="2095"/>
      <c r="W330" s="2095"/>
      <c r="X330" s="2095"/>
      <c r="Y330" s="2095"/>
      <c r="Z330" s="2095"/>
      <c r="AA330" s="2095"/>
      <c r="AB330" s="2095"/>
      <c r="AC330" s="2095"/>
      <c r="AD330" s="2095"/>
      <c r="AE330" s="2095"/>
      <c r="AF330" s="2095"/>
      <c r="AG330" s="2095"/>
      <c r="AH330" s="2095"/>
      <c r="AI330" s="2095"/>
      <c r="AJ330" s="2095"/>
      <c r="AK330" s="2095"/>
      <c r="AL330" s="2095"/>
      <c r="AM330" s="2095"/>
      <c r="AN330" s="2095"/>
      <c r="AO330" s="2095"/>
      <c r="AP330" s="2095"/>
      <c r="AQ330" s="2095"/>
      <c r="AR330" s="2095"/>
      <c r="AS330" s="2095"/>
      <c r="AT330" s="2095"/>
      <c r="AU330" s="2095"/>
      <c r="AV330" s="2095"/>
      <c r="AW330" s="2095"/>
      <c r="AX330" s="2095"/>
      <c r="AY330" s="2095"/>
      <c r="AZ330" s="2095"/>
      <c r="BA330" s="2093"/>
      <c r="BB330" s="2096"/>
    </row>
    <row r="331" s="2128" customFormat="true" ht="30" hidden="false" customHeight="true" outlineLevel="0" collapsed="false">
      <c r="A331" s="2092"/>
      <c r="B331" s="2093"/>
      <c r="C331" s="2094"/>
      <c r="D331" s="2095"/>
      <c r="E331" s="2095"/>
      <c r="F331" s="2095"/>
      <c r="G331" s="2095"/>
      <c r="H331" s="2095"/>
      <c r="I331" s="2095"/>
      <c r="J331" s="2095"/>
      <c r="K331" s="2095"/>
      <c r="L331" s="2095"/>
      <c r="M331" s="2095"/>
      <c r="N331" s="2095"/>
      <c r="O331" s="2095"/>
      <c r="P331" s="2093"/>
      <c r="Q331" s="2095"/>
      <c r="R331" s="2095"/>
      <c r="S331" s="2095"/>
      <c r="T331" s="2095"/>
      <c r="U331" s="2095"/>
      <c r="V331" s="2095"/>
      <c r="W331" s="2095"/>
      <c r="X331" s="2095"/>
      <c r="Y331" s="2095"/>
      <c r="Z331" s="2095"/>
      <c r="AA331" s="2095"/>
      <c r="AB331" s="2095"/>
      <c r="AC331" s="2095"/>
      <c r="AD331" s="2095"/>
      <c r="AE331" s="2095"/>
      <c r="AF331" s="2095"/>
      <c r="AG331" s="2095"/>
      <c r="AH331" s="2095"/>
      <c r="AI331" s="2095"/>
      <c r="AJ331" s="2095"/>
      <c r="AK331" s="2095"/>
      <c r="AL331" s="2095"/>
      <c r="AM331" s="2095"/>
      <c r="AN331" s="2095"/>
      <c r="AO331" s="2095"/>
      <c r="AP331" s="2095"/>
      <c r="AQ331" s="2095"/>
      <c r="AR331" s="2095"/>
      <c r="AS331" s="2095"/>
      <c r="AT331" s="2095"/>
      <c r="AU331" s="2095"/>
      <c r="AV331" s="2095"/>
      <c r="AW331" s="2095"/>
      <c r="AX331" s="2095"/>
      <c r="AY331" s="2095"/>
      <c r="AZ331" s="2095"/>
      <c r="BA331" s="2093"/>
      <c r="BB331" s="2096"/>
    </row>
    <row r="332" s="2128" customFormat="true" ht="30" hidden="false" customHeight="true" outlineLevel="0" collapsed="false">
      <c r="A332" s="2092"/>
      <c r="B332" s="2093"/>
      <c r="C332" s="2094"/>
      <c r="D332" s="2095"/>
      <c r="E332" s="2095"/>
      <c r="F332" s="2095"/>
      <c r="G332" s="2095"/>
      <c r="H332" s="2095"/>
      <c r="I332" s="2095"/>
      <c r="J332" s="2095"/>
      <c r="K332" s="2095"/>
      <c r="L332" s="2095"/>
      <c r="M332" s="2095"/>
      <c r="N332" s="2095"/>
      <c r="O332" s="2095"/>
      <c r="P332" s="2093"/>
      <c r="Q332" s="2095"/>
      <c r="R332" s="2095"/>
      <c r="S332" s="2095"/>
      <c r="T332" s="2095"/>
      <c r="U332" s="2095"/>
      <c r="V332" s="2095"/>
      <c r="W332" s="2095"/>
      <c r="X332" s="2095"/>
      <c r="Y332" s="2095"/>
      <c r="Z332" s="2095"/>
      <c r="AA332" s="2095"/>
      <c r="AB332" s="2095"/>
      <c r="AC332" s="2095"/>
      <c r="AD332" s="2095"/>
      <c r="AE332" s="2095"/>
      <c r="AF332" s="2095"/>
      <c r="AG332" s="2095"/>
      <c r="AH332" s="2095"/>
      <c r="AI332" s="2095"/>
      <c r="AJ332" s="2095"/>
      <c r="AK332" s="2095"/>
      <c r="AL332" s="2095"/>
      <c r="AM332" s="2095"/>
      <c r="AN332" s="2095"/>
      <c r="AO332" s="2095"/>
      <c r="AP332" s="2095"/>
      <c r="AQ332" s="2095"/>
      <c r="AR332" s="2095"/>
      <c r="AS332" s="2095"/>
      <c r="AT332" s="2095"/>
      <c r="AU332" s="2095"/>
      <c r="AV332" s="2095"/>
      <c r="AW332" s="2095"/>
      <c r="AX332" s="2095"/>
      <c r="AY332" s="2095"/>
      <c r="AZ332" s="2095"/>
      <c r="BA332" s="2093"/>
      <c r="BB332" s="2096"/>
    </row>
    <row r="333" s="2128" customFormat="true" ht="30" hidden="false" customHeight="true" outlineLevel="0" collapsed="false">
      <c r="A333" s="2092"/>
      <c r="B333" s="2093"/>
      <c r="C333" s="2094"/>
      <c r="D333" s="2095"/>
      <c r="E333" s="2095"/>
      <c r="F333" s="2095"/>
      <c r="G333" s="2095"/>
      <c r="H333" s="2095"/>
      <c r="I333" s="2095"/>
      <c r="J333" s="2095"/>
      <c r="K333" s="2095"/>
      <c r="L333" s="2095"/>
      <c r="M333" s="2095"/>
      <c r="N333" s="2095"/>
      <c r="O333" s="2095"/>
      <c r="P333" s="2093"/>
      <c r="Q333" s="2095"/>
      <c r="R333" s="2095"/>
      <c r="S333" s="2095"/>
      <c r="T333" s="2095"/>
      <c r="U333" s="2095"/>
      <c r="V333" s="2095"/>
      <c r="W333" s="2095"/>
      <c r="X333" s="2095"/>
      <c r="Y333" s="2095"/>
      <c r="Z333" s="2095"/>
      <c r="AA333" s="2095"/>
      <c r="AB333" s="2095"/>
      <c r="AC333" s="2095"/>
      <c r="AD333" s="2095"/>
      <c r="AE333" s="2095"/>
      <c r="AF333" s="2095"/>
      <c r="AG333" s="2095"/>
      <c r="AH333" s="2095"/>
      <c r="AI333" s="2095"/>
      <c r="AJ333" s="2095"/>
      <c r="AK333" s="2095"/>
      <c r="AL333" s="2095"/>
      <c r="AM333" s="2095"/>
      <c r="AN333" s="2095"/>
      <c r="AO333" s="2095"/>
      <c r="AP333" s="2095"/>
      <c r="AQ333" s="2095"/>
      <c r="AR333" s="2095"/>
      <c r="AS333" s="2095"/>
      <c r="AT333" s="2095"/>
      <c r="AU333" s="2095"/>
      <c r="AV333" s="2095"/>
      <c r="AW333" s="2095"/>
      <c r="AX333" s="2095"/>
      <c r="AY333" s="2095"/>
      <c r="AZ333" s="2095"/>
      <c r="BA333" s="2093"/>
      <c r="BB333" s="2096"/>
    </row>
    <row r="334" s="2128" customFormat="true" ht="30" hidden="false" customHeight="true" outlineLevel="0" collapsed="false">
      <c r="A334" s="2092"/>
      <c r="B334" s="2093"/>
      <c r="C334" s="2094"/>
      <c r="D334" s="2095"/>
      <c r="E334" s="2095"/>
      <c r="F334" s="2095"/>
      <c r="G334" s="2095"/>
      <c r="H334" s="2095"/>
      <c r="I334" s="2095"/>
      <c r="J334" s="2095"/>
      <c r="K334" s="2095"/>
      <c r="L334" s="2095"/>
      <c r="M334" s="2095"/>
      <c r="N334" s="2095"/>
      <c r="O334" s="2095"/>
      <c r="P334" s="2093"/>
      <c r="Q334" s="2095"/>
      <c r="R334" s="2095"/>
      <c r="S334" s="2095"/>
      <c r="T334" s="2095"/>
      <c r="U334" s="2095"/>
      <c r="V334" s="2095"/>
      <c r="W334" s="2095"/>
      <c r="X334" s="2095"/>
      <c r="Y334" s="2095"/>
      <c r="Z334" s="2095"/>
      <c r="AA334" s="2095"/>
      <c r="AB334" s="2095"/>
      <c r="AC334" s="2095"/>
      <c r="AD334" s="2095"/>
      <c r="AE334" s="2095"/>
      <c r="AF334" s="2095"/>
      <c r="AG334" s="2095"/>
      <c r="AH334" s="2095"/>
      <c r="AI334" s="2095"/>
      <c r="AJ334" s="2095"/>
      <c r="AK334" s="2095"/>
      <c r="AL334" s="2095"/>
      <c r="AM334" s="2095"/>
      <c r="AN334" s="2095"/>
      <c r="AO334" s="2095"/>
      <c r="AP334" s="2095"/>
      <c r="AQ334" s="2095"/>
      <c r="AR334" s="2095"/>
      <c r="AS334" s="2095"/>
      <c r="AT334" s="2095"/>
      <c r="AU334" s="2095"/>
      <c r="AV334" s="2095"/>
      <c r="AW334" s="2095"/>
      <c r="AX334" s="2095"/>
      <c r="AY334" s="2095"/>
      <c r="AZ334" s="2095"/>
      <c r="BA334" s="2093"/>
      <c r="BB334" s="2096"/>
    </row>
    <row r="335" s="2128" customFormat="true" ht="30" hidden="false" customHeight="true" outlineLevel="0" collapsed="false">
      <c r="A335" s="2092"/>
      <c r="B335" s="2093"/>
      <c r="C335" s="2094"/>
      <c r="D335" s="2095"/>
      <c r="E335" s="2095"/>
      <c r="F335" s="2095"/>
      <c r="G335" s="2095"/>
      <c r="H335" s="2095"/>
      <c r="I335" s="2095"/>
      <c r="J335" s="2095"/>
      <c r="K335" s="2095"/>
      <c r="L335" s="2095"/>
      <c r="M335" s="2095"/>
      <c r="N335" s="2095"/>
      <c r="O335" s="2095"/>
      <c r="P335" s="2093"/>
      <c r="Q335" s="2095"/>
      <c r="R335" s="2095"/>
      <c r="S335" s="2095"/>
      <c r="T335" s="2095"/>
      <c r="U335" s="2095"/>
      <c r="V335" s="2095"/>
      <c r="W335" s="2095"/>
      <c r="X335" s="2095"/>
      <c r="Y335" s="2095"/>
      <c r="Z335" s="2095"/>
      <c r="AA335" s="2095"/>
      <c r="AB335" s="2095"/>
      <c r="AC335" s="2095"/>
      <c r="AD335" s="2095"/>
      <c r="AE335" s="2095"/>
      <c r="AF335" s="2095"/>
      <c r="AG335" s="2095"/>
      <c r="AH335" s="2095"/>
      <c r="AI335" s="2095"/>
      <c r="AJ335" s="2095"/>
      <c r="AK335" s="2095"/>
      <c r="AL335" s="2095"/>
      <c r="AM335" s="2095"/>
      <c r="AN335" s="2095"/>
      <c r="AO335" s="2095"/>
      <c r="AP335" s="2095"/>
      <c r="AQ335" s="2095"/>
      <c r="AR335" s="2095"/>
      <c r="AS335" s="2095"/>
      <c r="AT335" s="2095"/>
      <c r="AU335" s="2095"/>
      <c r="AV335" s="2095"/>
      <c r="AW335" s="2095"/>
      <c r="AX335" s="2095"/>
      <c r="AY335" s="2095"/>
      <c r="AZ335" s="2095"/>
      <c r="BA335" s="2093"/>
      <c r="BB335" s="2096"/>
    </row>
    <row r="336" s="2128" customFormat="true" ht="30" hidden="false" customHeight="true" outlineLevel="0" collapsed="false">
      <c r="A336" s="2092"/>
      <c r="B336" s="2093"/>
      <c r="C336" s="2094"/>
      <c r="D336" s="2095"/>
      <c r="E336" s="2095"/>
      <c r="F336" s="2095"/>
      <c r="G336" s="2095"/>
      <c r="H336" s="2095"/>
      <c r="I336" s="2095"/>
      <c r="J336" s="2095"/>
      <c r="K336" s="2095"/>
      <c r="L336" s="2095"/>
      <c r="M336" s="2095"/>
      <c r="N336" s="2095"/>
      <c r="O336" s="2095"/>
      <c r="P336" s="2093"/>
      <c r="Q336" s="2095"/>
      <c r="R336" s="2095"/>
      <c r="S336" s="2095"/>
      <c r="T336" s="2095"/>
      <c r="U336" s="2095"/>
      <c r="V336" s="2095"/>
      <c r="W336" s="2095"/>
      <c r="X336" s="2095"/>
      <c r="Y336" s="2095"/>
      <c r="Z336" s="2095"/>
      <c r="AA336" s="2095"/>
      <c r="AB336" s="2095"/>
      <c r="AC336" s="2095"/>
      <c r="AD336" s="2095"/>
      <c r="AE336" s="2095"/>
      <c r="AF336" s="2095"/>
      <c r="AG336" s="2095"/>
      <c r="AH336" s="2095"/>
      <c r="AI336" s="2095"/>
      <c r="AJ336" s="2095"/>
      <c r="AK336" s="2095"/>
      <c r="AL336" s="2095"/>
      <c r="AM336" s="2095"/>
      <c r="AN336" s="2095"/>
      <c r="AO336" s="2095"/>
      <c r="AP336" s="2095"/>
      <c r="AQ336" s="2095"/>
      <c r="AR336" s="2095"/>
      <c r="AS336" s="2095"/>
      <c r="AT336" s="2095"/>
      <c r="AU336" s="2095"/>
      <c r="AV336" s="2095"/>
      <c r="AW336" s="2095"/>
      <c r="AX336" s="2095"/>
      <c r="AY336" s="2095"/>
      <c r="AZ336" s="2095"/>
      <c r="BA336" s="2093"/>
      <c r="BB336" s="2096"/>
    </row>
    <row r="337" s="2128" customFormat="true" ht="30" hidden="false" customHeight="true" outlineLevel="0" collapsed="false">
      <c r="A337" s="2092"/>
      <c r="B337" s="2093"/>
      <c r="C337" s="2094"/>
      <c r="D337" s="2095"/>
      <c r="E337" s="2095"/>
      <c r="F337" s="2095"/>
      <c r="G337" s="2095"/>
      <c r="H337" s="2095"/>
      <c r="I337" s="2095"/>
      <c r="J337" s="2095"/>
      <c r="K337" s="2095"/>
      <c r="L337" s="2095"/>
      <c r="M337" s="2095"/>
      <c r="N337" s="2095"/>
      <c r="O337" s="2095"/>
      <c r="P337" s="2093"/>
      <c r="Q337" s="2095"/>
      <c r="R337" s="2095"/>
      <c r="S337" s="2095"/>
      <c r="T337" s="2095"/>
      <c r="U337" s="2095"/>
      <c r="V337" s="2095"/>
      <c r="W337" s="2095"/>
      <c r="X337" s="2095"/>
      <c r="Y337" s="2095"/>
      <c r="Z337" s="2095"/>
      <c r="AA337" s="2095"/>
      <c r="AB337" s="2095"/>
      <c r="AC337" s="2095"/>
      <c r="AD337" s="2095"/>
      <c r="AE337" s="2095"/>
      <c r="AF337" s="2095"/>
      <c r="AG337" s="2095"/>
      <c r="AH337" s="2095"/>
      <c r="AI337" s="2095"/>
      <c r="AJ337" s="2095"/>
      <c r="AK337" s="2095"/>
      <c r="AL337" s="2095"/>
      <c r="AM337" s="2095"/>
      <c r="AN337" s="2095"/>
      <c r="AO337" s="2095"/>
      <c r="AP337" s="2095"/>
      <c r="AQ337" s="2095"/>
      <c r="AR337" s="2095"/>
      <c r="AS337" s="2095"/>
      <c r="AT337" s="2095"/>
      <c r="AU337" s="2095"/>
      <c r="AV337" s="2095"/>
      <c r="AW337" s="2095"/>
      <c r="AX337" s="2095"/>
      <c r="AY337" s="2095"/>
      <c r="AZ337" s="2095"/>
      <c r="BA337" s="2093"/>
      <c r="BB337" s="2096"/>
    </row>
    <row r="338" s="2128" customFormat="true" ht="30" hidden="false" customHeight="true" outlineLevel="0" collapsed="false">
      <c r="A338" s="2092"/>
      <c r="B338" s="2093"/>
      <c r="C338" s="2094"/>
      <c r="D338" s="2095"/>
      <c r="E338" s="2095"/>
      <c r="F338" s="2095"/>
      <c r="G338" s="2095"/>
      <c r="H338" s="2095"/>
      <c r="I338" s="2095"/>
      <c r="J338" s="2095"/>
      <c r="K338" s="2095"/>
      <c r="L338" s="2095"/>
      <c r="M338" s="2095"/>
      <c r="N338" s="2095"/>
      <c r="O338" s="2095"/>
      <c r="P338" s="2093"/>
      <c r="Q338" s="2095"/>
      <c r="R338" s="2095"/>
      <c r="S338" s="2095"/>
      <c r="T338" s="2095"/>
      <c r="U338" s="2095"/>
      <c r="V338" s="2095"/>
      <c r="W338" s="2095"/>
      <c r="X338" s="2095"/>
      <c r="Y338" s="2095"/>
      <c r="Z338" s="2095"/>
      <c r="AA338" s="2095"/>
      <c r="AB338" s="2095"/>
      <c r="AC338" s="2095"/>
      <c r="AD338" s="2095"/>
      <c r="AE338" s="2095"/>
      <c r="AF338" s="2095"/>
      <c r="AG338" s="2095"/>
      <c r="AH338" s="2095"/>
      <c r="AI338" s="2095"/>
      <c r="AJ338" s="2095"/>
      <c r="AK338" s="2095"/>
      <c r="AL338" s="2095"/>
      <c r="AM338" s="2095"/>
      <c r="AN338" s="2095"/>
      <c r="AO338" s="2095"/>
      <c r="AP338" s="2095"/>
      <c r="AQ338" s="2095"/>
      <c r="AR338" s="2095"/>
      <c r="AS338" s="2095"/>
      <c r="AT338" s="2095"/>
      <c r="AU338" s="2095"/>
      <c r="AV338" s="2095"/>
      <c r="AW338" s="2095"/>
      <c r="AX338" s="2095"/>
      <c r="AY338" s="2095"/>
      <c r="AZ338" s="2095"/>
      <c r="BA338" s="2093"/>
      <c r="BB338" s="2096"/>
    </row>
    <row r="339" s="2144" customFormat="true" ht="30" hidden="false" customHeight="true" outlineLevel="0" collapsed="false">
      <c r="A339" s="2092"/>
      <c r="B339" s="2093"/>
      <c r="C339" s="2094"/>
      <c r="D339" s="2095"/>
      <c r="E339" s="2095"/>
      <c r="F339" s="2095"/>
      <c r="G339" s="2095"/>
      <c r="H339" s="2095"/>
      <c r="I339" s="2095"/>
      <c r="J339" s="2095"/>
      <c r="K339" s="2095"/>
      <c r="L339" s="2095"/>
      <c r="M339" s="2095"/>
      <c r="N339" s="2095"/>
      <c r="O339" s="2095"/>
      <c r="P339" s="2093"/>
      <c r="Q339" s="2095"/>
      <c r="R339" s="2095"/>
      <c r="S339" s="2095"/>
      <c r="T339" s="2095"/>
      <c r="U339" s="2095"/>
      <c r="V339" s="2095"/>
      <c r="W339" s="2095"/>
      <c r="X339" s="2095"/>
      <c r="Y339" s="2095"/>
      <c r="Z339" s="2095"/>
      <c r="AA339" s="2095"/>
      <c r="AB339" s="2095"/>
      <c r="AC339" s="2095"/>
      <c r="AD339" s="2095"/>
      <c r="AE339" s="2095"/>
      <c r="AF339" s="2095"/>
      <c r="AG339" s="2095"/>
      <c r="AH339" s="2095"/>
      <c r="AI339" s="2095"/>
      <c r="AJ339" s="2095"/>
      <c r="AK339" s="2095"/>
      <c r="AL339" s="2095"/>
      <c r="AM339" s="2095"/>
      <c r="AN339" s="2095"/>
      <c r="AO339" s="2095"/>
      <c r="AP339" s="2095"/>
      <c r="AQ339" s="2095"/>
      <c r="AR339" s="2095"/>
      <c r="AS339" s="2095"/>
      <c r="AT339" s="2095"/>
      <c r="AU339" s="2095"/>
      <c r="AV339" s="2095"/>
      <c r="AW339" s="2095"/>
      <c r="AX339" s="2095"/>
      <c r="AY339" s="2095"/>
      <c r="AZ339" s="2095"/>
      <c r="BA339" s="2093"/>
      <c r="BB339" s="2096"/>
    </row>
    <row r="340" s="2128" customFormat="true" ht="30" hidden="false" customHeight="true" outlineLevel="0" collapsed="false">
      <c r="A340" s="2092"/>
      <c r="B340" s="2093"/>
      <c r="C340" s="2094"/>
      <c r="D340" s="2095"/>
      <c r="E340" s="2095"/>
      <c r="F340" s="2095"/>
      <c r="G340" s="2095"/>
      <c r="H340" s="2095"/>
      <c r="I340" s="2095"/>
      <c r="J340" s="2095"/>
      <c r="K340" s="2095"/>
      <c r="L340" s="2095"/>
      <c r="M340" s="2095"/>
      <c r="N340" s="2095"/>
      <c r="O340" s="2095"/>
      <c r="P340" s="2093"/>
      <c r="Q340" s="2095"/>
      <c r="R340" s="2095"/>
      <c r="S340" s="2095"/>
      <c r="T340" s="2095"/>
      <c r="U340" s="2095"/>
      <c r="V340" s="2095"/>
      <c r="W340" s="2095"/>
      <c r="X340" s="2095"/>
      <c r="Y340" s="2095"/>
      <c r="Z340" s="2095"/>
      <c r="AA340" s="2095"/>
      <c r="AB340" s="2095"/>
      <c r="AC340" s="2095"/>
      <c r="AD340" s="2095"/>
      <c r="AE340" s="2095"/>
      <c r="AF340" s="2095"/>
      <c r="AG340" s="2095"/>
      <c r="AH340" s="2095"/>
      <c r="AI340" s="2095"/>
      <c r="AJ340" s="2095"/>
      <c r="AK340" s="2095"/>
      <c r="AL340" s="2095"/>
      <c r="AM340" s="2095"/>
      <c r="AN340" s="2095"/>
      <c r="AO340" s="2095"/>
      <c r="AP340" s="2095"/>
      <c r="AQ340" s="2095"/>
      <c r="AR340" s="2095"/>
      <c r="AS340" s="2095"/>
      <c r="AT340" s="2095"/>
      <c r="AU340" s="2095"/>
      <c r="AV340" s="2095"/>
      <c r="AW340" s="2095"/>
      <c r="AX340" s="2095"/>
      <c r="AY340" s="2095"/>
      <c r="AZ340" s="2095"/>
      <c r="BA340" s="2093"/>
      <c r="BB340" s="2096"/>
    </row>
    <row r="341" s="2128" customFormat="true" ht="30" hidden="false" customHeight="true" outlineLevel="0" collapsed="false">
      <c r="A341" s="2092"/>
      <c r="B341" s="2093"/>
      <c r="C341" s="2094"/>
      <c r="D341" s="2095"/>
      <c r="E341" s="2095"/>
      <c r="F341" s="2095"/>
      <c r="G341" s="2095"/>
      <c r="H341" s="2095"/>
      <c r="I341" s="2095"/>
      <c r="J341" s="2095"/>
      <c r="K341" s="2095"/>
      <c r="L341" s="2095"/>
      <c r="M341" s="2095"/>
      <c r="N341" s="2095"/>
      <c r="O341" s="2095"/>
      <c r="P341" s="2093"/>
      <c r="Q341" s="2095"/>
      <c r="R341" s="2095"/>
      <c r="S341" s="2095"/>
      <c r="T341" s="2095"/>
      <c r="U341" s="2095"/>
      <c r="V341" s="2095"/>
      <c r="W341" s="2095"/>
      <c r="X341" s="2095"/>
      <c r="Y341" s="2095"/>
      <c r="Z341" s="2095"/>
      <c r="AA341" s="2095"/>
      <c r="AB341" s="2095"/>
      <c r="AC341" s="2095"/>
      <c r="AD341" s="2095"/>
      <c r="AE341" s="2095"/>
      <c r="AF341" s="2095"/>
      <c r="AG341" s="2095"/>
      <c r="AH341" s="2095"/>
      <c r="AI341" s="2095"/>
      <c r="AJ341" s="2095"/>
      <c r="AK341" s="2095"/>
      <c r="AL341" s="2095"/>
      <c r="AM341" s="2095"/>
      <c r="AN341" s="2095"/>
      <c r="AO341" s="2095"/>
      <c r="AP341" s="2095"/>
      <c r="AQ341" s="2095"/>
      <c r="AR341" s="2095"/>
      <c r="AS341" s="2095"/>
      <c r="AT341" s="2095"/>
      <c r="AU341" s="2095"/>
      <c r="AV341" s="2095"/>
      <c r="AW341" s="2095"/>
      <c r="AX341" s="2095"/>
      <c r="AY341" s="2095"/>
      <c r="AZ341" s="2095"/>
      <c r="BA341" s="2093"/>
      <c r="BB341" s="2096"/>
    </row>
    <row r="342" s="2144" customFormat="true" ht="18.75" hidden="false" customHeight="false" outlineLevel="0" collapsed="false">
      <c r="A342" s="2092"/>
      <c r="B342" s="2093"/>
      <c r="C342" s="2094"/>
      <c r="D342" s="2095"/>
      <c r="E342" s="2095"/>
      <c r="F342" s="2095"/>
      <c r="G342" s="2095"/>
      <c r="H342" s="2095"/>
      <c r="I342" s="2095"/>
      <c r="J342" s="2095"/>
      <c r="K342" s="2095"/>
      <c r="L342" s="2095"/>
      <c r="M342" s="2095"/>
      <c r="N342" s="2095"/>
      <c r="O342" s="2095"/>
      <c r="P342" s="2093"/>
      <c r="Q342" s="2095"/>
      <c r="R342" s="2095"/>
      <c r="S342" s="2095"/>
      <c r="T342" s="2095"/>
      <c r="U342" s="2095"/>
      <c r="V342" s="2095"/>
      <c r="W342" s="2095"/>
      <c r="X342" s="2095"/>
      <c r="Y342" s="2095"/>
      <c r="Z342" s="2095"/>
      <c r="AA342" s="2095"/>
      <c r="AB342" s="2095"/>
      <c r="AC342" s="2095"/>
      <c r="AD342" s="2095"/>
      <c r="AE342" s="2095"/>
      <c r="AF342" s="2095"/>
      <c r="AG342" s="2095"/>
      <c r="AH342" s="2095"/>
      <c r="AI342" s="2095"/>
      <c r="AJ342" s="2095"/>
      <c r="AK342" s="2095"/>
      <c r="AL342" s="2095"/>
      <c r="AM342" s="2095"/>
      <c r="AN342" s="2095"/>
      <c r="AO342" s="2095"/>
      <c r="AP342" s="2095"/>
      <c r="AQ342" s="2095"/>
      <c r="AR342" s="2095"/>
      <c r="AS342" s="2095"/>
      <c r="AT342" s="2095"/>
      <c r="AU342" s="2095"/>
      <c r="AV342" s="2095"/>
      <c r="AW342" s="2095"/>
      <c r="AX342" s="2095"/>
      <c r="AY342" s="2095"/>
      <c r="AZ342" s="2095"/>
      <c r="BA342" s="2093"/>
      <c r="BB342" s="2096"/>
    </row>
    <row r="343" s="2128" customFormat="true" ht="30" hidden="false" customHeight="true" outlineLevel="0" collapsed="false">
      <c r="A343" s="2092"/>
      <c r="B343" s="2093"/>
      <c r="C343" s="2094"/>
      <c r="D343" s="2095"/>
      <c r="E343" s="2095"/>
      <c r="F343" s="2095"/>
      <c r="G343" s="2095"/>
      <c r="H343" s="2095"/>
      <c r="I343" s="2095"/>
      <c r="J343" s="2095"/>
      <c r="K343" s="2095"/>
      <c r="L343" s="2095"/>
      <c r="M343" s="2095"/>
      <c r="N343" s="2095"/>
      <c r="O343" s="2095"/>
      <c r="P343" s="2093"/>
      <c r="Q343" s="2095"/>
      <c r="R343" s="2095"/>
      <c r="S343" s="2095"/>
      <c r="T343" s="2095"/>
      <c r="U343" s="2095"/>
      <c r="V343" s="2095"/>
      <c r="W343" s="2095"/>
      <c r="X343" s="2095"/>
      <c r="Y343" s="2095"/>
      <c r="Z343" s="2095"/>
      <c r="AA343" s="2095"/>
      <c r="AB343" s="2095"/>
      <c r="AC343" s="2095"/>
      <c r="AD343" s="2095"/>
      <c r="AE343" s="2095"/>
      <c r="AF343" s="2095"/>
      <c r="AG343" s="2095"/>
      <c r="AH343" s="2095"/>
      <c r="AI343" s="2095"/>
      <c r="AJ343" s="2095"/>
      <c r="AK343" s="2095"/>
      <c r="AL343" s="2095"/>
      <c r="AM343" s="2095"/>
      <c r="AN343" s="2095"/>
      <c r="AO343" s="2095"/>
      <c r="AP343" s="2095"/>
      <c r="AQ343" s="2095"/>
      <c r="AR343" s="2095"/>
      <c r="AS343" s="2095"/>
      <c r="AT343" s="2095"/>
      <c r="AU343" s="2095"/>
      <c r="AV343" s="2095"/>
      <c r="AW343" s="2095"/>
      <c r="AX343" s="2095"/>
      <c r="AY343" s="2095"/>
      <c r="AZ343" s="2095"/>
      <c r="BA343" s="2093"/>
      <c r="BB343" s="2096"/>
    </row>
    <row r="344" s="2128" customFormat="true" ht="30" hidden="false" customHeight="true" outlineLevel="0" collapsed="false">
      <c r="A344" s="2092"/>
      <c r="B344" s="2093"/>
      <c r="C344" s="2094"/>
      <c r="D344" s="2095"/>
      <c r="E344" s="2095"/>
      <c r="F344" s="2095"/>
      <c r="G344" s="2095"/>
      <c r="H344" s="2095"/>
      <c r="I344" s="2095"/>
      <c r="J344" s="2095"/>
      <c r="K344" s="2095"/>
      <c r="L344" s="2095"/>
      <c r="M344" s="2095"/>
      <c r="N344" s="2095"/>
      <c r="O344" s="2095"/>
      <c r="P344" s="2093"/>
      <c r="Q344" s="2095"/>
      <c r="R344" s="2095"/>
      <c r="S344" s="2095"/>
      <c r="T344" s="2095"/>
      <c r="U344" s="2095"/>
      <c r="V344" s="2095"/>
      <c r="W344" s="2095"/>
      <c r="X344" s="2095"/>
      <c r="Y344" s="2095"/>
      <c r="Z344" s="2095"/>
      <c r="AA344" s="2095"/>
      <c r="AB344" s="2095"/>
      <c r="AC344" s="2095"/>
      <c r="AD344" s="2095"/>
      <c r="AE344" s="2095"/>
      <c r="AF344" s="2095"/>
      <c r="AG344" s="2095"/>
      <c r="AH344" s="2095"/>
      <c r="AI344" s="2095"/>
      <c r="AJ344" s="2095"/>
      <c r="AK344" s="2095"/>
      <c r="AL344" s="2095"/>
      <c r="AM344" s="2095"/>
      <c r="AN344" s="2095"/>
      <c r="AO344" s="2095"/>
      <c r="AP344" s="2095"/>
      <c r="AQ344" s="2095"/>
      <c r="AR344" s="2095"/>
      <c r="AS344" s="2095"/>
      <c r="AT344" s="2095"/>
      <c r="AU344" s="2095"/>
      <c r="AV344" s="2095"/>
      <c r="AW344" s="2095"/>
      <c r="AX344" s="2095"/>
      <c r="AY344" s="2095"/>
      <c r="AZ344" s="2095"/>
      <c r="BA344" s="2093"/>
      <c r="BB344" s="2096"/>
    </row>
    <row r="345" s="2144" customFormat="true" ht="30" hidden="false" customHeight="true" outlineLevel="0" collapsed="false">
      <c r="A345" s="2092"/>
      <c r="B345" s="2093"/>
      <c r="C345" s="2094"/>
      <c r="D345" s="2095"/>
      <c r="E345" s="2095"/>
      <c r="F345" s="2095"/>
      <c r="G345" s="2095"/>
      <c r="H345" s="2095"/>
      <c r="I345" s="2095"/>
      <c r="J345" s="2095"/>
      <c r="K345" s="2095"/>
      <c r="L345" s="2095"/>
      <c r="M345" s="2095"/>
      <c r="N345" s="2095"/>
      <c r="O345" s="2095"/>
      <c r="P345" s="2093"/>
      <c r="Q345" s="2095"/>
      <c r="R345" s="2095"/>
      <c r="S345" s="2095"/>
      <c r="T345" s="2095"/>
      <c r="U345" s="2095"/>
      <c r="V345" s="2095"/>
      <c r="W345" s="2095"/>
      <c r="X345" s="2095"/>
      <c r="Y345" s="2095"/>
      <c r="Z345" s="2095"/>
      <c r="AA345" s="2095"/>
      <c r="AB345" s="2095"/>
      <c r="AC345" s="2095"/>
      <c r="AD345" s="2095"/>
      <c r="AE345" s="2095"/>
      <c r="AF345" s="2095"/>
      <c r="AG345" s="2095"/>
      <c r="AH345" s="2095"/>
      <c r="AI345" s="2095"/>
      <c r="AJ345" s="2095"/>
      <c r="AK345" s="2095"/>
      <c r="AL345" s="2095"/>
      <c r="AM345" s="2095"/>
      <c r="AN345" s="2095"/>
      <c r="AO345" s="2095"/>
      <c r="AP345" s="2095"/>
      <c r="AQ345" s="2095"/>
      <c r="AR345" s="2095"/>
      <c r="AS345" s="2095"/>
      <c r="AT345" s="2095"/>
      <c r="AU345" s="2095"/>
      <c r="AV345" s="2095"/>
      <c r="AW345" s="2095"/>
      <c r="AX345" s="2095"/>
      <c r="AY345" s="2095"/>
      <c r="AZ345" s="2095"/>
      <c r="BA345" s="2093"/>
      <c r="BB345" s="2096"/>
    </row>
    <row r="346" s="2144" customFormat="true" ht="30" hidden="false" customHeight="true" outlineLevel="0" collapsed="false">
      <c r="A346" s="2092"/>
      <c r="B346" s="2093"/>
      <c r="C346" s="2094"/>
      <c r="D346" s="2095"/>
      <c r="E346" s="2095"/>
      <c r="F346" s="2095"/>
      <c r="G346" s="2095"/>
      <c r="H346" s="2095"/>
      <c r="I346" s="2095"/>
      <c r="J346" s="2095"/>
      <c r="K346" s="2095"/>
      <c r="L346" s="2095"/>
      <c r="M346" s="2095"/>
      <c r="N346" s="2095"/>
      <c r="O346" s="2095"/>
      <c r="P346" s="2093"/>
      <c r="Q346" s="2095"/>
      <c r="R346" s="2095"/>
      <c r="S346" s="2095"/>
      <c r="T346" s="2095"/>
      <c r="U346" s="2095"/>
      <c r="V346" s="2095"/>
      <c r="W346" s="2095"/>
      <c r="X346" s="2095"/>
      <c r="Y346" s="2095"/>
      <c r="Z346" s="2095"/>
      <c r="AA346" s="2095"/>
      <c r="AB346" s="2095"/>
      <c r="AC346" s="2095"/>
      <c r="AD346" s="2095"/>
      <c r="AE346" s="2095"/>
      <c r="AF346" s="2095"/>
      <c r="AG346" s="2095"/>
      <c r="AH346" s="2095"/>
      <c r="AI346" s="2095"/>
      <c r="AJ346" s="2095"/>
      <c r="AK346" s="2095"/>
      <c r="AL346" s="2095"/>
      <c r="AM346" s="2095"/>
      <c r="AN346" s="2095"/>
      <c r="AO346" s="2095"/>
      <c r="AP346" s="2095"/>
      <c r="AQ346" s="2095"/>
      <c r="AR346" s="2095"/>
      <c r="AS346" s="2095"/>
      <c r="AT346" s="2095"/>
      <c r="AU346" s="2095"/>
      <c r="AV346" s="2095"/>
      <c r="AW346" s="2095"/>
      <c r="AX346" s="2095"/>
      <c r="AY346" s="2095"/>
      <c r="AZ346" s="2095"/>
      <c r="BA346" s="2093"/>
      <c r="BB346" s="2096"/>
    </row>
    <row r="347" s="2128" customFormat="true" ht="30" hidden="false" customHeight="true" outlineLevel="0" collapsed="false">
      <c r="A347" s="2092"/>
      <c r="B347" s="2093"/>
      <c r="C347" s="2094"/>
      <c r="D347" s="2095"/>
      <c r="E347" s="2095"/>
      <c r="F347" s="2095"/>
      <c r="G347" s="2095"/>
      <c r="H347" s="2095"/>
      <c r="I347" s="2095"/>
      <c r="J347" s="2095"/>
      <c r="K347" s="2095"/>
      <c r="L347" s="2095"/>
      <c r="M347" s="2095"/>
      <c r="N347" s="2095"/>
      <c r="O347" s="2095"/>
      <c r="P347" s="2093"/>
      <c r="Q347" s="2095"/>
      <c r="R347" s="2095"/>
      <c r="S347" s="2095"/>
      <c r="T347" s="2095"/>
      <c r="U347" s="2095"/>
      <c r="V347" s="2095"/>
      <c r="W347" s="2095"/>
      <c r="X347" s="2095"/>
      <c r="Y347" s="2095"/>
      <c r="Z347" s="2095"/>
      <c r="AA347" s="2095"/>
      <c r="AB347" s="2095"/>
      <c r="AC347" s="2095"/>
      <c r="AD347" s="2095"/>
      <c r="AE347" s="2095"/>
      <c r="AF347" s="2095"/>
      <c r="AG347" s="2095"/>
      <c r="AH347" s="2095"/>
      <c r="AI347" s="2095"/>
      <c r="AJ347" s="2095"/>
      <c r="AK347" s="2095"/>
      <c r="AL347" s="2095"/>
      <c r="AM347" s="2095"/>
      <c r="AN347" s="2095"/>
      <c r="AO347" s="2095"/>
      <c r="AP347" s="2095"/>
      <c r="AQ347" s="2095"/>
      <c r="AR347" s="2095"/>
      <c r="AS347" s="2095"/>
      <c r="AT347" s="2095"/>
      <c r="AU347" s="2095"/>
      <c r="AV347" s="2095"/>
      <c r="AW347" s="2095"/>
      <c r="AX347" s="2095"/>
      <c r="AY347" s="2095"/>
      <c r="AZ347" s="2095"/>
      <c r="BA347" s="2093"/>
      <c r="BB347" s="2096"/>
    </row>
    <row r="348" s="2144" customFormat="true" ht="30" hidden="false" customHeight="true" outlineLevel="0" collapsed="false">
      <c r="A348" s="2092"/>
      <c r="B348" s="2093"/>
      <c r="C348" s="2094"/>
      <c r="D348" s="2095"/>
      <c r="E348" s="2095"/>
      <c r="F348" s="2095"/>
      <c r="G348" s="2095"/>
      <c r="H348" s="2095"/>
      <c r="I348" s="2095"/>
      <c r="J348" s="2095"/>
      <c r="K348" s="2095"/>
      <c r="L348" s="2095"/>
      <c r="M348" s="2095"/>
      <c r="N348" s="2095"/>
      <c r="O348" s="2095"/>
      <c r="P348" s="2093"/>
      <c r="Q348" s="2095"/>
      <c r="R348" s="2095"/>
      <c r="S348" s="2095"/>
      <c r="T348" s="2095"/>
      <c r="U348" s="2095"/>
      <c r="V348" s="2095"/>
      <c r="W348" s="2095"/>
      <c r="X348" s="2095"/>
      <c r="Y348" s="2095"/>
      <c r="Z348" s="2095"/>
      <c r="AA348" s="2095"/>
      <c r="AB348" s="2095"/>
      <c r="AC348" s="2095"/>
      <c r="AD348" s="2095"/>
      <c r="AE348" s="2095"/>
      <c r="AF348" s="2095"/>
      <c r="AG348" s="2095"/>
      <c r="AH348" s="2095"/>
      <c r="AI348" s="2095"/>
      <c r="AJ348" s="2095"/>
      <c r="AK348" s="2095"/>
      <c r="AL348" s="2095"/>
      <c r="AM348" s="2095"/>
      <c r="AN348" s="2095"/>
      <c r="AO348" s="2095"/>
      <c r="AP348" s="2095"/>
      <c r="AQ348" s="2095"/>
      <c r="AR348" s="2095"/>
      <c r="AS348" s="2095"/>
      <c r="AT348" s="2095"/>
      <c r="AU348" s="2095"/>
      <c r="AV348" s="2095"/>
      <c r="AW348" s="2095"/>
      <c r="AX348" s="2095"/>
      <c r="AY348" s="2095"/>
      <c r="AZ348" s="2095"/>
      <c r="BA348" s="2093"/>
      <c r="BB348" s="2096"/>
    </row>
    <row r="349" s="2128" customFormat="true" ht="30" hidden="false" customHeight="true" outlineLevel="0" collapsed="false">
      <c r="A349" s="2092"/>
      <c r="B349" s="2093"/>
      <c r="C349" s="2094"/>
      <c r="D349" s="2095"/>
      <c r="E349" s="2095"/>
      <c r="F349" s="2095"/>
      <c r="G349" s="2095"/>
      <c r="H349" s="2095"/>
      <c r="I349" s="2095"/>
      <c r="J349" s="2095"/>
      <c r="K349" s="2095"/>
      <c r="L349" s="2095"/>
      <c r="M349" s="2095"/>
      <c r="N349" s="2095"/>
      <c r="O349" s="2095"/>
      <c r="P349" s="2093"/>
      <c r="Q349" s="2095"/>
      <c r="R349" s="2095"/>
      <c r="S349" s="2095"/>
      <c r="T349" s="2095"/>
      <c r="U349" s="2095"/>
      <c r="V349" s="2095"/>
      <c r="W349" s="2095"/>
      <c r="X349" s="2095"/>
      <c r="Y349" s="2095"/>
      <c r="Z349" s="2095"/>
      <c r="AA349" s="2095"/>
      <c r="AB349" s="2095"/>
      <c r="AC349" s="2095"/>
      <c r="AD349" s="2095"/>
      <c r="AE349" s="2095"/>
      <c r="AF349" s="2095"/>
      <c r="AG349" s="2095"/>
      <c r="AH349" s="2095"/>
      <c r="AI349" s="2095"/>
      <c r="AJ349" s="2095"/>
      <c r="AK349" s="2095"/>
      <c r="AL349" s="2095"/>
      <c r="AM349" s="2095"/>
      <c r="AN349" s="2095"/>
      <c r="AO349" s="2095"/>
      <c r="AP349" s="2095"/>
      <c r="AQ349" s="2095"/>
      <c r="AR349" s="2095"/>
      <c r="AS349" s="2095"/>
      <c r="AT349" s="2095"/>
      <c r="AU349" s="2095"/>
      <c r="AV349" s="2095"/>
      <c r="AW349" s="2095"/>
      <c r="AX349" s="2095"/>
      <c r="AY349" s="2095"/>
      <c r="AZ349" s="2095"/>
      <c r="BA349" s="2093"/>
      <c r="BB349" s="2096"/>
    </row>
    <row r="350" s="2128" customFormat="true" ht="30" hidden="false" customHeight="true" outlineLevel="0" collapsed="false">
      <c r="A350" s="2092"/>
      <c r="B350" s="2093"/>
      <c r="C350" s="2094"/>
      <c r="D350" s="2095"/>
      <c r="E350" s="2095"/>
      <c r="F350" s="2095"/>
      <c r="G350" s="2095"/>
      <c r="H350" s="2095"/>
      <c r="I350" s="2095"/>
      <c r="J350" s="2095"/>
      <c r="K350" s="2095"/>
      <c r="L350" s="2095"/>
      <c r="M350" s="2095"/>
      <c r="N350" s="2095"/>
      <c r="O350" s="2095"/>
      <c r="P350" s="2093"/>
      <c r="Q350" s="2095"/>
      <c r="R350" s="2095"/>
      <c r="S350" s="2095"/>
      <c r="T350" s="2095"/>
      <c r="U350" s="2095"/>
      <c r="V350" s="2095"/>
      <c r="W350" s="2095"/>
      <c r="X350" s="2095"/>
      <c r="Y350" s="2095"/>
      <c r="Z350" s="2095"/>
      <c r="AA350" s="2095"/>
      <c r="AB350" s="2095"/>
      <c r="AC350" s="2095"/>
      <c r="AD350" s="2095"/>
      <c r="AE350" s="2095"/>
      <c r="AF350" s="2095"/>
      <c r="AG350" s="2095"/>
      <c r="AH350" s="2095"/>
      <c r="AI350" s="2095"/>
      <c r="AJ350" s="2095"/>
      <c r="AK350" s="2095"/>
      <c r="AL350" s="2095"/>
      <c r="AM350" s="2095"/>
      <c r="AN350" s="2095"/>
      <c r="AO350" s="2095"/>
      <c r="AP350" s="2095"/>
      <c r="AQ350" s="2095"/>
      <c r="AR350" s="2095"/>
      <c r="AS350" s="2095"/>
      <c r="AT350" s="2095"/>
      <c r="AU350" s="2095"/>
      <c r="AV350" s="2095"/>
      <c r="AW350" s="2095"/>
      <c r="AX350" s="2095"/>
      <c r="AY350" s="2095"/>
      <c r="AZ350" s="2095"/>
      <c r="BA350" s="2093"/>
      <c r="BB350" s="2096"/>
    </row>
    <row r="351" s="2128" customFormat="true" ht="30" hidden="false" customHeight="true" outlineLevel="0" collapsed="false">
      <c r="A351" s="2092"/>
      <c r="B351" s="2093"/>
      <c r="C351" s="2094"/>
      <c r="D351" s="2095"/>
      <c r="E351" s="2095"/>
      <c r="F351" s="2095"/>
      <c r="G351" s="2095"/>
      <c r="H351" s="2095"/>
      <c r="I351" s="2095"/>
      <c r="J351" s="2095"/>
      <c r="K351" s="2095"/>
      <c r="L351" s="2095"/>
      <c r="M351" s="2095"/>
      <c r="N351" s="2095"/>
      <c r="O351" s="2095"/>
      <c r="P351" s="2093"/>
      <c r="Q351" s="2095"/>
      <c r="R351" s="2095"/>
      <c r="S351" s="2095"/>
      <c r="T351" s="2095"/>
      <c r="U351" s="2095"/>
      <c r="V351" s="2095"/>
      <c r="W351" s="2095"/>
      <c r="X351" s="2095"/>
      <c r="Y351" s="2095"/>
      <c r="Z351" s="2095"/>
      <c r="AA351" s="2095"/>
      <c r="AB351" s="2095"/>
      <c r="AC351" s="2095"/>
      <c r="AD351" s="2095"/>
      <c r="AE351" s="2095"/>
      <c r="AF351" s="2095"/>
      <c r="AG351" s="2095"/>
      <c r="AH351" s="2095"/>
      <c r="AI351" s="2095"/>
      <c r="AJ351" s="2095"/>
      <c r="AK351" s="2095"/>
      <c r="AL351" s="2095"/>
      <c r="AM351" s="2095"/>
      <c r="AN351" s="2095"/>
      <c r="AO351" s="2095"/>
      <c r="AP351" s="2095"/>
      <c r="AQ351" s="2095"/>
      <c r="AR351" s="2095"/>
      <c r="AS351" s="2095"/>
      <c r="AT351" s="2095"/>
      <c r="AU351" s="2095"/>
      <c r="AV351" s="2095"/>
      <c r="AW351" s="2095"/>
      <c r="AX351" s="2095"/>
      <c r="AY351" s="2095"/>
      <c r="AZ351" s="2095"/>
      <c r="BA351" s="2093"/>
      <c r="BB351" s="2096"/>
    </row>
    <row r="352" s="2128" customFormat="true" ht="30" hidden="false" customHeight="true" outlineLevel="0" collapsed="false">
      <c r="A352" s="2092"/>
      <c r="B352" s="2093"/>
      <c r="C352" s="2094"/>
      <c r="D352" s="2095"/>
      <c r="E352" s="2095"/>
      <c r="F352" s="2095"/>
      <c r="G352" s="2095"/>
      <c r="H352" s="2095"/>
      <c r="I352" s="2095"/>
      <c r="J352" s="2095"/>
      <c r="K352" s="2095"/>
      <c r="L352" s="2095"/>
      <c r="M352" s="2095"/>
      <c r="N352" s="2095"/>
      <c r="O352" s="2095"/>
      <c r="P352" s="2093"/>
      <c r="Q352" s="2095"/>
      <c r="R352" s="2095"/>
      <c r="S352" s="2095"/>
      <c r="T352" s="2095"/>
      <c r="U352" s="2095"/>
      <c r="V352" s="2095"/>
      <c r="W352" s="2095"/>
      <c r="X352" s="2095"/>
      <c r="Y352" s="2095"/>
      <c r="Z352" s="2095"/>
      <c r="AA352" s="2095"/>
      <c r="AB352" s="2095"/>
      <c r="AC352" s="2095"/>
      <c r="AD352" s="2095"/>
      <c r="AE352" s="2095"/>
      <c r="AF352" s="2095"/>
      <c r="AG352" s="2095"/>
      <c r="AH352" s="2095"/>
      <c r="AI352" s="2095"/>
      <c r="AJ352" s="2095"/>
      <c r="AK352" s="2095"/>
      <c r="AL352" s="2095"/>
      <c r="AM352" s="2095"/>
      <c r="AN352" s="2095"/>
      <c r="AO352" s="2095"/>
      <c r="AP352" s="2095"/>
      <c r="AQ352" s="2095"/>
      <c r="AR352" s="2095"/>
      <c r="AS352" s="2095"/>
      <c r="AT352" s="2095"/>
      <c r="AU352" s="2095"/>
      <c r="AV352" s="2095"/>
      <c r="AW352" s="2095"/>
      <c r="AX352" s="2095"/>
      <c r="AY352" s="2095"/>
      <c r="AZ352" s="2095"/>
      <c r="BA352" s="2093"/>
      <c r="BB352" s="2096"/>
    </row>
    <row r="353" s="2128" customFormat="true" ht="31.5" hidden="false" customHeight="true" outlineLevel="0" collapsed="false">
      <c r="A353" s="2092"/>
      <c r="B353" s="2093"/>
      <c r="C353" s="2094"/>
      <c r="D353" s="2095"/>
      <c r="E353" s="2095"/>
      <c r="F353" s="2095"/>
      <c r="G353" s="2095"/>
      <c r="H353" s="2095"/>
      <c r="I353" s="2095"/>
      <c r="J353" s="2095"/>
      <c r="K353" s="2095"/>
      <c r="L353" s="2095"/>
      <c r="M353" s="2095"/>
      <c r="N353" s="2095"/>
      <c r="O353" s="2095"/>
      <c r="P353" s="2093"/>
      <c r="Q353" s="2095"/>
      <c r="R353" s="2095"/>
      <c r="S353" s="2095"/>
      <c r="T353" s="2095"/>
      <c r="U353" s="2095"/>
      <c r="V353" s="2095"/>
      <c r="W353" s="2095"/>
      <c r="X353" s="2095"/>
      <c r="Y353" s="2095"/>
      <c r="Z353" s="2095"/>
      <c r="AA353" s="2095"/>
      <c r="AB353" s="2095"/>
      <c r="AC353" s="2095"/>
      <c r="AD353" s="2095"/>
      <c r="AE353" s="2095"/>
      <c r="AF353" s="2095"/>
      <c r="AG353" s="2095"/>
      <c r="AH353" s="2095"/>
      <c r="AI353" s="2095"/>
      <c r="AJ353" s="2095"/>
      <c r="AK353" s="2095"/>
      <c r="AL353" s="2095"/>
      <c r="AM353" s="2095"/>
      <c r="AN353" s="2095"/>
      <c r="AO353" s="2095"/>
      <c r="AP353" s="2095"/>
      <c r="AQ353" s="2095"/>
      <c r="AR353" s="2095"/>
      <c r="AS353" s="2095"/>
      <c r="AT353" s="2095"/>
      <c r="AU353" s="2095"/>
      <c r="AV353" s="2095"/>
      <c r="AW353" s="2095"/>
      <c r="AX353" s="2095"/>
      <c r="AY353" s="2095"/>
      <c r="AZ353" s="2095"/>
      <c r="BA353" s="2093"/>
      <c r="BB353" s="2096"/>
    </row>
    <row r="354" s="2144" customFormat="true" ht="31.5" hidden="false" customHeight="true" outlineLevel="0" collapsed="false">
      <c r="A354" s="2092"/>
      <c r="B354" s="2093"/>
      <c r="C354" s="2094"/>
      <c r="D354" s="2095"/>
      <c r="E354" s="2095"/>
      <c r="F354" s="2095"/>
      <c r="G354" s="2095"/>
      <c r="H354" s="2095"/>
      <c r="I354" s="2095"/>
      <c r="J354" s="2095"/>
      <c r="K354" s="2095"/>
      <c r="L354" s="2095"/>
      <c r="M354" s="2095"/>
      <c r="N354" s="2095"/>
      <c r="O354" s="2095"/>
      <c r="P354" s="2093"/>
      <c r="Q354" s="2095"/>
      <c r="R354" s="2095"/>
      <c r="S354" s="2095"/>
      <c r="T354" s="2095"/>
      <c r="U354" s="2095"/>
      <c r="V354" s="2095"/>
      <c r="W354" s="2095"/>
      <c r="X354" s="2095"/>
      <c r="Y354" s="2095"/>
      <c r="Z354" s="2095"/>
      <c r="AA354" s="2095"/>
      <c r="AB354" s="2095"/>
      <c r="AC354" s="2095"/>
      <c r="AD354" s="2095"/>
      <c r="AE354" s="2095"/>
      <c r="AF354" s="2095"/>
      <c r="AG354" s="2095"/>
      <c r="AH354" s="2095"/>
      <c r="AI354" s="2095"/>
      <c r="AJ354" s="2095"/>
      <c r="AK354" s="2095"/>
      <c r="AL354" s="2095"/>
      <c r="AM354" s="2095"/>
      <c r="AN354" s="2095"/>
      <c r="AO354" s="2095"/>
      <c r="AP354" s="2095"/>
      <c r="AQ354" s="2095"/>
      <c r="AR354" s="2095"/>
      <c r="AS354" s="2095"/>
      <c r="AT354" s="2095"/>
      <c r="AU354" s="2095"/>
      <c r="AV354" s="2095"/>
      <c r="AW354" s="2095"/>
      <c r="AX354" s="2095"/>
      <c r="AY354" s="2095"/>
      <c r="AZ354" s="2095"/>
      <c r="BA354" s="2093"/>
      <c r="BB354" s="2096"/>
    </row>
    <row r="355" s="2144" customFormat="true" ht="30" hidden="false" customHeight="true" outlineLevel="0" collapsed="false">
      <c r="A355" s="2092"/>
      <c r="B355" s="2093"/>
      <c r="C355" s="2094"/>
      <c r="D355" s="2095"/>
      <c r="E355" s="2095"/>
      <c r="F355" s="2095"/>
      <c r="G355" s="2095"/>
      <c r="H355" s="2095"/>
      <c r="I355" s="2095"/>
      <c r="J355" s="2095"/>
      <c r="K355" s="2095"/>
      <c r="L355" s="2095"/>
      <c r="M355" s="2095"/>
      <c r="N355" s="2095"/>
      <c r="O355" s="2095"/>
      <c r="P355" s="2093"/>
      <c r="Q355" s="2095"/>
      <c r="R355" s="2095"/>
      <c r="S355" s="2095"/>
      <c r="T355" s="2095"/>
      <c r="U355" s="2095"/>
      <c r="V355" s="2095"/>
      <c r="W355" s="2095"/>
      <c r="X355" s="2095"/>
      <c r="Y355" s="2095"/>
      <c r="Z355" s="2095"/>
      <c r="AA355" s="2095"/>
      <c r="AB355" s="2095"/>
      <c r="AC355" s="2095"/>
      <c r="AD355" s="2095"/>
      <c r="AE355" s="2095"/>
      <c r="AF355" s="2095"/>
      <c r="AG355" s="2095"/>
      <c r="AH355" s="2095"/>
      <c r="AI355" s="2095"/>
      <c r="AJ355" s="2095"/>
      <c r="AK355" s="2095"/>
      <c r="AL355" s="2095"/>
      <c r="AM355" s="2095"/>
      <c r="AN355" s="2095"/>
      <c r="AO355" s="2095"/>
      <c r="AP355" s="2095"/>
      <c r="AQ355" s="2095"/>
      <c r="AR355" s="2095"/>
      <c r="AS355" s="2095"/>
      <c r="AT355" s="2095"/>
      <c r="AU355" s="2095"/>
      <c r="AV355" s="2095"/>
      <c r="AW355" s="2095"/>
      <c r="AX355" s="2095"/>
      <c r="AY355" s="2095"/>
      <c r="AZ355" s="2095"/>
      <c r="BA355" s="2093"/>
      <c r="BB355" s="2096"/>
    </row>
    <row r="356" s="2128" customFormat="true" ht="30" hidden="false" customHeight="true" outlineLevel="0" collapsed="false">
      <c r="A356" s="2092"/>
      <c r="B356" s="2093"/>
      <c r="C356" s="2094"/>
      <c r="D356" s="2095"/>
      <c r="E356" s="2095"/>
      <c r="F356" s="2095"/>
      <c r="G356" s="2095"/>
      <c r="H356" s="2095"/>
      <c r="I356" s="2095"/>
      <c r="J356" s="2095"/>
      <c r="K356" s="2095"/>
      <c r="L356" s="2095"/>
      <c r="M356" s="2095"/>
      <c r="N356" s="2095"/>
      <c r="O356" s="2095"/>
      <c r="P356" s="2093"/>
      <c r="Q356" s="2095"/>
      <c r="R356" s="2095"/>
      <c r="S356" s="2095"/>
      <c r="T356" s="2095"/>
      <c r="U356" s="2095"/>
      <c r="V356" s="2095"/>
      <c r="W356" s="2095"/>
      <c r="X356" s="2095"/>
      <c r="Y356" s="2095"/>
      <c r="Z356" s="2095"/>
      <c r="AA356" s="2095"/>
      <c r="AB356" s="2095"/>
      <c r="AC356" s="2095"/>
      <c r="AD356" s="2095"/>
      <c r="AE356" s="2095"/>
      <c r="AF356" s="2095"/>
      <c r="AG356" s="2095"/>
      <c r="AH356" s="2095"/>
      <c r="AI356" s="2095"/>
      <c r="AJ356" s="2095"/>
      <c r="AK356" s="2095"/>
      <c r="AL356" s="2095"/>
      <c r="AM356" s="2095"/>
      <c r="AN356" s="2095"/>
      <c r="AO356" s="2095"/>
      <c r="AP356" s="2095"/>
      <c r="AQ356" s="2095"/>
      <c r="AR356" s="2095"/>
      <c r="AS356" s="2095"/>
      <c r="AT356" s="2095"/>
      <c r="AU356" s="2095"/>
      <c r="AV356" s="2095"/>
      <c r="AW356" s="2095"/>
      <c r="AX356" s="2095"/>
      <c r="AY356" s="2095"/>
      <c r="AZ356" s="2095"/>
      <c r="BA356" s="2093"/>
      <c r="BB356" s="2096"/>
    </row>
    <row r="357" s="2144" customFormat="true" ht="30" hidden="false" customHeight="true" outlineLevel="0" collapsed="false">
      <c r="A357" s="2092"/>
      <c r="B357" s="2093"/>
      <c r="C357" s="2094"/>
      <c r="D357" s="2095"/>
      <c r="E357" s="2095"/>
      <c r="F357" s="2095"/>
      <c r="G357" s="2095"/>
      <c r="H357" s="2095"/>
      <c r="I357" s="2095"/>
      <c r="J357" s="2095"/>
      <c r="K357" s="2095"/>
      <c r="L357" s="2095"/>
      <c r="M357" s="2095"/>
      <c r="N357" s="2095"/>
      <c r="O357" s="2095"/>
      <c r="P357" s="2093"/>
      <c r="Q357" s="2095"/>
      <c r="R357" s="2095"/>
      <c r="S357" s="2095"/>
      <c r="T357" s="2095"/>
      <c r="U357" s="2095"/>
      <c r="V357" s="2095"/>
      <c r="W357" s="2095"/>
      <c r="X357" s="2095"/>
      <c r="Y357" s="2095"/>
      <c r="Z357" s="2095"/>
      <c r="AA357" s="2095"/>
      <c r="AB357" s="2095"/>
      <c r="AC357" s="2095"/>
      <c r="AD357" s="2095"/>
      <c r="AE357" s="2095"/>
      <c r="AF357" s="2095"/>
      <c r="AG357" s="2095"/>
      <c r="AH357" s="2095"/>
      <c r="AI357" s="2095"/>
      <c r="AJ357" s="2095"/>
      <c r="AK357" s="2095"/>
      <c r="AL357" s="2095"/>
      <c r="AM357" s="2095"/>
      <c r="AN357" s="2095"/>
      <c r="AO357" s="2095"/>
      <c r="AP357" s="2095"/>
      <c r="AQ357" s="2095"/>
      <c r="AR357" s="2095"/>
      <c r="AS357" s="2095"/>
      <c r="AT357" s="2095"/>
      <c r="AU357" s="2095"/>
      <c r="AV357" s="2095"/>
      <c r="AW357" s="2095"/>
      <c r="AX357" s="2095"/>
      <c r="AY357" s="2095"/>
      <c r="AZ357" s="2095"/>
      <c r="BA357" s="2093"/>
      <c r="BB357" s="2096"/>
    </row>
    <row r="358" s="2144" customFormat="true" ht="30" hidden="false" customHeight="true" outlineLevel="0" collapsed="false">
      <c r="A358" s="2092"/>
      <c r="B358" s="2093"/>
      <c r="C358" s="2094"/>
      <c r="D358" s="2095"/>
      <c r="E358" s="2095"/>
      <c r="F358" s="2095"/>
      <c r="G358" s="2095"/>
      <c r="H358" s="2095"/>
      <c r="I358" s="2095"/>
      <c r="J358" s="2095"/>
      <c r="K358" s="2095"/>
      <c r="L358" s="2095"/>
      <c r="M358" s="2095"/>
      <c r="N358" s="2095"/>
      <c r="O358" s="2095"/>
      <c r="P358" s="2093"/>
      <c r="Q358" s="2095"/>
      <c r="R358" s="2095"/>
      <c r="S358" s="2095"/>
      <c r="T358" s="2095"/>
      <c r="U358" s="2095"/>
      <c r="V358" s="2095"/>
      <c r="W358" s="2095"/>
      <c r="X358" s="2095"/>
      <c r="Y358" s="2095"/>
      <c r="Z358" s="2095"/>
      <c r="AA358" s="2095"/>
      <c r="AB358" s="2095"/>
      <c r="AC358" s="2095"/>
      <c r="AD358" s="2095"/>
      <c r="AE358" s="2095"/>
      <c r="AF358" s="2095"/>
      <c r="AG358" s="2095"/>
      <c r="AH358" s="2095"/>
      <c r="AI358" s="2095"/>
      <c r="AJ358" s="2095"/>
      <c r="AK358" s="2095"/>
      <c r="AL358" s="2095"/>
      <c r="AM358" s="2095"/>
      <c r="AN358" s="2095"/>
      <c r="AO358" s="2095"/>
      <c r="AP358" s="2095"/>
      <c r="AQ358" s="2095"/>
      <c r="AR358" s="2095"/>
      <c r="AS358" s="2095"/>
      <c r="AT358" s="2095"/>
      <c r="AU358" s="2095"/>
      <c r="AV358" s="2095"/>
      <c r="AW358" s="2095"/>
      <c r="AX358" s="2095"/>
      <c r="AY358" s="2095"/>
      <c r="AZ358" s="2095"/>
      <c r="BA358" s="2093"/>
      <c r="BB358" s="2096"/>
    </row>
    <row r="359" s="2144" customFormat="true" ht="30" hidden="false" customHeight="true" outlineLevel="0" collapsed="false">
      <c r="A359" s="2092"/>
      <c r="B359" s="2093"/>
      <c r="C359" s="2094"/>
      <c r="D359" s="2095"/>
      <c r="E359" s="2095"/>
      <c r="F359" s="2095"/>
      <c r="G359" s="2095"/>
      <c r="H359" s="2095"/>
      <c r="I359" s="2095"/>
      <c r="J359" s="2095"/>
      <c r="K359" s="2095"/>
      <c r="L359" s="2095"/>
      <c r="M359" s="2095"/>
      <c r="N359" s="2095"/>
      <c r="O359" s="2095"/>
      <c r="P359" s="2093"/>
      <c r="Q359" s="2095"/>
      <c r="R359" s="2095"/>
      <c r="S359" s="2095"/>
      <c r="T359" s="2095"/>
      <c r="U359" s="2095"/>
      <c r="V359" s="2095"/>
      <c r="W359" s="2095"/>
      <c r="X359" s="2095"/>
      <c r="Y359" s="2095"/>
      <c r="Z359" s="2095"/>
      <c r="AA359" s="2095"/>
      <c r="AB359" s="2095"/>
      <c r="AC359" s="2095"/>
      <c r="AD359" s="2095"/>
      <c r="AE359" s="2095"/>
      <c r="AF359" s="2095"/>
      <c r="AG359" s="2095"/>
      <c r="AH359" s="2095"/>
      <c r="AI359" s="2095"/>
      <c r="AJ359" s="2095"/>
      <c r="AK359" s="2095"/>
      <c r="AL359" s="2095"/>
      <c r="AM359" s="2095"/>
      <c r="AN359" s="2095"/>
      <c r="AO359" s="2095"/>
      <c r="AP359" s="2095"/>
      <c r="AQ359" s="2095"/>
      <c r="AR359" s="2095"/>
      <c r="AS359" s="2095"/>
      <c r="AT359" s="2095"/>
      <c r="AU359" s="2095"/>
      <c r="AV359" s="2095"/>
      <c r="AW359" s="2095"/>
      <c r="AX359" s="2095"/>
      <c r="AY359" s="2095"/>
      <c r="AZ359" s="2095"/>
      <c r="BA359" s="2093"/>
      <c r="BB359" s="2096"/>
    </row>
    <row r="360" s="2144" customFormat="true" ht="30" hidden="false" customHeight="true" outlineLevel="0" collapsed="false">
      <c r="A360" s="2092"/>
      <c r="B360" s="2093"/>
      <c r="C360" s="2094"/>
      <c r="D360" s="2095"/>
      <c r="E360" s="2095"/>
      <c r="F360" s="2095"/>
      <c r="G360" s="2095"/>
      <c r="H360" s="2095"/>
      <c r="I360" s="2095"/>
      <c r="J360" s="2095"/>
      <c r="K360" s="2095"/>
      <c r="L360" s="2095"/>
      <c r="M360" s="2095"/>
      <c r="N360" s="2095"/>
      <c r="O360" s="2095"/>
      <c r="P360" s="2093"/>
      <c r="Q360" s="2095"/>
      <c r="R360" s="2095"/>
      <c r="S360" s="2095"/>
      <c r="T360" s="2095"/>
      <c r="U360" s="2095"/>
      <c r="V360" s="2095"/>
      <c r="W360" s="2095"/>
      <c r="X360" s="2095"/>
      <c r="Y360" s="2095"/>
      <c r="Z360" s="2095"/>
      <c r="AA360" s="2095"/>
      <c r="AB360" s="2095"/>
      <c r="AC360" s="2095"/>
      <c r="AD360" s="2095"/>
      <c r="AE360" s="2095"/>
      <c r="AF360" s="2095"/>
      <c r="AG360" s="2095"/>
      <c r="AH360" s="2095"/>
      <c r="AI360" s="2095"/>
      <c r="AJ360" s="2095"/>
      <c r="AK360" s="2095"/>
      <c r="AL360" s="2095"/>
      <c r="AM360" s="2095"/>
      <c r="AN360" s="2095"/>
      <c r="AO360" s="2095"/>
      <c r="AP360" s="2095"/>
      <c r="AQ360" s="2095"/>
      <c r="AR360" s="2095"/>
      <c r="AS360" s="2095"/>
      <c r="AT360" s="2095"/>
      <c r="AU360" s="2095"/>
      <c r="AV360" s="2095"/>
      <c r="AW360" s="2095"/>
      <c r="AX360" s="2095"/>
      <c r="AY360" s="2095"/>
      <c r="AZ360" s="2095"/>
      <c r="BA360" s="2093"/>
      <c r="BB360" s="2096"/>
    </row>
    <row r="361" s="2144" customFormat="true" ht="30" hidden="false" customHeight="true" outlineLevel="0" collapsed="false">
      <c r="A361" s="2092"/>
      <c r="B361" s="2093"/>
      <c r="C361" s="2094"/>
      <c r="D361" s="2095"/>
      <c r="E361" s="2095"/>
      <c r="F361" s="2095"/>
      <c r="G361" s="2095"/>
      <c r="H361" s="2095"/>
      <c r="I361" s="2095"/>
      <c r="J361" s="2095"/>
      <c r="K361" s="2095"/>
      <c r="L361" s="2095"/>
      <c r="M361" s="2095"/>
      <c r="N361" s="2095"/>
      <c r="O361" s="2095"/>
      <c r="P361" s="2093"/>
      <c r="Q361" s="2095"/>
      <c r="R361" s="2095"/>
      <c r="S361" s="2095"/>
      <c r="T361" s="2095"/>
      <c r="U361" s="2095"/>
      <c r="V361" s="2095"/>
      <c r="W361" s="2095"/>
      <c r="X361" s="2095"/>
      <c r="Y361" s="2095"/>
      <c r="Z361" s="2095"/>
      <c r="AA361" s="2095"/>
      <c r="AB361" s="2095"/>
      <c r="AC361" s="2095"/>
      <c r="AD361" s="2095"/>
      <c r="AE361" s="2095"/>
      <c r="AF361" s="2095"/>
      <c r="AG361" s="2095"/>
      <c r="AH361" s="2095"/>
      <c r="AI361" s="2095"/>
      <c r="AJ361" s="2095"/>
      <c r="AK361" s="2095"/>
      <c r="AL361" s="2095"/>
      <c r="AM361" s="2095"/>
      <c r="AN361" s="2095"/>
      <c r="AO361" s="2095"/>
      <c r="AP361" s="2095"/>
      <c r="AQ361" s="2095"/>
      <c r="AR361" s="2095"/>
      <c r="AS361" s="2095"/>
      <c r="AT361" s="2095"/>
      <c r="AU361" s="2095"/>
      <c r="AV361" s="2095"/>
      <c r="AW361" s="2095"/>
      <c r="AX361" s="2095"/>
      <c r="AY361" s="2095"/>
      <c r="AZ361" s="2095"/>
      <c r="BA361" s="2093"/>
      <c r="BB361" s="2096"/>
    </row>
    <row r="362" s="2144" customFormat="true" ht="30" hidden="false" customHeight="true" outlineLevel="0" collapsed="false">
      <c r="A362" s="2092"/>
      <c r="B362" s="2093"/>
      <c r="C362" s="2094"/>
      <c r="D362" s="2095"/>
      <c r="E362" s="2095"/>
      <c r="F362" s="2095"/>
      <c r="G362" s="2095"/>
      <c r="H362" s="2095"/>
      <c r="I362" s="2095"/>
      <c r="J362" s="2095"/>
      <c r="K362" s="2095"/>
      <c r="L362" s="2095"/>
      <c r="M362" s="2095"/>
      <c r="N362" s="2095"/>
      <c r="O362" s="2095"/>
      <c r="P362" s="2093"/>
      <c r="Q362" s="2095"/>
      <c r="R362" s="2095"/>
      <c r="S362" s="2095"/>
      <c r="T362" s="2095"/>
      <c r="U362" s="2095"/>
      <c r="V362" s="2095"/>
      <c r="W362" s="2095"/>
      <c r="X362" s="2095"/>
      <c r="Y362" s="2095"/>
      <c r="Z362" s="2095"/>
      <c r="AA362" s="2095"/>
      <c r="AB362" s="2095"/>
      <c r="AC362" s="2095"/>
      <c r="AD362" s="2095"/>
      <c r="AE362" s="2095"/>
      <c r="AF362" s="2095"/>
      <c r="AG362" s="2095"/>
      <c r="AH362" s="2095"/>
      <c r="AI362" s="2095"/>
      <c r="AJ362" s="2095"/>
      <c r="AK362" s="2095"/>
      <c r="AL362" s="2095"/>
      <c r="AM362" s="2095"/>
      <c r="AN362" s="2095"/>
      <c r="AO362" s="2095"/>
      <c r="AP362" s="2095"/>
      <c r="AQ362" s="2095"/>
      <c r="AR362" s="2095"/>
      <c r="AS362" s="2095"/>
      <c r="AT362" s="2095"/>
      <c r="AU362" s="2095"/>
      <c r="AV362" s="2095"/>
      <c r="AW362" s="2095"/>
      <c r="AX362" s="2095"/>
      <c r="AY362" s="2095"/>
      <c r="AZ362" s="2095"/>
      <c r="BA362" s="2093"/>
      <c r="BB362" s="2096"/>
    </row>
    <row r="363" s="2144" customFormat="true" ht="30" hidden="false" customHeight="true" outlineLevel="0" collapsed="false">
      <c r="A363" s="2092"/>
      <c r="B363" s="2093"/>
      <c r="C363" s="2094"/>
      <c r="D363" s="2095"/>
      <c r="E363" s="2095"/>
      <c r="F363" s="2095"/>
      <c r="G363" s="2095"/>
      <c r="H363" s="2095"/>
      <c r="I363" s="2095"/>
      <c r="J363" s="2095"/>
      <c r="K363" s="2095"/>
      <c r="L363" s="2095"/>
      <c r="M363" s="2095"/>
      <c r="N363" s="2095"/>
      <c r="O363" s="2095"/>
      <c r="P363" s="2093"/>
      <c r="Q363" s="2095"/>
      <c r="R363" s="2095"/>
      <c r="S363" s="2095"/>
      <c r="T363" s="2095"/>
      <c r="U363" s="2095"/>
      <c r="V363" s="2095"/>
      <c r="W363" s="2095"/>
      <c r="X363" s="2095"/>
      <c r="Y363" s="2095"/>
      <c r="Z363" s="2095"/>
      <c r="AA363" s="2095"/>
      <c r="AB363" s="2095"/>
      <c r="AC363" s="2095"/>
      <c r="AD363" s="2095"/>
      <c r="AE363" s="2095"/>
      <c r="AF363" s="2095"/>
      <c r="AG363" s="2095"/>
      <c r="AH363" s="2095"/>
      <c r="AI363" s="2095"/>
      <c r="AJ363" s="2095"/>
      <c r="AK363" s="2095"/>
      <c r="AL363" s="2095"/>
      <c r="AM363" s="2095"/>
      <c r="AN363" s="2095"/>
      <c r="AO363" s="2095"/>
      <c r="AP363" s="2095"/>
      <c r="AQ363" s="2095"/>
      <c r="AR363" s="2095"/>
      <c r="AS363" s="2095"/>
      <c r="AT363" s="2095"/>
      <c r="AU363" s="2095"/>
      <c r="AV363" s="2095"/>
      <c r="AW363" s="2095"/>
      <c r="AX363" s="2095"/>
      <c r="AY363" s="2095"/>
      <c r="AZ363" s="2095"/>
      <c r="BA363" s="2093"/>
      <c r="BB363" s="2096"/>
    </row>
    <row r="364" s="2144" customFormat="true" ht="30" hidden="false" customHeight="true" outlineLevel="0" collapsed="false">
      <c r="A364" s="2092"/>
      <c r="B364" s="2093"/>
      <c r="C364" s="2094"/>
      <c r="D364" s="2095"/>
      <c r="E364" s="2095"/>
      <c r="F364" s="2095"/>
      <c r="G364" s="2095"/>
      <c r="H364" s="2095"/>
      <c r="I364" s="2095"/>
      <c r="J364" s="2095"/>
      <c r="K364" s="2095"/>
      <c r="L364" s="2095"/>
      <c r="M364" s="2095"/>
      <c r="N364" s="2095"/>
      <c r="O364" s="2095"/>
      <c r="P364" s="2093"/>
      <c r="Q364" s="2095"/>
      <c r="R364" s="2095"/>
      <c r="S364" s="2095"/>
      <c r="T364" s="2095"/>
      <c r="U364" s="2095"/>
      <c r="V364" s="2095"/>
      <c r="W364" s="2095"/>
      <c r="X364" s="2095"/>
      <c r="Y364" s="2095"/>
      <c r="Z364" s="2095"/>
      <c r="AA364" s="2095"/>
      <c r="AB364" s="2095"/>
      <c r="AC364" s="2095"/>
      <c r="AD364" s="2095"/>
      <c r="AE364" s="2095"/>
      <c r="AF364" s="2095"/>
      <c r="AG364" s="2095"/>
      <c r="AH364" s="2095"/>
      <c r="AI364" s="2095"/>
      <c r="AJ364" s="2095"/>
      <c r="AK364" s="2095"/>
      <c r="AL364" s="2095"/>
      <c r="AM364" s="2095"/>
      <c r="AN364" s="2095"/>
      <c r="AO364" s="2095"/>
      <c r="AP364" s="2095"/>
      <c r="AQ364" s="2095"/>
      <c r="AR364" s="2095"/>
      <c r="AS364" s="2095"/>
      <c r="AT364" s="2095"/>
      <c r="AU364" s="2095"/>
      <c r="AV364" s="2095"/>
      <c r="AW364" s="2095"/>
      <c r="AX364" s="2095"/>
      <c r="AY364" s="2095"/>
      <c r="AZ364" s="2095"/>
      <c r="BA364" s="2093"/>
      <c r="BB364" s="2096"/>
    </row>
    <row r="365" s="2144" customFormat="true" ht="30" hidden="false" customHeight="true" outlineLevel="0" collapsed="false">
      <c r="A365" s="2092"/>
      <c r="B365" s="2093"/>
      <c r="C365" s="2094"/>
      <c r="D365" s="2095"/>
      <c r="E365" s="2095"/>
      <c r="F365" s="2095"/>
      <c r="G365" s="2095"/>
      <c r="H365" s="2095"/>
      <c r="I365" s="2095"/>
      <c r="J365" s="2095"/>
      <c r="K365" s="2095"/>
      <c r="L365" s="2095"/>
      <c r="M365" s="2095"/>
      <c r="N365" s="2095"/>
      <c r="O365" s="2095"/>
      <c r="P365" s="2093"/>
      <c r="Q365" s="2095"/>
      <c r="R365" s="2095"/>
      <c r="S365" s="2095"/>
      <c r="T365" s="2095"/>
      <c r="U365" s="2095"/>
      <c r="V365" s="2095"/>
      <c r="W365" s="2095"/>
      <c r="X365" s="2095"/>
      <c r="Y365" s="2095"/>
      <c r="Z365" s="2095"/>
      <c r="AA365" s="2095"/>
      <c r="AB365" s="2095"/>
      <c r="AC365" s="2095"/>
      <c r="AD365" s="2095"/>
      <c r="AE365" s="2095"/>
      <c r="AF365" s="2095"/>
      <c r="AG365" s="2095"/>
      <c r="AH365" s="2095"/>
      <c r="AI365" s="2095"/>
      <c r="AJ365" s="2095"/>
      <c r="AK365" s="2095"/>
      <c r="AL365" s="2095"/>
      <c r="AM365" s="2095"/>
      <c r="AN365" s="2095"/>
      <c r="AO365" s="2095"/>
      <c r="AP365" s="2095"/>
      <c r="AQ365" s="2095"/>
      <c r="AR365" s="2095"/>
      <c r="AS365" s="2095"/>
      <c r="AT365" s="2095"/>
      <c r="AU365" s="2095"/>
      <c r="AV365" s="2095"/>
      <c r="AW365" s="2095"/>
      <c r="AX365" s="2095"/>
      <c r="AY365" s="2095"/>
      <c r="AZ365" s="2095"/>
      <c r="BA365" s="2093"/>
      <c r="BB365" s="2096"/>
    </row>
    <row r="366" s="2144" customFormat="true" ht="30" hidden="false" customHeight="true" outlineLevel="0" collapsed="false">
      <c r="A366" s="2092"/>
      <c r="B366" s="2093"/>
      <c r="C366" s="2094"/>
      <c r="D366" s="2095"/>
      <c r="E366" s="2095"/>
      <c r="F366" s="2095"/>
      <c r="G366" s="2095"/>
      <c r="H366" s="2095"/>
      <c r="I366" s="2095"/>
      <c r="J366" s="2095"/>
      <c r="K366" s="2095"/>
      <c r="L366" s="2095"/>
      <c r="M366" s="2095"/>
      <c r="N366" s="2095"/>
      <c r="O366" s="2095"/>
      <c r="P366" s="2093"/>
      <c r="Q366" s="2095"/>
      <c r="R366" s="2095"/>
      <c r="S366" s="2095"/>
      <c r="T366" s="2095"/>
      <c r="U366" s="2095"/>
      <c r="V366" s="2095"/>
      <c r="W366" s="2095"/>
      <c r="X366" s="2095"/>
      <c r="Y366" s="2095"/>
      <c r="Z366" s="2095"/>
      <c r="AA366" s="2095"/>
      <c r="AB366" s="2095"/>
      <c r="AC366" s="2095"/>
      <c r="AD366" s="2095"/>
      <c r="AE366" s="2095"/>
      <c r="AF366" s="2095"/>
      <c r="AG366" s="2095"/>
      <c r="AH366" s="2095"/>
      <c r="AI366" s="2095"/>
      <c r="AJ366" s="2095"/>
      <c r="AK366" s="2095"/>
      <c r="AL366" s="2095"/>
      <c r="AM366" s="2095"/>
      <c r="AN366" s="2095"/>
      <c r="AO366" s="2095"/>
      <c r="AP366" s="2095"/>
      <c r="AQ366" s="2095"/>
      <c r="AR366" s="2095"/>
      <c r="AS366" s="2095"/>
      <c r="AT366" s="2095"/>
      <c r="AU366" s="2095"/>
      <c r="AV366" s="2095"/>
      <c r="AW366" s="2095"/>
      <c r="AX366" s="2095"/>
      <c r="AY366" s="2095"/>
      <c r="AZ366" s="2095"/>
      <c r="BA366" s="2093"/>
      <c r="BB366" s="2096"/>
    </row>
    <row r="367" s="2144" customFormat="true" ht="30" hidden="false" customHeight="true" outlineLevel="0" collapsed="false">
      <c r="A367" s="2092"/>
      <c r="B367" s="2093"/>
      <c r="C367" s="2094"/>
      <c r="D367" s="2095"/>
      <c r="E367" s="2095"/>
      <c r="F367" s="2095"/>
      <c r="G367" s="2095"/>
      <c r="H367" s="2095"/>
      <c r="I367" s="2095"/>
      <c r="J367" s="2095"/>
      <c r="K367" s="2095"/>
      <c r="L367" s="2095"/>
      <c r="M367" s="2095"/>
      <c r="N367" s="2095"/>
      <c r="O367" s="2095"/>
      <c r="P367" s="2093"/>
      <c r="Q367" s="2095"/>
      <c r="R367" s="2095"/>
      <c r="S367" s="2095"/>
      <c r="T367" s="2095"/>
      <c r="U367" s="2095"/>
      <c r="V367" s="2095"/>
      <c r="W367" s="2095"/>
      <c r="X367" s="2095"/>
      <c r="Y367" s="2095"/>
      <c r="Z367" s="2095"/>
      <c r="AA367" s="2095"/>
      <c r="AB367" s="2095"/>
      <c r="AC367" s="2095"/>
      <c r="AD367" s="2095"/>
      <c r="AE367" s="2095"/>
      <c r="AF367" s="2095"/>
      <c r="AG367" s="2095"/>
      <c r="AH367" s="2095"/>
      <c r="AI367" s="2095"/>
      <c r="AJ367" s="2095"/>
      <c r="AK367" s="2095"/>
      <c r="AL367" s="2095"/>
      <c r="AM367" s="2095"/>
      <c r="AN367" s="2095"/>
      <c r="AO367" s="2095"/>
      <c r="AP367" s="2095"/>
      <c r="AQ367" s="2095"/>
      <c r="AR367" s="2095"/>
      <c r="AS367" s="2095"/>
      <c r="AT367" s="2095"/>
      <c r="AU367" s="2095"/>
      <c r="AV367" s="2095"/>
      <c r="AW367" s="2095"/>
      <c r="AX367" s="2095"/>
      <c r="AY367" s="2095"/>
      <c r="AZ367" s="2095"/>
      <c r="BA367" s="2093"/>
      <c r="BB367" s="2096"/>
    </row>
    <row r="368" s="2144" customFormat="true" ht="30" hidden="false" customHeight="true" outlineLevel="0" collapsed="false">
      <c r="A368" s="2092"/>
      <c r="B368" s="2093"/>
      <c r="C368" s="2094"/>
      <c r="D368" s="2095"/>
      <c r="E368" s="2095"/>
      <c r="F368" s="2095"/>
      <c r="G368" s="2095"/>
      <c r="H368" s="2095"/>
      <c r="I368" s="2095"/>
      <c r="J368" s="2095"/>
      <c r="K368" s="2095"/>
      <c r="L368" s="2095"/>
      <c r="M368" s="2095"/>
      <c r="N368" s="2095"/>
      <c r="O368" s="2095"/>
      <c r="P368" s="2093"/>
      <c r="Q368" s="2095"/>
      <c r="R368" s="2095"/>
      <c r="S368" s="2095"/>
      <c r="T368" s="2095"/>
      <c r="U368" s="2095"/>
      <c r="V368" s="2095"/>
      <c r="W368" s="2095"/>
      <c r="X368" s="2095"/>
      <c r="Y368" s="2095"/>
      <c r="Z368" s="2095"/>
      <c r="AA368" s="2095"/>
      <c r="AB368" s="2095"/>
      <c r="AC368" s="2095"/>
      <c r="AD368" s="2095"/>
      <c r="AE368" s="2095"/>
      <c r="AF368" s="2095"/>
      <c r="AG368" s="2095"/>
      <c r="AH368" s="2095"/>
      <c r="AI368" s="2095"/>
      <c r="AJ368" s="2095"/>
      <c r="AK368" s="2095"/>
      <c r="AL368" s="2095"/>
      <c r="AM368" s="2095"/>
      <c r="AN368" s="2095"/>
      <c r="AO368" s="2095"/>
      <c r="AP368" s="2095"/>
      <c r="AQ368" s="2095"/>
      <c r="AR368" s="2095"/>
      <c r="AS368" s="2095"/>
      <c r="AT368" s="2095"/>
      <c r="AU368" s="2095"/>
      <c r="AV368" s="2095"/>
      <c r="AW368" s="2095"/>
      <c r="AX368" s="2095"/>
      <c r="AY368" s="2095"/>
      <c r="AZ368" s="2095"/>
      <c r="BA368" s="2093"/>
      <c r="BB368" s="2096"/>
    </row>
    <row r="369" s="2144" customFormat="true" ht="30" hidden="false" customHeight="true" outlineLevel="0" collapsed="false">
      <c r="A369" s="2092"/>
      <c r="B369" s="2093"/>
      <c r="C369" s="2094"/>
      <c r="D369" s="2095"/>
      <c r="E369" s="2095"/>
      <c r="F369" s="2095"/>
      <c r="G369" s="2095"/>
      <c r="H369" s="2095"/>
      <c r="I369" s="2095"/>
      <c r="J369" s="2095"/>
      <c r="K369" s="2095"/>
      <c r="L369" s="2095"/>
      <c r="M369" s="2095"/>
      <c r="N369" s="2095"/>
      <c r="O369" s="2095"/>
      <c r="P369" s="2093"/>
      <c r="Q369" s="2095"/>
      <c r="R369" s="2095"/>
      <c r="S369" s="2095"/>
      <c r="T369" s="2095"/>
      <c r="U369" s="2095"/>
      <c r="V369" s="2095"/>
      <c r="W369" s="2095"/>
      <c r="X369" s="2095"/>
      <c r="Y369" s="2095"/>
      <c r="Z369" s="2095"/>
      <c r="AA369" s="2095"/>
      <c r="AB369" s="2095"/>
      <c r="AC369" s="2095"/>
      <c r="AD369" s="2095"/>
      <c r="AE369" s="2095"/>
      <c r="AF369" s="2095"/>
      <c r="AG369" s="2095"/>
      <c r="AH369" s="2095"/>
      <c r="AI369" s="2095"/>
      <c r="AJ369" s="2095"/>
      <c r="AK369" s="2095"/>
      <c r="AL369" s="2095"/>
      <c r="AM369" s="2095"/>
      <c r="AN369" s="2095"/>
      <c r="AO369" s="2095"/>
      <c r="AP369" s="2095"/>
      <c r="AQ369" s="2095"/>
      <c r="AR369" s="2095"/>
      <c r="AS369" s="2095"/>
      <c r="AT369" s="2095"/>
      <c r="AU369" s="2095"/>
      <c r="AV369" s="2095"/>
      <c r="AW369" s="2095"/>
      <c r="AX369" s="2095"/>
      <c r="AY369" s="2095"/>
      <c r="AZ369" s="2095"/>
      <c r="BA369" s="2093"/>
      <c r="BB369" s="2096"/>
    </row>
    <row r="370" s="2144" customFormat="true" ht="30" hidden="false" customHeight="true" outlineLevel="0" collapsed="false">
      <c r="A370" s="2092"/>
      <c r="B370" s="2093"/>
      <c r="C370" s="2094"/>
      <c r="D370" s="2095"/>
      <c r="E370" s="2095"/>
      <c r="F370" s="2095"/>
      <c r="G370" s="2095"/>
      <c r="H370" s="2095"/>
      <c r="I370" s="2095"/>
      <c r="J370" s="2095"/>
      <c r="K370" s="2095"/>
      <c r="L370" s="2095"/>
      <c r="M370" s="2095"/>
      <c r="N370" s="2095"/>
      <c r="O370" s="2095"/>
      <c r="P370" s="2093"/>
      <c r="Q370" s="2095"/>
      <c r="R370" s="2095"/>
      <c r="S370" s="2095"/>
      <c r="T370" s="2095"/>
      <c r="U370" s="2095"/>
      <c r="V370" s="2095"/>
      <c r="W370" s="2095"/>
      <c r="X370" s="2095"/>
      <c r="Y370" s="2095"/>
      <c r="Z370" s="2095"/>
      <c r="AA370" s="2095"/>
      <c r="AB370" s="2095"/>
      <c r="AC370" s="2095"/>
      <c r="AD370" s="2095"/>
      <c r="AE370" s="2095"/>
      <c r="AF370" s="2095"/>
      <c r="AG370" s="2095"/>
      <c r="AH370" s="2095"/>
      <c r="AI370" s="2095"/>
      <c r="AJ370" s="2095"/>
      <c r="AK370" s="2095"/>
      <c r="AL370" s="2095"/>
      <c r="AM370" s="2095"/>
      <c r="AN370" s="2095"/>
      <c r="AO370" s="2095"/>
      <c r="AP370" s="2095"/>
      <c r="AQ370" s="2095"/>
      <c r="AR370" s="2095"/>
      <c r="AS370" s="2095"/>
      <c r="AT370" s="2095"/>
      <c r="AU370" s="2095"/>
      <c r="AV370" s="2095"/>
      <c r="AW370" s="2095"/>
      <c r="AX370" s="2095"/>
      <c r="AY370" s="2095"/>
      <c r="AZ370" s="2095"/>
      <c r="BA370" s="2093"/>
      <c r="BB370" s="2096"/>
    </row>
    <row r="371" s="2144" customFormat="true" ht="30" hidden="false" customHeight="true" outlineLevel="0" collapsed="false">
      <c r="A371" s="2092"/>
      <c r="B371" s="2093"/>
      <c r="C371" s="2094"/>
      <c r="D371" s="2095"/>
      <c r="E371" s="2095"/>
      <c r="F371" s="2095"/>
      <c r="G371" s="2095"/>
      <c r="H371" s="2095"/>
      <c r="I371" s="2095"/>
      <c r="J371" s="2095"/>
      <c r="K371" s="2095"/>
      <c r="L371" s="2095"/>
      <c r="M371" s="2095"/>
      <c r="N371" s="2095"/>
      <c r="O371" s="2095"/>
      <c r="P371" s="2093"/>
      <c r="Q371" s="2095"/>
      <c r="R371" s="2095"/>
      <c r="S371" s="2095"/>
      <c r="T371" s="2095"/>
      <c r="U371" s="2095"/>
      <c r="V371" s="2095"/>
      <c r="W371" s="2095"/>
      <c r="X371" s="2095"/>
      <c r="Y371" s="2095"/>
      <c r="Z371" s="2095"/>
      <c r="AA371" s="2095"/>
      <c r="AB371" s="2095"/>
      <c r="AC371" s="2095"/>
      <c r="AD371" s="2095"/>
      <c r="AE371" s="2095"/>
      <c r="AF371" s="2095"/>
      <c r="AG371" s="2095"/>
      <c r="AH371" s="2095"/>
      <c r="AI371" s="2095"/>
      <c r="AJ371" s="2095"/>
      <c r="AK371" s="2095"/>
      <c r="AL371" s="2095"/>
      <c r="AM371" s="2095"/>
      <c r="AN371" s="2095"/>
      <c r="AO371" s="2095"/>
      <c r="AP371" s="2095"/>
      <c r="AQ371" s="2095"/>
      <c r="AR371" s="2095"/>
      <c r="AS371" s="2095"/>
      <c r="AT371" s="2095"/>
      <c r="AU371" s="2095"/>
      <c r="AV371" s="2095"/>
      <c r="AW371" s="2095"/>
      <c r="AX371" s="2095"/>
      <c r="AY371" s="2095"/>
      <c r="AZ371" s="2095"/>
      <c r="BA371" s="2093"/>
      <c r="BB371" s="2096"/>
    </row>
    <row r="372" s="2128" customFormat="true" ht="30" hidden="false" customHeight="true" outlineLevel="0" collapsed="false">
      <c r="A372" s="2092"/>
      <c r="B372" s="2093"/>
      <c r="C372" s="2094"/>
      <c r="D372" s="2095"/>
      <c r="E372" s="2095"/>
      <c r="F372" s="2095"/>
      <c r="G372" s="2095"/>
      <c r="H372" s="2095"/>
      <c r="I372" s="2095"/>
      <c r="J372" s="2095"/>
      <c r="K372" s="2095"/>
      <c r="L372" s="2095"/>
      <c r="M372" s="2095"/>
      <c r="N372" s="2095"/>
      <c r="O372" s="2095"/>
      <c r="P372" s="2093"/>
      <c r="Q372" s="2095"/>
      <c r="R372" s="2095"/>
      <c r="S372" s="2095"/>
      <c r="T372" s="2095"/>
      <c r="U372" s="2095"/>
      <c r="V372" s="2095"/>
      <c r="W372" s="2095"/>
      <c r="X372" s="2095"/>
      <c r="Y372" s="2095"/>
      <c r="Z372" s="2095"/>
      <c r="AA372" s="2095"/>
      <c r="AB372" s="2095"/>
      <c r="AC372" s="2095"/>
      <c r="AD372" s="2095"/>
      <c r="AE372" s="2095"/>
      <c r="AF372" s="2095"/>
      <c r="AG372" s="2095"/>
      <c r="AH372" s="2095"/>
      <c r="AI372" s="2095"/>
      <c r="AJ372" s="2095"/>
      <c r="AK372" s="2095"/>
      <c r="AL372" s="2095"/>
      <c r="AM372" s="2095"/>
      <c r="AN372" s="2095"/>
      <c r="AO372" s="2095"/>
      <c r="AP372" s="2095"/>
      <c r="AQ372" s="2095"/>
      <c r="AR372" s="2095"/>
      <c r="AS372" s="2095"/>
      <c r="AT372" s="2095"/>
      <c r="AU372" s="2095"/>
      <c r="AV372" s="2095"/>
      <c r="AW372" s="2095"/>
      <c r="AX372" s="2095"/>
      <c r="AY372" s="2095"/>
      <c r="AZ372" s="2095"/>
      <c r="BA372" s="2093"/>
      <c r="BB372" s="2096"/>
    </row>
    <row r="373" s="2128" customFormat="true" ht="30" hidden="false" customHeight="true" outlineLevel="0" collapsed="false">
      <c r="A373" s="2092"/>
      <c r="B373" s="2093"/>
      <c r="C373" s="2094"/>
      <c r="D373" s="2095"/>
      <c r="E373" s="2095"/>
      <c r="F373" s="2095"/>
      <c r="G373" s="2095"/>
      <c r="H373" s="2095"/>
      <c r="I373" s="2095"/>
      <c r="J373" s="2095"/>
      <c r="K373" s="2095"/>
      <c r="L373" s="2095"/>
      <c r="M373" s="2095"/>
      <c r="N373" s="2095"/>
      <c r="O373" s="2095"/>
      <c r="P373" s="2093"/>
      <c r="Q373" s="2095"/>
      <c r="R373" s="2095"/>
      <c r="S373" s="2095"/>
      <c r="T373" s="2095"/>
      <c r="U373" s="2095"/>
      <c r="V373" s="2095"/>
      <c r="W373" s="2095"/>
      <c r="X373" s="2095"/>
      <c r="Y373" s="2095"/>
      <c r="Z373" s="2095"/>
      <c r="AA373" s="2095"/>
      <c r="AB373" s="2095"/>
      <c r="AC373" s="2095"/>
      <c r="AD373" s="2095"/>
      <c r="AE373" s="2095"/>
      <c r="AF373" s="2095"/>
      <c r="AG373" s="2095"/>
      <c r="AH373" s="2095"/>
      <c r="AI373" s="2095"/>
      <c r="AJ373" s="2095"/>
      <c r="AK373" s="2095"/>
      <c r="AL373" s="2095"/>
      <c r="AM373" s="2095"/>
      <c r="AN373" s="2095"/>
      <c r="AO373" s="2095"/>
      <c r="AP373" s="2095"/>
      <c r="AQ373" s="2095"/>
      <c r="AR373" s="2095"/>
      <c r="AS373" s="2095"/>
      <c r="AT373" s="2095"/>
      <c r="AU373" s="2095"/>
      <c r="AV373" s="2095"/>
      <c r="AW373" s="2095"/>
      <c r="AX373" s="2095"/>
      <c r="AY373" s="2095"/>
      <c r="AZ373" s="2095"/>
      <c r="BA373" s="2093"/>
      <c r="BB373" s="2096"/>
    </row>
    <row r="374" s="2128" customFormat="true" ht="30" hidden="false" customHeight="true" outlineLevel="0" collapsed="false">
      <c r="A374" s="2092"/>
      <c r="B374" s="2093"/>
      <c r="C374" s="2094"/>
      <c r="D374" s="2095"/>
      <c r="E374" s="2095"/>
      <c r="F374" s="2095"/>
      <c r="G374" s="2095"/>
      <c r="H374" s="2095"/>
      <c r="I374" s="2095"/>
      <c r="J374" s="2095"/>
      <c r="K374" s="2095"/>
      <c r="L374" s="2095"/>
      <c r="M374" s="2095"/>
      <c r="N374" s="2095"/>
      <c r="O374" s="2095"/>
      <c r="P374" s="2093"/>
      <c r="Q374" s="2095"/>
      <c r="R374" s="2095"/>
      <c r="S374" s="2095"/>
      <c r="T374" s="2095"/>
      <c r="U374" s="2095"/>
      <c r="V374" s="2095"/>
      <c r="W374" s="2095"/>
      <c r="X374" s="2095"/>
      <c r="Y374" s="2095"/>
      <c r="Z374" s="2095"/>
      <c r="AA374" s="2095"/>
      <c r="AB374" s="2095"/>
      <c r="AC374" s="2095"/>
      <c r="AD374" s="2095"/>
      <c r="AE374" s="2095"/>
      <c r="AF374" s="2095"/>
      <c r="AG374" s="2095"/>
      <c r="AH374" s="2095"/>
      <c r="AI374" s="2095"/>
      <c r="AJ374" s="2095"/>
      <c r="AK374" s="2095"/>
      <c r="AL374" s="2095"/>
      <c r="AM374" s="2095"/>
      <c r="AN374" s="2095"/>
      <c r="AO374" s="2095"/>
      <c r="AP374" s="2095"/>
      <c r="AQ374" s="2095"/>
      <c r="AR374" s="2095"/>
      <c r="AS374" s="2095"/>
      <c r="AT374" s="2095"/>
      <c r="AU374" s="2095"/>
      <c r="AV374" s="2095"/>
      <c r="AW374" s="2095"/>
      <c r="AX374" s="2095"/>
      <c r="AY374" s="2095"/>
      <c r="AZ374" s="2095"/>
      <c r="BA374" s="2093"/>
      <c r="BB374" s="2096"/>
    </row>
    <row r="375" s="2146" customFormat="true" ht="33.75" hidden="false" customHeight="true" outlineLevel="0" collapsed="false">
      <c r="A375" s="2092"/>
      <c r="B375" s="2093"/>
      <c r="C375" s="2094"/>
      <c r="D375" s="2095"/>
      <c r="E375" s="2095"/>
      <c r="F375" s="2095"/>
      <c r="G375" s="2095"/>
      <c r="H375" s="2095"/>
      <c r="I375" s="2095"/>
      <c r="J375" s="2095"/>
      <c r="K375" s="2095"/>
      <c r="L375" s="2095"/>
      <c r="M375" s="2095"/>
      <c r="N375" s="2095"/>
      <c r="O375" s="2095"/>
      <c r="P375" s="2093"/>
      <c r="Q375" s="2095"/>
      <c r="R375" s="2095"/>
      <c r="S375" s="2095"/>
      <c r="T375" s="2095"/>
      <c r="U375" s="2095"/>
      <c r="V375" s="2095"/>
      <c r="W375" s="2095"/>
      <c r="X375" s="2095"/>
      <c r="Y375" s="2095"/>
      <c r="Z375" s="2095"/>
      <c r="AA375" s="2095"/>
      <c r="AB375" s="2095"/>
      <c r="AC375" s="2095"/>
      <c r="AD375" s="2095"/>
      <c r="AE375" s="2095"/>
      <c r="AF375" s="2095"/>
      <c r="AG375" s="2095"/>
      <c r="AH375" s="2095"/>
      <c r="AI375" s="2095"/>
      <c r="AJ375" s="2095"/>
      <c r="AK375" s="2095"/>
      <c r="AL375" s="2095"/>
      <c r="AM375" s="2095"/>
      <c r="AN375" s="2095"/>
      <c r="AO375" s="2095"/>
      <c r="AP375" s="2095"/>
      <c r="AQ375" s="2095"/>
      <c r="AR375" s="2095"/>
      <c r="AS375" s="2095"/>
      <c r="AT375" s="2095"/>
      <c r="AU375" s="2095"/>
      <c r="AV375" s="2095"/>
      <c r="AW375" s="2095"/>
      <c r="AX375" s="2095"/>
      <c r="AY375" s="2095"/>
      <c r="AZ375" s="2095"/>
      <c r="BA375" s="2093"/>
      <c r="BB375" s="2096"/>
    </row>
  </sheetData>
  <mergeCells count="18">
    <mergeCell ref="A4:A5"/>
    <mergeCell ref="B4:B5"/>
    <mergeCell ref="C4:C5"/>
    <mergeCell ref="D4:D5"/>
    <mergeCell ref="E4:E5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C4:BC5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EA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6" topLeftCell="CM7" activePane="bottomRight" state="frozen"/>
      <selection pane="topLeft" activeCell="A1" activeCellId="0" sqref="A1"/>
      <selection pane="topRight" activeCell="CM1" activeCellId="0" sqref="CM1"/>
      <selection pane="bottomLeft" activeCell="A7" activeCellId="0" sqref="A7"/>
      <selection pane="bottomRight" activeCell="CX50" activeCellId="0" sqref="CX50"/>
    </sheetView>
  </sheetViews>
  <sheetFormatPr defaultColWidth="11.515625" defaultRowHeight="12.75" zeroHeight="false" outlineLevelRow="1" outlineLevelCol="0"/>
  <cols>
    <col collapsed="false" customWidth="true" hidden="false" outlineLevel="0" max="1" min="1" style="36" width="1"/>
    <col collapsed="false" customWidth="true" hidden="false" outlineLevel="0" max="2" min="2" style="36" width="50.48"/>
    <col collapsed="false" customWidth="true" hidden="false" outlineLevel="0" max="3" min="3" style="2147" width="6.35"/>
    <col collapsed="false" customWidth="true" hidden="false" outlineLevel="0" max="4" min="4" style="36" width="9.66"/>
    <col collapsed="false" customWidth="true" hidden="false" outlineLevel="0" max="5" min="5" style="36" width="10.16"/>
    <col collapsed="false" customWidth="true" hidden="false" outlineLevel="0" max="6" min="6" style="36" width="9.66"/>
    <col collapsed="false" customWidth="true" hidden="false" outlineLevel="0" max="7" min="7" style="36" width="9.16"/>
    <col collapsed="false" customWidth="true" hidden="false" outlineLevel="0" max="8" min="8" style="36" width="9.66"/>
    <col collapsed="false" customWidth="true" hidden="false" outlineLevel="0" max="9" min="9" style="36" width="0.16"/>
    <col collapsed="false" customWidth="true" hidden="false" outlineLevel="0" max="10" min="10" style="41" width="9.66"/>
    <col collapsed="false" customWidth="true" hidden="false" outlineLevel="0" max="11" min="11" style="41" width="9.33"/>
    <col collapsed="false" customWidth="true" hidden="false" outlineLevel="0" max="12" min="12" style="41" width="10.16"/>
    <col collapsed="false" customWidth="true" hidden="false" outlineLevel="0" max="13" min="13" style="41" width="10.5"/>
    <col collapsed="false" customWidth="true" hidden="false" outlineLevel="0" max="14" min="14" style="41" width="9.16"/>
    <col collapsed="false" customWidth="true" hidden="false" outlineLevel="0" max="15" min="15" style="41" width="0.52"/>
    <col collapsed="false" customWidth="true" hidden="false" outlineLevel="0" max="16" min="16" style="41" width="10.16"/>
    <col collapsed="false" customWidth="true" hidden="false" outlineLevel="0" max="17" min="17" style="41" width="9.51"/>
    <col collapsed="false" customWidth="true" hidden="false" outlineLevel="0" max="18" min="18" style="41" width="9.16"/>
    <col collapsed="false" customWidth="true" hidden="false" outlineLevel="0" max="19" min="19" style="41" width="10.16"/>
    <col collapsed="false" customWidth="true" hidden="false" outlineLevel="0" max="20" min="20" style="41" width="7.15"/>
    <col collapsed="false" customWidth="true" hidden="false" outlineLevel="0" max="21" min="21" style="41" width="0.16"/>
    <col collapsed="false" customWidth="true" hidden="false" outlineLevel="0" max="22" min="22" style="41" width="9.66"/>
    <col collapsed="false" customWidth="true" hidden="false" outlineLevel="0" max="23" min="23" style="41" width="10.5"/>
    <col collapsed="false" customWidth="true" hidden="false" outlineLevel="0" max="24" min="24" style="41" width="10"/>
    <col collapsed="false" customWidth="true" hidden="false" outlineLevel="0" max="25" min="25" style="41" width="8.16"/>
    <col collapsed="false" customWidth="true" hidden="false" outlineLevel="0" max="26" min="26" style="41" width="8.52"/>
    <col collapsed="false" customWidth="true" hidden="false" outlineLevel="0" max="27" min="27" style="41" width="8.83"/>
    <col collapsed="false" customWidth="true" hidden="false" outlineLevel="0" max="28" min="28" style="41" width="7.49"/>
    <col collapsed="false" customWidth="true" hidden="false" outlineLevel="0" max="29" min="29" style="41" width="0.33"/>
    <col collapsed="false" customWidth="true" hidden="false" outlineLevel="0" max="30" min="30" style="41" width="9.51"/>
    <col collapsed="false" customWidth="true" hidden="false" outlineLevel="0" max="31" min="31" style="41" width="10.5"/>
    <col collapsed="false" customWidth="true" hidden="false" outlineLevel="0" max="32" min="32" style="41" width="11.16"/>
    <col collapsed="false" customWidth="true" hidden="false" outlineLevel="0" max="33" min="33" style="41" width="8.16"/>
    <col collapsed="false" customWidth="true" hidden="false" outlineLevel="0" max="34" min="34" style="41" width="7.49"/>
    <col collapsed="false" customWidth="true" hidden="false" outlineLevel="0" max="35" min="35" style="41" width="10.33"/>
    <col collapsed="false" customWidth="true" hidden="false" outlineLevel="0" max="36" min="36" style="41" width="7.49"/>
    <col collapsed="false" customWidth="true" hidden="false" outlineLevel="0" max="37" min="37" style="41" width="0.16"/>
    <col collapsed="false" customWidth="true" hidden="false" outlineLevel="0" max="38" min="38" style="41" width="9.33"/>
    <col collapsed="false" customWidth="true" hidden="false" outlineLevel="0" max="39" min="39" style="41" width="7.67"/>
    <col collapsed="false" customWidth="true" hidden="false" outlineLevel="0" max="40" min="40" style="41" width="9.51"/>
    <col collapsed="false" customWidth="true" hidden="false" outlineLevel="0" max="41" min="41" style="41" width="9"/>
    <col collapsed="false" customWidth="true" hidden="false" outlineLevel="0" max="43" min="42" style="41" width="9.33"/>
    <col collapsed="false" customWidth="true" hidden="false" outlineLevel="0" max="44" min="44" style="41" width="7.49"/>
    <col collapsed="false" customWidth="true" hidden="false" outlineLevel="0" max="45" min="45" style="41" width="12.17"/>
    <col collapsed="false" customWidth="true" hidden="false" outlineLevel="0" max="46" min="46" style="41" width="0.16"/>
    <col collapsed="false" customWidth="true" hidden="false" outlineLevel="0" max="47" min="47" style="41" width="8.52"/>
    <col collapsed="false" customWidth="true" hidden="false" outlineLevel="0" max="48" min="48" style="41" width="7.49"/>
    <col collapsed="false" customWidth="true" hidden="false" outlineLevel="0" max="49" min="49" style="41" width="8.83"/>
    <col collapsed="false" customWidth="true" hidden="false" outlineLevel="0" max="50" min="50" style="41" width="9.51"/>
    <col collapsed="false" customWidth="true" hidden="false" outlineLevel="0" max="51" min="51" style="41" width="9.33"/>
    <col collapsed="false" customWidth="true" hidden="false" outlineLevel="0" max="52" min="52" style="41" width="8"/>
    <col collapsed="false" customWidth="true" hidden="false" outlineLevel="0" max="53" min="53" style="41" width="8.67"/>
    <col collapsed="false" customWidth="true" hidden="false" outlineLevel="0" max="54" min="54" style="41" width="0.33"/>
    <col collapsed="false" customWidth="true" hidden="false" outlineLevel="0" max="56" min="55" style="41" width="9.33"/>
    <col collapsed="false" customWidth="true" hidden="false" outlineLevel="0" max="57" min="57" style="41" width="10"/>
    <col collapsed="false" customWidth="true" hidden="false" outlineLevel="0" max="59" min="58" style="41" width="9.33"/>
    <col collapsed="false" customWidth="true" hidden="false" outlineLevel="0" max="60" min="60" style="41" width="7.49"/>
    <col collapsed="false" customWidth="true" hidden="false" outlineLevel="0" max="61" min="61" style="39" width="7.49"/>
    <col collapsed="false" customWidth="true" hidden="false" outlineLevel="0" max="62" min="62" style="41" width="0.33"/>
    <col collapsed="false" customWidth="true" hidden="false" outlineLevel="0" max="63" min="63" style="41" width="13.83"/>
    <col collapsed="false" customWidth="true" hidden="false" outlineLevel="0" max="64" min="64" style="41" width="7.49"/>
    <col collapsed="false" customWidth="true" hidden="false" outlineLevel="0" max="65" min="65" style="41" width="9.16"/>
    <col collapsed="false" customWidth="true" hidden="false" outlineLevel="0" max="66" min="66" style="41" width="9.51"/>
    <col collapsed="false" customWidth="true" hidden="false" outlineLevel="0" max="67" min="67" style="41" width="7.49"/>
    <col collapsed="false" customWidth="true" hidden="false" outlineLevel="0" max="68" min="68" style="41" width="9"/>
    <col collapsed="false" customWidth="true" hidden="false" outlineLevel="0" max="69" min="69" style="41" width="8.52"/>
    <col collapsed="false" customWidth="true" hidden="false" outlineLevel="0" max="70" min="70" style="41" width="7.49"/>
    <col collapsed="false" customWidth="true" hidden="false" outlineLevel="0" max="71" min="71" style="41" width="0.52"/>
    <col collapsed="false" customWidth="true" hidden="false" outlineLevel="0" max="72" min="72" style="41" width="15.83"/>
    <col collapsed="false" customWidth="true" hidden="false" outlineLevel="0" max="73" min="73" style="41" width="9.16"/>
    <col collapsed="false" customWidth="true" hidden="false" outlineLevel="0" max="74" min="74" style="41" width="9.33"/>
    <col collapsed="false" customWidth="true" hidden="false" outlineLevel="0" max="75" min="75" style="41" width="9.66"/>
    <col collapsed="false" customWidth="true" hidden="false" outlineLevel="0" max="77" min="76" style="41" width="9.33"/>
    <col collapsed="false" customWidth="true" hidden="false" outlineLevel="0" max="78" min="78" style="41" width="7.83"/>
    <col collapsed="false" customWidth="true" hidden="false" outlineLevel="0" max="79" min="79" style="41" width="0.33"/>
    <col collapsed="false" customWidth="true" hidden="false" outlineLevel="0" max="80" min="80" style="41" width="8.83"/>
    <col collapsed="false" customWidth="true" hidden="false" outlineLevel="0" max="85" min="81" style="41" width="9.33"/>
    <col collapsed="false" customWidth="true" hidden="false" outlineLevel="0" max="86" min="86" style="41" width="7.49"/>
    <col collapsed="false" customWidth="true" hidden="false" outlineLevel="0" max="87" min="87" style="41" width="0.52"/>
    <col collapsed="false" customWidth="true" hidden="false" outlineLevel="0" max="88" min="88" style="41" width="13.17"/>
    <col collapsed="false" customWidth="true" hidden="false" outlineLevel="0" max="89" min="89" style="41" width="9.16"/>
    <col collapsed="false" customWidth="true" hidden="false" outlineLevel="0" max="90" min="90" style="41" width="14.01"/>
    <col collapsed="false" customWidth="true" hidden="false" outlineLevel="0" max="92" min="91" style="41" width="9.51"/>
    <col collapsed="false" customWidth="true" hidden="false" outlineLevel="0" max="93" min="93" style="41" width="9.33"/>
    <col collapsed="false" customWidth="true" hidden="false" outlineLevel="0" max="94" min="94" style="41" width="9.51"/>
    <col collapsed="false" customWidth="true" hidden="false" outlineLevel="0" max="95" min="95" style="41" width="0.16"/>
    <col collapsed="false" customWidth="true" hidden="false" outlineLevel="0" max="96" min="96" style="41" width="14.16"/>
    <col collapsed="false" customWidth="true" hidden="false" outlineLevel="0" max="101" min="97" style="41" width="9.33"/>
    <col collapsed="false" customWidth="true" hidden="false" outlineLevel="0" max="102" min="102" style="39" width="8.33"/>
    <col collapsed="false" customWidth="true" hidden="false" outlineLevel="0" max="103" min="103" style="36" width="0.52"/>
    <col collapsed="false" customWidth="true" hidden="false" outlineLevel="0" max="104" min="104" style="37" width="11.16"/>
    <col collapsed="false" customWidth="true" hidden="false" outlineLevel="0" max="107" min="105" style="36" width="9.33"/>
    <col collapsed="false" customWidth="true" hidden="false" outlineLevel="0" max="108" min="108" style="37" width="15.15"/>
    <col collapsed="false" customWidth="true" hidden="false" outlineLevel="0" max="110" min="109" style="36" width="10.5"/>
    <col collapsed="false" customWidth="true" hidden="false" outlineLevel="0" max="111" min="111" style="40" width="10.5"/>
    <col collapsed="false" customWidth="true" hidden="false" outlineLevel="0" max="112" min="112" style="36" width="10.5"/>
    <col collapsed="false" customWidth="true" hidden="false" outlineLevel="0" max="113" min="113" style="36" width="1.85"/>
    <col collapsed="false" customWidth="true" hidden="true" outlineLevel="0" max="114" min="114" style="36" width="21.66"/>
    <col collapsed="false" customWidth="true" hidden="true" outlineLevel="0" max="117" min="115" style="36" width="22.5"/>
    <col collapsed="false" customWidth="true" hidden="true" outlineLevel="0" max="118" min="118" style="36" width="15.34"/>
    <col collapsed="false" customWidth="false" hidden="true" outlineLevel="0" max="119" min="119" style="36" width="11.5"/>
    <col collapsed="false" customWidth="true" hidden="true" outlineLevel="0" max="122" min="120" style="36" width="12.17"/>
    <col collapsed="false" customWidth="true" hidden="true" outlineLevel="0" max="123" min="123" style="36" width="13.83"/>
    <col collapsed="false" customWidth="false" hidden="true" outlineLevel="0" max="127" min="124" style="36" width="11.5"/>
    <col collapsed="false" customWidth="false" hidden="true" outlineLevel="0" max="128" min="128" style="2" width="11.5"/>
    <col collapsed="false" customWidth="true" hidden="true" outlineLevel="0" max="129" min="129" style="2" width="28.64"/>
    <col collapsed="false" customWidth="false" hidden="true" outlineLevel="0" max="130" min="130" style="2" width="11.52"/>
    <col collapsed="false" customWidth="false" hidden="true" outlineLevel="0" max="133" min="131" style="36" width="11.52"/>
    <col collapsed="false" customWidth="false" hidden="false" outlineLevel="0" max="1024" min="134" style="36" width="11.5"/>
  </cols>
  <sheetData>
    <row r="1" customFormat="false" ht="3" hidden="false" customHeight="true" outlineLevel="0" collapsed="false">
      <c r="CX1" s="287"/>
      <c r="DA1" s="42"/>
      <c r="DF1" s="40"/>
      <c r="DX1" s="40"/>
      <c r="DY1" s="40"/>
      <c r="DZ1" s="40"/>
    </row>
    <row r="2" customFormat="false" ht="21" hidden="false" customHeight="false" outlineLevel="0" collapsed="false">
      <c r="B2" s="44" t="s">
        <v>1181</v>
      </c>
      <c r="J2" s="2148"/>
      <c r="K2" s="2148"/>
      <c r="L2" s="2148"/>
      <c r="M2" s="2148"/>
      <c r="N2" s="2148"/>
      <c r="O2" s="2148"/>
      <c r="P2" s="2148"/>
      <c r="Q2" s="2148"/>
      <c r="R2" s="2148"/>
      <c r="S2" s="2148"/>
      <c r="T2" s="2148"/>
      <c r="U2" s="2148"/>
      <c r="V2" s="2148"/>
      <c r="W2" s="2148"/>
      <c r="X2" s="2148"/>
      <c r="Y2" s="2148"/>
      <c r="Z2" s="2148"/>
      <c r="AA2" s="2148"/>
      <c r="AB2" s="2148"/>
      <c r="AC2" s="2148"/>
      <c r="AD2" s="2148"/>
      <c r="AE2" s="2148"/>
      <c r="AF2" s="2148"/>
      <c r="AG2" s="2148"/>
      <c r="AH2" s="2148"/>
      <c r="AI2" s="2148"/>
      <c r="AJ2" s="2148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J2" s="239"/>
      <c r="BK2" s="239"/>
      <c r="BL2" s="239"/>
      <c r="BM2" s="239"/>
      <c r="BN2" s="2149"/>
      <c r="BO2" s="239"/>
      <c r="BP2" s="239"/>
      <c r="BQ2" s="239"/>
      <c r="BR2" s="239"/>
      <c r="BS2" s="239"/>
      <c r="BT2" s="239"/>
      <c r="BU2" s="239"/>
      <c r="BV2" s="239"/>
      <c r="BW2" s="239"/>
      <c r="BX2" s="239"/>
      <c r="BY2" s="239"/>
      <c r="BZ2" s="239"/>
      <c r="CA2" s="239"/>
      <c r="CB2" s="239"/>
      <c r="CC2" s="239"/>
      <c r="CD2" s="239"/>
      <c r="CE2" s="239"/>
      <c r="CF2" s="239"/>
      <c r="CG2" s="239"/>
      <c r="CH2" s="239"/>
      <c r="CI2" s="239"/>
      <c r="CJ2" s="2149"/>
      <c r="CK2" s="2150"/>
      <c r="CL2" s="2150"/>
      <c r="CM2" s="2150"/>
      <c r="CN2" s="2150"/>
      <c r="CO2" s="2150"/>
      <c r="CP2" s="2150"/>
      <c r="CQ2" s="2151"/>
      <c r="CR2" s="2152"/>
      <c r="CS2" s="2150" t="n">
        <v>-1205719014.81113</v>
      </c>
      <c r="CT2" s="2150"/>
      <c r="CU2" s="1765"/>
      <c r="CV2" s="1765"/>
      <c r="CW2" s="2150" t="n">
        <v>7052163332.95398</v>
      </c>
      <c r="CX2" s="1181"/>
      <c r="CY2" s="924"/>
      <c r="CZ2" s="297" t="n">
        <v>2398493361.43748</v>
      </c>
      <c r="DA2" s="297"/>
      <c r="DB2" s="924"/>
      <c r="DC2" s="920"/>
      <c r="DD2" s="297" t="n">
        <v>27780287390</v>
      </c>
      <c r="DE2" s="924"/>
      <c r="DF2" s="294"/>
      <c r="DG2" s="294"/>
      <c r="DH2" s="924"/>
    </row>
    <row r="3" customFormat="false" ht="12" hidden="false" customHeight="true" outlineLevel="0" collapsed="false">
      <c r="D3" s="2153"/>
      <c r="E3" s="331" t="n">
        <v>0</v>
      </c>
      <c r="F3" s="331"/>
      <c r="G3" s="331" t="n">
        <v>0</v>
      </c>
      <c r="H3" s="2153"/>
      <c r="I3" s="1185"/>
      <c r="AC3" s="2154"/>
      <c r="AK3" s="2155"/>
      <c r="AL3" s="2156"/>
      <c r="AM3" s="2153"/>
      <c r="AN3" s="2153"/>
      <c r="AO3" s="2153"/>
      <c r="AP3" s="2153"/>
      <c r="AQ3" s="2153"/>
      <c r="AR3" s="2153"/>
      <c r="AS3" s="2157"/>
      <c r="AT3" s="2155"/>
      <c r="AU3" s="2156"/>
      <c r="AV3" s="2153"/>
      <c r="AW3" s="2153"/>
      <c r="AX3" s="2153"/>
      <c r="AY3" s="2153"/>
      <c r="AZ3" s="2153"/>
      <c r="BA3" s="2153"/>
      <c r="BB3" s="2155"/>
      <c r="BC3" s="2156"/>
      <c r="BD3" s="2153"/>
      <c r="BE3" s="2153"/>
      <c r="BF3" s="2153"/>
      <c r="BG3" s="2153"/>
      <c r="BH3" s="2153"/>
      <c r="BI3" s="337"/>
      <c r="BJ3" s="2155"/>
      <c r="BK3" s="346"/>
      <c r="BL3" s="347"/>
      <c r="BM3" s="347"/>
      <c r="BN3" s="347"/>
      <c r="BO3" s="347"/>
      <c r="BP3" s="347"/>
      <c r="BQ3" s="347"/>
      <c r="BR3" s="347"/>
      <c r="BS3" s="351"/>
      <c r="BT3" s="346"/>
      <c r="BU3" s="347"/>
      <c r="BV3" s="347"/>
      <c r="BW3" s="347"/>
      <c r="BX3" s="347"/>
      <c r="BY3" s="347"/>
      <c r="BZ3" s="2158"/>
      <c r="CA3" s="351"/>
      <c r="CB3" s="346"/>
      <c r="CC3" s="347"/>
      <c r="CD3" s="347"/>
      <c r="CE3" s="347"/>
      <c r="CF3" s="347"/>
      <c r="CG3" s="347"/>
      <c r="CH3" s="2158"/>
      <c r="CI3" s="351"/>
      <c r="CJ3" s="346"/>
      <c r="CK3" s="347"/>
      <c r="CL3" s="347"/>
      <c r="CM3" s="347"/>
      <c r="CN3" s="347"/>
      <c r="CO3" s="347"/>
      <c r="CP3" s="2158"/>
      <c r="CQ3" s="2155"/>
      <c r="CR3" s="2159"/>
      <c r="CS3" s="2160"/>
      <c r="CT3" s="2160"/>
      <c r="CU3" s="2160"/>
      <c r="CV3" s="2160"/>
      <c r="CW3" s="2160"/>
      <c r="CX3" s="2161"/>
      <c r="CZ3" s="2053"/>
      <c r="DA3" s="2162"/>
      <c r="DB3" s="2162"/>
      <c r="DC3" s="2162"/>
      <c r="DD3" s="2162"/>
      <c r="DE3" s="2162"/>
      <c r="DF3" s="2162"/>
      <c r="DG3" s="622"/>
      <c r="DH3" s="2163"/>
    </row>
    <row r="4" s="360" customFormat="true" ht="14.25" hidden="false" customHeight="true" outlineLevel="0" collapsed="false">
      <c r="C4" s="2164"/>
      <c r="D4" s="362" t="n">
        <v>45292</v>
      </c>
      <c r="E4" s="362"/>
      <c r="F4" s="362"/>
      <c r="G4" s="362"/>
      <c r="H4" s="362"/>
      <c r="I4" s="361"/>
      <c r="J4" s="362" t="n">
        <v>45323</v>
      </c>
      <c r="K4" s="362"/>
      <c r="L4" s="362"/>
      <c r="M4" s="362"/>
      <c r="N4" s="362"/>
      <c r="O4" s="78"/>
      <c r="P4" s="362" t="n">
        <v>45352</v>
      </c>
      <c r="Q4" s="362"/>
      <c r="R4" s="362"/>
      <c r="S4" s="362"/>
      <c r="T4" s="362"/>
      <c r="U4" s="362"/>
      <c r="V4" s="2165" t="n">
        <v>45383</v>
      </c>
      <c r="W4" s="2165"/>
      <c r="X4" s="2165"/>
      <c r="Y4" s="2165"/>
      <c r="Z4" s="2165"/>
      <c r="AA4" s="2165"/>
      <c r="AB4" s="2165"/>
      <c r="AC4" s="943"/>
      <c r="AD4" s="2166" t="n">
        <v>45413</v>
      </c>
      <c r="AE4" s="2166"/>
      <c r="AF4" s="2166"/>
      <c r="AG4" s="2166"/>
      <c r="AH4" s="2166"/>
      <c r="AI4" s="2166"/>
      <c r="AJ4" s="2166"/>
      <c r="AK4" s="364"/>
      <c r="AL4" s="364" t="n">
        <v>45444</v>
      </c>
      <c r="AM4" s="364"/>
      <c r="AN4" s="364"/>
      <c r="AO4" s="364"/>
      <c r="AP4" s="364"/>
      <c r="AQ4" s="364"/>
      <c r="AR4" s="364"/>
      <c r="AS4" s="364"/>
      <c r="AT4" s="364"/>
      <c r="AU4" s="364" t="n">
        <v>45474</v>
      </c>
      <c r="AV4" s="364"/>
      <c r="AW4" s="364"/>
      <c r="AX4" s="364"/>
      <c r="AY4" s="364"/>
      <c r="AZ4" s="364"/>
      <c r="BA4" s="364"/>
      <c r="BB4" s="364"/>
      <c r="BC4" s="364" t="n">
        <v>45505</v>
      </c>
      <c r="BD4" s="364"/>
      <c r="BE4" s="364"/>
      <c r="BF4" s="364"/>
      <c r="BG4" s="364"/>
      <c r="BH4" s="364"/>
      <c r="BI4" s="364"/>
      <c r="BJ4" s="364"/>
      <c r="BK4" s="364" t="n">
        <v>45536</v>
      </c>
      <c r="BL4" s="364"/>
      <c r="BM4" s="364"/>
      <c r="BN4" s="364"/>
      <c r="BO4" s="364"/>
      <c r="BP4" s="364"/>
      <c r="BQ4" s="364"/>
      <c r="BR4" s="364"/>
      <c r="BS4" s="364"/>
      <c r="BT4" s="364" t="n">
        <v>45566</v>
      </c>
      <c r="BU4" s="364"/>
      <c r="BV4" s="364"/>
      <c r="BW4" s="364"/>
      <c r="BX4" s="364"/>
      <c r="BY4" s="364"/>
      <c r="BZ4" s="364"/>
      <c r="CA4" s="364"/>
      <c r="CB4" s="364" t="n">
        <v>45597</v>
      </c>
      <c r="CC4" s="364"/>
      <c r="CD4" s="364"/>
      <c r="CE4" s="364"/>
      <c r="CF4" s="364"/>
      <c r="CG4" s="364"/>
      <c r="CH4" s="364"/>
      <c r="CI4" s="364"/>
      <c r="CJ4" s="364" t="n">
        <v>45627</v>
      </c>
      <c r="CK4" s="364"/>
      <c r="CL4" s="364"/>
      <c r="CM4" s="364"/>
      <c r="CN4" s="364"/>
      <c r="CO4" s="364"/>
      <c r="CP4" s="364"/>
      <c r="CQ4" s="363"/>
      <c r="CR4" s="367" t="s">
        <v>1182</v>
      </c>
      <c r="CS4" s="367"/>
      <c r="CT4" s="367"/>
      <c r="CU4" s="367"/>
      <c r="CV4" s="367"/>
      <c r="CW4" s="367"/>
      <c r="CX4" s="367"/>
      <c r="CZ4" s="363" t="s">
        <v>4</v>
      </c>
      <c r="DA4" s="363"/>
      <c r="DB4" s="363"/>
      <c r="DC4" s="363"/>
      <c r="DD4" s="363"/>
      <c r="DE4" s="363"/>
      <c r="DF4" s="363"/>
      <c r="DG4" s="363"/>
      <c r="DH4" s="363"/>
      <c r="DX4" s="79"/>
      <c r="DY4" s="79"/>
      <c r="DZ4" s="79"/>
    </row>
    <row r="5" s="128" customFormat="true" ht="28.5" hidden="false" customHeight="true" outlineLevel="0" collapsed="false">
      <c r="B5" s="85" t="s">
        <v>5</v>
      </c>
      <c r="C5" s="2167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149"/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J5" s="383" t="s">
        <v>6</v>
      </c>
      <c r="DK5" s="383" t="s">
        <v>7</v>
      </c>
      <c r="DL5" s="383" t="s">
        <v>9</v>
      </c>
      <c r="DM5" s="383" t="s">
        <v>102</v>
      </c>
      <c r="DX5" s="91"/>
      <c r="DY5" s="91"/>
      <c r="DZ5" s="91"/>
    </row>
    <row r="6" customFormat="false" ht="6" hidden="false" customHeight="true" outlineLevel="0" collapsed="false">
      <c r="D6" s="41"/>
      <c r="E6" s="41"/>
      <c r="F6" s="41"/>
      <c r="G6" s="41"/>
      <c r="H6" s="41"/>
      <c r="I6" s="103"/>
      <c r="AC6" s="2168"/>
      <c r="AK6" s="2169"/>
      <c r="AT6" s="2169"/>
      <c r="BB6" s="2169"/>
      <c r="BJ6" s="2169"/>
      <c r="BS6" s="2169"/>
      <c r="CA6" s="2169"/>
      <c r="CI6" s="2169"/>
      <c r="CQ6" s="2169"/>
      <c r="CZ6" s="2170"/>
      <c r="DA6" s="43"/>
      <c r="DB6" s="43"/>
      <c r="DC6" s="41"/>
      <c r="DD6" s="41"/>
      <c r="DE6" s="41"/>
      <c r="DF6" s="41"/>
      <c r="DG6" s="41"/>
      <c r="DH6" s="39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</row>
    <row r="7" customFormat="false" ht="18.75" hidden="false" customHeight="true" outlineLevel="0" collapsed="false">
      <c r="B7" s="2171" t="s">
        <v>56</v>
      </c>
      <c r="C7" s="2172" t="s">
        <v>1183</v>
      </c>
      <c r="D7" s="2173"/>
      <c r="E7" s="2173"/>
      <c r="F7" s="2174"/>
      <c r="G7" s="2174"/>
      <c r="H7" s="109"/>
      <c r="I7" s="2175"/>
      <c r="J7" s="2173"/>
      <c r="K7" s="2173"/>
      <c r="L7" s="2174"/>
      <c r="M7" s="2174"/>
      <c r="N7" s="109"/>
      <c r="O7" s="109"/>
      <c r="P7" s="2173"/>
      <c r="Q7" s="2173"/>
      <c r="R7" s="2174"/>
      <c r="S7" s="2174"/>
      <c r="T7" s="109"/>
      <c r="U7" s="109"/>
      <c r="V7" s="2173"/>
      <c r="W7" s="2173"/>
      <c r="X7" s="2173"/>
      <c r="Y7" s="2174"/>
      <c r="Z7" s="2174"/>
      <c r="AA7" s="2174"/>
      <c r="AB7" s="109"/>
      <c r="AC7" s="2176"/>
      <c r="AD7" s="2173"/>
      <c r="AE7" s="2173"/>
      <c r="AF7" s="2173"/>
      <c r="AG7" s="2174"/>
      <c r="AH7" s="2174"/>
      <c r="AI7" s="2174"/>
      <c r="AJ7" s="109"/>
      <c r="AK7" s="111"/>
      <c r="AL7" s="2177"/>
      <c r="AM7" s="2178"/>
      <c r="AN7" s="2178"/>
      <c r="AO7" s="2178"/>
      <c r="AP7" s="2179"/>
      <c r="AQ7" s="2179"/>
      <c r="AR7" s="2179"/>
      <c r="AS7" s="2180"/>
      <c r="AT7" s="111"/>
      <c r="AU7" s="2177"/>
      <c r="AV7" s="2178"/>
      <c r="AW7" s="2178"/>
      <c r="AX7" s="2179"/>
      <c r="AY7" s="2179"/>
      <c r="AZ7" s="2179"/>
      <c r="BA7" s="2180"/>
      <c r="BB7" s="111"/>
      <c r="BC7" s="2177"/>
      <c r="BD7" s="2178"/>
      <c r="BE7" s="2178"/>
      <c r="BF7" s="2179"/>
      <c r="BG7" s="2179"/>
      <c r="BH7" s="2179"/>
      <c r="BI7" s="2180"/>
      <c r="BJ7" s="111"/>
      <c r="BK7" s="2177"/>
      <c r="BL7" s="2178"/>
      <c r="BM7" s="2178"/>
      <c r="BN7" s="2178"/>
      <c r="BO7" s="2179"/>
      <c r="BP7" s="2179"/>
      <c r="BQ7" s="2179"/>
      <c r="BR7" s="2180"/>
      <c r="BS7" s="111"/>
      <c r="BT7" s="2177"/>
      <c r="BU7" s="2178"/>
      <c r="BV7" s="2178"/>
      <c r="BW7" s="2179"/>
      <c r="BX7" s="2179"/>
      <c r="BY7" s="2179"/>
      <c r="BZ7" s="2180"/>
      <c r="CA7" s="111"/>
      <c r="CB7" s="2177"/>
      <c r="CC7" s="2178"/>
      <c r="CD7" s="2178"/>
      <c r="CE7" s="2179"/>
      <c r="CF7" s="2179"/>
      <c r="CG7" s="2179"/>
      <c r="CH7" s="2180"/>
      <c r="CI7" s="111"/>
      <c r="CJ7" s="2177"/>
      <c r="CK7" s="2178"/>
      <c r="CL7" s="2178"/>
      <c r="CM7" s="2179"/>
      <c r="CN7" s="2179"/>
      <c r="CO7" s="2179"/>
      <c r="CP7" s="2180"/>
      <c r="CQ7" s="112"/>
      <c r="CR7" s="2181"/>
      <c r="CS7" s="2181"/>
      <c r="CT7" s="2181"/>
      <c r="CU7" s="2181" t="n">
        <f aca="false">CR7-CS7</f>
        <v>0</v>
      </c>
      <c r="CV7" s="2181" t="n">
        <f aca="false">CR7-CT7</f>
        <v>0</v>
      </c>
      <c r="CW7" s="2181"/>
      <c r="CX7" s="2182" t="str">
        <f aca="false">IFERROR(CR7/CW7-1, "-")</f>
        <v>-</v>
      </c>
      <c r="CY7" s="240"/>
      <c r="CZ7" s="2174"/>
      <c r="DA7" s="2181"/>
      <c r="DB7" s="2174"/>
      <c r="DC7" s="2174"/>
      <c r="DD7" s="2174"/>
      <c r="DE7" s="109" t="e">
        <f aca="false">+CZ7/DD7-1</f>
        <v>#DIV/0!</v>
      </c>
      <c r="DF7" s="109" t="e">
        <f aca="false">+DA7/DD7-1</f>
        <v>#DIV/0!</v>
      </c>
      <c r="DG7" s="109" t="e">
        <f aca="false">+DB7/DD7-1</f>
        <v>#DIV/0!</v>
      </c>
      <c r="DH7" s="109" t="e">
        <f aca="false">+DC7/DD7-1</f>
        <v>#DIV/0!</v>
      </c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509"/>
      <c r="DO7" s="509"/>
      <c r="DP7" s="509"/>
      <c r="DQ7" s="509"/>
      <c r="DR7" s="509"/>
      <c r="DS7" s="509"/>
      <c r="DT7" s="509"/>
      <c r="DU7" s="509"/>
      <c r="DV7" s="509"/>
      <c r="DW7" s="509"/>
      <c r="EA7" s="509"/>
    </row>
    <row r="8" customFormat="false" ht="6" hidden="false" customHeight="true" outlineLevel="0" collapsed="false">
      <c r="B8" s="1238"/>
      <c r="C8" s="2172" t="s">
        <v>1184</v>
      </c>
      <c r="D8" s="560"/>
      <c r="E8" s="2183"/>
      <c r="F8" s="2183"/>
      <c r="G8" s="2183"/>
      <c r="H8" s="2184"/>
      <c r="I8" s="1195"/>
      <c r="J8" s="560"/>
      <c r="K8" s="2183"/>
      <c r="L8" s="2183"/>
      <c r="M8" s="2183"/>
      <c r="N8" s="2184"/>
      <c r="O8" s="2184"/>
      <c r="P8" s="560"/>
      <c r="Q8" s="2183"/>
      <c r="R8" s="2183"/>
      <c r="S8" s="2183"/>
      <c r="T8" s="2184"/>
      <c r="U8" s="2184"/>
      <c r="V8" s="560"/>
      <c r="W8" s="2183"/>
      <c r="X8" s="2183"/>
      <c r="Y8" s="2183"/>
      <c r="Z8" s="2183"/>
      <c r="AA8" s="2183"/>
      <c r="AB8" s="2184"/>
      <c r="AC8" s="2185"/>
      <c r="AD8" s="560"/>
      <c r="AE8" s="2183"/>
      <c r="AF8" s="2183"/>
      <c r="AG8" s="2183"/>
      <c r="AH8" s="2183"/>
      <c r="AI8" s="2183"/>
      <c r="AJ8" s="2184"/>
      <c r="AK8" s="2186"/>
      <c r="AL8" s="560"/>
      <c r="AM8" s="2183"/>
      <c r="AN8" s="2183"/>
      <c r="AO8" s="2183"/>
      <c r="AP8" s="2183"/>
      <c r="AQ8" s="2183"/>
      <c r="AR8" s="2183"/>
      <c r="AS8" s="2187"/>
      <c r="AT8" s="2186"/>
      <c r="AU8" s="560"/>
      <c r="AV8" s="2183"/>
      <c r="AW8" s="2183"/>
      <c r="AX8" s="2183"/>
      <c r="AY8" s="2183"/>
      <c r="AZ8" s="2183"/>
      <c r="BA8" s="2187"/>
      <c r="BB8" s="2186"/>
      <c r="BC8" s="560"/>
      <c r="BD8" s="2183"/>
      <c r="BE8" s="2183"/>
      <c r="BF8" s="2183"/>
      <c r="BG8" s="2183"/>
      <c r="BH8" s="2183"/>
      <c r="BI8" s="2187"/>
      <c r="BJ8" s="2186"/>
      <c r="BK8" s="560"/>
      <c r="BL8" s="2183"/>
      <c r="BM8" s="2183"/>
      <c r="BN8" s="2183"/>
      <c r="BO8" s="2183"/>
      <c r="BP8" s="2183"/>
      <c r="BQ8" s="2183"/>
      <c r="BR8" s="2187"/>
      <c r="BS8" s="2186"/>
      <c r="BT8" s="560"/>
      <c r="BU8" s="2183"/>
      <c r="BV8" s="2183"/>
      <c r="BW8" s="2183"/>
      <c r="BX8" s="2183"/>
      <c r="BY8" s="2183"/>
      <c r="BZ8" s="2187"/>
      <c r="CA8" s="2186"/>
      <c r="CB8" s="560"/>
      <c r="CC8" s="2183"/>
      <c r="CD8" s="2183"/>
      <c r="CE8" s="2183"/>
      <c r="CF8" s="2183"/>
      <c r="CG8" s="2183"/>
      <c r="CH8" s="2187"/>
      <c r="CI8" s="2186"/>
      <c r="CJ8" s="560"/>
      <c r="CK8" s="2183"/>
      <c r="CL8" s="2183"/>
      <c r="CM8" s="2183"/>
      <c r="CN8" s="2183"/>
      <c r="CO8" s="2183"/>
      <c r="CP8" s="2187"/>
      <c r="CQ8" s="148"/>
      <c r="CR8" s="2183"/>
      <c r="CS8" s="2183"/>
      <c r="CT8" s="2183"/>
      <c r="CU8" s="2183"/>
      <c r="CV8" s="2183"/>
      <c r="CW8" s="2183"/>
      <c r="CX8" s="2188" t="str">
        <f aca="false">IFERROR(CR8/CW8-1, "-")</f>
        <v>-</v>
      </c>
      <c r="CY8" s="240"/>
      <c r="CZ8" s="2183"/>
      <c r="DA8" s="2183"/>
      <c r="DB8" s="2183"/>
      <c r="DC8" s="2183"/>
      <c r="DD8" s="2183"/>
      <c r="DE8" s="2184"/>
      <c r="DF8" s="2184"/>
      <c r="DG8" s="2184"/>
      <c r="DH8" s="2184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N8" s="509"/>
      <c r="DO8" s="509"/>
      <c r="DP8" s="509"/>
      <c r="DQ8" s="509"/>
      <c r="DR8" s="509"/>
      <c r="DS8" s="509"/>
      <c r="DT8" s="509"/>
      <c r="DU8" s="509"/>
      <c r="DV8" s="509"/>
      <c r="DW8" s="509"/>
      <c r="DX8" s="107" t="n">
        <f aca="false">CS8-CZ8</f>
        <v>0</v>
      </c>
      <c r="DY8" s="107" t="n">
        <f aca="false">(CT8-DC8)*10^6</f>
        <v>0</v>
      </c>
      <c r="DZ8" s="107" t="n">
        <f aca="false">CW8-DD8</f>
        <v>0</v>
      </c>
      <c r="EA8" s="509"/>
    </row>
    <row r="9" customFormat="false" ht="12.75" hidden="false" customHeight="false" outlineLevel="0" collapsed="false">
      <c r="B9" s="1241" t="s">
        <v>1185</v>
      </c>
      <c r="C9" s="2172" t="s">
        <v>1186</v>
      </c>
      <c r="D9" s="2189"/>
      <c r="E9" s="240"/>
      <c r="F9" s="240"/>
      <c r="G9" s="240"/>
      <c r="H9" s="146"/>
      <c r="I9" s="1195"/>
      <c r="J9" s="2189"/>
      <c r="K9" s="240"/>
      <c r="L9" s="240"/>
      <c r="M9" s="240"/>
      <c r="N9" s="146"/>
      <c r="O9" s="146"/>
      <c r="P9" s="2189"/>
      <c r="Q9" s="240"/>
      <c r="R9" s="240"/>
      <c r="S9" s="240"/>
      <c r="T9" s="146"/>
      <c r="U9" s="146"/>
      <c r="V9" s="2189"/>
      <c r="W9" s="240"/>
      <c r="X9" s="240"/>
      <c r="Y9" s="240"/>
      <c r="Z9" s="240"/>
      <c r="AA9" s="240"/>
      <c r="AB9" s="146"/>
      <c r="AC9" s="2190"/>
      <c r="AD9" s="2189"/>
      <c r="AE9" s="240"/>
      <c r="AF9" s="240"/>
      <c r="AG9" s="240"/>
      <c r="AH9" s="240"/>
      <c r="AI9" s="240"/>
      <c r="AJ9" s="146"/>
      <c r="AK9" s="148"/>
      <c r="AL9" s="2189"/>
      <c r="AM9" s="240"/>
      <c r="AN9" s="240"/>
      <c r="AO9" s="240"/>
      <c r="AP9" s="240"/>
      <c r="AQ9" s="240"/>
      <c r="AR9" s="2191"/>
      <c r="AS9" s="2192"/>
      <c r="AT9" s="148"/>
      <c r="AU9" s="2189"/>
      <c r="AV9" s="240"/>
      <c r="AW9" s="240"/>
      <c r="AX9" s="240"/>
      <c r="AY9" s="240"/>
      <c r="AZ9" s="2191"/>
      <c r="BA9" s="2192"/>
      <c r="BB9" s="148"/>
      <c r="BC9" s="2189"/>
      <c r="BD9" s="240"/>
      <c r="BE9" s="240"/>
      <c r="BF9" s="240"/>
      <c r="BG9" s="240"/>
      <c r="BH9" s="2191"/>
      <c r="BI9" s="2192"/>
      <c r="BJ9" s="148"/>
      <c r="BK9" s="2189"/>
      <c r="BL9" s="240"/>
      <c r="BM9" s="240"/>
      <c r="BN9" s="240"/>
      <c r="BO9" s="240"/>
      <c r="BP9" s="240"/>
      <c r="BQ9" s="2191"/>
      <c r="BR9" s="2192"/>
      <c r="BS9" s="148"/>
      <c r="BT9" s="2189"/>
      <c r="BU9" s="240"/>
      <c r="BV9" s="240"/>
      <c r="BW9" s="240"/>
      <c r="BX9" s="240"/>
      <c r="BY9" s="2191"/>
      <c r="BZ9" s="2192"/>
      <c r="CA9" s="148"/>
      <c r="CB9" s="2189"/>
      <c r="CC9" s="240"/>
      <c r="CD9" s="240"/>
      <c r="CE9" s="240"/>
      <c r="CF9" s="240"/>
      <c r="CG9" s="2191"/>
      <c r="CH9" s="2192"/>
      <c r="CI9" s="148"/>
      <c r="CJ9" s="2189"/>
      <c r="CK9" s="240"/>
      <c r="CL9" s="240"/>
      <c r="CM9" s="240"/>
      <c r="CN9" s="240"/>
      <c r="CO9" s="2191"/>
      <c r="CP9" s="2192"/>
      <c r="CQ9" s="148"/>
      <c r="CR9" s="240"/>
      <c r="CS9" s="240"/>
      <c r="CT9" s="240"/>
      <c r="CU9" s="240" t="n">
        <f aca="false">CR9-CS9</f>
        <v>0</v>
      </c>
      <c r="CV9" s="240" t="n">
        <f aca="false">CR9-CT9</f>
        <v>0</v>
      </c>
      <c r="CW9" s="240"/>
      <c r="CX9" s="2193" t="str">
        <f aca="false">IFERROR(CR9/CW9-1, "-")</f>
        <v>-</v>
      </c>
      <c r="CY9" s="240"/>
      <c r="CZ9" s="240"/>
      <c r="DA9" s="240"/>
      <c r="DB9" s="240"/>
      <c r="DC9" s="240"/>
      <c r="DD9" s="240"/>
      <c r="DE9" s="146" t="e">
        <f aca="false">+CZ9/DD9-1</f>
        <v>#DIV/0!</v>
      </c>
      <c r="DF9" s="146" t="e">
        <f aca="false">+DA9/DD9-1</f>
        <v>#DIV/0!</v>
      </c>
      <c r="DG9" s="146" t="e">
        <f aca="false">+DB9/DD9-1</f>
        <v>#DIV/0!</v>
      </c>
      <c r="DH9" s="146" t="e">
        <f aca="false">+DC9/DD9-1</f>
        <v>#DIV/0!</v>
      </c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N9" s="509"/>
      <c r="DO9" s="509"/>
      <c r="DP9" s="509"/>
      <c r="DQ9" s="509"/>
      <c r="DR9" s="509"/>
      <c r="DS9" s="509"/>
      <c r="DT9" s="509"/>
      <c r="DU9" s="509"/>
      <c r="DV9" s="509"/>
      <c r="DW9" s="509"/>
      <c r="DX9" s="107" t="n">
        <f aca="false">(CS9-CZ9)*10^6</f>
        <v>0</v>
      </c>
      <c r="DY9" s="107" t="n">
        <f aca="false">(CT9-DC9)*10^6</f>
        <v>0</v>
      </c>
      <c r="DZ9" s="107" t="n">
        <f aca="false">(CW9-DD9)*10^6</f>
        <v>0</v>
      </c>
      <c r="EA9" s="509"/>
    </row>
    <row r="10" customFormat="false" ht="3.75" hidden="false" customHeight="true" outlineLevel="0" collapsed="false">
      <c r="B10" s="1241"/>
      <c r="C10" s="2172" t="s">
        <v>1187</v>
      </c>
      <c r="D10" s="426"/>
      <c r="E10" s="240"/>
      <c r="F10" s="240"/>
      <c r="G10" s="240"/>
      <c r="H10" s="146"/>
      <c r="I10" s="1195"/>
      <c r="J10" s="426"/>
      <c r="K10" s="240"/>
      <c r="L10" s="240"/>
      <c r="M10" s="240"/>
      <c r="N10" s="146"/>
      <c r="O10" s="146"/>
      <c r="P10" s="426"/>
      <c r="Q10" s="240"/>
      <c r="R10" s="240"/>
      <c r="S10" s="240"/>
      <c r="T10" s="146"/>
      <c r="U10" s="146"/>
      <c r="V10" s="426"/>
      <c r="W10" s="240"/>
      <c r="X10" s="240"/>
      <c r="Y10" s="240"/>
      <c r="Z10" s="240"/>
      <c r="AA10" s="240"/>
      <c r="AB10" s="146"/>
      <c r="AC10" s="2190"/>
      <c r="AD10" s="426"/>
      <c r="AE10" s="240"/>
      <c r="AF10" s="240"/>
      <c r="AG10" s="240"/>
      <c r="AH10" s="240"/>
      <c r="AI10" s="240"/>
      <c r="AJ10" s="146"/>
      <c r="AK10" s="148"/>
      <c r="AL10" s="426"/>
      <c r="AM10" s="240"/>
      <c r="AN10" s="240"/>
      <c r="AO10" s="240"/>
      <c r="AP10" s="240"/>
      <c r="AQ10" s="240"/>
      <c r="AR10" s="240"/>
      <c r="AS10" s="2192"/>
      <c r="AT10" s="148"/>
      <c r="AU10" s="426"/>
      <c r="AV10" s="240"/>
      <c r="AW10" s="240"/>
      <c r="AX10" s="240"/>
      <c r="AY10" s="240"/>
      <c r="AZ10" s="240"/>
      <c r="BA10" s="2192"/>
      <c r="BB10" s="148"/>
      <c r="BC10" s="426"/>
      <c r="BD10" s="240"/>
      <c r="BE10" s="240"/>
      <c r="BF10" s="240"/>
      <c r="BG10" s="240"/>
      <c r="BH10" s="240"/>
      <c r="BI10" s="2192"/>
      <c r="BJ10" s="148"/>
      <c r="BK10" s="426"/>
      <c r="BL10" s="240"/>
      <c r="BM10" s="240"/>
      <c r="BN10" s="240"/>
      <c r="BO10" s="240"/>
      <c r="BP10" s="240"/>
      <c r="BQ10" s="240"/>
      <c r="BR10" s="2192"/>
      <c r="BS10" s="148"/>
      <c r="BT10" s="426"/>
      <c r="BU10" s="240"/>
      <c r="BV10" s="240"/>
      <c r="BW10" s="240"/>
      <c r="BX10" s="240"/>
      <c r="BY10" s="240"/>
      <c r="BZ10" s="2192"/>
      <c r="CA10" s="148"/>
      <c r="CB10" s="426"/>
      <c r="CC10" s="240"/>
      <c r="CD10" s="240"/>
      <c r="CE10" s="240"/>
      <c r="CF10" s="240"/>
      <c r="CG10" s="240"/>
      <c r="CH10" s="2192"/>
      <c r="CI10" s="148"/>
      <c r="CJ10" s="426"/>
      <c r="CK10" s="240"/>
      <c r="CL10" s="240"/>
      <c r="CM10" s="240"/>
      <c r="CN10" s="240"/>
      <c r="CO10" s="240"/>
      <c r="CP10" s="2192"/>
      <c r="CQ10" s="148"/>
      <c r="CR10" s="240"/>
      <c r="CS10" s="240"/>
      <c r="CT10" s="240"/>
      <c r="CU10" s="240"/>
      <c r="CV10" s="240"/>
      <c r="CW10" s="240"/>
      <c r="CX10" s="2193" t="str">
        <f aca="false">IFERROR(CR10/CW10-1, "-")</f>
        <v>-</v>
      </c>
      <c r="CY10" s="240"/>
      <c r="CZ10" s="240"/>
      <c r="DA10" s="240"/>
      <c r="DB10" s="240"/>
      <c r="DC10" s="240"/>
      <c r="DD10" s="240"/>
      <c r="DE10" s="146"/>
      <c r="DF10" s="146"/>
      <c r="DG10" s="146"/>
      <c r="DH10" s="146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N10" s="509"/>
      <c r="DO10" s="509"/>
      <c r="DP10" s="509"/>
      <c r="DQ10" s="509"/>
      <c r="DR10" s="509"/>
      <c r="DS10" s="509"/>
      <c r="DT10" s="509"/>
      <c r="DU10" s="509"/>
      <c r="DV10" s="509"/>
      <c r="DW10" s="509"/>
      <c r="DX10" s="107" t="n">
        <f aca="false">(CS10-CZ10)*10^6</f>
        <v>0</v>
      </c>
      <c r="DY10" s="107" t="n">
        <f aca="false">(CT10-DC10)*10^6</f>
        <v>0</v>
      </c>
      <c r="DZ10" s="107" t="n">
        <f aca="false">(CW10-DD10)*10^6</f>
        <v>0</v>
      </c>
      <c r="EA10" s="509"/>
    </row>
    <row r="11" customFormat="false" ht="12.75" hidden="false" customHeight="false" outlineLevel="0" collapsed="false">
      <c r="B11" s="2194" t="s">
        <v>1188</v>
      </c>
      <c r="C11" s="2172" t="s">
        <v>1189</v>
      </c>
      <c r="D11" s="2195"/>
      <c r="E11" s="1015"/>
      <c r="F11" s="1015"/>
      <c r="G11" s="1015"/>
      <c r="H11" s="146"/>
      <c r="I11" s="2196"/>
      <c r="J11" s="2195"/>
      <c r="K11" s="1015"/>
      <c r="L11" s="1015"/>
      <c r="M11" s="1015"/>
      <c r="N11" s="146"/>
      <c r="O11" s="146"/>
      <c r="P11" s="2195"/>
      <c r="Q11" s="1015"/>
      <c r="R11" s="1015"/>
      <c r="S11" s="1015"/>
      <c r="T11" s="146"/>
      <c r="U11" s="146"/>
      <c r="V11" s="2195"/>
      <c r="W11" s="1015"/>
      <c r="X11" s="1015"/>
      <c r="Y11" s="1015"/>
      <c r="Z11" s="1015"/>
      <c r="AA11" s="1015"/>
      <c r="AB11" s="146"/>
      <c r="AC11" s="2190"/>
      <c r="AD11" s="2195"/>
      <c r="AE11" s="1015"/>
      <c r="AF11" s="1015"/>
      <c r="AG11" s="1015"/>
      <c r="AH11" s="1015"/>
      <c r="AI11" s="1015"/>
      <c r="AJ11" s="146"/>
      <c r="AK11" s="148"/>
      <c r="AL11" s="2195"/>
      <c r="AM11" s="1015"/>
      <c r="AN11" s="1015"/>
      <c r="AO11" s="1015"/>
      <c r="AP11" s="1015"/>
      <c r="AQ11" s="1015"/>
      <c r="AR11" s="1015"/>
      <c r="AS11" s="2192"/>
      <c r="AT11" s="148"/>
      <c r="AU11" s="2195"/>
      <c r="AV11" s="1015"/>
      <c r="AW11" s="1015"/>
      <c r="AX11" s="1015"/>
      <c r="AY11" s="1015"/>
      <c r="AZ11" s="1015"/>
      <c r="BA11" s="2192"/>
      <c r="BB11" s="148"/>
      <c r="BC11" s="2195"/>
      <c r="BD11" s="1015"/>
      <c r="BE11" s="1015"/>
      <c r="BF11" s="1015"/>
      <c r="BG11" s="1015"/>
      <c r="BH11" s="1015"/>
      <c r="BI11" s="2192"/>
      <c r="BJ11" s="148"/>
      <c r="BK11" s="2195"/>
      <c r="BL11" s="1015"/>
      <c r="BM11" s="1015"/>
      <c r="BN11" s="1015"/>
      <c r="BO11" s="1015"/>
      <c r="BP11" s="1015"/>
      <c r="BQ11" s="1015"/>
      <c r="BR11" s="2192"/>
      <c r="BS11" s="148"/>
      <c r="BT11" s="2195"/>
      <c r="BU11" s="1015"/>
      <c r="BV11" s="1015"/>
      <c r="BW11" s="1015"/>
      <c r="BX11" s="1015"/>
      <c r="BY11" s="1015"/>
      <c r="BZ11" s="2192"/>
      <c r="CA11" s="148"/>
      <c r="CB11" s="2195"/>
      <c r="CC11" s="1015"/>
      <c r="CD11" s="1015"/>
      <c r="CE11" s="1015"/>
      <c r="CF11" s="1015"/>
      <c r="CG11" s="1015"/>
      <c r="CH11" s="2192"/>
      <c r="CI11" s="148"/>
      <c r="CJ11" s="2195"/>
      <c r="CK11" s="1015"/>
      <c r="CL11" s="1015"/>
      <c r="CM11" s="1015"/>
      <c r="CN11" s="1015"/>
      <c r="CO11" s="1015"/>
      <c r="CP11" s="2192"/>
      <c r="CQ11" s="148"/>
      <c r="CR11" s="1015"/>
      <c r="CS11" s="1015"/>
      <c r="CT11" s="1015"/>
      <c r="CU11" s="1015" t="n">
        <f aca="false">CR11-CS11</f>
        <v>0</v>
      </c>
      <c r="CV11" s="1015" t="n">
        <f aca="false">CR11-CT11</f>
        <v>0</v>
      </c>
      <c r="CW11" s="1015"/>
      <c r="CX11" s="2197" t="str">
        <f aca="false">IFERROR(CR11/CW11-1, "-")</f>
        <v>-</v>
      </c>
      <c r="CY11" s="1015"/>
      <c r="CZ11" s="1015"/>
      <c r="DA11" s="1015"/>
      <c r="DB11" s="1015"/>
      <c r="DC11" s="1015"/>
      <c r="DD11" s="1015"/>
      <c r="DE11" s="127" t="e">
        <f aca="false">+CZ11/DD11-1</f>
        <v>#DIV/0!</v>
      </c>
      <c r="DF11" s="127" t="e">
        <f aca="false">+DA11/DD11-1</f>
        <v>#DIV/0!</v>
      </c>
      <c r="DG11" s="127" t="e">
        <f aca="false">+DB11/DD11-1</f>
        <v>#DIV/0!</v>
      </c>
      <c r="DH11" s="127" t="e">
        <f aca="false">+DC11/DD11-1</f>
        <v>#DIV/0!</v>
      </c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509"/>
      <c r="DO11" s="509"/>
      <c r="DP11" s="509"/>
      <c r="DQ11" s="509"/>
      <c r="DR11" s="509"/>
      <c r="DS11" s="509"/>
      <c r="DT11" s="509"/>
      <c r="DU11" s="509"/>
      <c r="DV11" s="509"/>
      <c r="DW11" s="509"/>
      <c r="DX11" s="107" t="n">
        <f aca="false">(CS11-CZ11)*10^6</f>
        <v>0</v>
      </c>
      <c r="DY11" s="107" t="n">
        <f aca="false">(CT11-DC11)*10^6</f>
        <v>0</v>
      </c>
      <c r="DZ11" s="107" t="n">
        <f aca="false">(CW11-DD11)*10^6</f>
        <v>0</v>
      </c>
      <c r="EA11" s="509"/>
    </row>
    <row r="12" customFormat="false" ht="4.5" hidden="false" customHeight="true" outlineLevel="0" collapsed="false">
      <c r="B12" s="1241"/>
      <c r="C12" s="2172"/>
      <c r="D12" s="426"/>
      <c r="E12" s="240"/>
      <c r="F12" s="240"/>
      <c r="G12" s="240"/>
      <c r="H12" s="146"/>
      <c r="I12" s="1195"/>
      <c r="J12" s="426"/>
      <c r="K12" s="240"/>
      <c r="L12" s="240"/>
      <c r="M12" s="240"/>
      <c r="N12" s="146"/>
      <c r="O12" s="146"/>
      <c r="P12" s="426"/>
      <c r="Q12" s="240"/>
      <c r="R12" s="240"/>
      <c r="S12" s="240"/>
      <c r="T12" s="146"/>
      <c r="U12" s="146"/>
      <c r="V12" s="426"/>
      <c r="W12" s="240"/>
      <c r="X12" s="240"/>
      <c r="Y12" s="240"/>
      <c r="Z12" s="240"/>
      <c r="AA12" s="240"/>
      <c r="AB12" s="146"/>
      <c r="AC12" s="2190"/>
      <c r="AD12" s="426"/>
      <c r="AE12" s="240"/>
      <c r="AF12" s="240"/>
      <c r="AG12" s="240"/>
      <c r="AH12" s="240"/>
      <c r="AI12" s="240"/>
      <c r="AJ12" s="146"/>
      <c r="AK12" s="148"/>
      <c r="AL12" s="426"/>
      <c r="AM12" s="240"/>
      <c r="AN12" s="240"/>
      <c r="AO12" s="240"/>
      <c r="AP12" s="240"/>
      <c r="AQ12" s="240"/>
      <c r="AR12" s="240"/>
      <c r="AS12" s="2192"/>
      <c r="AT12" s="148"/>
      <c r="AU12" s="426"/>
      <c r="AV12" s="240"/>
      <c r="AW12" s="240"/>
      <c r="AX12" s="240"/>
      <c r="AY12" s="240"/>
      <c r="AZ12" s="240"/>
      <c r="BA12" s="2192"/>
      <c r="BB12" s="148"/>
      <c r="BC12" s="426"/>
      <c r="BD12" s="240"/>
      <c r="BE12" s="240"/>
      <c r="BF12" s="240"/>
      <c r="BG12" s="240"/>
      <c r="BH12" s="240"/>
      <c r="BI12" s="2192"/>
      <c r="BJ12" s="148"/>
      <c r="BK12" s="426"/>
      <c r="BL12" s="240"/>
      <c r="BM12" s="240"/>
      <c r="BN12" s="240"/>
      <c r="BO12" s="240"/>
      <c r="BP12" s="240"/>
      <c r="BQ12" s="240"/>
      <c r="BR12" s="2192"/>
      <c r="BS12" s="148"/>
      <c r="BT12" s="426"/>
      <c r="BU12" s="240"/>
      <c r="BV12" s="240"/>
      <c r="BW12" s="240"/>
      <c r="BX12" s="240"/>
      <c r="BY12" s="240"/>
      <c r="BZ12" s="2192"/>
      <c r="CA12" s="148"/>
      <c r="CB12" s="426"/>
      <c r="CC12" s="240"/>
      <c r="CD12" s="240"/>
      <c r="CE12" s="240"/>
      <c r="CF12" s="240"/>
      <c r="CG12" s="240"/>
      <c r="CH12" s="2192"/>
      <c r="CI12" s="148"/>
      <c r="CJ12" s="426"/>
      <c r="CK12" s="240"/>
      <c r="CL12" s="240"/>
      <c r="CM12" s="240"/>
      <c r="CN12" s="240"/>
      <c r="CO12" s="240"/>
      <c r="CP12" s="2192"/>
      <c r="CQ12" s="148"/>
      <c r="CR12" s="240"/>
      <c r="CS12" s="240"/>
      <c r="CT12" s="240"/>
      <c r="CU12" s="240"/>
      <c r="CV12" s="240"/>
      <c r="CW12" s="240"/>
      <c r="CX12" s="2193" t="str">
        <f aca="false">IFERROR(CR12/CW12-1, "-")</f>
        <v>-</v>
      </c>
      <c r="CY12" s="240"/>
      <c r="CZ12" s="240"/>
      <c r="DA12" s="240"/>
      <c r="DB12" s="240"/>
      <c r="DC12" s="240"/>
      <c r="DD12" s="240"/>
      <c r="DE12" s="146"/>
      <c r="DF12" s="146"/>
      <c r="DG12" s="146"/>
      <c r="DH12" s="146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509"/>
      <c r="DO12" s="509"/>
      <c r="DP12" s="509"/>
      <c r="DQ12" s="509"/>
      <c r="DR12" s="509"/>
      <c r="DS12" s="509"/>
      <c r="DT12" s="509"/>
      <c r="DU12" s="509"/>
      <c r="DV12" s="509"/>
      <c r="DW12" s="509"/>
      <c r="DX12" s="107" t="n">
        <f aca="false">(CS12-CZ12)*10^6</f>
        <v>0</v>
      </c>
      <c r="DY12" s="107" t="n">
        <f aca="false">(CT12-DC12)*10^6</f>
        <v>0</v>
      </c>
      <c r="DZ12" s="107" t="n">
        <f aca="false">(CW12-DD12)*10^6</f>
        <v>0</v>
      </c>
      <c r="EA12" s="509"/>
    </row>
    <row r="13" customFormat="false" ht="12.75" hidden="false" customHeight="false" outlineLevel="0" collapsed="false">
      <c r="B13" s="1241" t="s">
        <v>1190</v>
      </c>
      <c r="C13" s="2172" t="s">
        <v>1191</v>
      </c>
      <c r="D13" s="426"/>
      <c r="E13" s="240"/>
      <c r="F13" s="240"/>
      <c r="G13" s="240"/>
      <c r="H13" s="146"/>
      <c r="I13" s="1195"/>
      <c r="J13" s="426"/>
      <c r="K13" s="240"/>
      <c r="L13" s="240"/>
      <c r="M13" s="240"/>
      <c r="N13" s="146"/>
      <c r="O13" s="146"/>
      <c r="P13" s="426"/>
      <c r="Q13" s="240"/>
      <c r="R13" s="240"/>
      <c r="S13" s="240"/>
      <c r="T13" s="146"/>
      <c r="U13" s="146"/>
      <c r="V13" s="426"/>
      <c r="W13" s="240"/>
      <c r="X13" s="240"/>
      <c r="Y13" s="240"/>
      <c r="Z13" s="240"/>
      <c r="AA13" s="240"/>
      <c r="AB13" s="146"/>
      <c r="AC13" s="2190"/>
      <c r="AD13" s="426"/>
      <c r="AE13" s="240"/>
      <c r="AF13" s="240"/>
      <c r="AG13" s="240"/>
      <c r="AH13" s="240"/>
      <c r="AI13" s="240"/>
      <c r="AJ13" s="146"/>
      <c r="AK13" s="148"/>
      <c r="AL13" s="426"/>
      <c r="AM13" s="240"/>
      <c r="AN13" s="240"/>
      <c r="AO13" s="240"/>
      <c r="AP13" s="240"/>
      <c r="AQ13" s="240"/>
      <c r="AR13" s="240"/>
      <c r="AS13" s="2192"/>
      <c r="AT13" s="148"/>
      <c r="AU13" s="426"/>
      <c r="AV13" s="240"/>
      <c r="AW13" s="240"/>
      <c r="AX13" s="240"/>
      <c r="AY13" s="240"/>
      <c r="AZ13" s="240"/>
      <c r="BA13" s="2192"/>
      <c r="BB13" s="148"/>
      <c r="BC13" s="426"/>
      <c r="BD13" s="240"/>
      <c r="BE13" s="240"/>
      <c r="BF13" s="240"/>
      <c r="BG13" s="240"/>
      <c r="BH13" s="240"/>
      <c r="BI13" s="2192"/>
      <c r="BJ13" s="148"/>
      <c r="BK13" s="426"/>
      <c r="BL13" s="240"/>
      <c r="BM13" s="240"/>
      <c r="BN13" s="240"/>
      <c r="BO13" s="240"/>
      <c r="BP13" s="240"/>
      <c r="BQ13" s="240"/>
      <c r="BR13" s="2192"/>
      <c r="BS13" s="148"/>
      <c r="BT13" s="426"/>
      <c r="BU13" s="240"/>
      <c r="BV13" s="240"/>
      <c r="BW13" s="240"/>
      <c r="BX13" s="240"/>
      <c r="BY13" s="240"/>
      <c r="BZ13" s="2192"/>
      <c r="CA13" s="148"/>
      <c r="CB13" s="426"/>
      <c r="CC13" s="240"/>
      <c r="CD13" s="240"/>
      <c r="CE13" s="240"/>
      <c r="CF13" s="240"/>
      <c r="CG13" s="240"/>
      <c r="CH13" s="2192"/>
      <c r="CI13" s="148"/>
      <c r="CJ13" s="426"/>
      <c r="CK13" s="240"/>
      <c r="CL13" s="240"/>
      <c r="CM13" s="240"/>
      <c r="CN13" s="240"/>
      <c r="CO13" s="240"/>
      <c r="CP13" s="2192"/>
      <c r="CQ13" s="148"/>
      <c r="CR13" s="240"/>
      <c r="CS13" s="240"/>
      <c r="CT13" s="240"/>
      <c r="CU13" s="240"/>
      <c r="CV13" s="240"/>
      <c r="CW13" s="240"/>
      <c r="CX13" s="2193" t="str">
        <f aca="false">IFERROR(CR13/CW13-1, "-")</f>
        <v>-</v>
      </c>
      <c r="CY13" s="240"/>
      <c r="CZ13" s="240"/>
      <c r="DA13" s="240"/>
      <c r="DB13" s="240"/>
      <c r="DC13" s="240"/>
      <c r="DD13" s="240"/>
      <c r="DE13" s="146"/>
      <c r="DF13" s="146"/>
      <c r="DG13" s="146"/>
      <c r="DH13" s="146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509"/>
      <c r="DO13" s="509"/>
      <c r="DP13" s="509"/>
      <c r="DQ13" s="509"/>
      <c r="DR13" s="509"/>
      <c r="DS13" s="509"/>
      <c r="DT13" s="509"/>
      <c r="DU13" s="509"/>
      <c r="DV13" s="509"/>
      <c r="DW13" s="509"/>
      <c r="DX13" s="107" t="n">
        <f aca="false">(CS13-CZ13)*10^6</f>
        <v>0</v>
      </c>
      <c r="DY13" s="107" t="n">
        <f aca="false">(CT13-DC13)*10^6</f>
        <v>0</v>
      </c>
      <c r="DZ13" s="107" t="n">
        <f aca="false">(CW13-DD13)*10^6</f>
        <v>0</v>
      </c>
      <c r="EA13" s="509"/>
    </row>
    <row r="14" customFormat="false" ht="4.5" hidden="false" customHeight="true" outlineLevel="0" collapsed="false">
      <c r="B14" s="1241"/>
      <c r="C14" s="2172"/>
      <c r="D14" s="426"/>
      <c r="E14" s="240"/>
      <c r="F14" s="240"/>
      <c r="G14" s="240"/>
      <c r="H14" s="146"/>
      <c r="I14" s="1195"/>
      <c r="J14" s="426"/>
      <c r="K14" s="240"/>
      <c r="L14" s="240"/>
      <c r="M14" s="240"/>
      <c r="N14" s="146"/>
      <c r="O14" s="146"/>
      <c r="P14" s="426"/>
      <c r="Q14" s="240"/>
      <c r="R14" s="240"/>
      <c r="S14" s="240"/>
      <c r="T14" s="146"/>
      <c r="U14" s="146"/>
      <c r="V14" s="426"/>
      <c r="W14" s="240"/>
      <c r="X14" s="240"/>
      <c r="Y14" s="240"/>
      <c r="Z14" s="240"/>
      <c r="AA14" s="240"/>
      <c r="AB14" s="146"/>
      <c r="AC14" s="2190"/>
      <c r="AD14" s="426"/>
      <c r="AE14" s="240"/>
      <c r="AF14" s="240"/>
      <c r="AG14" s="240"/>
      <c r="AH14" s="240"/>
      <c r="AI14" s="240"/>
      <c r="AJ14" s="146"/>
      <c r="AK14" s="148"/>
      <c r="AL14" s="426"/>
      <c r="AM14" s="240"/>
      <c r="AN14" s="240"/>
      <c r="AO14" s="240"/>
      <c r="AP14" s="240"/>
      <c r="AQ14" s="240"/>
      <c r="AR14" s="240"/>
      <c r="AS14" s="2192"/>
      <c r="AT14" s="148"/>
      <c r="AU14" s="426"/>
      <c r="AV14" s="240"/>
      <c r="AW14" s="240"/>
      <c r="AX14" s="240"/>
      <c r="AY14" s="240"/>
      <c r="AZ14" s="240"/>
      <c r="BA14" s="2192"/>
      <c r="BB14" s="148"/>
      <c r="BC14" s="426"/>
      <c r="BD14" s="240"/>
      <c r="BE14" s="240"/>
      <c r="BF14" s="240"/>
      <c r="BG14" s="240"/>
      <c r="BH14" s="240"/>
      <c r="BI14" s="2192"/>
      <c r="BJ14" s="148"/>
      <c r="BK14" s="426"/>
      <c r="BL14" s="240"/>
      <c r="BM14" s="240"/>
      <c r="BN14" s="240"/>
      <c r="BO14" s="240"/>
      <c r="BP14" s="240"/>
      <c r="BQ14" s="240"/>
      <c r="BR14" s="2192"/>
      <c r="BS14" s="148"/>
      <c r="BT14" s="426"/>
      <c r="BU14" s="240"/>
      <c r="BV14" s="240"/>
      <c r="BW14" s="240"/>
      <c r="BX14" s="240"/>
      <c r="BY14" s="240"/>
      <c r="BZ14" s="2192"/>
      <c r="CA14" s="148"/>
      <c r="CB14" s="426"/>
      <c r="CC14" s="240"/>
      <c r="CD14" s="240"/>
      <c r="CE14" s="240"/>
      <c r="CF14" s="240"/>
      <c r="CG14" s="240"/>
      <c r="CH14" s="2192"/>
      <c r="CI14" s="148"/>
      <c r="CJ14" s="426"/>
      <c r="CK14" s="240"/>
      <c r="CL14" s="240"/>
      <c r="CM14" s="240"/>
      <c r="CN14" s="240"/>
      <c r="CO14" s="240"/>
      <c r="CP14" s="2192"/>
      <c r="CQ14" s="148"/>
      <c r="CR14" s="240"/>
      <c r="CS14" s="240"/>
      <c r="CT14" s="240"/>
      <c r="CU14" s="240"/>
      <c r="CV14" s="240"/>
      <c r="CW14" s="240"/>
      <c r="CX14" s="2193" t="str">
        <f aca="false">IFERROR(CR14/CW14-1, "-")</f>
        <v>-</v>
      </c>
      <c r="CY14" s="240"/>
      <c r="CZ14" s="240"/>
      <c r="DA14" s="240"/>
      <c r="DB14" s="240"/>
      <c r="DC14" s="240"/>
      <c r="DD14" s="240"/>
      <c r="DE14" s="146"/>
      <c r="DF14" s="146"/>
      <c r="DG14" s="146"/>
      <c r="DH14" s="146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N14" s="509"/>
      <c r="DO14" s="509"/>
      <c r="DP14" s="509"/>
      <c r="DQ14" s="509"/>
      <c r="DR14" s="509"/>
      <c r="DS14" s="509"/>
      <c r="DT14" s="509"/>
      <c r="DU14" s="509"/>
      <c r="DV14" s="509"/>
      <c r="DW14" s="509"/>
      <c r="DX14" s="107" t="n">
        <f aca="false">(CS14-CZ14)*10^6</f>
        <v>0</v>
      </c>
      <c r="DY14" s="107" t="n">
        <f aca="false">(CT14-DC14)*10^6</f>
        <v>0</v>
      </c>
      <c r="DZ14" s="107" t="n">
        <f aca="false">(CW14-DD14)*10^6</f>
        <v>0</v>
      </c>
      <c r="EA14" s="509"/>
    </row>
    <row r="15" customFormat="false" ht="27" hidden="false" customHeight="true" outlineLevel="0" collapsed="false">
      <c r="B15" s="2198" t="s">
        <v>1192</v>
      </c>
      <c r="C15" s="2172" t="s">
        <v>1193</v>
      </c>
      <c r="D15" s="2189"/>
      <c r="E15" s="240"/>
      <c r="F15" s="240"/>
      <c r="G15" s="240"/>
      <c r="H15" s="146"/>
      <c r="I15" s="1195"/>
      <c r="J15" s="2189"/>
      <c r="K15" s="240"/>
      <c r="L15" s="240"/>
      <c r="M15" s="240"/>
      <c r="N15" s="146"/>
      <c r="O15" s="146"/>
      <c r="P15" s="2189"/>
      <c r="Q15" s="240"/>
      <c r="R15" s="240"/>
      <c r="S15" s="240"/>
      <c r="T15" s="146"/>
      <c r="U15" s="146"/>
      <c r="V15" s="2189"/>
      <c r="W15" s="240"/>
      <c r="X15" s="240"/>
      <c r="Y15" s="240"/>
      <c r="Z15" s="240"/>
      <c r="AA15" s="240"/>
      <c r="AB15" s="146"/>
      <c r="AC15" s="2190"/>
      <c r="AD15" s="2189"/>
      <c r="AE15" s="240"/>
      <c r="AF15" s="240"/>
      <c r="AG15" s="240"/>
      <c r="AH15" s="240"/>
      <c r="AI15" s="240"/>
      <c r="AJ15" s="146"/>
      <c r="AK15" s="148"/>
      <c r="AL15" s="2189"/>
      <c r="AM15" s="240"/>
      <c r="AN15" s="240"/>
      <c r="AO15" s="240"/>
      <c r="AP15" s="240"/>
      <c r="AQ15" s="240"/>
      <c r="AR15" s="240"/>
      <c r="AS15" s="2192"/>
      <c r="AT15" s="148"/>
      <c r="AU15" s="2189"/>
      <c r="AV15" s="240"/>
      <c r="AW15" s="240"/>
      <c r="AX15" s="240"/>
      <c r="AY15" s="240"/>
      <c r="AZ15" s="240"/>
      <c r="BA15" s="2192"/>
      <c r="BB15" s="148"/>
      <c r="BC15" s="2189"/>
      <c r="BD15" s="240"/>
      <c r="BE15" s="240"/>
      <c r="BF15" s="240"/>
      <c r="BG15" s="240"/>
      <c r="BH15" s="240"/>
      <c r="BI15" s="2192"/>
      <c r="BJ15" s="148"/>
      <c r="BK15" s="2189"/>
      <c r="BL15" s="240"/>
      <c r="BM15" s="240"/>
      <c r="BN15" s="240"/>
      <c r="BO15" s="240"/>
      <c r="BP15" s="240"/>
      <c r="BQ15" s="240"/>
      <c r="BR15" s="2192"/>
      <c r="BS15" s="148"/>
      <c r="BT15" s="2189"/>
      <c r="BU15" s="240"/>
      <c r="BV15" s="240"/>
      <c r="BW15" s="240"/>
      <c r="BX15" s="240"/>
      <c r="BY15" s="240"/>
      <c r="BZ15" s="2192"/>
      <c r="CA15" s="148"/>
      <c r="CB15" s="2189"/>
      <c r="CC15" s="240"/>
      <c r="CD15" s="240"/>
      <c r="CE15" s="240"/>
      <c r="CF15" s="240"/>
      <c r="CG15" s="240"/>
      <c r="CH15" s="2192"/>
      <c r="CI15" s="148"/>
      <c r="CJ15" s="2199"/>
      <c r="CK15" s="240"/>
      <c r="CL15" s="240"/>
      <c r="CM15" s="240"/>
      <c r="CN15" s="240"/>
      <c r="CO15" s="240"/>
      <c r="CP15" s="2192"/>
      <c r="CQ15" s="148"/>
      <c r="CR15" s="240"/>
      <c r="CS15" s="240"/>
      <c r="CT15" s="240"/>
      <c r="CU15" s="240" t="n">
        <f aca="false">CR15-CS15</f>
        <v>0</v>
      </c>
      <c r="CV15" s="240" t="n">
        <f aca="false">CR15-CT15</f>
        <v>0</v>
      </c>
      <c r="CW15" s="240"/>
      <c r="CX15" s="2193" t="str">
        <f aca="false">IFERROR(CR15/CW15-1, "-")</f>
        <v>-</v>
      </c>
      <c r="CY15" s="240"/>
      <c r="CZ15" s="240"/>
      <c r="DA15" s="240"/>
      <c r="DB15" s="240"/>
      <c r="DC15" s="240"/>
      <c r="DD15" s="240"/>
      <c r="DE15" s="146" t="e">
        <f aca="false">+CZ15/DD15-1</f>
        <v>#DIV/0!</v>
      </c>
      <c r="DF15" s="146" t="e">
        <f aca="false">+DA15/DD15-1</f>
        <v>#DIV/0!</v>
      </c>
      <c r="DG15" s="146" t="e">
        <f aca="false">+DB15/DD15-1</f>
        <v>#DIV/0!</v>
      </c>
      <c r="DH15" s="146" t="e">
        <f aca="false">+DC15/DD15-1</f>
        <v>#DIV/0!</v>
      </c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N15" s="509"/>
      <c r="DO15" s="509"/>
      <c r="DP15" s="509"/>
      <c r="DQ15" s="509"/>
      <c r="DR15" s="509"/>
      <c r="DS15" s="509"/>
      <c r="DT15" s="509"/>
      <c r="DU15" s="509"/>
      <c r="DV15" s="509"/>
      <c r="DW15" s="509"/>
      <c r="DX15" s="107" t="n">
        <f aca="false">(CS15-CZ15)*10^6</f>
        <v>0</v>
      </c>
      <c r="DY15" s="107" t="n">
        <f aca="false">(CT15-DC15)*10^6</f>
        <v>0</v>
      </c>
      <c r="DZ15" s="107" t="n">
        <f aca="false">(CW15-DD15)*10^6</f>
        <v>0</v>
      </c>
      <c r="EA15" s="509"/>
    </row>
    <row r="16" customFormat="false" ht="3.75" hidden="false" customHeight="true" outlineLevel="0" collapsed="false">
      <c r="B16" s="1241"/>
      <c r="C16" s="2172"/>
      <c r="D16" s="426"/>
      <c r="E16" s="240"/>
      <c r="F16" s="240"/>
      <c r="G16" s="240"/>
      <c r="H16" s="146"/>
      <c r="I16" s="1195"/>
      <c r="J16" s="426"/>
      <c r="K16" s="240"/>
      <c r="L16" s="240"/>
      <c r="M16" s="240"/>
      <c r="N16" s="146"/>
      <c r="O16" s="146"/>
      <c r="P16" s="426"/>
      <c r="Q16" s="240"/>
      <c r="R16" s="240"/>
      <c r="S16" s="240"/>
      <c r="T16" s="146"/>
      <c r="U16" s="146"/>
      <c r="V16" s="426"/>
      <c r="W16" s="240"/>
      <c r="X16" s="240"/>
      <c r="Y16" s="240"/>
      <c r="Z16" s="240"/>
      <c r="AA16" s="240"/>
      <c r="AB16" s="146"/>
      <c r="AC16" s="2190"/>
      <c r="AD16" s="426"/>
      <c r="AE16" s="240"/>
      <c r="AF16" s="240"/>
      <c r="AG16" s="240"/>
      <c r="AH16" s="240"/>
      <c r="AI16" s="240"/>
      <c r="AJ16" s="146"/>
      <c r="AK16" s="148"/>
      <c r="AL16" s="426"/>
      <c r="AM16" s="240"/>
      <c r="AN16" s="240"/>
      <c r="AO16" s="240"/>
      <c r="AP16" s="240"/>
      <c r="AQ16" s="240"/>
      <c r="AR16" s="240"/>
      <c r="AS16" s="2192"/>
      <c r="AT16" s="148"/>
      <c r="AU16" s="426"/>
      <c r="AV16" s="240"/>
      <c r="AW16" s="240"/>
      <c r="AX16" s="240"/>
      <c r="AY16" s="240"/>
      <c r="AZ16" s="240"/>
      <c r="BA16" s="2192"/>
      <c r="BB16" s="148"/>
      <c r="BC16" s="426"/>
      <c r="BD16" s="240"/>
      <c r="BE16" s="240"/>
      <c r="BF16" s="240"/>
      <c r="BG16" s="240"/>
      <c r="BH16" s="240"/>
      <c r="BI16" s="2192"/>
      <c r="BJ16" s="148"/>
      <c r="BK16" s="426"/>
      <c r="BL16" s="240"/>
      <c r="BM16" s="240"/>
      <c r="BN16" s="240"/>
      <c r="BO16" s="240"/>
      <c r="BP16" s="240"/>
      <c r="BQ16" s="240"/>
      <c r="BR16" s="2192"/>
      <c r="BS16" s="148"/>
      <c r="BT16" s="426"/>
      <c r="BU16" s="240"/>
      <c r="BV16" s="240"/>
      <c r="BW16" s="240"/>
      <c r="BX16" s="240"/>
      <c r="BY16" s="240"/>
      <c r="BZ16" s="2192"/>
      <c r="CA16" s="148"/>
      <c r="CB16" s="426"/>
      <c r="CC16" s="240"/>
      <c r="CD16" s="240"/>
      <c r="CE16" s="240"/>
      <c r="CF16" s="240"/>
      <c r="CG16" s="240"/>
      <c r="CH16" s="2192"/>
      <c r="CI16" s="148"/>
      <c r="CJ16" s="426"/>
      <c r="CK16" s="240"/>
      <c r="CL16" s="240"/>
      <c r="CM16" s="240"/>
      <c r="CN16" s="240"/>
      <c r="CO16" s="240"/>
      <c r="CP16" s="2192"/>
      <c r="CQ16" s="148"/>
      <c r="CR16" s="240"/>
      <c r="CS16" s="240"/>
      <c r="CT16" s="240"/>
      <c r="CU16" s="240"/>
      <c r="CV16" s="240"/>
      <c r="CW16" s="240"/>
      <c r="CX16" s="2193" t="str">
        <f aca="false">IFERROR(CR16/CW16-1, "-")</f>
        <v>-</v>
      </c>
      <c r="CY16" s="240"/>
      <c r="CZ16" s="240"/>
      <c r="DA16" s="240"/>
      <c r="DB16" s="240"/>
      <c r="DC16" s="240"/>
      <c r="DD16" s="240"/>
      <c r="DE16" s="146"/>
      <c r="DF16" s="146"/>
      <c r="DG16" s="146"/>
      <c r="DH16" s="146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N16" s="509"/>
      <c r="DO16" s="509"/>
      <c r="DP16" s="509"/>
      <c r="DQ16" s="509"/>
      <c r="DR16" s="509"/>
      <c r="DS16" s="509"/>
      <c r="DT16" s="509"/>
      <c r="DU16" s="509"/>
      <c r="DV16" s="509"/>
      <c r="DW16" s="509"/>
      <c r="DX16" s="107" t="n">
        <f aca="false">(CS16-CZ16)*10^6</f>
        <v>0</v>
      </c>
      <c r="DY16" s="107" t="n">
        <f aca="false">(CT16-DC16)*10^6</f>
        <v>0</v>
      </c>
      <c r="DZ16" s="107" t="n">
        <f aca="false">(CW16-DD16)*10^6</f>
        <v>0</v>
      </c>
      <c r="EA16" s="509"/>
    </row>
    <row r="17" customFormat="false" ht="27" hidden="false" customHeight="true" outlineLevel="0" collapsed="false">
      <c r="B17" s="2200" t="s">
        <v>1194</v>
      </c>
      <c r="C17" s="2172" t="s">
        <v>1195</v>
      </c>
      <c r="D17" s="426"/>
      <c r="E17" s="240"/>
      <c r="F17" s="240"/>
      <c r="G17" s="240"/>
      <c r="H17" s="146"/>
      <c r="I17" s="1195"/>
      <c r="J17" s="426"/>
      <c r="K17" s="240"/>
      <c r="L17" s="240"/>
      <c r="M17" s="240"/>
      <c r="N17" s="146"/>
      <c r="O17" s="146"/>
      <c r="P17" s="426"/>
      <c r="Q17" s="240"/>
      <c r="R17" s="240"/>
      <c r="S17" s="240"/>
      <c r="T17" s="146"/>
      <c r="U17" s="146"/>
      <c r="V17" s="426"/>
      <c r="W17" s="240"/>
      <c r="X17" s="240"/>
      <c r="Y17" s="240"/>
      <c r="Z17" s="240"/>
      <c r="AA17" s="240"/>
      <c r="AB17" s="146"/>
      <c r="AC17" s="2190"/>
      <c r="AD17" s="426"/>
      <c r="AE17" s="240"/>
      <c r="AF17" s="240"/>
      <c r="AG17" s="240"/>
      <c r="AH17" s="240"/>
      <c r="AI17" s="240"/>
      <c r="AJ17" s="146"/>
      <c r="AK17" s="148"/>
      <c r="AL17" s="426"/>
      <c r="AM17" s="240"/>
      <c r="AN17" s="240"/>
      <c r="AO17" s="240"/>
      <c r="AP17" s="240"/>
      <c r="AQ17" s="240"/>
      <c r="AR17" s="240"/>
      <c r="AS17" s="2192"/>
      <c r="AT17" s="148"/>
      <c r="AU17" s="426"/>
      <c r="AV17" s="240"/>
      <c r="AW17" s="240"/>
      <c r="AX17" s="240"/>
      <c r="AY17" s="240"/>
      <c r="AZ17" s="240"/>
      <c r="BA17" s="2192"/>
      <c r="BB17" s="148"/>
      <c r="BC17" s="426"/>
      <c r="BD17" s="240"/>
      <c r="BE17" s="240"/>
      <c r="BF17" s="240"/>
      <c r="BG17" s="240"/>
      <c r="BH17" s="240"/>
      <c r="BI17" s="2192"/>
      <c r="BJ17" s="148"/>
      <c r="BK17" s="426"/>
      <c r="BL17" s="240"/>
      <c r="BM17" s="240"/>
      <c r="BN17" s="240"/>
      <c r="BO17" s="240"/>
      <c r="BP17" s="240"/>
      <c r="BQ17" s="240"/>
      <c r="BR17" s="2192"/>
      <c r="BS17" s="148"/>
      <c r="BT17" s="426"/>
      <c r="BU17" s="240"/>
      <c r="BV17" s="240"/>
      <c r="BW17" s="240"/>
      <c r="BX17" s="240"/>
      <c r="BY17" s="240"/>
      <c r="BZ17" s="2192"/>
      <c r="CA17" s="148"/>
      <c r="CB17" s="426"/>
      <c r="CC17" s="240"/>
      <c r="CD17" s="240"/>
      <c r="CE17" s="240"/>
      <c r="CF17" s="240"/>
      <c r="CG17" s="240"/>
      <c r="CH17" s="2192"/>
      <c r="CI17" s="148"/>
      <c r="CJ17" s="426"/>
      <c r="CK17" s="240"/>
      <c r="CL17" s="240"/>
      <c r="CM17" s="240"/>
      <c r="CN17" s="240"/>
      <c r="CO17" s="240"/>
      <c r="CP17" s="2192"/>
      <c r="CQ17" s="148"/>
      <c r="CR17" s="240"/>
      <c r="CS17" s="240"/>
      <c r="CT17" s="240"/>
      <c r="CU17" s="240"/>
      <c r="CV17" s="240"/>
      <c r="CW17" s="240"/>
      <c r="CX17" s="2193" t="str">
        <f aca="false">IFERROR(CR17/CW17-1, "-")</f>
        <v>-</v>
      </c>
      <c r="CY17" s="240"/>
      <c r="CZ17" s="240"/>
      <c r="DA17" s="240"/>
      <c r="DB17" s="240"/>
      <c r="DC17" s="240"/>
      <c r="DD17" s="240"/>
      <c r="DE17" s="146"/>
      <c r="DF17" s="146"/>
      <c r="DG17" s="146"/>
      <c r="DH17" s="146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N17" s="509"/>
      <c r="DO17" s="509"/>
      <c r="DP17" s="509"/>
      <c r="DQ17" s="509"/>
      <c r="DR17" s="509"/>
      <c r="DS17" s="509"/>
      <c r="DT17" s="509"/>
      <c r="DU17" s="509"/>
      <c r="DV17" s="509"/>
      <c r="DW17" s="509"/>
      <c r="DX17" s="107" t="n">
        <f aca="false">(CS17-CZ17)*10^6</f>
        <v>0</v>
      </c>
      <c r="DY17" s="107" t="n">
        <f aca="false">(CT17-DC17)*10^6</f>
        <v>0</v>
      </c>
      <c r="DZ17" s="107" t="n">
        <f aca="false">(CW17-DD17)*10^6</f>
        <v>0</v>
      </c>
      <c r="EA17" s="509"/>
    </row>
    <row r="18" customFormat="false" ht="12.75" hidden="false" customHeight="false" outlineLevel="0" collapsed="false">
      <c r="B18" s="1241" t="s">
        <v>1196</v>
      </c>
      <c r="C18" s="2172" t="s">
        <v>1197</v>
      </c>
      <c r="D18" s="426"/>
      <c r="E18" s="240"/>
      <c r="F18" s="240"/>
      <c r="G18" s="240"/>
      <c r="H18" s="146"/>
      <c r="I18" s="1195"/>
      <c r="J18" s="426"/>
      <c r="K18" s="240"/>
      <c r="L18" s="240"/>
      <c r="M18" s="240"/>
      <c r="N18" s="146"/>
      <c r="O18" s="146"/>
      <c r="P18" s="426"/>
      <c r="Q18" s="240"/>
      <c r="R18" s="240"/>
      <c r="S18" s="240"/>
      <c r="T18" s="146"/>
      <c r="U18" s="146"/>
      <c r="V18" s="426"/>
      <c r="W18" s="240"/>
      <c r="X18" s="240"/>
      <c r="Y18" s="240"/>
      <c r="Z18" s="240"/>
      <c r="AA18" s="240"/>
      <c r="AB18" s="146"/>
      <c r="AC18" s="2190"/>
      <c r="AD18" s="426"/>
      <c r="AE18" s="240"/>
      <c r="AF18" s="240"/>
      <c r="AG18" s="240"/>
      <c r="AH18" s="240"/>
      <c r="AI18" s="240"/>
      <c r="AJ18" s="146"/>
      <c r="AK18" s="148"/>
      <c r="AL18" s="426"/>
      <c r="AM18" s="240"/>
      <c r="AN18" s="240"/>
      <c r="AO18" s="240"/>
      <c r="AP18" s="240"/>
      <c r="AQ18" s="240"/>
      <c r="AR18" s="240"/>
      <c r="AS18" s="2192"/>
      <c r="AT18" s="148"/>
      <c r="AU18" s="426"/>
      <c r="AV18" s="240"/>
      <c r="AW18" s="240"/>
      <c r="AX18" s="240"/>
      <c r="AY18" s="240"/>
      <c r="AZ18" s="240"/>
      <c r="BA18" s="2192"/>
      <c r="BB18" s="148"/>
      <c r="BC18" s="426"/>
      <c r="BD18" s="240"/>
      <c r="BE18" s="240"/>
      <c r="BF18" s="240"/>
      <c r="BG18" s="240"/>
      <c r="BH18" s="240"/>
      <c r="BI18" s="2192"/>
      <c r="BJ18" s="148"/>
      <c r="BK18" s="426"/>
      <c r="BL18" s="240"/>
      <c r="BM18" s="240"/>
      <c r="BN18" s="240"/>
      <c r="BO18" s="240"/>
      <c r="BP18" s="240"/>
      <c r="BQ18" s="240"/>
      <c r="BR18" s="2192"/>
      <c r="BS18" s="148"/>
      <c r="BT18" s="426"/>
      <c r="BU18" s="240"/>
      <c r="BV18" s="240"/>
      <c r="BW18" s="240"/>
      <c r="BX18" s="240"/>
      <c r="BY18" s="240"/>
      <c r="BZ18" s="2192"/>
      <c r="CA18" s="148"/>
      <c r="CB18" s="426"/>
      <c r="CC18" s="240"/>
      <c r="CD18" s="240"/>
      <c r="CE18" s="240"/>
      <c r="CF18" s="240"/>
      <c r="CG18" s="240"/>
      <c r="CH18" s="2192"/>
      <c r="CI18" s="148"/>
      <c r="CJ18" s="426"/>
      <c r="CK18" s="240"/>
      <c r="CL18" s="240"/>
      <c r="CM18" s="240"/>
      <c r="CN18" s="240"/>
      <c r="CO18" s="240"/>
      <c r="CP18" s="2192"/>
      <c r="CQ18" s="148"/>
      <c r="CR18" s="240"/>
      <c r="CS18" s="240"/>
      <c r="CT18" s="240"/>
      <c r="CU18" s="240"/>
      <c r="CV18" s="240"/>
      <c r="CW18" s="240"/>
      <c r="CX18" s="2193" t="str">
        <f aca="false">IFERROR(CR18/CW18-1, "-")</f>
        <v>-</v>
      </c>
      <c r="CY18" s="240"/>
      <c r="CZ18" s="240"/>
      <c r="DA18" s="240"/>
      <c r="DB18" s="240"/>
      <c r="DC18" s="240"/>
      <c r="DD18" s="240"/>
      <c r="DE18" s="146"/>
      <c r="DF18" s="146"/>
      <c r="DG18" s="146"/>
      <c r="DH18" s="146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N18" s="509"/>
      <c r="DO18" s="509"/>
      <c r="DP18" s="509"/>
      <c r="DQ18" s="509"/>
      <c r="DR18" s="509"/>
      <c r="DS18" s="509"/>
      <c r="DT18" s="509"/>
      <c r="DU18" s="509"/>
      <c r="DV18" s="509"/>
      <c r="DW18" s="509"/>
      <c r="DX18" s="107" t="n">
        <f aca="false">(CS18-CZ18)*10^6</f>
        <v>0</v>
      </c>
      <c r="DY18" s="107" t="n">
        <f aca="false">(CT18-DC18)*10^6</f>
        <v>0</v>
      </c>
      <c r="DZ18" s="107" t="n">
        <f aca="false">(CW18-DD18)*10^6</f>
        <v>0</v>
      </c>
      <c r="EA18" s="509"/>
    </row>
    <row r="19" customFormat="false" ht="12.75" hidden="false" customHeight="false" outlineLevel="0" collapsed="false">
      <c r="B19" s="2201" t="s">
        <v>1198</v>
      </c>
      <c r="C19" s="2172" t="s">
        <v>1199</v>
      </c>
      <c r="D19" s="426"/>
      <c r="E19" s="858"/>
      <c r="F19" s="858"/>
      <c r="G19" s="858"/>
      <c r="H19" s="146"/>
      <c r="I19" s="1195"/>
      <c r="J19" s="426"/>
      <c r="K19" s="858"/>
      <c r="L19" s="858"/>
      <c r="M19" s="858"/>
      <c r="N19" s="146"/>
      <c r="O19" s="146"/>
      <c r="P19" s="426"/>
      <c r="Q19" s="858"/>
      <c r="R19" s="858"/>
      <c r="S19" s="858"/>
      <c r="T19" s="146"/>
      <c r="U19" s="146"/>
      <c r="V19" s="426"/>
      <c r="W19" s="858"/>
      <c r="X19" s="858"/>
      <c r="Y19" s="858"/>
      <c r="Z19" s="858"/>
      <c r="AA19" s="858"/>
      <c r="AB19" s="146"/>
      <c r="AC19" s="2190"/>
      <c r="AD19" s="426"/>
      <c r="AE19" s="858"/>
      <c r="AF19" s="858"/>
      <c r="AG19" s="858"/>
      <c r="AH19" s="858"/>
      <c r="AI19" s="858"/>
      <c r="AJ19" s="146"/>
      <c r="AK19" s="148"/>
      <c r="AL19" s="426"/>
      <c r="AM19" s="858"/>
      <c r="AN19" s="858"/>
      <c r="AO19" s="858"/>
      <c r="AP19" s="858"/>
      <c r="AQ19" s="858"/>
      <c r="AR19" s="858"/>
      <c r="AS19" s="2192"/>
      <c r="AT19" s="148"/>
      <c r="AU19" s="426"/>
      <c r="AV19" s="858"/>
      <c r="AW19" s="858"/>
      <c r="AX19" s="858"/>
      <c r="AY19" s="858"/>
      <c r="AZ19" s="858"/>
      <c r="BA19" s="2192"/>
      <c r="BB19" s="148"/>
      <c r="BC19" s="426"/>
      <c r="BD19" s="858"/>
      <c r="BE19" s="858"/>
      <c r="BF19" s="858"/>
      <c r="BG19" s="858"/>
      <c r="BH19" s="858"/>
      <c r="BI19" s="2192"/>
      <c r="BJ19" s="148"/>
      <c r="BK19" s="426"/>
      <c r="BL19" s="858"/>
      <c r="BM19" s="858"/>
      <c r="BN19" s="858"/>
      <c r="BO19" s="858"/>
      <c r="BP19" s="858"/>
      <c r="BQ19" s="858"/>
      <c r="BR19" s="2192"/>
      <c r="BS19" s="148"/>
      <c r="BT19" s="426"/>
      <c r="BU19" s="858"/>
      <c r="BV19" s="858"/>
      <c r="BW19" s="858"/>
      <c r="BX19" s="858"/>
      <c r="BY19" s="858"/>
      <c r="BZ19" s="2192"/>
      <c r="CA19" s="148"/>
      <c r="CB19" s="426"/>
      <c r="CC19" s="858"/>
      <c r="CD19" s="858"/>
      <c r="CE19" s="858"/>
      <c r="CF19" s="858"/>
      <c r="CG19" s="858"/>
      <c r="CH19" s="2192"/>
      <c r="CI19" s="148"/>
      <c r="CJ19" s="426"/>
      <c r="CK19" s="858"/>
      <c r="CL19" s="858"/>
      <c r="CM19" s="858"/>
      <c r="CN19" s="858"/>
      <c r="CO19" s="858"/>
      <c r="CP19" s="2192"/>
      <c r="CQ19" s="148"/>
      <c r="CR19" s="858"/>
      <c r="CS19" s="858"/>
      <c r="CT19" s="858"/>
      <c r="CU19" s="858"/>
      <c r="CV19" s="858"/>
      <c r="CW19" s="858"/>
      <c r="CX19" s="2193" t="str">
        <f aca="false">IFERROR(CR19/CW19-1, "-")</f>
        <v>-</v>
      </c>
      <c r="CY19" s="240"/>
      <c r="CZ19" s="858"/>
      <c r="DA19" s="858"/>
      <c r="DB19" s="858"/>
      <c r="DC19" s="858"/>
      <c r="DD19" s="858"/>
      <c r="DE19" s="146"/>
      <c r="DF19" s="146"/>
      <c r="DG19" s="146"/>
      <c r="DH19" s="146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N19" s="509"/>
      <c r="DO19" s="509"/>
      <c r="DP19" s="509"/>
      <c r="DQ19" s="509"/>
      <c r="DR19" s="509"/>
      <c r="DS19" s="509"/>
      <c r="DT19" s="509"/>
      <c r="DU19" s="509"/>
      <c r="DV19" s="509"/>
      <c r="DW19" s="509"/>
      <c r="DX19" s="107" t="n">
        <f aca="false">(CS19-CZ19)*10^6</f>
        <v>0</v>
      </c>
      <c r="DY19" s="107" t="n">
        <f aca="false">(CT19-DC19)*10^6</f>
        <v>0</v>
      </c>
      <c r="DZ19" s="107" t="n">
        <f aca="false">(CW19-DD19)*10^6</f>
        <v>0</v>
      </c>
      <c r="EA19" s="509"/>
    </row>
    <row r="20" customFormat="false" ht="12.75" hidden="false" customHeight="false" outlineLevel="0" collapsed="false">
      <c r="B20" s="1241" t="s">
        <v>1200</v>
      </c>
      <c r="C20" s="2172" t="s">
        <v>1201</v>
      </c>
      <c r="D20" s="426"/>
      <c r="E20" s="240"/>
      <c r="F20" s="240"/>
      <c r="G20" s="240"/>
      <c r="H20" s="146"/>
      <c r="I20" s="1195"/>
      <c r="J20" s="426"/>
      <c r="K20" s="240"/>
      <c r="L20" s="240"/>
      <c r="M20" s="240"/>
      <c r="N20" s="146"/>
      <c r="O20" s="146"/>
      <c r="P20" s="426"/>
      <c r="Q20" s="240"/>
      <c r="R20" s="240"/>
      <c r="S20" s="240"/>
      <c r="T20" s="146"/>
      <c r="U20" s="146"/>
      <c r="V20" s="426"/>
      <c r="W20" s="240"/>
      <c r="X20" s="240"/>
      <c r="Y20" s="240"/>
      <c r="Z20" s="240"/>
      <c r="AA20" s="240"/>
      <c r="AB20" s="146"/>
      <c r="AC20" s="2190"/>
      <c r="AD20" s="426"/>
      <c r="AE20" s="240"/>
      <c r="AF20" s="240"/>
      <c r="AG20" s="240"/>
      <c r="AH20" s="240"/>
      <c r="AI20" s="240"/>
      <c r="AJ20" s="146"/>
      <c r="AK20" s="148"/>
      <c r="AL20" s="426"/>
      <c r="AM20" s="240"/>
      <c r="AN20" s="240"/>
      <c r="AO20" s="240"/>
      <c r="AP20" s="240"/>
      <c r="AQ20" s="240"/>
      <c r="AR20" s="240"/>
      <c r="AS20" s="2192"/>
      <c r="AT20" s="148"/>
      <c r="AU20" s="426"/>
      <c r="AV20" s="240"/>
      <c r="AW20" s="240"/>
      <c r="AX20" s="240"/>
      <c r="AY20" s="240"/>
      <c r="AZ20" s="240"/>
      <c r="BA20" s="2192"/>
      <c r="BB20" s="148"/>
      <c r="BC20" s="426"/>
      <c r="BD20" s="240"/>
      <c r="BE20" s="240"/>
      <c r="BF20" s="240"/>
      <c r="BG20" s="240"/>
      <c r="BH20" s="240"/>
      <c r="BI20" s="2192"/>
      <c r="BJ20" s="148"/>
      <c r="BK20" s="426"/>
      <c r="BL20" s="240"/>
      <c r="BM20" s="240"/>
      <c r="BN20" s="240"/>
      <c r="BO20" s="240"/>
      <c r="BP20" s="240"/>
      <c r="BQ20" s="240"/>
      <c r="BR20" s="2192"/>
      <c r="BS20" s="148"/>
      <c r="BT20" s="426"/>
      <c r="BU20" s="240"/>
      <c r="BV20" s="240"/>
      <c r="BW20" s="240"/>
      <c r="BX20" s="240"/>
      <c r="BY20" s="240"/>
      <c r="BZ20" s="2192"/>
      <c r="CA20" s="148"/>
      <c r="CB20" s="426"/>
      <c r="CC20" s="240"/>
      <c r="CD20" s="240"/>
      <c r="CE20" s="240"/>
      <c r="CF20" s="240"/>
      <c r="CG20" s="240"/>
      <c r="CH20" s="2192"/>
      <c r="CI20" s="148"/>
      <c r="CJ20" s="426"/>
      <c r="CK20" s="240"/>
      <c r="CL20" s="240"/>
      <c r="CM20" s="240"/>
      <c r="CN20" s="240"/>
      <c r="CO20" s="240"/>
      <c r="CP20" s="2192"/>
      <c r="CQ20" s="148"/>
      <c r="CR20" s="240"/>
      <c r="CS20" s="240"/>
      <c r="CT20" s="240"/>
      <c r="CU20" s="240"/>
      <c r="CV20" s="240"/>
      <c r="CW20" s="240"/>
      <c r="CX20" s="2193" t="str">
        <f aca="false">IFERROR(CR20/CW20-1, "-")</f>
        <v>-</v>
      </c>
      <c r="CY20" s="240"/>
      <c r="CZ20" s="240"/>
      <c r="DA20" s="240"/>
      <c r="DB20" s="240"/>
      <c r="DC20" s="240"/>
      <c r="DD20" s="240"/>
      <c r="DE20" s="146"/>
      <c r="DF20" s="146"/>
      <c r="DG20" s="146"/>
      <c r="DH20" s="146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N20" s="509"/>
      <c r="DO20" s="509"/>
      <c r="DP20" s="509"/>
      <c r="DQ20" s="509"/>
      <c r="DR20" s="509"/>
      <c r="DS20" s="509"/>
      <c r="DT20" s="509"/>
      <c r="DU20" s="509"/>
      <c r="DV20" s="509"/>
      <c r="DW20" s="509"/>
      <c r="DX20" s="107" t="n">
        <f aca="false">(CS20-CZ20)*10^6</f>
        <v>0</v>
      </c>
      <c r="DY20" s="107" t="n">
        <f aca="false">(CT20-DC20)*10^6</f>
        <v>0</v>
      </c>
      <c r="DZ20" s="107" t="n">
        <f aca="false">(CW20-DD20)*10^6</f>
        <v>0</v>
      </c>
      <c r="EA20" s="509"/>
    </row>
    <row r="21" customFormat="false" ht="5.25" hidden="false" customHeight="true" outlineLevel="0" collapsed="false">
      <c r="B21" s="1244"/>
      <c r="C21" s="2172"/>
      <c r="D21" s="550"/>
      <c r="E21" s="2202"/>
      <c r="F21" s="2202"/>
      <c r="G21" s="2202"/>
      <c r="H21" s="2203"/>
      <c r="I21" s="1195"/>
      <c r="J21" s="550"/>
      <c r="K21" s="2202"/>
      <c r="L21" s="2202"/>
      <c r="M21" s="2202"/>
      <c r="N21" s="2203"/>
      <c r="O21" s="2203"/>
      <c r="P21" s="550"/>
      <c r="Q21" s="2202"/>
      <c r="R21" s="2202"/>
      <c r="S21" s="2202"/>
      <c r="T21" s="2203"/>
      <c r="U21" s="2203"/>
      <c r="V21" s="550"/>
      <c r="W21" s="2202"/>
      <c r="X21" s="2202"/>
      <c r="Y21" s="2202"/>
      <c r="Z21" s="2202"/>
      <c r="AA21" s="2202"/>
      <c r="AB21" s="2203"/>
      <c r="AC21" s="2204"/>
      <c r="AD21" s="550"/>
      <c r="AE21" s="2202"/>
      <c r="AF21" s="2202"/>
      <c r="AG21" s="2202"/>
      <c r="AH21" s="2202"/>
      <c r="AI21" s="2202"/>
      <c r="AJ21" s="2203"/>
      <c r="AK21" s="2205"/>
      <c r="AL21" s="550"/>
      <c r="AM21" s="2202"/>
      <c r="AN21" s="2202"/>
      <c r="AO21" s="2202"/>
      <c r="AP21" s="2202"/>
      <c r="AQ21" s="2202"/>
      <c r="AR21" s="2202"/>
      <c r="AS21" s="2206"/>
      <c r="AT21" s="2205"/>
      <c r="AU21" s="550"/>
      <c r="AV21" s="2202"/>
      <c r="AW21" s="2202"/>
      <c r="AX21" s="2202"/>
      <c r="AY21" s="2202"/>
      <c r="AZ21" s="2202"/>
      <c r="BA21" s="2206"/>
      <c r="BB21" s="2205"/>
      <c r="BC21" s="550"/>
      <c r="BD21" s="2202"/>
      <c r="BE21" s="2202"/>
      <c r="BF21" s="2202"/>
      <c r="BG21" s="2202"/>
      <c r="BH21" s="2202"/>
      <c r="BI21" s="2206"/>
      <c r="BJ21" s="2205"/>
      <c r="BK21" s="550"/>
      <c r="BL21" s="2202"/>
      <c r="BM21" s="2202"/>
      <c r="BN21" s="2202"/>
      <c r="BO21" s="2202"/>
      <c r="BP21" s="2202"/>
      <c r="BQ21" s="2202"/>
      <c r="BR21" s="2206"/>
      <c r="BS21" s="2205"/>
      <c r="BT21" s="550"/>
      <c r="BU21" s="2202"/>
      <c r="BV21" s="2202"/>
      <c r="BW21" s="2202"/>
      <c r="BX21" s="2202"/>
      <c r="BY21" s="2202"/>
      <c r="BZ21" s="2206"/>
      <c r="CA21" s="2205"/>
      <c r="CB21" s="550"/>
      <c r="CC21" s="2202"/>
      <c r="CD21" s="2202"/>
      <c r="CE21" s="2202"/>
      <c r="CF21" s="2202"/>
      <c r="CG21" s="2202"/>
      <c r="CH21" s="2206"/>
      <c r="CI21" s="2205"/>
      <c r="CJ21" s="550"/>
      <c r="CK21" s="2202"/>
      <c r="CL21" s="2202"/>
      <c r="CM21" s="2202"/>
      <c r="CN21" s="2202"/>
      <c r="CO21" s="2202"/>
      <c r="CP21" s="2206"/>
      <c r="CQ21" s="148"/>
      <c r="CR21" s="2202"/>
      <c r="CS21" s="2202"/>
      <c r="CT21" s="2202"/>
      <c r="CU21" s="2202"/>
      <c r="CV21" s="2202"/>
      <c r="CW21" s="2202"/>
      <c r="CX21" s="2207" t="str">
        <f aca="false">IFERROR(CR21/CW21-1, "-")</f>
        <v>-</v>
      </c>
      <c r="CY21" s="240"/>
      <c r="CZ21" s="2202"/>
      <c r="DA21" s="2202"/>
      <c r="DB21" s="2202"/>
      <c r="DC21" s="2202"/>
      <c r="DD21" s="2202"/>
      <c r="DE21" s="146"/>
      <c r="DF21" s="146"/>
      <c r="DG21" s="146"/>
      <c r="DH21" s="146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N21" s="509"/>
      <c r="DO21" s="509"/>
      <c r="DP21" s="509"/>
      <c r="DQ21" s="509"/>
      <c r="DR21" s="509"/>
      <c r="DS21" s="509"/>
      <c r="DT21" s="509"/>
      <c r="DU21" s="509"/>
      <c r="DV21" s="509"/>
      <c r="DW21" s="509"/>
      <c r="DX21" s="107" t="n">
        <f aca="false">(CS21-CZ21)*10^6</f>
        <v>0</v>
      </c>
      <c r="DY21" s="107" t="n">
        <f aca="false">(CT21-DC21)*10^6</f>
        <v>0</v>
      </c>
      <c r="DZ21" s="107" t="n">
        <f aca="false">(CW21-DD21)*10^6</f>
        <v>0</v>
      </c>
      <c r="EA21" s="509"/>
    </row>
    <row r="22" s="150" customFormat="true" ht="19.5" hidden="false" customHeight="true" outlineLevel="0" collapsed="false">
      <c r="B22" s="2208" t="s">
        <v>1202</v>
      </c>
      <c r="C22" s="2172" t="s">
        <v>1203</v>
      </c>
      <c r="D22" s="2209"/>
      <c r="E22" s="2173"/>
      <c r="F22" s="2181"/>
      <c r="G22" s="2181"/>
      <c r="H22" s="109"/>
      <c r="I22" s="410"/>
      <c r="J22" s="2209"/>
      <c r="K22" s="2173"/>
      <c r="L22" s="2181"/>
      <c r="M22" s="2181"/>
      <c r="N22" s="109"/>
      <c r="O22" s="109"/>
      <c r="P22" s="2209"/>
      <c r="Q22" s="2173"/>
      <c r="R22" s="2181"/>
      <c r="S22" s="2181"/>
      <c r="T22" s="109"/>
      <c r="U22" s="109"/>
      <c r="V22" s="2209"/>
      <c r="W22" s="2173"/>
      <c r="X22" s="2173"/>
      <c r="Y22" s="2181"/>
      <c r="Z22" s="2181"/>
      <c r="AA22" s="2181"/>
      <c r="AB22" s="109"/>
      <c r="AC22" s="2176"/>
      <c r="AD22" s="2209"/>
      <c r="AE22" s="2173"/>
      <c r="AF22" s="2173"/>
      <c r="AG22" s="2181"/>
      <c r="AH22" s="2181"/>
      <c r="AI22" s="2181"/>
      <c r="AJ22" s="109"/>
      <c r="AK22" s="111"/>
      <c r="AL22" s="2209"/>
      <c r="AM22" s="2173"/>
      <c r="AN22" s="2173"/>
      <c r="AO22" s="2173"/>
      <c r="AP22" s="2181"/>
      <c r="AQ22" s="2181"/>
      <c r="AR22" s="2181"/>
      <c r="AS22" s="2210"/>
      <c r="AT22" s="111"/>
      <c r="AU22" s="2209"/>
      <c r="AV22" s="2173"/>
      <c r="AW22" s="2173"/>
      <c r="AX22" s="2181"/>
      <c r="AY22" s="2181"/>
      <c r="AZ22" s="2181"/>
      <c r="BA22" s="2210"/>
      <c r="BB22" s="111"/>
      <c r="BC22" s="2209"/>
      <c r="BD22" s="2173"/>
      <c r="BE22" s="2173"/>
      <c r="BF22" s="2181"/>
      <c r="BG22" s="2181"/>
      <c r="BH22" s="2181"/>
      <c r="BI22" s="2210"/>
      <c r="BJ22" s="111"/>
      <c r="BK22" s="2209"/>
      <c r="BL22" s="2173"/>
      <c r="BM22" s="2173"/>
      <c r="BN22" s="2173"/>
      <c r="BO22" s="2181"/>
      <c r="BP22" s="2181"/>
      <c r="BQ22" s="2181"/>
      <c r="BR22" s="2210"/>
      <c r="BS22" s="111"/>
      <c r="BT22" s="2209"/>
      <c r="BU22" s="2173"/>
      <c r="BV22" s="2173"/>
      <c r="BW22" s="2181"/>
      <c r="BX22" s="2181"/>
      <c r="BY22" s="2181"/>
      <c r="BZ22" s="2210"/>
      <c r="CA22" s="111"/>
      <c r="CB22" s="2209"/>
      <c r="CC22" s="2173"/>
      <c r="CD22" s="2173"/>
      <c r="CE22" s="2181"/>
      <c r="CF22" s="2181"/>
      <c r="CG22" s="2181"/>
      <c r="CH22" s="2210"/>
      <c r="CI22" s="111"/>
      <c r="CJ22" s="2209"/>
      <c r="CK22" s="2173"/>
      <c r="CL22" s="2173"/>
      <c r="CM22" s="2181"/>
      <c r="CN22" s="2181"/>
      <c r="CO22" s="2181"/>
      <c r="CP22" s="2210"/>
      <c r="CQ22" s="112"/>
      <c r="CR22" s="2181"/>
      <c r="CS22" s="2181"/>
      <c r="CT22" s="2211"/>
      <c r="CU22" s="2181" t="n">
        <f aca="false">CR22-CS22</f>
        <v>0</v>
      </c>
      <c r="CV22" s="2181" t="n">
        <f aca="false">CR22-CT22</f>
        <v>0</v>
      </c>
      <c r="CW22" s="2181"/>
      <c r="CX22" s="2182" t="str">
        <f aca="false">IFERROR(CR22/CW22-1, "-")</f>
        <v>-</v>
      </c>
      <c r="CY22" s="240"/>
      <c r="CZ22" s="2181"/>
      <c r="DA22" s="2181"/>
      <c r="DB22" s="2181"/>
      <c r="DC22" s="2181"/>
      <c r="DD22" s="2181"/>
      <c r="DE22" s="115" t="e">
        <f aca="false">+CZ22/DD22-1</f>
        <v>#DIV/0!</v>
      </c>
      <c r="DF22" s="115" t="e">
        <f aca="false">+DA22/DD22-1</f>
        <v>#DIV/0!</v>
      </c>
      <c r="DG22" s="115" t="e">
        <f aca="false">+DB22/DD22-1</f>
        <v>#DIV/0!</v>
      </c>
      <c r="DH22" s="115" t="e">
        <f aca="false">+DC22/DD22-1</f>
        <v>#DIV/0!</v>
      </c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N22" s="2212"/>
      <c r="DO22" s="509"/>
      <c r="DP22" s="509"/>
      <c r="DQ22" s="509"/>
      <c r="DR22" s="509"/>
      <c r="DS22" s="509"/>
      <c r="DT22" s="509"/>
      <c r="DU22" s="509"/>
      <c r="DV22" s="509"/>
      <c r="DW22" s="509"/>
      <c r="DX22" s="107" t="n">
        <f aca="false">(CS22-CZ22)*10^6</f>
        <v>0</v>
      </c>
      <c r="DY22" s="107" t="n">
        <f aca="false">(CT22-DC22)*10^6</f>
        <v>0</v>
      </c>
      <c r="DZ22" s="107" t="n">
        <f aca="false">(CW22-DD22)*10^6</f>
        <v>0</v>
      </c>
      <c r="EA22" s="509"/>
    </row>
    <row r="23" customFormat="false" ht="12.75" hidden="false" customHeight="false" outlineLevel="0" collapsed="false">
      <c r="B23" s="1238"/>
      <c r="C23" s="2172"/>
      <c r="D23" s="2213"/>
      <c r="E23" s="2183"/>
      <c r="F23" s="2183"/>
      <c r="G23" s="2183"/>
      <c r="H23" s="2184"/>
      <c r="I23" s="1195"/>
      <c r="J23" s="2213"/>
      <c r="K23" s="2183"/>
      <c r="L23" s="2183"/>
      <c r="M23" s="2183"/>
      <c r="N23" s="2184"/>
      <c r="O23" s="2184"/>
      <c r="P23" s="2213"/>
      <c r="Q23" s="2183"/>
      <c r="R23" s="2183"/>
      <c r="S23" s="2183"/>
      <c r="T23" s="2184"/>
      <c r="U23" s="2184"/>
      <c r="V23" s="2213"/>
      <c r="W23" s="2183"/>
      <c r="X23" s="2183"/>
      <c r="Y23" s="2183"/>
      <c r="Z23" s="2183"/>
      <c r="AA23" s="2183"/>
      <c r="AB23" s="2184"/>
      <c r="AC23" s="2185"/>
      <c r="AD23" s="2213"/>
      <c r="AE23" s="2183"/>
      <c r="AF23" s="2183"/>
      <c r="AG23" s="2183"/>
      <c r="AH23" s="2183"/>
      <c r="AI23" s="2183"/>
      <c r="AJ23" s="2184"/>
      <c r="AK23" s="2186"/>
      <c r="AL23" s="2213"/>
      <c r="AM23" s="2183"/>
      <c r="AN23" s="2183"/>
      <c r="AO23" s="2183"/>
      <c r="AP23" s="2183"/>
      <c r="AQ23" s="2183"/>
      <c r="AR23" s="2183"/>
      <c r="AS23" s="2187"/>
      <c r="AT23" s="2186"/>
      <c r="AU23" s="2213"/>
      <c r="AV23" s="2183"/>
      <c r="AW23" s="2183"/>
      <c r="AX23" s="2183"/>
      <c r="AY23" s="2183"/>
      <c r="AZ23" s="2183"/>
      <c r="BA23" s="2187"/>
      <c r="BB23" s="2186"/>
      <c r="BC23" s="2213"/>
      <c r="BD23" s="2183"/>
      <c r="BE23" s="2183"/>
      <c r="BF23" s="2183"/>
      <c r="BG23" s="2183"/>
      <c r="BH23" s="2183"/>
      <c r="BI23" s="2187"/>
      <c r="BJ23" s="2186"/>
      <c r="BK23" s="2213"/>
      <c r="BL23" s="2183"/>
      <c r="BM23" s="2183"/>
      <c r="BN23" s="2183"/>
      <c r="BO23" s="2183"/>
      <c r="BP23" s="2183"/>
      <c r="BQ23" s="2183"/>
      <c r="BR23" s="2187"/>
      <c r="BS23" s="2186"/>
      <c r="BT23" s="2213"/>
      <c r="BU23" s="2183"/>
      <c r="BV23" s="2183"/>
      <c r="BW23" s="2183"/>
      <c r="BX23" s="2183"/>
      <c r="BY23" s="2183"/>
      <c r="BZ23" s="2187"/>
      <c r="CA23" s="2186"/>
      <c r="CB23" s="2213"/>
      <c r="CC23" s="2183"/>
      <c r="CD23" s="2183"/>
      <c r="CE23" s="2183"/>
      <c r="CF23" s="2183"/>
      <c r="CG23" s="2183"/>
      <c r="CH23" s="2187"/>
      <c r="CI23" s="2186"/>
      <c r="CJ23" s="2213"/>
      <c r="CK23" s="2183"/>
      <c r="CL23" s="2183"/>
      <c r="CM23" s="2183"/>
      <c r="CN23" s="2183"/>
      <c r="CO23" s="2183"/>
      <c r="CP23" s="2187"/>
      <c r="CQ23" s="148"/>
      <c r="CR23" s="2183"/>
      <c r="CS23" s="2183"/>
      <c r="CT23" s="2183"/>
      <c r="CU23" s="2183"/>
      <c r="CV23" s="2183"/>
      <c r="CW23" s="2183"/>
      <c r="CX23" s="2188" t="str">
        <f aca="false">IFERROR(CR23/CW23-1, "-")</f>
        <v>-</v>
      </c>
      <c r="CY23" s="240"/>
      <c r="CZ23" s="2183"/>
      <c r="DA23" s="2183"/>
      <c r="DB23" s="2183"/>
      <c r="DC23" s="2183"/>
      <c r="DD23" s="2183"/>
      <c r="DE23" s="146"/>
      <c r="DF23" s="146"/>
      <c r="DG23" s="146"/>
      <c r="DH23" s="146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509"/>
      <c r="DO23" s="509"/>
      <c r="DP23" s="509"/>
      <c r="DQ23" s="509"/>
      <c r="DR23" s="509"/>
      <c r="DS23" s="509"/>
      <c r="DT23" s="509"/>
      <c r="DU23" s="509"/>
      <c r="DV23" s="509"/>
      <c r="DW23" s="509"/>
      <c r="DX23" s="107" t="n">
        <f aca="false">(CS23-CZ23)*10^6</f>
        <v>0</v>
      </c>
      <c r="DY23" s="107" t="n">
        <f aca="false">(CT23-DC23)*10^6</f>
        <v>0</v>
      </c>
      <c r="DZ23" s="107" t="n">
        <f aca="false">(CW23-DD23)*10^6</f>
        <v>0</v>
      </c>
      <c r="EA23" s="509"/>
    </row>
    <row r="24" customFormat="false" ht="12.75" hidden="false" customHeight="false" outlineLevel="0" collapsed="false">
      <c r="B24" s="1241" t="s">
        <v>1204</v>
      </c>
      <c r="C24" s="2172" t="s">
        <v>1205</v>
      </c>
      <c r="D24" s="2189"/>
      <c r="E24" s="240"/>
      <c r="F24" s="240"/>
      <c r="G24" s="240"/>
      <c r="H24" s="146"/>
      <c r="I24" s="1195"/>
      <c r="J24" s="2189"/>
      <c r="K24" s="240"/>
      <c r="L24" s="240"/>
      <c r="M24" s="240"/>
      <c r="N24" s="146"/>
      <c r="O24" s="146"/>
      <c r="P24" s="2189"/>
      <c r="Q24" s="240"/>
      <c r="R24" s="240"/>
      <c r="S24" s="240"/>
      <c r="T24" s="146"/>
      <c r="U24" s="146"/>
      <c r="V24" s="2189"/>
      <c r="W24" s="240"/>
      <c r="X24" s="240"/>
      <c r="Y24" s="240"/>
      <c r="Z24" s="240"/>
      <c r="AA24" s="240"/>
      <c r="AB24" s="146"/>
      <c r="AC24" s="2190"/>
      <c r="AD24" s="2189"/>
      <c r="AE24" s="240"/>
      <c r="AF24" s="240"/>
      <c r="AG24" s="240"/>
      <c r="AH24" s="240"/>
      <c r="AI24" s="240"/>
      <c r="AJ24" s="146"/>
      <c r="AK24" s="148"/>
      <c r="AL24" s="2189"/>
      <c r="AM24" s="240"/>
      <c r="AN24" s="240"/>
      <c r="AO24" s="240"/>
      <c r="AP24" s="240"/>
      <c r="AQ24" s="240"/>
      <c r="AR24" s="240"/>
      <c r="AS24" s="2192"/>
      <c r="AT24" s="148"/>
      <c r="AU24" s="2189"/>
      <c r="AV24" s="240"/>
      <c r="AW24" s="240"/>
      <c r="AX24" s="240"/>
      <c r="AY24" s="240"/>
      <c r="AZ24" s="240"/>
      <c r="BA24" s="2192"/>
      <c r="BB24" s="148"/>
      <c r="BC24" s="2189"/>
      <c r="BD24" s="240"/>
      <c r="BE24" s="240"/>
      <c r="BF24" s="240"/>
      <c r="BG24" s="240"/>
      <c r="BH24" s="240"/>
      <c r="BI24" s="2192"/>
      <c r="BJ24" s="148"/>
      <c r="BK24" s="2189"/>
      <c r="BL24" s="240"/>
      <c r="BM24" s="240"/>
      <c r="BN24" s="240"/>
      <c r="BO24" s="240"/>
      <c r="BP24" s="240"/>
      <c r="BQ24" s="240"/>
      <c r="BR24" s="2192"/>
      <c r="BS24" s="148"/>
      <c r="BT24" s="2189"/>
      <c r="BU24" s="240"/>
      <c r="BV24" s="240"/>
      <c r="BW24" s="240"/>
      <c r="BX24" s="240"/>
      <c r="BY24" s="240"/>
      <c r="BZ24" s="2192"/>
      <c r="CA24" s="148"/>
      <c r="CB24" s="2189"/>
      <c r="CC24" s="240"/>
      <c r="CD24" s="240"/>
      <c r="CE24" s="240"/>
      <c r="CF24" s="240"/>
      <c r="CG24" s="240"/>
      <c r="CH24" s="2192"/>
      <c r="CI24" s="148"/>
      <c r="CJ24" s="2189"/>
      <c r="CK24" s="240"/>
      <c r="CL24" s="240"/>
      <c r="CM24" s="240"/>
      <c r="CN24" s="240"/>
      <c r="CO24" s="240"/>
      <c r="CP24" s="2192"/>
      <c r="CQ24" s="148"/>
      <c r="CR24" s="240"/>
      <c r="CS24" s="240"/>
      <c r="CT24" s="240"/>
      <c r="CU24" s="240" t="n">
        <f aca="false">CR24-CS24</f>
        <v>0</v>
      </c>
      <c r="CV24" s="240" t="n">
        <f aca="false">CR24-CT24</f>
        <v>0</v>
      </c>
      <c r="CW24" s="240"/>
      <c r="CX24" s="2193" t="str">
        <f aca="false">IFERROR(CR24/CW24-1, "-")</f>
        <v>-</v>
      </c>
      <c r="CY24" s="240"/>
      <c r="CZ24" s="240"/>
      <c r="DA24" s="240"/>
      <c r="DB24" s="240"/>
      <c r="DC24" s="240"/>
      <c r="DD24" s="240"/>
      <c r="DE24" s="146" t="e">
        <f aca="false">+CZ24/DD24-1</f>
        <v>#DIV/0!</v>
      </c>
      <c r="DF24" s="146" t="e">
        <f aca="false">+DA24/DD24-1</f>
        <v>#DIV/0!</v>
      </c>
      <c r="DG24" s="146" t="e">
        <f aca="false">+DB24/DD24-1</f>
        <v>#DIV/0!</v>
      </c>
      <c r="DH24" s="146" t="e">
        <f aca="false">+DC24/DD24-1</f>
        <v>#DIV/0!</v>
      </c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509"/>
      <c r="DO24" s="509"/>
      <c r="DP24" s="509"/>
      <c r="DQ24" s="509"/>
      <c r="DR24" s="509"/>
      <c r="DS24" s="509"/>
      <c r="DT24" s="509"/>
      <c r="DU24" s="509"/>
      <c r="DV24" s="509"/>
      <c r="DW24" s="509"/>
      <c r="DX24" s="107" t="n">
        <f aca="false">(CS24-CZ24)*10^6</f>
        <v>0</v>
      </c>
      <c r="DY24" s="107" t="n">
        <f aca="false">(CT24-DC24)*10^6</f>
        <v>0</v>
      </c>
      <c r="DZ24" s="107" t="n">
        <f aca="false">(CW24-DD24)*10^6</f>
        <v>0</v>
      </c>
      <c r="EA24" s="509"/>
    </row>
    <row r="25" customFormat="false" ht="6" hidden="false" customHeight="true" outlineLevel="0" collapsed="false">
      <c r="B25" s="1241"/>
      <c r="C25" s="2172"/>
      <c r="D25" s="426"/>
      <c r="E25" s="240"/>
      <c r="F25" s="240"/>
      <c r="G25" s="240"/>
      <c r="H25" s="146"/>
      <c r="I25" s="1195"/>
      <c r="J25" s="426"/>
      <c r="K25" s="240"/>
      <c r="L25" s="240"/>
      <c r="M25" s="240"/>
      <c r="N25" s="146"/>
      <c r="O25" s="146"/>
      <c r="P25" s="426"/>
      <c r="Q25" s="240"/>
      <c r="R25" s="240"/>
      <c r="S25" s="240"/>
      <c r="T25" s="146"/>
      <c r="U25" s="146"/>
      <c r="V25" s="426"/>
      <c r="W25" s="240"/>
      <c r="X25" s="240"/>
      <c r="Y25" s="240"/>
      <c r="Z25" s="240"/>
      <c r="AA25" s="240"/>
      <c r="AB25" s="146"/>
      <c r="AC25" s="2190"/>
      <c r="AD25" s="426"/>
      <c r="AE25" s="240"/>
      <c r="AF25" s="240"/>
      <c r="AG25" s="240"/>
      <c r="AH25" s="240"/>
      <c r="AI25" s="240"/>
      <c r="AJ25" s="146"/>
      <c r="AK25" s="148"/>
      <c r="AL25" s="426"/>
      <c r="AM25" s="240"/>
      <c r="AN25" s="240"/>
      <c r="AO25" s="240"/>
      <c r="AP25" s="240"/>
      <c r="AQ25" s="240"/>
      <c r="AR25" s="240"/>
      <c r="AS25" s="2192"/>
      <c r="AT25" s="148"/>
      <c r="AU25" s="426"/>
      <c r="AV25" s="240"/>
      <c r="AW25" s="240"/>
      <c r="AX25" s="240"/>
      <c r="AY25" s="240"/>
      <c r="AZ25" s="240"/>
      <c r="BA25" s="2192"/>
      <c r="BB25" s="148"/>
      <c r="BC25" s="426"/>
      <c r="BD25" s="240"/>
      <c r="BE25" s="240"/>
      <c r="BF25" s="240"/>
      <c r="BG25" s="240"/>
      <c r="BH25" s="240"/>
      <c r="BI25" s="2192"/>
      <c r="BJ25" s="148"/>
      <c r="BK25" s="426"/>
      <c r="BL25" s="240"/>
      <c r="BM25" s="240"/>
      <c r="BN25" s="240"/>
      <c r="BO25" s="240"/>
      <c r="BP25" s="240"/>
      <c r="BQ25" s="240"/>
      <c r="BR25" s="2192"/>
      <c r="BS25" s="148"/>
      <c r="BT25" s="426"/>
      <c r="BU25" s="240"/>
      <c r="BV25" s="240"/>
      <c r="BW25" s="240"/>
      <c r="BX25" s="240"/>
      <c r="BY25" s="240"/>
      <c r="BZ25" s="2192"/>
      <c r="CA25" s="148"/>
      <c r="CB25" s="426"/>
      <c r="CC25" s="240"/>
      <c r="CD25" s="240"/>
      <c r="CE25" s="240"/>
      <c r="CF25" s="240"/>
      <c r="CG25" s="240"/>
      <c r="CH25" s="2192"/>
      <c r="CI25" s="148"/>
      <c r="CJ25" s="426"/>
      <c r="CK25" s="240"/>
      <c r="CL25" s="240"/>
      <c r="CM25" s="240"/>
      <c r="CN25" s="240"/>
      <c r="CO25" s="240"/>
      <c r="CP25" s="2192"/>
      <c r="CQ25" s="148"/>
      <c r="CR25" s="240"/>
      <c r="CS25" s="240"/>
      <c r="CT25" s="240"/>
      <c r="CU25" s="240"/>
      <c r="CV25" s="240"/>
      <c r="CW25" s="240"/>
      <c r="CX25" s="2193" t="str">
        <f aca="false">IFERROR(CR25/CW25-1, "-")</f>
        <v>-</v>
      </c>
      <c r="CY25" s="240"/>
      <c r="CZ25" s="240"/>
      <c r="DA25" s="240"/>
      <c r="DB25" s="240"/>
      <c r="DC25" s="240"/>
      <c r="DD25" s="240"/>
      <c r="DE25" s="146"/>
      <c r="DF25" s="146"/>
      <c r="DG25" s="146"/>
      <c r="DH25" s="146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509"/>
      <c r="DO25" s="509"/>
      <c r="DP25" s="509"/>
      <c r="DQ25" s="509"/>
      <c r="DR25" s="509"/>
      <c r="DS25" s="509"/>
      <c r="DT25" s="509"/>
      <c r="DU25" s="509"/>
      <c r="DV25" s="509"/>
      <c r="DW25" s="509"/>
      <c r="DX25" s="107" t="n">
        <f aca="false">(CS25-CZ25)*10^6</f>
        <v>0</v>
      </c>
      <c r="DY25" s="107" t="n">
        <f aca="false">(CT25-DC25)*10^6</f>
        <v>0</v>
      </c>
      <c r="DZ25" s="107" t="n">
        <f aca="false">(CW25-DD25)*10^6</f>
        <v>0</v>
      </c>
      <c r="EA25" s="509"/>
    </row>
    <row r="26" customFormat="false" ht="12.75" hidden="false" customHeight="false" outlineLevel="0" collapsed="false">
      <c r="B26" s="1241" t="s">
        <v>1206</v>
      </c>
      <c r="C26" s="2172" t="s">
        <v>1207</v>
      </c>
      <c r="D26" s="2189"/>
      <c r="E26" s="240"/>
      <c r="F26" s="240"/>
      <c r="G26" s="240"/>
      <c r="H26" s="146"/>
      <c r="I26" s="1195"/>
      <c r="J26" s="2189"/>
      <c r="K26" s="240"/>
      <c r="L26" s="240"/>
      <c r="M26" s="240"/>
      <c r="N26" s="146"/>
      <c r="O26" s="146"/>
      <c r="P26" s="2189"/>
      <c r="Q26" s="240"/>
      <c r="R26" s="240"/>
      <c r="S26" s="240"/>
      <c r="T26" s="146"/>
      <c r="U26" s="146"/>
      <c r="V26" s="2189"/>
      <c r="W26" s="240"/>
      <c r="X26" s="240"/>
      <c r="Y26" s="240"/>
      <c r="Z26" s="240"/>
      <c r="AA26" s="240"/>
      <c r="AB26" s="146"/>
      <c r="AC26" s="2190"/>
      <c r="AD26" s="2189"/>
      <c r="AE26" s="240"/>
      <c r="AF26" s="240"/>
      <c r="AG26" s="240"/>
      <c r="AH26" s="240"/>
      <c r="AI26" s="240"/>
      <c r="AJ26" s="146"/>
      <c r="AK26" s="148"/>
      <c r="AL26" s="2189"/>
      <c r="AM26" s="240"/>
      <c r="AN26" s="240"/>
      <c r="AO26" s="240"/>
      <c r="AP26" s="240"/>
      <c r="AQ26" s="240"/>
      <c r="AR26" s="240"/>
      <c r="AS26" s="2192"/>
      <c r="AT26" s="148"/>
      <c r="AU26" s="2189"/>
      <c r="AV26" s="240"/>
      <c r="AW26" s="240"/>
      <c r="AX26" s="240"/>
      <c r="AY26" s="240"/>
      <c r="AZ26" s="240"/>
      <c r="BA26" s="2192"/>
      <c r="BB26" s="148"/>
      <c r="BC26" s="2189"/>
      <c r="BD26" s="240"/>
      <c r="BE26" s="240"/>
      <c r="BF26" s="240"/>
      <c r="BG26" s="240"/>
      <c r="BH26" s="240"/>
      <c r="BI26" s="2192"/>
      <c r="BJ26" s="148"/>
      <c r="BK26" s="2189"/>
      <c r="BL26" s="240"/>
      <c r="BM26" s="240"/>
      <c r="BN26" s="240"/>
      <c r="BO26" s="240"/>
      <c r="BP26" s="240"/>
      <c r="BQ26" s="240"/>
      <c r="BR26" s="2192"/>
      <c r="BS26" s="148"/>
      <c r="BT26" s="2189"/>
      <c r="BU26" s="240"/>
      <c r="BV26" s="240"/>
      <c r="BW26" s="240"/>
      <c r="BX26" s="240"/>
      <c r="BY26" s="240"/>
      <c r="BZ26" s="2192"/>
      <c r="CA26" s="148"/>
      <c r="CB26" s="2189"/>
      <c r="CC26" s="240"/>
      <c r="CD26" s="240"/>
      <c r="CE26" s="240"/>
      <c r="CF26" s="240"/>
      <c r="CG26" s="240"/>
      <c r="CH26" s="2192"/>
      <c r="CI26" s="148"/>
      <c r="CJ26" s="2189"/>
      <c r="CK26" s="240"/>
      <c r="CL26" s="240"/>
      <c r="CM26" s="240"/>
      <c r="CN26" s="240"/>
      <c r="CO26" s="240"/>
      <c r="CP26" s="2192"/>
      <c r="CQ26" s="148"/>
      <c r="CR26" s="240"/>
      <c r="CS26" s="240"/>
      <c r="CT26" s="240"/>
      <c r="CU26" s="240" t="n">
        <f aca="false">CR26-CS26</f>
        <v>0</v>
      </c>
      <c r="CV26" s="240" t="n">
        <f aca="false">CR26-CT26</f>
        <v>0</v>
      </c>
      <c r="CW26" s="240"/>
      <c r="CX26" s="2193" t="str">
        <f aca="false">IFERROR(CR26/CW26-1, "-")</f>
        <v>-</v>
      </c>
      <c r="CY26" s="240"/>
      <c r="CZ26" s="240"/>
      <c r="DA26" s="240"/>
      <c r="DB26" s="240"/>
      <c r="DC26" s="240"/>
      <c r="DD26" s="240"/>
      <c r="DE26" s="146"/>
      <c r="DF26" s="146"/>
      <c r="DG26" s="146"/>
      <c r="DH26" s="146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509"/>
      <c r="DO26" s="509"/>
      <c r="DP26" s="509"/>
      <c r="DQ26" s="509"/>
      <c r="DR26" s="509"/>
      <c r="DS26" s="509"/>
      <c r="DT26" s="509"/>
      <c r="DU26" s="509"/>
      <c r="DV26" s="509"/>
      <c r="DW26" s="509"/>
      <c r="DX26" s="107" t="n">
        <f aca="false">(CS26-CZ26)*10^6</f>
        <v>0</v>
      </c>
      <c r="DY26" s="107" t="n">
        <f aca="false">(CT26-DC26)*10^6</f>
        <v>0</v>
      </c>
      <c r="DZ26" s="107" t="n">
        <f aca="false">(CW26-DD26)*10^6</f>
        <v>0</v>
      </c>
      <c r="EA26" s="509"/>
    </row>
    <row r="27" customFormat="false" ht="11.25" hidden="false" customHeight="true" outlineLevel="0" collapsed="false">
      <c r="B27" s="1241"/>
      <c r="C27" s="2172"/>
      <c r="D27" s="2189"/>
      <c r="E27" s="240"/>
      <c r="F27" s="240"/>
      <c r="G27" s="240"/>
      <c r="H27" s="146"/>
      <c r="I27" s="1195"/>
      <c r="J27" s="2189"/>
      <c r="K27" s="240"/>
      <c r="L27" s="240"/>
      <c r="M27" s="240"/>
      <c r="N27" s="146"/>
      <c r="O27" s="146"/>
      <c r="P27" s="2189"/>
      <c r="Q27" s="240"/>
      <c r="R27" s="240"/>
      <c r="S27" s="240"/>
      <c r="T27" s="146"/>
      <c r="U27" s="146"/>
      <c r="V27" s="2189"/>
      <c r="W27" s="240"/>
      <c r="X27" s="240"/>
      <c r="Y27" s="240"/>
      <c r="Z27" s="240"/>
      <c r="AA27" s="240"/>
      <c r="AB27" s="146"/>
      <c r="AC27" s="2190"/>
      <c r="AD27" s="2189"/>
      <c r="AE27" s="240"/>
      <c r="AF27" s="240"/>
      <c r="AG27" s="240"/>
      <c r="AH27" s="240"/>
      <c r="AI27" s="240"/>
      <c r="AJ27" s="146"/>
      <c r="AK27" s="148"/>
      <c r="AL27" s="2189"/>
      <c r="AM27" s="240"/>
      <c r="AN27" s="240"/>
      <c r="AO27" s="240"/>
      <c r="AP27" s="240"/>
      <c r="AQ27" s="240"/>
      <c r="AR27" s="240"/>
      <c r="AS27" s="2192"/>
      <c r="AT27" s="148"/>
      <c r="AU27" s="2189"/>
      <c r="AV27" s="240"/>
      <c r="AW27" s="240"/>
      <c r="AX27" s="240"/>
      <c r="AY27" s="240"/>
      <c r="AZ27" s="240"/>
      <c r="BA27" s="2192"/>
      <c r="BB27" s="148"/>
      <c r="BC27" s="2189"/>
      <c r="BD27" s="240"/>
      <c r="BE27" s="240"/>
      <c r="BF27" s="240"/>
      <c r="BG27" s="240"/>
      <c r="BH27" s="240"/>
      <c r="BI27" s="2192"/>
      <c r="BJ27" s="148"/>
      <c r="BK27" s="2189"/>
      <c r="BL27" s="240"/>
      <c r="BM27" s="240"/>
      <c r="BN27" s="240"/>
      <c r="BO27" s="240"/>
      <c r="BP27" s="240"/>
      <c r="BQ27" s="240"/>
      <c r="BR27" s="2192"/>
      <c r="BS27" s="148"/>
      <c r="BT27" s="2189"/>
      <c r="BU27" s="240"/>
      <c r="BV27" s="240"/>
      <c r="BW27" s="240"/>
      <c r="BX27" s="240"/>
      <c r="BY27" s="240"/>
      <c r="BZ27" s="2192"/>
      <c r="CA27" s="148"/>
      <c r="CB27" s="2189"/>
      <c r="CC27" s="240"/>
      <c r="CD27" s="240"/>
      <c r="CE27" s="240"/>
      <c r="CF27" s="240"/>
      <c r="CG27" s="240"/>
      <c r="CH27" s="2192"/>
      <c r="CI27" s="148"/>
      <c r="CJ27" s="2189"/>
      <c r="CK27" s="240"/>
      <c r="CL27" s="240"/>
      <c r="CM27" s="240"/>
      <c r="CN27" s="240"/>
      <c r="CO27" s="240"/>
      <c r="CP27" s="2192"/>
      <c r="CQ27" s="148"/>
      <c r="CR27" s="240"/>
      <c r="CS27" s="240"/>
      <c r="CT27" s="240"/>
      <c r="CU27" s="240"/>
      <c r="CV27" s="240"/>
      <c r="CW27" s="240"/>
      <c r="CX27" s="2193" t="str">
        <f aca="false">IFERROR(CR27/CW27-1, "-")</f>
        <v>-</v>
      </c>
      <c r="CY27" s="240"/>
      <c r="CZ27" s="240"/>
      <c r="DA27" s="240"/>
      <c r="DB27" s="240"/>
      <c r="DC27" s="240"/>
      <c r="DD27" s="240"/>
      <c r="DE27" s="146"/>
      <c r="DF27" s="146"/>
      <c r="DG27" s="146"/>
      <c r="DH27" s="146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509"/>
      <c r="DO27" s="509"/>
      <c r="DP27" s="509"/>
      <c r="DQ27" s="509"/>
      <c r="DR27" s="509"/>
      <c r="DS27" s="509"/>
      <c r="DT27" s="509"/>
      <c r="DU27" s="509"/>
      <c r="DV27" s="509"/>
      <c r="DW27" s="509"/>
      <c r="DX27" s="107" t="n">
        <f aca="false">(CS27-CZ27)*10^6</f>
        <v>0</v>
      </c>
      <c r="DY27" s="107" t="n">
        <f aca="false">(CT27-DC27)*10^6</f>
        <v>0</v>
      </c>
      <c r="DZ27" s="107" t="n">
        <f aca="false">(CW27-DD27)*10^6</f>
        <v>0</v>
      </c>
      <c r="EA27" s="509"/>
    </row>
    <row r="28" customFormat="false" ht="12.75" hidden="false" customHeight="false" outlineLevel="0" collapsed="false">
      <c r="B28" s="1241" t="s">
        <v>1208</v>
      </c>
      <c r="C28" s="2172" t="s">
        <v>1209</v>
      </c>
      <c r="D28" s="426"/>
      <c r="E28" s="240"/>
      <c r="F28" s="240"/>
      <c r="G28" s="240"/>
      <c r="H28" s="146"/>
      <c r="I28" s="1195"/>
      <c r="J28" s="426"/>
      <c r="K28" s="240"/>
      <c r="L28" s="240"/>
      <c r="M28" s="240"/>
      <c r="N28" s="146"/>
      <c r="O28" s="146"/>
      <c r="P28" s="426"/>
      <c r="Q28" s="240"/>
      <c r="R28" s="240"/>
      <c r="S28" s="240"/>
      <c r="T28" s="146"/>
      <c r="U28" s="146"/>
      <c r="V28" s="426"/>
      <c r="W28" s="240"/>
      <c r="X28" s="240"/>
      <c r="Y28" s="240"/>
      <c r="Z28" s="240"/>
      <c r="AA28" s="240"/>
      <c r="AB28" s="146"/>
      <c r="AC28" s="2190"/>
      <c r="AD28" s="426"/>
      <c r="AE28" s="240"/>
      <c r="AF28" s="240"/>
      <c r="AG28" s="240"/>
      <c r="AH28" s="240"/>
      <c r="AI28" s="240"/>
      <c r="AJ28" s="146"/>
      <c r="AK28" s="148"/>
      <c r="AL28" s="426"/>
      <c r="AM28" s="240"/>
      <c r="AN28" s="240"/>
      <c r="AO28" s="240"/>
      <c r="AP28" s="240"/>
      <c r="AQ28" s="240"/>
      <c r="AR28" s="240"/>
      <c r="AS28" s="2192"/>
      <c r="AT28" s="148"/>
      <c r="AU28" s="426"/>
      <c r="AV28" s="240"/>
      <c r="AW28" s="240"/>
      <c r="AX28" s="240"/>
      <c r="AY28" s="240"/>
      <c r="AZ28" s="240"/>
      <c r="BA28" s="2192"/>
      <c r="BB28" s="148"/>
      <c r="BC28" s="426"/>
      <c r="BD28" s="240"/>
      <c r="BE28" s="240"/>
      <c r="BF28" s="240"/>
      <c r="BG28" s="240"/>
      <c r="BH28" s="240"/>
      <c r="BI28" s="2192"/>
      <c r="BJ28" s="148"/>
      <c r="BK28" s="2189"/>
      <c r="BL28" s="240"/>
      <c r="BM28" s="240"/>
      <c r="BN28" s="240"/>
      <c r="BO28" s="240"/>
      <c r="BP28" s="240"/>
      <c r="BQ28" s="240"/>
      <c r="BR28" s="2192"/>
      <c r="BS28" s="148"/>
      <c r="BT28" s="426"/>
      <c r="BU28" s="240"/>
      <c r="BV28" s="240"/>
      <c r="BW28" s="240"/>
      <c r="BX28" s="240"/>
      <c r="BY28" s="240"/>
      <c r="BZ28" s="2192"/>
      <c r="CA28" s="148"/>
      <c r="CB28" s="426"/>
      <c r="CC28" s="240"/>
      <c r="CD28" s="240"/>
      <c r="CE28" s="240"/>
      <c r="CF28" s="240"/>
      <c r="CG28" s="240"/>
      <c r="CH28" s="2192"/>
      <c r="CI28" s="148"/>
      <c r="CJ28" s="2189"/>
      <c r="CK28" s="240"/>
      <c r="CL28" s="240"/>
      <c r="CM28" s="240"/>
      <c r="CN28" s="240"/>
      <c r="CO28" s="240"/>
      <c r="CP28" s="2192"/>
      <c r="CQ28" s="148"/>
      <c r="CR28" s="240"/>
      <c r="CS28" s="240"/>
      <c r="CT28" s="240"/>
      <c r="CU28" s="240"/>
      <c r="CV28" s="240"/>
      <c r="CW28" s="240"/>
      <c r="CX28" s="2193" t="str">
        <f aca="false">IFERROR(CR28/CW28-1, "-")</f>
        <v>-</v>
      </c>
      <c r="CY28" s="240"/>
      <c r="CZ28" s="240"/>
      <c r="DA28" s="240"/>
      <c r="DB28" s="240"/>
      <c r="DC28" s="240"/>
      <c r="DD28" s="240"/>
      <c r="DE28" s="146"/>
      <c r="DF28" s="146"/>
      <c r="DG28" s="146"/>
      <c r="DH28" s="146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509"/>
      <c r="DO28" s="509"/>
      <c r="DP28" s="509"/>
      <c r="DQ28" s="509"/>
      <c r="DR28" s="509"/>
      <c r="DS28" s="509"/>
      <c r="DT28" s="509"/>
      <c r="DU28" s="509"/>
      <c r="DV28" s="509"/>
      <c r="DW28" s="509"/>
      <c r="DX28" s="107" t="n">
        <f aca="false">(CS28-CZ28)*10^6</f>
        <v>0</v>
      </c>
      <c r="DY28" s="107" t="n">
        <f aca="false">(CT28-DC28)*10^6</f>
        <v>0</v>
      </c>
      <c r="DZ28" s="107" t="n">
        <f aca="false">(CW28-DD28)*10^6</f>
        <v>0</v>
      </c>
      <c r="EA28" s="509"/>
    </row>
    <row r="29" customFormat="false" ht="4.5" hidden="false" customHeight="true" outlineLevel="0" collapsed="false">
      <c r="B29" s="1241"/>
      <c r="C29" s="2172"/>
      <c r="D29" s="426"/>
      <c r="E29" s="240"/>
      <c r="F29" s="240"/>
      <c r="G29" s="240"/>
      <c r="H29" s="146"/>
      <c r="I29" s="1195"/>
      <c r="J29" s="426"/>
      <c r="K29" s="240"/>
      <c r="L29" s="240"/>
      <c r="M29" s="240"/>
      <c r="N29" s="146"/>
      <c r="O29" s="146"/>
      <c r="P29" s="426"/>
      <c r="Q29" s="240"/>
      <c r="R29" s="240"/>
      <c r="S29" s="240"/>
      <c r="T29" s="146"/>
      <c r="U29" s="146"/>
      <c r="V29" s="426"/>
      <c r="W29" s="240"/>
      <c r="X29" s="240"/>
      <c r="Y29" s="240"/>
      <c r="Z29" s="240"/>
      <c r="AA29" s="240"/>
      <c r="AB29" s="146"/>
      <c r="AC29" s="2190"/>
      <c r="AD29" s="426"/>
      <c r="AE29" s="240"/>
      <c r="AF29" s="240"/>
      <c r="AG29" s="240"/>
      <c r="AH29" s="240"/>
      <c r="AI29" s="240"/>
      <c r="AJ29" s="146"/>
      <c r="AK29" s="148"/>
      <c r="AL29" s="426"/>
      <c r="AM29" s="240"/>
      <c r="AN29" s="240"/>
      <c r="AO29" s="240"/>
      <c r="AP29" s="240"/>
      <c r="AQ29" s="240"/>
      <c r="AR29" s="240"/>
      <c r="AS29" s="2192"/>
      <c r="AT29" s="148"/>
      <c r="AU29" s="426"/>
      <c r="AV29" s="240"/>
      <c r="AW29" s="240"/>
      <c r="AX29" s="240"/>
      <c r="AY29" s="240"/>
      <c r="AZ29" s="240"/>
      <c r="BA29" s="2192"/>
      <c r="BB29" s="148"/>
      <c r="BC29" s="426"/>
      <c r="BD29" s="240"/>
      <c r="BE29" s="240"/>
      <c r="BF29" s="240"/>
      <c r="BG29" s="240"/>
      <c r="BH29" s="240"/>
      <c r="BI29" s="2192"/>
      <c r="BJ29" s="148"/>
      <c r="BK29" s="426"/>
      <c r="BL29" s="240"/>
      <c r="BM29" s="240"/>
      <c r="BN29" s="240"/>
      <c r="BO29" s="240"/>
      <c r="BP29" s="240"/>
      <c r="BQ29" s="240"/>
      <c r="BR29" s="2192"/>
      <c r="BS29" s="148"/>
      <c r="BT29" s="426"/>
      <c r="BU29" s="240"/>
      <c r="BV29" s="240"/>
      <c r="BW29" s="240"/>
      <c r="BX29" s="240"/>
      <c r="BY29" s="240"/>
      <c r="BZ29" s="2192"/>
      <c r="CA29" s="148"/>
      <c r="CB29" s="426"/>
      <c r="CC29" s="240"/>
      <c r="CD29" s="240"/>
      <c r="CE29" s="240"/>
      <c r="CF29" s="240"/>
      <c r="CG29" s="240"/>
      <c r="CH29" s="2192"/>
      <c r="CI29" s="148"/>
      <c r="CJ29" s="426"/>
      <c r="CK29" s="240"/>
      <c r="CL29" s="240"/>
      <c r="CM29" s="240"/>
      <c r="CN29" s="240"/>
      <c r="CO29" s="240"/>
      <c r="CP29" s="2192"/>
      <c r="CQ29" s="148"/>
      <c r="CR29" s="240"/>
      <c r="CS29" s="240"/>
      <c r="CT29" s="240"/>
      <c r="CU29" s="240"/>
      <c r="CV29" s="240"/>
      <c r="CW29" s="240"/>
      <c r="CX29" s="2193" t="str">
        <f aca="false">IFERROR(CR29/CW29-1, "-")</f>
        <v>-</v>
      </c>
      <c r="CY29" s="240"/>
      <c r="CZ29" s="240"/>
      <c r="DA29" s="240"/>
      <c r="DB29" s="240"/>
      <c r="DC29" s="240"/>
      <c r="DD29" s="240"/>
      <c r="DE29" s="146"/>
      <c r="DF29" s="146"/>
      <c r="DG29" s="146"/>
      <c r="DH29" s="146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N29" s="509"/>
      <c r="DO29" s="509"/>
      <c r="DP29" s="509"/>
      <c r="DQ29" s="509"/>
      <c r="DR29" s="509"/>
      <c r="DS29" s="509"/>
      <c r="DT29" s="509"/>
      <c r="DU29" s="509"/>
      <c r="DV29" s="509"/>
      <c r="DW29" s="509"/>
      <c r="DX29" s="107" t="n">
        <f aca="false">(CS29-CZ29)*10^6</f>
        <v>0</v>
      </c>
      <c r="DY29" s="107" t="n">
        <f aca="false">(CT29-DC29)*10^6</f>
        <v>0</v>
      </c>
      <c r="DZ29" s="107" t="n">
        <f aca="false">(CW29-DD29)*10^6</f>
        <v>0</v>
      </c>
      <c r="EA29" s="509"/>
    </row>
    <row r="30" customFormat="false" ht="12.75" hidden="false" customHeight="false" outlineLevel="0" collapsed="false">
      <c r="B30" s="2194" t="s">
        <v>1210</v>
      </c>
      <c r="C30" s="2172" t="s">
        <v>1211</v>
      </c>
      <c r="D30" s="2195"/>
      <c r="E30" s="1015"/>
      <c r="F30" s="1015"/>
      <c r="G30" s="1015"/>
      <c r="H30" s="127"/>
      <c r="I30" s="2196"/>
      <c r="J30" s="2195"/>
      <c r="K30" s="1015"/>
      <c r="L30" s="1015"/>
      <c r="M30" s="1015"/>
      <c r="N30" s="127"/>
      <c r="O30" s="127"/>
      <c r="P30" s="2195"/>
      <c r="Q30" s="1015"/>
      <c r="R30" s="1015"/>
      <c r="S30" s="1015"/>
      <c r="T30" s="127"/>
      <c r="U30" s="127"/>
      <c r="V30" s="2195"/>
      <c r="W30" s="1015"/>
      <c r="X30" s="1015"/>
      <c r="Y30" s="1015"/>
      <c r="Z30" s="1015"/>
      <c r="AA30" s="1015"/>
      <c r="AB30" s="127"/>
      <c r="AC30" s="2214"/>
      <c r="AD30" s="2195"/>
      <c r="AE30" s="1015"/>
      <c r="AF30" s="1015"/>
      <c r="AG30" s="1015"/>
      <c r="AH30" s="1015"/>
      <c r="AI30" s="1015"/>
      <c r="AJ30" s="127"/>
      <c r="AK30" s="125"/>
      <c r="AL30" s="2195"/>
      <c r="AM30" s="1015"/>
      <c r="AN30" s="1015"/>
      <c r="AO30" s="1015"/>
      <c r="AP30" s="1015"/>
      <c r="AQ30" s="1015"/>
      <c r="AR30" s="1015"/>
      <c r="AS30" s="2215"/>
      <c r="AT30" s="125"/>
      <c r="AU30" s="2195"/>
      <c r="AV30" s="1015"/>
      <c r="AW30" s="1015"/>
      <c r="AX30" s="1015"/>
      <c r="AY30" s="1015"/>
      <c r="AZ30" s="1015"/>
      <c r="BA30" s="2215"/>
      <c r="BB30" s="125"/>
      <c r="BC30" s="2195"/>
      <c r="BD30" s="1015"/>
      <c r="BE30" s="1015"/>
      <c r="BF30" s="1015"/>
      <c r="BG30" s="1015"/>
      <c r="BH30" s="1015"/>
      <c r="BI30" s="2215"/>
      <c r="BJ30" s="125"/>
      <c r="BK30" s="2195"/>
      <c r="BL30" s="1015"/>
      <c r="BM30" s="1015"/>
      <c r="BN30" s="1015"/>
      <c r="BO30" s="1015"/>
      <c r="BP30" s="1015"/>
      <c r="BQ30" s="1015"/>
      <c r="BR30" s="2215"/>
      <c r="BS30" s="125"/>
      <c r="BT30" s="2195"/>
      <c r="BU30" s="1015"/>
      <c r="BV30" s="1015"/>
      <c r="BW30" s="1015"/>
      <c r="BX30" s="1015"/>
      <c r="BY30" s="1015"/>
      <c r="BZ30" s="2215"/>
      <c r="CA30" s="125"/>
      <c r="CB30" s="2195"/>
      <c r="CC30" s="1015"/>
      <c r="CD30" s="1015"/>
      <c r="CE30" s="1015"/>
      <c r="CF30" s="1015"/>
      <c r="CG30" s="1015"/>
      <c r="CH30" s="2215"/>
      <c r="CI30" s="125"/>
      <c r="CJ30" s="2195"/>
      <c r="CK30" s="1015"/>
      <c r="CL30" s="1015"/>
      <c r="CM30" s="1015"/>
      <c r="CN30" s="1015"/>
      <c r="CO30" s="1015"/>
      <c r="CP30" s="2215"/>
      <c r="CQ30" s="125"/>
      <c r="CR30" s="1015"/>
      <c r="CS30" s="1015"/>
      <c r="CT30" s="1015"/>
      <c r="CU30" s="1015" t="n">
        <f aca="false">CR30-CS30</f>
        <v>0</v>
      </c>
      <c r="CV30" s="1015" t="n">
        <f aca="false">CR30-CT30</f>
        <v>0</v>
      </c>
      <c r="CW30" s="1015"/>
      <c r="CX30" s="2193" t="str">
        <f aca="false">IFERROR(CR30/CW30-1, "-")</f>
        <v>-</v>
      </c>
      <c r="CY30" s="240"/>
      <c r="CZ30" s="1015"/>
      <c r="DA30" s="1015"/>
      <c r="DB30" s="1015"/>
      <c r="DC30" s="1015"/>
      <c r="DD30" s="1015"/>
      <c r="DE30" s="127" t="e">
        <f aca="false">+CZ30/DD30-1</f>
        <v>#DIV/0!</v>
      </c>
      <c r="DF30" s="127" t="e">
        <f aca="false">+DA30/DD30-1</f>
        <v>#DIV/0!</v>
      </c>
      <c r="DG30" s="127" t="e">
        <f aca="false">+DB30/DD30-1</f>
        <v>#DIV/0!</v>
      </c>
      <c r="DH30" s="127" t="e">
        <f aca="false">+DC30/DD30-1</f>
        <v>#DIV/0!</v>
      </c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N30" s="509"/>
      <c r="DO30" s="509"/>
      <c r="DP30" s="509"/>
      <c r="DQ30" s="509"/>
      <c r="DR30" s="509"/>
      <c r="DS30" s="509"/>
      <c r="DT30" s="509"/>
      <c r="DU30" s="509"/>
      <c r="DV30" s="509"/>
      <c r="DW30" s="509"/>
      <c r="DX30" s="107" t="n">
        <f aca="false">(CS30-CZ30)*10^6</f>
        <v>0</v>
      </c>
      <c r="DY30" s="107" t="n">
        <f aca="false">(CT30-DC30)*10^6</f>
        <v>0</v>
      </c>
      <c r="DZ30" s="107" t="n">
        <f aca="false">(CW30-DD30)*10^6</f>
        <v>0</v>
      </c>
      <c r="EA30" s="509"/>
    </row>
    <row r="31" customFormat="false" ht="13.5" hidden="false" customHeight="true" outlineLevel="0" collapsed="false">
      <c r="B31" s="1241"/>
      <c r="C31" s="2172"/>
      <c r="D31" s="426"/>
      <c r="E31" s="240"/>
      <c r="F31" s="240"/>
      <c r="G31" s="240"/>
      <c r="H31" s="146"/>
      <c r="I31" s="1195"/>
      <c r="J31" s="426"/>
      <c r="K31" s="240"/>
      <c r="L31" s="240"/>
      <c r="M31" s="240"/>
      <c r="N31" s="146"/>
      <c r="O31" s="146"/>
      <c r="P31" s="426"/>
      <c r="Q31" s="240"/>
      <c r="R31" s="240"/>
      <c r="S31" s="240"/>
      <c r="T31" s="146"/>
      <c r="U31" s="146"/>
      <c r="V31" s="426"/>
      <c r="W31" s="240"/>
      <c r="X31" s="240"/>
      <c r="Y31" s="240"/>
      <c r="Z31" s="240"/>
      <c r="AA31" s="240"/>
      <c r="AB31" s="146"/>
      <c r="AC31" s="2190"/>
      <c r="AD31" s="426"/>
      <c r="AE31" s="240"/>
      <c r="AF31" s="240"/>
      <c r="AG31" s="240"/>
      <c r="AH31" s="240"/>
      <c r="AI31" s="240"/>
      <c r="AJ31" s="146"/>
      <c r="AK31" s="148"/>
      <c r="AL31" s="426"/>
      <c r="AM31" s="240"/>
      <c r="AN31" s="240"/>
      <c r="AO31" s="240"/>
      <c r="AP31" s="1015"/>
      <c r="AQ31" s="1015"/>
      <c r="AR31" s="240"/>
      <c r="AS31" s="2192"/>
      <c r="AT31" s="148"/>
      <c r="AU31" s="426"/>
      <c r="AV31" s="240"/>
      <c r="AW31" s="240"/>
      <c r="AX31" s="1015"/>
      <c r="AY31" s="1015"/>
      <c r="AZ31" s="240"/>
      <c r="BA31" s="2192"/>
      <c r="BB31" s="148"/>
      <c r="BC31" s="426"/>
      <c r="BD31" s="240"/>
      <c r="BE31" s="240"/>
      <c r="BF31" s="1015"/>
      <c r="BG31" s="1015"/>
      <c r="BH31" s="240"/>
      <c r="BI31" s="2192"/>
      <c r="BJ31" s="148"/>
      <c r="BK31" s="426"/>
      <c r="BL31" s="240"/>
      <c r="BM31" s="240"/>
      <c r="BN31" s="240"/>
      <c r="BO31" s="1015"/>
      <c r="BP31" s="1015"/>
      <c r="BQ31" s="240"/>
      <c r="BR31" s="2192"/>
      <c r="BS31" s="148"/>
      <c r="BT31" s="426"/>
      <c r="BU31" s="240"/>
      <c r="BV31" s="240"/>
      <c r="BW31" s="1015"/>
      <c r="BX31" s="1015"/>
      <c r="BY31" s="240"/>
      <c r="BZ31" s="2192"/>
      <c r="CA31" s="148"/>
      <c r="CB31" s="426"/>
      <c r="CC31" s="240"/>
      <c r="CD31" s="240"/>
      <c r="CE31" s="1015"/>
      <c r="CF31" s="1015"/>
      <c r="CG31" s="240"/>
      <c r="CH31" s="2192"/>
      <c r="CI31" s="148"/>
      <c r="CJ31" s="426"/>
      <c r="CK31" s="240"/>
      <c r="CL31" s="240"/>
      <c r="CM31" s="1015"/>
      <c r="CN31" s="1015"/>
      <c r="CO31" s="240"/>
      <c r="CP31" s="2192"/>
      <c r="CQ31" s="148"/>
      <c r="CR31" s="240"/>
      <c r="CS31" s="240"/>
      <c r="CT31" s="240"/>
      <c r="CU31" s="240"/>
      <c r="CV31" s="240"/>
      <c r="CW31" s="240"/>
      <c r="CX31" s="2193" t="str">
        <f aca="false">IFERROR(CR31/CW31-1, "-")</f>
        <v>-</v>
      </c>
      <c r="CY31" s="240"/>
      <c r="CZ31" s="240"/>
      <c r="DA31" s="240"/>
      <c r="DB31" s="240"/>
      <c r="DC31" s="240"/>
      <c r="DD31" s="240"/>
      <c r="DE31" s="146"/>
      <c r="DF31" s="146"/>
      <c r="DG31" s="146"/>
      <c r="DH31" s="146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N31" s="509"/>
      <c r="DO31" s="509"/>
      <c r="DP31" s="509"/>
      <c r="DQ31" s="509"/>
      <c r="DR31" s="509"/>
      <c r="DS31" s="509"/>
      <c r="DT31" s="509"/>
      <c r="DU31" s="509"/>
      <c r="DV31" s="509"/>
      <c r="DW31" s="509"/>
      <c r="DX31" s="107" t="n">
        <f aca="false">(CS31-CZ31)*10^6</f>
        <v>0</v>
      </c>
      <c r="DY31" s="107" t="n">
        <f aca="false">(CT31-DC31)*10^6</f>
        <v>0</v>
      </c>
      <c r="DZ31" s="107" t="n">
        <f aca="false">(CW31-DD31)*10^6</f>
        <v>0</v>
      </c>
      <c r="EA31" s="509"/>
    </row>
    <row r="32" customFormat="false" ht="12.75" hidden="false" customHeight="false" outlineLevel="0" collapsed="false">
      <c r="B32" s="2194" t="s">
        <v>1212</v>
      </c>
      <c r="C32" s="2172" t="s">
        <v>1213</v>
      </c>
      <c r="D32" s="2195"/>
      <c r="E32" s="240"/>
      <c r="F32" s="1015"/>
      <c r="G32" s="1015"/>
      <c r="H32" s="127"/>
      <c r="I32" s="2196"/>
      <c r="J32" s="2195"/>
      <c r="K32" s="240"/>
      <c r="L32" s="1015"/>
      <c r="M32" s="1015"/>
      <c r="N32" s="127"/>
      <c r="O32" s="127"/>
      <c r="P32" s="2195"/>
      <c r="Q32" s="240"/>
      <c r="R32" s="1015"/>
      <c r="S32" s="1015"/>
      <c r="T32" s="127"/>
      <c r="U32" s="127"/>
      <c r="V32" s="2195"/>
      <c r="W32" s="240"/>
      <c r="X32" s="240"/>
      <c r="Y32" s="1015"/>
      <c r="Z32" s="1015"/>
      <c r="AA32" s="1015"/>
      <c r="AB32" s="127"/>
      <c r="AC32" s="2214"/>
      <c r="AD32" s="2195"/>
      <c r="AE32" s="240"/>
      <c r="AF32" s="240"/>
      <c r="AG32" s="1015"/>
      <c r="AH32" s="1015"/>
      <c r="AI32" s="1015"/>
      <c r="AJ32" s="127"/>
      <c r="AK32" s="125"/>
      <c r="AL32" s="2199"/>
      <c r="AM32" s="240"/>
      <c r="AN32" s="240"/>
      <c r="AO32" s="240"/>
      <c r="AP32" s="1015"/>
      <c r="AQ32" s="1015"/>
      <c r="AR32" s="240"/>
      <c r="AS32" s="2215"/>
      <c r="AT32" s="125"/>
      <c r="AU32" s="2195"/>
      <c r="AV32" s="1015"/>
      <c r="AW32" s="1015"/>
      <c r="AX32" s="1015"/>
      <c r="AY32" s="1015"/>
      <c r="AZ32" s="1015"/>
      <c r="BA32" s="2215"/>
      <c r="BB32" s="125"/>
      <c r="BC32" s="2195"/>
      <c r="BD32" s="1015"/>
      <c r="BE32" s="1015"/>
      <c r="BF32" s="1015"/>
      <c r="BG32" s="1015"/>
      <c r="BH32" s="1015"/>
      <c r="BI32" s="2215"/>
      <c r="BJ32" s="125"/>
      <c r="BK32" s="2216"/>
      <c r="BL32" s="1015"/>
      <c r="BM32" s="1015"/>
      <c r="BN32" s="1015"/>
      <c r="BO32" s="1015"/>
      <c r="BP32" s="1015"/>
      <c r="BQ32" s="1015"/>
      <c r="BR32" s="2215"/>
      <c r="BS32" s="125"/>
      <c r="BT32" s="2195"/>
      <c r="BU32" s="1015"/>
      <c r="BV32" s="1015"/>
      <c r="BW32" s="1015"/>
      <c r="BX32" s="1015"/>
      <c r="BY32" s="1015"/>
      <c r="BZ32" s="2215"/>
      <c r="CA32" s="125"/>
      <c r="CB32" s="2195"/>
      <c r="CC32" s="1015"/>
      <c r="CD32" s="1015"/>
      <c r="CE32" s="1015"/>
      <c r="CF32" s="1015"/>
      <c r="CG32" s="1015"/>
      <c r="CH32" s="2215"/>
      <c r="CI32" s="125"/>
      <c r="CJ32" s="2195"/>
      <c r="CK32" s="1015"/>
      <c r="CL32" s="1015"/>
      <c r="CM32" s="1015"/>
      <c r="CN32" s="1015"/>
      <c r="CO32" s="1015"/>
      <c r="CP32" s="2215"/>
      <c r="CQ32" s="125"/>
      <c r="CR32" s="1015"/>
      <c r="CS32" s="1015"/>
      <c r="CT32" s="1015"/>
      <c r="CU32" s="1015" t="n">
        <f aca="false">CR32-CS32</f>
        <v>0</v>
      </c>
      <c r="CV32" s="1015" t="n">
        <f aca="false">CR32-CT32</f>
        <v>0</v>
      </c>
      <c r="CW32" s="1015"/>
      <c r="CX32" s="2197" t="str">
        <f aca="false">IFERROR(CR32/CW32-1, "-")</f>
        <v>-</v>
      </c>
      <c r="CY32" s="240"/>
      <c r="CZ32" s="1015"/>
      <c r="DA32" s="1015"/>
      <c r="DB32" s="1015"/>
      <c r="DC32" s="1015"/>
      <c r="DD32" s="1015"/>
      <c r="DE32" s="127"/>
      <c r="DF32" s="127"/>
      <c r="DG32" s="127"/>
      <c r="DH32" s="127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N32" s="509"/>
      <c r="DO32" s="509"/>
      <c r="DP32" s="509"/>
      <c r="DQ32" s="509"/>
      <c r="DR32" s="509"/>
      <c r="DS32" s="509"/>
      <c r="DT32" s="509"/>
      <c r="DU32" s="509"/>
      <c r="DV32" s="509"/>
      <c r="DW32" s="509"/>
      <c r="DX32" s="107" t="n">
        <f aca="false">(CS32-CZ32)*10^6</f>
        <v>0</v>
      </c>
      <c r="DY32" s="107" t="n">
        <f aca="false">(CT32-DC32)*10^6</f>
        <v>0</v>
      </c>
      <c r="DZ32" s="107" t="n">
        <f aca="false">(CW32-DD32)*10^6</f>
        <v>0</v>
      </c>
      <c r="EA32" s="509"/>
    </row>
    <row r="33" customFormat="false" ht="14.25" hidden="false" customHeight="true" outlineLevel="0" collapsed="false">
      <c r="B33" s="1241" t="s">
        <v>1214</v>
      </c>
      <c r="C33" s="2172" t="s">
        <v>1215</v>
      </c>
      <c r="D33" s="2199"/>
      <c r="E33" s="240"/>
      <c r="F33" s="240"/>
      <c r="G33" s="240"/>
      <c r="H33" s="146"/>
      <c r="I33" s="1195"/>
      <c r="J33" s="2199"/>
      <c r="K33" s="240"/>
      <c r="L33" s="240"/>
      <c r="M33" s="240"/>
      <c r="N33" s="146"/>
      <c r="O33" s="146"/>
      <c r="P33" s="2199"/>
      <c r="Q33" s="240"/>
      <c r="R33" s="240"/>
      <c r="S33" s="240"/>
      <c r="T33" s="146"/>
      <c r="U33" s="146"/>
      <c r="V33" s="2199"/>
      <c r="W33" s="240"/>
      <c r="X33" s="240"/>
      <c r="Y33" s="240"/>
      <c r="Z33" s="240"/>
      <c r="AA33" s="240"/>
      <c r="AB33" s="146"/>
      <c r="AC33" s="2190"/>
      <c r="AD33" s="2199"/>
      <c r="AE33" s="240"/>
      <c r="AF33" s="240"/>
      <c r="AG33" s="240"/>
      <c r="AH33" s="240"/>
      <c r="AI33" s="240"/>
      <c r="AJ33" s="146"/>
      <c r="AK33" s="148"/>
      <c r="AL33" s="2199"/>
      <c r="AM33" s="240"/>
      <c r="AN33" s="240"/>
      <c r="AO33" s="240"/>
      <c r="AP33" s="240"/>
      <c r="AQ33" s="240"/>
      <c r="AR33" s="240"/>
      <c r="AS33" s="2192"/>
      <c r="AT33" s="148"/>
      <c r="AU33" s="2199"/>
      <c r="AV33" s="240"/>
      <c r="AW33" s="240"/>
      <c r="AX33" s="240"/>
      <c r="AY33" s="240"/>
      <c r="AZ33" s="240"/>
      <c r="BA33" s="2192"/>
      <c r="BB33" s="148"/>
      <c r="BC33" s="2199"/>
      <c r="BD33" s="240"/>
      <c r="BE33" s="240"/>
      <c r="BF33" s="240"/>
      <c r="BG33" s="240"/>
      <c r="BH33" s="240"/>
      <c r="BI33" s="2192"/>
      <c r="BJ33" s="148"/>
      <c r="BK33" s="2199"/>
      <c r="BL33" s="240"/>
      <c r="BM33" s="240"/>
      <c r="BN33" s="240"/>
      <c r="BO33" s="240"/>
      <c r="BP33" s="240"/>
      <c r="BQ33" s="240"/>
      <c r="BR33" s="2192"/>
      <c r="BS33" s="148"/>
      <c r="BT33" s="2199"/>
      <c r="BU33" s="240"/>
      <c r="BV33" s="240"/>
      <c r="BW33" s="240"/>
      <c r="BX33" s="240"/>
      <c r="BY33" s="240"/>
      <c r="BZ33" s="2192"/>
      <c r="CA33" s="148"/>
      <c r="CB33" s="2199"/>
      <c r="CC33" s="240"/>
      <c r="CD33" s="240"/>
      <c r="CE33" s="240"/>
      <c r="CF33" s="240"/>
      <c r="CG33" s="240"/>
      <c r="CH33" s="2192"/>
      <c r="CI33" s="148"/>
      <c r="CJ33" s="2199"/>
      <c r="CK33" s="240"/>
      <c r="CL33" s="240"/>
      <c r="CM33" s="240"/>
      <c r="CN33" s="240"/>
      <c r="CO33" s="240"/>
      <c r="CP33" s="2192"/>
      <c r="CQ33" s="148"/>
      <c r="CR33" s="240"/>
      <c r="CS33" s="240"/>
      <c r="CT33" s="240"/>
      <c r="CU33" s="240" t="n">
        <f aca="false">CR33-CS33</f>
        <v>0</v>
      </c>
      <c r="CV33" s="240" t="n">
        <f aca="false">CR33-CT33</f>
        <v>0</v>
      </c>
      <c r="CW33" s="240"/>
      <c r="CX33" s="2193" t="str">
        <f aca="false">IFERROR(CR33/CW33-1, "-")</f>
        <v>-</v>
      </c>
      <c r="CY33" s="240"/>
      <c r="CZ33" s="240"/>
      <c r="DA33" s="240"/>
      <c r="DB33" s="240"/>
      <c r="DC33" s="240"/>
      <c r="DD33" s="240"/>
      <c r="DE33" s="146" t="e">
        <f aca="false">+CZ33/DD33-1</f>
        <v>#DIV/0!</v>
      </c>
      <c r="DF33" s="146" t="e">
        <f aca="false">+DA33/DD33-1</f>
        <v>#DIV/0!</v>
      </c>
      <c r="DG33" s="146" t="e">
        <f aca="false">+DB33/DD33-1</f>
        <v>#DIV/0!</v>
      </c>
      <c r="DH33" s="146" t="e">
        <f aca="false">+DC33/DD33-1</f>
        <v>#DIV/0!</v>
      </c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N33" s="509"/>
      <c r="DO33" s="509"/>
      <c r="DP33" s="509"/>
      <c r="DQ33" s="509"/>
      <c r="DR33" s="509"/>
      <c r="DS33" s="509"/>
      <c r="DT33" s="509"/>
      <c r="DU33" s="509"/>
      <c r="DV33" s="509"/>
      <c r="DW33" s="509"/>
      <c r="DX33" s="107" t="n">
        <f aca="false">(CS33-CZ33)*10^6</f>
        <v>0</v>
      </c>
      <c r="DY33" s="107" t="n">
        <f aca="false">(CT33-DC33)*10^6</f>
        <v>0</v>
      </c>
      <c r="DZ33" s="107" t="n">
        <f aca="false">(CW33-DD33)*10^6</f>
        <v>0</v>
      </c>
      <c r="EA33" s="509"/>
    </row>
    <row r="34" customFormat="false" ht="5.25" hidden="false" customHeight="true" outlineLevel="0" collapsed="false">
      <c r="B34" s="1244"/>
      <c r="C34" s="2172"/>
      <c r="D34" s="550"/>
      <c r="E34" s="2202"/>
      <c r="F34" s="2202"/>
      <c r="G34" s="2202"/>
      <c r="H34" s="2203"/>
      <c r="I34" s="1195"/>
      <c r="J34" s="550"/>
      <c r="K34" s="2202"/>
      <c r="L34" s="2202"/>
      <c r="M34" s="2202"/>
      <c r="N34" s="2203"/>
      <c r="O34" s="2203"/>
      <c r="P34" s="550"/>
      <c r="Q34" s="2202"/>
      <c r="R34" s="2202"/>
      <c r="S34" s="2202"/>
      <c r="T34" s="2203"/>
      <c r="U34" s="2203"/>
      <c r="V34" s="550"/>
      <c r="W34" s="2202"/>
      <c r="X34" s="2202"/>
      <c r="Y34" s="2202"/>
      <c r="Z34" s="2202"/>
      <c r="AA34" s="2202"/>
      <c r="AB34" s="2203"/>
      <c r="AC34" s="2204"/>
      <c r="AD34" s="550"/>
      <c r="AE34" s="2202"/>
      <c r="AF34" s="2202"/>
      <c r="AG34" s="2202"/>
      <c r="AH34" s="2202"/>
      <c r="AI34" s="2202"/>
      <c r="AJ34" s="2203"/>
      <c r="AK34" s="2205"/>
      <c r="AL34" s="550"/>
      <c r="AM34" s="2202"/>
      <c r="AN34" s="2202"/>
      <c r="AO34" s="2202"/>
      <c r="AP34" s="2202"/>
      <c r="AQ34" s="2202"/>
      <c r="AR34" s="2202"/>
      <c r="AS34" s="2206"/>
      <c r="AT34" s="2205"/>
      <c r="AU34" s="550"/>
      <c r="AV34" s="2202"/>
      <c r="AW34" s="2202"/>
      <c r="AX34" s="2202"/>
      <c r="AY34" s="2202"/>
      <c r="AZ34" s="2202"/>
      <c r="BA34" s="2206"/>
      <c r="BB34" s="2205"/>
      <c r="BC34" s="550"/>
      <c r="BD34" s="2202"/>
      <c r="BE34" s="2202"/>
      <c r="BF34" s="2202"/>
      <c r="BG34" s="2202"/>
      <c r="BH34" s="2202"/>
      <c r="BI34" s="2206"/>
      <c r="BJ34" s="2205"/>
      <c r="BK34" s="550"/>
      <c r="BL34" s="2202"/>
      <c r="BM34" s="2202"/>
      <c r="BN34" s="2202"/>
      <c r="BO34" s="2202"/>
      <c r="BP34" s="2202"/>
      <c r="BQ34" s="2202"/>
      <c r="BR34" s="2206"/>
      <c r="BS34" s="2205"/>
      <c r="BT34" s="550"/>
      <c r="BU34" s="2202"/>
      <c r="BV34" s="2202"/>
      <c r="BW34" s="2202"/>
      <c r="BX34" s="2202"/>
      <c r="BY34" s="2202"/>
      <c r="BZ34" s="2206"/>
      <c r="CA34" s="2205"/>
      <c r="CB34" s="550"/>
      <c r="CC34" s="2202"/>
      <c r="CD34" s="2202"/>
      <c r="CE34" s="2202"/>
      <c r="CF34" s="2202"/>
      <c r="CG34" s="2202"/>
      <c r="CH34" s="2206"/>
      <c r="CI34" s="2205"/>
      <c r="CJ34" s="550"/>
      <c r="CK34" s="2202"/>
      <c r="CL34" s="2202"/>
      <c r="CM34" s="2202"/>
      <c r="CN34" s="2202"/>
      <c r="CO34" s="2202"/>
      <c r="CP34" s="2206"/>
      <c r="CQ34" s="148"/>
      <c r="CR34" s="2202"/>
      <c r="CS34" s="2202"/>
      <c r="CT34" s="2202"/>
      <c r="CU34" s="2202"/>
      <c r="CV34" s="2202"/>
      <c r="CW34" s="2202"/>
      <c r="CX34" s="2207" t="str">
        <f aca="false">IFERROR(CR34/CW34-1, "-")</f>
        <v>-</v>
      </c>
      <c r="CY34" s="240"/>
      <c r="CZ34" s="2202"/>
      <c r="DA34" s="2202"/>
      <c r="DB34" s="2202"/>
      <c r="DC34" s="2202"/>
      <c r="DD34" s="2202"/>
      <c r="DE34" s="2203"/>
      <c r="DF34" s="2203"/>
      <c r="DG34" s="2203"/>
      <c r="DH34" s="2203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N34" s="509"/>
      <c r="DO34" s="509"/>
      <c r="DP34" s="509"/>
      <c r="DQ34" s="509"/>
      <c r="DR34" s="509"/>
      <c r="DS34" s="509"/>
      <c r="DT34" s="509"/>
      <c r="DU34" s="509"/>
      <c r="DV34" s="509"/>
      <c r="DW34" s="509"/>
      <c r="DX34" s="107" t="n">
        <f aca="false">(CS34-CZ34)*10^6</f>
        <v>0</v>
      </c>
      <c r="DY34" s="107" t="n">
        <f aca="false">(CT34-DC34)*10^6</f>
        <v>0</v>
      </c>
      <c r="DZ34" s="107" t="n">
        <f aca="false">(CW34-DD34)*10^6</f>
        <v>0</v>
      </c>
      <c r="EA34" s="509"/>
    </row>
    <row r="35" customFormat="false" ht="18.75" hidden="false" customHeight="true" outlineLevel="0" collapsed="false">
      <c r="B35" s="2171" t="s">
        <v>1216</v>
      </c>
      <c r="C35" s="2172" t="s">
        <v>1217</v>
      </c>
      <c r="D35" s="2209"/>
      <c r="E35" s="2173"/>
      <c r="F35" s="2173"/>
      <c r="G35" s="2173"/>
      <c r="H35" s="109"/>
      <c r="I35" s="2175"/>
      <c r="J35" s="2209"/>
      <c r="K35" s="2173"/>
      <c r="L35" s="2173"/>
      <c r="M35" s="2173"/>
      <c r="N35" s="109"/>
      <c r="O35" s="109"/>
      <c r="P35" s="2209"/>
      <c r="Q35" s="2173"/>
      <c r="R35" s="2173"/>
      <c r="S35" s="2173"/>
      <c r="T35" s="109"/>
      <c r="U35" s="109"/>
      <c r="V35" s="2209"/>
      <c r="W35" s="2173"/>
      <c r="X35" s="2173"/>
      <c r="Y35" s="2173"/>
      <c r="Z35" s="2173"/>
      <c r="AA35" s="2173"/>
      <c r="AB35" s="109"/>
      <c r="AC35" s="2176"/>
      <c r="AD35" s="2209"/>
      <c r="AE35" s="2173"/>
      <c r="AF35" s="2173"/>
      <c r="AG35" s="2173"/>
      <c r="AH35" s="2173"/>
      <c r="AI35" s="2173"/>
      <c r="AJ35" s="109"/>
      <c r="AK35" s="111"/>
      <c r="AL35" s="2209"/>
      <c r="AM35" s="2173"/>
      <c r="AN35" s="2173"/>
      <c r="AO35" s="2173"/>
      <c r="AP35" s="2173"/>
      <c r="AQ35" s="2173"/>
      <c r="AR35" s="2173"/>
      <c r="AS35" s="2217"/>
      <c r="AT35" s="111"/>
      <c r="AU35" s="2209"/>
      <c r="AV35" s="2173"/>
      <c r="AW35" s="2173"/>
      <c r="AX35" s="2173"/>
      <c r="AY35" s="2173"/>
      <c r="AZ35" s="2173"/>
      <c r="BA35" s="2210"/>
      <c r="BB35" s="111"/>
      <c r="BC35" s="2209"/>
      <c r="BD35" s="2173"/>
      <c r="BE35" s="2173"/>
      <c r="BF35" s="2173"/>
      <c r="BG35" s="2173"/>
      <c r="BH35" s="2173"/>
      <c r="BI35" s="2210"/>
      <c r="BJ35" s="111"/>
      <c r="BK35" s="2209"/>
      <c r="BL35" s="2173"/>
      <c r="BM35" s="2173"/>
      <c r="BN35" s="2173"/>
      <c r="BO35" s="2173"/>
      <c r="BP35" s="2173"/>
      <c r="BQ35" s="2173"/>
      <c r="BR35" s="2210"/>
      <c r="BS35" s="111"/>
      <c r="BT35" s="2209"/>
      <c r="BU35" s="2173"/>
      <c r="BV35" s="2173"/>
      <c r="BW35" s="2173"/>
      <c r="BX35" s="2173"/>
      <c r="BY35" s="2173"/>
      <c r="BZ35" s="2210"/>
      <c r="CA35" s="111"/>
      <c r="CB35" s="2209"/>
      <c r="CC35" s="2173"/>
      <c r="CD35" s="2173"/>
      <c r="CE35" s="2173"/>
      <c r="CF35" s="2173"/>
      <c r="CG35" s="2173"/>
      <c r="CH35" s="2210"/>
      <c r="CI35" s="111"/>
      <c r="CJ35" s="2209"/>
      <c r="CK35" s="2173"/>
      <c r="CL35" s="2173"/>
      <c r="CM35" s="2173"/>
      <c r="CN35" s="2173"/>
      <c r="CO35" s="2173"/>
      <c r="CP35" s="2210"/>
      <c r="CQ35" s="112"/>
      <c r="CR35" s="2173"/>
      <c r="CS35" s="2173"/>
      <c r="CT35" s="2173"/>
      <c r="CU35" s="2173" t="n">
        <f aca="false">CR35-CS35</f>
        <v>0</v>
      </c>
      <c r="CV35" s="2173" t="n">
        <f aca="false">CR35-CT35</f>
        <v>0</v>
      </c>
      <c r="CW35" s="2173"/>
      <c r="CX35" s="2182" t="str">
        <f aca="false">IFERROR(CR35/CW35-1, "-")</f>
        <v>-</v>
      </c>
      <c r="CY35" s="240"/>
      <c r="CZ35" s="2173"/>
      <c r="DA35" s="2173"/>
      <c r="DB35" s="2173"/>
      <c r="DC35" s="2173"/>
      <c r="DD35" s="2173"/>
      <c r="DE35" s="109" t="e">
        <f aca="false">+CZ35/DD35-1</f>
        <v>#DIV/0!</v>
      </c>
      <c r="DF35" s="109" t="e">
        <f aca="false">+DA35/DD35-1</f>
        <v>#DIV/0!</v>
      </c>
      <c r="DG35" s="109" t="e">
        <f aca="false">+DB35/DD35-1</f>
        <v>#DIV/0!</v>
      </c>
      <c r="DH35" s="109" t="e">
        <f aca="false">+DC35/DD35-1</f>
        <v>#DIV/0!</v>
      </c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N35" s="509"/>
      <c r="DO35" s="509"/>
      <c r="DP35" s="509"/>
      <c r="DQ35" s="509"/>
      <c r="DR35" s="509"/>
      <c r="DS35" s="509"/>
      <c r="DT35" s="509"/>
      <c r="DU35" s="509"/>
      <c r="DV35" s="509"/>
      <c r="DW35" s="509"/>
      <c r="DX35" s="107" t="n">
        <f aca="false">(CS35-CZ35)*10^6</f>
        <v>0</v>
      </c>
      <c r="DY35" s="107" t="n">
        <f aca="false">(CT35-DC35)*10^6</f>
        <v>0</v>
      </c>
      <c r="DZ35" s="107" t="n">
        <f aca="false">(CW35-DD35)*10^6</f>
        <v>0</v>
      </c>
      <c r="EA35" s="509"/>
    </row>
    <row r="36" customFormat="false" ht="3.75" hidden="false" customHeight="true" outlineLevel="0" collapsed="false">
      <c r="B36" s="1238"/>
      <c r="C36" s="2172" t="s">
        <v>1218</v>
      </c>
      <c r="D36" s="560"/>
      <c r="E36" s="2183"/>
      <c r="F36" s="2183"/>
      <c r="G36" s="2183"/>
      <c r="H36" s="2184"/>
      <c r="I36" s="1195"/>
      <c r="J36" s="560"/>
      <c r="K36" s="2183"/>
      <c r="L36" s="2183"/>
      <c r="M36" s="2183"/>
      <c r="N36" s="2184"/>
      <c r="O36" s="2184"/>
      <c r="P36" s="560"/>
      <c r="Q36" s="2183"/>
      <c r="R36" s="2183"/>
      <c r="S36" s="2183"/>
      <c r="T36" s="2184"/>
      <c r="U36" s="2184"/>
      <c r="V36" s="560"/>
      <c r="W36" s="2183"/>
      <c r="X36" s="2183"/>
      <c r="Y36" s="2183"/>
      <c r="Z36" s="2183"/>
      <c r="AA36" s="2183"/>
      <c r="AB36" s="2184"/>
      <c r="AC36" s="2185"/>
      <c r="AD36" s="560"/>
      <c r="AE36" s="2183"/>
      <c r="AF36" s="2183"/>
      <c r="AG36" s="2183"/>
      <c r="AH36" s="2183"/>
      <c r="AI36" s="2183"/>
      <c r="AJ36" s="2184"/>
      <c r="AK36" s="2186"/>
      <c r="AL36" s="560"/>
      <c r="AM36" s="2183"/>
      <c r="AN36" s="2183"/>
      <c r="AO36" s="2183"/>
      <c r="AP36" s="2183"/>
      <c r="AQ36" s="2183"/>
      <c r="AR36" s="2183"/>
      <c r="AS36" s="2187"/>
      <c r="AT36" s="2186"/>
      <c r="AU36" s="560"/>
      <c r="AV36" s="2183"/>
      <c r="AW36" s="2183"/>
      <c r="AX36" s="2183"/>
      <c r="AY36" s="2183"/>
      <c r="AZ36" s="2183"/>
      <c r="BA36" s="2187"/>
      <c r="BB36" s="2186"/>
      <c r="BC36" s="560"/>
      <c r="BD36" s="2183"/>
      <c r="BE36" s="2183"/>
      <c r="BF36" s="2183"/>
      <c r="BG36" s="2183"/>
      <c r="BH36" s="2183"/>
      <c r="BI36" s="2187"/>
      <c r="BJ36" s="2186"/>
      <c r="BK36" s="560"/>
      <c r="BL36" s="2183"/>
      <c r="BM36" s="2183"/>
      <c r="BN36" s="2183"/>
      <c r="BO36" s="2183"/>
      <c r="BP36" s="2183"/>
      <c r="BQ36" s="2183"/>
      <c r="BR36" s="2187"/>
      <c r="BS36" s="2186"/>
      <c r="BT36" s="560"/>
      <c r="BU36" s="2183"/>
      <c r="BV36" s="2183"/>
      <c r="BW36" s="2183"/>
      <c r="BX36" s="2183"/>
      <c r="BY36" s="2183"/>
      <c r="BZ36" s="2187"/>
      <c r="CA36" s="2186"/>
      <c r="CB36" s="560"/>
      <c r="CC36" s="2183"/>
      <c r="CD36" s="2183"/>
      <c r="CE36" s="2183"/>
      <c r="CF36" s="2183"/>
      <c r="CG36" s="2183"/>
      <c r="CH36" s="2187"/>
      <c r="CI36" s="2186"/>
      <c r="CJ36" s="560"/>
      <c r="CK36" s="2183"/>
      <c r="CL36" s="2183"/>
      <c r="CM36" s="2183"/>
      <c r="CN36" s="2183"/>
      <c r="CO36" s="2183"/>
      <c r="CP36" s="2187"/>
      <c r="CQ36" s="148"/>
      <c r="CR36" s="2183"/>
      <c r="CS36" s="2183"/>
      <c r="CT36" s="2183"/>
      <c r="CU36" s="2183"/>
      <c r="CV36" s="2183"/>
      <c r="CW36" s="2183"/>
      <c r="CX36" s="2188" t="str">
        <f aca="false">IFERROR(CR36/CW36-1, "-")</f>
        <v>-</v>
      </c>
      <c r="CY36" s="240"/>
      <c r="CZ36" s="2183"/>
      <c r="DA36" s="2183"/>
      <c r="DB36" s="2183"/>
      <c r="DC36" s="2183"/>
      <c r="DD36" s="2183"/>
      <c r="DE36" s="2184"/>
      <c r="DF36" s="2184"/>
      <c r="DG36" s="2184"/>
      <c r="DH36" s="2184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N36" s="509"/>
      <c r="DO36" s="509"/>
      <c r="DP36" s="509"/>
      <c r="DQ36" s="509"/>
      <c r="DR36" s="509"/>
      <c r="DS36" s="509"/>
      <c r="DT36" s="509"/>
      <c r="DU36" s="509"/>
      <c r="DV36" s="509"/>
      <c r="DW36" s="509"/>
      <c r="DX36" s="107" t="n">
        <f aca="false">(CS36-CZ36)*10^6</f>
        <v>0</v>
      </c>
      <c r="DY36" s="107" t="n">
        <f aca="false">(CT36-DC36)*10^6</f>
        <v>0</v>
      </c>
      <c r="DZ36" s="107" t="n">
        <f aca="false">(CW36-DD36)*10^6</f>
        <v>0</v>
      </c>
      <c r="EA36" s="509"/>
    </row>
    <row r="37" customFormat="false" ht="12.75" hidden="false" customHeight="false" outlineLevel="0" collapsed="false">
      <c r="B37" s="1241" t="s">
        <v>1219</v>
      </c>
      <c r="C37" s="2172" t="s">
        <v>1220</v>
      </c>
      <c r="D37" s="2189"/>
      <c r="E37" s="240"/>
      <c r="F37" s="240"/>
      <c r="G37" s="240"/>
      <c r="H37" s="146"/>
      <c r="I37" s="1195"/>
      <c r="J37" s="2189"/>
      <c r="K37" s="240"/>
      <c r="L37" s="240"/>
      <c r="M37" s="240"/>
      <c r="N37" s="146"/>
      <c r="O37" s="146"/>
      <c r="P37" s="2189"/>
      <c r="Q37" s="240"/>
      <c r="R37" s="240"/>
      <c r="S37" s="240"/>
      <c r="T37" s="146"/>
      <c r="U37" s="146"/>
      <c r="V37" s="2189"/>
      <c r="W37" s="240"/>
      <c r="X37" s="240"/>
      <c r="Y37" s="240"/>
      <c r="Z37" s="240"/>
      <c r="AA37" s="240"/>
      <c r="AB37" s="146"/>
      <c r="AC37" s="2190"/>
      <c r="AD37" s="2189"/>
      <c r="AE37" s="240"/>
      <c r="AF37" s="240"/>
      <c r="AG37" s="240"/>
      <c r="AH37" s="240"/>
      <c r="AI37" s="240"/>
      <c r="AJ37" s="146"/>
      <c r="AK37" s="148"/>
      <c r="AL37" s="2189"/>
      <c r="AM37" s="240"/>
      <c r="AN37" s="240"/>
      <c r="AO37" s="240"/>
      <c r="AP37" s="240"/>
      <c r="AQ37" s="240"/>
      <c r="AR37" s="240"/>
      <c r="AS37" s="2192"/>
      <c r="AT37" s="148"/>
      <c r="AU37" s="2189"/>
      <c r="AV37" s="240"/>
      <c r="AW37" s="240"/>
      <c r="AX37" s="240"/>
      <c r="AY37" s="240"/>
      <c r="AZ37" s="240"/>
      <c r="BA37" s="2192"/>
      <c r="BB37" s="148"/>
      <c r="BC37" s="2189"/>
      <c r="BD37" s="240"/>
      <c r="BE37" s="240"/>
      <c r="BF37" s="240"/>
      <c r="BG37" s="240"/>
      <c r="BH37" s="240"/>
      <c r="BI37" s="2192"/>
      <c r="BJ37" s="148"/>
      <c r="BK37" s="2189"/>
      <c r="BL37" s="240"/>
      <c r="BM37" s="240"/>
      <c r="BN37" s="240"/>
      <c r="BO37" s="240"/>
      <c r="BP37" s="240"/>
      <c r="BQ37" s="240"/>
      <c r="BR37" s="2192"/>
      <c r="BS37" s="148"/>
      <c r="BT37" s="2189"/>
      <c r="BU37" s="240"/>
      <c r="BV37" s="240"/>
      <c r="BW37" s="240"/>
      <c r="BX37" s="240"/>
      <c r="BY37" s="240"/>
      <c r="BZ37" s="2192"/>
      <c r="CA37" s="148"/>
      <c r="CB37" s="2189"/>
      <c r="CC37" s="240"/>
      <c r="CD37" s="240"/>
      <c r="CE37" s="240"/>
      <c r="CF37" s="240"/>
      <c r="CG37" s="240"/>
      <c r="CH37" s="2192"/>
      <c r="CI37" s="148"/>
      <c r="CJ37" s="2189"/>
      <c r="CK37" s="240"/>
      <c r="CL37" s="240"/>
      <c r="CM37" s="240"/>
      <c r="CN37" s="240"/>
      <c r="CO37" s="240"/>
      <c r="CP37" s="2192"/>
      <c r="CQ37" s="148"/>
      <c r="CR37" s="240"/>
      <c r="CS37" s="240"/>
      <c r="CT37" s="240"/>
      <c r="CU37" s="240" t="n">
        <f aca="false">CR37-CS37</f>
        <v>0</v>
      </c>
      <c r="CV37" s="240" t="n">
        <f aca="false">CR37-CT37</f>
        <v>0</v>
      </c>
      <c r="CW37" s="240"/>
      <c r="CX37" s="2193" t="str">
        <f aca="false">IFERROR(CR37/CW37-1, "-")</f>
        <v>-</v>
      </c>
      <c r="CY37" s="240"/>
      <c r="CZ37" s="240"/>
      <c r="DA37" s="240"/>
      <c r="DB37" s="240"/>
      <c r="DC37" s="240"/>
      <c r="DD37" s="240"/>
      <c r="DE37" s="146" t="e">
        <f aca="false">+CZ37/DD37-1</f>
        <v>#DIV/0!</v>
      </c>
      <c r="DF37" s="146" t="e">
        <f aca="false">+DA37/DD37-1</f>
        <v>#DIV/0!</v>
      </c>
      <c r="DG37" s="146" t="e">
        <f aca="false">+DB37/DD37-1</f>
        <v>#DIV/0!</v>
      </c>
      <c r="DH37" s="146" t="e">
        <f aca="false">+DC37/DD37-1</f>
        <v>#DIV/0!</v>
      </c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N37" s="509"/>
      <c r="DO37" s="509"/>
      <c r="DP37" s="509"/>
      <c r="DQ37" s="509"/>
      <c r="DR37" s="509"/>
      <c r="DS37" s="509"/>
      <c r="DT37" s="509"/>
      <c r="DU37" s="509"/>
      <c r="DV37" s="509"/>
      <c r="DW37" s="509"/>
      <c r="DX37" s="107" t="n">
        <f aca="false">(CS37-CZ37)*10^6</f>
        <v>0</v>
      </c>
      <c r="DY37" s="107" t="n">
        <f aca="false">(CT37-DC37)*10^6</f>
        <v>0</v>
      </c>
      <c r="DZ37" s="107" t="n">
        <f aca="false">(CW37-DD37)*10^6</f>
        <v>0</v>
      </c>
      <c r="EA37" s="509"/>
    </row>
    <row r="38" customFormat="false" ht="12.75" hidden="false" customHeight="false" outlineLevel="0" collapsed="false">
      <c r="B38" s="1244" t="s">
        <v>1221</v>
      </c>
      <c r="C38" s="2172" t="s">
        <v>1222</v>
      </c>
      <c r="D38" s="2218"/>
      <c r="E38" s="2202"/>
      <c r="F38" s="2202"/>
      <c r="G38" s="2202"/>
      <c r="H38" s="2203"/>
      <c r="I38" s="1195"/>
      <c r="J38" s="2218"/>
      <c r="K38" s="2202"/>
      <c r="L38" s="2202"/>
      <c r="M38" s="2202"/>
      <c r="N38" s="2203"/>
      <c r="O38" s="2203"/>
      <c r="P38" s="2218"/>
      <c r="Q38" s="2202"/>
      <c r="R38" s="2202"/>
      <c r="S38" s="2202"/>
      <c r="T38" s="2203"/>
      <c r="U38" s="2203"/>
      <c r="V38" s="2218"/>
      <c r="W38" s="2202"/>
      <c r="X38" s="2202"/>
      <c r="Y38" s="2202"/>
      <c r="Z38" s="2202"/>
      <c r="AA38" s="2202"/>
      <c r="AB38" s="2203"/>
      <c r="AC38" s="2204"/>
      <c r="AD38" s="2218"/>
      <c r="AE38" s="2202"/>
      <c r="AF38" s="2219"/>
      <c r="AG38" s="2202"/>
      <c r="AH38" s="2202"/>
      <c r="AI38" s="2202"/>
      <c r="AJ38" s="2203"/>
      <c r="AK38" s="2205"/>
      <c r="AL38" s="2218"/>
      <c r="AM38" s="2202"/>
      <c r="AN38" s="2202"/>
      <c r="AO38" s="2202"/>
      <c r="AP38" s="2202"/>
      <c r="AQ38" s="2202"/>
      <c r="AR38" s="2202"/>
      <c r="AS38" s="2206"/>
      <c r="AT38" s="2205"/>
      <c r="AU38" s="2218"/>
      <c r="AV38" s="2202"/>
      <c r="AW38" s="2202"/>
      <c r="AX38" s="2202"/>
      <c r="AY38" s="2202"/>
      <c r="AZ38" s="2202"/>
      <c r="BA38" s="2206"/>
      <c r="BB38" s="2205"/>
      <c r="BC38" s="2218"/>
      <c r="BD38" s="2202"/>
      <c r="BE38" s="2202"/>
      <c r="BF38" s="2202"/>
      <c r="BG38" s="2202"/>
      <c r="BH38" s="2202"/>
      <c r="BI38" s="2206"/>
      <c r="BJ38" s="2205"/>
      <c r="BK38" s="2218"/>
      <c r="BL38" s="2202"/>
      <c r="BM38" s="2202"/>
      <c r="BN38" s="2202"/>
      <c r="BO38" s="2202"/>
      <c r="BP38" s="2202"/>
      <c r="BQ38" s="2202"/>
      <c r="BR38" s="2206"/>
      <c r="BS38" s="2205"/>
      <c r="BT38" s="2218"/>
      <c r="BU38" s="2202"/>
      <c r="BV38" s="2202"/>
      <c r="BW38" s="2202"/>
      <c r="BX38" s="2202"/>
      <c r="BY38" s="2202"/>
      <c r="BZ38" s="2206"/>
      <c r="CA38" s="2205"/>
      <c r="CB38" s="2218"/>
      <c r="CC38" s="2202"/>
      <c r="CD38" s="2202"/>
      <c r="CE38" s="2202"/>
      <c r="CF38" s="2202"/>
      <c r="CG38" s="2202"/>
      <c r="CH38" s="2206"/>
      <c r="CI38" s="2205"/>
      <c r="CJ38" s="2218"/>
      <c r="CK38" s="2202"/>
      <c r="CL38" s="2202"/>
      <c r="CM38" s="2202"/>
      <c r="CN38" s="2202"/>
      <c r="CO38" s="2202"/>
      <c r="CP38" s="2206"/>
      <c r="CQ38" s="148"/>
      <c r="CR38" s="240"/>
      <c r="CS38" s="240"/>
      <c r="CT38" s="240"/>
      <c r="CU38" s="2202" t="n">
        <f aca="false">CR38-CS38</f>
        <v>0</v>
      </c>
      <c r="CV38" s="2202" t="n">
        <f aca="false">CR38-CT38</f>
        <v>0</v>
      </c>
      <c r="CW38" s="240"/>
      <c r="CX38" s="2207" t="str">
        <f aca="false">IFERROR(CR38/CW38-1, "-")</f>
        <v>-</v>
      </c>
      <c r="CY38" s="240"/>
      <c r="CZ38" s="2202"/>
      <c r="DA38" s="240"/>
      <c r="DB38" s="2202"/>
      <c r="DC38" s="2202"/>
      <c r="DD38" s="2202"/>
      <c r="DE38" s="146" t="e">
        <f aca="false">+CZ38/DD38-1</f>
        <v>#DIV/0!</v>
      </c>
      <c r="DF38" s="146" t="e">
        <f aca="false">+DA38/DD38-1</f>
        <v>#DIV/0!</v>
      </c>
      <c r="DG38" s="146" t="e">
        <f aca="false">+DB38/DD38-1</f>
        <v>#DIV/0!</v>
      </c>
      <c r="DH38" s="146" t="e">
        <f aca="false">+DC38/DD38-1</f>
        <v>#DIV/0!</v>
      </c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N38" s="509"/>
      <c r="DO38" s="509"/>
      <c r="DP38" s="509"/>
      <c r="DQ38" s="509"/>
      <c r="DR38" s="509"/>
      <c r="DS38" s="509"/>
      <c r="DT38" s="509"/>
      <c r="DU38" s="509"/>
      <c r="DV38" s="509"/>
      <c r="DW38" s="509"/>
      <c r="DX38" s="107" t="n">
        <f aca="false">(CS38-CZ38)*10^6</f>
        <v>0</v>
      </c>
      <c r="DY38" s="107" t="n">
        <f aca="false">(CT38-DC38)*10^6</f>
        <v>0</v>
      </c>
      <c r="DZ38" s="107" t="n">
        <f aca="false">(CW38-DD38)*10^6</f>
        <v>0</v>
      </c>
      <c r="EA38" s="509"/>
    </row>
    <row r="39" customFormat="false" ht="18.75" hidden="false" customHeight="true" outlineLevel="0" collapsed="false">
      <c r="B39" s="2171" t="s">
        <v>1223</v>
      </c>
      <c r="C39" s="2172" t="s">
        <v>1224</v>
      </c>
      <c r="D39" s="2220"/>
      <c r="E39" s="2221"/>
      <c r="F39" s="2221"/>
      <c r="G39" s="2221"/>
      <c r="H39" s="2222"/>
      <c r="I39" s="2223"/>
      <c r="J39" s="2220"/>
      <c r="K39" s="2221"/>
      <c r="L39" s="2221"/>
      <c r="M39" s="2221"/>
      <c r="N39" s="2222"/>
      <c r="O39" s="109"/>
      <c r="P39" s="2220"/>
      <c r="Q39" s="2221"/>
      <c r="R39" s="2221"/>
      <c r="S39" s="2221"/>
      <c r="T39" s="2222"/>
      <c r="U39" s="109"/>
      <c r="V39" s="2220"/>
      <c r="W39" s="2221"/>
      <c r="X39" s="2221"/>
      <c r="Y39" s="2221"/>
      <c r="Z39" s="2221"/>
      <c r="AA39" s="2221"/>
      <c r="AB39" s="2222"/>
      <c r="AC39" s="2176"/>
      <c r="AD39" s="2220"/>
      <c r="AE39" s="2221"/>
      <c r="AF39" s="2221"/>
      <c r="AG39" s="2221"/>
      <c r="AH39" s="2221"/>
      <c r="AI39" s="2221"/>
      <c r="AJ39" s="2222"/>
      <c r="AK39" s="2224"/>
      <c r="AL39" s="2220"/>
      <c r="AM39" s="2221"/>
      <c r="AN39" s="2221"/>
      <c r="AO39" s="2221"/>
      <c r="AP39" s="2221"/>
      <c r="AQ39" s="2221"/>
      <c r="AR39" s="2221"/>
      <c r="AS39" s="2222"/>
      <c r="AT39" s="2224"/>
      <c r="AU39" s="2220"/>
      <c r="AV39" s="2221"/>
      <c r="AW39" s="2221"/>
      <c r="AX39" s="2221"/>
      <c r="AY39" s="2221"/>
      <c r="AZ39" s="2221"/>
      <c r="BA39" s="2222"/>
      <c r="BB39" s="2225"/>
      <c r="BC39" s="2220"/>
      <c r="BD39" s="2221"/>
      <c r="BE39" s="2221"/>
      <c r="BF39" s="2221"/>
      <c r="BG39" s="2221"/>
      <c r="BH39" s="2221"/>
      <c r="BI39" s="2222"/>
      <c r="BJ39" s="2224"/>
      <c r="BK39" s="2220"/>
      <c r="BL39" s="2221"/>
      <c r="BM39" s="2221"/>
      <c r="BN39" s="2221"/>
      <c r="BO39" s="2221"/>
      <c r="BP39" s="2221"/>
      <c r="BQ39" s="2221"/>
      <c r="BR39" s="2222"/>
      <c r="BS39" s="2224"/>
      <c r="BT39" s="2220"/>
      <c r="BU39" s="2221"/>
      <c r="BV39" s="2221"/>
      <c r="BW39" s="2221"/>
      <c r="BX39" s="2221"/>
      <c r="BY39" s="2221"/>
      <c r="BZ39" s="2222"/>
      <c r="CA39" s="2224"/>
      <c r="CB39" s="2220"/>
      <c r="CC39" s="2221"/>
      <c r="CD39" s="2221"/>
      <c r="CE39" s="2221"/>
      <c r="CF39" s="2221"/>
      <c r="CG39" s="2221"/>
      <c r="CH39" s="2222"/>
      <c r="CI39" s="2224"/>
      <c r="CJ39" s="2226"/>
      <c r="CK39" s="2221"/>
      <c r="CL39" s="2221"/>
      <c r="CM39" s="2221"/>
      <c r="CN39" s="2221"/>
      <c r="CO39" s="2221"/>
      <c r="CP39" s="2222"/>
      <c r="CQ39" s="2227"/>
      <c r="CR39" s="2173"/>
      <c r="CS39" s="2173"/>
      <c r="CT39" s="2173"/>
      <c r="CU39" s="2173" t="n">
        <f aca="false">CR39-CS39</f>
        <v>0</v>
      </c>
      <c r="CV39" s="2173" t="n">
        <f aca="false">CR39-CT39</f>
        <v>0</v>
      </c>
      <c r="CW39" s="2173"/>
      <c r="CX39" s="2182" t="str">
        <f aca="false">IFERROR(CR39/CW39-1, "-")</f>
        <v>-</v>
      </c>
      <c r="CY39" s="240"/>
      <c r="CZ39" s="2221"/>
      <c r="DA39" s="2221"/>
      <c r="DB39" s="2221"/>
      <c r="DC39" s="2221"/>
      <c r="DD39" s="2221"/>
      <c r="DE39" s="2228" t="e">
        <f aca="false">+CZ39/DD39-1</f>
        <v>#DIV/0!</v>
      </c>
      <c r="DF39" s="2228" t="e">
        <f aca="false">+DA39/DD39-1</f>
        <v>#DIV/0!</v>
      </c>
      <c r="DG39" s="2228" t="e">
        <f aca="false">+DB39/DD39-1</f>
        <v>#DIV/0!</v>
      </c>
      <c r="DH39" s="2228" t="e">
        <f aca="false">+DC39/DD39-1</f>
        <v>#DIV/0!</v>
      </c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N39" s="509"/>
      <c r="DO39" s="509"/>
      <c r="DP39" s="509"/>
      <c r="DQ39" s="509"/>
      <c r="DR39" s="509"/>
      <c r="DS39" s="509"/>
      <c r="DT39" s="509"/>
      <c r="DU39" s="509"/>
      <c r="DV39" s="509"/>
      <c r="DW39" s="509"/>
      <c r="DX39" s="107" t="n">
        <f aca="false">(CS39-CZ39)*10^6</f>
        <v>0</v>
      </c>
      <c r="DY39" s="107" t="n">
        <f aca="false">(CT39-DC39)*10^6</f>
        <v>0</v>
      </c>
      <c r="DZ39" s="107" t="n">
        <f aca="false">(CW39-DD39)*10^6</f>
        <v>0</v>
      </c>
      <c r="EA39" s="509"/>
    </row>
    <row r="40" customFormat="false" ht="6.75" hidden="false" customHeight="true" outlineLevel="0" collapsed="false">
      <c r="J40" s="2229"/>
      <c r="K40" s="2229"/>
      <c r="L40" s="2229"/>
      <c r="M40" s="2229"/>
      <c r="N40" s="2229"/>
      <c r="O40" s="2229"/>
      <c r="P40" s="2229"/>
      <c r="Q40" s="2229"/>
      <c r="R40" s="2229"/>
      <c r="S40" s="2229"/>
      <c r="T40" s="2229"/>
      <c r="U40" s="2229"/>
      <c r="V40" s="2229"/>
      <c r="W40" s="2229"/>
      <c r="X40" s="2229"/>
      <c r="Y40" s="2229"/>
      <c r="Z40" s="2229"/>
      <c r="AA40" s="2229"/>
      <c r="AB40" s="2229"/>
      <c r="AC40" s="2229"/>
      <c r="AD40" s="2229"/>
      <c r="AE40" s="2229"/>
      <c r="AF40" s="2229"/>
      <c r="AG40" s="2229"/>
      <c r="AH40" s="2229"/>
      <c r="AI40" s="2229"/>
      <c r="AJ40" s="2229"/>
      <c r="AK40" s="2229"/>
      <c r="AL40" s="2229"/>
      <c r="AM40" s="2229"/>
      <c r="AN40" s="2229"/>
      <c r="AO40" s="2229"/>
      <c r="AP40" s="2229"/>
      <c r="AQ40" s="2229"/>
      <c r="AR40" s="2229"/>
      <c r="AS40" s="2229"/>
      <c r="AT40" s="2229"/>
      <c r="AU40" s="2229"/>
      <c r="AV40" s="2229"/>
      <c r="AW40" s="2229"/>
      <c r="AX40" s="2229"/>
      <c r="AY40" s="2229"/>
      <c r="AZ40" s="2229"/>
      <c r="BA40" s="2229"/>
      <c r="BB40" s="2230"/>
      <c r="BC40" s="2229"/>
      <c r="BD40" s="2229"/>
      <c r="BE40" s="2229"/>
      <c r="BF40" s="2229"/>
      <c r="BG40" s="2229"/>
      <c r="BH40" s="2229"/>
      <c r="BI40" s="2229"/>
      <c r="BJ40" s="2229"/>
      <c r="BK40" s="2229"/>
      <c r="BL40" s="2229"/>
      <c r="BM40" s="2229"/>
      <c r="BN40" s="2229"/>
      <c r="BO40" s="2229"/>
      <c r="BP40" s="2229"/>
      <c r="BQ40" s="2229"/>
      <c r="BR40" s="2229"/>
      <c r="BS40" s="2229"/>
      <c r="BT40" s="2229"/>
      <c r="BU40" s="2229"/>
      <c r="BV40" s="2229"/>
      <c r="BW40" s="2229"/>
      <c r="BX40" s="2229"/>
      <c r="BY40" s="2229"/>
      <c r="BZ40" s="2229"/>
      <c r="CA40" s="2229"/>
      <c r="CB40" s="2229"/>
      <c r="CC40" s="2229"/>
      <c r="CD40" s="2229"/>
      <c r="CE40" s="2229"/>
      <c r="CF40" s="2229"/>
      <c r="CG40" s="2229"/>
      <c r="CH40" s="2229"/>
      <c r="CI40" s="2229"/>
      <c r="CJ40" s="2229"/>
      <c r="CK40" s="2229"/>
      <c r="CL40" s="2229"/>
      <c r="CM40" s="2229"/>
      <c r="CN40" s="2229"/>
      <c r="CO40" s="2229"/>
      <c r="CP40" s="2229"/>
      <c r="CQ40" s="2229"/>
      <c r="CR40" s="43"/>
      <c r="CS40" s="239"/>
      <c r="CT40" s="239"/>
      <c r="CU40" s="239"/>
      <c r="CV40" s="239"/>
      <c r="CW40" s="239"/>
      <c r="CX40" s="2229"/>
      <c r="CY40" s="212"/>
      <c r="CZ40" s="674"/>
      <c r="DA40" s="2229"/>
      <c r="DB40" s="2229"/>
      <c r="DC40" s="2229"/>
      <c r="DD40" s="287"/>
      <c r="DE40" s="239"/>
      <c r="DF40" s="239"/>
      <c r="DG40" s="239"/>
      <c r="DH40" s="239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N40" s="509"/>
      <c r="DO40" s="509"/>
      <c r="DP40" s="509"/>
      <c r="DQ40" s="509"/>
      <c r="DR40" s="509"/>
      <c r="DS40" s="509"/>
      <c r="DT40" s="509"/>
      <c r="DU40" s="509"/>
      <c r="DV40" s="509"/>
      <c r="DW40" s="509"/>
      <c r="DX40" s="107" t="n">
        <f aca="false">(CS40-CZ40)*10^6</f>
        <v>0</v>
      </c>
      <c r="DY40" s="107" t="n">
        <f aca="false">(CT40-DC40)*10^6</f>
        <v>0</v>
      </c>
      <c r="DZ40" s="107" t="n">
        <f aca="false">(CW40-DD40)*10^6</f>
        <v>0</v>
      </c>
      <c r="EA40" s="509"/>
    </row>
    <row r="41" s="42" customFormat="true" ht="15.75" hidden="true" customHeight="true" outlineLevel="1" collapsed="false">
      <c r="B41" s="43"/>
      <c r="C41" s="2231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2232"/>
      <c r="BC41" s="43"/>
      <c r="BD41" s="43"/>
      <c r="BE41" s="43"/>
      <c r="BF41" s="43"/>
      <c r="BG41" s="43"/>
      <c r="BH41" s="43"/>
      <c r="BI41" s="39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2233" t="n">
        <f aca="false">(-55594830000+CR35)/1000000-CR39/1000000</f>
        <v>-55594.83</v>
      </c>
      <c r="CS41" s="43"/>
      <c r="CT41" s="43"/>
      <c r="CU41" s="2234"/>
      <c r="CV41" s="2234"/>
      <c r="CW41" s="43"/>
      <c r="CX41" s="39"/>
      <c r="CZ41" s="287"/>
      <c r="DA41" s="43"/>
      <c r="DB41" s="43"/>
      <c r="DC41" s="43"/>
      <c r="DD41" s="287"/>
      <c r="DE41" s="43"/>
      <c r="DF41" s="39"/>
      <c r="DG41" s="39"/>
      <c r="DH41" s="43"/>
      <c r="DJ41" s="117"/>
      <c r="DK41" s="117"/>
      <c r="DL41" s="117"/>
      <c r="DM41" s="117"/>
      <c r="DN41" s="509"/>
      <c r="DO41" s="509"/>
      <c r="DP41" s="509"/>
      <c r="DQ41" s="509"/>
      <c r="DR41" s="509"/>
      <c r="DS41" s="509"/>
      <c r="DT41" s="509"/>
      <c r="DU41" s="509"/>
      <c r="DV41" s="509"/>
      <c r="DW41" s="509"/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A41" s="509"/>
    </row>
    <row r="42" customFormat="false" ht="15" hidden="true" customHeight="true" outlineLevel="1" collapsed="false">
      <c r="B42" s="276" t="s">
        <v>1225</v>
      </c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/>
      <c r="AM42" s="276"/>
      <c r="AN42" s="276"/>
      <c r="AO42" s="276"/>
      <c r="AP42" s="276"/>
      <c r="AQ42" s="276"/>
      <c r="AR42" s="276"/>
      <c r="AS42" s="276"/>
      <c r="AT42" s="276"/>
      <c r="AU42" s="276"/>
      <c r="AV42" s="276"/>
      <c r="AW42" s="276"/>
      <c r="AX42" s="276"/>
      <c r="AY42" s="276"/>
      <c r="AZ42" s="276"/>
      <c r="BA42" s="276"/>
      <c r="BB42" s="276"/>
      <c r="BC42" s="276"/>
      <c r="BD42" s="276"/>
      <c r="BE42" s="276"/>
      <c r="BF42" s="276"/>
      <c r="BG42" s="276"/>
      <c r="BH42" s="276"/>
      <c r="BI42" s="2235"/>
      <c r="BJ42" s="276"/>
      <c r="BK42" s="276"/>
      <c r="BL42" s="276"/>
      <c r="BM42" s="276"/>
      <c r="BN42" s="276"/>
      <c r="BO42" s="276"/>
      <c r="BP42" s="276"/>
      <c r="BQ42" s="276"/>
      <c r="BR42" s="276"/>
      <c r="BS42" s="276"/>
      <c r="BT42" s="276"/>
      <c r="BU42" s="276"/>
      <c r="BV42" s="276"/>
      <c r="BW42" s="276"/>
      <c r="BX42" s="276"/>
      <c r="BY42" s="276"/>
      <c r="BZ42" s="276"/>
      <c r="CA42" s="276"/>
      <c r="CB42" s="276"/>
      <c r="CC42" s="276"/>
      <c r="CD42" s="276"/>
      <c r="CE42" s="276"/>
      <c r="CF42" s="276"/>
      <c r="CG42" s="276"/>
      <c r="CH42" s="276"/>
      <c r="CI42" s="276"/>
      <c r="CJ42" s="276"/>
      <c r="CK42" s="276"/>
      <c r="CL42" s="276"/>
      <c r="CM42" s="276"/>
      <c r="CN42" s="276"/>
      <c r="CO42" s="276"/>
      <c r="CP42" s="276"/>
      <c r="CQ42" s="276"/>
      <c r="CR42" s="272" t="n">
        <f aca="false">CR7/1000000-'P&amp;L conso'!CR31</f>
        <v>0</v>
      </c>
      <c r="CS42" s="2236"/>
      <c r="CT42" s="2236"/>
      <c r="CU42" s="2237"/>
      <c r="CV42" s="2237"/>
      <c r="CW42" s="2238"/>
      <c r="CY42" s="212"/>
      <c r="DA42" s="42"/>
      <c r="DB42" s="212"/>
      <c r="DC42" s="212"/>
      <c r="DE42" s="212"/>
      <c r="DF42" s="40"/>
      <c r="DH42" s="212"/>
      <c r="DJ42" s="117"/>
      <c r="DK42" s="117"/>
      <c r="DL42" s="117"/>
      <c r="DM42" s="117"/>
      <c r="DN42" s="509"/>
      <c r="DO42" s="509"/>
      <c r="DP42" s="509"/>
      <c r="DQ42" s="509"/>
      <c r="DR42" s="509"/>
      <c r="DS42" s="509"/>
      <c r="DT42" s="509"/>
      <c r="DU42" s="509"/>
      <c r="DV42" s="509"/>
      <c r="DW42" s="509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A42" s="509"/>
    </row>
    <row r="43" customFormat="false" ht="15" hidden="true" customHeight="true" outlineLevel="1" collapsed="false">
      <c r="B43" s="276" t="s">
        <v>1226</v>
      </c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/>
      <c r="AO43" s="276"/>
      <c r="AP43" s="276"/>
      <c r="AQ43" s="276"/>
      <c r="AR43" s="276"/>
      <c r="AS43" s="276"/>
      <c r="AT43" s="276"/>
      <c r="AU43" s="276"/>
      <c r="AV43" s="276"/>
      <c r="AW43" s="276"/>
      <c r="AX43" s="276"/>
      <c r="AY43" s="276"/>
      <c r="AZ43" s="276"/>
      <c r="BA43" s="276"/>
      <c r="BB43" s="276"/>
      <c r="BC43" s="276"/>
      <c r="BD43" s="276"/>
      <c r="BE43" s="276"/>
      <c r="BF43" s="276"/>
      <c r="BG43" s="276"/>
      <c r="BH43" s="276"/>
      <c r="BI43" s="2235"/>
      <c r="BJ43" s="276"/>
      <c r="BK43" s="276"/>
      <c r="BL43" s="276"/>
      <c r="BM43" s="276"/>
      <c r="BN43" s="276"/>
      <c r="BO43" s="276"/>
      <c r="BP43" s="276"/>
      <c r="BQ43" s="276"/>
      <c r="BR43" s="276"/>
      <c r="BS43" s="276"/>
      <c r="BT43" s="276"/>
      <c r="BU43" s="276"/>
      <c r="BV43" s="276"/>
      <c r="BW43" s="276"/>
      <c r="BX43" s="276"/>
      <c r="BY43" s="276"/>
      <c r="BZ43" s="276"/>
      <c r="CA43" s="276"/>
      <c r="CB43" s="276"/>
      <c r="CC43" s="276"/>
      <c r="CD43" s="276"/>
      <c r="CE43" s="276"/>
      <c r="CF43" s="276"/>
      <c r="CG43" s="276"/>
      <c r="CH43" s="276"/>
      <c r="CI43" s="276"/>
      <c r="CJ43" s="276"/>
      <c r="CK43" s="276"/>
      <c r="CL43" s="276"/>
      <c r="CM43" s="276"/>
      <c r="CN43" s="276"/>
      <c r="CO43" s="276"/>
      <c r="CP43" s="276"/>
      <c r="CQ43" s="276"/>
      <c r="CR43" s="2239" t="n">
        <f aca="false">CR9/1000000-'Opex Consolidés'!CR184</f>
        <v>0</v>
      </c>
      <c r="CS43" s="2236" t="n">
        <v>-60.937851</v>
      </c>
      <c r="CT43" s="2236"/>
      <c r="CU43" s="2238"/>
      <c r="CV43" s="2238"/>
      <c r="CW43" s="2238"/>
      <c r="CX43" s="2240"/>
      <c r="CY43" s="2238"/>
      <c r="CZ43" s="2241"/>
      <c r="DA43" s="2242"/>
      <c r="DB43" s="2238"/>
      <c r="DC43" s="2238"/>
      <c r="DD43" s="2241"/>
      <c r="DE43" s="212"/>
      <c r="DF43" s="40"/>
      <c r="DH43" s="212"/>
      <c r="DJ43" s="509"/>
      <c r="DK43" s="509"/>
      <c r="DL43" s="509"/>
      <c r="DM43" s="509"/>
      <c r="DN43" s="509"/>
      <c r="DO43" s="509"/>
      <c r="DP43" s="509"/>
      <c r="DQ43" s="509"/>
      <c r="DR43" s="509"/>
      <c r="DS43" s="509"/>
      <c r="DT43" s="509"/>
      <c r="DU43" s="509"/>
      <c r="DV43" s="509"/>
      <c r="DW43" s="509"/>
      <c r="DX43" s="400" t="n">
        <f aca="false">(CS43-CZ43)*10^6</f>
        <v>-60937851</v>
      </c>
      <c r="DY43" s="400" t="n">
        <f aca="false">(CT43-DC43)*10^6</f>
        <v>0</v>
      </c>
      <c r="DZ43" s="400" t="n">
        <f aca="false">(CW43-DD43)*10^6</f>
        <v>0</v>
      </c>
      <c r="EA43" s="509"/>
    </row>
    <row r="44" customFormat="false" ht="15" hidden="true" customHeight="true" outlineLevel="1" collapsed="false">
      <c r="B44" s="276" t="s">
        <v>1227</v>
      </c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76"/>
      <c r="BH44" s="276"/>
      <c r="BI44" s="2235"/>
      <c r="BJ44" s="276"/>
      <c r="BK44" s="276"/>
      <c r="BL44" s="276"/>
      <c r="BM44" s="276"/>
      <c r="BN44" s="276"/>
      <c r="BO44" s="276"/>
      <c r="BP44" s="276"/>
      <c r="BQ44" s="276"/>
      <c r="BR44" s="276"/>
      <c r="BS44" s="276"/>
      <c r="BT44" s="276"/>
      <c r="BU44" s="276"/>
      <c r="BV44" s="276"/>
      <c r="BW44" s="276"/>
      <c r="BX44" s="276"/>
      <c r="BY44" s="276"/>
      <c r="BZ44" s="276"/>
      <c r="CA44" s="276"/>
      <c r="CB44" s="276"/>
      <c r="CC44" s="276"/>
      <c r="CD44" s="276"/>
      <c r="CE44" s="276"/>
      <c r="CF44" s="276"/>
      <c r="CG44" s="276"/>
      <c r="CH44" s="276"/>
      <c r="CI44" s="276"/>
      <c r="CJ44" s="276"/>
      <c r="CK44" s="276"/>
      <c r="CL44" s="276"/>
      <c r="CM44" s="276"/>
      <c r="CN44" s="276"/>
      <c r="CO44" s="276"/>
      <c r="CP44" s="276"/>
      <c r="CQ44" s="276"/>
      <c r="CR44" s="2239" t="n">
        <f aca="false">CR15/1000000+'Capex Consolidés'!CR7</f>
        <v>0</v>
      </c>
      <c r="CS44" s="2243"/>
      <c r="CT44" s="2243"/>
      <c r="DA44" s="42"/>
      <c r="DF44" s="40"/>
      <c r="DJ44" s="509"/>
      <c r="DK44" s="509"/>
      <c r="DL44" s="509"/>
      <c r="DM44" s="509"/>
      <c r="DN44" s="509"/>
      <c r="DO44" s="509"/>
      <c r="DP44" s="509"/>
      <c r="DQ44" s="509"/>
      <c r="DR44" s="509"/>
      <c r="DS44" s="509"/>
      <c r="DT44" s="509"/>
      <c r="DU44" s="509"/>
      <c r="DV44" s="509"/>
      <c r="DW44" s="509"/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A44" s="509"/>
    </row>
    <row r="45" customFormat="false" ht="15" hidden="true" customHeight="true" outlineLevel="1" collapsed="false">
      <c r="B45" s="276" t="s">
        <v>1228</v>
      </c>
      <c r="C45" s="2244"/>
      <c r="D45" s="2245"/>
      <c r="E45" s="2245"/>
      <c r="F45" s="2245"/>
      <c r="G45" s="2245"/>
      <c r="H45" s="2245"/>
      <c r="I45" s="2245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76"/>
      <c r="AP45" s="276"/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6"/>
      <c r="BG45" s="276"/>
      <c r="BH45" s="276"/>
      <c r="BI45" s="2235"/>
      <c r="BJ45" s="276"/>
      <c r="BK45" s="276"/>
      <c r="BL45" s="276"/>
      <c r="BM45" s="276"/>
      <c r="BN45" s="276"/>
      <c r="BO45" s="276"/>
      <c r="BP45" s="276"/>
      <c r="BQ45" s="276"/>
      <c r="BR45" s="276"/>
      <c r="BS45" s="276"/>
      <c r="BT45" s="276"/>
      <c r="BU45" s="276"/>
      <c r="BV45" s="276"/>
      <c r="BW45" s="276"/>
      <c r="BX45" s="276"/>
      <c r="BY45" s="276"/>
      <c r="BZ45" s="276"/>
      <c r="CA45" s="276"/>
      <c r="CB45" s="276"/>
      <c r="CC45" s="276"/>
      <c r="CD45" s="276"/>
      <c r="CE45" s="276"/>
      <c r="CF45" s="276"/>
      <c r="CG45" s="276"/>
      <c r="CH45" s="276"/>
      <c r="CI45" s="276"/>
      <c r="CJ45" s="276"/>
      <c r="CK45" s="276"/>
      <c r="CL45" s="276"/>
      <c r="CM45" s="276"/>
      <c r="CN45" s="276"/>
      <c r="CO45" s="276"/>
      <c r="CP45" s="276"/>
      <c r="CQ45" s="276"/>
      <c r="CR45" s="2246" t="n">
        <f aca="false">CR22/1000000-'Réalisé de trésorerie'!E36</f>
        <v>0</v>
      </c>
      <c r="CS45" s="2236"/>
      <c r="CT45" s="2236" t="n">
        <f aca="false">1548000000-CR33</f>
        <v>1548000000</v>
      </c>
      <c r="DA45" s="42"/>
      <c r="DF45" s="40"/>
      <c r="DJ45" s="509"/>
      <c r="DK45" s="509"/>
      <c r="DL45" s="509"/>
      <c r="DM45" s="509"/>
      <c r="DN45" s="509"/>
      <c r="DO45" s="509"/>
      <c r="DP45" s="509"/>
      <c r="DQ45" s="509"/>
      <c r="DR45" s="509"/>
      <c r="DS45" s="509"/>
      <c r="DT45" s="509"/>
      <c r="DU45" s="509"/>
      <c r="DV45" s="509"/>
      <c r="DW45" s="509"/>
      <c r="DX45" s="400" t="n">
        <f aca="false">(CS45-CZ45)*10^6</f>
        <v>0</v>
      </c>
      <c r="DY45" s="400" t="n">
        <f aca="false">(CT45-DC45)*10^6</f>
        <v>1548000000000000</v>
      </c>
      <c r="DZ45" s="400" t="n">
        <f aca="false">(CW45-DD45)*10^6</f>
        <v>0</v>
      </c>
      <c r="EA45" s="509"/>
    </row>
    <row r="46" customFormat="false" ht="15" hidden="true" customHeight="true" outlineLevel="1" collapsed="false">
      <c r="B46" s="276" t="s">
        <v>1229</v>
      </c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  <c r="AO46" s="276"/>
      <c r="AP46" s="276"/>
      <c r="AQ46" s="276"/>
      <c r="AR46" s="276"/>
      <c r="AS46" s="276"/>
      <c r="AT46" s="276"/>
      <c r="AU46" s="276"/>
      <c r="AV46" s="276"/>
      <c r="AW46" s="276"/>
      <c r="AX46" s="276"/>
      <c r="AY46" s="276"/>
      <c r="AZ46" s="276"/>
      <c r="BA46" s="276"/>
      <c r="BB46" s="276"/>
      <c r="BC46" s="276"/>
      <c r="BD46" s="276"/>
      <c r="BE46" s="276"/>
      <c r="BF46" s="276"/>
      <c r="BG46" s="276"/>
      <c r="BH46" s="276"/>
      <c r="BI46" s="2235"/>
      <c r="BJ46" s="276"/>
      <c r="BK46" s="276"/>
      <c r="BL46" s="276"/>
      <c r="BM46" s="276"/>
      <c r="BN46" s="276"/>
      <c r="BO46" s="276"/>
      <c r="BP46" s="276"/>
      <c r="BQ46" s="276"/>
      <c r="BR46" s="276"/>
      <c r="BS46" s="276"/>
      <c r="BT46" s="276"/>
      <c r="BU46" s="276"/>
      <c r="BV46" s="276"/>
      <c r="BW46" s="276"/>
      <c r="BX46" s="276"/>
      <c r="BY46" s="276"/>
      <c r="BZ46" s="276"/>
      <c r="CA46" s="276"/>
      <c r="CB46" s="276"/>
      <c r="CC46" s="276"/>
      <c r="CD46" s="276"/>
      <c r="CE46" s="276"/>
      <c r="CF46" s="276"/>
      <c r="CG46" s="276"/>
      <c r="CH46" s="276"/>
      <c r="CI46" s="276"/>
      <c r="CJ46" s="276"/>
      <c r="CK46" s="276"/>
      <c r="CL46" s="276"/>
      <c r="CM46" s="276"/>
      <c r="CN46" s="276"/>
      <c r="CO46" s="276"/>
      <c r="CP46" s="276"/>
      <c r="CQ46" s="276"/>
      <c r="CR46" s="2239" t="n">
        <f aca="false">CR24+'Réalisé de trésorerie'!E48*1000000</f>
        <v>0</v>
      </c>
      <c r="CS46" s="2243"/>
      <c r="CT46" s="2243"/>
      <c r="CW46" s="2247"/>
      <c r="CX46" s="2247"/>
      <c r="CY46" s="2247"/>
      <c r="CZ46" s="2247"/>
      <c r="DA46" s="2242"/>
      <c r="DB46" s="2248"/>
      <c r="DC46" s="2248"/>
      <c r="DF46" s="40"/>
      <c r="DJ46" s="509"/>
      <c r="DK46" s="509"/>
      <c r="DL46" s="509"/>
      <c r="DM46" s="509"/>
      <c r="DN46" s="509"/>
      <c r="DO46" s="509"/>
      <c r="DP46" s="509"/>
      <c r="DQ46" s="509"/>
      <c r="DR46" s="509"/>
      <c r="DS46" s="509"/>
      <c r="DT46" s="509"/>
      <c r="DU46" s="509"/>
      <c r="DV46" s="509"/>
      <c r="DW46" s="509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  <c r="EA46" s="509"/>
    </row>
    <row r="47" customFormat="false" ht="15" hidden="true" customHeight="true" outlineLevel="1" collapsed="false">
      <c r="B47" s="276" t="s">
        <v>1230</v>
      </c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L47" s="276"/>
      <c r="AM47" s="276"/>
      <c r="AN47" s="276"/>
      <c r="AO47" s="276"/>
      <c r="AP47" s="276"/>
      <c r="AQ47" s="276"/>
      <c r="AR47" s="276"/>
      <c r="AS47" s="276"/>
      <c r="AT47" s="276"/>
      <c r="AU47" s="276"/>
      <c r="AV47" s="276"/>
      <c r="AW47" s="276"/>
      <c r="AX47" s="276"/>
      <c r="AY47" s="276"/>
      <c r="AZ47" s="276"/>
      <c r="BA47" s="276"/>
      <c r="BB47" s="276"/>
      <c r="BC47" s="276"/>
      <c r="BD47" s="276"/>
      <c r="BE47" s="276"/>
      <c r="BF47" s="276"/>
      <c r="BG47" s="276"/>
      <c r="BH47" s="276"/>
      <c r="BI47" s="2235"/>
      <c r="BJ47" s="276"/>
      <c r="BK47" s="276"/>
      <c r="BL47" s="276"/>
      <c r="BM47" s="276"/>
      <c r="BN47" s="276"/>
      <c r="BO47" s="276"/>
      <c r="BP47" s="276"/>
      <c r="BQ47" s="276"/>
      <c r="BR47" s="276"/>
      <c r="BS47" s="276"/>
      <c r="BT47" s="276"/>
      <c r="BU47" s="276"/>
      <c r="BV47" s="276"/>
      <c r="BW47" s="276"/>
      <c r="BX47" s="276"/>
      <c r="BY47" s="276"/>
      <c r="BZ47" s="276"/>
      <c r="CA47" s="276"/>
      <c r="CB47" s="276"/>
      <c r="CC47" s="276"/>
      <c r="CD47" s="276"/>
      <c r="CE47" s="276"/>
      <c r="CF47" s="276"/>
      <c r="CG47" s="276"/>
      <c r="CH47" s="276"/>
      <c r="CI47" s="276"/>
      <c r="CJ47" s="276"/>
      <c r="CK47" s="276"/>
      <c r="CL47" s="276"/>
      <c r="CM47" s="276"/>
      <c r="CN47" s="276"/>
      <c r="CO47" s="276"/>
      <c r="CP47" s="276"/>
      <c r="CQ47" s="276"/>
      <c r="CR47" s="2249" t="n">
        <f aca="false">CR37+'Réalisé de trésorerie'!Q77*1000000</f>
        <v>0</v>
      </c>
      <c r="CS47" s="2243"/>
      <c r="CT47" s="2243"/>
      <c r="CW47" s="2247"/>
      <c r="CX47" s="2247"/>
      <c r="CY47" s="2247"/>
      <c r="CZ47" s="2247"/>
      <c r="DA47" s="2242"/>
      <c r="DB47" s="2248"/>
      <c r="DC47" s="2248"/>
      <c r="DF47" s="40"/>
      <c r="DJ47" s="509"/>
      <c r="DK47" s="509"/>
      <c r="DL47" s="509"/>
      <c r="DM47" s="509"/>
      <c r="DN47" s="509"/>
      <c r="DO47" s="509"/>
      <c r="DP47" s="509"/>
      <c r="DQ47" s="509"/>
      <c r="DR47" s="509"/>
      <c r="DS47" s="509"/>
      <c r="DT47" s="509"/>
      <c r="DU47" s="509"/>
      <c r="DV47" s="509"/>
      <c r="DW47" s="509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A47" s="509"/>
    </row>
    <row r="48" customFormat="false" ht="15" hidden="false" customHeight="true" outlineLevel="0" collapsed="false"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L48" s="276"/>
      <c r="AM48" s="276"/>
      <c r="AN48" s="276"/>
      <c r="AO48" s="276"/>
      <c r="AP48" s="276"/>
      <c r="AQ48" s="276"/>
      <c r="AR48" s="276"/>
      <c r="AS48" s="276"/>
      <c r="AT48" s="276"/>
      <c r="AU48" s="276"/>
      <c r="AV48" s="276"/>
      <c r="AW48" s="276"/>
      <c r="AX48" s="276"/>
      <c r="AY48" s="276"/>
      <c r="AZ48" s="276"/>
      <c r="BA48" s="276"/>
      <c r="BB48" s="276"/>
      <c r="BC48" s="276"/>
      <c r="BD48" s="276"/>
      <c r="BE48" s="276"/>
      <c r="BF48" s="276"/>
      <c r="BG48" s="276"/>
      <c r="BH48" s="276"/>
      <c r="BI48" s="2235"/>
      <c r="BJ48" s="276"/>
      <c r="BK48" s="276"/>
      <c r="BL48" s="276"/>
      <c r="BM48" s="276"/>
      <c r="BN48" s="276"/>
      <c r="BO48" s="276"/>
      <c r="BP48" s="276"/>
      <c r="BQ48" s="276"/>
      <c r="BR48" s="276"/>
      <c r="BS48" s="276"/>
      <c r="BT48" s="276"/>
      <c r="BU48" s="276"/>
      <c r="BV48" s="276"/>
      <c r="BW48" s="276"/>
      <c r="BX48" s="276"/>
      <c r="BY48" s="276"/>
      <c r="BZ48" s="276"/>
      <c r="CA48" s="276"/>
      <c r="CB48" s="276"/>
      <c r="CC48" s="276"/>
      <c r="CD48" s="276"/>
      <c r="CE48" s="276"/>
      <c r="CF48" s="276"/>
      <c r="CG48" s="276"/>
      <c r="CH48" s="276"/>
      <c r="CI48" s="276"/>
      <c r="CJ48" s="276"/>
      <c r="CK48" s="276"/>
      <c r="CL48" s="276"/>
      <c r="CM48" s="276"/>
      <c r="CN48" s="276"/>
      <c r="CO48" s="276"/>
      <c r="CP48" s="276"/>
      <c r="CQ48" s="276"/>
      <c r="CR48" s="2250" t="n">
        <f aca="false">CR7-SUM(CJ7,CB7,BT7,BK7,BC7,AU7,AL7,AD7,V7,P7,J7,D7)</f>
        <v>0</v>
      </c>
      <c r="CS48" s="2251"/>
      <c r="CT48" s="2251"/>
      <c r="CW48" s="2247"/>
      <c r="CX48" s="2247"/>
      <c r="CY48" s="2247"/>
      <c r="CZ48" s="2247"/>
      <c r="DA48" s="2242"/>
      <c r="DB48" s="2248"/>
      <c r="DC48" s="2248"/>
      <c r="DF48" s="40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customFormat="false" ht="12.75" hidden="false" customHeight="true" outlineLevel="0" collapsed="false">
      <c r="B49" s="1153"/>
      <c r="J49" s="2252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6"/>
      <c r="BH49" s="246"/>
      <c r="BJ49" s="246"/>
      <c r="BK49" s="246"/>
      <c r="BL49" s="246"/>
      <c r="BM49" s="246"/>
      <c r="BN49" s="246"/>
      <c r="BO49" s="246"/>
      <c r="BP49" s="246"/>
      <c r="BQ49" s="246"/>
      <c r="BR49" s="246"/>
      <c r="BS49" s="246"/>
      <c r="BT49" s="246"/>
      <c r="BU49" s="246"/>
      <c r="BV49" s="246"/>
      <c r="BW49" s="246"/>
      <c r="BX49" s="246"/>
      <c r="BY49" s="246"/>
      <c r="BZ49" s="246"/>
      <c r="CA49" s="246"/>
      <c r="CB49" s="246"/>
      <c r="CC49" s="246"/>
      <c r="CD49" s="246"/>
      <c r="CE49" s="246"/>
      <c r="CF49" s="246"/>
      <c r="CG49" s="246"/>
      <c r="CH49" s="246"/>
      <c r="CI49" s="246"/>
      <c r="CJ49" s="2252"/>
      <c r="CK49" s="246"/>
      <c r="CL49" s="246"/>
      <c r="CM49" s="246"/>
      <c r="CN49" s="246"/>
      <c r="CO49" s="246"/>
      <c r="CP49" s="246"/>
      <c r="CQ49" s="246"/>
      <c r="CR49" s="272"/>
      <c r="CS49" s="239"/>
      <c r="CT49" s="239"/>
      <c r="CZ49" s="281"/>
      <c r="DA49" s="144"/>
      <c r="DB49" s="240"/>
      <c r="DC49" s="240"/>
      <c r="DD49" s="281"/>
      <c r="DE49" s="240"/>
      <c r="DF49" s="245"/>
      <c r="DG49" s="245"/>
      <c r="DH49" s="240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customFormat="false" ht="12.75" hidden="false" customHeight="true" outlineLevel="0" collapsed="false">
      <c r="B50" s="1153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/>
      <c r="AR50" s="246"/>
      <c r="AS50" s="246"/>
      <c r="AT50" s="246"/>
      <c r="AU50" s="246"/>
      <c r="AV50" s="246"/>
      <c r="AW50" s="246"/>
      <c r="AX50" s="246"/>
      <c r="AY50" s="246"/>
      <c r="AZ50" s="246"/>
      <c r="BA50" s="246"/>
      <c r="BB50" s="246"/>
      <c r="BC50" s="246"/>
      <c r="BD50" s="246"/>
      <c r="BE50" s="246"/>
      <c r="BF50" s="246"/>
      <c r="BG50" s="246"/>
      <c r="BH50" s="246"/>
      <c r="BJ50" s="246"/>
      <c r="BK50" s="246"/>
      <c r="BL50" s="246"/>
      <c r="BM50" s="246"/>
      <c r="BN50" s="246"/>
      <c r="BO50" s="246"/>
      <c r="BP50" s="246"/>
      <c r="BQ50" s="246"/>
      <c r="BR50" s="246"/>
      <c r="BS50" s="246"/>
      <c r="BT50" s="246"/>
      <c r="BU50" s="246"/>
      <c r="BV50" s="246"/>
      <c r="BW50" s="246"/>
      <c r="BX50" s="246"/>
      <c r="BY50" s="246"/>
      <c r="BZ50" s="246"/>
      <c r="CA50" s="246"/>
      <c r="CB50" s="246"/>
      <c r="CC50" s="246"/>
      <c r="CD50" s="246"/>
      <c r="CE50" s="246"/>
      <c r="CF50" s="246"/>
      <c r="CG50" s="246"/>
      <c r="CH50" s="246"/>
      <c r="CI50" s="246"/>
      <c r="CJ50" s="246"/>
      <c r="CK50" s="246"/>
      <c r="CL50" s="246"/>
      <c r="CM50" s="246"/>
      <c r="CN50" s="246"/>
      <c r="CO50" s="246"/>
      <c r="CP50" s="246"/>
      <c r="CQ50" s="246"/>
      <c r="CR50" s="239"/>
      <c r="CS50" s="239"/>
      <c r="CT50" s="239"/>
      <c r="CZ50" s="281"/>
      <c r="DA50" s="144"/>
      <c r="DB50" s="240"/>
      <c r="DC50" s="240"/>
      <c r="DD50" s="281"/>
      <c r="DE50" s="240"/>
      <c r="DF50" s="245"/>
      <c r="DG50" s="245"/>
      <c r="DH50" s="240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customFormat="false" ht="12.75" hidden="false" customHeight="true" outlineLevel="0" collapsed="false">
      <c r="B51" s="1153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  <c r="CJ51" s="246"/>
      <c r="CK51" s="246"/>
      <c r="CL51" s="246"/>
      <c r="CM51" s="246"/>
      <c r="CN51" s="246"/>
      <c r="CO51" s="246"/>
      <c r="CP51" s="246"/>
      <c r="CQ51" s="246"/>
      <c r="CR51" s="239"/>
      <c r="CS51" s="239"/>
      <c r="CT51" s="239"/>
      <c r="CZ51" s="281"/>
      <c r="DA51" s="144"/>
      <c r="DB51" s="240"/>
      <c r="DC51" s="240"/>
      <c r="DD51" s="281"/>
      <c r="DE51" s="240"/>
      <c r="DF51" s="245"/>
      <c r="DG51" s="245"/>
      <c r="DH51" s="240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customFormat="false" ht="12.75" hidden="false" customHeight="false" outlineLevel="0" collapsed="false">
      <c r="B52" s="1153"/>
      <c r="CR52" s="239"/>
      <c r="CS52" s="239"/>
      <c r="CT52" s="239"/>
      <c r="DA52" s="42"/>
      <c r="DF52" s="40"/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12.75" hidden="false" customHeight="false" outlineLevel="0" collapsed="false">
      <c r="CK53" s="239"/>
      <c r="CS53" s="239"/>
      <c r="CT53" s="239"/>
      <c r="DA53" s="42"/>
      <c r="DF53" s="40"/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12.75" hidden="false" customHeight="false" outlineLevel="0" collapsed="false">
      <c r="DA54" s="42"/>
      <c r="DF54" s="40"/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2.75" hidden="false" customHeight="false" outlineLevel="0" collapsed="false">
      <c r="DA55" s="42"/>
      <c r="DF55" s="40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12.75" hidden="false" customHeight="false" outlineLevel="0" collapsed="false">
      <c r="DA56" s="42"/>
      <c r="DF56" s="40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customFormat="false" ht="12.75" hidden="false" customHeight="false" outlineLevel="0" collapsed="false">
      <c r="DA57" s="42"/>
      <c r="DF57" s="40"/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2.75" hidden="false" customHeight="false" outlineLevel="0" collapsed="false">
      <c r="DA58" s="42"/>
      <c r="DF58" s="40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2.75" hidden="false" customHeight="false" outlineLevel="0" collapsed="false">
      <c r="CR59" s="39"/>
      <c r="DA59" s="42"/>
      <c r="DF59" s="40"/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2.75" hidden="false" customHeight="false" outlineLevel="0" collapsed="false"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2.75" hidden="false" customHeight="false" outlineLevel="0" collapsed="false"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2.75" hidden="false" customHeight="false" outlineLevel="0" collapsed="false"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12.75" hidden="false" customHeight="false" outlineLevel="0" collapsed="false"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2.75" hidden="false" customHeight="false" outlineLevel="0" collapsed="false"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2.75" hidden="false" customHeight="false" outlineLevel="0" collapsed="false"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2.75" hidden="false" customHeight="false" outlineLevel="0" collapsed="false"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2.75" hidden="false" customHeight="false" outlineLevel="0" collapsed="false"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2.75" hidden="false" customHeight="false" outlineLevel="0" collapsed="false"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2.7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2.7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2.7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2.7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2.7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2.7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2.7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2.7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2.7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2.7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2.7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2.7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2.7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2.7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2.7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2.7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2.7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2.7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2.7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2.7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2.7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2.7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2.7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5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  <mergeCell ref="CW46:CZ48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14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G31" activeCellId="0" sqref="G31"/>
    </sheetView>
  </sheetViews>
  <sheetFormatPr defaultColWidth="11.515625" defaultRowHeight="12.75" zeroHeight="false" outlineLevelRow="1" outlineLevelCol="0"/>
  <cols>
    <col collapsed="false" customWidth="false" hidden="false" outlineLevel="0" max="1" min="1" style="2" width="11.5"/>
    <col collapsed="false" customWidth="true" hidden="false" outlineLevel="0" max="2" min="2" style="2" width="4.5"/>
    <col collapsed="false" customWidth="true" hidden="false" outlineLevel="0" max="3" min="3" style="2" width="52.51"/>
    <col collapsed="false" customWidth="true" hidden="false" outlineLevel="0" max="4" min="4" style="2" width="16.48"/>
    <col collapsed="false" customWidth="true" hidden="false" outlineLevel="0" max="5" min="5" style="2" width="15.34"/>
    <col collapsed="false" customWidth="true" hidden="false" outlineLevel="0" max="6" min="6" style="2" width="21.83"/>
    <col collapsed="false" customWidth="true" hidden="false" outlineLevel="0" max="7" min="7" style="2" width="14.5"/>
    <col collapsed="false" customWidth="true" hidden="false" outlineLevel="0" max="8" min="8" style="2" width="17.52"/>
    <col collapsed="false" customWidth="true" hidden="true" outlineLevel="0" max="9" min="9" style="2" width="16.83"/>
    <col collapsed="false" customWidth="true" hidden="true" outlineLevel="0" max="10" min="10" style="2" width="16.67"/>
    <col collapsed="false" customWidth="true" hidden="true" outlineLevel="0" max="11" min="11" style="2" width="17.83"/>
    <col collapsed="false" customWidth="true" hidden="true" outlineLevel="0" max="12" min="12" style="2" width="16.48"/>
    <col collapsed="false" customWidth="true" hidden="false" outlineLevel="0" max="13" min="13" style="2" width="17.83"/>
    <col collapsed="false" customWidth="true" hidden="false" outlineLevel="0" max="14" min="14" style="2" width="15.83"/>
    <col collapsed="false" customWidth="true" hidden="false" outlineLevel="0" max="15" min="15" style="2" width="16.67"/>
    <col collapsed="false" customWidth="true" hidden="false" outlineLevel="0" max="16" min="16" style="2" width="15.83"/>
    <col collapsed="false" customWidth="true" hidden="false" outlineLevel="0" max="18" min="17" style="2" width="18.66"/>
    <col collapsed="false" customWidth="true" hidden="false" outlineLevel="0" max="19" min="19" style="2" width="19.33"/>
    <col collapsed="false" customWidth="true" hidden="false" outlineLevel="0" max="20" min="20" style="2" width="21.5"/>
    <col collapsed="false" customWidth="false" hidden="false" outlineLevel="0" max="1024" min="21" style="2" width="11.5"/>
  </cols>
  <sheetData>
    <row r="1" s="2253" customFormat="true" ht="21" hidden="false" customHeight="false" outlineLevel="0" collapsed="false">
      <c r="B1" s="2254"/>
      <c r="C1" s="2254"/>
      <c r="D1" s="2254"/>
      <c r="E1" s="2254"/>
      <c r="F1" s="2254"/>
      <c r="G1" s="2254"/>
      <c r="H1" s="2254"/>
      <c r="I1" s="2254"/>
      <c r="J1" s="2254"/>
      <c r="K1" s="2254"/>
      <c r="L1" s="2255"/>
      <c r="M1" s="2255"/>
      <c r="N1" s="2255"/>
      <c r="O1" s="2255"/>
      <c r="P1" s="2255"/>
      <c r="Q1" s="2256"/>
      <c r="R1" s="2256"/>
    </row>
    <row r="2" s="2253" customFormat="true" ht="15" hidden="false" customHeight="false" outlineLevel="0" collapsed="false">
      <c r="F2" s="2253" t="n">
        <v>0</v>
      </c>
      <c r="G2" s="2257"/>
      <c r="H2" s="2258"/>
      <c r="I2" s="2258"/>
      <c r="J2" s="2258"/>
      <c r="K2" s="2258" t="n">
        <v>0</v>
      </c>
      <c r="L2" s="2259" t="n">
        <v>0</v>
      </c>
      <c r="M2" s="2259"/>
      <c r="N2" s="2259"/>
      <c r="O2" s="2259"/>
      <c r="P2" s="2259"/>
      <c r="Q2" s="2256"/>
      <c r="R2" s="2256"/>
    </row>
    <row r="3" s="2260" customFormat="true" ht="34.5" hidden="false" customHeight="true" outlineLevel="0" collapsed="false">
      <c r="B3" s="2261" t="s">
        <v>1231</v>
      </c>
      <c r="C3" s="2261"/>
      <c r="D3" s="2262" t="s">
        <v>1232</v>
      </c>
      <c r="E3" s="2262" t="s">
        <v>1233</v>
      </c>
      <c r="F3" s="2263" t="s">
        <v>1234</v>
      </c>
      <c r="G3" s="2264" t="s">
        <v>1234</v>
      </c>
      <c r="H3" s="2264"/>
      <c r="I3" s="2264"/>
      <c r="J3" s="2264"/>
      <c r="K3" s="2264"/>
      <c r="L3" s="2264"/>
      <c r="M3" s="2264"/>
      <c r="N3" s="2264"/>
      <c r="O3" s="2264"/>
      <c r="P3" s="2264"/>
      <c r="Q3" s="2264"/>
      <c r="R3" s="2265"/>
    </row>
    <row r="4" s="2260" customFormat="true" ht="21.75" hidden="false" customHeight="true" outlineLevel="0" collapsed="false">
      <c r="B4" s="2261"/>
      <c r="C4" s="2261"/>
      <c r="D4" s="2262"/>
      <c r="E4" s="2262"/>
      <c r="F4" s="2266" t="s">
        <v>1235</v>
      </c>
      <c r="G4" s="2267" t="s">
        <v>1236</v>
      </c>
      <c r="H4" s="2268" t="s">
        <v>1237</v>
      </c>
      <c r="I4" s="2268" t="s">
        <v>1238</v>
      </c>
      <c r="J4" s="2268" t="s">
        <v>1239</v>
      </c>
      <c r="K4" s="2268" t="s">
        <v>1240</v>
      </c>
      <c r="L4" s="2268" t="s">
        <v>1241</v>
      </c>
      <c r="M4" s="2268" t="s">
        <v>1242</v>
      </c>
      <c r="N4" s="2268" t="s">
        <v>1243</v>
      </c>
      <c r="O4" s="2268" t="s">
        <v>1244</v>
      </c>
      <c r="P4" s="2268" t="s">
        <v>1245</v>
      </c>
      <c r="Q4" s="2268" t="s">
        <v>1246</v>
      </c>
      <c r="R4" s="2265"/>
    </row>
    <row r="5" s="2275" customFormat="true" ht="9.75" hidden="false" customHeight="true" outlineLevel="0" collapsed="false">
      <c r="A5" s="2269" t="s">
        <v>1247</v>
      </c>
      <c r="B5" s="2270"/>
      <c r="C5" s="2271"/>
      <c r="D5" s="2272"/>
      <c r="E5" s="2272"/>
      <c r="F5" s="2273"/>
      <c r="G5" s="2273"/>
      <c r="H5" s="2273"/>
      <c r="I5" s="2273"/>
      <c r="J5" s="2273"/>
      <c r="K5" s="2273"/>
      <c r="L5" s="2273"/>
      <c r="M5" s="2273"/>
      <c r="N5" s="2273"/>
      <c r="O5" s="2273"/>
      <c r="P5" s="2273"/>
      <c r="Q5" s="2273"/>
      <c r="R5" s="2274"/>
    </row>
    <row r="6" s="2280" customFormat="true" ht="13.5" hidden="false" customHeight="false" outlineLevel="0" collapsed="false">
      <c r="A6" s="2269"/>
      <c r="B6" s="2276" t="s">
        <v>1248</v>
      </c>
      <c r="C6" s="2277" t="s">
        <v>1249</v>
      </c>
      <c r="D6" s="2278"/>
      <c r="E6" s="2278" t="n">
        <f aca="false">SUM(F6:Q6)</f>
        <v>0</v>
      </c>
      <c r="F6" s="2278"/>
      <c r="G6" s="2278"/>
      <c r="H6" s="2278"/>
      <c r="I6" s="2278"/>
      <c r="J6" s="2278"/>
      <c r="K6" s="2278"/>
      <c r="L6" s="2278"/>
      <c r="M6" s="2278"/>
      <c r="N6" s="2278"/>
      <c r="O6" s="2278"/>
      <c r="P6" s="2278"/>
      <c r="Q6" s="2278"/>
      <c r="R6" s="2279"/>
      <c r="S6" s="2279"/>
      <c r="T6" s="2279"/>
      <c r="U6" s="2279"/>
      <c r="V6" s="2279"/>
      <c r="W6" s="2279"/>
      <c r="X6" s="2279"/>
      <c r="Y6" s="2279"/>
      <c r="Z6" s="2279"/>
      <c r="AA6" s="2279"/>
      <c r="AB6" s="2279"/>
    </row>
    <row r="7" s="2280" customFormat="true" ht="13.5" hidden="false" customHeight="false" outlineLevel="0" collapsed="false">
      <c r="A7" s="2269"/>
      <c r="B7" s="2276" t="s">
        <v>1248</v>
      </c>
      <c r="C7" s="2277" t="s">
        <v>1250</v>
      </c>
      <c r="D7" s="2278"/>
      <c r="E7" s="2278" t="n">
        <f aca="false">SUM(F7:Q7)</f>
        <v>0</v>
      </c>
      <c r="F7" s="2278"/>
      <c r="G7" s="2278"/>
      <c r="H7" s="2278"/>
      <c r="I7" s="2278"/>
      <c r="J7" s="2278"/>
      <c r="K7" s="2278"/>
      <c r="L7" s="2278"/>
      <c r="M7" s="2278"/>
      <c r="N7" s="2278"/>
      <c r="O7" s="2278"/>
      <c r="P7" s="2278"/>
      <c r="Q7" s="2278"/>
      <c r="R7" s="2279"/>
      <c r="S7" s="2279"/>
      <c r="T7" s="2279"/>
      <c r="U7" s="2279"/>
      <c r="V7" s="2279"/>
      <c r="W7" s="2279"/>
      <c r="X7" s="2279"/>
      <c r="Y7" s="2279"/>
      <c r="Z7" s="2279"/>
      <c r="AA7" s="2279"/>
      <c r="AB7" s="2279"/>
    </row>
    <row r="8" s="2280" customFormat="true" ht="13.5" hidden="false" customHeight="false" outlineLevel="0" collapsed="false">
      <c r="A8" s="2269"/>
      <c r="B8" s="2276" t="s">
        <v>1248</v>
      </c>
      <c r="C8" s="2277" t="s">
        <v>1251</v>
      </c>
      <c r="D8" s="2278"/>
      <c r="E8" s="2278" t="n">
        <f aca="false">SUM(F8:Q8)</f>
        <v>0</v>
      </c>
      <c r="F8" s="2278"/>
      <c r="G8" s="2278"/>
      <c r="H8" s="2278"/>
      <c r="I8" s="2278"/>
      <c r="J8" s="2278"/>
      <c r="K8" s="2278"/>
      <c r="L8" s="2278"/>
      <c r="M8" s="2278"/>
      <c r="N8" s="2278"/>
      <c r="O8" s="2278"/>
      <c r="P8" s="2278"/>
      <c r="Q8" s="2278"/>
      <c r="R8" s="2279" t="n">
        <v>0</v>
      </c>
      <c r="S8" s="2279"/>
      <c r="T8" s="2279"/>
      <c r="U8" s="2279"/>
      <c r="V8" s="2279"/>
      <c r="W8" s="2279"/>
      <c r="X8" s="2279"/>
      <c r="Y8" s="2279"/>
      <c r="Z8" s="2279"/>
      <c r="AA8" s="2279"/>
      <c r="AB8" s="2279"/>
    </row>
    <row r="9" s="2280" customFormat="true" ht="13.5" hidden="false" customHeight="false" outlineLevel="0" collapsed="false">
      <c r="A9" s="2269"/>
      <c r="B9" s="2276" t="s">
        <v>1248</v>
      </c>
      <c r="C9" s="2277" t="s">
        <v>1252</v>
      </c>
      <c r="D9" s="2278"/>
      <c r="E9" s="2278" t="n">
        <f aca="false">SUM(F9:Q9)</f>
        <v>0</v>
      </c>
      <c r="F9" s="2278"/>
      <c r="G9" s="2278"/>
      <c r="H9" s="2278"/>
      <c r="I9" s="2278"/>
      <c r="J9" s="2278"/>
      <c r="K9" s="2278"/>
      <c r="L9" s="2278"/>
      <c r="M9" s="2278"/>
      <c r="N9" s="2278"/>
      <c r="O9" s="2278"/>
      <c r="P9" s="2278"/>
      <c r="Q9" s="2278"/>
      <c r="R9" s="2279"/>
      <c r="S9" s="2279"/>
      <c r="T9" s="2279"/>
      <c r="U9" s="2279"/>
      <c r="V9" s="2279"/>
      <c r="W9" s="2279"/>
      <c r="X9" s="2279"/>
      <c r="Y9" s="2279"/>
      <c r="Z9" s="2279"/>
      <c r="AA9" s="2279"/>
      <c r="AB9" s="2279"/>
    </row>
    <row r="10" s="2280" customFormat="true" ht="7.5" hidden="false" customHeight="true" outlineLevel="0" collapsed="false">
      <c r="A10" s="2269"/>
      <c r="B10" s="2276"/>
      <c r="C10" s="2277"/>
      <c r="D10" s="2281"/>
      <c r="E10" s="2278"/>
      <c r="F10" s="2278"/>
      <c r="G10" s="2278"/>
      <c r="H10" s="2278"/>
      <c r="I10" s="2278"/>
      <c r="J10" s="2278"/>
      <c r="K10" s="2278"/>
      <c r="L10" s="2278"/>
      <c r="M10" s="2278"/>
      <c r="N10" s="2278"/>
      <c r="O10" s="2278"/>
      <c r="P10" s="2278"/>
      <c r="Q10" s="2278"/>
      <c r="R10" s="2279"/>
      <c r="S10" s="2279"/>
      <c r="T10" s="2279"/>
      <c r="U10" s="2279"/>
      <c r="V10" s="2279"/>
      <c r="W10" s="2279"/>
      <c r="X10" s="2279"/>
      <c r="Y10" s="2279"/>
      <c r="Z10" s="2279"/>
      <c r="AA10" s="2279"/>
      <c r="AB10" s="2279"/>
    </row>
    <row r="11" s="2280" customFormat="true" ht="13.5" hidden="false" customHeight="false" outlineLevel="0" collapsed="false">
      <c r="A11" s="2269"/>
      <c r="B11" s="2282" t="s">
        <v>1253</v>
      </c>
      <c r="C11" s="2283"/>
      <c r="D11" s="2284"/>
      <c r="E11" s="2284" t="n">
        <f aca="false">SUM(F11:Q11)</f>
        <v>0</v>
      </c>
      <c r="F11" s="2284"/>
      <c r="G11" s="2284"/>
      <c r="H11" s="2284"/>
      <c r="I11" s="2284"/>
      <c r="J11" s="2284"/>
      <c r="K11" s="2284"/>
      <c r="L11" s="2284"/>
      <c r="M11" s="2284"/>
      <c r="N11" s="2284"/>
      <c r="O11" s="2284"/>
      <c r="P11" s="2284"/>
      <c r="Q11" s="2284"/>
      <c r="R11" s="2279"/>
      <c r="S11" s="2279"/>
      <c r="T11" s="2279"/>
      <c r="U11" s="2279"/>
      <c r="V11" s="2279"/>
      <c r="W11" s="2279"/>
      <c r="X11" s="2279"/>
      <c r="Y11" s="2279"/>
      <c r="Z11" s="2279"/>
      <c r="AA11" s="2279"/>
      <c r="AB11" s="2279"/>
    </row>
    <row r="12" s="2280" customFormat="true" ht="15.75" hidden="false" customHeight="true" outlineLevel="0" collapsed="false">
      <c r="A12" s="2269"/>
      <c r="B12" s="2285"/>
      <c r="C12" s="2286" t="s">
        <v>1254</v>
      </c>
      <c r="D12" s="2287"/>
      <c r="E12" s="2288" t="n">
        <f aca="false">SUM(F12:Q12)</f>
        <v>0</v>
      </c>
      <c r="F12" s="2288"/>
      <c r="G12" s="2288"/>
      <c r="H12" s="2288"/>
      <c r="I12" s="2288"/>
      <c r="J12" s="2288"/>
      <c r="K12" s="2288"/>
      <c r="L12" s="2288"/>
      <c r="M12" s="2288"/>
      <c r="N12" s="2288"/>
      <c r="O12" s="2288"/>
      <c r="P12" s="2288"/>
      <c r="Q12" s="2288"/>
      <c r="R12" s="2279"/>
      <c r="S12" s="2279"/>
      <c r="T12" s="2279"/>
      <c r="U12" s="2279"/>
      <c r="V12" s="2279"/>
      <c r="W12" s="2279"/>
      <c r="X12" s="2279"/>
      <c r="Y12" s="2279"/>
      <c r="Z12" s="2279"/>
      <c r="AA12" s="2279"/>
      <c r="AB12" s="2279"/>
    </row>
    <row r="13" s="2292" customFormat="true" ht="7.5" hidden="false" customHeight="true" outlineLevel="0" collapsed="false">
      <c r="A13" s="2269"/>
      <c r="B13" s="2289"/>
      <c r="C13" s="2290"/>
      <c r="D13" s="2290"/>
      <c r="E13" s="2291" t="n">
        <f aca="false">SUM(F13:Q13)</f>
        <v>0</v>
      </c>
      <c r="F13" s="2291"/>
      <c r="G13" s="2291"/>
      <c r="H13" s="2291"/>
      <c r="I13" s="2291"/>
      <c r="J13" s="2291"/>
      <c r="K13" s="2291"/>
      <c r="L13" s="2291"/>
      <c r="M13" s="2291"/>
      <c r="N13" s="2291"/>
      <c r="O13" s="2291"/>
      <c r="P13" s="2291"/>
      <c r="Q13" s="2291"/>
      <c r="R13" s="2279"/>
      <c r="S13" s="2279"/>
      <c r="T13" s="2279"/>
      <c r="U13" s="2279"/>
      <c r="V13" s="2279"/>
      <c r="W13" s="2279"/>
      <c r="X13" s="2279"/>
      <c r="Y13" s="2279"/>
      <c r="Z13" s="2279"/>
      <c r="AA13" s="2279"/>
      <c r="AB13" s="2279"/>
    </row>
    <row r="14" s="2280" customFormat="true" ht="13.5" hidden="false" customHeight="false" outlineLevel="0" collapsed="false">
      <c r="A14" s="2269"/>
      <c r="B14" s="2293"/>
      <c r="C14" s="2294" t="s">
        <v>1255</v>
      </c>
      <c r="D14" s="2295"/>
      <c r="E14" s="2295" t="n">
        <f aca="false">SUM(F14:Q14)</f>
        <v>0</v>
      </c>
      <c r="F14" s="2295"/>
      <c r="G14" s="2295"/>
      <c r="H14" s="2295"/>
      <c r="I14" s="2295"/>
      <c r="J14" s="2295"/>
      <c r="K14" s="2295"/>
      <c r="L14" s="2295"/>
      <c r="M14" s="2295"/>
      <c r="N14" s="2295"/>
      <c r="O14" s="2295"/>
      <c r="P14" s="2295"/>
      <c r="Q14" s="2295"/>
      <c r="R14" s="2279"/>
      <c r="S14" s="2279"/>
      <c r="T14" s="2279"/>
      <c r="U14" s="2279"/>
      <c r="V14" s="2279"/>
      <c r="W14" s="2279"/>
      <c r="X14" s="2279"/>
      <c r="Y14" s="2279"/>
      <c r="Z14" s="2279"/>
      <c r="AA14" s="2279"/>
      <c r="AB14" s="2279"/>
    </row>
    <row r="15" s="2280" customFormat="true" ht="13.5" hidden="false" customHeight="false" outlineLevel="0" collapsed="false">
      <c r="A15" s="2269"/>
      <c r="B15" s="2276" t="s">
        <v>1248</v>
      </c>
      <c r="C15" s="2277" t="s">
        <v>1256</v>
      </c>
      <c r="D15" s="2278"/>
      <c r="E15" s="2278" t="n">
        <f aca="false">SUM(F15:Q15)</f>
        <v>0</v>
      </c>
      <c r="F15" s="2278"/>
      <c r="G15" s="2278"/>
      <c r="H15" s="2278"/>
      <c r="I15" s="2278"/>
      <c r="J15" s="2278"/>
      <c r="K15" s="2278"/>
      <c r="L15" s="2278"/>
      <c r="M15" s="2278"/>
      <c r="N15" s="2278"/>
      <c r="O15" s="2278"/>
      <c r="P15" s="2278"/>
      <c r="Q15" s="2278"/>
      <c r="R15" s="2279" t="n">
        <v>0</v>
      </c>
      <c r="S15" s="2279"/>
      <c r="T15" s="2279"/>
      <c r="U15" s="2279"/>
      <c r="V15" s="2279"/>
      <c r="W15" s="2279"/>
      <c r="X15" s="2279"/>
      <c r="Y15" s="2279"/>
      <c r="Z15" s="2279"/>
      <c r="AA15" s="2279"/>
      <c r="AB15" s="2279"/>
    </row>
    <row r="16" s="2280" customFormat="true" ht="13.5" hidden="false" customHeight="false" outlineLevel="0" collapsed="false">
      <c r="A16" s="2269"/>
      <c r="B16" s="2276" t="s">
        <v>1248</v>
      </c>
      <c r="C16" s="2277" t="s">
        <v>1257</v>
      </c>
      <c r="D16" s="2278"/>
      <c r="E16" s="2278" t="n">
        <f aca="false">SUM(F16:Q16)</f>
        <v>0</v>
      </c>
      <c r="F16" s="2278"/>
      <c r="G16" s="2278"/>
      <c r="H16" s="2278"/>
      <c r="I16" s="2278"/>
      <c r="J16" s="2278"/>
      <c r="K16" s="2278"/>
      <c r="L16" s="2278"/>
      <c r="M16" s="2278"/>
      <c r="N16" s="2278"/>
      <c r="O16" s="2278"/>
      <c r="P16" s="2278"/>
      <c r="Q16" s="2278"/>
      <c r="R16" s="2279"/>
      <c r="S16" s="2279"/>
      <c r="T16" s="2279"/>
      <c r="U16" s="2279"/>
      <c r="V16" s="2279"/>
      <c r="W16" s="2279"/>
      <c r="X16" s="2279"/>
      <c r="Y16" s="2279"/>
      <c r="Z16" s="2279"/>
      <c r="AA16" s="2279"/>
      <c r="AB16" s="2279"/>
    </row>
    <row r="17" s="2280" customFormat="true" ht="13.5" hidden="false" customHeight="false" outlineLevel="0" collapsed="false">
      <c r="A17" s="2269"/>
      <c r="B17" s="2276" t="s">
        <v>1248</v>
      </c>
      <c r="C17" s="2277" t="s">
        <v>1258</v>
      </c>
      <c r="D17" s="2278"/>
      <c r="E17" s="2278" t="n">
        <f aca="false">SUM(F17:Q17)</f>
        <v>0</v>
      </c>
      <c r="F17" s="2278"/>
      <c r="G17" s="2278"/>
      <c r="H17" s="2278"/>
      <c r="I17" s="2278"/>
      <c r="J17" s="2278"/>
      <c r="K17" s="2278"/>
      <c r="L17" s="2278"/>
      <c r="M17" s="2278"/>
      <c r="N17" s="2278"/>
      <c r="O17" s="2278"/>
      <c r="P17" s="2278"/>
      <c r="Q17" s="2278"/>
      <c r="R17" s="2279"/>
      <c r="S17" s="2279"/>
      <c r="T17" s="2279"/>
      <c r="U17" s="2279"/>
      <c r="V17" s="2279"/>
      <c r="W17" s="2279"/>
      <c r="X17" s="2279"/>
      <c r="Y17" s="2279"/>
      <c r="Z17" s="2279"/>
      <c r="AA17" s="2279"/>
      <c r="AB17" s="2279"/>
    </row>
    <row r="18" s="2280" customFormat="true" ht="13.5" hidden="false" customHeight="false" outlineLevel="0" collapsed="false">
      <c r="A18" s="2269"/>
      <c r="B18" s="2276" t="s">
        <v>1248</v>
      </c>
      <c r="C18" s="2277" t="s">
        <v>1259</v>
      </c>
      <c r="D18" s="2278"/>
      <c r="E18" s="2278" t="n">
        <f aca="false">SUM(F18:Q18)</f>
        <v>0</v>
      </c>
      <c r="F18" s="2278"/>
      <c r="G18" s="2278"/>
      <c r="H18" s="2278"/>
      <c r="I18" s="2278"/>
      <c r="J18" s="2278"/>
      <c r="K18" s="2278"/>
      <c r="L18" s="2278"/>
      <c r="M18" s="2278"/>
      <c r="N18" s="2278"/>
      <c r="O18" s="2278"/>
      <c r="P18" s="2278"/>
      <c r="Q18" s="2278"/>
      <c r="R18" s="2279"/>
      <c r="S18" s="2279"/>
      <c r="T18" s="2279"/>
      <c r="U18" s="2279"/>
      <c r="V18" s="2279"/>
      <c r="W18" s="2279"/>
      <c r="X18" s="2279"/>
      <c r="Y18" s="2279"/>
      <c r="Z18" s="2279"/>
      <c r="AA18" s="2279"/>
      <c r="AB18" s="2279"/>
    </row>
    <row r="19" s="2280" customFormat="true" ht="13.5" hidden="false" customHeight="false" outlineLevel="0" collapsed="false">
      <c r="A19" s="2269"/>
      <c r="B19" s="2276" t="s">
        <v>1248</v>
      </c>
      <c r="C19" s="2277" t="s">
        <v>1260</v>
      </c>
      <c r="D19" s="2278"/>
      <c r="E19" s="2278" t="n">
        <f aca="false">SUM(F19:Q19)</f>
        <v>0</v>
      </c>
      <c r="F19" s="2278"/>
      <c r="G19" s="2278"/>
      <c r="H19" s="2278"/>
      <c r="I19" s="2278"/>
      <c r="J19" s="2278"/>
      <c r="K19" s="2278"/>
      <c r="L19" s="2278"/>
      <c r="M19" s="2278"/>
      <c r="N19" s="2278"/>
      <c r="O19" s="2278"/>
      <c r="P19" s="2278"/>
      <c r="Q19" s="2278"/>
      <c r="R19" s="2279"/>
      <c r="S19" s="2279"/>
      <c r="T19" s="2279"/>
      <c r="U19" s="2279"/>
      <c r="V19" s="2279"/>
      <c r="W19" s="2279"/>
      <c r="X19" s="2279"/>
      <c r="Y19" s="2279"/>
      <c r="Z19" s="2279"/>
      <c r="AA19" s="2279"/>
      <c r="AB19" s="2279"/>
    </row>
    <row r="20" s="2280" customFormat="true" ht="13.5" hidden="false" customHeight="false" outlineLevel="0" collapsed="false">
      <c r="A20" s="2269"/>
      <c r="B20" s="2276" t="s">
        <v>1248</v>
      </c>
      <c r="C20" s="2277" t="s">
        <v>1261</v>
      </c>
      <c r="D20" s="2278"/>
      <c r="E20" s="2278" t="n">
        <f aca="false">SUM(F20:Q20)</f>
        <v>0</v>
      </c>
      <c r="F20" s="2278"/>
      <c r="G20" s="2278"/>
      <c r="H20" s="2278"/>
      <c r="I20" s="2278"/>
      <c r="J20" s="2278"/>
      <c r="K20" s="2278"/>
      <c r="L20" s="2278"/>
      <c r="M20" s="2278"/>
      <c r="N20" s="2278"/>
      <c r="O20" s="2278"/>
      <c r="P20" s="2278"/>
      <c r="Q20" s="2278"/>
      <c r="R20" s="2279"/>
      <c r="S20" s="2279"/>
      <c r="T20" s="2279"/>
      <c r="U20" s="2279"/>
      <c r="V20" s="2279"/>
      <c r="W20" s="2279"/>
      <c r="X20" s="2279"/>
      <c r="Y20" s="2279"/>
      <c r="Z20" s="2279"/>
      <c r="AA20" s="2279"/>
      <c r="AB20" s="2279"/>
    </row>
    <row r="21" s="2280" customFormat="true" ht="13.5" hidden="false" customHeight="false" outlineLevel="0" collapsed="false">
      <c r="A21" s="2269"/>
      <c r="B21" s="2276" t="s">
        <v>1248</v>
      </c>
      <c r="C21" s="2277" t="s">
        <v>1262</v>
      </c>
      <c r="D21" s="2278"/>
      <c r="E21" s="2278" t="n">
        <f aca="false">SUM(F21:Q21)</f>
        <v>0</v>
      </c>
      <c r="F21" s="2278"/>
      <c r="G21" s="2278"/>
      <c r="H21" s="2278"/>
      <c r="I21" s="2278"/>
      <c r="J21" s="2278"/>
      <c r="K21" s="2278"/>
      <c r="L21" s="2278"/>
      <c r="M21" s="2278"/>
      <c r="N21" s="2278"/>
      <c r="O21" s="2278"/>
      <c r="P21" s="2278"/>
      <c r="Q21" s="2278"/>
      <c r="R21" s="2279"/>
      <c r="S21" s="2279"/>
      <c r="T21" s="2279"/>
      <c r="U21" s="2279"/>
      <c r="V21" s="2279"/>
      <c r="W21" s="2279"/>
      <c r="X21" s="2279"/>
      <c r="Y21" s="2279"/>
      <c r="Z21" s="2279"/>
      <c r="AA21" s="2279"/>
      <c r="AB21" s="2279"/>
    </row>
    <row r="22" s="2280" customFormat="true" ht="18" hidden="false" customHeight="true" outlineLevel="0" collapsed="false">
      <c r="A22" s="2269"/>
      <c r="B22" s="2276" t="s">
        <v>1248</v>
      </c>
      <c r="C22" s="2277" t="s">
        <v>1263</v>
      </c>
      <c r="D22" s="2277"/>
      <c r="E22" s="2278" t="n">
        <f aca="false">SUM(F22:Q22)</f>
        <v>0</v>
      </c>
      <c r="F22" s="2278"/>
      <c r="G22" s="2278"/>
      <c r="H22" s="2278"/>
      <c r="I22" s="2278"/>
      <c r="J22" s="2278"/>
      <c r="K22" s="2278"/>
      <c r="L22" s="2278"/>
      <c r="M22" s="2278"/>
      <c r="N22" s="2278"/>
      <c r="O22" s="2278"/>
      <c r="P22" s="2278"/>
      <c r="Q22" s="2278"/>
      <c r="R22" s="2279"/>
      <c r="S22" s="2279"/>
      <c r="T22" s="2279"/>
      <c r="U22" s="2279"/>
      <c r="V22" s="2279"/>
      <c r="W22" s="2279"/>
      <c r="X22" s="2279"/>
      <c r="Y22" s="2279"/>
      <c r="Z22" s="2279"/>
      <c r="AA22" s="2279"/>
      <c r="AB22" s="2279"/>
    </row>
    <row r="23" s="2280" customFormat="true" ht="18" hidden="false" customHeight="true" outlineLevel="0" collapsed="false">
      <c r="A23" s="2269"/>
      <c r="B23" s="2293"/>
      <c r="C23" s="2294" t="s">
        <v>1264</v>
      </c>
      <c r="D23" s="2295"/>
      <c r="E23" s="2295" t="n">
        <f aca="false">SUM(F23:Q23)</f>
        <v>0</v>
      </c>
      <c r="F23" s="2295"/>
      <c r="G23" s="2295"/>
      <c r="H23" s="2295"/>
      <c r="I23" s="2295"/>
      <c r="J23" s="2295"/>
      <c r="K23" s="2295"/>
      <c r="L23" s="2295"/>
      <c r="M23" s="2295"/>
      <c r="N23" s="2295"/>
      <c r="O23" s="2295"/>
      <c r="P23" s="2295"/>
      <c r="Q23" s="2295"/>
      <c r="R23" s="2279"/>
      <c r="S23" s="2279"/>
      <c r="T23" s="2279"/>
      <c r="U23" s="2279"/>
      <c r="V23" s="2279"/>
      <c r="W23" s="2279"/>
      <c r="X23" s="2279"/>
      <c r="Y23" s="2279"/>
      <c r="Z23" s="2279"/>
      <c r="AA23" s="2279"/>
      <c r="AB23" s="2279"/>
    </row>
    <row r="24" s="2280" customFormat="true" ht="31.5" hidden="false" customHeight="true" outlineLevel="0" collapsed="false">
      <c r="A24" s="2269"/>
      <c r="B24" s="2296" t="s">
        <v>1248</v>
      </c>
      <c r="C24" s="2297" t="s">
        <v>1265</v>
      </c>
      <c r="D24" s="2278"/>
      <c r="E24" s="2278" t="n">
        <f aca="false">SUM(F24:Q24)</f>
        <v>0</v>
      </c>
      <c r="F24" s="2278"/>
      <c r="G24" s="2278"/>
      <c r="H24" s="2278"/>
      <c r="I24" s="2278"/>
      <c r="J24" s="2278"/>
      <c r="K24" s="2278"/>
      <c r="L24" s="2278"/>
      <c r="M24" s="2278"/>
      <c r="N24" s="2278"/>
      <c r="O24" s="2278"/>
      <c r="P24" s="2278"/>
      <c r="Q24" s="2278"/>
      <c r="R24" s="2279"/>
      <c r="S24" s="2279"/>
      <c r="T24" s="2279"/>
      <c r="U24" s="2279"/>
      <c r="V24" s="2279"/>
      <c r="W24" s="2279"/>
      <c r="X24" s="2279"/>
      <c r="Y24" s="2279"/>
      <c r="Z24" s="2279"/>
      <c r="AA24" s="2279"/>
      <c r="AB24" s="2279"/>
    </row>
    <row r="25" s="2280" customFormat="true" ht="12.75" hidden="false" customHeight="true" outlineLevel="0" collapsed="false">
      <c r="A25" s="2269"/>
      <c r="B25" s="2296" t="s">
        <v>1248</v>
      </c>
      <c r="C25" s="2297" t="s">
        <v>1266</v>
      </c>
      <c r="D25" s="2278"/>
      <c r="E25" s="2278" t="n">
        <f aca="false">SUM(F25:Q25)</f>
        <v>0</v>
      </c>
      <c r="F25" s="2278"/>
      <c r="G25" s="2278"/>
      <c r="H25" s="2278"/>
      <c r="I25" s="2278"/>
      <c r="J25" s="2278"/>
      <c r="K25" s="2278"/>
      <c r="L25" s="2278"/>
      <c r="M25" s="2278"/>
      <c r="N25" s="2278"/>
      <c r="O25" s="2278"/>
      <c r="P25" s="2278"/>
      <c r="Q25" s="2278"/>
      <c r="R25" s="2279"/>
      <c r="S25" s="2279"/>
      <c r="T25" s="2279"/>
      <c r="U25" s="2279"/>
      <c r="V25" s="2279"/>
      <c r="W25" s="2279"/>
      <c r="X25" s="2279"/>
      <c r="Y25" s="2279"/>
      <c r="Z25" s="2279"/>
      <c r="AA25" s="2279"/>
      <c r="AB25" s="2279"/>
      <c r="AC25" s="2279"/>
    </row>
    <row r="26" s="2280" customFormat="true" ht="13.5" hidden="false" customHeight="false" outlineLevel="0" collapsed="false">
      <c r="A26" s="2269"/>
      <c r="B26" s="2276" t="s">
        <v>1248</v>
      </c>
      <c r="C26" s="2277" t="s">
        <v>1267</v>
      </c>
      <c r="D26" s="2278"/>
      <c r="E26" s="2278" t="n">
        <f aca="false">SUM(F26:Q26)</f>
        <v>0</v>
      </c>
      <c r="F26" s="2278"/>
      <c r="G26" s="2278"/>
      <c r="H26" s="2278"/>
      <c r="I26" s="2278"/>
      <c r="J26" s="2278"/>
      <c r="K26" s="2278"/>
      <c r="L26" s="2278"/>
      <c r="M26" s="2278"/>
      <c r="N26" s="2278"/>
      <c r="O26" s="2278"/>
      <c r="P26" s="2278"/>
      <c r="Q26" s="2278"/>
      <c r="R26" s="2279"/>
      <c r="S26" s="2279"/>
      <c r="T26" s="2279"/>
      <c r="U26" s="2279"/>
      <c r="V26" s="2279"/>
      <c r="W26" s="2279"/>
      <c r="X26" s="2279"/>
      <c r="Y26" s="2279"/>
      <c r="Z26" s="2279"/>
      <c r="AA26" s="2279"/>
      <c r="AB26" s="2279"/>
      <c r="AC26" s="2279"/>
    </row>
    <row r="27" s="2280" customFormat="true" ht="13.5" hidden="false" customHeight="false" outlineLevel="0" collapsed="false">
      <c r="A27" s="2269"/>
      <c r="B27" s="2276" t="s">
        <v>1248</v>
      </c>
      <c r="C27" s="2277" t="s">
        <v>1268</v>
      </c>
      <c r="D27" s="2278"/>
      <c r="E27" s="2278" t="n">
        <f aca="false">SUM(F27:Q27)</f>
        <v>0</v>
      </c>
      <c r="F27" s="2278"/>
      <c r="G27" s="2278"/>
      <c r="H27" s="2278"/>
      <c r="I27" s="2278"/>
      <c r="J27" s="2278"/>
      <c r="K27" s="2278"/>
      <c r="L27" s="2278"/>
      <c r="M27" s="2278"/>
      <c r="N27" s="2278"/>
      <c r="O27" s="2278"/>
      <c r="P27" s="2278"/>
      <c r="Q27" s="2278"/>
      <c r="R27" s="2279"/>
      <c r="S27" s="2279"/>
      <c r="T27" s="2279"/>
      <c r="U27" s="2279"/>
      <c r="V27" s="2279"/>
      <c r="W27" s="2279"/>
      <c r="X27" s="2279"/>
      <c r="Y27" s="2279"/>
      <c r="Z27" s="2279"/>
      <c r="AA27" s="2279"/>
      <c r="AB27" s="2279"/>
    </row>
    <row r="28" s="2280" customFormat="true" ht="13.5" hidden="false" customHeight="false" outlineLevel="0" collapsed="false">
      <c r="A28" s="2269"/>
      <c r="B28" s="2276" t="s">
        <v>1248</v>
      </c>
      <c r="C28" s="2277" t="s">
        <v>1269</v>
      </c>
      <c r="D28" s="2278"/>
      <c r="E28" s="2278" t="n">
        <f aca="false">SUM(F28:Q28)</f>
        <v>0</v>
      </c>
      <c r="F28" s="2278"/>
      <c r="G28" s="2278"/>
      <c r="H28" s="2278"/>
      <c r="I28" s="2278"/>
      <c r="J28" s="2278"/>
      <c r="K28" s="2278"/>
      <c r="L28" s="2278"/>
      <c r="M28" s="2278"/>
      <c r="N28" s="2278"/>
      <c r="O28" s="2278"/>
      <c r="P28" s="2278"/>
      <c r="Q28" s="2278"/>
      <c r="R28" s="2279"/>
      <c r="S28" s="2279"/>
      <c r="T28" s="2279"/>
      <c r="U28" s="2279"/>
      <c r="V28" s="2279"/>
      <c r="W28" s="2279"/>
      <c r="X28" s="2279"/>
      <c r="Y28" s="2279"/>
      <c r="Z28" s="2279"/>
      <c r="AA28" s="2279"/>
      <c r="AB28" s="2279"/>
    </row>
    <row r="29" s="2280" customFormat="true" ht="13.5" hidden="false" customHeight="false" outlineLevel="0" collapsed="false">
      <c r="A29" s="2269"/>
      <c r="B29" s="2276" t="s">
        <v>1248</v>
      </c>
      <c r="C29" s="2277" t="s">
        <v>1270</v>
      </c>
      <c r="D29" s="2278"/>
      <c r="E29" s="2278" t="n">
        <f aca="false">SUM(F29:Q29)</f>
        <v>0</v>
      </c>
      <c r="F29" s="2278"/>
      <c r="G29" s="2278"/>
      <c r="H29" s="2278"/>
      <c r="I29" s="2278"/>
      <c r="J29" s="2278"/>
      <c r="K29" s="2278"/>
      <c r="L29" s="2278"/>
      <c r="M29" s="2278"/>
      <c r="N29" s="2278"/>
      <c r="O29" s="2278"/>
      <c r="P29" s="2278"/>
      <c r="Q29" s="2278"/>
      <c r="R29" s="2279"/>
      <c r="S29" s="2279"/>
      <c r="T29" s="2279"/>
      <c r="U29" s="2279"/>
      <c r="V29" s="2279"/>
      <c r="W29" s="2279"/>
      <c r="X29" s="2279"/>
      <c r="Y29" s="2279"/>
      <c r="Z29" s="2279"/>
      <c r="AA29" s="2279"/>
      <c r="AB29" s="2279"/>
    </row>
    <row r="30" s="2280" customFormat="true" ht="13.5" hidden="false" customHeight="false" outlineLevel="0" collapsed="false">
      <c r="A30" s="2269"/>
      <c r="B30" s="2276" t="s">
        <v>1248</v>
      </c>
      <c r="C30" s="2277" t="s">
        <v>1271</v>
      </c>
      <c r="D30" s="2278"/>
      <c r="E30" s="2278" t="n">
        <f aca="false">SUM(F30:Q30)</f>
        <v>0</v>
      </c>
      <c r="F30" s="2278"/>
      <c r="G30" s="2278"/>
      <c r="H30" s="2278"/>
      <c r="I30" s="2278"/>
      <c r="J30" s="2278"/>
      <c r="K30" s="2278"/>
      <c r="L30" s="2278"/>
      <c r="M30" s="2278"/>
      <c r="N30" s="2278"/>
      <c r="O30" s="2278"/>
      <c r="P30" s="2278"/>
      <c r="Q30" s="2278"/>
      <c r="R30" s="2279"/>
      <c r="S30" s="2279"/>
      <c r="T30" s="2279"/>
      <c r="U30" s="2279"/>
      <c r="V30" s="2279"/>
      <c r="W30" s="2279"/>
      <c r="X30" s="2279"/>
      <c r="Y30" s="2279"/>
      <c r="Z30" s="2279"/>
      <c r="AA30" s="2279"/>
      <c r="AB30" s="2279"/>
    </row>
    <row r="31" s="2280" customFormat="true" ht="7.5" hidden="false" customHeight="true" outlineLevel="0" collapsed="false">
      <c r="A31" s="2269"/>
      <c r="B31" s="2298"/>
      <c r="C31" s="2277"/>
      <c r="D31" s="2277"/>
      <c r="E31" s="2278" t="n">
        <f aca="false">SUM(F31:Q31)</f>
        <v>0</v>
      </c>
      <c r="F31" s="2278"/>
      <c r="G31" s="2278"/>
      <c r="H31" s="2278"/>
      <c r="I31" s="2278"/>
      <c r="J31" s="2278"/>
      <c r="K31" s="2278"/>
      <c r="L31" s="2278"/>
      <c r="M31" s="2278"/>
      <c r="N31" s="2278"/>
      <c r="O31" s="2278"/>
      <c r="P31" s="2278"/>
      <c r="Q31" s="2278"/>
      <c r="R31" s="2279"/>
      <c r="S31" s="2279"/>
      <c r="T31" s="2279"/>
      <c r="U31" s="2279"/>
      <c r="V31" s="2279"/>
      <c r="W31" s="2279"/>
      <c r="X31" s="2279"/>
      <c r="Y31" s="2279"/>
      <c r="Z31" s="2279"/>
      <c r="AA31" s="2279"/>
      <c r="AB31" s="2279"/>
    </row>
    <row r="32" s="2280" customFormat="true" ht="13.5" hidden="false" customHeight="false" outlineLevel="0" collapsed="false">
      <c r="A32" s="2269"/>
      <c r="B32" s="2299" t="s">
        <v>1272</v>
      </c>
      <c r="C32" s="2300"/>
      <c r="D32" s="2301"/>
      <c r="E32" s="2301" t="n">
        <f aca="false">SUM(F32:Q32)</f>
        <v>0</v>
      </c>
      <c r="F32" s="2301"/>
      <c r="G32" s="2301"/>
      <c r="H32" s="2301"/>
      <c r="I32" s="2301"/>
      <c r="J32" s="2301"/>
      <c r="K32" s="2301"/>
      <c r="L32" s="2301"/>
      <c r="M32" s="2301"/>
      <c r="N32" s="2301"/>
      <c r="O32" s="2301"/>
      <c r="P32" s="2301"/>
      <c r="Q32" s="2301"/>
      <c r="R32" s="2279"/>
      <c r="S32" s="2279"/>
      <c r="T32" s="2279"/>
      <c r="U32" s="2279"/>
      <c r="V32" s="2279"/>
      <c r="W32" s="2279"/>
      <c r="X32" s="2279"/>
      <c r="Y32" s="2279"/>
      <c r="Z32" s="2279"/>
      <c r="AA32" s="2279"/>
      <c r="AB32" s="2279"/>
    </row>
    <row r="33" s="2280" customFormat="true" ht="15.75" hidden="false" customHeight="true" outlineLevel="0" collapsed="false">
      <c r="A33" s="2269"/>
      <c r="B33" s="2302"/>
      <c r="C33" s="2303" t="s">
        <v>1273</v>
      </c>
      <c r="D33" s="2304"/>
      <c r="E33" s="2305" t="n">
        <f aca="false">SUM(F33:Q33)</f>
        <v>0</v>
      </c>
      <c r="F33" s="2305"/>
      <c r="G33" s="2305"/>
      <c r="H33" s="2305"/>
      <c r="I33" s="2305"/>
      <c r="J33" s="2305"/>
      <c r="K33" s="2305"/>
      <c r="L33" s="2305"/>
      <c r="M33" s="2305"/>
      <c r="N33" s="2305"/>
      <c r="O33" s="2305"/>
      <c r="P33" s="2305"/>
      <c r="Q33" s="2305"/>
      <c r="R33" s="2279"/>
      <c r="S33" s="2279"/>
      <c r="T33" s="2279"/>
      <c r="U33" s="2279"/>
      <c r="V33" s="2279"/>
      <c r="W33" s="2279"/>
      <c r="X33" s="2279"/>
      <c r="Y33" s="2279"/>
      <c r="Z33" s="2279"/>
      <c r="AA33" s="2279"/>
      <c r="AB33" s="2279"/>
    </row>
    <row r="34" s="2306" customFormat="true" ht="16.5" hidden="false" customHeight="false" outlineLevel="0" collapsed="false">
      <c r="A34" s="2269"/>
      <c r="C34" s="2306" t="s">
        <v>1274</v>
      </c>
      <c r="E34" s="2306" t="n">
        <f aca="false">SUM(F34:Q34)</f>
        <v>0</v>
      </c>
      <c r="K34" s="2307"/>
      <c r="R34" s="2279"/>
      <c r="S34" s="2279"/>
      <c r="T34" s="2279"/>
      <c r="U34" s="2279"/>
      <c r="V34" s="2279"/>
      <c r="W34" s="2279"/>
      <c r="X34" s="2279"/>
      <c r="Y34" s="2279"/>
      <c r="Z34" s="2279"/>
      <c r="AA34" s="2279"/>
      <c r="AB34" s="2279"/>
    </row>
    <row r="35" s="2280" customFormat="true" ht="13.5" hidden="false" customHeight="false" outlineLevel="0" collapsed="false">
      <c r="A35" s="2269"/>
      <c r="B35" s="2308" t="s">
        <v>1275</v>
      </c>
      <c r="C35" s="2309"/>
      <c r="D35" s="2310"/>
      <c r="E35" s="2311" t="n">
        <f aca="false">SUM(F35:Q35)</f>
        <v>0</v>
      </c>
      <c r="F35" s="2311"/>
      <c r="G35" s="2311"/>
      <c r="H35" s="2311"/>
      <c r="I35" s="2311"/>
      <c r="J35" s="2311"/>
      <c r="K35" s="2311"/>
      <c r="L35" s="2311"/>
      <c r="M35" s="2311"/>
      <c r="N35" s="2311"/>
      <c r="O35" s="2311"/>
      <c r="P35" s="2311"/>
      <c r="Q35" s="2311"/>
      <c r="R35" s="2279"/>
      <c r="S35" s="2279"/>
      <c r="T35" s="2279"/>
      <c r="U35" s="2279"/>
      <c r="V35" s="2279"/>
      <c r="W35" s="2279"/>
      <c r="X35" s="2279"/>
      <c r="Y35" s="2279"/>
      <c r="Z35" s="2279"/>
      <c r="AA35" s="2279"/>
      <c r="AB35" s="2279"/>
    </row>
    <row r="36" s="2280" customFormat="true" ht="15.75" hidden="false" customHeight="true" outlineLevel="0" collapsed="false">
      <c r="A36" s="2269"/>
      <c r="B36" s="2312"/>
      <c r="C36" s="2313" t="s">
        <v>1276</v>
      </c>
      <c r="D36" s="2314"/>
      <c r="E36" s="2315" t="n">
        <f aca="false">+Q36</f>
        <v>0</v>
      </c>
      <c r="F36" s="2315"/>
      <c r="G36" s="2315"/>
      <c r="H36" s="2315"/>
      <c r="I36" s="2315"/>
      <c r="J36" s="2315"/>
      <c r="K36" s="2315"/>
      <c r="L36" s="2315"/>
      <c r="M36" s="2315"/>
      <c r="N36" s="2315"/>
      <c r="O36" s="2315"/>
      <c r="P36" s="2315"/>
      <c r="Q36" s="2315"/>
      <c r="R36" s="2279"/>
      <c r="S36" s="2279"/>
      <c r="T36" s="2279"/>
      <c r="U36" s="2279"/>
      <c r="V36" s="2279"/>
      <c r="W36" s="2279"/>
      <c r="X36" s="2279"/>
      <c r="Y36" s="2279"/>
      <c r="Z36" s="2279"/>
      <c r="AA36" s="2279"/>
      <c r="AB36" s="2279"/>
    </row>
    <row r="37" s="2275" customFormat="true" ht="18" hidden="false" customHeight="true" outlineLevel="0" collapsed="false">
      <c r="E37" s="2316" t="n">
        <f aca="false">SUM(F37:Q37)</f>
        <v>0</v>
      </c>
      <c r="F37" s="2316"/>
      <c r="G37" s="2316"/>
      <c r="H37" s="2316"/>
      <c r="I37" s="2316"/>
      <c r="J37" s="2316"/>
      <c r="K37" s="2316"/>
      <c r="L37" s="2316"/>
      <c r="M37" s="2316"/>
      <c r="N37" s="2316"/>
      <c r="O37" s="2316"/>
      <c r="P37" s="2316"/>
      <c r="Q37" s="2316"/>
      <c r="R37" s="2279"/>
      <c r="S37" s="2279"/>
      <c r="T37" s="2279"/>
      <c r="U37" s="2279"/>
      <c r="V37" s="2279"/>
      <c r="W37" s="2279"/>
      <c r="X37" s="2279"/>
      <c r="Y37" s="2279"/>
      <c r="Z37" s="2279"/>
      <c r="AA37" s="2279"/>
      <c r="AB37" s="2279"/>
    </row>
    <row r="38" s="2280" customFormat="true" ht="3" hidden="false" customHeight="true" outlineLevel="0" collapsed="false">
      <c r="A38" s="2317" t="s">
        <v>1277</v>
      </c>
      <c r="B38" s="2318"/>
      <c r="C38" s="2319"/>
      <c r="D38" s="2319"/>
      <c r="E38" s="2320" t="n">
        <f aca="false">SUM(F38:Q38)</f>
        <v>0</v>
      </c>
      <c r="F38" s="2320"/>
      <c r="G38" s="2320"/>
      <c r="H38" s="2320"/>
      <c r="I38" s="2320"/>
      <c r="J38" s="2320"/>
      <c r="K38" s="2320"/>
      <c r="L38" s="2320"/>
      <c r="M38" s="2320"/>
      <c r="N38" s="2320"/>
      <c r="O38" s="2320"/>
      <c r="P38" s="2320"/>
      <c r="Q38" s="2320"/>
      <c r="R38" s="2279"/>
      <c r="S38" s="2279"/>
      <c r="T38" s="2279"/>
      <c r="U38" s="2279"/>
      <c r="V38" s="2279"/>
      <c r="W38" s="2279"/>
      <c r="X38" s="2279"/>
      <c r="Y38" s="2279"/>
      <c r="Z38" s="2279"/>
      <c r="AA38" s="2279"/>
      <c r="AB38" s="2279"/>
    </row>
    <row r="39" s="2280" customFormat="true" ht="18" hidden="false" customHeight="true" outlineLevel="0" collapsed="false">
      <c r="A39" s="2317"/>
      <c r="B39" s="2293"/>
      <c r="C39" s="2294" t="s">
        <v>1278</v>
      </c>
      <c r="D39" s="2295"/>
      <c r="E39" s="2295" t="n">
        <f aca="false">SUM(F39:Q39)</f>
        <v>0</v>
      </c>
      <c r="F39" s="2295"/>
      <c r="G39" s="2295"/>
      <c r="H39" s="2295"/>
      <c r="I39" s="2295"/>
      <c r="J39" s="2295"/>
      <c r="K39" s="2295"/>
      <c r="L39" s="2295"/>
      <c r="M39" s="2295"/>
      <c r="N39" s="2295"/>
      <c r="O39" s="2295"/>
      <c r="P39" s="2295"/>
      <c r="Q39" s="2295"/>
      <c r="R39" s="2279"/>
      <c r="S39" s="2279"/>
      <c r="T39" s="2279"/>
      <c r="U39" s="2279"/>
      <c r="V39" s="2279"/>
      <c r="W39" s="2279"/>
      <c r="X39" s="2279"/>
      <c r="Y39" s="2279"/>
      <c r="Z39" s="2279"/>
      <c r="AA39" s="2279"/>
      <c r="AB39" s="2279"/>
    </row>
    <row r="40" s="2280" customFormat="true" ht="15.75" hidden="false" customHeight="false" outlineLevel="0" collapsed="false">
      <c r="A40" s="2317"/>
      <c r="B40" s="2276" t="s">
        <v>1248</v>
      </c>
      <c r="C40" s="2277" t="s">
        <v>1279</v>
      </c>
      <c r="D40" s="2295"/>
      <c r="E40" s="2321" t="n">
        <f aca="false">SUM(F40:Q40)</f>
        <v>0</v>
      </c>
      <c r="F40" s="2321"/>
      <c r="G40" s="2321"/>
      <c r="H40" s="2321"/>
      <c r="I40" s="2321"/>
      <c r="J40" s="2321"/>
      <c r="K40" s="2321"/>
      <c r="L40" s="2321"/>
      <c r="M40" s="2321"/>
      <c r="N40" s="2321"/>
      <c r="O40" s="2321"/>
      <c r="P40" s="2321"/>
      <c r="Q40" s="2321"/>
      <c r="R40" s="2279"/>
      <c r="S40" s="2279"/>
      <c r="T40" s="2279"/>
      <c r="U40" s="2279"/>
      <c r="V40" s="2279"/>
      <c r="W40" s="2279"/>
      <c r="X40" s="2279"/>
      <c r="Y40" s="2279"/>
      <c r="Z40" s="2279"/>
      <c r="AA40" s="2279"/>
      <c r="AB40" s="2279"/>
    </row>
    <row r="41" s="2280" customFormat="true" ht="15.75" hidden="false" customHeight="false" outlineLevel="0" collapsed="false">
      <c r="A41" s="2317"/>
      <c r="B41" s="2276" t="s">
        <v>1248</v>
      </c>
      <c r="C41" s="2277" t="s">
        <v>1280</v>
      </c>
      <c r="D41" s="2295"/>
      <c r="E41" s="2321" t="n">
        <f aca="false">SUM(F41:Q41)</f>
        <v>0</v>
      </c>
      <c r="F41" s="2321"/>
      <c r="G41" s="2321"/>
      <c r="H41" s="2321"/>
      <c r="I41" s="2321"/>
      <c r="J41" s="2321"/>
      <c r="K41" s="2321"/>
      <c r="L41" s="2321"/>
      <c r="M41" s="2321"/>
      <c r="N41" s="2321"/>
      <c r="O41" s="2321"/>
      <c r="P41" s="2321"/>
      <c r="Q41" s="2321"/>
      <c r="R41" s="2279"/>
      <c r="S41" s="2279"/>
      <c r="T41" s="2279"/>
      <c r="U41" s="2279"/>
      <c r="V41" s="2279"/>
      <c r="W41" s="2279"/>
      <c r="X41" s="2279"/>
      <c r="Y41" s="2279"/>
      <c r="Z41" s="2279"/>
      <c r="AA41" s="2279"/>
      <c r="AB41" s="2279"/>
    </row>
    <row r="42" s="2280" customFormat="true" ht="16.5" hidden="false" customHeight="false" outlineLevel="0" collapsed="false">
      <c r="A42" s="2317"/>
      <c r="B42" s="2322"/>
      <c r="C42" s="2323"/>
      <c r="D42" s="2324"/>
      <c r="E42" s="2325" t="n">
        <f aca="false">SUM(F42:Q42)</f>
        <v>0</v>
      </c>
      <c r="F42" s="2325"/>
      <c r="G42" s="2325"/>
      <c r="H42" s="2325"/>
      <c r="I42" s="2325"/>
      <c r="J42" s="2325"/>
      <c r="K42" s="2325"/>
      <c r="L42" s="2325"/>
      <c r="M42" s="2325"/>
      <c r="N42" s="2325"/>
      <c r="O42" s="2325"/>
      <c r="P42" s="2325"/>
      <c r="Q42" s="2325"/>
      <c r="R42" s="2279"/>
      <c r="S42" s="2279"/>
      <c r="T42" s="2279"/>
      <c r="U42" s="2279"/>
      <c r="V42" s="2279"/>
      <c r="W42" s="2279"/>
      <c r="X42" s="2279"/>
      <c r="Y42" s="2279"/>
      <c r="Z42" s="2279"/>
      <c r="AA42" s="2279"/>
      <c r="AB42" s="2279"/>
    </row>
    <row r="43" s="2280" customFormat="true" ht="8.25" hidden="false" customHeight="true" outlineLevel="0" collapsed="false">
      <c r="A43" s="2317"/>
      <c r="B43" s="2275"/>
      <c r="C43" s="2275"/>
      <c r="D43" s="2275"/>
      <c r="E43" s="2275" t="n">
        <f aca="false">SUM(F43:Q43)</f>
        <v>0</v>
      </c>
      <c r="F43" s="2275"/>
      <c r="G43" s="2275"/>
      <c r="H43" s="2275"/>
      <c r="I43" s="2275"/>
      <c r="J43" s="2275"/>
      <c r="K43" s="2275"/>
      <c r="L43" s="2275"/>
      <c r="M43" s="2275"/>
      <c r="N43" s="2275"/>
      <c r="O43" s="2275"/>
      <c r="P43" s="2275"/>
      <c r="Q43" s="2275"/>
      <c r="R43" s="2279"/>
      <c r="S43" s="2279"/>
      <c r="T43" s="2279"/>
      <c r="U43" s="2279"/>
      <c r="V43" s="2279"/>
      <c r="W43" s="2279"/>
      <c r="X43" s="2279"/>
      <c r="Y43" s="2279"/>
      <c r="Z43" s="2279"/>
      <c r="AA43" s="2279"/>
      <c r="AB43" s="2279"/>
    </row>
    <row r="44" s="2280" customFormat="true" ht="13.5" hidden="false" customHeight="false" outlineLevel="0" collapsed="false">
      <c r="A44" s="2317"/>
      <c r="B44" s="2308" t="s">
        <v>1281</v>
      </c>
      <c r="C44" s="2309"/>
      <c r="D44" s="2310"/>
      <c r="E44" s="2310" t="n">
        <f aca="false">SUM(F44:Q44)</f>
        <v>0</v>
      </c>
      <c r="F44" s="2310"/>
      <c r="G44" s="2310"/>
      <c r="H44" s="2310"/>
      <c r="I44" s="2310"/>
      <c r="J44" s="2310"/>
      <c r="K44" s="2310"/>
      <c r="L44" s="2310"/>
      <c r="M44" s="2310"/>
      <c r="N44" s="2310"/>
      <c r="O44" s="2310"/>
      <c r="P44" s="2310"/>
      <c r="Q44" s="2310"/>
      <c r="R44" s="2279"/>
      <c r="S44" s="2279"/>
      <c r="T44" s="2279"/>
      <c r="U44" s="2279"/>
      <c r="V44" s="2279"/>
      <c r="W44" s="2279"/>
      <c r="X44" s="2279"/>
      <c r="Y44" s="2279"/>
      <c r="Z44" s="2279"/>
      <c r="AA44" s="2279"/>
      <c r="AB44" s="2279"/>
    </row>
    <row r="45" s="2280" customFormat="true" ht="15.75" hidden="false" customHeight="true" outlineLevel="0" collapsed="false">
      <c r="A45" s="2317"/>
      <c r="B45" s="2312"/>
      <c r="C45" s="2313" t="s">
        <v>1276</v>
      </c>
      <c r="D45" s="2314"/>
      <c r="E45" s="2326" t="n">
        <f aca="false">SUM(F45:Q45)</f>
        <v>0</v>
      </c>
      <c r="F45" s="2326"/>
      <c r="G45" s="2326"/>
      <c r="H45" s="2326"/>
      <c r="I45" s="2326"/>
      <c r="J45" s="2326"/>
      <c r="K45" s="2326"/>
      <c r="L45" s="2326"/>
      <c r="M45" s="2326"/>
      <c r="N45" s="2326"/>
      <c r="O45" s="2326"/>
      <c r="P45" s="2326"/>
      <c r="Q45" s="2326"/>
      <c r="R45" s="2279"/>
      <c r="S45" s="2279"/>
      <c r="T45" s="2279"/>
      <c r="U45" s="2279"/>
      <c r="V45" s="2279"/>
      <c r="W45" s="2279"/>
      <c r="X45" s="2279"/>
      <c r="Y45" s="2279"/>
      <c r="Z45" s="2279"/>
      <c r="AA45" s="2279"/>
      <c r="AB45" s="2279"/>
    </row>
    <row r="46" s="2275" customFormat="true" ht="16.5" hidden="false" customHeight="true" outlineLevel="0" collapsed="false">
      <c r="E46" s="2275" t="n">
        <f aca="false">SUM(F46:Q46)</f>
        <v>0</v>
      </c>
      <c r="R46" s="2279" t="n">
        <v>0</v>
      </c>
      <c r="S46" s="2279"/>
      <c r="T46" s="2279"/>
      <c r="U46" s="2279"/>
      <c r="V46" s="2279"/>
      <c r="W46" s="2279"/>
      <c r="X46" s="2279"/>
      <c r="Y46" s="2279"/>
      <c r="Z46" s="2279"/>
      <c r="AA46" s="2279"/>
      <c r="AB46" s="2279"/>
    </row>
    <row r="47" s="2331" customFormat="true" ht="18" hidden="false" customHeight="true" outlineLevel="0" collapsed="false">
      <c r="A47" s="2327" t="s">
        <v>1282</v>
      </c>
      <c r="B47" s="2328"/>
      <c r="C47" s="2329" t="s">
        <v>1283</v>
      </c>
      <c r="D47" s="2330"/>
      <c r="E47" s="2330" t="n">
        <f aca="false">SUM(F47:Q47)</f>
        <v>0</v>
      </c>
      <c r="F47" s="2330"/>
      <c r="G47" s="2330"/>
      <c r="H47" s="2330"/>
      <c r="I47" s="2330"/>
      <c r="J47" s="2330"/>
      <c r="K47" s="2330"/>
      <c r="L47" s="2330"/>
      <c r="M47" s="2330"/>
      <c r="N47" s="2330"/>
      <c r="O47" s="2330"/>
      <c r="P47" s="2330"/>
      <c r="Q47" s="2330"/>
      <c r="R47" s="2279"/>
      <c r="S47" s="2279"/>
      <c r="T47" s="2279"/>
      <c r="U47" s="2279"/>
      <c r="V47" s="2279"/>
      <c r="W47" s="2279"/>
      <c r="X47" s="2279"/>
      <c r="Y47" s="2279"/>
      <c r="Z47" s="2279"/>
      <c r="AA47" s="2279"/>
      <c r="AB47" s="2279"/>
    </row>
    <row r="48" s="2280" customFormat="true" ht="18" hidden="false" customHeight="true" outlineLevel="0" collapsed="false">
      <c r="A48" s="2327"/>
      <c r="B48" s="2276" t="s">
        <v>1248</v>
      </c>
      <c r="C48" s="2277" t="s">
        <v>1284</v>
      </c>
      <c r="D48" s="2278"/>
      <c r="E48" s="2278" t="n">
        <f aca="false">SUM(F48:Q48)</f>
        <v>0</v>
      </c>
      <c r="F48" s="2278"/>
      <c r="G48" s="2278"/>
      <c r="H48" s="2278"/>
      <c r="I48" s="2278"/>
      <c r="J48" s="2278"/>
      <c r="K48" s="2278"/>
      <c r="L48" s="2278"/>
      <c r="M48" s="2278"/>
      <c r="N48" s="2278"/>
      <c r="O48" s="2278"/>
      <c r="P48" s="2278"/>
      <c r="Q48" s="2278"/>
      <c r="R48" s="2279"/>
      <c r="S48" s="2279"/>
      <c r="T48" s="2279"/>
      <c r="U48" s="2279"/>
      <c r="V48" s="2279"/>
      <c r="W48" s="2279"/>
      <c r="X48" s="2279"/>
      <c r="Y48" s="2279"/>
      <c r="Z48" s="2279"/>
      <c r="AA48" s="2279"/>
      <c r="AB48" s="2279"/>
    </row>
    <row r="49" s="2280" customFormat="true" ht="13.5" hidden="false" customHeight="false" outlineLevel="0" collapsed="false">
      <c r="A49" s="2327"/>
      <c r="B49" s="2276" t="s">
        <v>1248</v>
      </c>
      <c r="C49" s="2277" t="s">
        <v>1285</v>
      </c>
      <c r="D49" s="2278"/>
      <c r="E49" s="2278" t="n">
        <f aca="false">SUM(F49:Q49)</f>
        <v>0</v>
      </c>
      <c r="F49" s="2278"/>
      <c r="G49" s="2278"/>
      <c r="H49" s="2278"/>
      <c r="I49" s="2278"/>
      <c r="J49" s="2278"/>
      <c r="K49" s="2278"/>
      <c r="L49" s="2278"/>
      <c r="M49" s="2278"/>
      <c r="N49" s="2278"/>
      <c r="O49" s="2278"/>
      <c r="P49" s="2278"/>
      <c r="Q49" s="2278"/>
      <c r="R49" s="2279"/>
      <c r="S49" s="2279"/>
      <c r="T49" s="2279"/>
      <c r="U49" s="2279"/>
      <c r="V49" s="2279"/>
      <c r="W49" s="2279"/>
      <c r="X49" s="2279"/>
      <c r="Y49" s="2279"/>
      <c r="Z49" s="2279"/>
      <c r="AA49" s="2279"/>
      <c r="AB49" s="2279"/>
    </row>
    <row r="50" s="2280" customFormat="true" ht="13.5" hidden="false" customHeight="false" outlineLevel="0" collapsed="false">
      <c r="A50" s="2327"/>
      <c r="B50" s="2276" t="s">
        <v>1248</v>
      </c>
      <c r="C50" s="2277" t="s">
        <v>1286</v>
      </c>
      <c r="D50" s="2278"/>
      <c r="E50" s="2278" t="n">
        <f aca="false">SUM(F50:Q50)</f>
        <v>0</v>
      </c>
      <c r="F50" s="2278"/>
      <c r="G50" s="2278"/>
      <c r="H50" s="2278"/>
      <c r="I50" s="2278"/>
      <c r="J50" s="2278"/>
      <c r="K50" s="2278"/>
      <c r="L50" s="2278"/>
      <c r="M50" s="2278"/>
      <c r="N50" s="2278"/>
      <c r="O50" s="2278"/>
      <c r="P50" s="2278"/>
      <c r="Q50" s="2278"/>
      <c r="R50" s="2279"/>
      <c r="S50" s="2279"/>
      <c r="T50" s="2279"/>
      <c r="U50" s="2279"/>
      <c r="V50" s="2279"/>
      <c r="W50" s="2279"/>
      <c r="X50" s="2279"/>
      <c r="Y50" s="2279"/>
      <c r="Z50" s="2279"/>
      <c r="AA50" s="2279"/>
      <c r="AB50" s="2279"/>
    </row>
    <row r="51" s="2280" customFormat="true" ht="13.5" hidden="false" customHeight="false" outlineLevel="0" collapsed="false">
      <c r="A51" s="2327"/>
      <c r="B51" s="2276" t="s">
        <v>1248</v>
      </c>
      <c r="C51" s="2277" t="s">
        <v>1287</v>
      </c>
      <c r="D51" s="2278"/>
      <c r="E51" s="2278" t="n">
        <f aca="false">SUM(F51:Q51)</f>
        <v>0</v>
      </c>
      <c r="F51" s="2278"/>
      <c r="G51" s="2278"/>
      <c r="H51" s="2278"/>
      <c r="I51" s="2278"/>
      <c r="J51" s="2278"/>
      <c r="K51" s="2278"/>
      <c r="L51" s="2278"/>
      <c r="M51" s="2278"/>
      <c r="N51" s="2278"/>
      <c r="O51" s="2278"/>
      <c r="P51" s="2278"/>
      <c r="Q51" s="2278"/>
      <c r="R51" s="2279"/>
      <c r="S51" s="2279"/>
      <c r="T51" s="2279"/>
      <c r="U51" s="2279"/>
      <c r="V51" s="2279"/>
      <c r="W51" s="2279"/>
      <c r="X51" s="2279"/>
      <c r="Y51" s="2279"/>
      <c r="Z51" s="2279"/>
      <c r="AA51" s="2279"/>
      <c r="AB51" s="2279"/>
    </row>
    <row r="52" s="2280" customFormat="true" ht="13.5" hidden="false" customHeight="false" outlineLevel="0" collapsed="false">
      <c r="A52" s="2327"/>
      <c r="B52" s="2276" t="s">
        <v>1248</v>
      </c>
      <c r="C52" s="2277" t="s">
        <v>1288</v>
      </c>
      <c r="D52" s="2278"/>
      <c r="E52" s="2278" t="n">
        <f aca="false">SUM(F52:Q52)</f>
        <v>0</v>
      </c>
      <c r="F52" s="2278"/>
      <c r="G52" s="2278"/>
      <c r="H52" s="2278"/>
      <c r="I52" s="2278"/>
      <c r="J52" s="2278"/>
      <c r="K52" s="2278"/>
      <c r="L52" s="2278"/>
      <c r="M52" s="2278"/>
      <c r="N52" s="2278"/>
      <c r="O52" s="2278"/>
      <c r="P52" s="2278"/>
      <c r="Q52" s="2278"/>
      <c r="R52" s="2279"/>
      <c r="S52" s="2279"/>
      <c r="T52" s="2279"/>
      <c r="U52" s="2279"/>
      <c r="V52" s="2279"/>
      <c r="W52" s="2279"/>
      <c r="X52" s="2279"/>
      <c r="Y52" s="2279"/>
      <c r="Z52" s="2279"/>
      <c r="AA52" s="2279"/>
      <c r="AB52" s="2279"/>
    </row>
    <row r="53" s="2280" customFormat="true" ht="13.5" hidden="false" customHeight="false" outlineLevel="0" collapsed="false">
      <c r="A53" s="2327"/>
      <c r="B53" s="2276" t="s">
        <v>1248</v>
      </c>
      <c r="C53" s="2277" t="s">
        <v>1289</v>
      </c>
      <c r="D53" s="2278"/>
      <c r="E53" s="2278" t="n">
        <f aca="false">SUM(F53:Q53)</f>
        <v>0</v>
      </c>
      <c r="F53" s="2278"/>
      <c r="G53" s="2278"/>
      <c r="H53" s="2278"/>
      <c r="I53" s="2278"/>
      <c r="J53" s="2278"/>
      <c r="K53" s="2278"/>
      <c r="L53" s="2278"/>
      <c r="M53" s="2278"/>
      <c r="N53" s="2278"/>
      <c r="O53" s="2278"/>
      <c r="P53" s="2278"/>
      <c r="Q53" s="2278"/>
      <c r="R53" s="2279"/>
      <c r="S53" s="2279"/>
      <c r="T53" s="2279"/>
      <c r="U53" s="2279"/>
      <c r="V53" s="2279"/>
      <c r="W53" s="2279"/>
      <c r="X53" s="2279"/>
      <c r="Y53" s="2279"/>
      <c r="Z53" s="2279"/>
      <c r="AA53" s="2279"/>
      <c r="AB53" s="2279"/>
    </row>
    <row r="54" s="2280" customFormat="true" ht="15" hidden="false" customHeight="false" outlineLevel="0" collapsed="false">
      <c r="A54" s="2327"/>
      <c r="B54" s="2322" t="s">
        <v>1248</v>
      </c>
      <c r="C54" s="2323" t="s">
        <v>1290</v>
      </c>
      <c r="D54" s="2332"/>
      <c r="E54" s="2332" t="n">
        <f aca="false">SUM(F54:Q54)</f>
        <v>0</v>
      </c>
      <c r="F54" s="2332"/>
      <c r="G54" s="2332"/>
      <c r="H54" s="2332"/>
      <c r="I54" s="2332"/>
      <c r="J54" s="2332"/>
      <c r="K54" s="2332"/>
      <c r="L54" s="2332"/>
      <c r="M54" s="2332"/>
      <c r="N54" s="2332"/>
      <c r="O54" s="2332"/>
      <c r="P54" s="2332"/>
      <c r="Q54" s="2332"/>
      <c r="R54" s="2279"/>
      <c r="S54" s="2279"/>
      <c r="T54" s="2279"/>
      <c r="U54" s="2279"/>
      <c r="V54" s="2279"/>
      <c r="W54" s="2279"/>
      <c r="X54" s="2279"/>
      <c r="Y54" s="2279"/>
      <c r="Z54" s="2279"/>
      <c r="AA54" s="2279"/>
      <c r="AB54" s="2279"/>
    </row>
    <row r="55" s="2280" customFormat="true" ht="3" hidden="false" customHeight="true" outlineLevel="0" collapsed="false">
      <c r="A55" s="2327"/>
      <c r="B55" s="2275"/>
      <c r="C55" s="2275"/>
      <c r="D55" s="2275"/>
      <c r="E55" s="2275" t="n">
        <f aca="false">SUM(F55:Q55)</f>
        <v>0</v>
      </c>
      <c r="F55" s="2275"/>
      <c r="G55" s="2275"/>
      <c r="H55" s="2275"/>
      <c r="I55" s="2275"/>
      <c r="J55" s="2275"/>
      <c r="K55" s="2275"/>
      <c r="L55" s="2275"/>
      <c r="M55" s="2275"/>
      <c r="N55" s="2275"/>
      <c r="O55" s="2275"/>
      <c r="P55" s="2275"/>
      <c r="Q55" s="2275"/>
      <c r="R55" s="2279"/>
      <c r="S55" s="2279"/>
      <c r="T55" s="2279"/>
      <c r="U55" s="2279"/>
      <c r="V55" s="2279"/>
      <c r="W55" s="2279"/>
      <c r="X55" s="2279"/>
      <c r="Y55" s="2279"/>
      <c r="Z55" s="2279"/>
      <c r="AA55" s="2279"/>
      <c r="AB55" s="2279"/>
    </row>
    <row r="56" s="2280" customFormat="true" ht="5.25" hidden="false" customHeight="true" outlineLevel="0" collapsed="false">
      <c r="A56" s="2327"/>
      <c r="B56" s="2275"/>
      <c r="C56" s="2275"/>
      <c r="D56" s="2275"/>
      <c r="E56" s="2275" t="n">
        <f aca="false">SUM(F56:Q56)</f>
        <v>0</v>
      </c>
      <c r="F56" s="2275"/>
      <c r="G56" s="2275"/>
      <c r="H56" s="2275"/>
      <c r="I56" s="2275"/>
      <c r="J56" s="2275"/>
      <c r="K56" s="2275"/>
      <c r="L56" s="2275"/>
      <c r="M56" s="2275"/>
      <c r="N56" s="2275"/>
      <c r="O56" s="2275"/>
      <c r="P56" s="2275"/>
      <c r="Q56" s="2275"/>
      <c r="R56" s="2279"/>
      <c r="S56" s="2279"/>
      <c r="T56" s="2279"/>
      <c r="U56" s="2279"/>
      <c r="V56" s="2279"/>
      <c r="W56" s="2279"/>
      <c r="X56" s="2279"/>
      <c r="Y56" s="2279"/>
      <c r="Z56" s="2279"/>
      <c r="AA56" s="2279"/>
      <c r="AB56" s="2279"/>
    </row>
    <row r="57" s="2280" customFormat="true" ht="13.5" hidden="false" customHeight="false" outlineLevel="0" collapsed="false">
      <c r="A57" s="2327"/>
      <c r="B57" s="2333" t="s">
        <v>1291</v>
      </c>
      <c r="C57" s="2309"/>
      <c r="D57" s="2310"/>
      <c r="E57" s="2310" t="n">
        <f aca="false">SUM(F57:Q57)</f>
        <v>0</v>
      </c>
      <c r="F57" s="2310"/>
      <c r="G57" s="2310"/>
      <c r="H57" s="2310"/>
      <c r="I57" s="2310"/>
      <c r="J57" s="2310"/>
      <c r="K57" s="2310"/>
      <c r="L57" s="2310"/>
      <c r="M57" s="2310"/>
      <c r="N57" s="2310"/>
      <c r="O57" s="2310"/>
      <c r="P57" s="2310"/>
      <c r="Q57" s="2310"/>
      <c r="R57" s="2279"/>
      <c r="S57" s="2279"/>
      <c r="T57" s="2279"/>
      <c r="U57" s="2279"/>
      <c r="V57" s="2279"/>
      <c r="W57" s="2279"/>
      <c r="X57" s="2279"/>
      <c r="Y57" s="2279"/>
      <c r="Z57" s="2279"/>
      <c r="AA57" s="2279"/>
      <c r="AB57" s="2279"/>
    </row>
    <row r="58" s="2280" customFormat="true" ht="15.75" hidden="false" customHeight="true" outlineLevel="0" collapsed="false">
      <c r="A58" s="2327"/>
      <c r="B58" s="2334"/>
      <c r="C58" s="2335" t="s">
        <v>1273</v>
      </c>
      <c r="D58" s="2314"/>
      <c r="E58" s="2326" t="n">
        <f aca="false">SUM(F58:Q58)</f>
        <v>0</v>
      </c>
      <c r="F58" s="2326"/>
      <c r="G58" s="2326"/>
      <c r="H58" s="2326"/>
      <c r="I58" s="2326"/>
      <c r="J58" s="2326"/>
      <c r="K58" s="2326"/>
      <c r="L58" s="2326"/>
      <c r="M58" s="2326"/>
      <c r="N58" s="2326"/>
      <c r="O58" s="2326"/>
      <c r="P58" s="2326"/>
      <c r="Q58" s="2326"/>
      <c r="R58" s="2279"/>
      <c r="S58" s="2279"/>
      <c r="T58" s="2279"/>
      <c r="U58" s="2279"/>
      <c r="V58" s="2279"/>
      <c r="W58" s="2279"/>
      <c r="X58" s="2279"/>
      <c r="Y58" s="2279"/>
      <c r="Z58" s="2279"/>
      <c r="AA58" s="2279"/>
      <c r="AB58" s="2279"/>
    </row>
    <row r="59" s="2275" customFormat="true" ht="27.75" hidden="false" customHeight="true" outlineLevel="0" collapsed="false">
      <c r="E59" s="2275" t="n">
        <f aca="false">SUM(F59:Q59)</f>
        <v>0</v>
      </c>
      <c r="R59" s="2279"/>
      <c r="S59" s="2279"/>
      <c r="T59" s="2279"/>
      <c r="U59" s="2279"/>
      <c r="V59" s="2279"/>
      <c r="W59" s="2279"/>
      <c r="X59" s="2279"/>
      <c r="Y59" s="2279"/>
      <c r="Z59" s="2279"/>
      <c r="AA59" s="2279"/>
      <c r="AB59" s="2279"/>
    </row>
    <row r="60" s="2280" customFormat="true" ht="17.25" hidden="false" customHeight="true" outlineLevel="0" collapsed="false">
      <c r="A60" s="2327" t="s">
        <v>1292</v>
      </c>
      <c r="B60" s="2318"/>
      <c r="C60" s="2336"/>
      <c r="D60" s="2337"/>
      <c r="E60" s="2338" t="n">
        <f aca="false">SUM(F60:Q60)</f>
        <v>0</v>
      </c>
      <c r="F60" s="2338"/>
      <c r="G60" s="2338"/>
      <c r="H60" s="2338"/>
      <c r="I60" s="2338"/>
      <c r="J60" s="2338"/>
      <c r="K60" s="2338"/>
      <c r="L60" s="2338"/>
      <c r="M60" s="2338"/>
      <c r="N60" s="2338"/>
      <c r="O60" s="2338"/>
      <c r="P60" s="2338"/>
      <c r="Q60" s="2338"/>
      <c r="R60" s="2279"/>
      <c r="S60" s="2279"/>
      <c r="T60" s="2279"/>
      <c r="U60" s="2279"/>
      <c r="V60" s="2279"/>
      <c r="W60" s="2279"/>
      <c r="X60" s="2279"/>
      <c r="Y60" s="2279"/>
      <c r="Z60" s="2279"/>
      <c r="AA60" s="2279"/>
      <c r="AB60" s="2279"/>
    </row>
    <row r="61" s="2280" customFormat="true" ht="30.75" hidden="false" customHeight="true" outlineLevel="0" collapsed="false">
      <c r="A61" s="2327"/>
      <c r="B61" s="2339"/>
      <c r="C61" s="2340" t="s">
        <v>1293</v>
      </c>
      <c r="D61" s="2321"/>
      <c r="E61" s="2321" t="n">
        <f aca="false">SUM(F61:Q61)</f>
        <v>0</v>
      </c>
      <c r="F61" s="2321"/>
      <c r="G61" s="2321"/>
      <c r="H61" s="2321"/>
      <c r="I61" s="2321"/>
      <c r="J61" s="2321"/>
      <c r="K61" s="2321"/>
      <c r="L61" s="2321"/>
      <c r="M61" s="2321"/>
      <c r="N61" s="2321"/>
      <c r="O61" s="2321"/>
      <c r="P61" s="2321"/>
      <c r="Q61" s="2321"/>
      <c r="R61" s="2279"/>
      <c r="S61" s="2279"/>
      <c r="T61" s="2279"/>
      <c r="U61" s="2279"/>
      <c r="V61" s="2279"/>
      <c r="W61" s="2279"/>
      <c r="X61" s="2279"/>
      <c r="Y61" s="2279"/>
      <c r="Z61" s="2279"/>
      <c r="AA61" s="2279"/>
      <c r="AB61" s="2279"/>
    </row>
    <row r="62" s="2280" customFormat="true" ht="30.75" hidden="false" customHeight="true" outlineLevel="0" collapsed="false">
      <c r="A62" s="2327"/>
      <c r="B62" s="2339"/>
      <c r="C62" s="2340" t="s">
        <v>1294</v>
      </c>
      <c r="D62" s="2321"/>
      <c r="E62" s="2321" t="n">
        <f aca="false">SUM(F62:Q62)</f>
        <v>0</v>
      </c>
      <c r="F62" s="2321"/>
      <c r="G62" s="2321"/>
      <c r="H62" s="2321"/>
      <c r="I62" s="2321"/>
      <c r="J62" s="2321"/>
      <c r="K62" s="2321"/>
      <c r="L62" s="2321"/>
      <c r="M62" s="2321"/>
      <c r="N62" s="2321"/>
      <c r="O62" s="2321"/>
      <c r="P62" s="2321"/>
      <c r="Q62" s="2321"/>
      <c r="R62" s="2279"/>
      <c r="S62" s="2279"/>
      <c r="T62" s="2279"/>
      <c r="U62" s="2279"/>
      <c r="V62" s="2279"/>
      <c r="W62" s="2279"/>
      <c r="X62" s="2279"/>
      <c r="Y62" s="2279"/>
      <c r="Z62" s="2279"/>
      <c r="AA62" s="2279"/>
      <c r="AB62" s="2279"/>
    </row>
    <row r="63" s="2280" customFormat="true" ht="25.5" hidden="false" customHeight="true" outlineLevel="0" collapsed="false">
      <c r="A63" s="2327"/>
      <c r="B63" s="2339"/>
      <c r="C63" s="2341"/>
      <c r="D63" s="2321"/>
      <c r="E63" s="2321" t="n">
        <f aca="false">SUM(F63:Q63)</f>
        <v>0</v>
      </c>
      <c r="F63" s="2321"/>
      <c r="G63" s="2321"/>
      <c r="H63" s="2321"/>
      <c r="I63" s="2321"/>
      <c r="J63" s="2321"/>
      <c r="K63" s="2321"/>
      <c r="L63" s="2321"/>
      <c r="M63" s="2321"/>
      <c r="N63" s="2321"/>
      <c r="O63" s="2321"/>
      <c r="P63" s="2321"/>
      <c r="Q63" s="2321"/>
      <c r="R63" s="2279"/>
      <c r="S63" s="2279"/>
      <c r="T63" s="2279"/>
      <c r="U63" s="2279"/>
      <c r="V63" s="2279"/>
      <c r="W63" s="2279"/>
      <c r="X63" s="2279"/>
      <c r="Y63" s="2279"/>
      <c r="Z63" s="2279"/>
      <c r="AA63" s="2279"/>
      <c r="AB63" s="2279"/>
    </row>
    <row r="64" s="2280" customFormat="true" ht="16.5" hidden="false" customHeight="false" outlineLevel="0" collapsed="false">
      <c r="A64" s="2327"/>
      <c r="B64" s="2342"/>
      <c r="C64" s="2343"/>
      <c r="D64" s="2343"/>
      <c r="E64" s="2325" t="n">
        <f aca="false">SUM(F64:Q64)</f>
        <v>0</v>
      </c>
      <c r="F64" s="2325"/>
      <c r="G64" s="2325"/>
      <c r="H64" s="2325"/>
      <c r="I64" s="2325"/>
      <c r="J64" s="2325"/>
      <c r="K64" s="2325"/>
      <c r="L64" s="2325"/>
      <c r="M64" s="2325"/>
      <c r="N64" s="2325"/>
      <c r="O64" s="2325"/>
      <c r="P64" s="2325"/>
      <c r="Q64" s="2325"/>
      <c r="R64" s="2279"/>
      <c r="S64" s="2279"/>
      <c r="T64" s="2279"/>
      <c r="U64" s="2279"/>
      <c r="V64" s="2279"/>
      <c r="W64" s="2279"/>
      <c r="X64" s="2279"/>
      <c r="Y64" s="2279"/>
      <c r="Z64" s="2279"/>
      <c r="AA64" s="2279"/>
      <c r="AB64" s="2279"/>
    </row>
    <row r="65" s="2292" customFormat="true" ht="7.5" hidden="false" customHeight="true" outlineLevel="0" collapsed="false">
      <c r="R65" s="2279"/>
      <c r="S65" s="2279"/>
      <c r="T65" s="2279"/>
      <c r="U65" s="2279"/>
      <c r="V65" s="2279"/>
      <c r="W65" s="2279"/>
      <c r="X65" s="2279"/>
      <c r="Y65" s="2279"/>
      <c r="Z65" s="2279"/>
      <c r="AA65" s="2279"/>
      <c r="AB65" s="2279"/>
    </row>
    <row r="66" s="2292" customFormat="true" ht="17.25" hidden="false" customHeight="true" outlineLevel="0" collapsed="false">
      <c r="R66" s="2279"/>
      <c r="S66" s="2279"/>
      <c r="T66" s="2279"/>
      <c r="U66" s="2279"/>
      <c r="V66" s="2279"/>
      <c r="W66" s="2279"/>
      <c r="X66" s="2279"/>
      <c r="Y66" s="2279"/>
      <c r="Z66" s="2279"/>
      <c r="AA66" s="2279"/>
      <c r="AB66" s="2279"/>
    </row>
    <row r="67" s="2280" customFormat="true" ht="18" hidden="false" customHeight="true" outlineLevel="0" collapsed="false">
      <c r="A67" s="2327" t="s">
        <v>1295</v>
      </c>
      <c r="B67" s="2344" t="s">
        <v>1</v>
      </c>
      <c r="C67" s="2336" t="s">
        <v>1296</v>
      </c>
      <c r="D67" s="2336"/>
      <c r="E67" s="2345" t="n">
        <f aca="false">SUM(F67:Q67)</f>
        <v>0</v>
      </c>
      <c r="F67" s="2338"/>
      <c r="G67" s="2338"/>
      <c r="H67" s="2338"/>
      <c r="I67" s="2338"/>
      <c r="J67" s="2338"/>
      <c r="K67" s="2338"/>
      <c r="L67" s="2338"/>
      <c r="M67" s="2338"/>
      <c r="N67" s="2338"/>
      <c r="O67" s="2338"/>
      <c r="P67" s="2338"/>
      <c r="Q67" s="2338"/>
      <c r="R67" s="2279"/>
      <c r="S67" s="2279"/>
      <c r="T67" s="2279"/>
      <c r="U67" s="2279"/>
      <c r="V67" s="2279"/>
      <c r="W67" s="2279"/>
      <c r="X67" s="2279"/>
      <c r="Y67" s="2279"/>
      <c r="Z67" s="2279"/>
      <c r="AA67" s="2279"/>
      <c r="AB67" s="2279"/>
    </row>
    <row r="68" s="2280" customFormat="true" ht="18" hidden="false" customHeight="true" outlineLevel="0" collapsed="false">
      <c r="A68" s="2327"/>
      <c r="B68" s="2346"/>
      <c r="C68" s="2340" t="s">
        <v>1297</v>
      </c>
      <c r="D68" s="2340"/>
      <c r="E68" s="2347" t="n">
        <f aca="false">SUM(F68:Q68)</f>
        <v>0</v>
      </c>
      <c r="F68" s="2321"/>
      <c r="G68" s="2321"/>
      <c r="H68" s="2321"/>
      <c r="I68" s="2321"/>
      <c r="J68" s="2321"/>
      <c r="K68" s="2321"/>
      <c r="L68" s="2321"/>
      <c r="M68" s="2321"/>
      <c r="N68" s="2321"/>
      <c r="O68" s="2321"/>
      <c r="P68" s="2321"/>
      <c r="Q68" s="2321"/>
      <c r="R68" s="2279"/>
      <c r="S68" s="2279"/>
      <c r="T68" s="2279"/>
      <c r="U68" s="2279"/>
      <c r="V68" s="2279"/>
      <c r="W68" s="2279"/>
      <c r="X68" s="2279"/>
      <c r="Y68" s="2279"/>
      <c r="Z68" s="2279"/>
      <c r="AA68" s="2279"/>
      <c r="AB68" s="2279"/>
    </row>
    <row r="69" s="2280" customFormat="true" ht="18" hidden="false" customHeight="true" outlineLevel="0" collapsed="false">
      <c r="A69" s="2327"/>
      <c r="B69" s="2346"/>
      <c r="C69" s="2340" t="s">
        <v>1298</v>
      </c>
      <c r="D69" s="2321"/>
      <c r="E69" s="2347" t="n">
        <f aca="false">Q69</f>
        <v>0</v>
      </c>
      <c r="F69" s="2321"/>
      <c r="G69" s="2321"/>
      <c r="H69" s="2321"/>
      <c r="I69" s="2321"/>
      <c r="J69" s="2321"/>
      <c r="K69" s="2321"/>
      <c r="L69" s="2321"/>
      <c r="M69" s="2321"/>
      <c r="N69" s="2321"/>
      <c r="O69" s="2321"/>
      <c r="P69" s="2321"/>
      <c r="Q69" s="2321"/>
      <c r="R69" s="2279"/>
      <c r="S69" s="2279"/>
      <c r="T69" s="2279"/>
      <c r="U69" s="2279"/>
      <c r="V69" s="2279"/>
      <c r="W69" s="2279"/>
      <c r="X69" s="2279"/>
      <c r="Y69" s="2279"/>
      <c r="Z69" s="2279"/>
      <c r="AA69" s="2279"/>
      <c r="AB69" s="2279"/>
    </row>
    <row r="70" s="2280" customFormat="true" ht="19.5" hidden="false" customHeight="true" outlineLevel="0" collapsed="false">
      <c r="A70" s="2327"/>
      <c r="B70" s="2348" t="s">
        <v>1</v>
      </c>
      <c r="C70" s="2349" t="s">
        <v>1299</v>
      </c>
      <c r="D70" s="2349"/>
      <c r="E70" s="2350" t="n">
        <f aca="false">SUM(E67:E69)</f>
        <v>0</v>
      </c>
      <c r="F70" s="2350"/>
      <c r="G70" s="2350"/>
      <c r="H70" s="2350"/>
      <c r="I70" s="2350"/>
      <c r="J70" s="2350"/>
      <c r="K70" s="2350"/>
      <c r="L70" s="2350"/>
      <c r="M70" s="2350"/>
      <c r="N70" s="2350"/>
      <c r="O70" s="2350"/>
      <c r="P70" s="2350"/>
      <c r="Q70" s="2350"/>
      <c r="R70" s="2279"/>
      <c r="S70" s="2279"/>
      <c r="T70" s="2279"/>
      <c r="U70" s="2279"/>
      <c r="V70" s="2279"/>
      <c r="W70" s="2279"/>
      <c r="X70" s="2279"/>
      <c r="Y70" s="2279"/>
      <c r="Z70" s="2279"/>
      <c r="AA70" s="2279"/>
      <c r="AB70" s="2279"/>
    </row>
    <row r="71" s="2280" customFormat="true" ht="8.25" hidden="false" customHeight="true" outlineLevel="0" collapsed="false">
      <c r="A71" s="2327"/>
      <c r="B71" s="2346"/>
      <c r="C71" s="2275"/>
      <c r="D71" s="2351"/>
      <c r="E71" s="2351"/>
      <c r="F71" s="2351"/>
      <c r="G71" s="2351"/>
      <c r="H71" s="2351"/>
      <c r="I71" s="2351"/>
      <c r="J71" s="2351"/>
      <c r="K71" s="2351"/>
      <c r="L71" s="2351"/>
      <c r="M71" s="2351"/>
      <c r="N71" s="2351"/>
      <c r="O71" s="2351"/>
      <c r="P71" s="2351"/>
      <c r="Q71" s="2351"/>
      <c r="R71" s="2279"/>
      <c r="S71" s="2279"/>
      <c r="T71" s="2279"/>
      <c r="U71" s="2279"/>
      <c r="V71" s="2279"/>
      <c r="W71" s="2279"/>
      <c r="X71" s="2279"/>
      <c r="Y71" s="2279"/>
      <c r="Z71" s="2279"/>
      <c r="AA71" s="2279"/>
      <c r="AB71" s="2279"/>
    </row>
    <row r="72" s="2280" customFormat="true" ht="18" hidden="false" customHeight="true" outlineLevel="0" collapsed="false">
      <c r="A72" s="2327"/>
      <c r="B72" s="2344" t="s">
        <v>1</v>
      </c>
      <c r="C72" s="2336" t="s">
        <v>1300</v>
      </c>
      <c r="D72" s="2352"/>
      <c r="E72" s="2345" t="n">
        <f aca="false">Q72</f>
        <v>0</v>
      </c>
      <c r="F72" s="2338"/>
      <c r="G72" s="2338"/>
      <c r="H72" s="2338"/>
      <c r="I72" s="2338"/>
      <c r="J72" s="2338"/>
      <c r="K72" s="2338"/>
      <c r="L72" s="2338"/>
      <c r="M72" s="2338"/>
      <c r="N72" s="2338"/>
      <c r="O72" s="2338"/>
      <c r="P72" s="2338"/>
      <c r="Q72" s="2338"/>
      <c r="R72" s="2279"/>
      <c r="S72" s="2279"/>
      <c r="T72" s="2279"/>
      <c r="U72" s="2279"/>
      <c r="V72" s="2279"/>
      <c r="W72" s="2279"/>
      <c r="X72" s="2279"/>
      <c r="Y72" s="2279"/>
      <c r="Z72" s="2279"/>
      <c r="AA72" s="2279"/>
      <c r="AB72" s="2279"/>
    </row>
    <row r="73" s="2280" customFormat="true" ht="18" hidden="false" customHeight="true" outlineLevel="0" collapsed="false">
      <c r="A73" s="2327"/>
      <c r="B73" s="2346"/>
      <c r="C73" s="2340" t="s">
        <v>1301</v>
      </c>
      <c r="D73" s="2353"/>
      <c r="E73" s="2347" t="n">
        <f aca="false">Q73</f>
        <v>0</v>
      </c>
      <c r="F73" s="2321"/>
      <c r="G73" s="2321"/>
      <c r="H73" s="2321"/>
      <c r="I73" s="2321"/>
      <c r="J73" s="2321"/>
      <c r="K73" s="2321"/>
      <c r="L73" s="2321"/>
      <c r="M73" s="2321"/>
      <c r="N73" s="2321"/>
      <c r="O73" s="2321"/>
      <c r="P73" s="2321"/>
      <c r="Q73" s="2321"/>
      <c r="R73" s="2279"/>
      <c r="S73" s="2279"/>
      <c r="T73" s="2279"/>
      <c r="U73" s="2279"/>
      <c r="V73" s="2279"/>
      <c r="W73" s="2279"/>
      <c r="X73" s="2279"/>
      <c r="Y73" s="2279"/>
      <c r="Z73" s="2279"/>
      <c r="AA73" s="2279"/>
      <c r="AB73" s="2279"/>
    </row>
    <row r="74" s="2280" customFormat="true" ht="18" hidden="false" customHeight="true" outlineLevel="0" collapsed="false">
      <c r="A74" s="2327"/>
      <c r="B74" s="2346"/>
      <c r="C74" s="2340" t="s">
        <v>1302</v>
      </c>
      <c r="D74" s="2353"/>
      <c r="E74" s="2347" t="n">
        <f aca="false">Q74</f>
        <v>0</v>
      </c>
      <c r="F74" s="2321"/>
      <c r="G74" s="2321"/>
      <c r="H74" s="2321"/>
      <c r="I74" s="2321"/>
      <c r="J74" s="2321"/>
      <c r="K74" s="2321"/>
      <c r="L74" s="2321"/>
      <c r="M74" s="2321"/>
      <c r="N74" s="2321"/>
      <c r="O74" s="2321"/>
      <c r="P74" s="2321"/>
      <c r="Q74" s="2321"/>
      <c r="R74" s="2279"/>
      <c r="S74" s="2279"/>
      <c r="T74" s="2279"/>
      <c r="U74" s="2279"/>
      <c r="V74" s="2279"/>
      <c r="W74" s="2279"/>
      <c r="X74" s="2279"/>
      <c r="Y74" s="2279"/>
      <c r="Z74" s="2279"/>
      <c r="AA74" s="2279"/>
      <c r="AB74" s="2279"/>
    </row>
    <row r="75" s="2280" customFormat="true" ht="18" hidden="false" customHeight="true" outlineLevel="0" collapsed="false">
      <c r="A75" s="2327"/>
      <c r="B75" s="2346"/>
      <c r="C75" s="2340" t="s">
        <v>1303</v>
      </c>
      <c r="D75" s="2353"/>
      <c r="E75" s="2347" t="n">
        <f aca="false">Q75</f>
        <v>0</v>
      </c>
      <c r="F75" s="2321"/>
      <c r="G75" s="2321"/>
      <c r="H75" s="2321"/>
      <c r="I75" s="2321"/>
      <c r="J75" s="2321"/>
      <c r="K75" s="2321"/>
      <c r="L75" s="2321"/>
      <c r="M75" s="2321"/>
      <c r="N75" s="2321"/>
      <c r="O75" s="2321"/>
      <c r="P75" s="2321"/>
      <c r="Q75" s="2321"/>
      <c r="R75" s="2279"/>
      <c r="S75" s="2279"/>
      <c r="T75" s="2279"/>
      <c r="U75" s="2279"/>
      <c r="V75" s="2279"/>
      <c r="W75" s="2279"/>
      <c r="X75" s="2279"/>
      <c r="Y75" s="2279"/>
      <c r="Z75" s="2279"/>
      <c r="AA75" s="2279"/>
      <c r="AB75" s="2279"/>
    </row>
    <row r="76" s="2280" customFormat="true" ht="18" hidden="false" customHeight="true" outlineLevel="0" collapsed="false">
      <c r="A76" s="2327"/>
      <c r="B76" s="2346"/>
      <c r="C76" s="2340" t="s">
        <v>1304</v>
      </c>
      <c r="D76" s="2353"/>
      <c r="E76" s="2347" t="n">
        <f aca="false">Q76</f>
        <v>0</v>
      </c>
      <c r="F76" s="2321"/>
      <c r="G76" s="2321"/>
      <c r="H76" s="2321"/>
      <c r="I76" s="2321"/>
      <c r="J76" s="2321"/>
      <c r="K76" s="2321"/>
      <c r="L76" s="2321"/>
      <c r="M76" s="2321"/>
      <c r="N76" s="2321"/>
      <c r="O76" s="2321"/>
      <c r="P76" s="2321"/>
      <c r="Q76" s="2321"/>
      <c r="R76" s="2279"/>
      <c r="S76" s="2279"/>
      <c r="T76" s="2279"/>
      <c r="U76" s="2279"/>
      <c r="V76" s="2279"/>
      <c r="W76" s="2279"/>
      <c r="X76" s="2279"/>
      <c r="Y76" s="2279"/>
      <c r="Z76" s="2279"/>
      <c r="AA76" s="2279"/>
      <c r="AB76" s="2279"/>
    </row>
    <row r="77" s="2280" customFormat="true" ht="19.5" hidden="false" customHeight="true" outlineLevel="0" collapsed="false">
      <c r="A77" s="2327"/>
      <c r="B77" s="2348" t="s">
        <v>1</v>
      </c>
      <c r="C77" s="2349" t="s">
        <v>1305</v>
      </c>
      <c r="D77" s="2350"/>
      <c r="E77" s="2350" t="n">
        <f aca="false">SUM(E72:E76)</f>
        <v>0</v>
      </c>
      <c r="F77" s="2350"/>
      <c r="G77" s="2350"/>
      <c r="H77" s="2350"/>
      <c r="I77" s="2350"/>
      <c r="J77" s="2350"/>
      <c r="K77" s="2350"/>
      <c r="L77" s="2350"/>
      <c r="M77" s="2350"/>
      <c r="N77" s="2350"/>
      <c r="O77" s="2350"/>
      <c r="P77" s="2350"/>
      <c r="Q77" s="2350"/>
      <c r="R77" s="2279"/>
      <c r="S77" s="2279"/>
      <c r="T77" s="2279"/>
      <c r="U77" s="2279"/>
      <c r="V77" s="2279"/>
      <c r="W77" s="2279"/>
      <c r="X77" s="2279"/>
      <c r="Y77" s="2279"/>
      <c r="Z77" s="2279"/>
      <c r="AA77" s="2279"/>
      <c r="AB77" s="2279"/>
    </row>
    <row r="78" s="2292" customFormat="true" ht="13.5" hidden="true" customHeight="false" outlineLevel="0" collapsed="false">
      <c r="D78" s="2292" t="n">
        <v>69627.539121</v>
      </c>
      <c r="E78" s="2292" t="n">
        <f aca="false">E70-E77</f>
        <v>0</v>
      </c>
      <c r="R78" s="2354"/>
      <c r="S78" s="2280"/>
    </row>
    <row r="79" s="42" customFormat="true" ht="13.5" hidden="true" customHeight="false" outlineLevel="0" collapsed="false">
      <c r="A79" s="2292" t="s">
        <v>1306</v>
      </c>
      <c r="B79" s="2292"/>
      <c r="C79" s="2292"/>
      <c r="D79" s="2292"/>
      <c r="E79" s="2292" t="n">
        <f aca="false">E78-D78</f>
        <v>-69627.539121</v>
      </c>
      <c r="F79" s="2292"/>
      <c r="G79" s="2292"/>
      <c r="H79" s="2292"/>
      <c r="I79" s="2292"/>
      <c r="J79" s="2292"/>
      <c r="K79" s="2292"/>
      <c r="L79" s="2292"/>
      <c r="M79" s="2292"/>
      <c r="N79" s="2292"/>
      <c r="O79" s="2292"/>
      <c r="P79" s="2292"/>
      <c r="Q79" s="2292"/>
      <c r="R79" s="2354"/>
      <c r="S79" s="2280"/>
    </row>
    <row r="80" s="42" customFormat="true" ht="13.5" hidden="true" customHeight="false" outlineLevel="0" collapsed="false">
      <c r="A80" s="2292" t="s">
        <v>1307</v>
      </c>
      <c r="B80" s="2292"/>
      <c r="C80" s="2292"/>
      <c r="D80" s="2292"/>
      <c r="E80" s="2292" t="n">
        <v>-105971.93436374</v>
      </c>
      <c r="F80" s="2292"/>
      <c r="G80" s="2292"/>
      <c r="H80" s="2292"/>
      <c r="I80" s="2292"/>
      <c r="J80" s="2292"/>
      <c r="K80" s="2292"/>
      <c r="L80" s="2292"/>
      <c r="M80" s="2292"/>
      <c r="N80" s="2292"/>
      <c r="O80" s="2292"/>
      <c r="P80" s="2292"/>
      <c r="Q80" s="2292"/>
      <c r="R80" s="2354"/>
      <c r="S80" s="2280"/>
    </row>
    <row r="81" s="42" customFormat="true" ht="13.5" hidden="true" customHeight="false" outlineLevel="0" collapsed="false">
      <c r="A81" s="2292" t="s">
        <v>1308</v>
      </c>
      <c r="B81" s="2292"/>
      <c r="C81" s="2292"/>
      <c r="D81" s="2292"/>
      <c r="E81" s="2292" t="n">
        <f aca="false">E78-E80</f>
        <v>105971.93436374</v>
      </c>
      <c r="F81" s="2292"/>
      <c r="G81" s="2292"/>
      <c r="H81" s="2292"/>
      <c r="I81" s="2292"/>
      <c r="J81" s="2292"/>
      <c r="K81" s="2292"/>
      <c r="L81" s="2292"/>
      <c r="M81" s="2292"/>
      <c r="N81" s="2292"/>
      <c r="O81" s="2292"/>
      <c r="P81" s="2292"/>
      <c r="Q81" s="2292"/>
      <c r="S81" s="2280"/>
    </row>
    <row r="82" s="42" customFormat="true" ht="13.5" hidden="true" customHeight="false" outlineLevel="0" collapsed="false">
      <c r="A82" s="2292"/>
      <c r="B82" s="2292"/>
      <c r="C82" s="2292"/>
      <c r="D82" s="2292"/>
      <c r="E82" s="2292"/>
      <c r="F82" s="2292"/>
      <c r="G82" s="2292"/>
      <c r="H82" s="2292"/>
      <c r="I82" s="2292"/>
      <c r="J82" s="2292"/>
      <c r="K82" s="2292"/>
      <c r="L82" s="2292"/>
      <c r="M82" s="2292"/>
      <c r="N82" s="2292"/>
      <c r="O82" s="2292"/>
      <c r="P82" s="2292"/>
      <c r="Q82" s="2292"/>
      <c r="S82" s="2280"/>
    </row>
    <row r="83" s="42" customFormat="true" ht="13.5" hidden="true" customHeight="false" outlineLevel="0" collapsed="false">
      <c r="A83" s="2292"/>
      <c r="B83" s="2292"/>
      <c r="C83" s="2292"/>
      <c r="D83" s="2292"/>
      <c r="E83" s="2292"/>
      <c r="F83" s="2292"/>
      <c r="G83" s="2292"/>
      <c r="H83" s="2292"/>
      <c r="I83" s="2292"/>
      <c r="J83" s="2292"/>
      <c r="K83" s="2292"/>
      <c r="L83" s="2292"/>
      <c r="M83" s="2292"/>
      <c r="N83" s="2292"/>
      <c r="O83" s="2292"/>
      <c r="P83" s="2292"/>
      <c r="Q83" s="2292"/>
      <c r="S83" s="2280"/>
    </row>
    <row r="84" s="42" customFormat="true" ht="13.5" hidden="true" customHeight="false" outlineLevel="0" collapsed="false">
      <c r="A84" s="2292" t="s">
        <v>1309</v>
      </c>
      <c r="B84" s="2292"/>
      <c r="C84" s="2292"/>
      <c r="D84" s="2292"/>
      <c r="E84" s="2292" t="n">
        <f aca="false">+D77-E49-E50-E51-E52-E77</f>
        <v>0</v>
      </c>
      <c r="F84" s="2292"/>
      <c r="G84" s="2292"/>
      <c r="H84" s="2292"/>
      <c r="I84" s="2292"/>
      <c r="J84" s="2292"/>
      <c r="K84" s="2292"/>
      <c r="L84" s="2292"/>
      <c r="M84" s="2292"/>
      <c r="N84" s="2292"/>
      <c r="O84" s="2292"/>
      <c r="P84" s="2292"/>
      <c r="Q84" s="2292"/>
      <c r="S84" s="2280"/>
    </row>
    <row r="85" s="42" customFormat="true" ht="13.5" hidden="true" customHeight="false" outlineLevel="0" collapsed="false">
      <c r="A85" s="2292" t="s">
        <v>1310</v>
      </c>
      <c r="B85" s="2292"/>
      <c r="C85" s="2292"/>
      <c r="D85" s="2292"/>
      <c r="E85" s="2292" t="n">
        <f aca="false">+E49+E50+E51+E52</f>
        <v>0</v>
      </c>
      <c r="F85" s="2292"/>
      <c r="G85" s="2292"/>
      <c r="H85" s="2292"/>
      <c r="I85" s="2292"/>
      <c r="J85" s="2292"/>
      <c r="K85" s="2292"/>
      <c r="L85" s="2292"/>
      <c r="M85" s="2292"/>
      <c r="N85" s="2292"/>
      <c r="O85" s="2292"/>
      <c r="P85" s="2292"/>
      <c r="Q85" s="2292"/>
      <c r="S85" s="2280"/>
    </row>
    <row r="86" s="42" customFormat="true" ht="13.5" hidden="true" customHeight="false" outlineLevel="0" collapsed="false">
      <c r="A86" s="2292" t="s">
        <v>1311</v>
      </c>
      <c r="B86" s="2292"/>
      <c r="C86" s="2292"/>
      <c r="D86" s="2292"/>
      <c r="E86" s="2292" t="n">
        <f aca="false">+(E70-E77)-(D70-D77)-E62</f>
        <v>0</v>
      </c>
      <c r="F86" s="2292"/>
      <c r="G86" s="2292"/>
      <c r="H86" s="2292"/>
      <c r="I86" s="2292"/>
      <c r="J86" s="2292"/>
      <c r="K86" s="2292"/>
      <c r="L86" s="2292"/>
      <c r="M86" s="2292"/>
      <c r="N86" s="2292"/>
      <c r="O86" s="2292"/>
      <c r="P86" s="2292"/>
      <c r="Q86" s="2292"/>
      <c r="S86" s="2280"/>
    </row>
    <row r="87" s="42" customFormat="true" ht="13.5" hidden="true" customHeight="false" outlineLevel="0" collapsed="false">
      <c r="A87" s="2292"/>
      <c r="B87" s="2292"/>
      <c r="C87" s="2292"/>
      <c r="D87" s="2292"/>
      <c r="E87" s="2292"/>
      <c r="F87" s="2292"/>
      <c r="G87" s="2292"/>
      <c r="H87" s="2292"/>
      <c r="I87" s="2292"/>
      <c r="J87" s="2292"/>
      <c r="K87" s="2292"/>
      <c r="L87" s="2292"/>
      <c r="M87" s="2292"/>
      <c r="N87" s="2292"/>
      <c r="O87" s="2292"/>
      <c r="P87" s="2292"/>
      <c r="Q87" s="2292"/>
      <c r="S87" s="2280"/>
    </row>
    <row r="88" s="42" customFormat="true" ht="13.5" hidden="true" customHeight="false" outlineLevel="0" collapsed="false">
      <c r="S88" s="2280"/>
    </row>
    <row r="89" s="42" customFormat="true" ht="13.5" hidden="true" customHeight="false" outlineLevel="0" collapsed="false">
      <c r="S89" s="2280"/>
    </row>
    <row r="90" s="42" customFormat="true" ht="13.5" hidden="true" customHeight="false" outlineLevel="0" collapsed="false">
      <c r="S90" s="2280"/>
    </row>
    <row r="91" s="42" customFormat="true" ht="13.5" hidden="true" customHeight="false" outlineLevel="0" collapsed="false">
      <c r="S91" s="2280"/>
    </row>
    <row r="92" s="42" customFormat="true" ht="13.5" hidden="true" customHeight="false" outlineLevel="0" collapsed="false">
      <c r="S92" s="2280"/>
    </row>
    <row r="93" s="42" customFormat="true" ht="13.5" hidden="true" customHeight="false" outlineLevel="0" collapsed="false">
      <c r="S93" s="2280"/>
    </row>
    <row r="94" customFormat="false" ht="13.5" hidden="true" customHeight="false" outlineLevel="0" collapsed="false">
      <c r="S94" s="2280"/>
    </row>
    <row r="95" customFormat="false" ht="13.5" hidden="true" customHeight="false" outlineLevel="0" collapsed="false">
      <c r="S95" s="2280"/>
    </row>
    <row r="96" customFormat="false" ht="13.5" hidden="true" customHeight="false" outlineLevel="0" collapsed="false">
      <c r="S96" s="2280"/>
    </row>
    <row r="97" customFormat="false" ht="13.5" hidden="true" customHeight="false" outlineLevel="0" collapsed="false">
      <c r="S97" s="2280"/>
    </row>
    <row r="98" customFormat="false" ht="13.5" hidden="true" customHeight="false" outlineLevel="0" collapsed="false">
      <c r="S98" s="2280"/>
    </row>
    <row r="99" customFormat="false" ht="13.5" hidden="true" customHeight="false" outlineLevel="0" collapsed="false">
      <c r="E99" s="42" t="s">
        <v>1312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S99" s="2280"/>
    </row>
    <row r="100" customFormat="false" ht="13.5" hidden="true" customHeight="false" outlineLevel="0" collapsed="false">
      <c r="S100" s="2280"/>
    </row>
    <row r="101" customFormat="false" ht="13.5" hidden="true" customHeight="false" outlineLevel="0" collapsed="false">
      <c r="E101" s="42" t="s">
        <v>1313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S101" s="2280"/>
    </row>
    <row r="102" customFormat="false" ht="13.5" hidden="true" customHeight="false" outlineLevel="0" collapsed="false">
      <c r="S102" s="2280"/>
    </row>
    <row r="103" customFormat="false" ht="13.5" hidden="true" customHeight="false" outlineLevel="0" collapsed="false">
      <c r="E103" s="42" t="s">
        <v>1314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S103" s="2280"/>
    </row>
    <row r="104" customFormat="false" ht="13.5" hidden="true" customHeight="false" outlineLevel="0" collapsed="false">
      <c r="S104" s="2280"/>
    </row>
    <row r="105" customFormat="false" ht="13.5" hidden="true" customHeight="false" outlineLevel="0" collapsed="false">
      <c r="E105" s="2" t="s">
        <v>1315</v>
      </c>
      <c r="S105" s="2280"/>
    </row>
    <row r="106" customFormat="false" ht="13.5" hidden="true" customHeight="false" outlineLevel="0" collapsed="false">
      <c r="S106" s="2280"/>
    </row>
    <row r="107" customFormat="false" ht="13.5" hidden="true" customHeight="false" outlineLevel="0" collapsed="false">
      <c r="E107" s="2355" t="s">
        <v>1316</v>
      </c>
      <c r="F107" s="2355"/>
      <c r="G107" s="2355"/>
      <c r="H107" s="2355"/>
      <c r="I107" s="2355"/>
      <c r="J107" s="2355"/>
      <c r="K107" s="2355"/>
      <c r="L107" s="2355"/>
      <c r="M107" s="2355"/>
      <c r="N107" s="2355"/>
      <c r="O107" s="2355"/>
      <c r="P107" s="2355"/>
      <c r="Q107" s="2355"/>
      <c r="S107" s="2280"/>
    </row>
    <row r="108" customFormat="false" ht="13.5" hidden="true" customHeight="false" outlineLevel="0" collapsed="false">
      <c r="S108" s="2280"/>
    </row>
    <row r="109" customFormat="false" ht="13.5" hidden="true" customHeight="false" outlineLevel="0" collapsed="false">
      <c r="S109" s="2280"/>
    </row>
    <row r="110" customFormat="false" ht="13.5" hidden="true" customHeight="false" outlineLevel="0" collapsed="false">
      <c r="E110" s="2356" t="s">
        <v>1316</v>
      </c>
      <c r="F110" s="2356"/>
      <c r="G110" s="2356"/>
      <c r="H110" s="2356"/>
      <c r="I110" s="2356"/>
      <c r="J110" s="2356"/>
      <c r="K110" s="2356"/>
      <c r="L110" s="2356"/>
      <c r="M110" s="2356"/>
      <c r="N110" s="2356"/>
      <c r="O110" s="2356"/>
      <c r="P110" s="2356"/>
      <c r="Q110" s="2356"/>
      <c r="S110" s="2280"/>
    </row>
    <row r="111" customFormat="false" ht="13.5" hidden="true" customHeight="false" outlineLevel="0" collapsed="false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S111" s="2280"/>
    </row>
    <row r="112" customFormat="false" ht="13.5" hidden="true" customHeight="false" outlineLevel="0" collapsed="false">
      <c r="S112" s="2280"/>
    </row>
    <row r="113" customFormat="false" ht="13.5" hidden="true" customHeight="false" outlineLevel="0" collapsed="false">
      <c r="E113" s="2" t="s">
        <v>1315</v>
      </c>
      <c r="S113" s="2280"/>
    </row>
    <row r="114" customFormat="false" ht="13.5" hidden="true" customHeight="false" outlineLevel="0" collapsed="false">
      <c r="S114" s="2280"/>
    </row>
    <row r="115" customFormat="false" ht="13.5" hidden="true" customHeight="false" outlineLevel="0" collapsed="false">
      <c r="E115" s="2355"/>
      <c r="F115" s="2355"/>
      <c r="G115" s="2355"/>
      <c r="H115" s="2355"/>
      <c r="I115" s="2355"/>
      <c r="J115" s="2355"/>
      <c r="K115" s="2355"/>
      <c r="L115" s="2355"/>
      <c r="M115" s="2355"/>
      <c r="N115" s="2355"/>
      <c r="O115" s="2355"/>
      <c r="P115" s="2355"/>
      <c r="Q115" s="2355"/>
      <c r="S115" s="2280"/>
    </row>
    <row r="116" customFormat="false" ht="13.5" hidden="true" customHeight="false" outlineLevel="0" collapsed="false">
      <c r="S116" s="2280"/>
    </row>
    <row r="117" customFormat="false" ht="13.5" hidden="true" customHeight="false" outlineLevel="0" collapsed="false">
      <c r="S117" s="2280"/>
    </row>
    <row r="118" customFormat="false" ht="13.5" hidden="true" customHeight="false" outlineLevel="0" collapsed="false">
      <c r="S118" s="2280"/>
    </row>
    <row r="119" customFormat="false" ht="13.5" hidden="true" customHeight="false" outlineLevel="0" collapsed="false">
      <c r="E119" s="2356" t="s">
        <v>1317</v>
      </c>
      <c r="F119" s="2356"/>
      <c r="G119" s="2356"/>
      <c r="H119" s="2356"/>
      <c r="I119" s="2356"/>
      <c r="J119" s="2356"/>
      <c r="K119" s="2356"/>
      <c r="L119" s="2356"/>
      <c r="M119" s="2356"/>
      <c r="N119" s="2356"/>
      <c r="O119" s="2356"/>
      <c r="P119" s="2356"/>
      <c r="Q119" s="2356"/>
      <c r="S119" s="2280"/>
    </row>
    <row r="120" customFormat="false" ht="13.5" hidden="true" customHeight="false" outlineLevel="0" collapsed="false">
      <c r="S120" s="2280"/>
    </row>
    <row r="121" customFormat="false" ht="13.5" hidden="true" customHeight="false" outlineLevel="0" collapsed="false">
      <c r="E121" s="2" t="s">
        <v>1315</v>
      </c>
      <c r="S121" s="2280"/>
    </row>
    <row r="122" customFormat="false" ht="13.5" hidden="true" customHeight="false" outlineLevel="0" collapsed="false">
      <c r="E122" s="2355"/>
      <c r="F122" s="2355"/>
      <c r="G122" s="2355"/>
      <c r="H122" s="2355"/>
      <c r="I122" s="2355"/>
      <c r="J122" s="2355"/>
      <c r="K122" s="2355"/>
      <c r="L122" s="2355"/>
      <c r="M122" s="2355"/>
      <c r="N122" s="2355"/>
      <c r="O122" s="2355"/>
      <c r="P122" s="2355"/>
      <c r="Q122" s="2355"/>
      <c r="S122" s="2280"/>
    </row>
    <row r="123" customFormat="false" ht="13.5" hidden="true" customHeight="false" outlineLevel="0" collapsed="false">
      <c r="S123" s="2280"/>
    </row>
    <row r="124" customFormat="false" ht="13.5" hidden="true" customHeight="false" outlineLevel="0" collapsed="false">
      <c r="S124" s="2280"/>
    </row>
    <row r="125" customFormat="false" ht="13.5" hidden="true" customHeight="false" outlineLevel="0" collapsed="false">
      <c r="E125" s="2357" t="s">
        <v>1318</v>
      </c>
      <c r="F125" s="2357"/>
      <c r="G125" s="2357"/>
      <c r="H125" s="2357"/>
      <c r="I125" s="2357"/>
      <c r="J125" s="2357"/>
      <c r="K125" s="2357"/>
      <c r="L125" s="2357"/>
      <c r="M125" s="2357"/>
      <c r="N125" s="2357"/>
      <c r="O125" s="2357"/>
      <c r="P125" s="2357"/>
      <c r="Q125" s="2357"/>
      <c r="S125" s="2280"/>
    </row>
    <row r="126" customFormat="false" ht="13.5" hidden="true" customHeight="false" outlineLevel="0" collapsed="false">
      <c r="S126" s="2280"/>
    </row>
    <row r="127" customFormat="false" ht="13.5" hidden="true" customHeight="false" outlineLevel="0" collapsed="false">
      <c r="E127" s="638"/>
      <c r="F127" s="638"/>
      <c r="G127" s="638"/>
      <c r="H127" s="638"/>
      <c r="I127" s="638"/>
      <c r="J127" s="638"/>
      <c r="K127" s="638"/>
      <c r="L127" s="638"/>
      <c r="M127" s="638"/>
      <c r="N127" s="638"/>
      <c r="O127" s="638"/>
      <c r="P127" s="638"/>
      <c r="Q127" s="638"/>
      <c r="S127" s="2280"/>
    </row>
    <row r="128" customFormat="false" ht="13.5" hidden="true" customHeight="false" outlineLevel="0" collapsed="false">
      <c r="S128" s="2280"/>
    </row>
    <row r="129" customFormat="false" ht="13.5" hidden="true" customHeight="false" outlineLevel="0" collapsed="false">
      <c r="S129" s="2280"/>
    </row>
    <row r="130" customFormat="false" ht="13.5" hidden="true" customHeight="false" outlineLevel="0" collapsed="false">
      <c r="S130" s="2280"/>
    </row>
    <row r="131" customFormat="false" ht="13.5" hidden="true" customHeight="false" outlineLevel="0" collapsed="false">
      <c r="S131" s="2280"/>
    </row>
    <row r="132" customFormat="false" ht="6.75" hidden="true" customHeight="true" outlineLevel="0" collapsed="false">
      <c r="E132" s="638"/>
      <c r="F132" s="638"/>
      <c r="G132" s="638"/>
      <c r="H132" s="638"/>
      <c r="I132" s="638"/>
      <c r="J132" s="638"/>
      <c r="K132" s="638"/>
      <c r="L132" s="638"/>
      <c r="M132" s="638"/>
      <c r="N132" s="638"/>
      <c r="O132" s="638"/>
      <c r="P132" s="638"/>
      <c r="Q132" s="638"/>
      <c r="S132" s="2280"/>
    </row>
    <row r="133" customFormat="false" ht="13.5" hidden="false" customHeight="false" outlineLevel="1" collapsed="false">
      <c r="E133" s="42"/>
      <c r="F133" s="42"/>
      <c r="G133" s="42"/>
      <c r="H133" s="42"/>
      <c r="I133" s="42"/>
      <c r="J133" s="42"/>
      <c r="K133" s="42"/>
      <c r="L133" s="2358"/>
      <c r="M133" s="2358"/>
      <c r="N133" s="2358"/>
      <c r="O133" s="2358"/>
      <c r="P133" s="2358"/>
      <c r="Q133" s="42"/>
      <c r="S133" s="2280"/>
    </row>
    <row r="134" customFormat="false" ht="12.75" hidden="false" customHeight="false" outlineLevel="1" collapsed="false">
      <c r="E134" s="2359"/>
      <c r="F134" s="2360" t="n">
        <v>0</v>
      </c>
      <c r="G134" s="2360"/>
      <c r="H134" s="2360"/>
      <c r="I134" s="2360"/>
      <c r="J134" s="2360" t="n">
        <v>0.27361000000019</v>
      </c>
      <c r="K134" s="2360"/>
      <c r="L134" s="42"/>
      <c r="M134" s="42"/>
      <c r="N134" s="42"/>
      <c r="O134" s="42"/>
      <c r="P134" s="42" t="n">
        <v>0</v>
      </c>
      <c r="Q134" s="42"/>
    </row>
    <row r="135" customFormat="false" ht="12.75" hidden="false" customHeight="false" outlineLevel="1" collapsed="false">
      <c r="H135" s="42"/>
      <c r="I135" s="42"/>
      <c r="J135" s="42"/>
      <c r="K135" s="42"/>
      <c r="L135" s="42"/>
      <c r="M135" s="42"/>
      <c r="N135" s="42"/>
      <c r="O135" s="42"/>
      <c r="P135" s="42"/>
      <c r="Q135" s="638"/>
    </row>
    <row r="136" customFormat="false" ht="12.75" hidden="false" customHeight="false" outlineLevel="0" collapsed="false">
      <c r="H136" s="42"/>
      <c r="I136" s="42"/>
      <c r="J136" s="42"/>
      <c r="K136" s="42"/>
      <c r="L136" s="36"/>
      <c r="M136" s="36"/>
      <c r="N136" s="36"/>
      <c r="O136" s="36"/>
      <c r="P136" s="36"/>
      <c r="Q136" s="36"/>
    </row>
    <row r="137" customFormat="false" ht="12.75" hidden="false" customHeight="false" outlineLevel="0" collapsed="false">
      <c r="H137" s="42"/>
      <c r="I137" s="42"/>
      <c r="J137" s="42"/>
      <c r="K137" s="42"/>
      <c r="L137" s="2361"/>
      <c r="M137" s="2361"/>
      <c r="N137" s="2361"/>
      <c r="O137" s="2361"/>
      <c r="P137" s="2361"/>
      <c r="Q137" s="2361"/>
    </row>
    <row r="138" customFormat="false" ht="12.75" hidden="false" customHeight="false" outlineLevel="0" collapsed="false">
      <c r="E138" s="2362"/>
      <c r="F138" s="2362"/>
      <c r="G138" s="2362"/>
      <c r="H138" s="638"/>
      <c r="I138" s="638"/>
      <c r="J138" s="638"/>
      <c r="K138" s="638"/>
      <c r="L138" s="638"/>
      <c r="M138" s="638"/>
      <c r="N138" s="638"/>
      <c r="O138" s="638"/>
      <c r="P138" s="638"/>
      <c r="Q138" s="638"/>
    </row>
    <row r="139" customFormat="false" ht="12.75" hidden="false" customHeight="false" outlineLevel="0" collapsed="false">
      <c r="L139" s="638"/>
      <c r="M139" s="638"/>
      <c r="N139" s="638"/>
      <c r="O139" s="638"/>
      <c r="P139" s="638"/>
      <c r="Q139" s="638"/>
    </row>
    <row r="140" customFormat="false" ht="12.75" hidden="false" customHeight="false" outlineLevel="0" collapsed="false">
      <c r="G140" s="638"/>
    </row>
    <row r="141" customFormat="false" ht="12.75" hidden="false" customHeight="false" outlineLevel="0" collapsed="false">
      <c r="H141" s="638"/>
      <c r="I141" s="638"/>
      <c r="J141" s="638"/>
      <c r="K141" s="638"/>
      <c r="L141" s="638"/>
      <c r="M141" s="638"/>
      <c r="N141" s="638"/>
      <c r="O141" s="638"/>
      <c r="P141" s="638"/>
      <c r="Q141" s="638"/>
    </row>
  </sheetData>
  <mergeCells count="9">
    <mergeCell ref="B3:C4"/>
    <mergeCell ref="D3:D4"/>
    <mergeCell ref="E3:E4"/>
    <mergeCell ref="G3:Q3"/>
    <mergeCell ref="A5:A36"/>
    <mergeCell ref="A38:A45"/>
    <mergeCell ref="A47:A58"/>
    <mergeCell ref="A60:A64"/>
    <mergeCell ref="A67:A77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2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Q23" activeCellId="0" sqref="Q23"/>
    </sheetView>
  </sheetViews>
  <sheetFormatPr defaultColWidth="11.515625" defaultRowHeight="12.75" zeroHeight="false" outlineLevelRow="0" outlineLevelCol="0"/>
  <cols>
    <col collapsed="false" customWidth="true" hidden="false" outlineLevel="0" max="1" min="1" style="36" width="2.84"/>
    <col collapsed="false" customWidth="true" hidden="false" outlineLevel="0" max="2" min="2" style="36" width="44.5"/>
    <col collapsed="false" customWidth="true" hidden="false" outlineLevel="0" max="3" min="3" style="36" width="0.52"/>
    <col collapsed="false" customWidth="true" hidden="false" outlineLevel="0" max="12" min="4" style="36" width="9.33"/>
    <col collapsed="false" customWidth="true" hidden="false" outlineLevel="0" max="13" min="13" style="36" width="8.52"/>
    <col collapsed="false" customWidth="true" hidden="false" outlineLevel="0" max="14" min="14" style="36" width="8"/>
    <col collapsed="false" customWidth="true" hidden="false" outlineLevel="0" max="15" min="15" style="36" width="8.33"/>
    <col collapsed="false" customWidth="true" hidden="false" outlineLevel="0" max="16" min="16" style="36" width="3.16"/>
    <col collapsed="false" customWidth="false" hidden="false" outlineLevel="0" max="51" min="17" style="36" width="11.5"/>
    <col collapsed="false" customWidth="true" hidden="false" outlineLevel="0" max="52" min="52" style="36" width="9.16"/>
    <col collapsed="false" customWidth="false" hidden="false" outlineLevel="0" max="1024" min="53" style="36" width="11.5"/>
  </cols>
  <sheetData>
    <row r="1" customFormat="false" ht="8.25" hidden="false" customHeight="true" outlineLevel="0" collapsed="false"/>
    <row r="2" customFormat="false" ht="21" hidden="false" customHeight="false" outlineLevel="0" collapsed="false">
      <c r="A2" s="44" t="s">
        <v>1319</v>
      </c>
      <c r="B2" s="2041"/>
      <c r="C2" s="2041"/>
      <c r="D2" s="2041"/>
      <c r="E2" s="2041"/>
      <c r="F2" s="2041"/>
      <c r="G2" s="2041"/>
      <c r="H2" s="2041"/>
      <c r="I2" s="2041"/>
      <c r="J2" s="2041"/>
      <c r="K2" s="2041"/>
      <c r="L2" s="2041"/>
      <c r="M2" s="2041"/>
      <c r="N2" s="2041"/>
      <c r="O2" s="2041"/>
    </row>
    <row r="4" s="2363" customFormat="true" ht="18.75" hidden="false" customHeight="true" outlineLevel="0" collapsed="false">
      <c r="D4" s="2364" t="n">
        <v>45292</v>
      </c>
      <c r="E4" s="2365" t="n">
        <v>45323</v>
      </c>
      <c r="F4" s="2365" t="n">
        <v>45352</v>
      </c>
      <c r="G4" s="2366" t="n">
        <v>45383</v>
      </c>
      <c r="H4" s="2365" t="n">
        <v>45413</v>
      </c>
      <c r="I4" s="2365" t="n">
        <v>45444</v>
      </c>
      <c r="J4" s="2365" t="n">
        <v>45474</v>
      </c>
      <c r="K4" s="2365" t="n">
        <v>45505</v>
      </c>
      <c r="L4" s="2365" t="n">
        <v>45536</v>
      </c>
      <c r="M4" s="2365" t="n">
        <v>45566</v>
      </c>
      <c r="N4" s="2365" t="n">
        <v>45597</v>
      </c>
      <c r="O4" s="2366" t="n">
        <v>45627</v>
      </c>
    </row>
    <row r="5" customFormat="false" ht="11.25" hidden="false" customHeight="true" outlineLevel="0" collapsed="false">
      <c r="B5" s="236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s="150" customFormat="true" ht="26.25" hidden="false" customHeight="true" outlineLevel="0" collapsed="false">
      <c r="A6" s="2368"/>
      <c r="B6" s="2369" t="s">
        <v>1320</v>
      </c>
      <c r="C6" s="128"/>
      <c r="D6" s="2370"/>
      <c r="E6" s="2371"/>
      <c r="F6" s="2372"/>
      <c r="G6" s="2371"/>
      <c r="H6" s="2371"/>
      <c r="I6" s="2371"/>
      <c r="J6" s="2371"/>
      <c r="K6" s="2371"/>
      <c r="L6" s="2371"/>
      <c r="M6" s="2373"/>
      <c r="N6" s="2371"/>
      <c r="O6" s="2371"/>
      <c r="P6" s="2374"/>
      <c r="Q6" s="2374"/>
    </row>
    <row r="7" customFormat="false" ht="3.75" hidden="false" customHeight="true" outlineLevel="0" collapsed="false">
      <c r="D7" s="2375"/>
      <c r="E7" s="2376"/>
      <c r="F7" s="38"/>
      <c r="G7" s="2376"/>
      <c r="H7" s="2376"/>
      <c r="I7" s="2376"/>
      <c r="J7" s="2376"/>
      <c r="K7" s="2376"/>
      <c r="L7" s="2376"/>
      <c r="M7" s="2377"/>
      <c r="N7" s="2376"/>
      <c r="O7" s="2376"/>
    </row>
    <row r="8" customFormat="false" ht="3" hidden="false" customHeight="true" outlineLevel="0" collapsed="false">
      <c r="A8" s="1"/>
      <c r="B8" s="1"/>
      <c r="D8" s="2375"/>
      <c r="E8" s="2376"/>
      <c r="F8" s="38"/>
      <c r="G8" s="2376"/>
      <c r="H8" s="2376"/>
      <c r="I8" s="2376"/>
      <c r="J8" s="2376"/>
      <c r="K8" s="2376"/>
      <c r="L8" s="2376"/>
      <c r="M8" s="2377"/>
      <c r="N8" s="2376"/>
      <c r="O8" s="2376"/>
    </row>
    <row r="9" customFormat="false" ht="18" hidden="false" customHeight="true" outlineLevel="0" collapsed="false">
      <c r="A9" s="2368"/>
      <c r="B9" s="2369" t="s">
        <v>1321</v>
      </c>
      <c r="D9" s="2378"/>
      <c r="E9" s="2379"/>
      <c r="F9" s="2380"/>
      <c r="G9" s="2379"/>
      <c r="H9" s="2379"/>
      <c r="I9" s="2379"/>
      <c r="J9" s="2379"/>
      <c r="K9" s="2379"/>
      <c r="L9" s="2379"/>
      <c r="M9" s="2381"/>
      <c r="N9" s="2379"/>
      <c r="O9" s="2379"/>
    </row>
    <row r="10" s="2384" customFormat="true" ht="18" hidden="false" customHeight="true" outlineLevel="0" collapsed="false">
      <c r="A10" s="2382"/>
      <c r="B10" s="2383" t="s">
        <v>960</v>
      </c>
      <c r="D10" s="2385"/>
      <c r="E10" s="2386"/>
      <c r="F10" s="2387"/>
      <c r="G10" s="2386"/>
      <c r="H10" s="2386"/>
      <c r="I10" s="2386"/>
      <c r="J10" s="2386"/>
      <c r="K10" s="2386"/>
      <c r="L10" s="2386"/>
      <c r="M10" s="2388"/>
      <c r="N10" s="2386"/>
      <c r="O10" s="2386"/>
      <c r="Q10" s="2389"/>
    </row>
    <row r="11" s="2384" customFormat="true" ht="18" hidden="false" customHeight="true" outlineLevel="0" collapsed="false">
      <c r="A11" s="2390"/>
      <c r="B11" s="2391" t="s">
        <v>961</v>
      </c>
      <c r="D11" s="2385"/>
      <c r="E11" s="2386"/>
      <c r="F11" s="2387"/>
      <c r="G11" s="2386"/>
      <c r="H11" s="2386"/>
      <c r="I11" s="2386"/>
      <c r="J11" s="2386"/>
      <c r="K11" s="2386"/>
      <c r="L11" s="2386"/>
      <c r="M11" s="2388"/>
      <c r="N11" s="2386"/>
      <c r="O11" s="2386"/>
      <c r="Q11" s="2389"/>
    </row>
    <row r="12" s="2384" customFormat="true" ht="18" hidden="false" customHeight="true" outlineLevel="0" collapsed="false">
      <c r="A12" s="2392"/>
      <c r="B12" s="2393" t="s">
        <v>962</v>
      </c>
      <c r="C12" s="2394"/>
      <c r="D12" s="2395"/>
      <c r="E12" s="2396"/>
      <c r="F12" s="2397"/>
      <c r="G12" s="2396"/>
      <c r="H12" s="2396"/>
      <c r="I12" s="2396"/>
      <c r="J12" s="2396"/>
      <c r="K12" s="2396"/>
      <c r="L12" s="2396"/>
      <c r="M12" s="2398"/>
      <c r="N12" s="2396"/>
      <c r="O12" s="2396"/>
      <c r="Q12" s="2389"/>
    </row>
    <row r="13" s="2384" customFormat="true" ht="18" hidden="false" customHeight="true" outlineLevel="0" collapsed="false">
      <c r="A13" s="2392"/>
      <c r="B13" s="2393" t="s">
        <v>1322</v>
      </c>
      <c r="C13" s="2394"/>
      <c r="D13" s="2395"/>
      <c r="E13" s="2396"/>
      <c r="F13" s="2397"/>
      <c r="G13" s="2396"/>
      <c r="H13" s="2396"/>
      <c r="I13" s="2396"/>
      <c r="J13" s="2396"/>
      <c r="K13" s="2396"/>
      <c r="L13" s="2396"/>
      <c r="M13" s="2398"/>
      <c r="N13" s="2396"/>
      <c r="O13" s="2396"/>
      <c r="Q13" s="2389"/>
    </row>
    <row r="15" customFormat="false" ht="12.75" hidden="false" customHeight="false" outlineLevel="0" collapsed="false">
      <c r="O15" s="2245"/>
    </row>
    <row r="25" customFormat="false" ht="30" hidden="false" customHeight="false" outlineLevel="0" collapsed="false">
      <c r="G25" s="2248"/>
      <c r="H25" s="2248"/>
      <c r="I25" s="2248"/>
    </row>
  </sheetData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G33" activeCellId="0" sqref="G33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2" width="8.67"/>
    <col collapsed="false" customWidth="true" hidden="false" outlineLevel="0" max="2" min="2" style="2" width="32.49"/>
    <col collapsed="false" customWidth="true" hidden="false" outlineLevel="0" max="3" min="3" style="2" width="11.99"/>
    <col collapsed="false" customWidth="true" hidden="false" outlineLevel="0" max="4" min="4" style="2399" width="11.64"/>
    <col collapsed="false" customWidth="true" hidden="false" outlineLevel="0" max="5" min="5" style="2399" width="11.99"/>
    <col collapsed="false" customWidth="true" hidden="false" outlineLevel="0" max="8" min="6" style="2399" width="11.64"/>
    <col collapsed="false" customWidth="true" hidden="false" outlineLevel="0" max="9" min="9" style="2399" width="11.99"/>
    <col collapsed="false" customWidth="true" hidden="false" outlineLevel="0" max="10" min="10" style="2399" width="11.5"/>
    <col collapsed="false" customWidth="true" hidden="false" outlineLevel="0" max="12" min="11" style="2399" width="11.99"/>
    <col collapsed="false" customWidth="true" hidden="false" outlineLevel="0" max="13" min="13" style="2399" width="11.16"/>
    <col collapsed="false" customWidth="true" hidden="false" outlineLevel="0" max="14" min="14" style="2399" width="11.5"/>
    <col collapsed="false" customWidth="true" hidden="false" outlineLevel="0" max="15" min="15" style="2147" width="11.5"/>
    <col collapsed="false" customWidth="true" hidden="false" outlineLevel="0" max="16" min="16" style="2" width="10.84"/>
    <col collapsed="false" customWidth="true" hidden="true" outlineLevel="0" max="17" min="17" style="2" width="17.67"/>
    <col collapsed="false" customWidth="true" hidden="false" outlineLevel="0" max="18" min="18" style="2" width="2.5"/>
    <col collapsed="false" customWidth="true" hidden="false" outlineLevel="0" max="19" min="19" style="37" width="13.66"/>
  </cols>
  <sheetData>
    <row r="1" customFormat="false" ht="15.75" hidden="false" customHeight="false" outlineLevel="0" collapsed="false">
      <c r="A1" s="2400"/>
      <c r="B1" s="2401"/>
      <c r="C1" s="2402" t="s">
        <v>1323</v>
      </c>
      <c r="D1" s="2403" t="s">
        <v>1324</v>
      </c>
      <c r="E1" s="2403" t="s">
        <v>1325</v>
      </c>
      <c r="F1" s="2403" t="s">
        <v>1326</v>
      </c>
      <c r="G1" s="2403" t="s">
        <v>1327</v>
      </c>
      <c r="H1" s="2403" t="s">
        <v>1328</v>
      </c>
      <c r="I1" s="2403" t="s">
        <v>1329</v>
      </c>
      <c r="J1" s="2403" t="s">
        <v>1330</v>
      </c>
      <c r="K1" s="2403" t="s">
        <v>1331</v>
      </c>
      <c r="L1" s="2403" t="s">
        <v>1332</v>
      </c>
      <c r="M1" s="2403" t="s">
        <v>1333</v>
      </c>
      <c r="N1" s="2403" t="s">
        <v>1334</v>
      </c>
      <c r="O1" s="2404" t="s">
        <v>3</v>
      </c>
      <c r="P1" s="2405"/>
      <c r="Q1" s="2405"/>
      <c r="R1" s="2406"/>
    </row>
    <row r="2" customFormat="false" ht="15.75" hidden="false" customHeight="false" outlineLevel="0" collapsed="false">
      <c r="A2" s="2407" t="s">
        <v>1335</v>
      </c>
      <c r="B2" s="2408" t="s">
        <v>1336</v>
      </c>
      <c r="C2" s="2409"/>
      <c r="D2" s="2409"/>
      <c r="E2" s="2409"/>
      <c r="F2" s="2409"/>
      <c r="G2" s="2409"/>
      <c r="H2" s="2409"/>
      <c r="I2" s="2409"/>
      <c r="J2" s="2409"/>
      <c r="K2" s="2409"/>
      <c r="L2" s="2409"/>
      <c r="M2" s="2409"/>
      <c r="N2" s="2409"/>
      <c r="O2" s="2410"/>
      <c r="P2" s="2411"/>
      <c r="Q2" s="2412"/>
      <c r="R2" s="2406"/>
    </row>
    <row r="3" customFormat="false" ht="15.75" hidden="false" customHeight="false" outlineLevel="0" collapsed="false">
      <c r="A3" s="2413" t="s">
        <v>1337</v>
      </c>
      <c r="B3" s="2414" t="s">
        <v>1338</v>
      </c>
      <c r="C3" s="2409"/>
      <c r="D3" s="2409"/>
      <c r="E3" s="2409"/>
      <c r="F3" s="2409"/>
      <c r="G3" s="2409"/>
      <c r="H3" s="2409"/>
      <c r="I3" s="2409"/>
      <c r="J3" s="2409"/>
      <c r="K3" s="2409"/>
      <c r="L3" s="2409"/>
      <c r="M3" s="2409"/>
      <c r="N3" s="2409"/>
      <c r="O3" s="2410"/>
      <c r="P3" s="2411"/>
      <c r="Q3" s="2412"/>
      <c r="R3" s="2406"/>
      <c r="S3" s="2415"/>
    </row>
    <row r="4" customFormat="false" ht="15.75" hidden="false" customHeight="false" outlineLevel="0" collapsed="false">
      <c r="A4" s="2413" t="s">
        <v>1339</v>
      </c>
      <c r="B4" s="2414" t="s">
        <v>1340</v>
      </c>
      <c r="C4" s="2409"/>
      <c r="D4" s="2409"/>
      <c r="E4" s="2409"/>
      <c r="F4" s="2409"/>
      <c r="G4" s="2409"/>
      <c r="H4" s="2409"/>
      <c r="I4" s="2409"/>
      <c r="J4" s="2409"/>
      <c r="K4" s="2409"/>
      <c r="L4" s="2409"/>
      <c r="M4" s="2409"/>
      <c r="N4" s="2409"/>
      <c r="O4" s="2410"/>
      <c r="P4" s="2411"/>
      <c r="Q4" s="2412"/>
      <c r="R4" s="2406"/>
      <c r="S4" s="2415"/>
    </row>
    <row r="5" customFormat="false" ht="15.75" hidden="false" customHeight="false" outlineLevel="0" collapsed="false">
      <c r="A5" s="2416"/>
      <c r="B5" s="2414" t="s">
        <v>87</v>
      </c>
      <c r="C5" s="2417"/>
      <c r="D5" s="2417"/>
      <c r="E5" s="2417"/>
      <c r="F5" s="2417"/>
      <c r="G5" s="2417"/>
      <c r="H5" s="2417"/>
      <c r="I5" s="2417"/>
      <c r="J5" s="2417"/>
      <c r="K5" s="2417"/>
      <c r="L5" s="2417"/>
      <c r="M5" s="2417"/>
      <c r="N5" s="2417"/>
      <c r="O5" s="2410"/>
      <c r="P5" s="2411"/>
      <c r="Q5" s="2412"/>
      <c r="R5" s="2406"/>
    </row>
    <row r="6" customFormat="false" ht="15.75" hidden="false" customHeight="false" outlineLevel="0" collapsed="false">
      <c r="A6" s="2418"/>
      <c r="B6" s="2418"/>
      <c r="C6" s="2419"/>
      <c r="D6" s="2420"/>
      <c r="E6" s="2420"/>
      <c r="F6" s="2420"/>
      <c r="G6" s="2420"/>
      <c r="H6" s="2420"/>
      <c r="I6" s="2420"/>
      <c r="J6" s="2420"/>
      <c r="K6" s="2420"/>
      <c r="L6" s="2420"/>
      <c r="M6" s="2420"/>
      <c r="N6" s="2420"/>
      <c r="O6" s="2421"/>
      <c r="P6" s="2411"/>
      <c r="Q6" s="2412"/>
      <c r="R6" s="2406"/>
    </row>
    <row r="7" s="2424" customFormat="true" ht="15.75" hidden="false" customHeight="false" outlineLevel="0" collapsed="false">
      <c r="A7" s="2407" t="s">
        <v>1341</v>
      </c>
      <c r="B7" s="2408" t="s">
        <v>1342</v>
      </c>
      <c r="C7" s="2422"/>
      <c r="D7" s="2423"/>
      <c r="E7" s="2423"/>
      <c r="F7" s="2423"/>
      <c r="G7" s="2423"/>
      <c r="H7" s="2423"/>
      <c r="I7" s="2423"/>
      <c r="J7" s="2423"/>
      <c r="K7" s="2423"/>
      <c r="L7" s="2423"/>
      <c r="M7" s="2423"/>
      <c r="N7" s="2423"/>
      <c r="O7" s="2422"/>
      <c r="P7" s="2411"/>
      <c r="Q7" s="2412"/>
      <c r="R7" s="2406"/>
      <c r="S7" s="37"/>
    </row>
    <row r="10" customFormat="false" ht="15" hidden="false" customHeight="false" outlineLevel="0" collapsed="false">
      <c r="A10" s="2425"/>
      <c r="B10" s="914"/>
      <c r="C10" s="2426"/>
      <c r="D10" s="2426"/>
      <c r="E10" s="2426"/>
      <c r="F10" s="2426"/>
      <c r="G10" s="2426"/>
      <c r="H10" s="2426"/>
      <c r="I10" s="2426"/>
      <c r="J10" s="2426"/>
      <c r="K10" s="2426"/>
      <c r="L10" s="2426"/>
      <c r="M10" s="2426"/>
      <c r="N10" s="2426"/>
      <c r="O10" s="2426"/>
      <c r="P10" s="2427"/>
      <c r="Q10" s="2405"/>
      <c r="R10" s="2406"/>
      <c r="S10" s="2411"/>
    </row>
    <row r="11" customFormat="false" ht="15" hidden="false" customHeight="false" outlineLevel="0" collapsed="false">
      <c r="B11" s="37"/>
      <c r="C11" s="2426"/>
    </row>
    <row r="12" customFormat="false" ht="15" hidden="false" customHeight="false" outlineLevel="0" collapsed="false">
      <c r="B12" s="37"/>
      <c r="C12" s="2426"/>
    </row>
    <row r="13" customFormat="false" ht="15" hidden="false" customHeight="false" outlineLevel="0" collapsed="false">
      <c r="B13" s="37"/>
      <c r="C13" s="2426"/>
    </row>
    <row r="14" customFormat="false" ht="15" hidden="false" customHeight="false" outlineLevel="0" collapsed="false">
      <c r="B14" s="37"/>
      <c r="C14" s="2426"/>
    </row>
    <row r="15" customFormat="false" ht="15" hidden="false" customHeight="false" outlineLevel="0" collapsed="false">
      <c r="B15" s="37"/>
      <c r="C15" s="24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D5711305-C7A1-49B2-8BDF-B6B03FC82C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2011-09-28T08:40:34Z</dcterms:created>
  <dc:creator>Oulad Jelloul Mohamed Said</dc:creator>
  <dc:description/>
  <dc:language>en-IN</dc:language>
  <cp:lastModifiedBy/>
  <dcterms:modified xsi:type="dcterms:W3CDTF">2025-08-29T10:30:09Z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